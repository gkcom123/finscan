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Project\finscan\inbox\Almarai\"/>
    </mc:Choice>
  </mc:AlternateContent>
  <xr:revisionPtr revIDLastSave="0" documentId="13_ncr:1_{6D48FDCC-2994-41A0-8B90-EB7961F98295}" xr6:coauthVersionLast="47" xr6:coauthVersionMax="47" xr10:uidLastSave="{00000000-0000-0000-0000-000000000000}"/>
  <bookViews>
    <workbookView xWindow="35895" yWindow="0" windowWidth="26010" windowHeight="20985" activeTab="1" xr2:uid="{08D13D23-1FAD-4084-9774-6D67AF197BB6}"/>
  </bookViews>
  <sheets>
    <sheet name="Capitalisation" sheetId="17" r:id="rId1"/>
    <sheet name="Model" sheetId="15" r:id="rId2"/>
    <sheet name="KPIs" sheetId="18"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0">MonthlyOpStats</definedName>
    <definedName name="_01_30_04" localSheetId="1">MonthlyOpStats</definedName>
    <definedName name="_01_30_04">MonthlyOpStats</definedName>
    <definedName name="_1_30_01" localSheetId="0">MonthlyOpStats</definedName>
    <definedName name="_1_30_01" localSheetId="1">MonthlyOpStats</definedName>
    <definedName name="_1_30_01">MonthlyOpStats</definedName>
    <definedName name="_1_30_02" localSheetId="0">MonthlyOpStats</definedName>
    <definedName name="_1_30_02" localSheetId="1">MonthlyOpStats</definedName>
    <definedName name="_1_30_02">MonthlyOpStats</definedName>
    <definedName name="_1_31_01" localSheetId="0">MonthlyOpStats</definedName>
    <definedName name="_1_31_01" localSheetId="1">MonthlyOpStats</definedName>
    <definedName name="_1_31_01">MonthlyOpStats</definedName>
    <definedName name="_1_31_02" localSheetId="0">MonthlyOpStats</definedName>
    <definedName name="_1_31_02" localSheetId="1">MonthlyOpStats</definedName>
    <definedName name="_1_31_02">MonthlyOpStats</definedName>
    <definedName name="_12_31_05" localSheetId="0">MonthlyOpStats</definedName>
    <definedName name="_12_31_05" localSheetId="1">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localSheetId="1" hidden="1">[2]FxdChg!#REF!</definedName>
    <definedName name="_Fill" hidden="1">[2]FxdChg!#REF!</definedName>
    <definedName name="_xlnm._FilterDatabase" localSheetId="1" hidden="1">Model!$B$6:$AY$279</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 localSheetId="1">[3]Model!#REF!</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 localSheetId="1">'[4]Tanning Assumptions'!#REF!</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 localSheetId="1">#REF!</definedName>
    <definedName name="AICORR">#REF!</definedName>
    <definedName name="AllBH">#REF!</definedName>
    <definedName name="allProjects">#REF!</definedName>
    <definedName name="amort" localSheetId="1">[5]Inputs!#REF!</definedName>
    <definedName name="amort">[5]Inputs!#REF!</definedName>
    <definedName name="AP_Sales" localSheetId="1">'[4]Tanning Assumptions'!#REF!</definedName>
    <definedName name="AP_Sales">'[4]Tanning Assumptions'!#REF!</definedName>
    <definedName name="AR_Other_Sales" localSheetId="1">'[4]Tanning Assumptions'!#REF!</definedName>
    <definedName name="AR_Other_Sales">'[4]Tanning Assumptions'!#REF!</definedName>
    <definedName name="AR_Trade_Sales" localSheetId="1">'[4]Tanning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 localSheetId="1">#REF!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 localSheetId="1">[5]Inputs!#REF!</definedName>
    <definedName name="bs">[5]Inputs!#REF!</definedName>
    <definedName name="case">#REF!</definedName>
    <definedName name="case1">[9]CONTROL!$A$12</definedName>
    <definedName name="case2">[9]CONTROL!$A$13</definedName>
    <definedName name="case3">[9]CONTROL!$A$14</definedName>
    <definedName name="CASH_FLOW" localSheetId="1">#REF!</definedName>
    <definedName name="CASH_FLOW">#REF!</definedName>
    <definedName name="Cash_Sales" localSheetId="1">'[4]Tanning Assumptions'!#REF!</definedName>
    <definedName name="Cash_Sales">'[4]Tanning Assumptions'!#REF!</definedName>
    <definedName name="CASHBUDGET" localSheetId="1">#REF!</definedName>
    <definedName name="CASHBUDGET">#REF!</definedName>
    <definedName name="CASHBUDGET___0" localSheetId="1">#REF!</definedName>
    <definedName name="CASHBUDGET___0">#REF!</definedName>
    <definedName name="CASHFLOWS_MONTH">#REF!</definedName>
    <definedName name="CASHFLOWS_MONTH___0">#REF!</definedName>
    <definedName name="CASHFLOWS_YEARS">#REF!</definedName>
    <definedName name="CASHFLOWS_YEARS___0">#REF!</definedName>
    <definedName name="cashint" localSheetId="1">#REF!</definedName>
    <definedName name="cashint">#REF!</definedName>
    <definedName name="cashint___0" localSheetId="1">#REF!</definedName>
    <definedName name="cashint___0">#REF!</definedName>
    <definedName name="CBHC">#REF!</definedName>
    <definedName name="cfl">#REF!</definedName>
    <definedName name="ChartDataRange">#REF!</definedName>
    <definedName name="CINC" localSheetId="1">#REF!</definedName>
    <definedName name="CINC">#REF!</definedName>
    <definedName name="CIQWBGuid" hidden="1">"3051782c-6e40-4ef4-a384-f28410c6c237"</definedName>
    <definedName name="circ" localSheetId="1">[5]Inputs!#REF!</definedName>
    <definedName name="circ">[5]Inputs!#REF!</definedName>
    <definedName name="CircRev">#REF!</definedName>
    <definedName name="Class_3_Agg_Cash" localSheetId="1">[10]Revolver!#REF!</definedName>
    <definedName name="Class_3_Agg_Cash">[10]Revolver!#REF!</definedName>
    <definedName name="Class_3_Amt_BET" localSheetId="1">[10]Revolver!#REF!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 localSheetId="1">#REF!</definedName>
    <definedName name="Clients">#REF!</definedName>
    <definedName name="closing_date">#REF!</definedName>
    <definedName name="closingttmrevenue">#REF!</definedName>
    <definedName name="CMBSIG" localSheetId="1">#REF!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 localSheetId="1">'[14]Portfolio Input'!#REF!</definedName>
    <definedName name="counter">'[14]Portfolio Input'!#REF!</definedName>
    <definedName name="counter2" localSheetId="1">'[14]Portfolio Input'!#REF!</definedName>
    <definedName name="counter2">'[14]Portfolio Input'!#REF!</definedName>
    <definedName name="Coupon">[15]Inputs!$J$30</definedName>
    <definedName name="CSEnd">#REF!</definedName>
    <definedName name="CSHO" localSheetId="1">#REF!</definedName>
    <definedName name="CSHO">#REF!</definedName>
    <definedName name="CSHPRI" localSheetId="1">#REF!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 localSheetId="1">[16]Comps!#REF!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 localSheetId="1">[5]Inputs!#REF!</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 localSheetId="1">#REF!</definedName>
    <definedName name="Default_Table">#REF!</definedName>
    <definedName name="Default_Timing">#REF!</definedName>
    <definedName name="depsched" localSheetId="1">[5]Inputs!#REF!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Model!#REF!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 localSheetId="1">[17]Consolidated!#REF!</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0" hidden="1">{"BS",#N/A,FALSE,"USA"}</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 localSheetId="1">'[20]LBO Summary'!#REF!</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39421.5384837963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 localSheetId="1">'[9]S&amp;U'!#REF!</definedName>
    <definedName name="LBO">'[9]S&amp;U'!#REF!</definedName>
    <definedName name="left">#REF!</definedName>
    <definedName name="lett" localSheetId="1">#REF!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 localSheetId="1">[10]Revolver!#REF!</definedName>
    <definedName name="LIBOR_Minus_1SD">[10]Revolver!#REF!</definedName>
    <definedName name="Libor_Minus_2SD" localSheetId="1">[10]Revolver!#REF!</definedName>
    <definedName name="Libor_Minus_2SD">[10]Revolver!#REF!</definedName>
    <definedName name="Libor_Plus_0SD" localSheetId="1">[10]Revolver!#REF!</definedName>
    <definedName name="Libor_Plus_0SD">[10]Revolver!#REF!</definedName>
    <definedName name="Libor_Plus_1SD" localSheetId="1">[10]Revolver!#REF!</definedName>
    <definedName name="Libor_Plus_1SD">[10]Revolver!#REF!</definedName>
    <definedName name="Libor_Plus_2SD" localSheetId="1">[10]Revolver!#REF!</definedName>
    <definedName name="Libor_Plus_2SD">[10]Revolver!#REF!</definedName>
    <definedName name="Libor_Scenario">#REF!</definedName>
    <definedName name="Libor_Up">#REF!</definedName>
    <definedName name="longterm" localSheetId="1">[5]Inputs!#REF!</definedName>
    <definedName name="longterm">[5]Inputs!#REF!</definedName>
    <definedName name="LTM_DATE">#REF!</definedName>
    <definedName name="Marketable_securities" localSheetId="1">'[22]Fly-by-night - problem 5'!#REF!</definedName>
    <definedName name="Marketable_securities">'[22]Fly-by-night - problem 5'!#REF!</definedName>
    <definedName name="MaxMarkDate">[7]SaleData!$M$3</definedName>
    <definedName name="mcs03g.ReqArray" localSheetId="0">{"Price","ICTG","TS131","D","0","0","H"}</definedName>
    <definedName name="mcs03g.ReqArray">{"Price","ICTG","TS131","D","0","0","H"}</definedName>
    <definedName name="mcs03g.ReqArray___0">#N/A</definedName>
    <definedName name="mcs03g.ReqArray___12">#N/A</definedName>
    <definedName name="mcs03g.ReqArray___2">#N/A</definedName>
    <definedName name="MKVALM" localSheetId="1">#REF!</definedName>
    <definedName name="MKVALM">#REF!</definedName>
    <definedName name="MONTHLYSALES" localSheetId="1">#REF!</definedName>
    <definedName name="MONTHLYSALES">#REF!</definedName>
    <definedName name="MONTHLYSALES___0" localSheetId="1">#REF!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 localSheetId="1">#REF!</definedName>
    <definedName name="NDY">#REF!</definedName>
    <definedName name="NDYWGT" localSheetId="1">#REF!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 localSheetId="1">'[22]Fly-by-night - problem 5'!#REF!</definedName>
    <definedName name="Other_assets">'[22]Fly-by-night - problem 5'!#REF!</definedName>
    <definedName name="Other_current_liabilities_Sales" localSheetId="1">'[4]Tanning Assumptions'!#REF!</definedName>
    <definedName name="Other_current_liabilities_Sales">'[4]Tanning Assumptions'!#REF!</definedName>
    <definedName name="Other_long_term_liabilities" localSheetId="1">'[4]Tanning Assumptions'!#REF!</definedName>
    <definedName name="Other_long_term_liabilities">'[4]Tanning Assumptions'!#REF!</definedName>
    <definedName name="OtherRev">#REF!</definedName>
    <definedName name="P_L" localSheetId="1">#REF!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 localSheetId="1">#REF!</definedName>
    <definedName name="PERSONAL_FINANCIAL">#REF!</definedName>
    <definedName name="PERSONAL_FINANCIAL___0" localSheetId="1">#REF!</definedName>
    <definedName name="PERSONAL_FINANCIAL___0">#REF!</definedName>
    <definedName name="PFLTM" localSheetId="1">'[24]VeCTOR Import'!#REF!</definedName>
    <definedName name="PFLTM">'[24]VeCTOR Import'!#REF!</definedName>
    <definedName name="pik" localSheetId="1">'[9]S&amp;U'!#REF!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 localSheetId="1">'[4]Tanning Assumptions'!#REF!</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 localSheetId="1">'[4]Tanning Assumptions'!#REF!</definedName>
    <definedName name="Prepaids_Sales">'[4]Tanning Assumptions'!#REF!</definedName>
    <definedName name="PRICES">#REF!</definedName>
    <definedName name="PRICES___0">#REF!</definedName>
    <definedName name="_xlnm.Print_Area" localSheetId="1">Model!$B$226:$D$279</definedName>
    <definedName name="_xlnm.Print_Area">#REF!</definedName>
    <definedName name="_xlnm.Print_Titles" localSheetId="1">Model!$2:$5</definedName>
    <definedName name="_xlnm.Print_Titles">#REF!</definedName>
    <definedName name="project">[12]CONTROL!$D$8</definedName>
    <definedName name="project___0">[8]CONTROL!$D$8</definedName>
    <definedName name="ProjList">#REF!</definedName>
    <definedName name="PublicCompany" localSheetId="1">#REF!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 localSheetId="1">[27]MASTER!#REF!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 localSheetId="1">'[20]LBO Summary'!#REF!</definedName>
    <definedName name="rhl">'[20]LBO Summary'!#REF!</definedName>
    <definedName name="RoyaltyRev">#REF!</definedName>
    <definedName name="rptData">#REF!</definedName>
    <definedName name="rr" localSheetId="1">'[20]LBO Summary'!#REF!</definedName>
    <definedName name="rr">'[20]LBO Summary'!#REF!</definedName>
    <definedName name="s" localSheetId="1">#REF!</definedName>
    <definedName name="s">#REF!</definedName>
    <definedName name="s.outstand" localSheetId="1">[5]Inputs!#REF!</definedName>
    <definedName name="s.outstand">[5]Inputs!#REF!</definedName>
    <definedName name="SALES" localSheetId="1">#REF!</definedName>
    <definedName name="SALES">#REF!</definedName>
    <definedName name="SALES___0" localSheetId="1">#REF!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 localSheetId="1">#REF!</definedName>
    <definedName name="Scenario_39">#REF!</definedName>
    <definedName name="Scenario_41" localSheetId="1">#REF!</definedName>
    <definedName name="Scenario_41">#REF!</definedName>
    <definedName name="Scenario_42" localSheetId="1">#REF!</definedName>
    <definedName name="Scenario_42">#REF!</definedName>
    <definedName name="Scenario_43" localSheetId="1">#REF!</definedName>
    <definedName name="Scenario_43">#REF!</definedName>
    <definedName name="Scenario_44" localSheetId="1">#REF!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 localSheetId="1">[5]Inputs!#REF!</definedName>
    <definedName name="sh.equity">[5]Inputs!#REF!</definedName>
    <definedName name="sl" localSheetId="1">'[20]LBO Summary'!#REF!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 localSheetId="1">'[14]Portfolio Input'!#REF!</definedName>
    <definedName name="StartRefresh">'[14]Portfolio Input'!#REF!</definedName>
    <definedName name="StartYear">[6]Selections!$P$1</definedName>
    <definedName name="Strip_Amount">#REF!</definedName>
    <definedName name="Strip_PV" localSheetId="1">#REF!</definedName>
    <definedName name="Strip_PV">#REF!</definedName>
    <definedName name="stub">#REF!</definedName>
    <definedName name="stubmonths">'[29]D&amp;A'!$C$5</definedName>
    <definedName name="sub" localSheetId="1">'[20]LBO Summary'!#REF!</definedName>
    <definedName name="sub">'[20]LBO Summary'!#REF!</definedName>
    <definedName name="subdebtamount">[15]Inputs!$J$26</definedName>
    <definedName name="subdebtdate">[15]Inputs!$J$28</definedName>
    <definedName name="Subhead1">[19]_01_05_v_Wicks_xls__01_05_v_Wic!$N$2</definedName>
    <definedName name="subHeading" localSheetId="1">#REF!</definedName>
    <definedName name="subHeading">#REF!</definedName>
    <definedName name="summary">#REF!</definedName>
    <definedName name="support">#REF!</definedName>
    <definedName name="sweep___9" localSheetId="1">[30]COVS_ACTUAL!#REF!</definedName>
    <definedName name="sweep___9">[30]COVS_ACTUAL!#REF!</definedName>
    <definedName name="target">#REF!</definedName>
    <definedName name="tax" localSheetId="1">[31]ISCF!#REF!</definedName>
    <definedName name="tax">[31]ISCF!#REF!</definedName>
    <definedName name="Taxes_Receivable_Sales" localSheetId="1">'[4]Tanning Assumptions'!#REF!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 localSheetId="1">#REF!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 localSheetId="1">'[14]Portfolio Input'!#REF!</definedName>
    <definedName name="WBMIN">'[14]Portfolio Input'!#REF!</definedName>
    <definedName name="WHAT_IF">#REF!</definedName>
    <definedName name="WHAT_IF___0">#REF!</definedName>
    <definedName name="whec">[28]WHEC!$AX$2</definedName>
    <definedName name="wicksequity">[15]Inputs!$E$35</definedName>
    <definedName name="WORKING_CAPITAL" localSheetId="1">#REF!</definedName>
    <definedName name="WORKING_CAPITAL">#REF!</definedName>
    <definedName name="WORKING_CAPITAL___0" localSheetId="1">#REF!</definedName>
    <definedName name="WORKING_CAPITAL___0">#REF!</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0"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0"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0" hidden="1">{#N/A,#N/A,FALSE,"Integration Systems"}</definedName>
    <definedName name="wrn.Sales._.Activity." hidden="1">{#N/A,#N/A,FALSE,"Integration Systems"}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0"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0" hidden="1">{#N/A,#N/A,FALSE,"Combo"}</definedName>
    <definedName name="wrn.Weekly._.Inventory._.Report." hidden="1">{#N/A,#N/A,FALSE,"Combo"}</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 localSheetId="1">#REF!</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51" i="15" l="1"/>
  <c r="D32" i="17"/>
  <c r="D55" i="17"/>
  <c r="D53" i="17"/>
  <c r="E44" i="17"/>
  <c r="D44" i="17"/>
  <c r="E38" i="17"/>
  <c r="D38" i="17"/>
  <c r="D25" i="17"/>
  <c r="D54" i="17"/>
  <c r="D15" i="17"/>
  <c r="D7" i="17"/>
  <c r="J5" i="17"/>
  <c r="M3" i="18"/>
  <c r="AU75" i="18"/>
  <c r="AU74" i="18"/>
  <c r="AU73" i="18"/>
  <c r="AU62" i="18"/>
  <c r="AU55" i="18"/>
  <c r="AU54" i="18"/>
  <c r="AU53" i="18"/>
  <c r="AU52" i="18"/>
  <c r="AU48" i="18"/>
  <c r="AU47" i="18"/>
  <c r="AU46" i="18"/>
  <c r="AU45" i="18"/>
  <c r="AU34" i="18"/>
  <c r="AU26" i="18"/>
  <c r="AU25" i="18"/>
  <c r="AU24" i="18"/>
  <c r="AU23" i="18"/>
  <c r="AU12" i="18"/>
  <c r="AU204" i="15"/>
  <c r="AU203" i="15"/>
  <c r="M203" i="15" s="1"/>
  <c r="J2" i="17" s="1"/>
  <c r="AU104" i="15"/>
  <c r="AU103" i="15"/>
  <c r="M116" i="15"/>
  <c r="M108" i="15"/>
  <c r="M107" i="15"/>
  <c r="M104" i="15"/>
  <c r="M103" i="15"/>
  <c r="M102" i="15"/>
  <c r="AU90" i="15"/>
  <c r="M90" i="15"/>
  <c r="L90" i="15"/>
  <c r="AT90" i="15"/>
  <c r="M93" i="15"/>
  <c r="M92" i="15"/>
  <c r="M91" i="15"/>
  <c r="AU68" i="15"/>
  <c r="AU61" i="15"/>
  <c r="AU57" i="15"/>
  <c r="AK53" i="15"/>
  <c r="AJ53" i="15"/>
  <c r="AG53" i="15"/>
  <c r="AF53" i="15"/>
  <c r="AC53" i="15"/>
  <c r="AB53" i="15"/>
  <c r="AA53" i="15"/>
  <c r="Y53" i="15"/>
  <c r="X53" i="15"/>
  <c r="W53" i="15"/>
  <c r="S53" i="15"/>
  <c r="AU21" i="15"/>
  <c r="M3" i="15"/>
  <c r="AU257" i="15"/>
  <c r="AU207" i="15"/>
  <c r="AU181" i="15"/>
  <c r="AU175" i="15"/>
  <c r="AU173" i="15"/>
  <c r="AU171" i="15"/>
  <c r="AU170" i="15"/>
  <c r="AU169" i="15"/>
  <c r="AU167" i="15"/>
  <c r="AU166" i="15"/>
  <c r="AU163" i="15"/>
  <c r="AU162" i="15"/>
  <c r="AU153" i="15"/>
  <c r="AU109" i="15"/>
  <c r="D30" i="17" s="1"/>
  <c r="AU259" i="15"/>
  <c r="AU99" i="15"/>
  <c r="AU98" i="15"/>
  <c r="AU97" i="15"/>
  <c r="AU94" i="15"/>
  <c r="AU88" i="15"/>
  <c r="AU119" i="15"/>
  <c r="AU223" i="15"/>
  <c r="AU134" i="15"/>
  <c r="AU43" i="15"/>
  <c r="AU55" i="15"/>
  <c r="AU78" i="15"/>
  <c r="AU150" i="15"/>
  <c r="AU41" i="15"/>
  <c r="AU40" i="15"/>
  <c r="AU34" i="15"/>
  <c r="AU33" i="15"/>
  <c r="AU32" i="15"/>
  <c r="AU31" i="15"/>
  <c r="AU30" i="15"/>
  <c r="AU10" i="15"/>
  <c r="AU8" i="15"/>
  <c r="P8" i="18"/>
  <c r="Q8" i="18"/>
  <c r="R8" i="18"/>
  <c r="T8" i="18"/>
  <c r="U8" i="18"/>
  <c r="V8" i="18"/>
  <c r="X8" i="18"/>
  <c r="Y8" i="18"/>
  <c r="Z8" i="18"/>
  <c r="AB8" i="18"/>
  <c r="AC8" i="18"/>
  <c r="AD8" i="18"/>
  <c r="AD23" i="18" s="1"/>
  <c r="AF8" i="18"/>
  <c r="AG8" i="18"/>
  <c r="AH8" i="18"/>
  <c r="AJ8" i="18"/>
  <c r="AK8" i="18"/>
  <c r="AL8" i="18"/>
  <c r="AN8" i="18"/>
  <c r="AO8" i="18"/>
  <c r="AP8" i="18"/>
  <c r="AP23" i="18"/>
  <c r="AR8" i="18"/>
  <c r="AS8" i="18"/>
  <c r="P9" i="18"/>
  <c r="Q9" i="18"/>
  <c r="R9" i="18"/>
  <c r="T9" i="18"/>
  <c r="U9" i="18"/>
  <c r="V9" i="18"/>
  <c r="X9" i="18"/>
  <c r="Y9" i="18"/>
  <c r="AB9" i="18"/>
  <c r="AC9" i="18"/>
  <c r="AF9" i="18"/>
  <c r="AG9" i="18"/>
  <c r="AJ9" i="18"/>
  <c r="AK9" i="18"/>
  <c r="AL9" i="18"/>
  <c r="AN9" i="18"/>
  <c r="AO9" i="18"/>
  <c r="AR9" i="18"/>
  <c r="P10" i="18"/>
  <c r="Q10" i="18"/>
  <c r="T10" i="18"/>
  <c r="U10" i="18"/>
  <c r="V10" i="18"/>
  <c r="X10" i="18"/>
  <c r="Y10" i="18"/>
  <c r="Z10" i="18"/>
  <c r="Z25" i="18"/>
  <c r="AB10" i="18"/>
  <c r="AC10" i="18"/>
  <c r="AF10" i="18"/>
  <c r="AG10" i="18"/>
  <c r="AH10" i="18"/>
  <c r="AJ10" i="18"/>
  <c r="AK10" i="18"/>
  <c r="AL10" i="18"/>
  <c r="AN10" i="18"/>
  <c r="AO10" i="18"/>
  <c r="AR10" i="18"/>
  <c r="P11" i="18"/>
  <c r="Q11" i="18"/>
  <c r="T11" i="18"/>
  <c r="U11" i="18"/>
  <c r="V11" i="18"/>
  <c r="X11" i="18"/>
  <c r="Y11" i="18"/>
  <c r="Z11" i="18"/>
  <c r="AB11" i="18"/>
  <c r="AC11" i="18"/>
  <c r="AD11" i="18"/>
  <c r="AF11" i="18"/>
  <c r="AG11" i="18"/>
  <c r="AH11" i="18"/>
  <c r="AJ11" i="18"/>
  <c r="AK11" i="18"/>
  <c r="AL11" i="18"/>
  <c r="AN11" i="18"/>
  <c r="AO11" i="18"/>
  <c r="AP11" i="18"/>
  <c r="AR11" i="18"/>
  <c r="AS11" i="18"/>
  <c r="C12" i="18"/>
  <c r="D12" i="18"/>
  <c r="E12" i="18"/>
  <c r="F12" i="18"/>
  <c r="G12" i="18"/>
  <c r="H12" i="18"/>
  <c r="I12" i="18"/>
  <c r="J12" i="18"/>
  <c r="K12" i="18"/>
  <c r="L12" i="18"/>
  <c r="O12" i="18"/>
  <c r="P12" i="18"/>
  <c r="S12" i="18"/>
  <c r="T12" i="18"/>
  <c r="U12" i="18"/>
  <c r="W12" i="18"/>
  <c r="X12" i="18"/>
  <c r="AA12" i="18"/>
  <c r="AB12" i="18"/>
  <c r="AE12" i="18"/>
  <c r="AE27" i="18"/>
  <c r="AF12" i="18"/>
  <c r="AF27" i="18"/>
  <c r="AI12" i="18"/>
  <c r="AI27" i="18"/>
  <c r="AJ12" i="18"/>
  <c r="AJ27" i="18"/>
  <c r="AK12" i="18"/>
  <c r="AM12" i="18"/>
  <c r="AM27" i="18"/>
  <c r="AN12" i="18"/>
  <c r="AN27" i="18"/>
  <c r="AQ12" i="18"/>
  <c r="AQ27" i="18"/>
  <c r="AR12" i="18"/>
  <c r="AR27" i="18"/>
  <c r="AW12" i="18"/>
  <c r="AW27" i="18"/>
  <c r="AX12" i="18"/>
  <c r="AX27" i="18"/>
  <c r="C13" i="18"/>
  <c r="D13" i="18"/>
  <c r="E13" i="18"/>
  <c r="F13" i="18"/>
  <c r="G13" i="18"/>
  <c r="H13" i="18"/>
  <c r="I13" i="18"/>
  <c r="J13" i="18"/>
  <c r="K13" i="18"/>
  <c r="L13" i="18"/>
  <c r="O13" i="18"/>
  <c r="S13" i="18"/>
  <c r="W13" i="18"/>
  <c r="X13" i="18"/>
  <c r="AA13" i="18"/>
  <c r="AB13" i="18"/>
  <c r="AE13" i="18"/>
  <c r="AF13" i="18"/>
  <c r="AI13" i="18"/>
  <c r="AJ13" i="18"/>
  <c r="AK13" i="18"/>
  <c r="AM13" i="18"/>
  <c r="AN13" i="18"/>
  <c r="AQ13" i="18"/>
  <c r="AR13" i="18"/>
  <c r="AW13" i="18"/>
  <c r="AX13" i="18"/>
  <c r="C16" i="18"/>
  <c r="D16" i="18"/>
  <c r="E16" i="18"/>
  <c r="F16" i="18"/>
  <c r="G16" i="18"/>
  <c r="H16" i="18"/>
  <c r="I16" i="18"/>
  <c r="J16" i="18"/>
  <c r="K16" i="18"/>
  <c r="L16" i="18"/>
  <c r="O16" i="18"/>
  <c r="P16" i="18"/>
  <c r="S16" i="18"/>
  <c r="T16" i="18"/>
  <c r="U16" i="18"/>
  <c r="W16" i="18"/>
  <c r="X16" i="18"/>
  <c r="AA16" i="18"/>
  <c r="AB16" i="18"/>
  <c r="AE16" i="18"/>
  <c r="AF16" i="18"/>
  <c r="AI16" i="18"/>
  <c r="AJ16" i="18"/>
  <c r="AK16" i="18"/>
  <c r="AM16" i="18"/>
  <c r="AN16" i="18"/>
  <c r="AQ16" i="18"/>
  <c r="AR16" i="18"/>
  <c r="AW16" i="18"/>
  <c r="AX16" i="18"/>
  <c r="C17" i="18"/>
  <c r="D17" i="18"/>
  <c r="E17" i="18"/>
  <c r="F17" i="18"/>
  <c r="G17" i="18"/>
  <c r="H17" i="18"/>
  <c r="I17" i="18"/>
  <c r="J17" i="18"/>
  <c r="K17" i="18"/>
  <c r="L17" i="18"/>
  <c r="O17" i="18"/>
  <c r="P17" i="18"/>
  <c r="S17" i="18"/>
  <c r="T17" i="18"/>
  <c r="U17" i="18"/>
  <c r="W17" i="18"/>
  <c r="X17" i="18"/>
  <c r="AA17" i="18"/>
  <c r="AB17" i="18"/>
  <c r="AE17" i="18"/>
  <c r="AF17" i="18"/>
  <c r="AI17" i="18"/>
  <c r="AJ17" i="18"/>
  <c r="AK17" i="18"/>
  <c r="AM17" i="18"/>
  <c r="AN17" i="18"/>
  <c r="AQ17" i="18"/>
  <c r="AR17" i="18"/>
  <c r="AW17" i="18"/>
  <c r="AX17" i="18"/>
  <c r="C18" i="18"/>
  <c r="D18" i="18"/>
  <c r="E18" i="18"/>
  <c r="F18" i="18"/>
  <c r="G18" i="18"/>
  <c r="H18" i="18"/>
  <c r="I18" i="18"/>
  <c r="J18" i="18"/>
  <c r="K18" i="18"/>
  <c r="L18" i="18"/>
  <c r="O18" i="18"/>
  <c r="P18" i="18"/>
  <c r="S18" i="18"/>
  <c r="T18" i="18"/>
  <c r="U18" i="18"/>
  <c r="W18" i="18"/>
  <c r="X18" i="18"/>
  <c r="AA18" i="18"/>
  <c r="AB18" i="18"/>
  <c r="AE18" i="18"/>
  <c r="AF18" i="18"/>
  <c r="AI18" i="18"/>
  <c r="AJ18" i="18"/>
  <c r="AK18" i="18"/>
  <c r="AM18" i="18"/>
  <c r="AN18" i="18"/>
  <c r="AQ18" i="18"/>
  <c r="AR18" i="18"/>
  <c r="AW18" i="18"/>
  <c r="AX18" i="18"/>
  <c r="C19" i="18"/>
  <c r="D19" i="18"/>
  <c r="E19" i="18"/>
  <c r="F19" i="18"/>
  <c r="G19" i="18"/>
  <c r="H19" i="18"/>
  <c r="I19" i="18"/>
  <c r="J19" i="18"/>
  <c r="K19" i="18"/>
  <c r="L19" i="18"/>
  <c r="O19" i="18"/>
  <c r="P19" i="18"/>
  <c r="S19" i="18"/>
  <c r="T19" i="18"/>
  <c r="U19" i="18"/>
  <c r="W19" i="18"/>
  <c r="X19" i="18"/>
  <c r="AA19" i="18"/>
  <c r="AB19" i="18"/>
  <c r="AE19" i="18"/>
  <c r="AF19" i="18"/>
  <c r="AI19" i="18"/>
  <c r="AJ19" i="18"/>
  <c r="AK19" i="18"/>
  <c r="AM19" i="18"/>
  <c r="AN19" i="18"/>
  <c r="AQ19" i="18"/>
  <c r="AR19" i="18"/>
  <c r="AW19" i="18"/>
  <c r="AX19" i="18"/>
  <c r="C20" i="18"/>
  <c r="D20" i="18"/>
  <c r="E20" i="18"/>
  <c r="F20" i="18"/>
  <c r="G20" i="18"/>
  <c r="H20" i="18"/>
  <c r="I20" i="18"/>
  <c r="J20" i="18"/>
  <c r="K20" i="18"/>
  <c r="L20" i="18"/>
  <c r="O20" i="18"/>
  <c r="P20" i="18"/>
  <c r="S20" i="18"/>
  <c r="T20" i="18"/>
  <c r="U20" i="18"/>
  <c r="W20" i="18"/>
  <c r="X20" i="18"/>
  <c r="AA20" i="18"/>
  <c r="AB20" i="18"/>
  <c r="AE20" i="18"/>
  <c r="AF20" i="18"/>
  <c r="AI20" i="18"/>
  <c r="AJ20" i="18"/>
  <c r="AK20" i="18"/>
  <c r="AM20" i="18"/>
  <c r="AN20" i="18"/>
  <c r="AQ20" i="18"/>
  <c r="AR20" i="18"/>
  <c r="AW20" i="18"/>
  <c r="AX20" i="18"/>
  <c r="D23" i="18"/>
  <c r="E23" i="18"/>
  <c r="F23" i="18"/>
  <c r="G23" i="18"/>
  <c r="H23" i="18"/>
  <c r="I23" i="18"/>
  <c r="J23" i="18"/>
  <c r="K23" i="18"/>
  <c r="L23" i="18"/>
  <c r="S23" i="18"/>
  <c r="T23" i="18"/>
  <c r="U23" i="18"/>
  <c r="W23" i="18"/>
  <c r="X23" i="18"/>
  <c r="Y23" i="18"/>
  <c r="AA23" i="18"/>
  <c r="AB23" i="18"/>
  <c r="AC23" i="18"/>
  <c r="AE23" i="18"/>
  <c r="AF23" i="18"/>
  <c r="AG23" i="18"/>
  <c r="AI23" i="18"/>
  <c r="AJ23" i="18"/>
  <c r="AK23" i="18"/>
  <c r="AM23" i="18"/>
  <c r="AN23" i="18"/>
  <c r="AO23" i="18"/>
  <c r="AQ23" i="18"/>
  <c r="AR23" i="18"/>
  <c r="AW23" i="18"/>
  <c r="AX23" i="18"/>
  <c r="D24" i="18"/>
  <c r="E24" i="18"/>
  <c r="F24" i="18"/>
  <c r="G24" i="18"/>
  <c r="H24" i="18"/>
  <c r="I24" i="18"/>
  <c r="J24" i="18"/>
  <c r="K24" i="18"/>
  <c r="L24" i="18"/>
  <c r="S24" i="18"/>
  <c r="T24" i="18"/>
  <c r="U24" i="18"/>
  <c r="V24" i="18"/>
  <c r="W24" i="18"/>
  <c r="X24" i="18"/>
  <c r="AA24" i="18"/>
  <c r="AB24" i="18"/>
  <c r="AE24" i="18"/>
  <c r="AF24" i="18"/>
  <c r="AI24" i="18"/>
  <c r="AJ24" i="18"/>
  <c r="AM24" i="18"/>
  <c r="AN24" i="18"/>
  <c r="AQ24" i="18"/>
  <c r="AR24" i="18"/>
  <c r="AW24" i="18"/>
  <c r="AX24" i="18"/>
  <c r="D25" i="18"/>
  <c r="E25" i="18"/>
  <c r="F25" i="18"/>
  <c r="G25" i="18"/>
  <c r="H25" i="18"/>
  <c r="I25" i="18"/>
  <c r="J25" i="18"/>
  <c r="K25" i="18"/>
  <c r="L25" i="18"/>
  <c r="S25" i="18"/>
  <c r="T25" i="18"/>
  <c r="W25" i="18"/>
  <c r="X25" i="18"/>
  <c r="Y25" i="18"/>
  <c r="AA25" i="18"/>
  <c r="AB25" i="18"/>
  <c r="AE25" i="18"/>
  <c r="AF25" i="18"/>
  <c r="AI25" i="18"/>
  <c r="AJ25" i="18"/>
  <c r="AK25" i="18"/>
  <c r="AM25" i="18"/>
  <c r="AN25" i="18"/>
  <c r="AQ25" i="18"/>
  <c r="AR25" i="18"/>
  <c r="AW25" i="18"/>
  <c r="AX25" i="18"/>
  <c r="D26" i="18"/>
  <c r="E26" i="18"/>
  <c r="F26" i="18"/>
  <c r="G26" i="18"/>
  <c r="H26" i="18"/>
  <c r="I26" i="18"/>
  <c r="J26" i="18"/>
  <c r="K26" i="18"/>
  <c r="L26" i="18"/>
  <c r="S26" i="18"/>
  <c r="T26" i="18"/>
  <c r="W26" i="18"/>
  <c r="X26" i="18"/>
  <c r="Y26" i="18"/>
  <c r="AA26" i="18"/>
  <c r="AB26" i="18"/>
  <c r="AC26" i="18"/>
  <c r="AE26" i="18"/>
  <c r="AF26" i="18"/>
  <c r="AG26" i="18"/>
  <c r="AI26" i="18"/>
  <c r="AJ26" i="18"/>
  <c r="AK26" i="18"/>
  <c r="AM26" i="18"/>
  <c r="AN26" i="18"/>
  <c r="AO26" i="18"/>
  <c r="AQ26" i="18"/>
  <c r="AR26" i="18"/>
  <c r="AW26" i="18"/>
  <c r="AX26" i="18"/>
  <c r="D27" i="18"/>
  <c r="E27" i="18"/>
  <c r="F27" i="18"/>
  <c r="G27" i="18"/>
  <c r="H27" i="18"/>
  <c r="I27" i="18"/>
  <c r="J27" i="18"/>
  <c r="K27" i="18"/>
  <c r="L27" i="18"/>
  <c r="S27" i="18"/>
  <c r="T27" i="18"/>
  <c r="W27" i="18"/>
  <c r="X27" i="18"/>
  <c r="AA27" i="18"/>
  <c r="AB27" i="18"/>
  <c r="P30" i="18"/>
  <c r="T30" i="18"/>
  <c r="U30" i="18"/>
  <c r="X30" i="18"/>
  <c r="AB30" i="18"/>
  <c r="AC30" i="18"/>
  <c r="AD30" i="18"/>
  <c r="AF30" i="18"/>
  <c r="AG30" i="18"/>
  <c r="AJ30" i="18"/>
  <c r="AK30" i="18"/>
  <c r="AN30" i="18"/>
  <c r="AO30" i="18"/>
  <c r="AR30" i="18"/>
  <c r="P31" i="18"/>
  <c r="Q31" i="18"/>
  <c r="T31" i="18"/>
  <c r="U31" i="18"/>
  <c r="X31" i="18"/>
  <c r="Y31" i="18"/>
  <c r="AB31" i="18"/>
  <c r="AC31" i="18"/>
  <c r="AF31" i="18"/>
  <c r="AG31" i="18"/>
  <c r="AH31" i="18"/>
  <c r="AJ31" i="18"/>
  <c r="AK31" i="18"/>
  <c r="AN31" i="18"/>
  <c r="AO31" i="18"/>
  <c r="AP31" i="18"/>
  <c r="AR31" i="18"/>
  <c r="AS31" i="18"/>
  <c r="P32" i="18"/>
  <c r="T32" i="18"/>
  <c r="X32" i="18"/>
  <c r="AB32" i="18"/>
  <c r="AC32" i="18"/>
  <c r="AF32" i="18"/>
  <c r="AG32" i="18"/>
  <c r="AH32" i="18"/>
  <c r="AJ32" i="18"/>
  <c r="AK32" i="18"/>
  <c r="AL32" i="18"/>
  <c r="AN32" i="18"/>
  <c r="AO32" i="18"/>
  <c r="AP32" i="18"/>
  <c r="AR32" i="18"/>
  <c r="P33" i="18"/>
  <c r="Q33" i="18"/>
  <c r="T33" i="18"/>
  <c r="U33" i="18"/>
  <c r="X33" i="18"/>
  <c r="AB33" i="18"/>
  <c r="AC33" i="18"/>
  <c r="AF33" i="18"/>
  <c r="AG33" i="18"/>
  <c r="AH33" i="18"/>
  <c r="AJ33" i="18"/>
  <c r="AK33" i="18"/>
  <c r="AL33" i="18"/>
  <c r="AN33" i="18"/>
  <c r="AO33" i="18"/>
  <c r="AP33" i="18"/>
  <c r="AR33" i="18"/>
  <c r="AS33" i="18"/>
  <c r="C34" i="18"/>
  <c r="D34" i="18"/>
  <c r="E34" i="18"/>
  <c r="F34" i="18"/>
  <c r="G34" i="18"/>
  <c r="H34" i="18"/>
  <c r="I34" i="18"/>
  <c r="J34" i="18"/>
  <c r="K34" i="18"/>
  <c r="L34" i="18"/>
  <c r="O34" i="18"/>
  <c r="S34" i="18"/>
  <c r="W34" i="18"/>
  <c r="AA34" i="18"/>
  <c r="AE34" i="18"/>
  <c r="AE56" i="18"/>
  <c r="AI34" i="18"/>
  <c r="AI56" i="18"/>
  <c r="AM34" i="18"/>
  <c r="AM56" i="18"/>
  <c r="AQ34" i="18"/>
  <c r="AQ56" i="18"/>
  <c r="AX34" i="18"/>
  <c r="AX56" i="18"/>
  <c r="C38" i="18"/>
  <c r="D38" i="18"/>
  <c r="E38" i="18"/>
  <c r="F38" i="18"/>
  <c r="G38" i="18"/>
  <c r="H38" i="18"/>
  <c r="I38" i="18"/>
  <c r="J38" i="18"/>
  <c r="K38" i="18"/>
  <c r="L38" i="18"/>
  <c r="O38" i="18"/>
  <c r="S38" i="18"/>
  <c r="W38" i="18"/>
  <c r="AA38" i="18"/>
  <c r="AE38" i="18"/>
  <c r="AI38" i="18"/>
  <c r="AM38" i="18"/>
  <c r="AQ38" i="18"/>
  <c r="AX38" i="18"/>
  <c r="C39" i="18"/>
  <c r="D39" i="18"/>
  <c r="E39" i="18"/>
  <c r="F39" i="18"/>
  <c r="G39" i="18"/>
  <c r="H39" i="18"/>
  <c r="I39" i="18"/>
  <c r="J39" i="18"/>
  <c r="K39" i="18"/>
  <c r="L39" i="18"/>
  <c r="O39" i="18"/>
  <c r="S39" i="18"/>
  <c r="W39" i="18"/>
  <c r="AA39" i="18"/>
  <c r="AE39" i="18"/>
  <c r="AI39" i="18"/>
  <c r="AM39" i="18"/>
  <c r="AQ39" i="18"/>
  <c r="AX39" i="18"/>
  <c r="C40" i="18"/>
  <c r="D40" i="18"/>
  <c r="E40" i="18"/>
  <c r="F40" i="18"/>
  <c r="G40" i="18"/>
  <c r="H40" i="18"/>
  <c r="I40" i="18"/>
  <c r="J40" i="18"/>
  <c r="K40" i="18"/>
  <c r="L40" i="18"/>
  <c r="O40" i="18"/>
  <c r="S40" i="18"/>
  <c r="W40" i="18"/>
  <c r="AA40" i="18"/>
  <c r="AE40" i="18"/>
  <c r="AI40" i="18"/>
  <c r="AM40" i="18"/>
  <c r="AQ40" i="18"/>
  <c r="AX40" i="18"/>
  <c r="C41" i="18"/>
  <c r="D41" i="18"/>
  <c r="E41" i="18"/>
  <c r="F41" i="18"/>
  <c r="G41" i="18"/>
  <c r="H41" i="18"/>
  <c r="I41" i="18"/>
  <c r="J41" i="18"/>
  <c r="K41" i="18"/>
  <c r="L41" i="18"/>
  <c r="O41" i="18"/>
  <c r="S41" i="18"/>
  <c r="W41" i="18"/>
  <c r="AA41" i="18"/>
  <c r="AE41" i="18"/>
  <c r="AI41" i="18"/>
  <c r="AM41" i="18"/>
  <c r="AQ41" i="18"/>
  <c r="AX41" i="18"/>
  <c r="C42" i="18"/>
  <c r="D42" i="18"/>
  <c r="E42" i="18"/>
  <c r="F42" i="18"/>
  <c r="G42" i="18"/>
  <c r="H42" i="18"/>
  <c r="I42" i="18"/>
  <c r="J42" i="18"/>
  <c r="K42" i="18"/>
  <c r="L42" i="18"/>
  <c r="O42" i="18"/>
  <c r="S42" i="18"/>
  <c r="W42" i="18"/>
  <c r="AA42" i="18"/>
  <c r="AE42" i="18"/>
  <c r="AI42" i="18"/>
  <c r="AM42" i="18"/>
  <c r="AQ42" i="18"/>
  <c r="AX42" i="18"/>
  <c r="D45" i="18"/>
  <c r="E45" i="18"/>
  <c r="F45" i="18"/>
  <c r="G45" i="18"/>
  <c r="H45" i="18"/>
  <c r="I45" i="18"/>
  <c r="J45" i="18"/>
  <c r="K45" i="18"/>
  <c r="L45" i="18"/>
  <c r="S45" i="18"/>
  <c r="T45" i="18"/>
  <c r="W45" i="18"/>
  <c r="X45" i="18"/>
  <c r="AA45" i="18"/>
  <c r="AB45" i="18"/>
  <c r="AE45" i="18"/>
  <c r="AF45" i="18"/>
  <c r="AG45" i="18"/>
  <c r="AI45" i="18"/>
  <c r="AJ45" i="18"/>
  <c r="AK45" i="18"/>
  <c r="AM45" i="18"/>
  <c r="AN45" i="18"/>
  <c r="AO45" i="18"/>
  <c r="AQ45" i="18"/>
  <c r="AR45" i="18"/>
  <c r="AX45" i="18"/>
  <c r="D46" i="18"/>
  <c r="E46" i="18"/>
  <c r="F46" i="18"/>
  <c r="G46" i="18"/>
  <c r="H46" i="18"/>
  <c r="I46" i="18"/>
  <c r="J46" i="18"/>
  <c r="K46" i="18"/>
  <c r="L46" i="18"/>
  <c r="S46" i="18"/>
  <c r="T46" i="18"/>
  <c r="W46" i="18"/>
  <c r="X46" i="18"/>
  <c r="AA46" i="18"/>
  <c r="AB46" i="18"/>
  <c r="AE46" i="18"/>
  <c r="AF46" i="18"/>
  <c r="AI46" i="18"/>
  <c r="AJ46" i="18"/>
  <c r="AK46" i="18"/>
  <c r="AM46" i="18"/>
  <c r="AN46" i="18"/>
  <c r="AO46" i="18"/>
  <c r="AQ46" i="18"/>
  <c r="AR46" i="18"/>
  <c r="AS46" i="18"/>
  <c r="AX46" i="18"/>
  <c r="D47" i="18"/>
  <c r="E47" i="18"/>
  <c r="F47" i="18"/>
  <c r="G47" i="18"/>
  <c r="H47" i="18"/>
  <c r="I47" i="18"/>
  <c r="J47" i="18"/>
  <c r="K47" i="18"/>
  <c r="L47" i="18"/>
  <c r="S47" i="18"/>
  <c r="T47" i="18"/>
  <c r="W47" i="18"/>
  <c r="X47" i="18"/>
  <c r="AA47" i="18"/>
  <c r="AB47" i="18"/>
  <c r="AE47" i="18"/>
  <c r="AF47" i="18"/>
  <c r="AI47" i="18"/>
  <c r="AJ47" i="18"/>
  <c r="AK47" i="18"/>
  <c r="AL47" i="18"/>
  <c r="AM47" i="18"/>
  <c r="AN47" i="18"/>
  <c r="AO47" i="18"/>
  <c r="AP47" i="18"/>
  <c r="AQ47" i="18"/>
  <c r="AR47" i="18"/>
  <c r="AX47" i="18"/>
  <c r="D48" i="18"/>
  <c r="E48" i="18"/>
  <c r="F48" i="18"/>
  <c r="G48" i="18"/>
  <c r="H48" i="18"/>
  <c r="I48" i="18"/>
  <c r="J48" i="18"/>
  <c r="K48" i="18"/>
  <c r="L48" i="18"/>
  <c r="S48" i="18"/>
  <c r="T48" i="18"/>
  <c r="W48" i="18"/>
  <c r="X48" i="18"/>
  <c r="AA48" i="18"/>
  <c r="AB48" i="18"/>
  <c r="AE48" i="18"/>
  <c r="AF48" i="18"/>
  <c r="AG48" i="18"/>
  <c r="AI48" i="18"/>
  <c r="AJ48" i="18"/>
  <c r="AK48" i="18"/>
  <c r="AL48" i="18"/>
  <c r="AM48" i="18"/>
  <c r="AN48" i="18"/>
  <c r="AO48" i="18"/>
  <c r="AP48" i="18"/>
  <c r="AQ48" i="18"/>
  <c r="AR48" i="18"/>
  <c r="AS48" i="18"/>
  <c r="AX48" i="18"/>
  <c r="D49" i="18"/>
  <c r="E49" i="18"/>
  <c r="F49" i="18"/>
  <c r="G49" i="18"/>
  <c r="H49" i="18"/>
  <c r="I49" i="18"/>
  <c r="J49" i="18"/>
  <c r="K49" i="18"/>
  <c r="L49" i="18"/>
  <c r="S49" i="18"/>
  <c r="W49" i="18"/>
  <c r="AA49" i="18"/>
  <c r="AE49" i="18"/>
  <c r="AI49" i="18"/>
  <c r="AM49" i="18"/>
  <c r="AQ49" i="18"/>
  <c r="C52" i="18"/>
  <c r="D52" i="18"/>
  <c r="E52" i="18"/>
  <c r="F52" i="18"/>
  <c r="G52" i="18"/>
  <c r="H52" i="18"/>
  <c r="I52" i="18"/>
  <c r="J52" i="18"/>
  <c r="K52" i="18"/>
  <c r="L52" i="18"/>
  <c r="O52" i="18"/>
  <c r="P52" i="18"/>
  <c r="S52" i="18"/>
  <c r="T52" i="18"/>
  <c r="U52" i="18"/>
  <c r="W52" i="18"/>
  <c r="X52" i="18"/>
  <c r="AA52" i="18"/>
  <c r="AB52" i="18"/>
  <c r="AC52" i="18"/>
  <c r="AD52" i="18"/>
  <c r="AE52" i="18"/>
  <c r="AF52" i="18"/>
  <c r="AG52" i="18"/>
  <c r="AI52" i="18"/>
  <c r="AJ52" i="18"/>
  <c r="AK52" i="18"/>
  <c r="AM52" i="18"/>
  <c r="AN52" i="18"/>
  <c r="AO52" i="18"/>
  <c r="AQ52" i="18"/>
  <c r="AR52" i="18"/>
  <c r="AX52" i="18"/>
  <c r="C53" i="18"/>
  <c r="D53" i="18"/>
  <c r="E53" i="18"/>
  <c r="F53" i="18"/>
  <c r="G53" i="18"/>
  <c r="H53" i="18"/>
  <c r="I53" i="18"/>
  <c r="J53" i="18"/>
  <c r="K53" i="18"/>
  <c r="L53" i="18"/>
  <c r="O53" i="18"/>
  <c r="P53" i="18"/>
  <c r="Q53" i="18"/>
  <c r="S53" i="18"/>
  <c r="T53" i="18"/>
  <c r="W53" i="18"/>
  <c r="X53" i="18"/>
  <c r="AA53" i="18"/>
  <c r="AB53" i="18"/>
  <c r="AE53" i="18"/>
  <c r="AF53" i="18"/>
  <c r="AI53" i="18"/>
  <c r="AJ53" i="18"/>
  <c r="AK53" i="18"/>
  <c r="AM53" i="18"/>
  <c r="AN53" i="18"/>
  <c r="AQ53" i="18"/>
  <c r="AR53" i="18"/>
  <c r="AX53" i="18"/>
  <c r="C54" i="18"/>
  <c r="D54" i="18"/>
  <c r="E54" i="18"/>
  <c r="F54" i="18"/>
  <c r="G54" i="18"/>
  <c r="H54" i="18"/>
  <c r="I54" i="18"/>
  <c r="J54" i="18"/>
  <c r="K54" i="18"/>
  <c r="L54" i="18"/>
  <c r="O54" i="18"/>
  <c r="P54" i="18"/>
  <c r="S54" i="18"/>
  <c r="T54" i="18"/>
  <c r="W54" i="18"/>
  <c r="X54" i="18"/>
  <c r="AA54" i="18"/>
  <c r="AB54" i="18"/>
  <c r="AE54" i="18"/>
  <c r="AF54" i="18"/>
  <c r="AG54" i="18"/>
  <c r="AI54" i="18"/>
  <c r="AJ54" i="18"/>
  <c r="AK54" i="18"/>
  <c r="AL54" i="18"/>
  <c r="AM54" i="18"/>
  <c r="AN54" i="18"/>
  <c r="AQ54" i="18"/>
  <c r="AR54" i="18"/>
  <c r="AX54" i="18"/>
  <c r="C55" i="18"/>
  <c r="D55" i="18"/>
  <c r="E55" i="18"/>
  <c r="F55" i="18"/>
  <c r="G55" i="18"/>
  <c r="H55" i="18"/>
  <c r="I55" i="18"/>
  <c r="J55" i="18"/>
  <c r="K55" i="18"/>
  <c r="L55" i="18"/>
  <c r="O55" i="18"/>
  <c r="S55" i="18"/>
  <c r="W55" i="18"/>
  <c r="AA55" i="18"/>
  <c r="AE55" i="18"/>
  <c r="AI55" i="18"/>
  <c r="AM55" i="18"/>
  <c r="AQ55" i="18"/>
  <c r="AX55" i="18"/>
  <c r="P59" i="18"/>
  <c r="T59" i="18"/>
  <c r="X59" i="18"/>
  <c r="Y59" i="18"/>
  <c r="AB59" i="18"/>
  <c r="AC59" i="18"/>
  <c r="AF59" i="18"/>
  <c r="AG59" i="18"/>
  <c r="AJ59" i="18"/>
  <c r="AK59" i="18"/>
  <c r="AL59" i="18"/>
  <c r="AN59" i="18"/>
  <c r="AO59" i="18"/>
  <c r="AR59" i="18"/>
  <c r="P60" i="18"/>
  <c r="Q60" i="18"/>
  <c r="T60" i="18"/>
  <c r="X60" i="18"/>
  <c r="Y60" i="18"/>
  <c r="AB60" i="18"/>
  <c r="AC60" i="18"/>
  <c r="AD60" i="18"/>
  <c r="AF60" i="18"/>
  <c r="AJ60" i="18"/>
  <c r="AK60" i="18"/>
  <c r="AL60" i="18"/>
  <c r="AN60" i="18"/>
  <c r="AO60" i="18"/>
  <c r="AP60" i="18"/>
  <c r="AR60" i="18"/>
  <c r="AS60" i="18"/>
  <c r="AT60" i="18"/>
  <c r="P61" i="18"/>
  <c r="Q61" i="18"/>
  <c r="R61" i="18"/>
  <c r="T61" i="18"/>
  <c r="U61" i="18"/>
  <c r="V61" i="18"/>
  <c r="X61" i="18"/>
  <c r="Y61" i="18"/>
  <c r="AB61" i="18"/>
  <c r="AF61" i="18"/>
  <c r="AG61" i="18"/>
  <c r="AJ61" i="18"/>
  <c r="AK61" i="18"/>
  <c r="AL61" i="18"/>
  <c r="AN61" i="18"/>
  <c r="AR61" i="18"/>
  <c r="C62" i="18"/>
  <c r="D62" i="18"/>
  <c r="E62" i="18"/>
  <c r="F62" i="18"/>
  <c r="G62" i="18"/>
  <c r="H62" i="18"/>
  <c r="I62" i="18"/>
  <c r="J62" i="18"/>
  <c r="K62" i="18"/>
  <c r="L62" i="18"/>
  <c r="L76" i="18"/>
  <c r="O62" i="18"/>
  <c r="S62" i="18"/>
  <c r="S76" i="18"/>
  <c r="W62" i="18"/>
  <c r="W76" i="18"/>
  <c r="AA62" i="18"/>
  <c r="AA76" i="18"/>
  <c r="AE62" i="18"/>
  <c r="AE76" i="18"/>
  <c r="AI62" i="18"/>
  <c r="AI76" i="18"/>
  <c r="AM62" i="18"/>
  <c r="AM76" i="18"/>
  <c r="AQ62" i="18"/>
  <c r="AQ76" i="18"/>
  <c r="AW62" i="18"/>
  <c r="AW76" i="18"/>
  <c r="AX62" i="18"/>
  <c r="C64" i="18"/>
  <c r="D64" i="18"/>
  <c r="E64" i="18"/>
  <c r="F64" i="18"/>
  <c r="G64" i="18"/>
  <c r="H64" i="18"/>
  <c r="I64" i="18"/>
  <c r="J64" i="18"/>
  <c r="K64" i="18"/>
  <c r="L64" i="18"/>
  <c r="O64" i="18"/>
  <c r="S64" i="18"/>
  <c r="W64" i="18"/>
  <c r="AA64" i="18"/>
  <c r="AE64" i="18"/>
  <c r="AI64" i="18"/>
  <c r="AM64" i="18"/>
  <c r="AQ64" i="18"/>
  <c r="AW64" i="18"/>
  <c r="AX64" i="18"/>
  <c r="C67" i="18"/>
  <c r="D67" i="18"/>
  <c r="E67" i="18"/>
  <c r="F67" i="18"/>
  <c r="G67" i="18"/>
  <c r="H67" i="18"/>
  <c r="I67" i="18"/>
  <c r="J67" i="18"/>
  <c r="K67" i="18"/>
  <c r="L67" i="18"/>
  <c r="O67" i="18"/>
  <c r="S67" i="18"/>
  <c r="W67" i="18"/>
  <c r="AA67" i="18"/>
  <c r="AE67" i="18"/>
  <c r="AI67" i="18"/>
  <c r="AM67" i="18"/>
  <c r="AQ67" i="18"/>
  <c r="AW67" i="18"/>
  <c r="AX67" i="18"/>
  <c r="C68" i="18"/>
  <c r="D68" i="18"/>
  <c r="E68" i="18"/>
  <c r="F68" i="18"/>
  <c r="G68" i="18"/>
  <c r="H68" i="18"/>
  <c r="I68" i="18"/>
  <c r="J68" i="18"/>
  <c r="K68" i="18"/>
  <c r="L68" i="18"/>
  <c r="O68" i="18"/>
  <c r="S68" i="18"/>
  <c r="W68" i="18"/>
  <c r="AA68" i="18"/>
  <c r="AE68" i="18"/>
  <c r="AI68" i="18"/>
  <c r="AM68" i="18"/>
  <c r="AQ68" i="18"/>
  <c r="AW68" i="18"/>
  <c r="AX68" i="18"/>
  <c r="C69" i="18"/>
  <c r="D69" i="18"/>
  <c r="E69" i="18"/>
  <c r="F69" i="18"/>
  <c r="G69" i="18"/>
  <c r="H69" i="18"/>
  <c r="I69" i="18"/>
  <c r="J69" i="18"/>
  <c r="K69" i="18"/>
  <c r="L69" i="18"/>
  <c r="O69" i="18"/>
  <c r="S69" i="18"/>
  <c r="W69" i="18"/>
  <c r="AA69" i="18"/>
  <c r="AE69" i="18"/>
  <c r="AI69" i="18"/>
  <c r="AM69" i="18"/>
  <c r="AQ69" i="18"/>
  <c r="AW69" i="18"/>
  <c r="AX69" i="18"/>
  <c r="C70" i="18"/>
  <c r="D70" i="18"/>
  <c r="E70" i="18"/>
  <c r="F70" i="18"/>
  <c r="G70" i="18"/>
  <c r="H70" i="18"/>
  <c r="I70" i="18"/>
  <c r="J70" i="18"/>
  <c r="K70" i="18"/>
  <c r="L70" i="18"/>
  <c r="O70" i="18"/>
  <c r="S70" i="18"/>
  <c r="W70" i="18"/>
  <c r="AA70" i="18"/>
  <c r="AE70" i="18"/>
  <c r="AI70" i="18"/>
  <c r="AM70" i="18"/>
  <c r="AQ70" i="18"/>
  <c r="AW70" i="18"/>
  <c r="AX70" i="18"/>
  <c r="D73" i="18"/>
  <c r="E73" i="18"/>
  <c r="F73" i="18"/>
  <c r="G73" i="18"/>
  <c r="H73" i="18"/>
  <c r="I73" i="18"/>
  <c r="J73" i="18"/>
  <c r="K73" i="18"/>
  <c r="L73" i="18"/>
  <c r="S73" i="18"/>
  <c r="W73" i="18"/>
  <c r="AA73" i="18"/>
  <c r="AE73" i="18"/>
  <c r="AI73" i="18"/>
  <c r="AM73" i="18"/>
  <c r="AQ73" i="18"/>
  <c r="AW73" i="18"/>
  <c r="D74" i="18"/>
  <c r="E74" i="18"/>
  <c r="F74" i="18"/>
  <c r="G74" i="18"/>
  <c r="H74" i="18"/>
  <c r="I74" i="18"/>
  <c r="J74" i="18"/>
  <c r="K74" i="18"/>
  <c r="L74" i="18"/>
  <c r="S74" i="18"/>
  <c r="W74" i="18"/>
  <c r="AA74" i="18"/>
  <c r="AE74" i="18"/>
  <c r="AI74" i="18"/>
  <c r="AM74" i="18"/>
  <c r="AQ74" i="18"/>
  <c r="AW74" i="18"/>
  <c r="D75" i="18"/>
  <c r="E75" i="18"/>
  <c r="F75" i="18"/>
  <c r="G75" i="18"/>
  <c r="H75" i="18"/>
  <c r="I75" i="18"/>
  <c r="J75" i="18"/>
  <c r="K75" i="18"/>
  <c r="L75" i="18"/>
  <c r="S75" i="18"/>
  <c r="W75" i="18"/>
  <c r="AA75" i="18"/>
  <c r="AE75" i="18"/>
  <c r="AI75" i="18"/>
  <c r="AM75" i="18"/>
  <c r="AQ75" i="18"/>
  <c r="AW75" i="18"/>
  <c r="D76" i="18"/>
  <c r="E76" i="18"/>
  <c r="F76" i="18"/>
  <c r="G76" i="18"/>
  <c r="H76" i="18"/>
  <c r="I76" i="18"/>
  <c r="J76" i="18"/>
  <c r="K76" i="18"/>
  <c r="P7" i="15"/>
  <c r="P13" i="18" s="1"/>
  <c r="Q7" i="15"/>
  <c r="T7" i="15"/>
  <c r="T13" i="18" s="1"/>
  <c r="U7" i="15"/>
  <c r="Z7" i="15"/>
  <c r="AD7" i="15"/>
  <c r="AH7" i="15"/>
  <c r="AL7" i="15"/>
  <c r="AP7" i="15"/>
  <c r="AT7" i="15"/>
  <c r="D8" i="15"/>
  <c r="E8" i="15"/>
  <c r="F8" i="15"/>
  <c r="G8" i="15"/>
  <c r="H8" i="15"/>
  <c r="I8" i="15"/>
  <c r="J8" i="15"/>
  <c r="K8" i="15"/>
  <c r="L8" i="15"/>
  <c r="S8" i="15"/>
  <c r="T8" i="15"/>
  <c r="W8" i="15"/>
  <c r="X8" i="15"/>
  <c r="AA8" i="15"/>
  <c r="AB8" i="15"/>
  <c r="AC8" i="15"/>
  <c r="AD8" i="15"/>
  <c r="AE8" i="15"/>
  <c r="AF8" i="15"/>
  <c r="AG8" i="15"/>
  <c r="AH8" i="15"/>
  <c r="AI8" i="15"/>
  <c r="AJ8" i="15"/>
  <c r="AK8" i="15"/>
  <c r="AL8" i="15"/>
  <c r="AM8" i="15"/>
  <c r="AN8" i="15"/>
  <c r="AO8" i="15"/>
  <c r="AP8" i="15"/>
  <c r="AQ8" i="15"/>
  <c r="AR8" i="15"/>
  <c r="AS8" i="15"/>
  <c r="AT8" i="15"/>
  <c r="AW8" i="15"/>
  <c r="AX8" i="15"/>
  <c r="P9" i="15"/>
  <c r="Q9" i="15"/>
  <c r="T9" i="15"/>
  <c r="U9" i="15"/>
  <c r="V9" i="15"/>
  <c r="Z9" i="15"/>
  <c r="AD9" i="15"/>
  <c r="AH9" i="15"/>
  <c r="AL9" i="15"/>
  <c r="AP9" i="15"/>
  <c r="AT9" i="15"/>
  <c r="M9" i="15" s="1"/>
  <c r="C10" i="15"/>
  <c r="D10" i="15"/>
  <c r="E10" i="15"/>
  <c r="F10" i="15"/>
  <c r="G10" i="15"/>
  <c r="H10" i="15"/>
  <c r="I10" i="15"/>
  <c r="J10" i="15"/>
  <c r="K10" i="15"/>
  <c r="L10" i="15"/>
  <c r="O10" i="15"/>
  <c r="P10" i="15"/>
  <c r="S10" i="15"/>
  <c r="T10" i="15"/>
  <c r="W10" i="15"/>
  <c r="X10" i="15"/>
  <c r="Y10" i="15"/>
  <c r="Z10" i="15"/>
  <c r="AA10" i="15"/>
  <c r="AB10" i="15"/>
  <c r="AC10" i="15"/>
  <c r="AD10" i="15"/>
  <c r="AE10" i="15"/>
  <c r="AF10" i="15"/>
  <c r="AG10" i="15"/>
  <c r="AH10" i="15"/>
  <c r="AI10" i="15"/>
  <c r="AJ10" i="15"/>
  <c r="AK10" i="15"/>
  <c r="AL10" i="15"/>
  <c r="AM10" i="15"/>
  <c r="AN10" i="15"/>
  <c r="AO10" i="15"/>
  <c r="AP10" i="15"/>
  <c r="AQ10" i="15"/>
  <c r="AR10" i="15"/>
  <c r="AS10" i="15"/>
  <c r="AT10" i="15"/>
  <c r="AW10" i="15"/>
  <c r="AX10" i="15"/>
  <c r="C11" i="15"/>
  <c r="D11" i="15"/>
  <c r="E11" i="15"/>
  <c r="F11" i="15"/>
  <c r="G11" i="15"/>
  <c r="H11" i="15"/>
  <c r="I11" i="15"/>
  <c r="J11" i="15"/>
  <c r="K11" i="15"/>
  <c r="L11" i="15"/>
  <c r="O11" i="15"/>
  <c r="P11" i="15"/>
  <c r="S11" i="15"/>
  <c r="T11" i="15"/>
  <c r="W11" i="15"/>
  <c r="X11" i="15"/>
  <c r="Y11" i="15"/>
  <c r="Z11" i="15"/>
  <c r="AA11" i="15"/>
  <c r="AB11" i="15"/>
  <c r="AC11" i="15"/>
  <c r="AD11" i="15"/>
  <c r="AE11" i="15"/>
  <c r="AF11" i="15"/>
  <c r="AG11" i="15"/>
  <c r="AH11" i="15"/>
  <c r="AI11" i="15"/>
  <c r="AJ11" i="15"/>
  <c r="AK11" i="15"/>
  <c r="AL11" i="15"/>
  <c r="AM11" i="15"/>
  <c r="AN11" i="15"/>
  <c r="AO11" i="15"/>
  <c r="AP11" i="15"/>
  <c r="AQ11" i="15"/>
  <c r="AR11" i="15"/>
  <c r="AS11" i="15"/>
  <c r="AT11" i="15"/>
  <c r="AW11" i="15"/>
  <c r="AX11" i="15"/>
  <c r="P12" i="15"/>
  <c r="Q12" i="15"/>
  <c r="T12" i="15"/>
  <c r="U12" i="15"/>
  <c r="Z12" i="15"/>
  <c r="AD12" i="15"/>
  <c r="AH12" i="15"/>
  <c r="AL12" i="15"/>
  <c r="AP12" i="15"/>
  <c r="AT12" i="15"/>
  <c r="M12" i="15" s="1"/>
  <c r="P13" i="15"/>
  <c r="Q13" i="15"/>
  <c r="T13" i="15"/>
  <c r="U13" i="15"/>
  <c r="V13" i="15"/>
  <c r="Z13" i="15"/>
  <c r="AD13" i="15"/>
  <c r="AH13" i="15"/>
  <c r="AL13" i="15"/>
  <c r="AP13" i="15"/>
  <c r="AT13" i="15"/>
  <c r="M13" i="15" s="1"/>
  <c r="P14" i="15"/>
  <c r="Q14" i="15"/>
  <c r="R14" i="15"/>
  <c r="T14" i="15"/>
  <c r="U14" i="15"/>
  <c r="V14" i="15"/>
  <c r="Z14" i="15"/>
  <c r="AD14" i="15"/>
  <c r="AH14" i="15"/>
  <c r="AL14" i="15"/>
  <c r="AP14" i="15"/>
  <c r="AT14" i="15"/>
  <c r="M14" i="15" s="1"/>
  <c r="P15" i="15"/>
  <c r="Q15" i="15"/>
  <c r="R15" i="15"/>
  <c r="T15" i="15"/>
  <c r="U15" i="15"/>
  <c r="V15" i="15"/>
  <c r="Z15" i="15"/>
  <c r="AD15" i="15"/>
  <c r="AH15" i="15"/>
  <c r="AL15" i="15"/>
  <c r="AP15" i="15"/>
  <c r="AT15" i="15"/>
  <c r="M15" i="15" s="1"/>
  <c r="C16" i="15"/>
  <c r="C44" i="15"/>
  <c r="D16" i="15"/>
  <c r="E16" i="15"/>
  <c r="F16" i="15"/>
  <c r="G16" i="15"/>
  <c r="H16" i="15"/>
  <c r="I16" i="15"/>
  <c r="J16" i="15"/>
  <c r="K16" i="15"/>
  <c r="L16" i="15"/>
  <c r="O16" i="15"/>
  <c r="P16" i="15"/>
  <c r="S16" i="15"/>
  <c r="T16" i="15"/>
  <c r="W16" i="15"/>
  <c r="X16" i="15"/>
  <c r="Y16" i="15"/>
  <c r="Z16" i="15"/>
  <c r="AA16" i="15"/>
  <c r="AB16" i="15"/>
  <c r="AC16" i="15"/>
  <c r="AD16" i="15"/>
  <c r="AE16" i="15"/>
  <c r="AF16" i="15"/>
  <c r="AG16" i="15"/>
  <c r="AH16" i="15"/>
  <c r="AI16" i="15"/>
  <c r="AJ16" i="15"/>
  <c r="AK16" i="15"/>
  <c r="AL16" i="15"/>
  <c r="AM16" i="15"/>
  <c r="AN16" i="15"/>
  <c r="AO16" i="15"/>
  <c r="AP16" i="15"/>
  <c r="AQ16" i="15"/>
  <c r="AR16" i="15"/>
  <c r="AS16" i="15"/>
  <c r="AT16" i="15"/>
  <c r="AW16" i="15"/>
  <c r="AX16" i="15"/>
  <c r="P17" i="15"/>
  <c r="Q17" i="15"/>
  <c r="R17" i="15"/>
  <c r="T17" i="15"/>
  <c r="U17" i="15"/>
  <c r="V17" i="15"/>
  <c r="Z17" i="15"/>
  <c r="AD17" i="15"/>
  <c r="AH17" i="15"/>
  <c r="AL17" i="15"/>
  <c r="AP17" i="15"/>
  <c r="AT17" i="15"/>
  <c r="M17" i="15" s="1"/>
  <c r="P18" i="15"/>
  <c r="Q18" i="15"/>
  <c r="T18" i="15"/>
  <c r="U18" i="15"/>
  <c r="Z18" i="15"/>
  <c r="AD18" i="15"/>
  <c r="AH18" i="15"/>
  <c r="AL18" i="15"/>
  <c r="AP18" i="15"/>
  <c r="AT18" i="15"/>
  <c r="M18" i="15" s="1"/>
  <c r="P19" i="15"/>
  <c r="Q19" i="15"/>
  <c r="R19" i="15"/>
  <c r="T19" i="15"/>
  <c r="U19" i="15"/>
  <c r="V19" i="15"/>
  <c r="Z19" i="15"/>
  <c r="AD19" i="15"/>
  <c r="AH19" i="15"/>
  <c r="AL19" i="15"/>
  <c r="AP19" i="15"/>
  <c r="AT19" i="15"/>
  <c r="M19" i="15" s="1"/>
  <c r="C20" i="15"/>
  <c r="D20" i="15"/>
  <c r="E20" i="15"/>
  <c r="F20" i="15"/>
  <c r="G20" i="15"/>
  <c r="H20" i="15"/>
  <c r="I20" i="15"/>
  <c r="J20" i="15"/>
  <c r="K20" i="15"/>
  <c r="L20" i="15"/>
  <c r="O20" i="15"/>
  <c r="O22" i="15"/>
  <c r="O27" i="15"/>
  <c r="P20" i="15"/>
  <c r="S20" i="15"/>
  <c r="S22" i="15"/>
  <c r="S27" i="15"/>
  <c r="T20" i="15"/>
  <c r="W20" i="15"/>
  <c r="X20" i="15"/>
  <c r="Y20" i="15"/>
  <c r="Z20" i="15"/>
  <c r="AA20" i="15"/>
  <c r="AB20" i="15"/>
  <c r="AC20" i="15"/>
  <c r="AD20" i="15"/>
  <c r="AE20" i="15"/>
  <c r="AF20" i="15"/>
  <c r="AG20" i="15"/>
  <c r="AH20" i="15"/>
  <c r="AI20" i="15"/>
  <c r="AJ20" i="15"/>
  <c r="AK20" i="15"/>
  <c r="AL20" i="15"/>
  <c r="AM20" i="15"/>
  <c r="AN20" i="15"/>
  <c r="AO20" i="15"/>
  <c r="AP20" i="15"/>
  <c r="AQ20" i="15"/>
  <c r="AR20" i="15"/>
  <c r="AS20" i="15"/>
  <c r="AT20" i="15"/>
  <c r="AW20" i="15"/>
  <c r="AX20" i="15"/>
  <c r="E21" i="15"/>
  <c r="E22" i="15" s="1"/>
  <c r="E27" i="15" s="1"/>
  <c r="F21" i="15"/>
  <c r="F22" i="15" s="1"/>
  <c r="F27" i="15" s="1"/>
  <c r="G21" i="15"/>
  <c r="G22" i="15" s="1"/>
  <c r="G27" i="15" s="1"/>
  <c r="H21" i="15"/>
  <c r="H22" i="15" s="1"/>
  <c r="H27" i="15" s="1"/>
  <c r="I21" i="15"/>
  <c r="I22" i="15" s="1"/>
  <c r="I27" i="15" s="1"/>
  <c r="J21" i="15"/>
  <c r="J22" i="15" s="1"/>
  <c r="J27" i="15" s="1"/>
  <c r="K21" i="15"/>
  <c r="K22" i="15" s="1"/>
  <c r="K27" i="15" s="1"/>
  <c r="L21" i="15"/>
  <c r="L22" i="15" s="1"/>
  <c r="L27" i="15" s="1"/>
  <c r="P21" i="15"/>
  <c r="P22" i="15" s="1"/>
  <c r="Q21" i="15"/>
  <c r="T21" i="15"/>
  <c r="T22" i="15" s="1"/>
  <c r="U21" i="15"/>
  <c r="W21" i="15"/>
  <c r="W22" i="15" s="1"/>
  <c r="W27" i="15" s="1"/>
  <c r="X21" i="15"/>
  <c r="X22" i="15" s="1"/>
  <c r="X27" i="15" s="1"/>
  <c r="Y21" i="15"/>
  <c r="Y22" i="15" s="1"/>
  <c r="Y27" i="15" s="1"/>
  <c r="Z21" i="15"/>
  <c r="Z22" i="15" s="1"/>
  <c r="AA21" i="15"/>
  <c r="AA22" i="15" s="1"/>
  <c r="AA27" i="15" s="1"/>
  <c r="AB21" i="15"/>
  <c r="AB22" i="15" s="1"/>
  <c r="AB27" i="15" s="1"/>
  <c r="AC21" i="15"/>
  <c r="AC22" i="15" s="1"/>
  <c r="AC27" i="15" s="1"/>
  <c r="AD21" i="15"/>
  <c r="AD22" i="15" s="1"/>
  <c r="AE21" i="15"/>
  <c r="AE22" i="15" s="1"/>
  <c r="AE27" i="15" s="1"/>
  <c r="AF21" i="15"/>
  <c r="AF22" i="15" s="1"/>
  <c r="AF27" i="15" s="1"/>
  <c r="AG21" i="15"/>
  <c r="AG22" i="15" s="1"/>
  <c r="AG27" i="15" s="1"/>
  <c r="AH21" i="15"/>
  <c r="AH22" i="15" s="1"/>
  <c r="AI21" i="15"/>
  <c r="AI22" i="15" s="1"/>
  <c r="AI27" i="15" s="1"/>
  <c r="AJ21" i="15"/>
  <c r="AJ22" i="15" s="1"/>
  <c r="AJ27" i="15" s="1"/>
  <c r="AK21" i="15"/>
  <c r="AK22" i="15" s="1"/>
  <c r="AK27" i="15" s="1"/>
  <c r="AL21" i="15"/>
  <c r="AL22" i="15" s="1"/>
  <c r="AM21" i="15"/>
  <c r="AM22" i="15" s="1"/>
  <c r="AM27" i="15" s="1"/>
  <c r="AN21" i="15"/>
  <c r="AN22" i="15" s="1"/>
  <c r="AN27" i="15" s="1"/>
  <c r="AO21" i="15"/>
  <c r="AO22" i="15" s="1"/>
  <c r="AO27" i="15" s="1"/>
  <c r="AP21" i="15"/>
  <c r="AP22" i="15" s="1"/>
  <c r="AQ21" i="15"/>
  <c r="AQ22" i="15" s="1"/>
  <c r="AQ27" i="15" s="1"/>
  <c r="AR21" i="15"/>
  <c r="AR22" i="15" s="1"/>
  <c r="AR27" i="15" s="1"/>
  <c r="AS21" i="15"/>
  <c r="AS22" i="15" s="1"/>
  <c r="AT21" i="15"/>
  <c r="AT38" i="15"/>
  <c r="AW21" i="15"/>
  <c r="AW22" i="15" s="1"/>
  <c r="AW27" i="15" s="1"/>
  <c r="AX21" i="15"/>
  <c r="AX22" i="15" s="1"/>
  <c r="AX27" i="15" s="1"/>
  <c r="C22" i="15"/>
  <c r="C27" i="15"/>
  <c r="D22" i="15"/>
  <c r="D27" i="15"/>
  <c r="P24" i="15"/>
  <c r="Q24" i="15"/>
  <c r="R24" i="15"/>
  <c r="T24" i="15"/>
  <c r="V24" i="15"/>
  <c r="Z24" i="15"/>
  <c r="AD24" i="15"/>
  <c r="AH24" i="15"/>
  <c r="AL24" i="15"/>
  <c r="AP24" i="15"/>
  <c r="AT24" i="15"/>
  <c r="M24" i="15" s="1"/>
  <c r="P25" i="15"/>
  <c r="Q25" i="15"/>
  <c r="R25" i="15"/>
  <c r="T25" i="15"/>
  <c r="V25" i="15"/>
  <c r="Z25" i="15"/>
  <c r="AD25" i="15"/>
  <c r="AH25" i="15"/>
  <c r="AL25" i="15"/>
  <c r="AP25" i="15"/>
  <c r="AT25" i="15"/>
  <c r="M25" i="15" s="1"/>
  <c r="B30" i="15"/>
  <c r="C30" i="15"/>
  <c r="D30" i="15"/>
  <c r="E30" i="15"/>
  <c r="F30" i="15"/>
  <c r="G30" i="15"/>
  <c r="H30" i="15"/>
  <c r="I30" i="15"/>
  <c r="J30" i="15"/>
  <c r="K30" i="15"/>
  <c r="L30" i="15"/>
  <c r="O30" i="15"/>
  <c r="P30" i="15"/>
  <c r="S30" i="15"/>
  <c r="T30" i="15"/>
  <c r="W30" i="15"/>
  <c r="X30" i="15"/>
  <c r="Y30" i="15"/>
  <c r="Z30" i="15"/>
  <c r="AA30" i="15"/>
  <c r="AB30" i="15"/>
  <c r="AC30" i="15"/>
  <c r="AD30" i="15"/>
  <c r="AE30" i="15"/>
  <c r="AF30" i="15"/>
  <c r="AG30" i="15"/>
  <c r="AH30" i="15"/>
  <c r="AI30" i="15"/>
  <c r="AJ30" i="15"/>
  <c r="AK30" i="15"/>
  <c r="AL30" i="15"/>
  <c r="AM30" i="15"/>
  <c r="AN30" i="15"/>
  <c r="AO30" i="15"/>
  <c r="AP30" i="15"/>
  <c r="AQ30" i="15"/>
  <c r="AR30" i="15"/>
  <c r="AS30" i="15"/>
  <c r="AT30" i="15"/>
  <c r="AW30" i="15"/>
  <c r="AX30" i="15"/>
  <c r="B31" i="15"/>
  <c r="C31" i="15"/>
  <c r="D31" i="15"/>
  <c r="E31" i="15"/>
  <c r="F31" i="15"/>
  <c r="G31" i="15"/>
  <c r="H31" i="15"/>
  <c r="I31" i="15"/>
  <c r="J31" i="15"/>
  <c r="K31" i="15"/>
  <c r="L31" i="15"/>
  <c r="O31" i="15"/>
  <c r="P31" i="15"/>
  <c r="S31" i="15"/>
  <c r="T31" i="15"/>
  <c r="W31" i="15"/>
  <c r="X31" i="15"/>
  <c r="Y31" i="15"/>
  <c r="Z31" i="15"/>
  <c r="AA31" i="15"/>
  <c r="AB31" i="15"/>
  <c r="AC31" i="15"/>
  <c r="AD31" i="15"/>
  <c r="AE31" i="15"/>
  <c r="AF31" i="15"/>
  <c r="AG31" i="15"/>
  <c r="AH31" i="15"/>
  <c r="AI31" i="15"/>
  <c r="AJ31" i="15"/>
  <c r="AK31" i="15"/>
  <c r="AL31" i="15"/>
  <c r="AM31" i="15"/>
  <c r="AN31" i="15"/>
  <c r="AO31" i="15"/>
  <c r="AP31" i="15"/>
  <c r="AQ31" i="15"/>
  <c r="AR31" i="15"/>
  <c r="AS31" i="15"/>
  <c r="AT31" i="15"/>
  <c r="AW31" i="15"/>
  <c r="AX31" i="15"/>
  <c r="B32" i="15"/>
  <c r="C32" i="15"/>
  <c r="D32" i="15"/>
  <c r="E32" i="15"/>
  <c r="F32" i="15"/>
  <c r="G32" i="15"/>
  <c r="H32" i="15"/>
  <c r="I32" i="15"/>
  <c r="J32" i="15"/>
  <c r="K32" i="15"/>
  <c r="L32" i="15"/>
  <c r="O32" i="15"/>
  <c r="P32" i="15"/>
  <c r="S32" i="15"/>
  <c r="T32" i="15"/>
  <c r="W32" i="15"/>
  <c r="X32" i="15"/>
  <c r="Y32" i="15"/>
  <c r="Z32" i="15"/>
  <c r="AA32" i="15"/>
  <c r="AB32" i="15"/>
  <c r="AC32" i="15"/>
  <c r="AD32" i="15"/>
  <c r="AE32" i="15"/>
  <c r="AF32" i="15"/>
  <c r="AG32" i="15"/>
  <c r="AH32" i="15"/>
  <c r="AI32" i="15"/>
  <c r="AJ32" i="15"/>
  <c r="AK32" i="15"/>
  <c r="AL32" i="15"/>
  <c r="AM32" i="15"/>
  <c r="AN32" i="15"/>
  <c r="AO32" i="15"/>
  <c r="AP32" i="15"/>
  <c r="AQ32" i="15"/>
  <c r="AR32" i="15"/>
  <c r="AS32" i="15"/>
  <c r="AT32" i="15"/>
  <c r="AW32" i="15"/>
  <c r="AX32" i="15"/>
  <c r="B33" i="15"/>
  <c r="C33" i="15"/>
  <c r="D33" i="15"/>
  <c r="E33" i="15"/>
  <c r="F33" i="15"/>
  <c r="G33" i="15"/>
  <c r="H33" i="15"/>
  <c r="I33" i="15"/>
  <c r="J33" i="15"/>
  <c r="K33" i="15"/>
  <c r="L33" i="15"/>
  <c r="O33" i="15"/>
  <c r="P33" i="15"/>
  <c r="S33" i="15"/>
  <c r="T33" i="15"/>
  <c r="W33" i="15"/>
  <c r="X33" i="15"/>
  <c r="Y33" i="15"/>
  <c r="Z33" i="15"/>
  <c r="AA33" i="15"/>
  <c r="AB33" i="15"/>
  <c r="AC33" i="15"/>
  <c r="AD33" i="15"/>
  <c r="AE33" i="15"/>
  <c r="AF33" i="15"/>
  <c r="AG33" i="15"/>
  <c r="AH33" i="15"/>
  <c r="AI33" i="15"/>
  <c r="AJ33" i="15"/>
  <c r="AK33" i="15"/>
  <c r="AL33" i="15"/>
  <c r="AM33" i="15"/>
  <c r="AN33" i="15"/>
  <c r="AO33" i="15"/>
  <c r="AP33" i="15"/>
  <c r="AQ33" i="15"/>
  <c r="AR33" i="15"/>
  <c r="AS33" i="15"/>
  <c r="AT33" i="15"/>
  <c r="AW33" i="15"/>
  <c r="AX33" i="15"/>
  <c r="B34" i="15"/>
  <c r="C34" i="15"/>
  <c r="D34" i="15"/>
  <c r="E34" i="15"/>
  <c r="F34" i="15"/>
  <c r="G34" i="15"/>
  <c r="H34" i="15"/>
  <c r="I34" i="15"/>
  <c r="J34" i="15"/>
  <c r="K34" i="15"/>
  <c r="L34" i="15"/>
  <c r="O34" i="15"/>
  <c r="P34" i="15"/>
  <c r="S34" i="15"/>
  <c r="T34" i="15"/>
  <c r="W34" i="15"/>
  <c r="X34" i="15"/>
  <c r="Y34" i="15"/>
  <c r="Z34" i="15"/>
  <c r="AA34" i="15"/>
  <c r="AB34" i="15"/>
  <c r="AC34" i="15"/>
  <c r="AD34" i="15"/>
  <c r="AE34" i="15"/>
  <c r="AF34" i="15"/>
  <c r="AG34" i="15"/>
  <c r="AH34" i="15"/>
  <c r="AI34" i="15"/>
  <c r="AJ34" i="15"/>
  <c r="AK34" i="15"/>
  <c r="AL34" i="15"/>
  <c r="AM34" i="15"/>
  <c r="AN34" i="15"/>
  <c r="AO34" i="15"/>
  <c r="AP34" i="15"/>
  <c r="AQ34" i="15"/>
  <c r="AR34" i="15"/>
  <c r="AS34" i="15"/>
  <c r="AT34" i="15"/>
  <c r="AW34" i="15"/>
  <c r="AX34" i="15"/>
  <c r="B35" i="15"/>
  <c r="C35" i="15"/>
  <c r="D35" i="15"/>
  <c r="E35" i="15"/>
  <c r="F35" i="15"/>
  <c r="G35" i="15"/>
  <c r="H35" i="15"/>
  <c r="I35" i="15"/>
  <c r="J35" i="15"/>
  <c r="K35" i="15"/>
  <c r="L35" i="15"/>
  <c r="O35" i="15"/>
  <c r="P35" i="15"/>
  <c r="S35" i="15"/>
  <c r="T35" i="15"/>
  <c r="W35" i="15"/>
  <c r="X35" i="15"/>
  <c r="Y35" i="15"/>
  <c r="Z35" i="15"/>
  <c r="AA35" i="15"/>
  <c r="AB35" i="15"/>
  <c r="AC35" i="15"/>
  <c r="AD35" i="15"/>
  <c r="AE35" i="15"/>
  <c r="AF35" i="15"/>
  <c r="AG35" i="15"/>
  <c r="AH35" i="15"/>
  <c r="AI35" i="15"/>
  <c r="AJ35" i="15"/>
  <c r="AK35" i="15"/>
  <c r="AL35" i="15"/>
  <c r="AM35" i="15"/>
  <c r="AN35" i="15"/>
  <c r="AO35" i="15"/>
  <c r="AP35" i="15"/>
  <c r="AQ35" i="15"/>
  <c r="AR35" i="15"/>
  <c r="AS35" i="15"/>
  <c r="AT35" i="15"/>
  <c r="AW35" i="15"/>
  <c r="AX35" i="15"/>
  <c r="B37" i="15"/>
  <c r="C37" i="15"/>
  <c r="D37" i="15"/>
  <c r="E37" i="15"/>
  <c r="F37" i="15"/>
  <c r="G37" i="15"/>
  <c r="H37" i="15"/>
  <c r="I37" i="15"/>
  <c r="J37" i="15"/>
  <c r="K37" i="15"/>
  <c r="L37" i="15"/>
  <c r="O37" i="15"/>
  <c r="P37" i="15"/>
  <c r="S37" i="15"/>
  <c r="T37" i="15"/>
  <c r="W37" i="15"/>
  <c r="X37" i="15"/>
  <c r="Y37" i="15"/>
  <c r="Z37" i="15"/>
  <c r="AA37" i="15"/>
  <c r="AB37" i="15"/>
  <c r="AC37" i="15"/>
  <c r="AD37" i="15"/>
  <c r="AE37" i="15"/>
  <c r="AF37" i="15"/>
  <c r="AG37" i="15"/>
  <c r="AH37" i="15"/>
  <c r="AI37" i="15"/>
  <c r="AJ37" i="15"/>
  <c r="AK37" i="15"/>
  <c r="AL37" i="15"/>
  <c r="AM37" i="15"/>
  <c r="AN37" i="15"/>
  <c r="AO37" i="15"/>
  <c r="AP37" i="15"/>
  <c r="AQ37" i="15"/>
  <c r="AR37" i="15"/>
  <c r="AS37" i="15"/>
  <c r="AT37" i="15"/>
  <c r="AW37" i="15"/>
  <c r="AX37" i="15"/>
  <c r="C38" i="15"/>
  <c r="D38" i="15"/>
  <c r="E38" i="15"/>
  <c r="F38" i="15"/>
  <c r="G38" i="15"/>
  <c r="H38" i="15"/>
  <c r="I38" i="15"/>
  <c r="J38" i="15"/>
  <c r="K38" i="15"/>
  <c r="L38" i="15"/>
  <c r="O38" i="15"/>
  <c r="P38" i="15"/>
  <c r="S38" i="15"/>
  <c r="T38" i="15"/>
  <c r="W38" i="15"/>
  <c r="X38" i="15"/>
  <c r="Y38" i="15"/>
  <c r="Z38" i="15"/>
  <c r="AA38" i="15"/>
  <c r="AB38" i="15"/>
  <c r="AC38" i="15"/>
  <c r="AD38" i="15"/>
  <c r="AE38" i="15"/>
  <c r="AF38" i="15"/>
  <c r="AG38" i="15"/>
  <c r="AH38" i="15"/>
  <c r="AI38" i="15"/>
  <c r="AJ38" i="15"/>
  <c r="AK38" i="15"/>
  <c r="AL38" i="15"/>
  <c r="AM38" i="15"/>
  <c r="AN38" i="15"/>
  <c r="AO38" i="15"/>
  <c r="AP38" i="15"/>
  <c r="AQ38" i="15"/>
  <c r="AR38" i="15"/>
  <c r="AS38" i="15"/>
  <c r="AW38" i="15"/>
  <c r="AX38" i="15"/>
  <c r="AI41" i="15"/>
  <c r="AM41" i="15"/>
  <c r="AQ41" i="15"/>
  <c r="C43" i="15"/>
  <c r="D43" i="15"/>
  <c r="E43" i="15"/>
  <c r="F43" i="15"/>
  <c r="G43" i="15"/>
  <c r="H43" i="15"/>
  <c r="I43" i="15"/>
  <c r="J43" i="15"/>
  <c r="K43" i="15"/>
  <c r="L43" i="15"/>
  <c r="O43" i="15"/>
  <c r="P43" i="15"/>
  <c r="Q43" i="15"/>
  <c r="R43" i="15"/>
  <c r="R55" i="15"/>
  <c r="R78" i="15"/>
  <c r="R150" i="15"/>
  <c r="S43" i="15"/>
  <c r="S55" i="15"/>
  <c r="S78" i="15"/>
  <c r="S150" i="15"/>
  <c r="T43" i="15"/>
  <c r="T55" i="15"/>
  <c r="T78" i="15"/>
  <c r="T150" i="15"/>
  <c r="U43" i="15"/>
  <c r="U55" i="15"/>
  <c r="U78" i="15"/>
  <c r="U150" i="15"/>
  <c r="V43" i="15"/>
  <c r="V55" i="15"/>
  <c r="V78" i="15"/>
  <c r="V150" i="15"/>
  <c r="W43" i="15"/>
  <c r="W55" i="15"/>
  <c r="W78" i="15"/>
  <c r="W150" i="15"/>
  <c r="X43" i="15"/>
  <c r="X55" i="15"/>
  <c r="X78" i="15"/>
  <c r="X150" i="15"/>
  <c r="Y43" i="15"/>
  <c r="Y55" i="15"/>
  <c r="Y78" i="15"/>
  <c r="Y150" i="15"/>
  <c r="Z43" i="15"/>
  <c r="Z55" i="15"/>
  <c r="Z78" i="15"/>
  <c r="Z150" i="15"/>
  <c r="AA43" i="15"/>
  <c r="AA55" i="15"/>
  <c r="AA78" i="15"/>
  <c r="AA150" i="15"/>
  <c r="AB43" i="15"/>
  <c r="AB55" i="15"/>
  <c r="AB78" i="15"/>
  <c r="AB150" i="15"/>
  <c r="AC43" i="15"/>
  <c r="AC55" i="15"/>
  <c r="AC78" i="15"/>
  <c r="AC150" i="15"/>
  <c r="AD43" i="15"/>
  <c r="AD55" i="15"/>
  <c r="AD78" i="15"/>
  <c r="AD150" i="15"/>
  <c r="AE43" i="15"/>
  <c r="AF43" i="15"/>
  <c r="AF55" i="15"/>
  <c r="AF78" i="15"/>
  <c r="AF150" i="15"/>
  <c r="AG43" i="15"/>
  <c r="AG55" i="15"/>
  <c r="AG78" i="15"/>
  <c r="AG150" i="15"/>
  <c r="AH43" i="15"/>
  <c r="AH55" i="15"/>
  <c r="AH78" i="15"/>
  <c r="AH150" i="15"/>
  <c r="AI43" i="15"/>
  <c r="AI55" i="15"/>
  <c r="AI78" i="15"/>
  <c r="AI150" i="15"/>
  <c r="AJ43" i="15"/>
  <c r="AJ55" i="15"/>
  <c r="AJ78" i="15"/>
  <c r="AJ150" i="15"/>
  <c r="AK43" i="15"/>
  <c r="AK55" i="15"/>
  <c r="AK78" i="15"/>
  <c r="AK150" i="15"/>
  <c r="AL43" i="15"/>
  <c r="AL55" i="15"/>
  <c r="AL78" i="15"/>
  <c r="AL150" i="15"/>
  <c r="AM43" i="15"/>
  <c r="AM55" i="15"/>
  <c r="AM78" i="15"/>
  <c r="AM150" i="15"/>
  <c r="AN43" i="15"/>
  <c r="AN55" i="15"/>
  <c r="AN78" i="15"/>
  <c r="AN150" i="15"/>
  <c r="AO43" i="15"/>
  <c r="AO55" i="15"/>
  <c r="AO78" i="15"/>
  <c r="AO150" i="15"/>
  <c r="AP43" i="15"/>
  <c r="AP55" i="15"/>
  <c r="AP78" i="15"/>
  <c r="AP150" i="15"/>
  <c r="AQ43" i="15"/>
  <c r="AQ55" i="15"/>
  <c r="AQ78" i="15"/>
  <c r="AQ150" i="15"/>
  <c r="AR43" i="15"/>
  <c r="AR55" i="15"/>
  <c r="AR78" i="15"/>
  <c r="AR150" i="15"/>
  <c r="AS43" i="15"/>
  <c r="AS55" i="15"/>
  <c r="AS78" i="15"/>
  <c r="AS150" i="15"/>
  <c r="AT43" i="15"/>
  <c r="AT55" i="15"/>
  <c r="AT78" i="15"/>
  <c r="AT150" i="15"/>
  <c r="AW43" i="15"/>
  <c r="AW55" i="15"/>
  <c r="AW78" i="15"/>
  <c r="AX43" i="15"/>
  <c r="AX55" i="15"/>
  <c r="AX78" i="15"/>
  <c r="D44" i="15"/>
  <c r="E44" i="15"/>
  <c r="F44" i="15"/>
  <c r="G44" i="15"/>
  <c r="H44" i="15"/>
  <c r="I44" i="15"/>
  <c r="J44" i="15"/>
  <c r="K44" i="15"/>
  <c r="L44" i="15"/>
  <c r="O44" i="15"/>
  <c r="P44" i="15"/>
  <c r="S44" i="15"/>
  <c r="T44" i="15"/>
  <c r="W44" i="15"/>
  <c r="X44" i="15"/>
  <c r="Y44" i="15"/>
  <c r="Z44" i="15"/>
  <c r="AA44" i="15"/>
  <c r="AB44" i="15"/>
  <c r="AC44" i="15"/>
  <c r="AD44" i="15"/>
  <c r="AE44" i="15"/>
  <c r="AF44" i="15"/>
  <c r="AG44" i="15"/>
  <c r="AH44" i="15"/>
  <c r="AI44" i="15"/>
  <c r="AJ44" i="15"/>
  <c r="AK44" i="15"/>
  <c r="AL44" i="15"/>
  <c r="AM44" i="15"/>
  <c r="AN44" i="15"/>
  <c r="AO44" i="15"/>
  <c r="AP44" i="15"/>
  <c r="AQ44" i="15"/>
  <c r="AR44" i="15"/>
  <c r="AS44" i="15"/>
  <c r="AT44" i="15"/>
  <c r="AW44" i="15"/>
  <c r="AX44" i="15"/>
  <c r="C45" i="15"/>
  <c r="C41" i="15"/>
  <c r="D45" i="15"/>
  <c r="D41" i="15"/>
  <c r="E45" i="15"/>
  <c r="E41" i="15"/>
  <c r="F45" i="15"/>
  <c r="F41" i="15"/>
  <c r="G45" i="15"/>
  <c r="G41" i="15"/>
  <c r="H45" i="15"/>
  <c r="H41" i="15"/>
  <c r="I45" i="15"/>
  <c r="I41" i="15"/>
  <c r="J45" i="15"/>
  <c r="J41" i="15"/>
  <c r="K45" i="15"/>
  <c r="K41" i="15"/>
  <c r="L45" i="15"/>
  <c r="L41" i="15"/>
  <c r="O45" i="15"/>
  <c r="O41" i="15"/>
  <c r="P45" i="15"/>
  <c r="S45" i="15"/>
  <c r="S41" i="15"/>
  <c r="T45" i="15"/>
  <c r="W45" i="15"/>
  <c r="W41" i="15"/>
  <c r="X45" i="15"/>
  <c r="AA45" i="15"/>
  <c r="AE45" i="15"/>
  <c r="AE41" i="15"/>
  <c r="AF45" i="15"/>
  <c r="AJ45" i="15"/>
  <c r="AN45" i="15"/>
  <c r="AW45" i="15"/>
  <c r="D46" i="15"/>
  <c r="D81" i="15"/>
  <c r="E46" i="15"/>
  <c r="E81" i="15"/>
  <c r="F46" i="15"/>
  <c r="F81" i="15"/>
  <c r="G46" i="15"/>
  <c r="G81" i="15"/>
  <c r="H46" i="15"/>
  <c r="H81" i="15"/>
  <c r="I46" i="15"/>
  <c r="I81" i="15"/>
  <c r="J46" i="15"/>
  <c r="J81" i="15"/>
  <c r="K46" i="15"/>
  <c r="K81" i="15"/>
  <c r="L46" i="15"/>
  <c r="L81" i="15"/>
  <c r="O46" i="15"/>
  <c r="P46" i="15"/>
  <c r="S46" i="15"/>
  <c r="T46" i="15"/>
  <c r="W46" i="15"/>
  <c r="X46" i="15"/>
  <c r="AA46" i="15"/>
  <c r="AE46" i="15"/>
  <c r="AF46" i="15"/>
  <c r="AI46" i="15"/>
  <c r="AJ46" i="15"/>
  <c r="AM46" i="15"/>
  <c r="AN46" i="15"/>
  <c r="AQ46" i="15"/>
  <c r="AR46" i="15"/>
  <c r="AR47" i="15" s="1"/>
  <c r="AW46" i="15"/>
  <c r="E47" i="15"/>
  <c r="F47" i="15"/>
  <c r="G47" i="15"/>
  <c r="H47" i="15"/>
  <c r="I47" i="15"/>
  <c r="J47" i="15"/>
  <c r="K47" i="15"/>
  <c r="L47" i="15"/>
  <c r="S47" i="15"/>
  <c r="T47" i="15"/>
  <c r="W47" i="15"/>
  <c r="AA47" i="15"/>
  <c r="AE47" i="15"/>
  <c r="AI47" i="15"/>
  <c r="AJ47" i="15"/>
  <c r="AM47" i="15"/>
  <c r="AN47" i="15"/>
  <c r="AQ47" i="15"/>
  <c r="AW47" i="15"/>
  <c r="D48" i="15"/>
  <c r="E48" i="15"/>
  <c r="F48" i="15"/>
  <c r="G48" i="15"/>
  <c r="H48" i="15"/>
  <c r="I48" i="15"/>
  <c r="J48" i="15"/>
  <c r="K48" i="15"/>
  <c r="L48" i="15"/>
  <c r="O48" i="15"/>
  <c r="P48" i="15"/>
  <c r="S48" i="15"/>
  <c r="T48" i="15"/>
  <c r="W48" i="15"/>
  <c r="X48" i="15"/>
  <c r="AA48" i="15"/>
  <c r="AE48" i="15"/>
  <c r="AF48" i="15"/>
  <c r="AI48" i="15"/>
  <c r="AJ48" i="15"/>
  <c r="AM48" i="15"/>
  <c r="AN48" i="15"/>
  <c r="AQ48" i="15"/>
  <c r="AW48" i="15"/>
  <c r="D50" i="15"/>
  <c r="E50" i="15"/>
  <c r="F50" i="15"/>
  <c r="G50" i="15"/>
  <c r="H50" i="15"/>
  <c r="O50" i="15"/>
  <c r="S50" i="15"/>
  <c r="W50" i="15"/>
  <c r="X50" i="15"/>
  <c r="AA50" i="15"/>
  <c r="AF50" i="15"/>
  <c r="AJ50" i="15"/>
  <c r="AW50" i="15"/>
  <c r="I51" i="15"/>
  <c r="J51" i="15"/>
  <c r="K51" i="15"/>
  <c r="L51" i="15"/>
  <c r="P51" i="15"/>
  <c r="T51" i="15"/>
  <c r="Z51" i="15"/>
  <c r="AD51" i="15"/>
  <c r="AE51" i="15"/>
  <c r="AH51" i="15"/>
  <c r="AI51" i="15"/>
  <c r="D52" i="15"/>
  <c r="E52" i="15"/>
  <c r="F52" i="15"/>
  <c r="G52" i="15"/>
  <c r="H52" i="15"/>
  <c r="I52" i="15"/>
  <c r="J52" i="15"/>
  <c r="K52" i="15"/>
  <c r="L52" i="15"/>
  <c r="S52" i="15"/>
  <c r="T52" i="15"/>
  <c r="W52" i="15"/>
  <c r="X52" i="15"/>
  <c r="AA52" i="15"/>
  <c r="AB52" i="15"/>
  <c r="AC52" i="15"/>
  <c r="AD52" i="15"/>
  <c r="AE52" i="15"/>
  <c r="AF52" i="15"/>
  <c r="AG52" i="15"/>
  <c r="AH52" i="15"/>
  <c r="AI52" i="15"/>
  <c r="AJ52" i="15"/>
  <c r="AK52" i="15"/>
  <c r="AW52" i="15"/>
  <c r="AX52" i="15"/>
  <c r="C53" i="15"/>
  <c r="D53" i="15"/>
  <c r="E53" i="15"/>
  <c r="F53" i="15"/>
  <c r="G53" i="15"/>
  <c r="H53" i="15"/>
  <c r="I53" i="15"/>
  <c r="J53" i="15"/>
  <c r="K53" i="15"/>
  <c r="L53" i="15"/>
  <c r="O53" i="15"/>
  <c r="AW53" i="15"/>
  <c r="AX53" i="15"/>
  <c r="C55" i="15"/>
  <c r="C78" i="15"/>
  <c r="D55" i="15"/>
  <c r="D78" i="15"/>
  <c r="E55" i="15"/>
  <c r="E78" i="15"/>
  <c r="F55" i="15"/>
  <c r="F78" i="15"/>
  <c r="F150" i="15"/>
  <c r="G55" i="15"/>
  <c r="G78" i="15"/>
  <c r="G150" i="15"/>
  <c r="H55" i="15"/>
  <c r="H78" i="15"/>
  <c r="H150" i="15"/>
  <c r="I55" i="15"/>
  <c r="I78" i="15"/>
  <c r="I150" i="15"/>
  <c r="J55" i="15"/>
  <c r="J78" i="15"/>
  <c r="J150" i="15"/>
  <c r="K55" i="15"/>
  <c r="K78" i="15"/>
  <c r="K150" i="15"/>
  <c r="L55" i="15"/>
  <c r="L78" i="15"/>
  <c r="L150" i="15"/>
  <c r="O55" i="15"/>
  <c r="O78" i="15"/>
  <c r="O150" i="15"/>
  <c r="P55" i="15"/>
  <c r="P78" i="15"/>
  <c r="P150" i="15"/>
  <c r="Q55" i="15"/>
  <c r="Q78" i="15"/>
  <c r="C56" i="15"/>
  <c r="D56" i="15"/>
  <c r="E56" i="15"/>
  <c r="F56" i="15"/>
  <c r="G56" i="15"/>
  <c r="H56" i="15"/>
  <c r="O56" i="15"/>
  <c r="S56" i="15"/>
  <c r="W56" i="15"/>
  <c r="X56" i="15"/>
  <c r="Y56" i="15"/>
  <c r="AA56" i="15"/>
  <c r="AB56" i="15"/>
  <c r="AC56" i="15"/>
  <c r="AF56" i="15"/>
  <c r="AG56" i="15"/>
  <c r="AJ56" i="15"/>
  <c r="AK56" i="15"/>
  <c r="AW56" i="15"/>
  <c r="AX56" i="15"/>
  <c r="C57" i="15"/>
  <c r="D57" i="15"/>
  <c r="E57" i="15"/>
  <c r="F57" i="15"/>
  <c r="G57" i="15"/>
  <c r="H57" i="15"/>
  <c r="I57" i="15"/>
  <c r="J57" i="15"/>
  <c r="K57" i="15"/>
  <c r="L57" i="15"/>
  <c r="O57" i="15"/>
  <c r="S57" i="15"/>
  <c r="W57" i="15"/>
  <c r="AA57" i="15"/>
  <c r="AB57" i="15"/>
  <c r="AE57" i="15"/>
  <c r="AF57" i="15"/>
  <c r="AI57" i="15"/>
  <c r="AM57" i="15"/>
  <c r="AQ57" i="15"/>
  <c r="AW57" i="15"/>
  <c r="AX57" i="15"/>
  <c r="F58" i="15"/>
  <c r="G58" i="15"/>
  <c r="P58" i="15"/>
  <c r="T58" i="15"/>
  <c r="U58" i="15"/>
  <c r="X58" i="15"/>
  <c r="AB58" i="15"/>
  <c r="AF58" i="15"/>
  <c r="AG58" i="15"/>
  <c r="AJ58" i="15"/>
  <c r="AN58" i="15"/>
  <c r="AO58" i="15"/>
  <c r="AR58" i="15"/>
  <c r="AX58" i="15"/>
  <c r="L59" i="15"/>
  <c r="L83" i="15"/>
  <c r="L138" i="15"/>
  <c r="P59" i="15"/>
  <c r="T59" i="15"/>
  <c r="U59" i="15"/>
  <c r="X59" i="15"/>
  <c r="AB59" i="15"/>
  <c r="AF59" i="15"/>
  <c r="AG59" i="15"/>
  <c r="AJ59" i="15"/>
  <c r="AK59" i="15"/>
  <c r="AN59" i="15"/>
  <c r="AR59" i="15"/>
  <c r="AS59" i="15"/>
  <c r="AX59" i="15"/>
  <c r="C60" i="15"/>
  <c r="D60" i="15"/>
  <c r="E60" i="15"/>
  <c r="F60" i="15"/>
  <c r="G60" i="15"/>
  <c r="H60" i="15"/>
  <c r="O60" i="15"/>
  <c r="S60" i="15"/>
  <c r="W60" i="15"/>
  <c r="AA60" i="15"/>
  <c r="AB60" i="15"/>
  <c r="AF60" i="15"/>
  <c r="AW60" i="15"/>
  <c r="AX60" i="15"/>
  <c r="C61" i="15"/>
  <c r="D61" i="15"/>
  <c r="E61" i="15"/>
  <c r="F61" i="15"/>
  <c r="G61" i="15"/>
  <c r="H61" i="15"/>
  <c r="I61" i="15"/>
  <c r="J61" i="15"/>
  <c r="K61" i="15"/>
  <c r="L61" i="15"/>
  <c r="O61" i="15"/>
  <c r="S61" i="15"/>
  <c r="W61" i="15"/>
  <c r="AA61" i="15"/>
  <c r="AE61" i="15"/>
  <c r="AI61" i="15"/>
  <c r="AM61" i="15"/>
  <c r="AN61" i="15"/>
  <c r="AQ61" i="15"/>
  <c r="AW61" i="15"/>
  <c r="AX61" i="15"/>
  <c r="L62" i="15"/>
  <c r="P62" i="15"/>
  <c r="T62" i="15"/>
  <c r="U62" i="15"/>
  <c r="X62" i="15"/>
  <c r="AB62" i="15"/>
  <c r="AE62" i="15"/>
  <c r="AJ62" i="15"/>
  <c r="AN62" i="15"/>
  <c r="AO62" i="15"/>
  <c r="AR62" i="15"/>
  <c r="AX62" i="15"/>
  <c r="E63" i="15"/>
  <c r="F63" i="15"/>
  <c r="P63" i="15"/>
  <c r="T63" i="15"/>
  <c r="Z63" i="15"/>
  <c r="AD63" i="15"/>
  <c r="AF63" i="15"/>
  <c r="AJ63" i="15"/>
  <c r="AO63" i="15"/>
  <c r="AR63" i="15"/>
  <c r="AX63" i="15"/>
  <c r="C64" i="15"/>
  <c r="D64" i="15"/>
  <c r="E64" i="15"/>
  <c r="F64" i="15"/>
  <c r="G64" i="15"/>
  <c r="H64" i="15"/>
  <c r="O64" i="15"/>
  <c r="S64" i="15"/>
  <c r="W64" i="15"/>
  <c r="AA64" i="15"/>
  <c r="AW64" i="15"/>
  <c r="AX64" i="15"/>
  <c r="C65" i="15"/>
  <c r="E65" i="15"/>
  <c r="F65" i="15"/>
  <c r="G65" i="15"/>
  <c r="H65" i="15"/>
  <c r="I65" i="15"/>
  <c r="J65" i="15"/>
  <c r="K65" i="15"/>
  <c r="L65" i="15"/>
  <c r="P65" i="15"/>
  <c r="Q65" i="15"/>
  <c r="T65" i="15"/>
  <c r="X65" i="15"/>
  <c r="Y65" i="15"/>
  <c r="AB65" i="15"/>
  <c r="AC65" i="15"/>
  <c r="AF65" i="15"/>
  <c r="AJ65" i="15"/>
  <c r="AN65" i="15"/>
  <c r="AR65" i="15"/>
  <c r="AX65" i="15"/>
  <c r="C66" i="15"/>
  <c r="D66" i="15"/>
  <c r="E66" i="15"/>
  <c r="F66" i="15"/>
  <c r="G66" i="15"/>
  <c r="P66" i="15"/>
  <c r="S66" i="15"/>
  <c r="T66" i="15"/>
  <c r="W66" i="15"/>
  <c r="AA66" i="15"/>
  <c r="AB66" i="15"/>
  <c r="AF66" i="15"/>
  <c r="AJ66" i="15"/>
  <c r="AN66" i="15"/>
  <c r="AR66" i="15"/>
  <c r="AW66" i="15"/>
  <c r="AX66" i="15"/>
  <c r="L67" i="15"/>
  <c r="P67" i="15"/>
  <c r="T67" i="15"/>
  <c r="X67" i="15"/>
  <c r="Y67" i="15"/>
  <c r="AB67" i="15"/>
  <c r="AF67" i="15"/>
  <c r="AJ67" i="15"/>
  <c r="AK67" i="15"/>
  <c r="AN67" i="15"/>
  <c r="AO67" i="15"/>
  <c r="AR67" i="15"/>
  <c r="AS67" i="15"/>
  <c r="AX67" i="15"/>
  <c r="D68" i="15"/>
  <c r="E68" i="15"/>
  <c r="F68" i="15"/>
  <c r="G68" i="15"/>
  <c r="H68" i="15"/>
  <c r="I68" i="15"/>
  <c r="J68" i="15"/>
  <c r="K68" i="15"/>
  <c r="L68" i="15"/>
  <c r="O68" i="15"/>
  <c r="P68" i="15"/>
  <c r="S68" i="15"/>
  <c r="W68" i="15"/>
  <c r="AA68" i="15"/>
  <c r="AE68" i="15"/>
  <c r="AI68" i="15"/>
  <c r="AJ68" i="15"/>
  <c r="AM68" i="15"/>
  <c r="AN68" i="15"/>
  <c r="AQ68" i="15"/>
  <c r="AW68" i="15"/>
  <c r="AX68" i="15"/>
  <c r="C69" i="15"/>
  <c r="D69" i="15"/>
  <c r="E69" i="15"/>
  <c r="F69" i="15"/>
  <c r="G69" i="15"/>
  <c r="H69" i="15"/>
  <c r="I69" i="15"/>
  <c r="J69" i="15"/>
  <c r="K69" i="15"/>
  <c r="L69" i="15"/>
  <c r="O69" i="15"/>
  <c r="P69" i="15"/>
  <c r="T69" i="15"/>
  <c r="U69" i="15"/>
  <c r="X69" i="15"/>
  <c r="AB69" i="15"/>
  <c r="AF69" i="15"/>
  <c r="AI69" i="15"/>
  <c r="AJ69" i="15"/>
  <c r="AN69" i="15"/>
  <c r="AR69" i="15"/>
  <c r="AX69" i="15"/>
  <c r="L71" i="15"/>
  <c r="P71" i="15"/>
  <c r="Q71" i="15"/>
  <c r="T71" i="15"/>
  <c r="X71" i="15"/>
  <c r="Y71" i="15"/>
  <c r="AB71" i="15"/>
  <c r="AF71" i="15"/>
  <c r="AG71" i="15"/>
  <c r="AJ71" i="15"/>
  <c r="AN71" i="15"/>
  <c r="AO71" i="15"/>
  <c r="AR71" i="15"/>
  <c r="AX71" i="15"/>
  <c r="B79" i="15"/>
  <c r="B135" i="15"/>
  <c r="C79" i="15"/>
  <c r="D79" i="15"/>
  <c r="E79" i="15"/>
  <c r="F79" i="15"/>
  <c r="G79" i="15"/>
  <c r="H79" i="15"/>
  <c r="I79" i="15"/>
  <c r="J79" i="15"/>
  <c r="K79" i="15"/>
  <c r="L79" i="15"/>
  <c r="Z79" i="15"/>
  <c r="AA79" i="15"/>
  <c r="AA135" i="15"/>
  <c r="AB79" i="15"/>
  <c r="AB135" i="15"/>
  <c r="AC79" i="15"/>
  <c r="AC135" i="15"/>
  <c r="AD79" i="15"/>
  <c r="AD135" i="15"/>
  <c r="AE79" i="15"/>
  <c r="AE135" i="15"/>
  <c r="AF79" i="15"/>
  <c r="AF135" i="15"/>
  <c r="AG79" i="15"/>
  <c r="AG135" i="15"/>
  <c r="AH79" i="15"/>
  <c r="AH135" i="15"/>
  <c r="AI79" i="15"/>
  <c r="AI135" i="15"/>
  <c r="AJ79" i="15"/>
  <c r="AJ135" i="15"/>
  <c r="AK79" i="15"/>
  <c r="AK135" i="15"/>
  <c r="AL79" i="15"/>
  <c r="AL135" i="15"/>
  <c r="AM79" i="15"/>
  <c r="AM135" i="15"/>
  <c r="AN79" i="15"/>
  <c r="AN135" i="15"/>
  <c r="AO79" i="15"/>
  <c r="AO135" i="15"/>
  <c r="AP79" i="15"/>
  <c r="AP135" i="15"/>
  <c r="AQ79" i="15"/>
  <c r="AQ135" i="15"/>
  <c r="AR79" i="15"/>
  <c r="AR135" i="15"/>
  <c r="AS79" i="15"/>
  <c r="AS135" i="15"/>
  <c r="AT79" i="15"/>
  <c r="AT135" i="15"/>
  <c r="C80" i="15"/>
  <c r="D80" i="15"/>
  <c r="E80" i="15"/>
  <c r="F80" i="15"/>
  <c r="G80" i="15"/>
  <c r="H80" i="15"/>
  <c r="I80" i="15"/>
  <c r="J80" i="15"/>
  <c r="K80" i="15"/>
  <c r="L80" i="15"/>
  <c r="Z80" i="15"/>
  <c r="AA80" i="15"/>
  <c r="AB80" i="15"/>
  <c r="AC80" i="15"/>
  <c r="AD80" i="15"/>
  <c r="AE80" i="15"/>
  <c r="AF80" i="15"/>
  <c r="AG80" i="15"/>
  <c r="AH80" i="15"/>
  <c r="AI80" i="15"/>
  <c r="AJ80" i="15"/>
  <c r="AK80" i="15"/>
  <c r="AL80" i="15"/>
  <c r="AM80" i="15"/>
  <c r="AN80" i="15"/>
  <c r="AO80" i="15"/>
  <c r="AP80" i="15"/>
  <c r="AQ80" i="15"/>
  <c r="AR80" i="15"/>
  <c r="AS80" i="15"/>
  <c r="AT80" i="15"/>
  <c r="C82" i="15"/>
  <c r="C136" i="15"/>
  <c r="D82" i="15"/>
  <c r="D136" i="15"/>
  <c r="E82" i="15"/>
  <c r="E136" i="15"/>
  <c r="F82" i="15"/>
  <c r="F136" i="15"/>
  <c r="G82" i="15"/>
  <c r="G136" i="15"/>
  <c r="H82" i="15"/>
  <c r="H136" i="15"/>
  <c r="C83" i="15"/>
  <c r="C138" i="15"/>
  <c r="C211" i="15"/>
  <c r="D83" i="15"/>
  <c r="D138" i="15"/>
  <c r="D211" i="15"/>
  <c r="E83" i="15"/>
  <c r="E138" i="15"/>
  <c r="E211" i="15"/>
  <c r="F83" i="15"/>
  <c r="F138" i="15"/>
  <c r="G83" i="15"/>
  <c r="G138" i="15"/>
  <c r="H83" i="15"/>
  <c r="H138" i="15"/>
  <c r="I83" i="15"/>
  <c r="I138" i="15"/>
  <c r="J83" i="15"/>
  <c r="J138" i="15"/>
  <c r="K83" i="15"/>
  <c r="K138" i="15"/>
  <c r="F88" i="15"/>
  <c r="F119" i="15"/>
  <c r="F223" i="15"/>
  <c r="F134" i="15"/>
  <c r="G88" i="15"/>
  <c r="G119" i="15"/>
  <c r="G223" i="15"/>
  <c r="G134" i="15"/>
  <c r="H88" i="15"/>
  <c r="H119" i="15"/>
  <c r="H223" i="15"/>
  <c r="H134" i="15"/>
  <c r="I88" i="15"/>
  <c r="I119" i="15"/>
  <c r="I223" i="15"/>
  <c r="I134" i="15"/>
  <c r="J88" i="15"/>
  <c r="J119" i="15"/>
  <c r="J223" i="15"/>
  <c r="J134" i="15"/>
  <c r="K88" i="15"/>
  <c r="K119" i="15"/>
  <c r="K223" i="15"/>
  <c r="K134" i="15"/>
  <c r="L88" i="15"/>
  <c r="L119" i="15"/>
  <c r="L223" i="15"/>
  <c r="L134" i="15"/>
  <c r="O88" i="15"/>
  <c r="O119" i="15"/>
  <c r="O223" i="15"/>
  <c r="O134" i="15"/>
  <c r="P88" i="15"/>
  <c r="P119" i="15"/>
  <c r="P223" i="15"/>
  <c r="P134" i="15"/>
  <c r="Q88" i="15"/>
  <c r="Q119" i="15"/>
  <c r="Q223" i="15"/>
  <c r="Q134" i="15"/>
  <c r="R88" i="15"/>
  <c r="R119" i="15"/>
  <c r="R223" i="15"/>
  <c r="R134" i="15"/>
  <c r="S88" i="15"/>
  <c r="S119" i="15"/>
  <c r="S223" i="15"/>
  <c r="S134" i="15"/>
  <c r="T88" i="15"/>
  <c r="T119" i="15"/>
  <c r="T223" i="15"/>
  <c r="T134" i="15"/>
  <c r="U88" i="15"/>
  <c r="U119" i="15"/>
  <c r="U223" i="15"/>
  <c r="U134" i="15"/>
  <c r="V88" i="15"/>
  <c r="V119" i="15"/>
  <c r="V223" i="15"/>
  <c r="V134" i="15"/>
  <c r="W88" i="15"/>
  <c r="W119" i="15"/>
  <c r="W223" i="15"/>
  <c r="W134" i="15"/>
  <c r="X88" i="15"/>
  <c r="X119" i="15"/>
  <c r="X223" i="15"/>
  <c r="X134" i="15"/>
  <c r="Y88" i="15"/>
  <c r="Y119" i="15"/>
  <c r="Y223" i="15"/>
  <c r="Y134" i="15"/>
  <c r="Z88" i="15"/>
  <c r="Z119" i="15"/>
  <c r="Z223" i="15"/>
  <c r="Z134" i="15"/>
  <c r="AA88" i="15"/>
  <c r="AA119" i="15"/>
  <c r="AA223" i="15"/>
  <c r="AA134" i="15"/>
  <c r="AB88" i="15"/>
  <c r="AB119" i="15"/>
  <c r="AB223" i="15"/>
  <c r="AB134" i="15"/>
  <c r="AC88" i="15"/>
  <c r="AC119" i="15"/>
  <c r="AC223" i="15"/>
  <c r="AC134" i="15"/>
  <c r="AD88" i="15"/>
  <c r="AD119" i="15"/>
  <c r="AD223" i="15"/>
  <c r="AD134" i="15"/>
  <c r="AE88" i="15"/>
  <c r="AE119" i="15"/>
  <c r="AE223" i="15"/>
  <c r="AF88" i="15"/>
  <c r="AF119" i="15"/>
  <c r="AF223" i="15"/>
  <c r="AF134" i="15"/>
  <c r="AG88" i="15"/>
  <c r="AG119" i="15"/>
  <c r="AG223" i="15"/>
  <c r="AG134" i="15"/>
  <c r="AH88" i="15"/>
  <c r="AH119" i="15"/>
  <c r="AH223" i="15"/>
  <c r="AH134" i="15"/>
  <c r="AI88" i="15"/>
  <c r="AI119" i="15"/>
  <c r="AI223" i="15"/>
  <c r="AI134" i="15"/>
  <c r="AJ88" i="15"/>
  <c r="AJ119" i="15"/>
  <c r="AJ223" i="15"/>
  <c r="AJ134" i="15"/>
  <c r="AK88" i="15"/>
  <c r="AK119" i="15"/>
  <c r="AK223" i="15"/>
  <c r="AK134" i="15"/>
  <c r="AL88" i="15"/>
  <c r="AL119" i="15"/>
  <c r="AL223" i="15"/>
  <c r="AL134" i="15"/>
  <c r="AM88" i="15"/>
  <c r="AM119" i="15"/>
  <c r="AM223" i="15"/>
  <c r="AM134" i="15"/>
  <c r="AN88" i="15"/>
  <c r="AN119" i="15"/>
  <c r="AN223" i="15"/>
  <c r="AN134" i="15"/>
  <c r="AO88" i="15"/>
  <c r="AO119" i="15"/>
  <c r="AO223" i="15"/>
  <c r="AO134" i="15"/>
  <c r="AP88" i="15"/>
  <c r="AP119" i="15"/>
  <c r="AP223" i="15"/>
  <c r="AP134" i="15"/>
  <c r="AQ88" i="15"/>
  <c r="AQ119" i="15"/>
  <c r="AQ223" i="15"/>
  <c r="AQ134" i="15"/>
  <c r="AR88" i="15"/>
  <c r="AR119" i="15"/>
  <c r="AR223" i="15"/>
  <c r="AR134" i="15"/>
  <c r="AS88" i="15"/>
  <c r="AS119" i="15"/>
  <c r="AS223" i="15"/>
  <c r="AS134" i="15"/>
  <c r="AT88" i="15"/>
  <c r="AT119" i="15"/>
  <c r="AT223" i="15"/>
  <c r="AT134" i="15"/>
  <c r="C90" i="15"/>
  <c r="D90" i="15"/>
  <c r="E90" i="15"/>
  <c r="F90" i="15"/>
  <c r="G90" i="15"/>
  <c r="H90" i="15"/>
  <c r="I90" i="15"/>
  <c r="J90" i="15"/>
  <c r="K90" i="15"/>
  <c r="O90" i="15"/>
  <c r="P90" i="15"/>
  <c r="Q90" i="15"/>
  <c r="R90" i="15"/>
  <c r="S90" i="15"/>
  <c r="T90" i="15"/>
  <c r="U90" i="15"/>
  <c r="V90" i="15"/>
  <c r="W90" i="15"/>
  <c r="X90" i="15"/>
  <c r="Y90" i="15"/>
  <c r="Z90" i="15"/>
  <c r="AA90" i="15"/>
  <c r="AB90" i="15"/>
  <c r="AC90" i="15"/>
  <c r="AD90" i="15"/>
  <c r="AE90" i="15"/>
  <c r="AF90" i="15"/>
  <c r="AG90" i="15"/>
  <c r="AH90" i="15"/>
  <c r="AI90" i="15"/>
  <c r="AJ90" i="15"/>
  <c r="AK90" i="15"/>
  <c r="AL90" i="15"/>
  <c r="AM90" i="15"/>
  <c r="AN90" i="15"/>
  <c r="AO90" i="15"/>
  <c r="AP90" i="15"/>
  <c r="AQ90" i="15"/>
  <c r="AR90" i="15"/>
  <c r="AS90" i="15"/>
  <c r="R91" i="15"/>
  <c r="V91" i="15"/>
  <c r="Z91" i="15"/>
  <c r="AD91" i="15"/>
  <c r="AH91" i="15"/>
  <c r="AL91" i="15"/>
  <c r="AP91" i="15"/>
  <c r="AT91" i="15"/>
  <c r="R92" i="15"/>
  <c r="V92" i="15"/>
  <c r="Z92" i="15"/>
  <c r="AD92" i="15"/>
  <c r="AG92" i="15"/>
  <c r="AH92" i="15"/>
  <c r="AL92" i="15"/>
  <c r="AP92" i="15"/>
  <c r="AT92" i="15"/>
  <c r="R93" i="15"/>
  <c r="V93" i="15"/>
  <c r="Z93" i="15"/>
  <c r="AD93" i="15"/>
  <c r="AH93" i="15"/>
  <c r="AL93" i="15"/>
  <c r="AP93" i="15"/>
  <c r="AT93" i="15"/>
  <c r="C94" i="15"/>
  <c r="D94" i="15"/>
  <c r="E94" i="15"/>
  <c r="F94" i="15"/>
  <c r="G94" i="15"/>
  <c r="H94" i="15"/>
  <c r="I94" i="15"/>
  <c r="J94" i="15"/>
  <c r="K94" i="15"/>
  <c r="L94" i="15"/>
  <c r="O94" i="15"/>
  <c r="P94" i="15"/>
  <c r="Q94" i="15"/>
  <c r="R94" i="15"/>
  <c r="S94" i="15"/>
  <c r="T94" i="15"/>
  <c r="U94" i="15"/>
  <c r="V94" i="15"/>
  <c r="W94" i="15"/>
  <c r="X94" i="15"/>
  <c r="Y94" i="15"/>
  <c r="Z94" i="15"/>
  <c r="AA94" i="15"/>
  <c r="AB94" i="15"/>
  <c r="AC94" i="15"/>
  <c r="AD94" i="15"/>
  <c r="AE94" i="15"/>
  <c r="AF94" i="15"/>
  <c r="AG94" i="15"/>
  <c r="AH94" i="15"/>
  <c r="AI94" i="15"/>
  <c r="AJ94" i="15"/>
  <c r="AK94" i="15"/>
  <c r="AL94" i="15"/>
  <c r="AM94" i="15"/>
  <c r="AN94" i="15"/>
  <c r="AO94" i="15"/>
  <c r="AP94" i="15"/>
  <c r="AQ94" i="15"/>
  <c r="AR94" i="15"/>
  <c r="AS94" i="15"/>
  <c r="AT94" i="15"/>
  <c r="C97" i="15"/>
  <c r="D97" i="15"/>
  <c r="E97" i="15"/>
  <c r="F97" i="15"/>
  <c r="G97" i="15"/>
  <c r="H97" i="15"/>
  <c r="I97" i="15"/>
  <c r="J97" i="15"/>
  <c r="K97" i="15"/>
  <c r="L97" i="15"/>
  <c r="O97" i="15"/>
  <c r="S97" i="15"/>
  <c r="W97" i="15"/>
  <c r="X97" i="15"/>
  <c r="Y97" i="15"/>
  <c r="AA97" i="15"/>
  <c r="AB97" i="15"/>
  <c r="AC97" i="15"/>
  <c r="AE97" i="15"/>
  <c r="AF97" i="15"/>
  <c r="AG97" i="15"/>
  <c r="AI97" i="15"/>
  <c r="AJ97" i="15"/>
  <c r="AK97" i="15"/>
  <c r="AM97" i="15"/>
  <c r="AN97" i="15"/>
  <c r="AO97" i="15"/>
  <c r="AQ97" i="15"/>
  <c r="AR97" i="15"/>
  <c r="AS97" i="15"/>
  <c r="C98" i="15"/>
  <c r="D98" i="15"/>
  <c r="E98" i="15"/>
  <c r="F98" i="15"/>
  <c r="G98" i="15"/>
  <c r="H98" i="15"/>
  <c r="I98" i="15"/>
  <c r="J98" i="15"/>
  <c r="K98" i="15"/>
  <c r="L98" i="15"/>
  <c r="O98" i="15"/>
  <c r="S98" i="15"/>
  <c r="W98" i="15"/>
  <c r="X98" i="15"/>
  <c r="Y98" i="15"/>
  <c r="AA98" i="15"/>
  <c r="AB98" i="15"/>
  <c r="AC98" i="15"/>
  <c r="AE98" i="15"/>
  <c r="AF98" i="15"/>
  <c r="AG98" i="15"/>
  <c r="AI98" i="15"/>
  <c r="AJ98" i="15"/>
  <c r="AK98" i="15"/>
  <c r="AM98" i="15"/>
  <c r="AN98" i="15"/>
  <c r="AO98" i="15"/>
  <c r="AQ98" i="15"/>
  <c r="AR98" i="15"/>
  <c r="AS98" i="15"/>
  <c r="C99" i="15"/>
  <c r="D99" i="15"/>
  <c r="E99" i="15"/>
  <c r="F99" i="15"/>
  <c r="G99" i="15"/>
  <c r="H99" i="15"/>
  <c r="I99" i="15"/>
  <c r="J99" i="15"/>
  <c r="K99" i="15"/>
  <c r="L99" i="15"/>
  <c r="O99" i="15"/>
  <c r="S99" i="15"/>
  <c r="W99" i="15"/>
  <c r="X99" i="15"/>
  <c r="Y99" i="15"/>
  <c r="AA99" i="15"/>
  <c r="AB99" i="15"/>
  <c r="AC99" i="15"/>
  <c r="AE99" i="15"/>
  <c r="AF99" i="15"/>
  <c r="AG99" i="15"/>
  <c r="AI99" i="15"/>
  <c r="AJ99" i="15"/>
  <c r="AK99" i="15"/>
  <c r="AM99" i="15"/>
  <c r="AN99" i="15"/>
  <c r="AO99" i="15"/>
  <c r="AQ99" i="15"/>
  <c r="AR99" i="15"/>
  <c r="AS99" i="15"/>
  <c r="I102" i="15"/>
  <c r="R102" i="15"/>
  <c r="V102" i="15"/>
  <c r="Z102" i="15"/>
  <c r="AD102" i="15"/>
  <c r="AH102" i="15"/>
  <c r="AL102" i="15"/>
  <c r="AP102" i="15"/>
  <c r="AT102" i="15"/>
  <c r="C103" i="15"/>
  <c r="C105" i="15"/>
  <c r="D103" i="15"/>
  <c r="D105" i="15"/>
  <c r="E103" i="15"/>
  <c r="F103" i="15"/>
  <c r="G103" i="15"/>
  <c r="H103" i="15"/>
  <c r="I103" i="15"/>
  <c r="J103" i="15"/>
  <c r="K103" i="15"/>
  <c r="L103" i="15"/>
  <c r="O103" i="15"/>
  <c r="P103" i="15"/>
  <c r="Q103" i="15"/>
  <c r="R103" i="15"/>
  <c r="R105" i="15" s="1"/>
  <c r="S103" i="15"/>
  <c r="T103" i="15"/>
  <c r="U103" i="15"/>
  <c r="V103" i="15"/>
  <c r="W103" i="15"/>
  <c r="X103" i="15"/>
  <c r="Y103" i="15"/>
  <c r="Z103" i="15"/>
  <c r="AA103" i="15"/>
  <c r="AB103" i="15"/>
  <c r="AC103" i="15"/>
  <c r="AD103" i="15"/>
  <c r="AE103" i="15"/>
  <c r="AF103" i="15"/>
  <c r="AG103" i="15"/>
  <c r="AH103" i="15"/>
  <c r="AI103" i="15"/>
  <c r="AJ103" i="15"/>
  <c r="AK103" i="15"/>
  <c r="AL103" i="15"/>
  <c r="AM103" i="15"/>
  <c r="AN103" i="15"/>
  <c r="AO103" i="15"/>
  <c r="AP103" i="15"/>
  <c r="AQ103" i="15"/>
  <c r="AR103" i="15"/>
  <c r="AS103" i="15"/>
  <c r="AT103" i="15"/>
  <c r="E104" i="15"/>
  <c r="E105" i="15" s="1"/>
  <c r="E259" i="15"/>
  <c r="F104" i="15"/>
  <c r="F105" i="15" s="1"/>
  <c r="G104" i="15"/>
  <c r="G105" i="15" s="1"/>
  <c r="Z104" i="15"/>
  <c r="Z259" i="15"/>
  <c r="H104" i="15"/>
  <c r="H105" i="15" s="1"/>
  <c r="AD104" i="15"/>
  <c r="AD259" i="15"/>
  <c r="I104" i="15"/>
  <c r="AH104" i="15"/>
  <c r="AH259" i="15"/>
  <c r="J104" i="15"/>
  <c r="J105" i="15" s="1"/>
  <c r="AL104" i="15"/>
  <c r="AL259" i="15"/>
  <c r="K104" i="15"/>
  <c r="K105" i="15" s="1"/>
  <c r="AP104" i="15"/>
  <c r="AP259" i="15"/>
  <c r="L104" i="15"/>
  <c r="L105" i="15" s="1"/>
  <c r="AT104" i="15"/>
  <c r="R104" i="15"/>
  <c r="R259" i="15"/>
  <c r="S104" i="15"/>
  <c r="S259" i="15"/>
  <c r="T104" i="15"/>
  <c r="T259" i="15"/>
  <c r="U104" i="15"/>
  <c r="U259" i="15"/>
  <c r="V104" i="15"/>
  <c r="V259" i="15"/>
  <c r="W104" i="15"/>
  <c r="W259" i="15"/>
  <c r="X104" i="15"/>
  <c r="X259" i="15"/>
  <c r="Y104" i="15"/>
  <c r="Y259" i="15"/>
  <c r="AA104" i="15"/>
  <c r="AA259" i="15"/>
  <c r="AB104" i="15"/>
  <c r="AB259" i="15"/>
  <c r="AC104" i="15"/>
  <c r="AC259" i="15"/>
  <c r="AE104" i="15"/>
  <c r="AE259" i="15"/>
  <c r="AF104" i="15"/>
  <c r="AF259" i="15"/>
  <c r="AG104" i="15"/>
  <c r="AG259" i="15"/>
  <c r="AI104" i="15"/>
  <c r="AI259" i="15"/>
  <c r="AJ104" i="15"/>
  <c r="AJ259" i="15"/>
  <c r="AK104" i="15"/>
  <c r="AK259" i="15"/>
  <c r="AM104" i="15"/>
  <c r="AM259" i="15"/>
  <c r="AN104" i="15"/>
  <c r="AN259" i="15"/>
  <c r="AO104" i="15"/>
  <c r="AO259" i="15"/>
  <c r="AQ104" i="15"/>
  <c r="AQ259" i="15"/>
  <c r="AR104" i="15"/>
  <c r="AR259" i="15"/>
  <c r="AS104" i="15"/>
  <c r="AS105" i="15" s="1"/>
  <c r="AS259" i="15"/>
  <c r="R107" i="15"/>
  <c r="V107" i="15"/>
  <c r="Z107" i="15"/>
  <c r="AD107" i="15"/>
  <c r="AH107" i="15"/>
  <c r="AL107" i="15"/>
  <c r="AP107" i="15"/>
  <c r="AT107" i="15"/>
  <c r="R108" i="15"/>
  <c r="V108" i="15"/>
  <c r="Z108" i="15"/>
  <c r="AD108" i="15"/>
  <c r="AH108" i="15"/>
  <c r="AL108" i="15"/>
  <c r="AP108" i="15"/>
  <c r="AT108" i="15"/>
  <c r="C109" i="15"/>
  <c r="D109" i="15"/>
  <c r="E109" i="15"/>
  <c r="F109" i="15"/>
  <c r="G109" i="15"/>
  <c r="H109" i="15"/>
  <c r="I109" i="15"/>
  <c r="J109" i="15"/>
  <c r="K109" i="15"/>
  <c r="L109" i="15"/>
  <c r="O109" i="15"/>
  <c r="P109" i="15"/>
  <c r="Q109" i="15"/>
  <c r="R109" i="15"/>
  <c r="S109" i="15"/>
  <c r="T109" i="15"/>
  <c r="U109" i="15"/>
  <c r="V109" i="15"/>
  <c r="D1124" i="17"/>
  <c r="W109" i="15"/>
  <c r="D1076" i="17"/>
  <c r="X109" i="15"/>
  <c r="Y109" i="15"/>
  <c r="Z109" i="15"/>
  <c r="AA109" i="15"/>
  <c r="AB109" i="15"/>
  <c r="D1026" i="17"/>
  <c r="AC109" i="15"/>
  <c r="AD109" i="15"/>
  <c r="AE109" i="15"/>
  <c r="AF109" i="15"/>
  <c r="AG109" i="15"/>
  <c r="AH109" i="15"/>
  <c r="AI109" i="15"/>
  <c r="AJ109" i="15"/>
  <c r="AK109" i="15"/>
  <c r="AL109" i="15"/>
  <c r="AM109" i="15"/>
  <c r="AN109" i="15"/>
  <c r="AO109" i="15"/>
  <c r="AP109" i="15"/>
  <c r="AQ109" i="15"/>
  <c r="AR109" i="15"/>
  <c r="AS109" i="15"/>
  <c r="AT109" i="15"/>
  <c r="R114" i="15"/>
  <c r="R144" i="15"/>
  <c r="R217" i="15"/>
  <c r="V114" i="15"/>
  <c r="V144" i="15"/>
  <c r="V217" i="15"/>
  <c r="Z114" i="15"/>
  <c r="Z144" i="15"/>
  <c r="Z217" i="15"/>
  <c r="AD114" i="15"/>
  <c r="AD144" i="15"/>
  <c r="AD217" i="15"/>
  <c r="AH114" i="15"/>
  <c r="AH144" i="15"/>
  <c r="AH217" i="15"/>
  <c r="AL114" i="15"/>
  <c r="AL144" i="15"/>
  <c r="AL217" i="15"/>
  <c r="AP114" i="15"/>
  <c r="AP144" i="15"/>
  <c r="AP217" i="15"/>
  <c r="AT114" i="15"/>
  <c r="R116" i="15"/>
  <c r="V116" i="15"/>
  <c r="Z116" i="15"/>
  <c r="AD116" i="15"/>
  <c r="AH116" i="15"/>
  <c r="AL116" i="15"/>
  <c r="AP116" i="15"/>
  <c r="AT116" i="15"/>
  <c r="B136" i="15"/>
  <c r="B138" i="15"/>
  <c r="B139" i="15"/>
  <c r="B140" i="15"/>
  <c r="C141" i="15"/>
  <c r="C214" i="15"/>
  <c r="D141" i="15"/>
  <c r="D214" i="15"/>
  <c r="E141" i="15"/>
  <c r="E214" i="15"/>
  <c r="F141" i="15"/>
  <c r="G141" i="15"/>
  <c r="H141" i="15"/>
  <c r="I141" i="15"/>
  <c r="J141" i="15"/>
  <c r="K141" i="15"/>
  <c r="L141" i="15"/>
  <c r="O141" i="15"/>
  <c r="P141" i="15"/>
  <c r="Q141" i="15"/>
  <c r="R141" i="15"/>
  <c r="R214" i="15"/>
  <c r="S141" i="15"/>
  <c r="S214" i="15"/>
  <c r="T141" i="15"/>
  <c r="T214" i="15"/>
  <c r="U141" i="15"/>
  <c r="U214" i="15"/>
  <c r="V141" i="15"/>
  <c r="V214" i="15"/>
  <c r="W141" i="15"/>
  <c r="W214" i="15"/>
  <c r="X141" i="15"/>
  <c r="X214" i="15"/>
  <c r="Y141" i="15"/>
  <c r="Y214" i="15"/>
  <c r="Z141" i="15"/>
  <c r="Z214" i="15"/>
  <c r="AA141" i="15"/>
  <c r="AA214" i="15"/>
  <c r="AB141" i="15"/>
  <c r="AB214" i="15"/>
  <c r="C144" i="15"/>
  <c r="D144" i="15"/>
  <c r="E144" i="15"/>
  <c r="F144" i="15"/>
  <c r="G144" i="15"/>
  <c r="H144" i="15"/>
  <c r="I144" i="15"/>
  <c r="J144" i="15"/>
  <c r="K144" i="15"/>
  <c r="L144" i="15"/>
  <c r="AS144" i="15"/>
  <c r="AE150" i="15"/>
  <c r="B153" i="15"/>
  <c r="C153" i="15"/>
  <c r="D153" i="15"/>
  <c r="E153" i="15"/>
  <c r="F153" i="15"/>
  <c r="G153" i="15"/>
  <c r="H153" i="15"/>
  <c r="I153" i="15"/>
  <c r="J153" i="15"/>
  <c r="K153" i="15"/>
  <c r="L153" i="15"/>
  <c r="O153" i="15"/>
  <c r="S153" i="15"/>
  <c r="W153" i="15"/>
  <c r="X153" i="15"/>
  <c r="Y153" i="15"/>
  <c r="AA153" i="15"/>
  <c r="AB153" i="15"/>
  <c r="AC153" i="15"/>
  <c r="AE153" i="15"/>
  <c r="AF153" i="15"/>
  <c r="AG153" i="15"/>
  <c r="AI153" i="15"/>
  <c r="AJ153" i="15"/>
  <c r="AK153" i="15"/>
  <c r="AM153" i="15"/>
  <c r="AN153" i="15"/>
  <c r="AO153" i="15"/>
  <c r="AQ153" i="15"/>
  <c r="AR153" i="15"/>
  <c r="AS153" i="15"/>
  <c r="D154" i="15"/>
  <c r="E154" i="15"/>
  <c r="F154" i="15"/>
  <c r="G154" i="15"/>
  <c r="H154" i="15"/>
  <c r="I154" i="15"/>
  <c r="J154" i="15"/>
  <c r="K154" i="15"/>
  <c r="L154" i="15"/>
  <c r="S154" i="15"/>
  <c r="W154" i="15"/>
  <c r="AA154" i="15"/>
  <c r="AB154" i="15"/>
  <c r="AC154" i="15"/>
  <c r="AE154" i="15"/>
  <c r="AF154" i="15"/>
  <c r="AG154" i="15"/>
  <c r="AI154" i="15"/>
  <c r="AJ154" i="15"/>
  <c r="AK154" i="15"/>
  <c r="AM154" i="15"/>
  <c r="AN154" i="15"/>
  <c r="AO154" i="15"/>
  <c r="AQ154" i="15"/>
  <c r="AR154" i="15"/>
  <c r="AS154" i="15"/>
  <c r="B156" i="15"/>
  <c r="C156" i="15"/>
  <c r="D156" i="15"/>
  <c r="E156" i="15"/>
  <c r="F156" i="15"/>
  <c r="G156" i="15"/>
  <c r="H156" i="15"/>
  <c r="O156" i="15"/>
  <c r="S156" i="15"/>
  <c r="W156" i="15"/>
  <c r="X156" i="15"/>
  <c r="Y156" i="15"/>
  <c r="AA156" i="15"/>
  <c r="AB156" i="15"/>
  <c r="AC156" i="15"/>
  <c r="AF156" i="15"/>
  <c r="AG156" i="15"/>
  <c r="AJ156" i="15"/>
  <c r="AK156" i="15"/>
  <c r="D157" i="15"/>
  <c r="E157" i="15"/>
  <c r="F157" i="15"/>
  <c r="G157" i="15"/>
  <c r="H157" i="15"/>
  <c r="S157" i="15"/>
  <c r="W157" i="15"/>
  <c r="AA157" i="15"/>
  <c r="AB157" i="15"/>
  <c r="AC157" i="15"/>
  <c r="AF157" i="15"/>
  <c r="AG157" i="15"/>
  <c r="AJ157" i="15"/>
  <c r="AK157" i="15"/>
  <c r="C158" i="15"/>
  <c r="D158" i="15"/>
  <c r="E158" i="15"/>
  <c r="F158" i="15"/>
  <c r="G158" i="15"/>
  <c r="H158" i="15"/>
  <c r="O158" i="15"/>
  <c r="S158" i="15"/>
  <c r="W158" i="15"/>
  <c r="X158" i="15"/>
  <c r="Y158" i="15"/>
  <c r="AA158" i="15"/>
  <c r="AB158" i="15"/>
  <c r="AC158" i="15"/>
  <c r="AF158" i="15"/>
  <c r="AG158" i="15"/>
  <c r="AJ158" i="15"/>
  <c r="AK158" i="15"/>
  <c r="B160" i="15"/>
  <c r="B161" i="15"/>
  <c r="B162" i="15"/>
  <c r="C162" i="15"/>
  <c r="D162" i="15"/>
  <c r="E162" i="15"/>
  <c r="H162" i="15"/>
  <c r="I162" i="15"/>
  <c r="J162" i="15"/>
  <c r="K162" i="15"/>
  <c r="L162" i="15"/>
  <c r="O162" i="15"/>
  <c r="S162" i="15"/>
  <c r="W162" i="15"/>
  <c r="AA162" i="15"/>
  <c r="AE162" i="15"/>
  <c r="AI162" i="15"/>
  <c r="AM162" i="15"/>
  <c r="AQ162" i="15"/>
  <c r="B163" i="15"/>
  <c r="C163" i="15"/>
  <c r="D163" i="15"/>
  <c r="E163" i="15"/>
  <c r="F163" i="15"/>
  <c r="G163" i="15"/>
  <c r="H163" i="15"/>
  <c r="I163" i="15"/>
  <c r="J163" i="15"/>
  <c r="K163" i="15"/>
  <c r="O163" i="15"/>
  <c r="S163" i="15"/>
  <c r="W163" i="15"/>
  <c r="AA163" i="15"/>
  <c r="AE163" i="15"/>
  <c r="AI163" i="15"/>
  <c r="AM163" i="15"/>
  <c r="AQ163" i="15"/>
  <c r="B164" i="15"/>
  <c r="B165" i="15"/>
  <c r="B166" i="15"/>
  <c r="C166" i="15"/>
  <c r="D166" i="15"/>
  <c r="E166" i="15"/>
  <c r="F166" i="15"/>
  <c r="G166" i="15"/>
  <c r="H166" i="15"/>
  <c r="I166" i="15"/>
  <c r="J166" i="15"/>
  <c r="K166" i="15"/>
  <c r="O166" i="15"/>
  <c r="S166" i="15"/>
  <c r="W166" i="15"/>
  <c r="AA166" i="15"/>
  <c r="AI166" i="15"/>
  <c r="AM166" i="15"/>
  <c r="AQ166" i="15"/>
  <c r="B167" i="15"/>
  <c r="C167" i="15"/>
  <c r="D167" i="15"/>
  <c r="G167" i="15"/>
  <c r="H167" i="15"/>
  <c r="I167" i="15"/>
  <c r="J167" i="15"/>
  <c r="K167" i="15"/>
  <c r="L167" i="15"/>
  <c r="O167" i="15"/>
  <c r="S167" i="15"/>
  <c r="W167" i="15"/>
  <c r="X167" i="15"/>
  <c r="Y167" i="15"/>
  <c r="AA167" i="15"/>
  <c r="AB167" i="15"/>
  <c r="AC167" i="15"/>
  <c r="AE167" i="15"/>
  <c r="AI167" i="15"/>
  <c r="AM167" i="15"/>
  <c r="AN167" i="15"/>
  <c r="AQ167" i="15"/>
  <c r="B168" i="15"/>
  <c r="B169" i="15"/>
  <c r="D169" i="15"/>
  <c r="O169" i="15"/>
  <c r="S169" i="15"/>
  <c r="W169" i="15"/>
  <c r="AA169" i="15"/>
  <c r="AE169" i="15"/>
  <c r="AI169" i="15"/>
  <c r="AM169" i="15"/>
  <c r="AQ169" i="15"/>
  <c r="B170" i="15"/>
  <c r="H170" i="15"/>
  <c r="I170" i="15"/>
  <c r="J170" i="15"/>
  <c r="K170" i="15"/>
  <c r="L170" i="15"/>
  <c r="O170" i="15"/>
  <c r="AE170" i="15"/>
  <c r="AI170" i="15"/>
  <c r="AM170" i="15"/>
  <c r="AQ170" i="15"/>
  <c r="B171" i="15"/>
  <c r="C171" i="15"/>
  <c r="D171" i="15"/>
  <c r="E171" i="15"/>
  <c r="F171" i="15"/>
  <c r="G171" i="15"/>
  <c r="H171" i="15"/>
  <c r="I171" i="15"/>
  <c r="J171" i="15"/>
  <c r="K171" i="15"/>
  <c r="O171" i="15"/>
  <c r="S171" i="15"/>
  <c r="W171" i="15"/>
  <c r="AA171" i="15"/>
  <c r="AE171" i="15"/>
  <c r="AI171" i="15"/>
  <c r="AM171" i="15"/>
  <c r="AQ171" i="15"/>
  <c r="B172" i="15"/>
  <c r="C172" i="15"/>
  <c r="B173" i="15"/>
  <c r="S173" i="15"/>
  <c r="W173" i="15"/>
  <c r="AA173" i="15"/>
  <c r="AE173" i="15"/>
  <c r="AM173" i="15"/>
  <c r="AQ173" i="15"/>
  <c r="B174" i="15"/>
  <c r="B175" i="15"/>
  <c r="C175" i="15"/>
  <c r="D175" i="15"/>
  <c r="E175" i="15"/>
  <c r="F175" i="15"/>
  <c r="G175" i="15"/>
  <c r="H175" i="15"/>
  <c r="I175" i="15"/>
  <c r="J175" i="15"/>
  <c r="K175" i="15"/>
  <c r="O175" i="15"/>
  <c r="S175" i="15"/>
  <c r="W175" i="15"/>
  <c r="AA175" i="15"/>
  <c r="AE175" i="15"/>
  <c r="AI175" i="15"/>
  <c r="AM175" i="15"/>
  <c r="AQ175" i="15"/>
  <c r="B176" i="15"/>
  <c r="B177" i="15"/>
  <c r="C179" i="15"/>
  <c r="C255" i="15"/>
  <c r="D179" i="15"/>
  <c r="D255" i="15"/>
  <c r="E179" i="15"/>
  <c r="E255" i="15"/>
  <c r="F179" i="15"/>
  <c r="G179" i="15"/>
  <c r="H179" i="15"/>
  <c r="I179" i="15"/>
  <c r="J179" i="15"/>
  <c r="K179" i="15"/>
  <c r="L179" i="15"/>
  <c r="O179" i="15"/>
  <c r="O255" i="15"/>
  <c r="P179" i="15"/>
  <c r="P255" i="15"/>
  <c r="Q179" i="15"/>
  <c r="Q255" i="15"/>
  <c r="R179" i="15"/>
  <c r="R255" i="15"/>
  <c r="S179" i="15"/>
  <c r="S255" i="15"/>
  <c r="T179" i="15"/>
  <c r="T255" i="15"/>
  <c r="U179" i="15"/>
  <c r="U255" i="15"/>
  <c r="V179" i="15"/>
  <c r="V255" i="15"/>
  <c r="W179" i="15"/>
  <c r="W255" i="15"/>
  <c r="X179" i="15"/>
  <c r="X255" i="15"/>
  <c r="Y179" i="15"/>
  <c r="Y255" i="15"/>
  <c r="Z179" i="15"/>
  <c r="Z255" i="15"/>
  <c r="AA179" i="15"/>
  <c r="AA255" i="15"/>
  <c r="AB179" i="15"/>
  <c r="AB255" i="15"/>
  <c r="AC179" i="15"/>
  <c r="AC255" i="15"/>
  <c r="AD179" i="15"/>
  <c r="AD255" i="15"/>
  <c r="AE179" i="15"/>
  <c r="AE255" i="15"/>
  <c r="AF179" i="15"/>
  <c r="AF255" i="15"/>
  <c r="AG179" i="15"/>
  <c r="AG255" i="15"/>
  <c r="AH179" i="15"/>
  <c r="AH255" i="15"/>
  <c r="AI179" i="15"/>
  <c r="AI255" i="15"/>
  <c r="AJ179" i="15"/>
  <c r="AJ255" i="15"/>
  <c r="AK179" i="15"/>
  <c r="AK255" i="15"/>
  <c r="AL179" i="15"/>
  <c r="AL255" i="15"/>
  <c r="AM179" i="15"/>
  <c r="AM255" i="15"/>
  <c r="AN179" i="15"/>
  <c r="AN255" i="15"/>
  <c r="AO179" i="15"/>
  <c r="AO255" i="15"/>
  <c r="AP179" i="15"/>
  <c r="AP255" i="15"/>
  <c r="AQ179" i="15"/>
  <c r="AQ255" i="15"/>
  <c r="AR179" i="15"/>
  <c r="AR255" i="15"/>
  <c r="AS179" i="15"/>
  <c r="AS255" i="15"/>
  <c r="AT179" i="15"/>
  <c r="C181" i="15"/>
  <c r="D181" i="15"/>
  <c r="E181" i="15"/>
  <c r="F181" i="15"/>
  <c r="G181" i="15"/>
  <c r="H181" i="15"/>
  <c r="I181" i="15"/>
  <c r="J181" i="15"/>
  <c r="K181" i="15"/>
  <c r="L181" i="15"/>
  <c r="S181" i="15"/>
  <c r="T181" i="15"/>
  <c r="U181" i="15"/>
  <c r="W181" i="15"/>
  <c r="X181" i="15"/>
  <c r="Y181" i="15"/>
  <c r="AA181" i="15"/>
  <c r="AB181" i="15"/>
  <c r="AC181" i="15"/>
  <c r="AE181" i="15"/>
  <c r="AF181" i="15"/>
  <c r="AG181" i="15"/>
  <c r="AI181" i="15"/>
  <c r="AJ181" i="15"/>
  <c r="AK181" i="15"/>
  <c r="AM181" i="15"/>
  <c r="AN181" i="15"/>
  <c r="AO181" i="15"/>
  <c r="AQ181" i="15"/>
  <c r="AR181" i="15"/>
  <c r="AS181" i="15"/>
  <c r="B183" i="15"/>
  <c r="B184" i="15"/>
  <c r="C186" i="15"/>
  <c r="C264" i="15"/>
  <c r="D186" i="15"/>
  <c r="D264" i="15"/>
  <c r="E186" i="15"/>
  <c r="E264" i="15"/>
  <c r="F186" i="15"/>
  <c r="G186" i="15"/>
  <c r="H186" i="15"/>
  <c r="I186" i="15"/>
  <c r="J186" i="15"/>
  <c r="K186" i="15"/>
  <c r="L186" i="15"/>
  <c r="R186" i="15"/>
  <c r="R264" i="15"/>
  <c r="V186" i="15"/>
  <c r="V264" i="15"/>
  <c r="Z186" i="15"/>
  <c r="Z264" i="15"/>
  <c r="AD186" i="15"/>
  <c r="AD264" i="15"/>
  <c r="AH186" i="15"/>
  <c r="AH264" i="15"/>
  <c r="AL186" i="15"/>
  <c r="AL264" i="15"/>
  <c r="AP186" i="15"/>
  <c r="AP264" i="15"/>
  <c r="AS186" i="15"/>
  <c r="AS264" i="15"/>
  <c r="B190" i="15"/>
  <c r="B191" i="15"/>
  <c r="B193" i="15"/>
  <c r="B194" i="15"/>
  <c r="F203" i="15"/>
  <c r="F257" i="15"/>
  <c r="G203" i="15"/>
  <c r="G257" i="15"/>
  <c r="H203" i="15"/>
  <c r="H257" i="15"/>
  <c r="I203" i="15"/>
  <c r="I257" i="15"/>
  <c r="J203" i="15"/>
  <c r="J257" i="15"/>
  <c r="K203" i="15"/>
  <c r="K257" i="15"/>
  <c r="L203" i="15"/>
  <c r="L257" i="15"/>
  <c r="AT203" i="15"/>
  <c r="F204" i="15"/>
  <c r="G204" i="15"/>
  <c r="H204" i="15"/>
  <c r="I204" i="15"/>
  <c r="I205" i="15"/>
  <c r="J204" i="15"/>
  <c r="J205" i="15"/>
  <c r="AM204" i="15"/>
  <c r="AQ204" i="15"/>
  <c r="AT204" i="15"/>
  <c r="M204" i="15" s="1"/>
  <c r="F205" i="15"/>
  <c r="G205" i="15"/>
  <c r="H205" i="15"/>
  <c r="R205" i="15"/>
  <c r="S205" i="15"/>
  <c r="T205" i="15"/>
  <c r="U205" i="15"/>
  <c r="V205" i="15"/>
  <c r="J1105" i="17"/>
  <c r="W205" i="15"/>
  <c r="J1057" i="17"/>
  <c r="X205" i="15"/>
  <c r="J1007" i="17"/>
  <c r="Y205" i="15"/>
  <c r="Z205" i="15"/>
  <c r="AA205" i="15"/>
  <c r="AB205" i="15"/>
  <c r="AC205" i="15"/>
  <c r="J956" i="17"/>
  <c r="AD205" i="15"/>
  <c r="J905" i="17"/>
  <c r="AE205" i="15"/>
  <c r="J852" i="17"/>
  <c r="AF205" i="15"/>
  <c r="J801" i="17"/>
  <c r="AG205" i="15"/>
  <c r="J750" i="17"/>
  <c r="AH205" i="15"/>
  <c r="J701" i="17"/>
  <c r="AI205" i="15"/>
  <c r="J651" i="17"/>
  <c r="AJ205" i="15"/>
  <c r="AK205" i="15"/>
  <c r="AL205" i="15"/>
  <c r="J502" i="17"/>
  <c r="AM205" i="15"/>
  <c r="J452" i="17"/>
  <c r="AN205" i="15"/>
  <c r="J402" i="17"/>
  <c r="AO205" i="15"/>
  <c r="J352" i="17"/>
  <c r="AP205" i="15"/>
  <c r="J302" i="17"/>
  <c r="AQ205" i="15"/>
  <c r="J252" i="17"/>
  <c r="AR205" i="15"/>
  <c r="J194" i="17"/>
  <c r="AS205" i="15"/>
  <c r="AT205" i="15"/>
  <c r="C207" i="15"/>
  <c r="D207" i="15"/>
  <c r="E207" i="15"/>
  <c r="F207" i="15"/>
  <c r="G207" i="15"/>
  <c r="H207" i="15"/>
  <c r="I207" i="15"/>
  <c r="J207" i="15"/>
  <c r="K207" i="15"/>
  <c r="L207" i="15"/>
  <c r="O207" i="15"/>
  <c r="P207" i="15"/>
  <c r="Q207" i="15"/>
  <c r="R207" i="15"/>
  <c r="S207" i="15"/>
  <c r="T207" i="15"/>
  <c r="U207" i="15"/>
  <c r="V207" i="15"/>
  <c r="W207" i="15"/>
  <c r="X207" i="15"/>
  <c r="Y207" i="15"/>
  <c r="Z207" i="15"/>
  <c r="AA207" i="15"/>
  <c r="AB207" i="15"/>
  <c r="AC207" i="15"/>
  <c r="AD207" i="15"/>
  <c r="AE207" i="15"/>
  <c r="AF207" i="15"/>
  <c r="AG207" i="15"/>
  <c r="AH207" i="15"/>
  <c r="AI207" i="15"/>
  <c r="AJ207" i="15"/>
  <c r="AK207" i="15"/>
  <c r="AL207" i="15"/>
  <c r="AM207" i="15"/>
  <c r="AN207" i="15"/>
  <c r="AO207" i="15"/>
  <c r="AP207" i="15"/>
  <c r="AQ207" i="15"/>
  <c r="AR207" i="15"/>
  <c r="AS207" i="15"/>
  <c r="AT207" i="15"/>
  <c r="C217" i="15"/>
  <c r="D217" i="15"/>
  <c r="E217" i="15"/>
  <c r="F217" i="15"/>
  <c r="G217" i="15"/>
  <c r="H217" i="15"/>
  <c r="I217" i="15"/>
  <c r="J217" i="15"/>
  <c r="K217" i="15"/>
  <c r="L217" i="15"/>
  <c r="AS217" i="15"/>
  <c r="B226" i="15"/>
  <c r="C226" i="15"/>
  <c r="D226" i="15"/>
  <c r="E226" i="15"/>
  <c r="F226" i="15"/>
  <c r="G226" i="15"/>
  <c r="H226" i="15"/>
  <c r="I226" i="15"/>
  <c r="J226" i="15"/>
  <c r="O226" i="15"/>
  <c r="P226" i="15"/>
  <c r="S226" i="15"/>
  <c r="T226" i="15"/>
  <c r="W226" i="15"/>
  <c r="X226" i="15"/>
  <c r="Y226" i="15"/>
  <c r="Z226" i="15"/>
  <c r="AA226" i="15"/>
  <c r="AB226" i="15"/>
  <c r="AC226" i="15"/>
  <c r="AD226" i="15"/>
  <c r="AE226" i="15"/>
  <c r="AF226" i="15"/>
  <c r="AG226" i="15"/>
  <c r="AH226" i="15"/>
  <c r="AI226" i="15"/>
  <c r="AJ226" i="15"/>
  <c r="AK226" i="15"/>
  <c r="AL226" i="15"/>
  <c r="AM226" i="15"/>
  <c r="AN226" i="15"/>
  <c r="AO226" i="15"/>
  <c r="AP226" i="15"/>
  <c r="AQ226" i="15"/>
  <c r="AR226" i="15"/>
  <c r="AS226" i="15"/>
  <c r="AT226" i="15"/>
  <c r="B227" i="15"/>
  <c r="D227" i="15"/>
  <c r="E227" i="15"/>
  <c r="F227" i="15"/>
  <c r="G227" i="15"/>
  <c r="H227" i="15"/>
  <c r="I227" i="15"/>
  <c r="J227" i="15"/>
  <c r="S227" i="15"/>
  <c r="T227" i="15"/>
  <c r="W227" i="15"/>
  <c r="X227" i="15"/>
  <c r="AA227" i="15"/>
  <c r="AB227" i="15"/>
  <c r="AC227" i="15"/>
  <c r="AD227" i="15"/>
  <c r="AE227" i="15"/>
  <c r="AF227" i="15"/>
  <c r="AG227" i="15"/>
  <c r="AH227" i="15"/>
  <c r="AI227" i="15"/>
  <c r="AJ227" i="15"/>
  <c r="AK227" i="15"/>
  <c r="AL227" i="15"/>
  <c r="AM227" i="15"/>
  <c r="AN227" i="15"/>
  <c r="AO227" i="15"/>
  <c r="AP227" i="15"/>
  <c r="AQ227" i="15"/>
  <c r="AR227" i="15"/>
  <c r="AS227" i="15"/>
  <c r="AT227" i="15"/>
  <c r="B232" i="15"/>
  <c r="C232" i="15"/>
  <c r="D232" i="15"/>
  <c r="E232" i="15"/>
  <c r="F232" i="15"/>
  <c r="G232" i="15"/>
  <c r="H232" i="15"/>
  <c r="O232" i="15"/>
  <c r="S232" i="15"/>
  <c r="W232" i="15"/>
  <c r="X232" i="15"/>
  <c r="Y232" i="15"/>
  <c r="AA232" i="15"/>
  <c r="AB232" i="15"/>
  <c r="AC232" i="15"/>
  <c r="AF232" i="15"/>
  <c r="AG232" i="15"/>
  <c r="AJ232" i="15"/>
  <c r="AK232" i="15"/>
  <c r="D233" i="15"/>
  <c r="E233" i="15"/>
  <c r="F233" i="15"/>
  <c r="G233" i="15"/>
  <c r="H233" i="15"/>
  <c r="S233" i="15"/>
  <c r="W233" i="15"/>
  <c r="AA233" i="15"/>
  <c r="AB233" i="15"/>
  <c r="AC233" i="15"/>
  <c r="AF233" i="15"/>
  <c r="AG233" i="15"/>
  <c r="AJ233" i="15"/>
  <c r="AK233" i="15"/>
  <c r="C234" i="15"/>
  <c r="D234" i="15"/>
  <c r="E234" i="15"/>
  <c r="F234" i="15"/>
  <c r="G234" i="15"/>
  <c r="H234" i="15"/>
  <c r="O234" i="15"/>
  <c r="S234" i="15"/>
  <c r="W234" i="15"/>
  <c r="X234" i="15"/>
  <c r="Y234" i="15"/>
  <c r="AA234" i="15"/>
  <c r="AB234" i="15"/>
  <c r="AC234" i="15"/>
  <c r="AF234" i="15"/>
  <c r="AG234" i="15"/>
  <c r="AJ234" i="15"/>
  <c r="AK234" i="15"/>
  <c r="B236" i="15"/>
  <c r="B237" i="15"/>
  <c r="B238" i="15"/>
  <c r="C238" i="15"/>
  <c r="D238" i="15"/>
  <c r="E238" i="15"/>
  <c r="H238" i="15"/>
  <c r="I238" i="15"/>
  <c r="J238" i="15"/>
  <c r="O238" i="15"/>
  <c r="S238" i="15"/>
  <c r="W238" i="15"/>
  <c r="AA238" i="15"/>
  <c r="AE238" i="15"/>
  <c r="AI238" i="15"/>
  <c r="AM238" i="15"/>
  <c r="AQ238" i="15"/>
  <c r="B239" i="15"/>
  <c r="C239" i="15"/>
  <c r="D239" i="15"/>
  <c r="E239" i="15"/>
  <c r="F239" i="15"/>
  <c r="G239" i="15"/>
  <c r="H239" i="15"/>
  <c r="I239" i="15"/>
  <c r="J239" i="15"/>
  <c r="O239" i="15"/>
  <c r="S239" i="15"/>
  <c r="W239" i="15"/>
  <c r="AA239" i="15"/>
  <c r="AE239" i="15"/>
  <c r="AI239" i="15"/>
  <c r="AM239" i="15"/>
  <c r="AQ239" i="15"/>
  <c r="B240" i="15"/>
  <c r="B241" i="15"/>
  <c r="B242" i="15"/>
  <c r="C242" i="15"/>
  <c r="D242" i="15"/>
  <c r="F242" i="15"/>
  <c r="G242" i="15"/>
  <c r="O242" i="15"/>
  <c r="S242" i="15"/>
  <c r="W242" i="15"/>
  <c r="AA242" i="15"/>
  <c r="AI242" i="15"/>
  <c r="B243" i="15"/>
  <c r="C243" i="15"/>
  <c r="D243" i="15"/>
  <c r="O243" i="15"/>
  <c r="S243" i="15"/>
  <c r="W243" i="15"/>
  <c r="X243" i="15"/>
  <c r="Y243" i="15"/>
  <c r="AA243" i="15"/>
  <c r="AB243" i="15"/>
  <c r="AC243" i="15"/>
  <c r="AE243" i="15"/>
  <c r="AI243" i="15"/>
  <c r="AN243" i="15"/>
  <c r="B244" i="15"/>
  <c r="B245" i="15"/>
  <c r="D245" i="15"/>
  <c r="O245" i="15"/>
  <c r="S245" i="15"/>
  <c r="W245" i="15"/>
  <c r="AA245" i="15"/>
  <c r="AE245" i="15"/>
  <c r="AI245" i="15"/>
  <c r="B246" i="15"/>
  <c r="O246" i="15"/>
  <c r="AE246" i="15"/>
  <c r="AI246" i="15"/>
  <c r="B247" i="15"/>
  <c r="C247" i="15"/>
  <c r="D247" i="15"/>
  <c r="E247" i="15"/>
  <c r="O247" i="15"/>
  <c r="S247" i="15"/>
  <c r="W247" i="15"/>
  <c r="AA247" i="15"/>
  <c r="AE247" i="15"/>
  <c r="AI247" i="15"/>
  <c r="B248" i="15"/>
  <c r="C248" i="15"/>
  <c r="B249" i="15"/>
  <c r="S249" i="15"/>
  <c r="W249" i="15"/>
  <c r="AA249" i="15"/>
  <c r="AE249" i="15"/>
  <c r="B250" i="15"/>
  <c r="B251" i="15"/>
  <c r="C251" i="15"/>
  <c r="D251" i="15"/>
  <c r="E251" i="15"/>
  <c r="O251" i="15"/>
  <c r="S251" i="15"/>
  <c r="W251" i="15"/>
  <c r="AA251" i="15"/>
  <c r="AE251" i="15"/>
  <c r="AI251" i="15"/>
  <c r="B252" i="15"/>
  <c r="B253" i="15"/>
  <c r="C257" i="15"/>
  <c r="D257" i="15"/>
  <c r="E257" i="15"/>
  <c r="O257" i="15"/>
  <c r="P257" i="15"/>
  <c r="Q257" i="15"/>
  <c r="S257" i="15"/>
  <c r="T257" i="15"/>
  <c r="U257" i="15"/>
  <c r="W257" i="15"/>
  <c r="X257" i="15"/>
  <c r="Y257" i="15"/>
  <c r="AA257" i="15"/>
  <c r="AB257" i="15"/>
  <c r="AC257" i="15"/>
  <c r="AE257" i="15"/>
  <c r="AF257" i="15"/>
  <c r="AG257" i="15"/>
  <c r="AI257" i="15"/>
  <c r="AJ257" i="15"/>
  <c r="AK257" i="15"/>
  <c r="AM257" i="15"/>
  <c r="AN257" i="15"/>
  <c r="AO257" i="15"/>
  <c r="AQ257" i="15"/>
  <c r="AR257" i="15"/>
  <c r="AS257" i="15"/>
  <c r="C259" i="15"/>
  <c r="D259" i="15"/>
  <c r="O259" i="15"/>
  <c r="P259" i="15"/>
  <c r="Q259" i="15"/>
  <c r="B268" i="15"/>
  <c r="B269" i="15"/>
  <c r="B271" i="15"/>
  <c r="B272" i="15"/>
  <c r="B274" i="15"/>
  <c r="B276" i="15"/>
  <c r="B277" i="15"/>
  <c r="B279" i="15"/>
  <c r="J64" i="17"/>
  <c r="D66" i="17"/>
  <c r="D74" i="17"/>
  <c r="D84" i="17"/>
  <c r="D97" i="17"/>
  <c r="D102" i="17"/>
  <c r="D109" i="17"/>
  <c r="E97" i="17"/>
  <c r="E102" i="17"/>
  <c r="E109" i="17"/>
  <c r="D106" i="17"/>
  <c r="D113" i="17"/>
  <c r="D116" i="17"/>
  <c r="E116" i="17"/>
  <c r="D125" i="17"/>
  <c r="D127" i="17"/>
  <c r="J137" i="17"/>
  <c r="D139" i="17"/>
  <c r="D147" i="17"/>
  <c r="D157" i="17"/>
  <c r="D161" i="17"/>
  <c r="D164" i="17"/>
  <c r="D170" i="17"/>
  <c r="E170" i="17"/>
  <c r="D175" i="17"/>
  <c r="E175" i="17"/>
  <c r="D184" i="17"/>
  <c r="D185" i="17"/>
  <c r="D186" i="17"/>
  <c r="J193" i="17"/>
  <c r="I197" i="17"/>
  <c r="D198" i="17"/>
  <c r="I199" i="17"/>
  <c r="J199" i="17"/>
  <c r="E200" i="17"/>
  <c r="I200" i="17"/>
  <c r="I201" i="17"/>
  <c r="J201" i="17"/>
  <c r="E202" i="17"/>
  <c r="E203" i="17"/>
  <c r="E204" i="17"/>
  <c r="D206" i="17"/>
  <c r="J200" i="17"/>
  <c r="E207" i="17"/>
  <c r="E208" i="17"/>
  <c r="E209" i="17"/>
  <c r="E210" i="17"/>
  <c r="E211" i="17"/>
  <c r="E212" i="17"/>
  <c r="E214" i="17"/>
  <c r="D216" i="17"/>
  <c r="E217" i="17"/>
  <c r="E218" i="17"/>
  <c r="D220" i="17"/>
  <c r="D223" i="17"/>
  <c r="D229" i="17"/>
  <c r="E229" i="17"/>
  <c r="D236" i="17"/>
  <c r="E236" i="17"/>
  <c r="E238" i="17"/>
  <c r="E239" i="17"/>
  <c r="E240" i="17"/>
  <c r="E241" i="17"/>
  <c r="E242" i="17"/>
  <c r="E243" i="17"/>
  <c r="D245" i="17"/>
  <c r="D246" i="17"/>
  <c r="E246" i="17"/>
  <c r="D247" i="17"/>
  <c r="E247" i="17"/>
  <c r="J251" i="17"/>
  <c r="D258" i="17"/>
  <c r="D259" i="17"/>
  <c r="J258" i="17"/>
  <c r="D260" i="17"/>
  <c r="D261" i="17"/>
  <c r="D262" i="17"/>
  <c r="D263" i="17"/>
  <c r="J262" i="17"/>
  <c r="K262" i="17"/>
  <c r="E263" i="17"/>
  <c r="D264" i="17"/>
  <c r="J265" i="17"/>
  <c r="K265" i="17"/>
  <c r="E266" i="17"/>
  <c r="D267" i="17"/>
  <c r="D268" i="17"/>
  <c r="E268" i="17"/>
  <c r="D270" i="17"/>
  <c r="D273" i="17"/>
  <c r="E288" i="17"/>
  <c r="E289" i="17"/>
  <c r="E290" i="17"/>
  <c r="E291" i="17"/>
  <c r="E292" i="17"/>
  <c r="E293" i="17"/>
  <c r="D295" i="17"/>
  <c r="D296" i="17"/>
  <c r="J301" i="17"/>
  <c r="D308" i="17"/>
  <c r="D309" i="17"/>
  <c r="J308" i="17"/>
  <c r="D310" i="17"/>
  <c r="D311" i="17"/>
  <c r="D312" i="17"/>
  <c r="D313" i="17"/>
  <c r="J312" i="17"/>
  <c r="K312" i="17"/>
  <c r="E313" i="17"/>
  <c r="D314" i="17"/>
  <c r="J315" i="17"/>
  <c r="K315" i="17"/>
  <c r="E316" i="17"/>
  <c r="D317" i="17"/>
  <c r="D345" i="17"/>
  <c r="D346" i="17"/>
  <c r="J351" i="17"/>
  <c r="D358" i="17"/>
  <c r="E358" i="17"/>
  <c r="D359" i="17"/>
  <c r="D360" i="17"/>
  <c r="D361" i="17"/>
  <c r="D362" i="17"/>
  <c r="J361" i="17"/>
  <c r="K361" i="17"/>
  <c r="E362" i="17"/>
  <c r="D363" i="17"/>
  <c r="J362" i="17"/>
  <c r="K362" i="17"/>
  <c r="E363" i="17"/>
  <c r="D364" i="17"/>
  <c r="J365" i="17"/>
  <c r="K365" i="17"/>
  <c r="E366" i="17"/>
  <c r="D367" i="17"/>
  <c r="D368" i="17"/>
  <c r="D370" i="17"/>
  <c r="D373" i="17"/>
  <c r="E388" i="17"/>
  <c r="E389" i="17"/>
  <c r="E390" i="17"/>
  <c r="E391" i="17"/>
  <c r="E392" i="17"/>
  <c r="E393" i="17"/>
  <c r="D395" i="17"/>
  <c r="E395" i="17"/>
  <c r="D396" i="17"/>
  <c r="E396" i="17"/>
  <c r="D397" i="17"/>
  <c r="E397" i="17"/>
  <c r="J401" i="17"/>
  <c r="D408" i="17"/>
  <c r="E408" i="17"/>
  <c r="D409" i="17"/>
  <c r="J408" i="17"/>
  <c r="D410" i="17"/>
  <c r="D411" i="17"/>
  <c r="D412" i="17"/>
  <c r="D413" i="17"/>
  <c r="D414" i="17"/>
  <c r="J415" i="17"/>
  <c r="K415" i="17"/>
  <c r="E416" i="17"/>
  <c r="D417" i="17"/>
  <c r="D418" i="17"/>
  <c r="D420" i="17"/>
  <c r="D423" i="17"/>
  <c r="E438" i="17"/>
  <c r="E439" i="17"/>
  <c r="E440" i="17"/>
  <c r="E441" i="17"/>
  <c r="E442" i="17"/>
  <c r="E443" i="17"/>
  <c r="E445" i="17"/>
  <c r="D445" i="17"/>
  <c r="D446" i="17"/>
  <c r="E446" i="17"/>
  <c r="D447" i="17"/>
  <c r="E447" i="17"/>
  <c r="D448" i="17"/>
  <c r="J451" i="17"/>
  <c r="D458" i="17"/>
  <c r="E458" i="17" s="1"/>
  <c r="D459" i="17"/>
  <c r="D460" i="17"/>
  <c r="D461" i="17"/>
  <c r="J460" i="17"/>
  <c r="K460" i="17"/>
  <c r="E461" i="17"/>
  <c r="D462" i="17"/>
  <c r="D463" i="17"/>
  <c r="D464" i="17"/>
  <c r="J465" i="17"/>
  <c r="K465" i="17"/>
  <c r="E466" i="17"/>
  <c r="D467" i="17"/>
  <c r="J466" i="17"/>
  <c r="K466" i="17"/>
  <c r="E467" i="17"/>
  <c r="D468" i="17"/>
  <c r="D470" i="17"/>
  <c r="D473" i="17"/>
  <c r="E488" i="17"/>
  <c r="E489" i="17"/>
  <c r="E490" i="17"/>
  <c r="E491" i="17"/>
  <c r="E492" i="17"/>
  <c r="E493" i="17"/>
  <c r="D495" i="17"/>
  <c r="D496" i="17"/>
  <c r="E496" i="17"/>
  <c r="D497" i="17"/>
  <c r="E497" i="17"/>
  <c r="J501" i="17"/>
  <c r="D508" i="17"/>
  <c r="D509" i="17"/>
  <c r="J508" i="17"/>
  <c r="D510" i="17"/>
  <c r="J509" i="17"/>
  <c r="D511" i="17"/>
  <c r="D512" i="17"/>
  <c r="D513" i="17"/>
  <c r="D514" i="17"/>
  <c r="J515" i="17"/>
  <c r="K515" i="17"/>
  <c r="E516" i="17"/>
  <c r="D517" i="17"/>
  <c r="E538" i="17"/>
  <c r="E539" i="17"/>
  <c r="E540" i="17"/>
  <c r="E541" i="17"/>
  <c r="E542" i="17"/>
  <c r="E543" i="17"/>
  <c r="E545" i="17"/>
  <c r="D545" i="17"/>
  <c r="D546" i="17"/>
  <c r="E546" i="17"/>
  <c r="J551" i="17"/>
  <c r="D558" i="17"/>
  <c r="D559" i="17"/>
  <c r="J558" i="17"/>
  <c r="D560" i="17"/>
  <c r="J559" i="17"/>
  <c r="D561" i="17"/>
  <c r="J560" i="17"/>
  <c r="D562" i="17"/>
  <c r="J561" i="17"/>
  <c r="D563" i="17"/>
  <c r="J562" i="17"/>
  <c r="D564" i="17"/>
  <c r="J565" i="17"/>
  <c r="D567" i="17"/>
  <c r="D568" i="17"/>
  <c r="D573" i="17"/>
  <c r="E592" i="17"/>
  <c r="E593" i="17"/>
  <c r="D595" i="17"/>
  <c r="D596" i="17"/>
  <c r="E596" i="17"/>
  <c r="J601" i="17"/>
  <c r="D608" i="17"/>
  <c r="D609" i="17"/>
  <c r="J608" i="17"/>
  <c r="D610" i="17"/>
  <c r="J609" i="17"/>
  <c r="D611" i="17"/>
  <c r="J610" i="17"/>
  <c r="D612" i="17"/>
  <c r="J611" i="17"/>
  <c r="D613" i="17"/>
  <c r="J612" i="17"/>
  <c r="D614" i="17"/>
  <c r="J615" i="17"/>
  <c r="D617" i="17"/>
  <c r="J616" i="17"/>
  <c r="D618" i="17"/>
  <c r="D623" i="17"/>
  <c r="J622" i="17"/>
  <c r="E639" i="17"/>
  <c r="E640" i="17"/>
  <c r="E641" i="17"/>
  <c r="E642" i="17"/>
  <c r="E643" i="17"/>
  <c r="D645" i="17"/>
  <c r="D646" i="17"/>
  <c r="E646" i="17"/>
  <c r="D647" i="17"/>
  <c r="E647" i="17"/>
  <c r="J650" i="17"/>
  <c r="D657" i="17"/>
  <c r="E657" i="17"/>
  <c r="D658" i="17"/>
  <c r="D659" i="17"/>
  <c r="D660" i="17"/>
  <c r="D661" i="17"/>
  <c r="J660" i="17"/>
  <c r="K660" i="17"/>
  <c r="E661" i="17"/>
  <c r="D662" i="17"/>
  <c r="D663" i="17"/>
  <c r="J664" i="17"/>
  <c r="K664" i="17"/>
  <c r="E665" i="17"/>
  <c r="D666" i="17"/>
  <c r="D667" i="17"/>
  <c r="D672" i="17"/>
  <c r="E687" i="17"/>
  <c r="E688" i="17"/>
  <c r="E689" i="17"/>
  <c r="E690" i="17"/>
  <c r="E691" i="17"/>
  <c r="E692" i="17"/>
  <c r="D694" i="17"/>
  <c r="D695" i="17"/>
  <c r="E695" i="17"/>
  <c r="D696" i="17"/>
  <c r="J700" i="17"/>
  <c r="D707" i="17"/>
  <c r="D708" i="17"/>
  <c r="D709" i="17"/>
  <c r="D710" i="17"/>
  <c r="J709" i="17"/>
  <c r="K709" i="17"/>
  <c r="E710" i="17"/>
  <c r="D711" i="17"/>
  <c r="D712" i="17"/>
  <c r="D713" i="17"/>
  <c r="J714" i="17"/>
  <c r="K714" i="17"/>
  <c r="E715" i="17"/>
  <c r="D716" i="17"/>
  <c r="E737" i="17"/>
  <c r="E738" i="17"/>
  <c r="E739" i="17"/>
  <c r="E740" i="17"/>
  <c r="E741" i="17"/>
  <c r="E742" i="17"/>
  <c r="D744" i="17"/>
  <c r="E744" i="17"/>
  <c r="D745" i="17"/>
  <c r="E745" i="17"/>
  <c r="J749" i="17"/>
  <c r="D756" i="17"/>
  <c r="J756" i="17"/>
  <c r="J757" i="17"/>
  <c r="J758" i="17"/>
  <c r="J759" i="17"/>
  <c r="J760" i="17"/>
  <c r="D762" i="17"/>
  <c r="J763" i="17"/>
  <c r="J764" i="17"/>
  <c r="D766" i="17"/>
  <c r="D795" i="17"/>
  <c r="D771" i="17"/>
  <c r="D793" i="17"/>
  <c r="D794" i="17"/>
  <c r="J800" i="17"/>
  <c r="D807" i="17"/>
  <c r="E807" i="17"/>
  <c r="J807" i="17"/>
  <c r="K807" i="17"/>
  <c r="E808" i="17"/>
  <c r="J808" i="17"/>
  <c r="K808" i="17"/>
  <c r="E809" i="17"/>
  <c r="J809" i="17"/>
  <c r="K809" i="17"/>
  <c r="E810" i="17"/>
  <c r="J810" i="17"/>
  <c r="K810" i="17"/>
  <c r="E811" i="17"/>
  <c r="J811" i="17"/>
  <c r="K811" i="17"/>
  <c r="E812" i="17"/>
  <c r="D813" i="17"/>
  <c r="E813" i="17"/>
  <c r="J814" i="17"/>
  <c r="K814" i="17"/>
  <c r="E815" i="17"/>
  <c r="J815" i="17"/>
  <c r="K815" i="17"/>
  <c r="E816" i="17"/>
  <c r="D817" i="17"/>
  <c r="D819" i="17"/>
  <c r="D822" i="17"/>
  <c r="E837" i="17"/>
  <c r="E838" i="17"/>
  <c r="E839" i="17"/>
  <c r="E840" i="17"/>
  <c r="E841" i="17"/>
  <c r="E842" i="17"/>
  <c r="D844" i="17"/>
  <c r="E844" i="17"/>
  <c r="D845" i="17"/>
  <c r="E845" i="17"/>
  <c r="D846" i="17"/>
  <c r="J851" i="17"/>
  <c r="D858" i="17"/>
  <c r="E858" i="17" s="1"/>
  <c r="J858" i="17"/>
  <c r="K858" i="17"/>
  <c r="E859" i="17"/>
  <c r="J859" i="17"/>
  <c r="K859" i="17"/>
  <c r="E860" i="17"/>
  <c r="J860" i="17"/>
  <c r="K860" i="17"/>
  <c r="E861" i="17"/>
  <c r="J861" i="17"/>
  <c r="K861" i="17"/>
  <c r="E862" i="17"/>
  <c r="J862" i="17"/>
  <c r="K862" i="17"/>
  <c r="E863" i="17"/>
  <c r="D864" i="17"/>
  <c r="J865" i="17"/>
  <c r="K865" i="17"/>
  <c r="E866" i="17"/>
  <c r="J866" i="17"/>
  <c r="K866" i="17"/>
  <c r="E867" i="17"/>
  <c r="D868" i="17"/>
  <c r="D870" i="17"/>
  <c r="D873" i="17"/>
  <c r="E888" i="17"/>
  <c r="E889" i="17"/>
  <c r="E890" i="17"/>
  <c r="E891" i="17"/>
  <c r="E892" i="17"/>
  <c r="E893" i="17"/>
  <c r="D895" i="17"/>
  <c r="D896" i="17"/>
  <c r="E896" i="17"/>
  <c r="D897" i="17"/>
  <c r="E897" i="17"/>
  <c r="J904" i="17"/>
  <c r="D911" i="17"/>
  <c r="J911" i="17"/>
  <c r="J912" i="17"/>
  <c r="J913" i="17"/>
  <c r="J914" i="17"/>
  <c r="J915" i="17"/>
  <c r="D917" i="17"/>
  <c r="J918" i="17"/>
  <c r="J919" i="17"/>
  <c r="D948" i="17"/>
  <c r="D949" i="17"/>
  <c r="J955" i="17"/>
  <c r="D962" i="17"/>
  <c r="J962" i="17"/>
  <c r="E963" i="17"/>
  <c r="J963" i="17"/>
  <c r="J964" i="17"/>
  <c r="E965" i="17"/>
  <c r="J965" i="17"/>
  <c r="K965" i="17"/>
  <c r="E966" i="17"/>
  <c r="J966" i="17"/>
  <c r="K966" i="17"/>
  <c r="E967" i="17"/>
  <c r="D968" i="17"/>
  <c r="J969" i="17"/>
  <c r="K969" i="17"/>
  <c r="E970" i="17"/>
  <c r="J970" i="17"/>
  <c r="K970" i="17"/>
  <c r="E971" i="17"/>
  <c r="D972" i="17"/>
  <c r="D977" i="17"/>
  <c r="E992" i="17"/>
  <c r="E993" i="17"/>
  <c r="E994" i="17"/>
  <c r="E995" i="17"/>
  <c r="E996" i="17"/>
  <c r="E997" i="17"/>
  <c r="D999" i="17"/>
  <c r="E999" i="17"/>
  <c r="D1000" i="17"/>
  <c r="E1000" i="17"/>
  <c r="D1001" i="17"/>
  <c r="J1006" i="17"/>
  <c r="D1013" i="17"/>
  <c r="J1013" i="17"/>
  <c r="J1014" i="17"/>
  <c r="J1015" i="17"/>
  <c r="J1016" i="17"/>
  <c r="J1017" i="17"/>
  <c r="D1019" i="17"/>
  <c r="J1020" i="17"/>
  <c r="J1021" i="17"/>
  <c r="D1023" i="17"/>
  <c r="D1028" i="17"/>
  <c r="D1050" i="17"/>
  <c r="D1051" i="17"/>
  <c r="E1051" i="17"/>
  <c r="D1052" i="17"/>
  <c r="J1056" i="17"/>
  <c r="D1063" i="17"/>
  <c r="E1063" i="17"/>
  <c r="J1063" i="17"/>
  <c r="J1064" i="17"/>
  <c r="E1065" i="17"/>
  <c r="J1065" i="17"/>
  <c r="K1065" i="17"/>
  <c r="E1066" i="17"/>
  <c r="J1066" i="17"/>
  <c r="K1066" i="17"/>
  <c r="E1067" i="17"/>
  <c r="J1067" i="17"/>
  <c r="K1067" i="17"/>
  <c r="E1068" i="17"/>
  <c r="D1069" i="17"/>
  <c r="J1070" i="17"/>
  <c r="K1070" i="17"/>
  <c r="E1071" i="17"/>
  <c r="J1071" i="17"/>
  <c r="K1071" i="17"/>
  <c r="E1072" i="17"/>
  <c r="D1073" i="17"/>
  <c r="D1075" i="17"/>
  <c r="D1078" i="17"/>
  <c r="E1093" i="17"/>
  <c r="E1094" i="17"/>
  <c r="D1095" i="17"/>
  <c r="E1095" i="17"/>
  <c r="E1096" i="17"/>
  <c r="E1097" i="17"/>
  <c r="D1098" i="17"/>
  <c r="D1099" i="17"/>
  <c r="E1099" i="17"/>
  <c r="D1100" i="17"/>
  <c r="J1104" i="17"/>
  <c r="D1111" i="17"/>
  <c r="J1111" i="17"/>
  <c r="J1112" i="17"/>
  <c r="K1112" i="17"/>
  <c r="J1113" i="17"/>
  <c r="K1113" i="17"/>
  <c r="E1114" i="17"/>
  <c r="J1114" i="17"/>
  <c r="K1114" i="17"/>
  <c r="E1115" i="17"/>
  <c r="J1115" i="17"/>
  <c r="K1115" i="17"/>
  <c r="E1116" i="17"/>
  <c r="D1117" i="17"/>
  <c r="J1118" i="17"/>
  <c r="K1118" i="17"/>
  <c r="E1119" i="17"/>
  <c r="J1119" i="17"/>
  <c r="K1119" i="17"/>
  <c r="E1120" i="17"/>
  <c r="D1121" i="17"/>
  <c r="D1123" i="17"/>
  <c r="E1141" i="17"/>
  <c r="E1142" i="17"/>
  <c r="E1143" i="17"/>
  <c r="E1144" i="17"/>
  <c r="E1145" i="17"/>
  <c r="D1146" i="17"/>
  <c r="D1147" i="17"/>
  <c r="E1147" i="17"/>
  <c r="D1148" i="17"/>
  <c r="E1148" i="17"/>
  <c r="D1025" i="17"/>
  <c r="D1027" i="17"/>
  <c r="E694" i="17"/>
  <c r="J309" i="17"/>
  <c r="K309" i="17"/>
  <c r="E310" i="17"/>
  <c r="K560" i="17"/>
  <c r="K1017" i="17"/>
  <c r="K1020" i="17"/>
  <c r="K561" i="17"/>
  <c r="K562" i="17"/>
  <c r="K1021" i="17"/>
  <c r="K1015" i="17"/>
  <c r="K565" i="17"/>
  <c r="D796" i="17"/>
  <c r="K1016" i="17"/>
  <c r="K1014" i="17"/>
  <c r="J416" i="17"/>
  <c r="K416" i="17"/>
  <c r="E417" i="17"/>
  <c r="E566" i="17"/>
  <c r="E588" i="17"/>
  <c r="E591" i="17"/>
  <c r="E589" i="17"/>
  <c r="E562" i="17"/>
  <c r="E563" i="17"/>
  <c r="E590" i="17"/>
  <c r="E561" i="17"/>
  <c r="J659" i="17"/>
  <c r="K659" i="17"/>
  <c r="E660" i="17"/>
  <c r="E1013" i="17"/>
  <c r="E1016" i="17"/>
  <c r="E1022" i="17"/>
  <c r="E1043" i="17"/>
  <c r="E1045" i="17"/>
  <c r="E1048" i="17"/>
  <c r="E1015" i="17"/>
  <c r="E1017" i="17"/>
  <c r="E1018" i="17"/>
  <c r="E1044" i="17"/>
  <c r="E1047" i="17"/>
  <c r="E1014" i="17"/>
  <c r="E1021" i="17"/>
  <c r="E1046" i="17"/>
  <c r="E1049" i="17"/>
  <c r="D620" i="17"/>
  <c r="D624" i="17"/>
  <c r="D974" i="17"/>
  <c r="D978" i="17"/>
  <c r="D669" i="17"/>
  <c r="D673" i="17"/>
  <c r="D88" i="17"/>
  <c r="D126" i="17"/>
  <c r="D128" i="17"/>
  <c r="E32" i="17"/>
  <c r="E30" i="17"/>
  <c r="E1050" i="17"/>
  <c r="E1098" i="17"/>
  <c r="J461" i="17"/>
  <c r="K461" i="17"/>
  <c r="E462" i="17"/>
  <c r="E55" i="17"/>
  <c r="E54" i="17"/>
  <c r="E27" i="17"/>
  <c r="E26" i="17"/>
  <c r="E23" i="17"/>
  <c r="E21" i="17"/>
  <c r="E20" i="17"/>
  <c r="E19" i="17"/>
  <c r="E18" i="17"/>
  <c r="E17" i="17"/>
  <c r="E16" i="17"/>
  <c r="E13" i="17"/>
  <c r="E12" i="17"/>
  <c r="E11" i="17"/>
  <c r="E10" i="17"/>
  <c r="E9" i="17"/>
  <c r="E8" i="17"/>
  <c r="E517" i="17"/>
  <c r="J516" i="17"/>
  <c r="K516" i="17"/>
  <c r="J657" i="17"/>
  <c r="K657" i="17"/>
  <c r="E658" i="17"/>
  <c r="D29" i="17"/>
  <c r="D165" i="17"/>
  <c r="D768" i="17"/>
  <c r="D772" i="17"/>
  <c r="K1013" i="17"/>
  <c r="D1079" i="17"/>
  <c r="E1146" i="17"/>
  <c r="E1149" i="17"/>
  <c r="D39" i="17"/>
  <c r="E51" i="17"/>
  <c r="E50" i="17"/>
  <c r="E48" i="17"/>
  <c r="E46" i="17"/>
  <c r="E49" i="17"/>
  <c r="E47" i="17"/>
  <c r="E260" i="17"/>
  <c r="J259" i="17"/>
  <c r="K259" i="17"/>
  <c r="E261" i="17"/>
  <c r="J260" i="17"/>
  <c r="K260" i="17"/>
  <c r="E262" i="17"/>
  <c r="J261" i="17"/>
  <c r="K261" i="17"/>
  <c r="E267" i="17"/>
  <c r="J266" i="17"/>
  <c r="K266" i="17"/>
  <c r="E311" i="17"/>
  <c r="J310" i="17"/>
  <c r="K310" i="17"/>
  <c r="E312" i="17"/>
  <c r="J311" i="17"/>
  <c r="K311" i="17"/>
  <c r="E317" i="17"/>
  <c r="J316" i="17"/>
  <c r="K316" i="17"/>
  <c r="E359" i="17"/>
  <c r="J358" i="17"/>
  <c r="K358" i="17"/>
  <c r="J359" i="17"/>
  <c r="K359" i="17"/>
  <c r="E360" i="17"/>
  <c r="E361" i="17"/>
  <c r="J360" i="17"/>
  <c r="K360" i="17"/>
  <c r="E367" i="17"/>
  <c r="J366" i="17"/>
  <c r="K366" i="17"/>
  <c r="J409" i="17"/>
  <c r="K409" i="17"/>
  <c r="E410" i="17"/>
  <c r="E411" i="17"/>
  <c r="J410" i="17"/>
  <c r="K410" i="17"/>
  <c r="E412" i="17"/>
  <c r="J411" i="17"/>
  <c r="K411" i="17"/>
  <c r="J412" i="17"/>
  <c r="K412" i="17"/>
  <c r="E413" i="17"/>
  <c r="E459" i="17"/>
  <c r="J458" i="17"/>
  <c r="K458" i="17"/>
  <c r="E460" i="17"/>
  <c r="J459" i="17"/>
  <c r="K459" i="17"/>
  <c r="J462" i="17"/>
  <c r="K462" i="17"/>
  <c r="E463" i="17"/>
  <c r="E511" i="17"/>
  <c r="J510" i="17"/>
  <c r="K510" i="17"/>
  <c r="E512" i="17"/>
  <c r="J511" i="17"/>
  <c r="K511" i="17"/>
  <c r="J512" i="17"/>
  <c r="K512" i="17"/>
  <c r="E513" i="17"/>
  <c r="J566" i="17"/>
  <c r="K566" i="17"/>
  <c r="E567" i="17"/>
  <c r="J572" i="17"/>
  <c r="K572" i="17"/>
  <c r="E573" i="17"/>
  <c r="J658" i="17"/>
  <c r="K658" i="17"/>
  <c r="E659" i="17"/>
  <c r="E662" i="17"/>
  <c r="E663" i="17"/>
  <c r="J661" i="17"/>
  <c r="K661" i="17"/>
  <c r="E666" i="17"/>
  <c r="J665" i="17"/>
  <c r="K665" i="17"/>
  <c r="E708" i="17"/>
  <c r="J707" i="17"/>
  <c r="K707" i="17"/>
  <c r="E709" i="17"/>
  <c r="J708" i="17"/>
  <c r="K708" i="17"/>
  <c r="E711" i="17"/>
  <c r="J710" i="17"/>
  <c r="K710" i="17"/>
  <c r="J711" i="17"/>
  <c r="K711" i="17"/>
  <c r="E712" i="17"/>
  <c r="J715" i="17"/>
  <c r="K715" i="17"/>
  <c r="E716" i="17"/>
  <c r="J821" i="17"/>
  <c r="K821" i="17"/>
  <c r="E822" i="17"/>
  <c r="E846" i="17"/>
  <c r="E847" i="17"/>
  <c r="D847" i="17"/>
  <c r="E1001" i="17"/>
  <c r="E1002" i="17"/>
  <c r="D1002" i="17"/>
  <c r="E1112" i="17"/>
  <c r="E1113" i="17"/>
  <c r="D56" i="17"/>
  <c r="Z23" i="18"/>
  <c r="AS23" i="18"/>
  <c r="AT8" i="18"/>
  <c r="AH9" i="18"/>
  <c r="AH12" i="18"/>
  <c r="AH18" i="18"/>
  <c r="AK24" i="18"/>
  <c r="AG53" i="18"/>
  <c r="AG12" i="18"/>
  <c r="AG17" i="18"/>
  <c r="AS26" i="18"/>
  <c r="AT11" i="18"/>
  <c r="M11" i="18"/>
  <c r="AS30" i="18"/>
  <c r="V31" i="18"/>
  <c r="V53" i="18"/>
  <c r="U46" i="18"/>
  <c r="U53" i="18"/>
  <c r="Z31" i="18"/>
  <c r="Z46" i="18"/>
  <c r="Y46" i="18"/>
  <c r="AC46" i="18"/>
  <c r="AG46" i="18"/>
  <c r="AG47" i="18"/>
  <c r="AD32" i="18"/>
  <c r="AS32" i="18"/>
  <c r="R33" i="18"/>
  <c r="U48" i="18"/>
  <c r="C56" i="18"/>
  <c r="D56" i="18"/>
  <c r="E56" i="18"/>
  <c r="F56" i="18"/>
  <c r="G56" i="18"/>
  <c r="H56" i="18"/>
  <c r="I56" i="18"/>
  <c r="J56" i="18"/>
  <c r="K56" i="18"/>
  <c r="L56" i="18"/>
  <c r="O56" i="18"/>
  <c r="S56" i="18"/>
  <c r="W56" i="18"/>
  <c r="AA56" i="18"/>
  <c r="AH23" i="18"/>
  <c r="AL23" i="18"/>
  <c r="U25" i="18"/>
  <c r="R10" i="18"/>
  <c r="V25" i="18"/>
  <c r="AC54" i="18"/>
  <c r="AG25" i="18"/>
  <c r="AC25" i="18"/>
  <c r="AD10" i="18"/>
  <c r="P34" i="18"/>
  <c r="Q30" i="18"/>
  <c r="T34" i="18"/>
  <c r="V30" i="18"/>
  <c r="Y30" i="18"/>
  <c r="X34" i="18"/>
  <c r="AB34" i="18"/>
  <c r="AC34" i="18"/>
  <c r="AF34" i="18"/>
  <c r="AF35" i="18"/>
  <c r="AF38" i="18"/>
  <c r="AH30" i="18"/>
  <c r="AG34" i="18"/>
  <c r="AG35" i="18"/>
  <c r="AG38" i="18"/>
  <c r="AJ34" i="18"/>
  <c r="AJ35" i="18"/>
  <c r="AJ38" i="18"/>
  <c r="AL30" i="18"/>
  <c r="AK34" i="18"/>
  <c r="AN34" i="18"/>
  <c r="AP30" i="18"/>
  <c r="AO34" i="18"/>
  <c r="AR34" i="18"/>
  <c r="AS34" i="18"/>
  <c r="R31" i="18"/>
  <c r="AC39" i="18"/>
  <c r="AD31" i="18"/>
  <c r="AL31" i="18"/>
  <c r="AK39" i="18"/>
  <c r="AS39" i="18"/>
  <c r="AT31" i="18"/>
  <c r="M31" i="18"/>
  <c r="P40" i="18"/>
  <c r="Q32" i="18"/>
  <c r="T40" i="18"/>
  <c r="U32" i="18"/>
  <c r="U34" i="18"/>
  <c r="X40" i="18"/>
  <c r="Y32" i="18"/>
  <c r="P55" i="18"/>
  <c r="P41" i="18"/>
  <c r="Q55" i="18"/>
  <c r="T55" i="18"/>
  <c r="T41" i="18"/>
  <c r="U55" i="18"/>
  <c r="V33" i="18"/>
  <c r="X55" i="18"/>
  <c r="X41" i="18"/>
  <c r="Y33" i="18"/>
  <c r="AB55" i="18"/>
  <c r="AB41" i="18"/>
  <c r="AC55" i="18"/>
  <c r="AC41" i="18"/>
  <c r="AD33" i="18"/>
  <c r="AF55" i="18"/>
  <c r="AF41" i="18"/>
  <c r="AG55" i="18"/>
  <c r="AG41" i="18"/>
  <c r="AH55" i="18"/>
  <c r="AJ55" i="18"/>
  <c r="AJ41" i="18"/>
  <c r="AK55" i="18"/>
  <c r="AK41" i="18"/>
  <c r="AL55" i="18"/>
  <c r="AN55" i="18"/>
  <c r="AN41" i="18"/>
  <c r="AO55" i="18"/>
  <c r="AO41" i="18"/>
  <c r="AP55" i="18"/>
  <c r="AS55" i="18"/>
  <c r="AS41" i="18"/>
  <c r="AT33" i="18"/>
  <c r="M33" i="18"/>
  <c r="Q59" i="18"/>
  <c r="P62" i="18"/>
  <c r="AX73" i="18"/>
  <c r="P67" i="18"/>
  <c r="U59" i="18"/>
  <c r="T73" i="18"/>
  <c r="T62" i="18"/>
  <c r="T67" i="18"/>
  <c r="X73" i="18"/>
  <c r="X62" i="18"/>
  <c r="X67" i="18"/>
  <c r="Y62" i="18"/>
  <c r="Z59" i="18"/>
  <c r="Y73" i="18"/>
  <c r="Y67" i="18"/>
  <c r="AB73" i="18"/>
  <c r="AB62" i="18"/>
  <c r="AB67" i="18"/>
  <c r="AC73" i="18"/>
  <c r="AD59" i="18"/>
  <c r="AF62" i="18"/>
  <c r="AF67" i="18"/>
  <c r="AF73" i="18"/>
  <c r="AH59" i="18"/>
  <c r="AG73" i="18"/>
  <c r="AJ73" i="18"/>
  <c r="AJ62" i="18"/>
  <c r="AJ67" i="18"/>
  <c r="AK73" i="18"/>
  <c r="AK62" i="18"/>
  <c r="AK67" i="18"/>
  <c r="AL62" i="18"/>
  <c r="AL73" i="18"/>
  <c r="AN62" i="18"/>
  <c r="AN67" i="18"/>
  <c r="AN73" i="18"/>
  <c r="AP59" i="18"/>
  <c r="AO73" i="18"/>
  <c r="AS59" i="18"/>
  <c r="AR62" i="18"/>
  <c r="AR67" i="18"/>
  <c r="AR73" i="18"/>
  <c r="P68" i="18"/>
  <c r="AX74" i="18"/>
  <c r="R60" i="18"/>
  <c r="T74" i="18"/>
  <c r="U60" i="18"/>
  <c r="T68" i="18"/>
  <c r="X74" i="18"/>
  <c r="X68" i="18"/>
  <c r="Y74" i="18"/>
  <c r="Y68" i="18"/>
  <c r="Z60" i="18"/>
  <c r="AB74" i="18"/>
  <c r="AB68" i="18"/>
  <c r="AC74" i="18"/>
  <c r="AD74" i="18"/>
  <c r="AF74" i="18"/>
  <c r="AG60" i="18"/>
  <c r="AG62" i="18"/>
  <c r="AF68" i="18"/>
  <c r="AJ74" i="18"/>
  <c r="AJ68" i="18"/>
  <c r="AK74" i="18"/>
  <c r="AK68" i="18"/>
  <c r="AL68" i="18"/>
  <c r="AN74" i="18"/>
  <c r="AN68" i="18"/>
  <c r="AO74" i="18"/>
  <c r="AP74" i="18"/>
  <c r="AR74" i="18"/>
  <c r="AR68" i="18"/>
  <c r="AS74" i="18"/>
  <c r="AT74" i="18"/>
  <c r="P69" i="18"/>
  <c r="AX75" i="18"/>
  <c r="T75" i="18"/>
  <c r="T69" i="18"/>
  <c r="U75" i="18"/>
  <c r="V75" i="18"/>
  <c r="X69" i="18"/>
  <c r="X75" i="18"/>
  <c r="Z61" i="18"/>
  <c r="Y69" i="18"/>
  <c r="Y75" i="18"/>
  <c r="AB69" i="18"/>
  <c r="AC61" i="18"/>
  <c r="AC62" i="18"/>
  <c r="AB75" i="18"/>
  <c r="AF69" i="18"/>
  <c r="AF75" i="18"/>
  <c r="AG75" i="18"/>
  <c r="AH61" i="18"/>
  <c r="AJ69" i="18"/>
  <c r="AJ75" i="18"/>
  <c r="AK75" i="18"/>
  <c r="AK69" i="18"/>
  <c r="AL69" i="18"/>
  <c r="AL75" i="18"/>
  <c r="AN69" i="18"/>
  <c r="AN75" i="18"/>
  <c r="AO61" i="18"/>
  <c r="AO62" i="18"/>
  <c r="AR69" i="18"/>
  <c r="AS61" i="18"/>
  <c r="AR75" i="18"/>
  <c r="AU76" i="18"/>
  <c r="AU69" i="18"/>
  <c r="AU68" i="18"/>
  <c r="AU67" i="18"/>
  <c r="AU70" i="18"/>
  <c r="AU64" i="18"/>
  <c r="AU56" i="18"/>
  <c r="AU49" i="18"/>
  <c r="AU41" i="18"/>
  <c r="AU40" i="18"/>
  <c r="AU39" i="18"/>
  <c r="AU38" i="18"/>
  <c r="AU42" i="18"/>
  <c r="AU27" i="18"/>
  <c r="AU19" i="18"/>
  <c r="AU18" i="18"/>
  <c r="AU17" i="18"/>
  <c r="AU16" i="18"/>
  <c r="AU20" i="18"/>
  <c r="AU13" i="18"/>
  <c r="V23" i="18"/>
  <c r="Y12" i="18"/>
  <c r="Y17" i="18"/>
  <c r="Y24" i="18"/>
  <c r="Y53" i="18"/>
  <c r="Z9" i="18"/>
  <c r="AG24" i="18"/>
  <c r="AD9" i="18"/>
  <c r="AC53" i="18"/>
  <c r="AC24" i="18"/>
  <c r="AC12" i="18"/>
  <c r="AC17" i="18"/>
  <c r="AO12" i="18"/>
  <c r="AO17" i="18"/>
  <c r="AO24" i="18"/>
  <c r="AO53" i="18"/>
  <c r="AP9" i="18"/>
  <c r="AS9" i="18"/>
  <c r="AL25" i="18"/>
  <c r="AH54" i="18"/>
  <c r="AO54" i="18"/>
  <c r="AO25" i="18"/>
  <c r="AO18" i="18"/>
  <c r="AP10" i="18"/>
  <c r="AS10" i="18"/>
  <c r="R11" i="18"/>
  <c r="U26" i="18"/>
  <c r="Q12" i="18"/>
  <c r="Q19" i="18"/>
  <c r="Z26" i="18"/>
  <c r="V12" i="18"/>
  <c r="V19" i="18"/>
  <c r="V26" i="18"/>
  <c r="AH26" i="18"/>
  <c r="AD26" i="18"/>
  <c r="AP26" i="18"/>
  <c r="AL26" i="18"/>
  <c r="AL12" i="18"/>
  <c r="AL19" i="18"/>
  <c r="AT26" i="18"/>
  <c r="AR55" i="18"/>
  <c r="AU205" i="15"/>
  <c r="M21" i="15"/>
  <c r="C70" i="15"/>
  <c r="D70" i="15"/>
  <c r="E70" i="15"/>
  <c r="F70" i="15"/>
  <c r="G70" i="15"/>
  <c r="H70" i="15"/>
  <c r="O70" i="15"/>
  <c r="S70" i="15"/>
  <c r="W70" i="15"/>
  <c r="AA70" i="15"/>
  <c r="AW70" i="15"/>
  <c r="E245" i="17"/>
  <c r="E248" i="17"/>
  <c r="D274" i="17"/>
  <c r="E295" i="17"/>
  <c r="D424" i="17"/>
  <c r="D474" i="17"/>
  <c r="E495" i="17"/>
  <c r="E498" i="17"/>
  <c r="D823" i="17"/>
  <c r="D874" i="17"/>
  <c r="Q33" i="15"/>
  <c r="R7" i="15"/>
  <c r="Q13" i="18"/>
  <c r="Q226" i="15"/>
  <c r="Q34" i="15"/>
  <c r="Q10" i="15"/>
  <c r="U13" i="18"/>
  <c r="U79" i="15"/>
  <c r="U226" i="15"/>
  <c r="U34" i="15"/>
  <c r="U33" i="15"/>
  <c r="Y8" i="15"/>
  <c r="U8" i="15"/>
  <c r="U32" i="15"/>
  <c r="U30" i="15"/>
  <c r="U10" i="15"/>
  <c r="U11" i="15"/>
  <c r="V7" i="15"/>
  <c r="Q30" i="15"/>
  <c r="R9" i="15"/>
  <c r="R30" i="15"/>
  <c r="Q31" i="15"/>
  <c r="R12" i="15"/>
  <c r="Q32" i="15"/>
  <c r="R13" i="15"/>
  <c r="R32" i="15"/>
  <c r="AS27" i="15"/>
  <c r="I82" i="15"/>
  <c r="I136" i="15"/>
  <c r="I56" i="15"/>
  <c r="I60" i="15"/>
  <c r="I64" i="15"/>
  <c r="I70" i="15"/>
  <c r="J82" i="15"/>
  <c r="J136" i="15"/>
  <c r="J56" i="15"/>
  <c r="J60" i="15"/>
  <c r="J64" i="15"/>
  <c r="J70" i="15"/>
  <c r="K82" i="15"/>
  <c r="K136" i="15"/>
  <c r="K56" i="15"/>
  <c r="K60" i="15"/>
  <c r="K64" i="15"/>
  <c r="K70" i="15"/>
  <c r="K174" i="15"/>
  <c r="L82" i="15"/>
  <c r="L136" i="15"/>
  <c r="L56" i="15"/>
  <c r="L60" i="15"/>
  <c r="L64" i="15"/>
  <c r="L70" i="15"/>
  <c r="L174" i="15"/>
  <c r="P53" i="15"/>
  <c r="P56" i="15"/>
  <c r="U51" i="15"/>
  <c r="U53" i="15"/>
  <c r="T53" i="15"/>
  <c r="T56" i="15"/>
  <c r="Z53" i="15"/>
  <c r="Z56" i="15"/>
  <c r="AD82" i="15"/>
  <c r="AD136" i="15"/>
  <c r="AD137" i="15" s="1"/>
  <c r="AD56" i="15"/>
  <c r="AD53" i="15"/>
  <c r="AE53" i="15"/>
  <c r="AE56" i="15"/>
  <c r="AE60" i="15"/>
  <c r="AE64" i="15"/>
  <c r="AE70" i="15"/>
  <c r="AH82" i="15"/>
  <c r="AH136" i="15"/>
  <c r="AH137" i="15" s="1"/>
  <c r="AH53" i="15"/>
  <c r="AH56" i="15"/>
  <c r="AI53" i="15"/>
  <c r="AI56" i="15"/>
  <c r="AI60" i="15"/>
  <c r="AI64" i="15"/>
  <c r="AI70" i="15"/>
  <c r="AS66" i="15"/>
  <c r="D921" i="17"/>
  <c r="AD105" i="15"/>
  <c r="D717" i="17"/>
  <c r="AH105" i="15"/>
  <c r="D518" i="17"/>
  <c r="AL105" i="15"/>
  <c r="D318" i="17"/>
  <c r="AP105" i="15"/>
  <c r="C112" i="15"/>
  <c r="C111" i="15"/>
  <c r="D36" i="15"/>
  <c r="D112" i="15"/>
  <c r="D111" i="15"/>
  <c r="E36" i="15"/>
  <c r="E112" i="15"/>
  <c r="E111" i="15"/>
  <c r="F36" i="15"/>
  <c r="F112" i="15"/>
  <c r="F111" i="15"/>
  <c r="G36" i="15"/>
  <c r="G112" i="15"/>
  <c r="G111" i="15"/>
  <c r="H36" i="15"/>
  <c r="H112" i="15"/>
  <c r="H111" i="15"/>
  <c r="J36" i="15"/>
  <c r="J112" i="15"/>
  <c r="J111" i="15"/>
  <c r="K36" i="15"/>
  <c r="K112" i="15"/>
  <c r="K111" i="15"/>
  <c r="L36" i="15"/>
  <c r="L112" i="15"/>
  <c r="L111" i="15"/>
  <c r="O105" i="15"/>
  <c r="O114" i="15"/>
  <c r="P114" i="15"/>
  <c r="P105" i="15"/>
  <c r="Q114" i="15"/>
  <c r="Q105" i="15"/>
  <c r="S114" i="15"/>
  <c r="S105" i="15"/>
  <c r="T114" i="15"/>
  <c r="T105" i="15"/>
  <c r="U105" i="15"/>
  <c r="U114" i="15"/>
  <c r="W105" i="15"/>
  <c r="W114" i="15"/>
  <c r="X105" i="15"/>
  <c r="X114" i="15"/>
  <c r="Y105" i="15"/>
  <c r="Y114" i="15"/>
  <c r="AA105" i="15"/>
  <c r="AA114" i="15"/>
  <c r="AB114" i="15"/>
  <c r="AB105" i="15"/>
  <c r="AC105" i="15"/>
  <c r="AC114" i="15"/>
  <c r="AE105" i="15"/>
  <c r="AE114" i="15"/>
  <c r="AF105" i="15"/>
  <c r="AF114" i="15"/>
  <c r="AG105" i="15"/>
  <c r="AG114" i="15"/>
  <c r="AI114" i="15"/>
  <c r="AI105" i="15"/>
  <c r="AJ105" i="15"/>
  <c r="AJ114" i="15"/>
  <c r="AK105" i="15"/>
  <c r="AK114" i="15"/>
  <c r="AM114" i="15"/>
  <c r="AM105" i="15"/>
  <c r="AN105" i="15"/>
  <c r="AN114" i="15"/>
  <c r="AO105" i="15"/>
  <c r="AO114" i="15"/>
  <c r="AQ114" i="15"/>
  <c r="AQ105" i="15"/>
  <c r="AR114" i="15"/>
  <c r="AR105" i="15"/>
  <c r="AS36" i="15"/>
  <c r="AS112" i="15"/>
  <c r="AS111" i="15"/>
  <c r="AT22" i="15"/>
  <c r="Z105" i="15"/>
  <c r="AT105" i="15"/>
  <c r="E864" i="17"/>
  <c r="E201" i="17"/>
  <c r="E199" i="17"/>
  <c r="E223" i="17"/>
  <c r="D224" i="17"/>
  <c r="E296" i="17"/>
  <c r="E259" i="17"/>
  <c r="J472" i="17"/>
  <c r="K472" i="17"/>
  <c r="E473" i="17"/>
  <c r="E216" i="17"/>
  <c r="E198" i="17"/>
  <c r="E398" i="17"/>
  <c r="E895" i="17"/>
  <c r="E898" i="17"/>
  <c r="E409" i="17"/>
  <c r="K408" i="17"/>
  <c r="J422" i="17"/>
  <c r="K422" i="17"/>
  <c r="E423" i="17"/>
  <c r="E508" i="17"/>
  <c r="K508" i="17"/>
  <c r="K509" i="17"/>
  <c r="E510" i="17"/>
  <c r="E509" i="17"/>
  <c r="E696" i="17"/>
  <c r="E697" i="17"/>
  <c r="D697" i="17"/>
  <c r="E943" i="17"/>
  <c r="E912" i="17"/>
  <c r="K914" i="17"/>
  <c r="K918" i="17"/>
  <c r="E911" i="17"/>
  <c r="K911" i="17"/>
  <c r="E913" i="17"/>
  <c r="K913" i="17"/>
  <c r="E915" i="17"/>
  <c r="K919" i="17"/>
  <c r="E920" i="17"/>
  <c r="E942" i="17"/>
  <c r="E944" i="17"/>
  <c r="E946" i="17"/>
  <c r="E949" i="17"/>
  <c r="E916" i="17"/>
  <c r="K912" i="17"/>
  <c r="E914" i="17"/>
  <c r="K915" i="17"/>
  <c r="E919" i="17"/>
  <c r="E941" i="17"/>
  <c r="E945" i="17"/>
  <c r="D1029" i="17"/>
  <c r="K622" i="17"/>
  <c r="E448" i="17"/>
  <c r="J367" i="17"/>
  <c r="E368" i="17"/>
  <c r="E560" i="17"/>
  <c r="K559" i="17"/>
  <c r="E617" i="17"/>
  <c r="E623" i="17"/>
  <c r="K616" i="17"/>
  <c r="E638" i="17"/>
  <c r="E645" i="17"/>
  <c r="E648" i="17"/>
  <c r="E707" i="17"/>
  <c r="E1052" i="17"/>
  <c r="D1053" i="17"/>
  <c r="E1100" i="17"/>
  <c r="D1101" i="17"/>
  <c r="D1102" i="17"/>
  <c r="J267" i="17"/>
  <c r="D297" i="17"/>
  <c r="D597" i="17"/>
  <c r="D570" i="17"/>
  <c r="E609" i="17"/>
  <c r="K609" i="17"/>
  <c r="E608" i="17"/>
  <c r="E611" i="17"/>
  <c r="E610" i="17"/>
  <c r="E612" i="17"/>
  <c r="K615" i="17"/>
  <c r="K612" i="17"/>
  <c r="E616" i="17"/>
  <c r="K608" i="17"/>
  <c r="K610" i="17"/>
  <c r="K611" i="17"/>
  <c r="E613" i="17"/>
  <c r="J617" i="17"/>
  <c r="E618" i="17"/>
  <c r="J666" i="17"/>
  <c r="E667" i="17"/>
  <c r="K756" i="17"/>
  <c r="E757" i="17"/>
  <c r="K760" i="17"/>
  <c r="E764" i="17"/>
  <c r="E756" i="17"/>
  <c r="E760" i="17"/>
  <c r="K763" i="17"/>
  <c r="E765" i="17"/>
  <c r="E790" i="17"/>
  <c r="E788" i="17"/>
  <c r="E791" i="17"/>
  <c r="E759" i="17"/>
  <c r="E758" i="17"/>
  <c r="E794" i="17"/>
  <c r="E795" i="17"/>
  <c r="E786" i="17"/>
  <c r="K764" i="17"/>
  <c r="K757" i="17"/>
  <c r="K758" i="17"/>
  <c r="K759" i="17"/>
  <c r="E789" i="17"/>
  <c r="E787" i="17"/>
  <c r="E761" i="17"/>
  <c r="J770" i="17"/>
  <c r="K770" i="17"/>
  <c r="E771" i="17"/>
  <c r="J816" i="17"/>
  <c r="E817" i="17"/>
  <c r="E819" i="17"/>
  <c r="J872" i="17"/>
  <c r="K872" i="17"/>
  <c r="E873" i="17"/>
  <c r="K963" i="17"/>
  <c r="E964" i="17"/>
  <c r="E962" i="17"/>
  <c r="K964" i="17"/>
  <c r="K962" i="17"/>
  <c r="AU154" i="15"/>
  <c r="G264" i="15"/>
  <c r="J264" i="15"/>
  <c r="C46" i="15"/>
  <c r="F264" i="15"/>
  <c r="I264" i="15"/>
  <c r="AT255" i="15"/>
  <c r="K264" i="15"/>
  <c r="AX70" i="15"/>
  <c r="AA95" i="15"/>
  <c r="AB95" i="15"/>
  <c r="AC95" i="15"/>
  <c r="AD95" i="15"/>
  <c r="AE95" i="15"/>
  <c r="AF95" i="15"/>
  <c r="AG95" i="15"/>
  <c r="AH95" i="15"/>
  <c r="AI95" i="15"/>
  <c r="AJ95" i="15"/>
  <c r="AK95" i="15"/>
  <c r="AL95" i="15"/>
  <c r="AM95" i="15"/>
  <c r="AN95" i="15"/>
  <c r="AO95" i="15"/>
  <c r="AP95" i="15"/>
  <c r="AQ95" i="15"/>
  <c r="AR95" i="15"/>
  <c r="AS95" i="15"/>
  <c r="AT95" i="15"/>
  <c r="F259" i="15"/>
  <c r="G259" i="15"/>
  <c r="H259" i="15"/>
  <c r="I259" i="15"/>
  <c r="J259" i="15"/>
  <c r="K259" i="15"/>
  <c r="L259" i="15"/>
  <c r="M109" i="15"/>
  <c r="AB208" i="15"/>
  <c r="AC208" i="15"/>
  <c r="AD208" i="15"/>
  <c r="AE208" i="15"/>
  <c r="AF208" i="15"/>
  <c r="AG208" i="15"/>
  <c r="AH208" i="15"/>
  <c r="AI208" i="15"/>
  <c r="AJ208" i="15"/>
  <c r="AK208" i="15"/>
  <c r="AL208" i="15"/>
  <c r="AM208" i="15"/>
  <c r="AN208" i="15"/>
  <c r="AO208" i="15"/>
  <c r="AP208" i="15"/>
  <c r="AQ208" i="15"/>
  <c r="AR208" i="15"/>
  <c r="AS208" i="15"/>
  <c r="AT208" i="15"/>
  <c r="F211" i="15"/>
  <c r="G211" i="15"/>
  <c r="H211" i="15"/>
  <c r="I211" i="15"/>
  <c r="J211" i="15"/>
  <c r="F214" i="15"/>
  <c r="G214" i="15"/>
  <c r="H214" i="15"/>
  <c r="I214" i="15"/>
  <c r="J214" i="15"/>
  <c r="K214" i="15"/>
  <c r="L214" i="15"/>
  <c r="F255" i="15"/>
  <c r="G255" i="15"/>
  <c r="H255" i="15"/>
  <c r="I255" i="15"/>
  <c r="J255" i="15"/>
  <c r="K255" i="15"/>
  <c r="L255" i="15"/>
  <c r="H264" i="15"/>
  <c r="L264" i="15"/>
  <c r="E206" i="17"/>
  <c r="AN41" i="15"/>
  <c r="AO45" i="15"/>
  <c r="AS45" i="15"/>
  <c r="AW41" i="15"/>
  <c r="AX45" i="15"/>
  <c r="U56" i="15"/>
  <c r="Y52" i="15"/>
  <c r="AA82" i="15"/>
  <c r="Z82" i="15"/>
  <c r="AC82" i="15"/>
  <c r="AB82" i="15"/>
  <c r="AG82" i="15"/>
  <c r="AE82" i="15"/>
  <c r="AF82" i="15"/>
  <c r="AK82" i="15"/>
  <c r="AJ82" i="15"/>
  <c r="AI82" i="15"/>
  <c r="AL51" i="15"/>
  <c r="AL53" i="15"/>
  <c r="AX79" i="15"/>
  <c r="Q150" i="15"/>
  <c r="C72" i="15"/>
  <c r="D72" i="15"/>
  <c r="E72" i="15"/>
  <c r="F72" i="15"/>
  <c r="G72" i="15"/>
  <c r="H72" i="15"/>
  <c r="I72" i="15"/>
  <c r="J72" i="15"/>
  <c r="K72" i="15"/>
  <c r="L72" i="15"/>
  <c r="O72" i="15"/>
  <c r="S72" i="15"/>
  <c r="W72" i="15"/>
  <c r="AA72" i="15"/>
  <c r="AE72" i="15"/>
  <c r="AI72" i="15"/>
  <c r="AW72" i="15"/>
  <c r="K258" i="17"/>
  <c r="E258" i="17"/>
  <c r="J272" i="17"/>
  <c r="K272" i="17"/>
  <c r="E273" i="17"/>
  <c r="E309" i="17"/>
  <c r="K308" i="17"/>
  <c r="E308" i="17"/>
  <c r="J372" i="17"/>
  <c r="K372" i="17"/>
  <c r="D374" i="17"/>
  <c r="E373" i="17"/>
  <c r="J417" i="17"/>
  <c r="E418" i="17"/>
  <c r="J467" i="17"/>
  <c r="E468" i="17"/>
  <c r="E558" i="17"/>
  <c r="E559" i="17"/>
  <c r="K558" i="17"/>
  <c r="J567" i="17"/>
  <c r="E568" i="17"/>
  <c r="J671" i="17"/>
  <c r="K671" i="17"/>
  <c r="E672" i="17"/>
  <c r="J765" i="17"/>
  <c r="E766" i="17"/>
  <c r="J867" i="17"/>
  <c r="E868" i="17"/>
  <c r="E870" i="17"/>
  <c r="K1063" i="17"/>
  <c r="K1064" i="17"/>
  <c r="E1064" i="17"/>
  <c r="E1069" i="17"/>
  <c r="E1111" i="17"/>
  <c r="K1111" i="17"/>
  <c r="AU243" i="15"/>
  <c r="AU242" i="15"/>
  <c r="AU239" i="15"/>
  <c r="AU245" i="15"/>
  <c r="AU246" i="15"/>
  <c r="AU247" i="15"/>
  <c r="AU251" i="15"/>
  <c r="AU249" i="15"/>
  <c r="AU226" i="15"/>
  <c r="AU227" i="15"/>
  <c r="AU238" i="15"/>
  <c r="AU141" i="15"/>
  <c r="AU214" i="15"/>
  <c r="AU179" i="15"/>
  <c r="AU255" i="15"/>
  <c r="M114" i="15"/>
  <c r="AU105" i="15"/>
  <c r="AU36" i="15"/>
  <c r="AU248" i="15"/>
  <c r="AU172" i="15"/>
  <c r="AU241" i="15"/>
  <c r="AU165" i="15"/>
  <c r="AU237" i="15"/>
  <c r="AU161" i="15"/>
  <c r="AU11" i="15"/>
  <c r="AU16" i="15"/>
  <c r="M207" i="15"/>
  <c r="M43" i="15"/>
  <c r="M55" i="15"/>
  <c r="M78" i="15"/>
  <c r="P98" i="15"/>
  <c r="P153" i="15"/>
  <c r="Q153" i="15"/>
  <c r="Q98" i="15"/>
  <c r="R153" i="15"/>
  <c r="R98" i="15"/>
  <c r="T98" i="15"/>
  <c r="T153" i="15"/>
  <c r="U153" i="15"/>
  <c r="U98" i="15"/>
  <c r="V153" i="15"/>
  <c r="V154" i="15"/>
  <c r="V98" i="15"/>
  <c r="Z153" i="15"/>
  <c r="Z154" i="15"/>
  <c r="Z98" i="15"/>
  <c r="AD98" i="15"/>
  <c r="AD153" i="15"/>
  <c r="AH153" i="15"/>
  <c r="AH154" i="15"/>
  <c r="AH98" i="15"/>
  <c r="AL153" i="15"/>
  <c r="AL154" i="15"/>
  <c r="AL98" i="15"/>
  <c r="AP153" i="15"/>
  <c r="AP154" i="15"/>
  <c r="AP98" i="15"/>
  <c r="AT153" i="15"/>
  <c r="AT154" i="15"/>
  <c r="AT98" i="15"/>
  <c r="P99" i="15"/>
  <c r="P97" i="15"/>
  <c r="Q99" i="15"/>
  <c r="Q97" i="15"/>
  <c r="R99" i="15"/>
  <c r="R97" i="15"/>
  <c r="T97" i="15"/>
  <c r="T99" i="15"/>
  <c r="U97" i="15"/>
  <c r="U99" i="15"/>
  <c r="V97" i="15"/>
  <c r="V99" i="15"/>
  <c r="Z99" i="15"/>
  <c r="Z97" i="15"/>
  <c r="AD97" i="15"/>
  <c r="AD99" i="15"/>
  <c r="AH97" i="15"/>
  <c r="AH99" i="15"/>
  <c r="AL97" i="15"/>
  <c r="AL99" i="15"/>
  <c r="AP99" i="15"/>
  <c r="AP97" i="15"/>
  <c r="AT97" i="15"/>
  <c r="AT99" i="15"/>
  <c r="R31" i="15"/>
  <c r="V12" i="15"/>
  <c r="U31" i="15"/>
  <c r="U16" i="15"/>
  <c r="R18" i="15"/>
  <c r="U36" i="15" s="1"/>
  <c r="V18" i="15"/>
  <c r="R21" i="15"/>
  <c r="V21" i="15"/>
  <c r="C84" i="15"/>
  <c r="C35" i="18"/>
  <c r="D84" i="15"/>
  <c r="D35" i="18"/>
  <c r="E84" i="15"/>
  <c r="E35" i="18"/>
  <c r="F35" i="18"/>
  <c r="F84" i="15"/>
  <c r="G84" i="15"/>
  <c r="G35" i="18"/>
  <c r="H84" i="15"/>
  <c r="H35" i="18"/>
  <c r="I84" i="15"/>
  <c r="I35" i="18"/>
  <c r="J35" i="18"/>
  <c r="J84" i="15"/>
  <c r="K84" i="15"/>
  <c r="K35" i="18"/>
  <c r="L35" i="18"/>
  <c r="L84" i="15"/>
  <c r="O35" i="18"/>
  <c r="S35" i="18"/>
  <c r="W35" i="18"/>
  <c r="Z84" i="15"/>
  <c r="AA84" i="15"/>
  <c r="AB84" i="15"/>
  <c r="AC84" i="15"/>
  <c r="AA35" i="18"/>
  <c r="AD84" i="15"/>
  <c r="AE84" i="15"/>
  <c r="AF84" i="15"/>
  <c r="AD27" i="15"/>
  <c r="AG84" i="15"/>
  <c r="AE35" i="18"/>
  <c r="AH84" i="15"/>
  <c r="AI84" i="15"/>
  <c r="AJ84" i="15"/>
  <c r="AK84" i="15"/>
  <c r="AL84" i="15"/>
  <c r="AI35" i="18"/>
  <c r="AM84" i="15"/>
  <c r="AN84" i="15"/>
  <c r="AO84" i="15"/>
  <c r="AM35" i="18"/>
  <c r="AP84" i="15"/>
  <c r="AQ84" i="15"/>
  <c r="AR84" i="15"/>
  <c r="AS84" i="15"/>
  <c r="AQ35" i="18"/>
  <c r="AT84" i="15"/>
  <c r="AX35" i="18"/>
  <c r="Q45" i="15"/>
  <c r="P41" i="15"/>
  <c r="T41" i="15"/>
  <c r="U45" i="15"/>
  <c r="X41" i="15"/>
  <c r="Y45" i="15"/>
  <c r="AB45" i="15"/>
  <c r="AA41" i="15"/>
  <c r="AG45" i="15"/>
  <c r="AF41" i="15"/>
  <c r="AK45" i="15"/>
  <c r="AJ41" i="15"/>
  <c r="AR41" i="15"/>
  <c r="I50" i="15"/>
  <c r="I156" i="15"/>
  <c r="I232" i="15"/>
  <c r="J232" i="15"/>
  <c r="J156" i="15"/>
  <c r="J50" i="15"/>
  <c r="K50" i="15"/>
  <c r="K156" i="15"/>
  <c r="L156" i="15"/>
  <c r="L50" i="15"/>
  <c r="Q51" i="15"/>
  <c r="Q53" i="15"/>
  <c r="P156" i="15"/>
  <c r="P50" i="15"/>
  <c r="P232" i="15"/>
  <c r="T232" i="15"/>
  <c r="T50" i="15"/>
  <c r="T156" i="15"/>
  <c r="V51" i="15"/>
  <c r="V53" i="15"/>
  <c r="U232" i="15"/>
  <c r="U156" i="15"/>
  <c r="Z232" i="15"/>
  <c r="Z156" i="15"/>
  <c r="AD232" i="15"/>
  <c r="AD156" i="15"/>
  <c r="AE50" i="15"/>
  <c r="AE232" i="15"/>
  <c r="AE156" i="15"/>
  <c r="AH232" i="15"/>
  <c r="AH156" i="15"/>
  <c r="AI50" i="15"/>
  <c r="AI232" i="15"/>
  <c r="AI156" i="15"/>
  <c r="C236" i="15"/>
  <c r="C160" i="15"/>
  <c r="D236" i="15"/>
  <c r="D160" i="15"/>
  <c r="E236" i="15"/>
  <c r="E160" i="15"/>
  <c r="F236" i="15"/>
  <c r="F160" i="15"/>
  <c r="G236" i="15"/>
  <c r="G160" i="15"/>
  <c r="H236" i="15"/>
  <c r="H160" i="15"/>
  <c r="I236" i="15"/>
  <c r="I160" i="15"/>
  <c r="J160" i="15"/>
  <c r="J236" i="15"/>
  <c r="K160" i="15"/>
  <c r="L160" i="15"/>
  <c r="O236" i="15"/>
  <c r="O160" i="15"/>
  <c r="P160" i="15"/>
  <c r="P236" i="15"/>
  <c r="S160" i="15"/>
  <c r="S236" i="15"/>
  <c r="T160" i="15"/>
  <c r="T236" i="15"/>
  <c r="U160" i="15"/>
  <c r="U236" i="15"/>
  <c r="W160" i="15"/>
  <c r="W236" i="15"/>
  <c r="X160" i="15"/>
  <c r="X236" i="15"/>
  <c r="Y160" i="15"/>
  <c r="Y236" i="15"/>
  <c r="Z160" i="15"/>
  <c r="Z236" i="15"/>
  <c r="AA160" i="15"/>
  <c r="AA236" i="15"/>
  <c r="AB160" i="15"/>
  <c r="AB236" i="15"/>
  <c r="AC160" i="15"/>
  <c r="AC236" i="15"/>
  <c r="AD236" i="15"/>
  <c r="AD160" i="15"/>
  <c r="AE160" i="15"/>
  <c r="AE236" i="15"/>
  <c r="AF236" i="15"/>
  <c r="AF160" i="15"/>
  <c r="AG160" i="15"/>
  <c r="AG236" i="15"/>
  <c r="AH160" i="15"/>
  <c r="AH236" i="15"/>
  <c r="AI160" i="15"/>
  <c r="AI236" i="15"/>
  <c r="AJ160" i="15"/>
  <c r="AJ236" i="15"/>
  <c r="AK236" i="15"/>
  <c r="AK160" i="15"/>
  <c r="C161" i="15"/>
  <c r="C237" i="15"/>
  <c r="D237" i="15"/>
  <c r="D161" i="15"/>
  <c r="E161" i="15"/>
  <c r="E237" i="15"/>
  <c r="F237" i="15"/>
  <c r="F161" i="15"/>
  <c r="G237" i="15"/>
  <c r="G161" i="15"/>
  <c r="H237" i="15"/>
  <c r="H161" i="15"/>
  <c r="I237" i="15"/>
  <c r="I161" i="15"/>
  <c r="J161" i="15"/>
  <c r="J237" i="15"/>
  <c r="K161" i="15"/>
  <c r="L161" i="15"/>
  <c r="O161" i="15"/>
  <c r="P57" i="15"/>
  <c r="O237" i="15"/>
  <c r="S161" i="15"/>
  <c r="T57" i="15"/>
  <c r="S237" i="15"/>
  <c r="X57" i="15"/>
  <c r="W161" i="15"/>
  <c r="W237" i="15"/>
  <c r="AA237" i="15"/>
  <c r="AA161" i="15"/>
  <c r="AC57" i="15"/>
  <c r="AB161" i="15"/>
  <c r="AB237" i="15"/>
  <c r="AE161" i="15"/>
  <c r="AE237" i="15"/>
  <c r="AF237" i="15"/>
  <c r="AF161" i="15"/>
  <c r="AG57" i="15"/>
  <c r="AI237" i="15"/>
  <c r="AJ57" i="15"/>
  <c r="AI161" i="15"/>
  <c r="AM237" i="15"/>
  <c r="AN57" i="15"/>
  <c r="AM161" i="15"/>
  <c r="AQ237" i="15"/>
  <c r="AR57" i="15"/>
  <c r="AQ161" i="15"/>
  <c r="F238" i="15"/>
  <c r="F162" i="15"/>
  <c r="G238" i="15"/>
  <c r="G162" i="15"/>
  <c r="P162" i="15"/>
  <c r="P238" i="15"/>
  <c r="Q58" i="15"/>
  <c r="T238" i="15"/>
  <c r="T162" i="15"/>
  <c r="U162" i="15"/>
  <c r="U238" i="15"/>
  <c r="V58" i="15"/>
  <c r="X162" i="15"/>
  <c r="Y58" i="15"/>
  <c r="X238" i="15"/>
  <c r="AC58" i="15"/>
  <c r="AB238" i="15"/>
  <c r="AB162" i="15"/>
  <c r="AF162" i="15"/>
  <c r="AF238" i="15"/>
  <c r="AH58" i="15"/>
  <c r="AG238" i="15"/>
  <c r="AG162" i="15"/>
  <c r="AJ162" i="15"/>
  <c r="AJ238" i="15"/>
  <c r="AK58" i="15"/>
  <c r="AN162" i="15"/>
  <c r="AN238" i="15"/>
  <c r="AO162" i="15"/>
  <c r="AP58" i="15"/>
  <c r="AO238" i="15"/>
  <c r="AR162" i="15"/>
  <c r="AR238" i="15"/>
  <c r="AS58" i="15"/>
  <c r="L163" i="15"/>
  <c r="P163" i="15"/>
  <c r="P239" i="15"/>
  <c r="Q59" i="15"/>
  <c r="T239" i="15"/>
  <c r="T163" i="15"/>
  <c r="V59" i="15"/>
  <c r="U239" i="15"/>
  <c r="U163" i="15"/>
  <c r="X239" i="15"/>
  <c r="Y59" i="15"/>
  <c r="X163" i="15"/>
  <c r="AB239" i="15"/>
  <c r="AC59" i="15"/>
  <c r="AB163" i="15"/>
  <c r="AF163" i="15"/>
  <c r="AF239" i="15"/>
  <c r="AG239" i="15"/>
  <c r="AH59" i="15"/>
  <c r="AJ83" i="15"/>
  <c r="AJ138" i="15"/>
  <c r="AJ211" i="15"/>
  <c r="AG163" i="15"/>
  <c r="AJ163" i="15"/>
  <c r="AJ239" i="15"/>
  <c r="AK83" i="15"/>
  <c r="AK138" i="15"/>
  <c r="AK211" i="15"/>
  <c r="AL59" i="15"/>
  <c r="AK239" i="15"/>
  <c r="AK163" i="15"/>
  <c r="AN163" i="15"/>
  <c r="AN239" i="15"/>
  <c r="AO59" i="15"/>
  <c r="AN83" i="15"/>
  <c r="AN138" i="15"/>
  <c r="AN211" i="15"/>
  <c r="AR239" i="15"/>
  <c r="AR163" i="15"/>
  <c r="AS239" i="15"/>
  <c r="AS163" i="15"/>
  <c r="AT59" i="15"/>
  <c r="M59" i="15"/>
  <c r="C240" i="15"/>
  <c r="C164" i="15"/>
  <c r="D240" i="15"/>
  <c r="D164" i="15"/>
  <c r="E164" i="15"/>
  <c r="E240" i="15"/>
  <c r="F240" i="15"/>
  <c r="F164" i="15"/>
  <c r="G164" i="15"/>
  <c r="G240" i="15"/>
  <c r="H164" i="15"/>
  <c r="H240" i="15"/>
  <c r="I240" i="15"/>
  <c r="I164" i="15"/>
  <c r="J240" i="15"/>
  <c r="J164" i="15"/>
  <c r="K164" i="15"/>
  <c r="L164" i="15"/>
  <c r="O240" i="15"/>
  <c r="O164" i="15"/>
  <c r="S240" i="15"/>
  <c r="S164" i="15"/>
  <c r="W240" i="15"/>
  <c r="W164" i="15"/>
  <c r="AA240" i="15"/>
  <c r="AA164" i="15"/>
  <c r="AB240" i="15"/>
  <c r="AB164" i="15"/>
  <c r="AE240" i="15"/>
  <c r="AE164" i="15"/>
  <c r="AF164" i="15"/>
  <c r="AF240" i="15"/>
  <c r="AI240" i="15"/>
  <c r="AI164" i="15"/>
  <c r="C241" i="15"/>
  <c r="C85" i="15"/>
  <c r="C165" i="15"/>
  <c r="C40" i="15"/>
  <c r="D40" i="15"/>
  <c r="D165" i="15"/>
  <c r="D85" i="15"/>
  <c r="D241" i="15"/>
  <c r="E40" i="15"/>
  <c r="E241" i="15"/>
  <c r="E165" i="15"/>
  <c r="E85" i="15"/>
  <c r="F165" i="15"/>
  <c r="F85" i="15"/>
  <c r="F241" i="15"/>
  <c r="F40" i="15"/>
  <c r="G85" i="15"/>
  <c r="G40" i="15"/>
  <c r="G165" i="15"/>
  <c r="G241" i="15"/>
  <c r="H241" i="15"/>
  <c r="H85" i="15"/>
  <c r="H40" i="15"/>
  <c r="H165" i="15"/>
  <c r="I40" i="15"/>
  <c r="I85" i="15"/>
  <c r="I165" i="15"/>
  <c r="I241" i="15"/>
  <c r="J241" i="15"/>
  <c r="J85" i="15"/>
  <c r="J40" i="15"/>
  <c r="J165" i="15"/>
  <c r="K40" i="15"/>
  <c r="K85" i="15"/>
  <c r="K165" i="15"/>
  <c r="L165" i="15"/>
  <c r="L85" i="15"/>
  <c r="L40" i="15"/>
  <c r="P61" i="15"/>
  <c r="O241" i="15"/>
  <c r="O40" i="15"/>
  <c r="O165" i="15"/>
  <c r="S241" i="15"/>
  <c r="T61" i="15"/>
  <c r="S40" i="15"/>
  <c r="S165" i="15"/>
  <c r="X61" i="15"/>
  <c r="W165" i="15"/>
  <c r="W40" i="15"/>
  <c r="W241" i="15"/>
  <c r="AB61" i="15"/>
  <c r="AA40" i="15"/>
  <c r="AA241" i="15"/>
  <c r="AA165" i="15"/>
  <c r="AF61" i="15"/>
  <c r="AE40" i="15"/>
  <c r="AE241" i="15"/>
  <c r="AE165" i="15"/>
  <c r="AI241" i="15"/>
  <c r="AI40" i="15"/>
  <c r="AI165" i="15"/>
  <c r="AJ61" i="15"/>
  <c r="AM241" i="15"/>
  <c r="AM165" i="15"/>
  <c r="AM40" i="15"/>
  <c r="AN40" i="15"/>
  <c r="AO61" i="15"/>
  <c r="AN241" i="15"/>
  <c r="AN165" i="15"/>
  <c r="AQ165" i="15"/>
  <c r="AQ40" i="15"/>
  <c r="AQ241" i="15"/>
  <c r="AR61" i="15"/>
  <c r="AW40" i="15"/>
  <c r="AX40" i="15"/>
  <c r="L166" i="15"/>
  <c r="P242" i="15"/>
  <c r="P166" i="15"/>
  <c r="Q62" i="15"/>
  <c r="T242" i="15"/>
  <c r="T166" i="15"/>
  <c r="U166" i="15"/>
  <c r="U242" i="15"/>
  <c r="V62" i="15"/>
  <c r="X166" i="15"/>
  <c r="X242" i="15"/>
  <c r="Y62" i="15"/>
  <c r="AB166" i="15"/>
  <c r="AB242" i="15"/>
  <c r="AC62" i="15"/>
  <c r="AF62" i="15"/>
  <c r="AE242" i="15"/>
  <c r="AE166" i="15"/>
  <c r="AK62" i="15"/>
  <c r="AJ242" i="15"/>
  <c r="AJ166" i="15"/>
  <c r="AN242" i="15"/>
  <c r="AN166" i="15"/>
  <c r="AO166" i="15"/>
  <c r="AP62" i="15"/>
  <c r="AO242" i="15"/>
  <c r="AS62" i="15"/>
  <c r="AR166" i="15"/>
  <c r="AR242" i="15"/>
  <c r="E243" i="15"/>
  <c r="E167" i="15"/>
  <c r="F243" i="15"/>
  <c r="F167" i="15"/>
  <c r="Q63" i="15"/>
  <c r="P167" i="15"/>
  <c r="P243" i="15"/>
  <c r="U63" i="15"/>
  <c r="T167" i="15"/>
  <c r="T243" i="15"/>
  <c r="Z243" i="15"/>
  <c r="Z167" i="15"/>
  <c r="AD243" i="15"/>
  <c r="AD167" i="15"/>
  <c r="AF243" i="15"/>
  <c r="AG63" i="15"/>
  <c r="AF167" i="15"/>
  <c r="AK63" i="15"/>
  <c r="AJ243" i="15"/>
  <c r="AJ167" i="15"/>
  <c r="AP63" i="15"/>
  <c r="AO243" i="15"/>
  <c r="AO167" i="15"/>
  <c r="AS63" i="15"/>
  <c r="AR243" i="15"/>
  <c r="AR167" i="15"/>
  <c r="C244" i="15"/>
  <c r="C86" i="15"/>
  <c r="C140" i="15"/>
  <c r="C213" i="15"/>
  <c r="C168" i="15"/>
  <c r="D168" i="15"/>
  <c r="D86" i="15"/>
  <c r="D140" i="15"/>
  <c r="D213" i="15"/>
  <c r="D244" i="15"/>
  <c r="E168" i="15"/>
  <c r="E244" i="15"/>
  <c r="E86" i="15"/>
  <c r="E140" i="15"/>
  <c r="E213" i="15"/>
  <c r="F86" i="15"/>
  <c r="F140" i="15"/>
  <c r="F213" i="15"/>
  <c r="F244" i="15"/>
  <c r="F168" i="15"/>
  <c r="G244" i="15"/>
  <c r="G168" i="15"/>
  <c r="G86" i="15"/>
  <c r="G140" i="15"/>
  <c r="G213" i="15"/>
  <c r="H168" i="15"/>
  <c r="H86" i="15"/>
  <c r="H140" i="15"/>
  <c r="H213" i="15"/>
  <c r="H244" i="15"/>
  <c r="I244" i="15"/>
  <c r="I86" i="15"/>
  <c r="I140" i="15"/>
  <c r="I213" i="15"/>
  <c r="I168" i="15"/>
  <c r="J168" i="15"/>
  <c r="J244" i="15"/>
  <c r="J86" i="15"/>
  <c r="J140" i="15"/>
  <c r="J213" i="15"/>
  <c r="K86" i="15"/>
  <c r="K140" i="15"/>
  <c r="K168" i="15"/>
  <c r="L86" i="15"/>
  <c r="L140" i="15"/>
  <c r="L168" i="15"/>
  <c r="O168" i="15"/>
  <c r="O244" i="15"/>
  <c r="S244" i="15"/>
  <c r="S168" i="15"/>
  <c r="W168" i="15"/>
  <c r="W244" i="15"/>
  <c r="AA168" i="15"/>
  <c r="AA244" i="15"/>
  <c r="AE168" i="15"/>
  <c r="AE244" i="15"/>
  <c r="AI168" i="15"/>
  <c r="AI244" i="15"/>
  <c r="C245" i="15"/>
  <c r="C169" i="15"/>
  <c r="E169" i="15"/>
  <c r="E245" i="15"/>
  <c r="F169" i="15"/>
  <c r="F245" i="15"/>
  <c r="G245" i="15"/>
  <c r="G169" i="15"/>
  <c r="H245" i="15"/>
  <c r="H169" i="15"/>
  <c r="I245" i="15"/>
  <c r="I169" i="15"/>
  <c r="J245" i="15"/>
  <c r="J169" i="15"/>
  <c r="K169" i="15"/>
  <c r="L169" i="15"/>
  <c r="P245" i="15"/>
  <c r="P169" i="15"/>
  <c r="Q245" i="15"/>
  <c r="R65" i="15"/>
  <c r="Q169" i="15"/>
  <c r="T169" i="15"/>
  <c r="U65" i="15"/>
  <c r="T245" i="15"/>
  <c r="X169" i="15"/>
  <c r="X245" i="15"/>
  <c r="Y169" i="15"/>
  <c r="Z65" i="15"/>
  <c r="Y245" i="15"/>
  <c r="AB169" i="15"/>
  <c r="AB245" i="15"/>
  <c r="AC169" i="15"/>
  <c r="AD65" i="15"/>
  <c r="AC245" i="15"/>
  <c r="AF245" i="15"/>
  <c r="AF169" i="15"/>
  <c r="AG65" i="15"/>
  <c r="AK65" i="15"/>
  <c r="AJ245" i="15"/>
  <c r="AJ169" i="15"/>
  <c r="AN169" i="15"/>
  <c r="AN245" i="15"/>
  <c r="AO65" i="15"/>
  <c r="AR245" i="15"/>
  <c r="AR169" i="15"/>
  <c r="AS65" i="15"/>
  <c r="C246" i="15"/>
  <c r="C170" i="15"/>
  <c r="D170" i="15"/>
  <c r="D246" i="15"/>
  <c r="E170" i="15"/>
  <c r="E246" i="15"/>
  <c r="F246" i="15"/>
  <c r="F170" i="15"/>
  <c r="G170" i="15"/>
  <c r="G246" i="15"/>
  <c r="P170" i="15"/>
  <c r="Q66" i="15"/>
  <c r="P246" i="15"/>
  <c r="S170" i="15"/>
  <c r="S246" i="15"/>
  <c r="T246" i="15"/>
  <c r="U66" i="15"/>
  <c r="T170" i="15"/>
  <c r="W246" i="15"/>
  <c r="X66" i="15"/>
  <c r="W170" i="15"/>
  <c r="AA246" i="15"/>
  <c r="AA170" i="15"/>
  <c r="AB246" i="15"/>
  <c r="AB170" i="15"/>
  <c r="AC66" i="15"/>
  <c r="AF246" i="15"/>
  <c r="AG66" i="15"/>
  <c r="AF170" i="15"/>
  <c r="AK66" i="15"/>
  <c r="AJ170" i="15"/>
  <c r="AJ246" i="15"/>
  <c r="AN246" i="15"/>
  <c r="AO66" i="15"/>
  <c r="AN170" i="15"/>
  <c r="AR170" i="15"/>
  <c r="AR246" i="15"/>
  <c r="AS170" i="15"/>
  <c r="AS246" i="15"/>
  <c r="AT66" i="15"/>
  <c r="M66" i="15"/>
  <c r="L171" i="15"/>
  <c r="Q67" i="15"/>
  <c r="P171" i="15"/>
  <c r="P247" i="15"/>
  <c r="T247" i="15"/>
  <c r="U67" i="15"/>
  <c r="T171" i="15"/>
  <c r="X247" i="15"/>
  <c r="X171" i="15"/>
  <c r="Z67" i="15"/>
  <c r="Y171" i="15"/>
  <c r="Y247" i="15"/>
  <c r="AC67" i="15"/>
  <c r="AB247" i="15"/>
  <c r="AB171" i="15"/>
  <c r="AF171" i="15"/>
  <c r="AF247" i="15"/>
  <c r="AG67" i="15"/>
  <c r="AJ247" i="15"/>
  <c r="AJ171" i="15"/>
  <c r="AL67" i="15"/>
  <c r="AK247" i="15"/>
  <c r="AK171" i="15"/>
  <c r="AN247" i="15"/>
  <c r="AN171" i="15"/>
  <c r="AP67" i="15"/>
  <c r="AO171" i="15"/>
  <c r="AO247" i="15"/>
  <c r="AR171" i="15"/>
  <c r="AR247" i="15"/>
  <c r="AT67" i="15"/>
  <c r="M67" i="15"/>
  <c r="AS247" i="15"/>
  <c r="AS171" i="15"/>
  <c r="D248" i="15"/>
  <c r="D172" i="15"/>
  <c r="E248" i="15"/>
  <c r="E172" i="15"/>
  <c r="F248" i="15"/>
  <c r="F172" i="15"/>
  <c r="G248" i="15"/>
  <c r="G172" i="15"/>
  <c r="H248" i="15"/>
  <c r="H172" i="15"/>
  <c r="I248" i="15"/>
  <c r="I172" i="15"/>
  <c r="J248" i="15"/>
  <c r="J172" i="15"/>
  <c r="K172" i="15"/>
  <c r="L172" i="15"/>
  <c r="O172" i="15"/>
  <c r="O248" i="15"/>
  <c r="P172" i="15"/>
  <c r="P248" i="15"/>
  <c r="Q68" i="15"/>
  <c r="S172" i="15"/>
  <c r="S248" i="15"/>
  <c r="T68" i="15"/>
  <c r="W172" i="15"/>
  <c r="W248" i="15"/>
  <c r="X68" i="15"/>
  <c r="AA248" i="15"/>
  <c r="AA172" i="15"/>
  <c r="AB68" i="15"/>
  <c r="AF68" i="15"/>
  <c r="AE248" i="15"/>
  <c r="AE172" i="15"/>
  <c r="AI172" i="15"/>
  <c r="AI248" i="15"/>
  <c r="AK68" i="15"/>
  <c r="AJ248" i="15"/>
  <c r="AJ172" i="15"/>
  <c r="AM248" i="15"/>
  <c r="AM172" i="15"/>
  <c r="AO68" i="15"/>
  <c r="AN172" i="15"/>
  <c r="AN248" i="15"/>
  <c r="AQ172" i="15"/>
  <c r="AQ248" i="15"/>
  <c r="AR68" i="15"/>
  <c r="C173" i="15"/>
  <c r="C249" i="15"/>
  <c r="D173" i="15"/>
  <c r="D249" i="15"/>
  <c r="E173" i="15"/>
  <c r="E249" i="15"/>
  <c r="F173" i="15"/>
  <c r="F249" i="15"/>
  <c r="G173" i="15"/>
  <c r="G249" i="15"/>
  <c r="H173" i="15"/>
  <c r="H249" i="15"/>
  <c r="I249" i="15"/>
  <c r="I173" i="15"/>
  <c r="J173" i="15"/>
  <c r="J249" i="15"/>
  <c r="K173" i="15"/>
  <c r="L173" i="15"/>
  <c r="O173" i="15"/>
  <c r="O249" i="15"/>
  <c r="Q69" i="15"/>
  <c r="P249" i="15"/>
  <c r="P173" i="15"/>
  <c r="T173" i="15"/>
  <c r="T249" i="15"/>
  <c r="U173" i="15"/>
  <c r="U249" i="15"/>
  <c r="V69" i="15"/>
  <c r="X173" i="15"/>
  <c r="X249" i="15"/>
  <c r="Y69" i="15"/>
  <c r="AB249" i="15"/>
  <c r="AB173" i="15"/>
  <c r="AC69" i="15"/>
  <c r="AF173" i="15"/>
  <c r="AG69" i="15"/>
  <c r="AF249" i="15"/>
  <c r="AI249" i="15"/>
  <c r="AI173" i="15"/>
  <c r="AK69" i="15"/>
  <c r="AJ249" i="15"/>
  <c r="AJ173" i="15"/>
  <c r="AO69" i="15"/>
  <c r="AN249" i="15"/>
  <c r="AN173" i="15"/>
  <c r="AR249" i="15"/>
  <c r="AS69" i="15"/>
  <c r="AR173" i="15"/>
  <c r="C250" i="15"/>
  <c r="C174" i="15"/>
  <c r="D250" i="15"/>
  <c r="D174" i="15"/>
  <c r="E250" i="15"/>
  <c r="E174" i="15"/>
  <c r="F250" i="15"/>
  <c r="F174" i="15"/>
  <c r="G250" i="15"/>
  <c r="G174" i="15"/>
  <c r="H174" i="15"/>
  <c r="H250" i="15"/>
  <c r="O250" i="15"/>
  <c r="O174" i="15"/>
  <c r="S250" i="15"/>
  <c r="S174" i="15"/>
  <c r="W250" i="15"/>
  <c r="W174" i="15"/>
  <c r="AA250" i="15"/>
  <c r="AA174" i="15"/>
  <c r="L175" i="15"/>
  <c r="P251" i="15"/>
  <c r="P175" i="15"/>
  <c r="Q251" i="15"/>
  <c r="Q175" i="15"/>
  <c r="R71" i="15"/>
  <c r="T251" i="15"/>
  <c r="U71" i="15"/>
  <c r="T175" i="15"/>
  <c r="X251" i="15"/>
  <c r="X175" i="15"/>
  <c r="Y251" i="15"/>
  <c r="Y175" i="15"/>
  <c r="Z71" i="15"/>
  <c r="AB251" i="15"/>
  <c r="AC71" i="15"/>
  <c r="AB175" i="15"/>
  <c r="AF251" i="15"/>
  <c r="AF175" i="15"/>
  <c r="AG251" i="15"/>
  <c r="AH71" i="15"/>
  <c r="AG175" i="15"/>
  <c r="AK71" i="15"/>
  <c r="AJ175" i="15"/>
  <c r="AJ251" i="15"/>
  <c r="AN251" i="15"/>
  <c r="AN175" i="15"/>
  <c r="AO251" i="15"/>
  <c r="AP71" i="15"/>
  <c r="AO175" i="15"/>
  <c r="AS71" i="15"/>
  <c r="AR251" i="15"/>
  <c r="AR175" i="15"/>
  <c r="C88" i="15"/>
  <c r="C119" i="15"/>
  <c r="C223" i="15"/>
  <c r="C134" i="15"/>
  <c r="C150" i="15"/>
  <c r="D88" i="15"/>
  <c r="D119" i="15"/>
  <c r="D223" i="15"/>
  <c r="D134" i="15"/>
  <c r="D150" i="15"/>
  <c r="E88" i="15"/>
  <c r="E119" i="15"/>
  <c r="E223" i="15"/>
  <c r="E134" i="15"/>
  <c r="E150" i="15"/>
  <c r="C135" i="15"/>
  <c r="C95" i="15"/>
  <c r="D135" i="15"/>
  <c r="D95" i="15"/>
  <c r="E135" i="15"/>
  <c r="E95" i="15"/>
  <c r="F95" i="15"/>
  <c r="F135" i="15"/>
  <c r="G95" i="15"/>
  <c r="G135" i="15"/>
  <c r="H135" i="15"/>
  <c r="H95" i="15"/>
  <c r="I95" i="15"/>
  <c r="I135" i="15"/>
  <c r="J95" i="15"/>
  <c r="J135" i="15"/>
  <c r="K135" i="15"/>
  <c r="K95" i="15"/>
  <c r="L135" i="15"/>
  <c r="L95" i="15"/>
  <c r="U135" i="15"/>
  <c r="U208" i="15"/>
  <c r="U95" i="15"/>
  <c r="Z135" i="15"/>
  <c r="Z95" i="15"/>
  <c r="C127" i="15"/>
  <c r="C130" i="15"/>
  <c r="C199" i="15"/>
  <c r="D127" i="15"/>
  <c r="D130" i="15"/>
  <c r="D199" i="15"/>
  <c r="E127" i="15"/>
  <c r="E130" i="15"/>
  <c r="E199" i="15"/>
  <c r="F127" i="15"/>
  <c r="F130" i="15"/>
  <c r="F199" i="15"/>
  <c r="G127" i="15"/>
  <c r="G130" i="15"/>
  <c r="G199" i="15"/>
  <c r="H127" i="15"/>
  <c r="H130" i="15"/>
  <c r="H199" i="15"/>
  <c r="I127" i="15"/>
  <c r="I130" i="15"/>
  <c r="I199" i="15"/>
  <c r="J127" i="15"/>
  <c r="J130" i="15"/>
  <c r="J199" i="15"/>
  <c r="K127" i="15"/>
  <c r="K130" i="15"/>
  <c r="K199" i="15"/>
  <c r="L130" i="15"/>
  <c r="L199" i="15"/>
  <c r="L127" i="15"/>
  <c r="D928" i="17"/>
  <c r="AD127" i="15"/>
  <c r="AH127" i="15"/>
  <c r="D724" i="17"/>
  <c r="AT259" i="15"/>
  <c r="J1123" i="17"/>
  <c r="K1123" i="17"/>
  <c r="D1134" i="17"/>
  <c r="D1136" i="17"/>
  <c r="E1124" i="17"/>
  <c r="E1134" i="17"/>
  <c r="E1136" i="17"/>
  <c r="D1125" i="17"/>
  <c r="J1075" i="17"/>
  <c r="K1075" i="17"/>
  <c r="D1086" i="17"/>
  <c r="D1088" i="17"/>
  <c r="D1077" i="17"/>
  <c r="E1076" i="17"/>
  <c r="E1086" i="17"/>
  <c r="E1088" i="17"/>
  <c r="J1025" i="17"/>
  <c r="K1025" i="17"/>
  <c r="E1026" i="17"/>
  <c r="E1036" i="17"/>
  <c r="E1038" i="17"/>
  <c r="D1036" i="17"/>
  <c r="D1038" i="17"/>
  <c r="D975" i="17"/>
  <c r="AC141" i="15"/>
  <c r="AC214" i="15"/>
  <c r="AD141" i="15"/>
  <c r="AD214" i="15"/>
  <c r="D924" i="17"/>
  <c r="AE141" i="15"/>
  <c r="AE214" i="15"/>
  <c r="D871" i="17"/>
  <c r="AF141" i="15"/>
  <c r="AF214" i="15"/>
  <c r="D820" i="17"/>
  <c r="AG141" i="15"/>
  <c r="AG214" i="15"/>
  <c r="D769" i="17"/>
  <c r="AH141" i="15"/>
  <c r="AH214" i="15"/>
  <c r="D720" i="17"/>
  <c r="AI141" i="15"/>
  <c r="AI214" i="15"/>
  <c r="D670" i="17"/>
  <c r="AJ141" i="15"/>
  <c r="AJ214" i="15"/>
  <c r="D621" i="17"/>
  <c r="D571" i="17"/>
  <c r="AK141" i="15"/>
  <c r="AK214" i="15"/>
  <c r="D521" i="17"/>
  <c r="AL141" i="15"/>
  <c r="AL214" i="15"/>
  <c r="AM141" i="15"/>
  <c r="AM214" i="15"/>
  <c r="D471" i="17"/>
  <c r="D421" i="17"/>
  <c r="AN141" i="15"/>
  <c r="AN214" i="15"/>
  <c r="AO141" i="15"/>
  <c r="AO214" i="15"/>
  <c r="D371" i="17"/>
  <c r="AP141" i="15"/>
  <c r="AP214" i="15"/>
  <c r="D321" i="17"/>
  <c r="D271" i="17"/>
  <c r="AQ141" i="15"/>
  <c r="AQ214" i="15"/>
  <c r="D221" i="17"/>
  <c r="AR141" i="15"/>
  <c r="AR214" i="15"/>
  <c r="AS141" i="15"/>
  <c r="AS214" i="15"/>
  <c r="D162" i="17"/>
  <c r="AT141" i="15"/>
  <c r="AT214" i="15"/>
  <c r="D89" i="17"/>
  <c r="C261" i="15"/>
  <c r="C143" i="15"/>
  <c r="C216" i="15"/>
  <c r="D261" i="15"/>
  <c r="D143" i="15"/>
  <c r="D216" i="15"/>
  <c r="E261" i="15"/>
  <c r="E143" i="15"/>
  <c r="E216" i="15"/>
  <c r="F261" i="15"/>
  <c r="F143" i="15"/>
  <c r="F216" i="15"/>
  <c r="G143" i="15"/>
  <c r="G216" i="15"/>
  <c r="G261" i="15"/>
  <c r="H143" i="15"/>
  <c r="H216" i="15"/>
  <c r="H261" i="15"/>
  <c r="J143" i="15"/>
  <c r="J216" i="15"/>
  <c r="J261" i="15"/>
  <c r="K261" i="15"/>
  <c r="K143" i="15"/>
  <c r="K216" i="15"/>
  <c r="L261" i="15"/>
  <c r="L143" i="15"/>
  <c r="L216" i="15"/>
  <c r="C142" i="15"/>
  <c r="C215" i="15"/>
  <c r="C262" i="15"/>
  <c r="D142" i="15"/>
  <c r="D215" i="15"/>
  <c r="D262" i="15"/>
  <c r="E142" i="15"/>
  <c r="E215" i="15"/>
  <c r="E262" i="15"/>
  <c r="F262" i="15"/>
  <c r="F142" i="15"/>
  <c r="F215" i="15"/>
  <c r="G142" i="15"/>
  <c r="G215" i="15"/>
  <c r="G262" i="15"/>
  <c r="H262" i="15"/>
  <c r="H142" i="15"/>
  <c r="H215" i="15"/>
  <c r="AS262" i="15"/>
  <c r="D168" i="17"/>
  <c r="AS142" i="15"/>
  <c r="AS215" i="15"/>
  <c r="AQ186" i="15"/>
  <c r="AQ264" i="15"/>
  <c r="AQ144" i="15"/>
  <c r="AQ217" i="15"/>
  <c r="AR186" i="15"/>
  <c r="AR264" i="15"/>
  <c r="AR144" i="15"/>
  <c r="AR217" i="15"/>
  <c r="AT186" i="15"/>
  <c r="AT264" i="15"/>
  <c r="AT144" i="15"/>
  <c r="AT217" i="15"/>
  <c r="R181" i="15"/>
  <c r="R257" i="15"/>
  <c r="D1126" i="17"/>
  <c r="V181" i="15"/>
  <c r="V257" i="15"/>
  <c r="Z257" i="15"/>
  <c r="Z181" i="15"/>
  <c r="AD181" i="15"/>
  <c r="D926" i="17"/>
  <c r="AD257" i="15"/>
  <c r="AH181" i="15"/>
  <c r="D722" i="17"/>
  <c r="AH257" i="15"/>
  <c r="D523" i="17"/>
  <c r="AL181" i="15"/>
  <c r="AL257" i="15"/>
  <c r="AP181" i="15"/>
  <c r="D323" i="17"/>
  <c r="AP257" i="15"/>
  <c r="D91" i="17"/>
  <c r="AT181" i="15"/>
  <c r="AT257" i="15"/>
  <c r="AA208" i="15"/>
  <c r="C188" i="15"/>
  <c r="C266" i="15"/>
  <c r="C209" i="15"/>
  <c r="D209" i="15"/>
  <c r="D188" i="15"/>
  <c r="D266" i="15"/>
  <c r="E188" i="15"/>
  <c r="E266" i="15"/>
  <c r="E209" i="15"/>
  <c r="F209" i="15"/>
  <c r="F188" i="15"/>
  <c r="F266" i="15"/>
  <c r="G209" i="15"/>
  <c r="G188" i="15"/>
  <c r="G266" i="15"/>
  <c r="H209" i="15"/>
  <c r="H188" i="15"/>
  <c r="H266" i="15"/>
  <c r="I188" i="15"/>
  <c r="I266" i="15"/>
  <c r="I209" i="15"/>
  <c r="J209" i="15"/>
  <c r="J188" i="15"/>
  <c r="J266" i="15"/>
  <c r="K188" i="15"/>
  <c r="L188" i="15"/>
  <c r="AD188" i="15"/>
  <c r="AD209" i="15"/>
  <c r="AH209" i="15"/>
  <c r="AH188" i="15"/>
  <c r="J134" i="17"/>
  <c r="J61" i="17"/>
  <c r="F247" i="15"/>
  <c r="F251" i="15"/>
  <c r="G243" i="15"/>
  <c r="G251" i="15"/>
  <c r="G247" i="15"/>
  <c r="H246" i="15"/>
  <c r="H243" i="15"/>
  <c r="H251" i="15"/>
  <c r="H242" i="15"/>
  <c r="H247" i="15"/>
  <c r="I246" i="15"/>
  <c r="I243" i="15"/>
  <c r="I251" i="15"/>
  <c r="I242" i="15"/>
  <c r="I247" i="15"/>
  <c r="J242" i="15"/>
  <c r="J246" i="15"/>
  <c r="J243" i="15"/>
  <c r="J251" i="15"/>
  <c r="J247" i="15"/>
  <c r="AM243" i="15"/>
  <c r="AM242" i="15"/>
  <c r="AM249" i="15"/>
  <c r="AM245" i="15"/>
  <c r="AM247" i="15"/>
  <c r="K204" i="15"/>
  <c r="K245" i="15" s="1"/>
  <c r="K232" i="15"/>
  <c r="AM246" i="15"/>
  <c r="AM251" i="15"/>
  <c r="AQ246" i="15"/>
  <c r="AQ247" i="15"/>
  <c r="AQ243" i="15"/>
  <c r="AQ251" i="15"/>
  <c r="AQ245" i="15"/>
  <c r="AQ242" i="15"/>
  <c r="L204" i="15"/>
  <c r="L232" i="15"/>
  <c r="M205" i="15"/>
  <c r="J3" i="17" s="1"/>
  <c r="AQ249" i="15"/>
  <c r="J602" i="17"/>
  <c r="J552" i="17"/>
  <c r="K201" i="17"/>
  <c r="K200" i="17"/>
  <c r="K199" i="17"/>
  <c r="E339" i="17"/>
  <c r="E340" i="17"/>
  <c r="E341" i="17"/>
  <c r="E342" i="17"/>
  <c r="E343" i="17"/>
  <c r="E346" i="17"/>
  <c r="E338" i="17"/>
  <c r="E345" i="17"/>
  <c r="J971" i="17"/>
  <c r="E972" i="17"/>
  <c r="J976" i="17"/>
  <c r="K976" i="17"/>
  <c r="E977" i="17"/>
  <c r="J1022" i="17"/>
  <c r="E1023" i="17"/>
  <c r="E1028" i="17"/>
  <c r="J1027" i="17"/>
  <c r="K1027" i="17"/>
  <c r="J1072" i="17"/>
  <c r="E1073" i="17"/>
  <c r="E1078" i="17"/>
  <c r="J1077" i="17"/>
  <c r="K1077" i="17"/>
  <c r="E1121" i="17"/>
  <c r="J1120" i="17"/>
  <c r="M94" i="15"/>
  <c r="E595" i="17"/>
  <c r="E1101" i="17"/>
  <c r="E1053" i="17"/>
  <c r="E968" i="17"/>
  <c r="E974" i="17"/>
  <c r="E978" i="17"/>
  <c r="E1019" i="17"/>
  <c r="E1025" i="17"/>
  <c r="D40" i="17"/>
  <c r="E39" i="17"/>
  <c r="E40" i="17"/>
  <c r="J716" i="17"/>
  <c r="D746" i="17"/>
  <c r="D719" i="17"/>
  <c r="E717" i="17"/>
  <c r="J517" i="17"/>
  <c r="D547" i="17"/>
  <c r="D520" i="17"/>
  <c r="E518" i="17"/>
  <c r="J317" i="17"/>
  <c r="D347" i="17"/>
  <c r="D320" i="17"/>
  <c r="E318" i="17"/>
  <c r="E464" i="17"/>
  <c r="E470" i="17"/>
  <c r="E474" i="17"/>
  <c r="D33" i="17"/>
  <c r="D31" i="17"/>
  <c r="E414" i="17"/>
  <c r="E420" i="17"/>
  <c r="E424" i="17"/>
  <c r="E514" i="17"/>
  <c r="E520" i="17"/>
  <c r="E713" i="17"/>
  <c r="E719" i="17"/>
  <c r="E669" i="17"/>
  <c r="E673" i="17"/>
  <c r="E823" i="17"/>
  <c r="E264" i="17"/>
  <c r="E270" i="17"/>
  <c r="E274" i="17"/>
  <c r="E314" i="17"/>
  <c r="E320" i="17"/>
  <c r="E1117" i="17"/>
  <c r="E1123" i="17"/>
  <c r="E364" i="17"/>
  <c r="E370" i="17"/>
  <c r="E374" i="17"/>
  <c r="E53" i="17"/>
  <c r="E56" i="17"/>
  <c r="D950" i="17"/>
  <c r="J920" i="17"/>
  <c r="D923" i="17"/>
  <c r="E921" i="17"/>
  <c r="AL24" i="18"/>
  <c r="AH53" i="18"/>
  <c r="AG16" i="18"/>
  <c r="AG19" i="18"/>
  <c r="AG18" i="18"/>
  <c r="AK27" i="18"/>
  <c r="AG13" i="18"/>
  <c r="AT30" i="18"/>
  <c r="AS52" i="18"/>
  <c r="AS45" i="18"/>
  <c r="AT32" i="18"/>
  <c r="AS47" i="18"/>
  <c r="R12" i="18"/>
  <c r="AN70" i="18"/>
  <c r="AD34" i="18"/>
  <c r="AK70" i="18"/>
  <c r="AF70" i="18"/>
  <c r="X70" i="18"/>
  <c r="AJ70" i="18"/>
  <c r="AT23" i="18"/>
  <c r="M8" i="18"/>
  <c r="AH47" i="18"/>
  <c r="AD54" i="18"/>
  <c r="AD25" i="18"/>
  <c r="AH25" i="18"/>
  <c r="P38" i="18"/>
  <c r="P35" i="18"/>
  <c r="T38" i="18"/>
  <c r="T35" i="18"/>
  <c r="X38" i="18"/>
  <c r="X35" i="18"/>
  <c r="AB38" i="18"/>
  <c r="AB35" i="18"/>
  <c r="AC38" i="18"/>
  <c r="AC35" i="18"/>
  <c r="AK38" i="18"/>
  <c r="AK35" i="18"/>
  <c r="AN38" i="18"/>
  <c r="AN35" i="18"/>
  <c r="AO38" i="18"/>
  <c r="AO35" i="18"/>
  <c r="AR38" i="18"/>
  <c r="AR35" i="18"/>
  <c r="AS38" i="18"/>
  <c r="AS35" i="18"/>
  <c r="P39" i="18"/>
  <c r="P42" i="18"/>
  <c r="AX49" i="18"/>
  <c r="P56" i="18"/>
  <c r="R30" i="18"/>
  <c r="Q52" i="18"/>
  <c r="U45" i="18"/>
  <c r="Q34" i="18"/>
  <c r="Q38" i="18"/>
  <c r="T39" i="18"/>
  <c r="T42" i="18"/>
  <c r="T49" i="18"/>
  <c r="T56" i="18"/>
  <c r="V52" i="18"/>
  <c r="V45" i="18"/>
  <c r="U39" i="18"/>
  <c r="U49" i="18"/>
  <c r="U56" i="18"/>
  <c r="Z30" i="18"/>
  <c r="Y52" i="18"/>
  <c r="AC45" i="18"/>
  <c r="Y45" i="18"/>
  <c r="Y34" i="18"/>
  <c r="Y38" i="18"/>
  <c r="X39" i="18"/>
  <c r="X42" i="18"/>
  <c r="X49" i="18"/>
  <c r="X56" i="18"/>
  <c r="AB39" i="18"/>
  <c r="AB40" i="18"/>
  <c r="AB49" i="18"/>
  <c r="AB56" i="18"/>
  <c r="AC40" i="18"/>
  <c r="AC42" i="18"/>
  <c r="AC49" i="18"/>
  <c r="AD40" i="18"/>
  <c r="AF40" i="18"/>
  <c r="AF39" i="18"/>
  <c r="AF42" i="18"/>
  <c r="AF49" i="18"/>
  <c r="AF56" i="18"/>
  <c r="AH52" i="18"/>
  <c r="AH45" i="18"/>
  <c r="AH34" i="18"/>
  <c r="AH38" i="18"/>
  <c r="AG40" i="18"/>
  <c r="AG39" i="18"/>
  <c r="AG42" i="18"/>
  <c r="AG49" i="18"/>
  <c r="AG56" i="18"/>
  <c r="AJ40" i="18"/>
  <c r="AJ39" i="18"/>
  <c r="AJ42" i="18"/>
  <c r="AJ49" i="18"/>
  <c r="AJ56" i="18"/>
  <c r="AL45" i="18"/>
  <c r="AL34" i="18"/>
  <c r="AL38" i="18"/>
  <c r="AL52" i="18"/>
  <c r="AK40" i="18"/>
  <c r="AK42" i="18"/>
  <c r="AK49" i="18"/>
  <c r="AK56" i="18"/>
  <c r="AN39" i="18"/>
  <c r="AN40" i="18"/>
  <c r="AN49" i="18"/>
  <c r="AN56" i="18"/>
  <c r="AP52" i="18"/>
  <c r="AT45" i="18"/>
  <c r="AP45" i="18"/>
  <c r="AP34" i="18"/>
  <c r="AP38" i="18"/>
  <c r="AO40" i="18"/>
  <c r="AO39" i="18"/>
  <c r="AO42" i="18"/>
  <c r="AO49" i="18"/>
  <c r="AR41" i="18"/>
  <c r="AR40" i="18"/>
  <c r="AR39" i="18"/>
  <c r="AR42" i="18"/>
  <c r="AR49" i="18"/>
  <c r="AR56" i="18"/>
  <c r="AS40" i="18"/>
  <c r="AS42" i="18"/>
  <c r="AS49" i="18"/>
  <c r="V46" i="18"/>
  <c r="R53" i="18"/>
  <c r="AH46" i="18"/>
  <c r="AD46" i="18"/>
  <c r="AD39" i="18"/>
  <c r="AL53" i="18"/>
  <c r="AP46" i="18"/>
  <c r="AL46" i="18"/>
  <c r="AL39" i="18"/>
  <c r="AT46" i="18"/>
  <c r="Q40" i="18"/>
  <c r="R32" i="18"/>
  <c r="Q54" i="18"/>
  <c r="U40" i="18"/>
  <c r="U47" i="18"/>
  <c r="V32" i="18"/>
  <c r="V34" i="18"/>
  <c r="U54" i="18"/>
  <c r="Y54" i="18"/>
  <c r="Y47" i="18"/>
  <c r="Y40" i="18"/>
  <c r="AC47" i="18"/>
  <c r="Z32" i="18"/>
  <c r="V48" i="18"/>
  <c r="V55" i="18"/>
  <c r="AC48" i="18"/>
  <c r="Z33" i="18"/>
  <c r="Y48" i="18"/>
  <c r="Y41" i="18"/>
  <c r="Y55" i="18"/>
  <c r="AD48" i="18"/>
  <c r="AD41" i="18"/>
  <c r="AH48" i="18"/>
  <c r="AD55" i="18"/>
  <c r="AT48" i="18"/>
  <c r="AT55" i="18"/>
  <c r="Q62" i="18"/>
  <c r="Q67" i="18"/>
  <c r="R59" i="18"/>
  <c r="V59" i="18"/>
  <c r="U73" i="18"/>
  <c r="U62" i="18"/>
  <c r="U67" i="18"/>
  <c r="X76" i="18"/>
  <c r="X64" i="18"/>
  <c r="Y76" i="18"/>
  <c r="Y64" i="18"/>
  <c r="Z73" i="18"/>
  <c r="Z62" i="18"/>
  <c r="Z67" i="18"/>
  <c r="AB76" i="18"/>
  <c r="AB64" i="18"/>
  <c r="AC76" i="18"/>
  <c r="AC64" i="18"/>
  <c r="AD73" i="18"/>
  <c r="AF76" i="18"/>
  <c r="AF64" i="18"/>
  <c r="AH73" i="18"/>
  <c r="AG76" i="18"/>
  <c r="AG64" i="18"/>
  <c r="AJ76" i="18"/>
  <c r="AJ64" i="18"/>
  <c r="AK76" i="18"/>
  <c r="AK64" i="18"/>
  <c r="AN76" i="18"/>
  <c r="AN64" i="18"/>
  <c r="AO76" i="18"/>
  <c r="AO64" i="18"/>
  <c r="AP73" i="18"/>
  <c r="AS73" i="18"/>
  <c r="AS62" i="18"/>
  <c r="AS67" i="18"/>
  <c r="AT59" i="18"/>
  <c r="AR76" i="18"/>
  <c r="AR64" i="18"/>
  <c r="V60" i="18"/>
  <c r="U74" i="18"/>
  <c r="U68" i="18"/>
  <c r="Z74" i="18"/>
  <c r="Z68" i="18"/>
  <c r="AG74" i="18"/>
  <c r="AG68" i="18"/>
  <c r="AH60" i="18"/>
  <c r="AH62" i="18"/>
  <c r="Z75" i="18"/>
  <c r="Z69" i="18"/>
  <c r="AC75" i="18"/>
  <c r="AC69" i="18"/>
  <c r="AD61" i="18"/>
  <c r="AO75" i="18"/>
  <c r="AO69" i="18"/>
  <c r="AP61" i="18"/>
  <c r="AP62" i="18"/>
  <c r="AP67" i="18"/>
  <c r="AS75" i="18"/>
  <c r="AS69" i="18"/>
  <c r="AT61" i="18"/>
  <c r="T70" i="18"/>
  <c r="AB70" i="18"/>
  <c r="AR70" i="18"/>
  <c r="P70" i="18"/>
  <c r="Y70" i="18"/>
  <c r="AD38" i="18"/>
  <c r="AD35" i="18"/>
  <c r="U41" i="18"/>
  <c r="U38" i="18"/>
  <c r="AX76" i="18"/>
  <c r="P64" i="18"/>
  <c r="T76" i="18"/>
  <c r="T64" i="18"/>
  <c r="AL64" i="18"/>
  <c r="AL67" i="18"/>
  <c r="AL70" i="18"/>
  <c r="AG67" i="18"/>
  <c r="AG69" i="18"/>
  <c r="AC68" i="18"/>
  <c r="AC67" i="18"/>
  <c r="AO68" i="18"/>
  <c r="AO67" i="18"/>
  <c r="R17" i="18"/>
  <c r="Y56" i="18"/>
  <c r="Y19" i="18"/>
  <c r="Y18" i="18"/>
  <c r="Y16" i="18"/>
  <c r="Y20" i="18"/>
  <c r="Y13" i="18"/>
  <c r="Y27" i="18"/>
  <c r="Z24" i="18"/>
  <c r="Z53" i="18"/>
  <c r="Z12" i="18"/>
  <c r="Z17" i="18"/>
  <c r="AH24" i="18"/>
  <c r="AD53" i="18"/>
  <c r="AD24" i="18"/>
  <c r="AD12" i="18"/>
  <c r="AD17" i="18"/>
  <c r="AC56" i="18"/>
  <c r="AG27" i="18"/>
  <c r="AC27" i="18"/>
  <c r="AC16" i="18"/>
  <c r="AC13" i="18"/>
  <c r="AC19" i="18"/>
  <c r="AC18" i="18"/>
  <c r="AO56" i="18"/>
  <c r="AO19" i="18"/>
  <c r="AO27" i="18"/>
  <c r="AO13" i="18"/>
  <c r="AO16" i="18"/>
  <c r="AO20" i="18"/>
  <c r="AP24" i="18"/>
  <c r="AP53" i="18"/>
  <c r="AP12" i="18"/>
  <c r="AP17" i="18"/>
  <c r="AS12" i="18"/>
  <c r="AS17" i="18"/>
  <c r="AS53" i="18"/>
  <c r="AS24" i="18"/>
  <c r="AT9" i="18"/>
  <c r="M9" i="18"/>
  <c r="AH56" i="18"/>
  <c r="AH27" i="18"/>
  <c r="AH13" i="18"/>
  <c r="AH19" i="18"/>
  <c r="AH17" i="18"/>
  <c r="AH16" i="18"/>
  <c r="AH20" i="18"/>
  <c r="AP54" i="18"/>
  <c r="AP25" i="18"/>
  <c r="AP18" i="18"/>
  <c r="AS54" i="18"/>
  <c r="AS25" i="18"/>
  <c r="AS18" i="18"/>
  <c r="AT10" i="18"/>
  <c r="M10" i="18"/>
  <c r="R55" i="18"/>
  <c r="R19" i="18"/>
  <c r="Q56" i="18"/>
  <c r="Q17" i="18"/>
  <c r="Q16" i="18"/>
  <c r="U27" i="18"/>
  <c r="Q18" i="18"/>
  <c r="V27" i="18"/>
  <c r="V18" i="18"/>
  <c r="V17" i="18"/>
  <c r="V16" i="18"/>
  <c r="V20" i="18"/>
  <c r="AL56" i="18"/>
  <c r="AL18" i="18"/>
  <c r="AL17" i="18"/>
  <c r="AL16" i="18"/>
  <c r="AL20" i="18"/>
  <c r="AL27" i="18"/>
  <c r="AL13" i="18"/>
  <c r="M55" i="18"/>
  <c r="R16" i="18"/>
  <c r="R18" i="18"/>
  <c r="R13" i="18"/>
  <c r="R226" i="15"/>
  <c r="AW79" i="15"/>
  <c r="T79" i="15"/>
  <c r="S79" i="15"/>
  <c r="R79" i="15"/>
  <c r="R34" i="15"/>
  <c r="R33" i="15"/>
  <c r="R10" i="15"/>
  <c r="Q16" i="15"/>
  <c r="Q11" i="15"/>
  <c r="Y227" i="15"/>
  <c r="U227" i="15"/>
  <c r="V13" i="18"/>
  <c r="V226" i="15"/>
  <c r="Y79" i="15"/>
  <c r="X79" i="15"/>
  <c r="W79" i="15"/>
  <c r="V79" i="15"/>
  <c r="V30" i="15"/>
  <c r="V33" i="15"/>
  <c r="V10" i="15"/>
  <c r="V11" i="15"/>
  <c r="V34" i="15"/>
  <c r="V32" i="15"/>
  <c r="Z8" i="15"/>
  <c r="V8" i="15"/>
  <c r="AD36" i="15"/>
  <c r="AD111" i="15"/>
  <c r="AH36" i="15"/>
  <c r="AH111" i="15"/>
  <c r="AL36" i="15"/>
  <c r="AL111" i="15"/>
  <c r="AP36" i="15"/>
  <c r="AP111" i="15"/>
  <c r="C184" i="15"/>
  <c r="C117" i="15"/>
  <c r="C183" i="15"/>
  <c r="C132" i="15"/>
  <c r="C201" i="15"/>
  <c r="D184" i="15"/>
  <c r="D117" i="15"/>
  <c r="D183" i="15"/>
  <c r="D132" i="15"/>
  <c r="D201" i="15"/>
  <c r="E184" i="15"/>
  <c r="E117" i="15"/>
  <c r="R112" i="15"/>
  <c r="E183" i="15"/>
  <c r="E132" i="15"/>
  <c r="E201" i="15"/>
  <c r="F184" i="15"/>
  <c r="F117" i="15"/>
  <c r="V112" i="15"/>
  <c r="F183" i="15"/>
  <c r="F132" i="15"/>
  <c r="F201" i="15"/>
  <c r="G184" i="15"/>
  <c r="G117" i="15"/>
  <c r="Z112" i="15"/>
  <c r="G183" i="15"/>
  <c r="G132" i="15"/>
  <c r="G201" i="15"/>
  <c r="H184" i="15"/>
  <c r="H117" i="15"/>
  <c r="AD112" i="15"/>
  <c r="H183" i="15"/>
  <c r="H132" i="15"/>
  <c r="H201" i="15"/>
  <c r="J184" i="15"/>
  <c r="J117" i="15"/>
  <c r="AL112" i="15"/>
  <c r="J183" i="15"/>
  <c r="J132" i="15"/>
  <c r="J201" i="15"/>
  <c r="K184" i="15"/>
  <c r="K117" i="15"/>
  <c r="AP112" i="15"/>
  <c r="K183" i="15"/>
  <c r="K132" i="15"/>
  <c r="K201" i="15"/>
  <c r="L184" i="15"/>
  <c r="L117" i="15"/>
  <c r="L183" i="15"/>
  <c r="L132" i="15"/>
  <c r="L201" i="15"/>
  <c r="O112" i="15"/>
  <c r="O111" i="15"/>
  <c r="O186" i="15"/>
  <c r="O264" i="15"/>
  <c r="O144" i="15"/>
  <c r="O217" i="15"/>
  <c r="P186" i="15"/>
  <c r="P264" i="15"/>
  <c r="P144" i="15"/>
  <c r="P217" i="15"/>
  <c r="P112" i="15"/>
  <c r="P111" i="15"/>
  <c r="Q186" i="15"/>
  <c r="Q264" i="15"/>
  <c r="Q144" i="15"/>
  <c r="Q217" i="15"/>
  <c r="Q112" i="15"/>
  <c r="Q111" i="15"/>
  <c r="S186" i="15"/>
  <c r="S264" i="15"/>
  <c r="S144" i="15"/>
  <c r="S217" i="15"/>
  <c r="S112" i="15"/>
  <c r="S111" i="15"/>
  <c r="T186" i="15"/>
  <c r="T264" i="15"/>
  <c r="T144" i="15"/>
  <c r="T217" i="15"/>
  <c r="T112" i="15"/>
  <c r="T111" i="15"/>
  <c r="U112" i="15"/>
  <c r="U111" i="15"/>
  <c r="U186" i="15"/>
  <c r="U264" i="15"/>
  <c r="U144" i="15"/>
  <c r="U217" i="15"/>
  <c r="W112" i="15"/>
  <c r="W111" i="15"/>
  <c r="W186" i="15"/>
  <c r="W264" i="15"/>
  <c r="W144" i="15"/>
  <c r="W217" i="15"/>
  <c r="X112" i="15"/>
  <c r="X111" i="15"/>
  <c r="X186" i="15"/>
  <c r="X264" i="15"/>
  <c r="X144" i="15"/>
  <c r="X217" i="15"/>
  <c r="Y112" i="15"/>
  <c r="Y111" i="15"/>
  <c r="Y186" i="15"/>
  <c r="Y264" i="15"/>
  <c r="Y144" i="15"/>
  <c r="Y217" i="15"/>
  <c r="AA36" i="15"/>
  <c r="AA112" i="15"/>
  <c r="AA111" i="15"/>
  <c r="AA186" i="15"/>
  <c r="AA264" i="15"/>
  <c r="AA144" i="15"/>
  <c r="AA217" i="15"/>
  <c r="AB186" i="15"/>
  <c r="AB264" i="15"/>
  <c r="AB144" i="15"/>
  <c r="AB217" i="15"/>
  <c r="AB36" i="15"/>
  <c r="AB112" i="15"/>
  <c r="AB111" i="15"/>
  <c r="AC36" i="15"/>
  <c r="AC112" i="15"/>
  <c r="AC111" i="15"/>
  <c r="AC186" i="15"/>
  <c r="AC264" i="15"/>
  <c r="AC144" i="15"/>
  <c r="AC217" i="15"/>
  <c r="AE36" i="15"/>
  <c r="AE112" i="15"/>
  <c r="AE111" i="15"/>
  <c r="AE186" i="15"/>
  <c r="AE264" i="15"/>
  <c r="AE144" i="15"/>
  <c r="AE217" i="15"/>
  <c r="AF36" i="15"/>
  <c r="AF112" i="15"/>
  <c r="AF111" i="15"/>
  <c r="AF186" i="15"/>
  <c r="AF264" i="15"/>
  <c r="AF144" i="15"/>
  <c r="AF217" i="15"/>
  <c r="AG36" i="15"/>
  <c r="AG112" i="15"/>
  <c r="AG111" i="15"/>
  <c r="AG186" i="15"/>
  <c r="AG264" i="15"/>
  <c r="AG144" i="15"/>
  <c r="AG217" i="15"/>
  <c r="AI186" i="15"/>
  <c r="AI264" i="15"/>
  <c r="AI144" i="15"/>
  <c r="AI217" i="15"/>
  <c r="AI36" i="15"/>
  <c r="AI112" i="15"/>
  <c r="AI111" i="15"/>
  <c r="AJ36" i="15"/>
  <c r="AJ112" i="15"/>
  <c r="AJ111" i="15"/>
  <c r="AJ186" i="15"/>
  <c r="AJ264" i="15"/>
  <c r="AJ144" i="15"/>
  <c r="AJ217" i="15"/>
  <c r="AK36" i="15"/>
  <c r="AK112" i="15"/>
  <c r="AK111" i="15"/>
  <c r="AK186" i="15"/>
  <c r="AK264" i="15"/>
  <c r="AK144" i="15"/>
  <c r="AK217" i="15"/>
  <c r="AM186" i="15"/>
  <c r="AM264" i="15"/>
  <c r="AM144" i="15"/>
  <c r="AM217" i="15"/>
  <c r="AM36" i="15"/>
  <c r="AM112" i="15"/>
  <c r="AM111" i="15"/>
  <c r="AN36" i="15"/>
  <c r="AN112" i="15"/>
  <c r="AN111" i="15"/>
  <c r="AN186" i="15"/>
  <c r="AN264" i="15"/>
  <c r="AN144" i="15"/>
  <c r="AN217" i="15"/>
  <c r="AO36" i="15"/>
  <c r="AO112" i="15"/>
  <c r="AO111" i="15"/>
  <c r="AO186" i="15"/>
  <c r="AO264" i="15"/>
  <c r="AO144" i="15"/>
  <c r="AO217" i="15"/>
  <c r="AQ36" i="15"/>
  <c r="AQ112" i="15"/>
  <c r="AQ111" i="15"/>
  <c r="AR36" i="15"/>
  <c r="AR112" i="15"/>
  <c r="AR111" i="15"/>
  <c r="AS184" i="15"/>
  <c r="AS117" i="15"/>
  <c r="AS183" i="15"/>
  <c r="AS132" i="15"/>
  <c r="AS201" i="15"/>
  <c r="AT27" i="15"/>
  <c r="Z111" i="15"/>
  <c r="Z36" i="15"/>
  <c r="AT111" i="15"/>
  <c r="AT112" i="15"/>
  <c r="AT36" i="15"/>
  <c r="E948" i="17"/>
  <c r="E220" i="17"/>
  <c r="F219" i="15"/>
  <c r="H219" i="15"/>
  <c r="J219" i="15"/>
  <c r="C218" i="15"/>
  <c r="E218" i="15"/>
  <c r="F218" i="15"/>
  <c r="C219" i="15"/>
  <c r="D219" i="15"/>
  <c r="E219" i="15"/>
  <c r="G219" i="15"/>
  <c r="D218" i="15"/>
  <c r="G218" i="15"/>
  <c r="H218" i="15"/>
  <c r="I250" i="15"/>
  <c r="I174" i="15"/>
  <c r="J174" i="15"/>
  <c r="J250" i="15"/>
  <c r="AE250" i="15"/>
  <c r="AE174" i="15"/>
  <c r="AI250" i="15"/>
  <c r="AI174" i="15"/>
  <c r="C122" i="15"/>
  <c r="C125" i="15"/>
  <c r="C194" i="15"/>
  <c r="C121" i="15"/>
  <c r="C124" i="15"/>
  <c r="C193" i="15"/>
  <c r="D125" i="15"/>
  <c r="D194" i="15"/>
  <c r="D122" i="15"/>
  <c r="D121" i="15"/>
  <c r="D124" i="15"/>
  <c r="D193" i="15"/>
  <c r="E125" i="15"/>
  <c r="E194" i="15"/>
  <c r="E122" i="15"/>
  <c r="E191" i="15"/>
  <c r="E121" i="15"/>
  <c r="E124" i="15"/>
  <c r="E193" i="15"/>
  <c r="F125" i="15"/>
  <c r="F194" i="15"/>
  <c r="F122" i="15"/>
  <c r="F121" i="15"/>
  <c r="F124" i="15"/>
  <c r="F193" i="15"/>
  <c r="G125" i="15"/>
  <c r="G194" i="15"/>
  <c r="G122" i="15"/>
  <c r="G121" i="15"/>
  <c r="G124" i="15"/>
  <c r="G193" i="15"/>
  <c r="H122" i="15"/>
  <c r="H125" i="15"/>
  <c r="H194" i="15"/>
  <c r="H121" i="15"/>
  <c r="H124" i="15"/>
  <c r="H193" i="15"/>
  <c r="J262" i="15"/>
  <c r="J125" i="15"/>
  <c r="J194" i="15"/>
  <c r="J122" i="15"/>
  <c r="J142" i="15"/>
  <c r="J215" i="15"/>
  <c r="J218" i="15"/>
  <c r="J121" i="15"/>
  <c r="J124" i="15"/>
  <c r="J193" i="15"/>
  <c r="K262" i="15"/>
  <c r="K122" i="15"/>
  <c r="K125" i="15"/>
  <c r="K194" i="15"/>
  <c r="K142" i="15"/>
  <c r="K215" i="15"/>
  <c r="K124" i="15"/>
  <c r="K193" i="15"/>
  <c r="K121" i="15"/>
  <c r="L262" i="15"/>
  <c r="L122" i="15"/>
  <c r="L125" i="15"/>
  <c r="L194" i="15"/>
  <c r="L142" i="15"/>
  <c r="L215" i="15"/>
  <c r="L124" i="15"/>
  <c r="L193" i="15"/>
  <c r="L121" i="15"/>
  <c r="AS261" i="15"/>
  <c r="AS143" i="15"/>
  <c r="AS216" i="15"/>
  <c r="E917" i="17"/>
  <c r="K367" i="17"/>
  <c r="K369" i="17"/>
  <c r="K373" i="17"/>
  <c r="J369" i="17"/>
  <c r="J373" i="17"/>
  <c r="E874" i="17"/>
  <c r="K267" i="17"/>
  <c r="K269" i="17"/>
  <c r="J269" i="17"/>
  <c r="J273" i="17"/>
  <c r="K617" i="17"/>
  <c r="K619" i="17"/>
  <c r="K623" i="17"/>
  <c r="J619" i="17"/>
  <c r="J623" i="17"/>
  <c r="K666" i="17"/>
  <c r="K668" i="17"/>
  <c r="K672" i="17"/>
  <c r="J668" i="17"/>
  <c r="J672" i="17"/>
  <c r="K816" i="17"/>
  <c r="K818" i="17"/>
  <c r="K822" i="17"/>
  <c r="J818" i="17"/>
  <c r="J822" i="17"/>
  <c r="D298" i="17"/>
  <c r="E297" i="17"/>
  <c r="E298" i="17"/>
  <c r="D598" i="17"/>
  <c r="E597" i="17"/>
  <c r="E598" i="17"/>
  <c r="E614" i="17"/>
  <c r="E620" i="17"/>
  <c r="E624" i="17"/>
  <c r="E762" i="17"/>
  <c r="E768" i="17"/>
  <c r="E772" i="17"/>
  <c r="E793" i="17"/>
  <c r="E796" i="17"/>
  <c r="D574" i="17"/>
  <c r="D577" i="17"/>
  <c r="K417" i="17"/>
  <c r="K419" i="17"/>
  <c r="K423" i="17"/>
  <c r="J419" i="17"/>
  <c r="J423" i="17"/>
  <c r="J469" i="17"/>
  <c r="J473" i="17"/>
  <c r="K467" i="17"/>
  <c r="K469" i="17"/>
  <c r="K473" i="17"/>
  <c r="J569" i="17"/>
  <c r="J573" i="17"/>
  <c r="K567" i="17"/>
  <c r="K765" i="17"/>
  <c r="K767" i="17"/>
  <c r="K771" i="17"/>
  <c r="J767" i="17"/>
  <c r="J771" i="17"/>
  <c r="J869" i="17"/>
  <c r="J873" i="17"/>
  <c r="K867" i="17"/>
  <c r="K869" i="17"/>
  <c r="K873" i="17"/>
  <c r="AX46" i="15"/>
  <c r="AX41" i="15"/>
  <c r="AL82" i="15"/>
  <c r="AL56" i="15"/>
  <c r="AL52" i="15"/>
  <c r="AD154" i="15"/>
  <c r="P158" i="15"/>
  <c r="K569" i="17"/>
  <c r="K573" i="17"/>
  <c r="E1075" i="17"/>
  <c r="E564" i="17"/>
  <c r="E570" i="17"/>
  <c r="E574" i="17"/>
  <c r="C81" i="15"/>
  <c r="C48" i="15"/>
  <c r="C50" i="15"/>
  <c r="D47" i="15"/>
  <c r="M141" i="15"/>
  <c r="M214" i="15"/>
  <c r="M179" i="15"/>
  <c r="M255" i="15"/>
  <c r="AO46" i="15"/>
  <c r="AO48" i="15"/>
  <c r="AO41" i="15"/>
  <c r="AP45" i="15"/>
  <c r="AS46" i="15"/>
  <c r="AT45" i="15"/>
  <c r="AS41" i="15"/>
  <c r="M45" i="15"/>
  <c r="AA136" i="15"/>
  <c r="AA121" i="15"/>
  <c r="AA122" i="15"/>
  <c r="AA125" i="15"/>
  <c r="AA194" i="15"/>
  <c r="AA127" i="15"/>
  <c r="AA124" i="15"/>
  <c r="AA193" i="15"/>
  <c r="Z136" i="15"/>
  <c r="Z127" i="15"/>
  <c r="Z122" i="15"/>
  <c r="Z125" i="15"/>
  <c r="Z194" i="15"/>
  <c r="AC136" i="15"/>
  <c r="AC125" i="15"/>
  <c r="AC194" i="15"/>
  <c r="AC122" i="15"/>
  <c r="AC127" i="15"/>
  <c r="AC121" i="15"/>
  <c r="AC124" i="15"/>
  <c r="AC193" i="15"/>
  <c r="D979" i="17"/>
  <c r="AB136" i="15"/>
  <c r="AB125" i="15"/>
  <c r="AB194" i="15"/>
  <c r="D1030" i="17"/>
  <c r="AB124" i="15"/>
  <c r="AB193" i="15"/>
  <c r="AB121" i="15"/>
  <c r="AB122" i="15"/>
  <c r="AB127" i="15"/>
  <c r="AG136" i="15"/>
  <c r="AG125" i="15"/>
  <c r="AG194" i="15"/>
  <c r="D773" i="17"/>
  <c r="AG127" i="15"/>
  <c r="AG124" i="15"/>
  <c r="AG193" i="15"/>
  <c r="AG121" i="15"/>
  <c r="AG122" i="15"/>
  <c r="AE136" i="15"/>
  <c r="AE122" i="15"/>
  <c r="D875" i="17"/>
  <c r="AE121" i="15"/>
  <c r="AE125" i="15"/>
  <c r="AE194" i="15"/>
  <c r="AE127" i="15"/>
  <c r="AE124" i="15"/>
  <c r="AE193" i="15"/>
  <c r="AF136" i="15"/>
  <c r="AF122" i="15"/>
  <c r="D824" i="17"/>
  <c r="AF127" i="15"/>
  <c r="AF125" i="15"/>
  <c r="AF194" i="15"/>
  <c r="AF121" i="15"/>
  <c r="AF124" i="15"/>
  <c r="AF193" i="15"/>
  <c r="AK136" i="15"/>
  <c r="D575" i="17"/>
  <c r="AK122" i="15"/>
  <c r="AK125" i="15"/>
  <c r="AK194" i="15"/>
  <c r="AK124" i="15"/>
  <c r="AK193" i="15"/>
  <c r="AK130" i="15"/>
  <c r="AK199" i="15"/>
  <c r="AK127" i="15"/>
  <c r="AK121" i="15"/>
  <c r="AJ136" i="15"/>
  <c r="AJ127" i="15"/>
  <c r="D625" i="17"/>
  <c r="AJ122" i="15"/>
  <c r="AJ121" i="15"/>
  <c r="AJ124" i="15"/>
  <c r="AJ193" i="15"/>
  <c r="AJ125" i="15"/>
  <c r="AJ194" i="15"/>
  <c r="AJ130" i="15"/>
  <c r="AJ199" i="15"/>
  <c r="AI136" i="15"/>
  <c r="AI122" i="15"/>
  <c r="AI124" i="15"/>
  <c r="AI193" i="15"/>
  <c r="D674" i="17"/>
  <c r="AI127" i="15"/>
  <c r="AI125" i="15"/>
  <c r="AI194" i="15"/>
  <c r="AI121" i="15"/>
  <c r="AL156" i="15"/>
  <c r="AL232" i="15"/>
  <c r="AM51" i="15"/>
  <c r="AM53" i="15"/>
  <c r="C73" i="15"/>
  <c r="C176" i="15"/>
  <c r="C252" i="15"/>
  <c r="D176" i="15"/>
  <c r="D252" i="15"/>
  <c r="D73" i="15"/>
  <c r="E252" i="15"/>
  <c r="E176" i="15"/>
  <c r="E73" i="15"/>
  <c r="F176" i="15"/>
  <c r="F252" i="15"/>
  <c r="F73" i="15"/>
  <c r="G73" i="15"/>
  <c r="G252" i="15"/>
  <c r="G176" i="15"/>
  <c r="H73" i="15"/>
  <c r="H252" i="15"/>
  <c r="H176" i="15"/>
  <c r="I176" i="15"/>
  <c r="I73" i="15"/>
  <c r="I252" i="15"/>
  <c r="J73" i="15"/>
  <c r="J176" i="15"/>
  <c r="J252" i="15"/>
  <c r="K73" i="15"/>
  <c r="K176" i="15"/>
  <c r="L73" i="15"/>
  <c r="L176" i="15"/>
  <c r="O73" i="15"/>
  <c r="O252" i="15"/>
  <c r="O176" i="15"/>
  <c r="S176" i="15"/>
  <c r="S252" i="15"/>
  <c r="S73" i="15"/>
  <c r="W252" i="15"/>
  <c r="W176" i="15"/>
  <c r="W73" i="15"/>
  <c r="AA252" i="15"/>
  <c r="AA176" i="15"/>
  <c r="AA73" i="15"/>
  <c r="AE252" i="15"/>
  <c r="AE176" i="15"/>
  <c r="AE73" i="15"/>
  <c r="AI252" i="15"/>
  <c r="AI176" i="15"/>
  <c r="AI73" i="15"/>
  <c r="AX72" i="15"/>
  <c r="AX73" i="15"/>
  <c r="AW73" i="15"/>
  <c r="G139" i="15"/>
  <c r="G212" i="15"/>
  <c r="G129" i="15"/>
  <c r="G198" i="15"/>
  <c r="H139" i="15"/>
  <c r="H212" i="15"/>
  <c r="H129" i="15"/>
  <c r="H198" i="15"/>
  <c r="I139" i="15"/>
  <c r="I212" i="15"/>
  <c r="I129" i="15"/>
  <c r="I198" i="15"/>
  <c r="J139" i="15"/>
  <c r="J212" i="15"/>
  <c r="J129" i="15"/>
  <c r="J198" i="15"/>
  <c r="K139" i="15"/>
  <c r="K129" i="15"/>
  <c r="K198" i="15"/>
  <c r="L139" i="15"/>
  <c r="L129" i="15"/>
  <c r="L198" i="15"/>
  <c r="AU144" i="15"/>
  <c r="AU217" i="15"/>
  <c r="AU186" i="15"/>
  <c r="AU264" i="15"/>
  <c r="AU111" i="15"/>
  <c r="AU112" i="15"/>
  <c r="D35" i="17" s="1"/>
  <c r="AU20" i="15"/>
  <c r="AU44" i="15"/>
  <c r="AU46" i="15"/>
  <c r="AU80" i="15"/>
  <c r="AU35" i="15"/>
  <c r="M150" i="15"/>
  <c r="M88" i="15"/>
  <c r="M119" i="15"/>
  <c r="M223" i="15"/>
  <c r="M134" i="15"/>
  <c r="X154" i="15"/>
  <c r="T154" i="15"/>
  <c r="Y154" i="15"/>
  <c r="U154" i="15"/>
  <c r="M99" i="15"/>
  <c r="M97" i="15"/>
  <c r="V16" i="15"/>
  <c r="V31" i="15"/>
  <c r="U44" i="15"/>
  <c r="U46" i="15"/>
  <c r="U35" i="15"/>
  <c r="U20" i="15"/>
  <c r="R36" i="15"/>
  <c r="AX36" i="15"/>
  <c r="T36" i="15"/>
  <c r="AW36" i="15"/>
  <c r="S36" i="15"/>
  <c r="Y36" i="15"/>
  <c r="W36" i="15"/>
  <c r="X36" i="15"/>
  <c r="R45" i="15"/>
  <c r="R41" i="15"/>
  <c r="Q41" i="15"/>
  <c r="V45" i="15"/>
  <c r="V41" i="15"/>
  <c r="U41" i="15"/>
  <c r="Y46" i="15"/>
  <c r="Z45" i="15"/>
  <c r="Y41" i="15"/>
  <c r="AB41" i="15"/>
  <c r="AB46" i="15"/>
  <c r="AC45" i="15"/>
  <c r="AH45" i="15"/>
  <c r="AG41" i="15"/>
  <c r="AG46" i="15"/>
  <c r="AK46" i="15"/>
  <c r="AL45" i="15"/>
  <c r="AK41" i="15"/>
  <c r="I158" i="15"/>
  <c r="I157" i="15"/>
  <c r="I234" i="15"/>
  <c r="I233" i="15"/>
  <c r="J234" i="15"/>
  <c r="J233" i="15"/>
  <c r="J158" i="15"/>
  <c r="J157" i="15"/>
  <c r="K158" i="15"/>
  <c r="K157" i="15"/>
  <c r="K233" i="15"/>
  <c r="L158" i="15"/>
  <c r="L157" i="15"/>
  <c r="L233" i="15"/>
  <c r="R51" i="15"/>
  <c r="R53" i="15"/>
  <c r="U52" i="15"/>
  <c r="Q232" i="15"/>
  <c r="Q156" i="15"/>
  <c r="Q158" i="15"/>
  <c r="Q56" i="15"/>
  <c r="P234" i="15"/>
  <c r="T234" i="15"/>
  <c r="T233" i="15"/>
  <c r="X233" i="15"/>
  <c r="T158" i="15"/>
  <c r="X157" i="15"/>
  <c r="T157" i="15"/>
  <c r="V56" i="15"/>
  <c r="V232" i="15"/>
  <c r="V156" i="15"/>
  <c r="Y82" i="15"/>
  <c r="V82" i="15"/>
  <c r="Z52" i="15"/>
  <c r="X82" i="15"/>
  <c r="W82" i="15"/>
  <c r="V52" i="15"/>
  <c r="X266" i="15"/>
  <c r="U234" i="15"/>
  <c r="Y233" i="15"/>
  <c r="U233" i="15"/>
  <c r="U158" i="15"/>
  <c r="Y157" i="15"/>
  <c r="U157" i="15"/>
  <c r="AB266" i="15"/>
  <c r="AA266" i="15"/>
  <c r="Z266" i="15"/>
  <c r="AC266" i="15"/>
  <c r="Z233" i="15"/>
  <c r="Z234" i="15"/>
  <c r="Z158" i="15"/>
  <c r="Z157" i="15"/>
  <c r="AF266" i="15"/>
  <c r="AE266" i="15"/>
  <c r="AD266" i="15"/>
  <c r="AG266" i="15"/>
  <c r="AD233" i="15"/>
  <c r="AD234" i="15"/>
  <c r="AD158" i="15"/>
  <c r="AD157" i="15"/>
  <c r="AH266" i="15"/>
  <c r="AE234" i="15"/>
  <c r="AE233" i="15"/>
  <c r="AE158" i="15"/>
  <c r="AE157" i="15"/>
  <c r="AJ266" i="15"/>
  <c r="AI266" i="15"/>
  <c r="AK266" i="15"/>
  <c r="AH234" i="15"/>
  <c r="AH233" i="15"/>
  <c r="AH158" i="15"/>
  <c r="AH157" i="15"/>
  <c r="AI233" i="15"/>
  <c r="AI234" i="15"/>
  <c r="AI158" i="15"/>
  <c r="AI157" i="15"/>
  <c r="P60" i="15"/>
  <c r="P237" i="15"/>
  <c r="P161" i="15"/>
  <c r="Q57" i="15"/>
  <c r="T60" i="15"/>
  <c r="U57" i="15"/>
  <c r="T237" i="15"/>
  <c r="T161" i="15"/>
  <c r="Y57" i="15"/>
  <c r="X237" i="15"/>
  <c r="X161" i="15"/>
  <c r="X60" i="15"/>
  <c r="AC237" i="15"/>
  <c r="AC161" i="15"/>
  <c r="AC60" i="15"/>
  <c r="AD57" i="15"/>
  <c r="AG237" i="15"/>
  <c r="AG161" i="15"/>
  <c r="AG60" i="15"/>
  <c r="AH57" i="15"/>
  <c r="AJ60" i="15"/>
  <c r="AK57" i="15"/>
  <c r="AJ237" i="15"/>
  <c r="AJ161" i="15"/>
  <c r="AN161" i="15"/>
  <c r="AO57" i="15"/>
  <c r="AN237" i="15"/>
  <c r="AR237" i="15"/>
  <c r="AR161" i="15"/>
  <c r="AS57" i="15"/>
  <c r="R58" i="15"/>
  <c r="Q238" i="15"/>
  <c r="Q162" i="15"/>
  <c r="V238" i="15"/>
  <c r="V162" i="15"/>
  <c r="Z58" i="15"/>
  <c r="Y238" i="15"/>
  <c r="Y162" i="15"/>
  <c r="AC162" i="15"/>
  <c r="AD58" i="15"/>
  <c r="AC238" i="15"/>
  <c r="AH238" i="15"/>
  <c r="AH162" i="15"/>
  <c r="AK238" i="15"/>
  <c r="AK162" i="15"/>
  <c r="AL58" i="15"/>
  <c r="AP238" i="15"/>
  <c r="AP162" i="15"/>
  <c r="AS238" i="15"/>
  <c r="AS162" i="15"/>
  <c r="AT58" i="15"/>
  <c r="M58" i="15"/>
  <c r="R59" i="15"/>
  <c r="Q239" i="15"/>
  <c r="Q163" i="15"/>
  <c r="V239" i="15"/>
  <c r="X83" i="15"/>
  <c r="X138" i="15"/>
  <c r="X211" i="15"/>
  <c r="V83" i="15"/>
  <c r="V138" i="15"/>
  <c r="V211" i="15"/>
  <c r="V163" i="15"/>
  <c r="W83" i="15"/>
  <c r="W138" i="15"/>
  <c r="W211" i="15"/>
  <c r="Y239" i="15"/>
  <c r="Y163" i="15"/>
  <c r="Z59" i="15"/>
  <c r="Y83" i="15"/>
  <c r="Y138" i="15"/>
  <c r="Y211" i="15"/>
  <c r="AC239" i="15"/>
  <c r="AC163" i="15"/>
  <c r="AC83" i="15"/>
  <c r="AD59" i="15"/>
  <c r="AH239" i="15"/>
  <c r="AH163" i="15"/>
  <c r="AI83" i="15"/>
  <c r="AH83" i="15"/>
  <c r="AL239" i="15"/>
  <c r="AL163" i="15"/>
  <c r="AM83" i="15"/>
  <c r="AM138" i="15"/>
  <c r="AM211" i="15"/>
  <c r="AL83" i="15"/>
  <c r="AO239" i="15"/>
  <c r="AO163" i="15"/>
  <c r="AO83" i="15"/>
  <c r="AO138" i="15"/>
  <c r="AO211" i="15"/>
  <c r="AP59" i="15"/>
  <c r="M239" i="15"/>
  <c r="M163" i="15"/>
  <c r="M83" i="15"/>
  <c r="M138" i="15"/>
  <c r="M211" i="15"/>
  <c r="AT239" i="15"/>
  <c r="AT163" i="15"/>
  <c r="AT83" i="15"/>
  <c r="AT138" i="15"/>
  <c r="AT211" i="15"/>
  <c r="AU83" i="15"/>
  <c r="AU138" i="15"/>
  <c r="AU211" i="15"/>
  <c r="P40" i="15"/>
  <c r="P241" i="15"/>
  <c r="P165" i="15"/>
  <c r="Q61" i="15"/>
  <c r="T165" i="15"/>
  <c r="T40" i="15"/>
  <c r="U61" i="15"/>
  <c r="T241" i="15"/>
  <c r="X40" i="15"/>
  <c r="X241" i="15"/>
  <c r="X165" i="15"/>
  <c r="Y61" i="15"/>
  <c r="AC61" i="15"/>
  <c r="AB64" i="15"/>
  <c r="AB241" i="15"/>
  <c r="AB40" i="15"/>
  <c r="AB165" i="15"/>
  <c r="AF64" i="15"/>
  <c r="AG61" i="15"/>
  <c r="AF241" i="15"/>
  <c r="AF165" i="15"/>
  <c r="AF40" i="15"/>
  <c r="AJ241" i="15"/>
  <c r="AK61" i="15"/>
  <c r="AJ165" i="15"/>
  <c r="AJ40" i="15"/>
  <c r="AO241" i="15"/>
  <c r="AP61" i="15"/>
  <c r="AO165" i="15"/>
  <c r="AO40" i="15"/>
  <c r="AR241" i="15"/>
  <c r="AS61" i="15"/>
  <c r="AR165" i="15"/>
  <c r="AR85" i="15"/>
  <c r="AR139" i="15"/>
  <c r="AR212" i="15"/>
  <c r="AR40" i="15"/>
  <c r="Q166" i="15"/>
  <c r="R62" i="15"/>
  <c r="Q242" i="15"/>
  <c r="V242" i="15"/>
  <c r="V166" i="15"/>
  <c r="Y242" i="15"/>
  <c r="Z62" i="15"/>
  <c r="Y166" i="15"/>
  <c r="AD62" i="15"/>
  <c r="AC166" i="15"/>
  <c r="AC242" i="15"/>
  <c r="AF242" i="15"/>
  <c r="AG62" i="15"/>
  <c r="AF166" i="15"/>
  <c r="AK242" i="15"/>
  <c r="AL62" i="15"/>
  <c r="AK166" i="15"/>
  <c r="AP166" i="15"/>
  <c r="AP242" i="15"/>
  <c r="AS242" i="15"/>
  <c r="AS166" i="15"/>
  <c r="AT62" i="15"/>
  <c r="M62" i="15"/>
  <c r="Q167" i="15"/>
  <c r="R63" i="15"/>
  <c r="Q243" i="15"/>
  <c r="U167" i="15"/>
  <c r="V63" i="15"/>
  <c r="U243" i="15"/>
  <c r="AH63" i="15"/>
  <c r="AG243" i="15"/>
  <c r="AG167" i="15"/>
  <c r="AL63" i="15"/>
  <c r="AK167" i="15"/>
  <c r="AK243" i="15"/>
  <c r="AP243" i="15"/>
  <c r="AP167" i="15"/>
  <c r="AS243" i="15"/>
  <c r="AT63" i="15"/>
  <c r="M63" i="15"/>
  <c r="AS167" i="15"/>
  <c r="R169" i="15"/>
  <c r="R245" i="15"/>
  <c r="V65" i="15"/>
  <c r="U169" i="15"/>
  <c r="U245" i="15"/>
  <c r="Z169" i="15"/>
  <c r="Z245" i="15"/>
  <c r="AD245" i="15"/>
  <c r="AD169" i="15"/>
  <c r="AG169" i="15"/>
  <c r="AH65" i="15"/>
  <c r="AG245" i="15"/>
  <c r="AK245" i="15"/>
  <c r="AL65" i="15"/>
  <c r="AK169" i="15"/>
  <c r="AO245" i="15"/>
  <c r="AO169" i="15"/>
  <c r="AP65" i="15"/>
  <c r="AS169" i="15"/>
  <c r="AT65" i="15"/>
  <c r="M65" i="15"/>
  <c r="AS245" i="15"/>
  <c r="Q170" i="15"/>
  <c r="R66" i="15"/>
  <c r="Q246" i="15"/>
  <c r="U170" i="15"/>
  <c r="U246" i="15"/>
  <c r="V66" i="15"/>
  <c r="X246" i="15"/>
  <c r="Y66" i="15"/>
  <c r="X170" i="15"/>
  <c r="AC170" i="15"/>
  <c r="AD66" i="15"/>
  <c r="AC246" i="15"/>
  <c r="AG246" i="15"/>
  <c r="AH66" i="15"/>
  <c r="AG170" i="15"/>
  <c r="AK170" i="15"/>
  <c r="AL66" i="15"/>
  <c r="AK246" i="15"/>
  <c r="AO246" i="15"/>
  <c r="AP66" i="15"/>
  <c r="AO170" i="15"/>
  <c r="M246" i="15"/>
  <c r="M170" i="15"/>
  <c r="AT246" i="15"/>
  <c r="AT170" i="15"/>
  <c r="Q171" i="15"/>
  <c r="R67" i="15"/>
  <c r="Q247" i="15"/>
  <c r="U171" i="15"/>
  <c r="U247" i="15"/>
  <c r="V67" i="15"/>
  <c r="Z171" i="15"/>
  <c r="Z247" i="15"/>
  <c r="AD67" i="15"/>
  <c r="AC247" i="15"/>
  <c r="AC171" i="15"/>
  <c r="AG171" i="15"/>
  <c r="AH67" i="15"/>
  <c r="AG247" i="15"/>
  <c r="AL247" i="15"/>
  <c r="AL171" i="15"/>
  <c r="AP171" i="15"/>
  <c r="AP247" i="15"/>
  <c r="M247" i="15"/>
  <c r="M171" i="15"/>
  <c r="AT171" i="15"/>
  <c r="AT247" i="15"/>
  <c r="R68" i="15"/>
  <c r="Q248" i="15"/>
  <c r="Q172" i="15"/>
  <c r="U68" i="15"/>
  <c r="T248" i="15"/>
  <c r="T172" i="15"/>
  <c r="Y68" i="15"/>
  <c r="X248" i="15"/>
  <c r="X172" i="15"/>
  <c r="AB172" i="15"/>
  <c r="AC68" i="15"/>
  <c r="AB248" i="15"/>
  <c r="AF172" i="15"/>
  <c r="AG68" i="15"/>
  <c r="AF248" i="15"/>
  <c r="AK248" i="15"/>
  <c r="AL68" i="15"/>
  <c r="AK172" i="15"/>
  <c r="AO172" i="15"/>
  <c r="AP68" i="15"/>
  <c r="AO248" i="15"/>
  <c r="AS68" i="15"/>
  <c r="AR172" i="15"/>
  <c r="AR248" i="15"/>
  <c r="Q249" i="15"/>
  <c r="Q173" i="15"/>
  <c r="R69" i="15"/>
  <c r="V249" i="15"/>
  <c r="V173" i="15"/>
  <c r="Z69" i="15"/>
  <c r="Y173" i="15"/>
  <c r="Y249" i="15"/>
  <c r="AC173" i="15"/>
  <c r="AC249" i="15"/>
  <c r="AD69" i="15"/>
  <c r="AG249" i="15"/>
  <c r="AH69" i="15"/>
  <c r="AG173" i="15"/>
  <c r="AK249" i="15"/>
  <c r="AL69" i="15"/>
  <c r="AK173" i="15"/>
  <c r="AO173" i="15"/>
  <c r="AP69" i="15"/>
  <c r="AO249" i="15"/>
  <c r="AS249" i="15"/>
  <c r="AT69" i="15"/>
  <c r="M69" i="15"/>
  <c r="AS173" i="15"/>
  <c r="R251" i="15"/>
  <c r="R175" i="15"/>
  <c r="U175" i="15"/>
  <c r="V71" i="15"/>
  <c r="U251" i="15"/>
  <c r="Z175" i="15"/>
  <c r="Z251" i="15"/>
  <c r="AC251" i="15"/>
  <c r="AC175" i="15"/>
  <c r="AD71" i="15"/>
  <c r="AH175" i="15"/>
  <c r="AH251" i="15"/>
  <c r="AL71" i="15"/>
  <c r="AK251" i="15"/>
  <c r="AK175" i="15"/>
  <c r="AP251" i="15"/>
  <c r="AP175" i="15"/>
  <c r="AS175" i="15"/>
  <c r="AT71" i="15"/>
  <c r="M71" i="15"/>
  <c r="AS251" i="15"/>
  <c r="C137" i="15"/>
  <c r="C208" i="15"/>
  <c r="C210" i="15"/>
  <c r="D137" i="15"/>
  <c r="D208" i="15"/>
  <c r="D210" i="15"/>
  <c r="E137" i="15"/>
  <c r="E208" i="15"/>
  <c r="E210" i="15"/>
  <c r="F208" i="15"/>
  <c r="F210" i="15"/>
  <c r="F137" i="15"/>
  <c r="G137" i="15"/>
  <c r="G208" i="15"/>
  <c r="G210" i="15"/>
  <c r="H137" i="15"/>
  <c r="H208" i="15"/>
  <c r="H210" i="15"/>
  <c r="I137" i="15"/>
  <c r="I208" i="15"/>
  <c r="I210" i="15"/>
  <c r="J137" i="15"/>
  <c r="J208" i="15"/>
  <c r="J210" i="15"/>
  <c r="K208" i="15"/>
  <c r="K137" i="15"/>
  <c r="L137" i="15"/>
  <c r="L208" i="15"/>
  <c r="Z137" i="15"/>
  <c r="Z208" i="15"/>
  <c r="C196" i="15"/>
  <c r="C147" i="15"/>
  <c r="C191" i="15"/>
  <c r="C145" i="15"/>
  <c r="C190" i="15"/>
  <c r="C146" i="15"/>
  <c r="D190" i="15"/>
  <c r="D146" i="15"/>
  <c r="D196" i="15"/>
  <c r="D147" i="15"/>
  <c r="E145" i="15"/>
  <c r="E190" i="15"/>
  <c r="E146" i="15"/>
  <c r="E196" i="15"/>
  <c r="E147" i="15"/>
  <c r="F196" i="15"/>
  <c r="F147" i="15"/>
  <c r="F191" i="15"/>
  <c r="F145" i="15"/>
  <c r="F190" i="15"/>
  <c r="F146" i="15"/>
  <c r="G196" i="15"/>
  <c r="G147" i="15"/>
  <c r="G191" i="15"/>
  <c r="G145" i="15"/>
  <c r="G190" i="15"/>
  <c r="G146" i="15"/>
  <c r="H196" i="15"/>
  <c r="H147" i="15"/>
  <c r="H191" i="15"/>
  <c r="H145" i="15"/>
  <c r="I196" i="15"/>
  <c r="I147" i="15"/>
  <c r="J196" i="15"/>
  <c r="J147" i="15"/>
  <c r="K196" i="15"/>
  <c r="K147" i="15"/>
  <c r="L196" i="15"/>
  <c r="L147" i="15"/>
  <c r="J927" i="17"/>
  <c r="K927" i="17"/>
  <c r="F917" i="17"/>
  <c r="E928" i="17"/>
  <c r="AD196" i="15"/>
  <c r="AD147" i="15"/>
  <c r="AH196" i="15"/>
  <c r="AH147" i="15"/>
  <c r="J723" i="17"/>
  <c r="K723" i="17"/>
  <c r="F713" i="17"/>
  <c r="E724" i="17"/>
  <c r="J974" i="17"/>
  <c r="K974" i="17"/>
  <c r="E975" i="17"/>
  <c r="D985" i="17"/>
  <c r="D987" i="17"/>
  <c r="D976" i="17"/>
  <c r="J923" i="17"/>
  <c r="K923" i="17"/>
  <c r="D934" i="17"/>
  <c r="D936" i="17"/>
  <c r="E924" i="17"/>
  <c r="J870" i="17"/>
  <c r="D881" i="17"/>
  <c r="D883" i="17"/>
  <c r="D872" i="17"/>
  <c r="E871" i="17"/>
  <c r="J819" i="17"/>
  <c r="D830" i="17"/>
  <c r="D832" i="17"/>
  <c r="D821" i="17"/>
  <c r="E820" i="17"/>
  <c r="J768" i="17"/>
  <c r="D779" i="17"/>
  <c r="D781" i="17"/>
  <c r="D770" i="17"/>
  <c r="E769" i="17"/>
  <c r="J719" i="17"/>
  <c r="K719" i="17"/>
  <c r="D730" i="17"/>
  <c r="D732" i="17"/>
  <c r="E720" i="17"/>
  <c r="J669" i="17"/>
  <c r="D680" i="17"/>
  <c r="D682" i="17"/>
  <c r="D671" i="17"/>
  <c r="E670" i="17"/>
  <c r="J620" i="17"/>
  <c r="D631" i="17"/>
  <c r="D633" i="17"/>
  <c r="D622" i="17"/>
  <c r="E621" i="17"/>
  <c r="J570" i="17"/>
  <c r="D581" i="17"/>
  <c r="D583" i="17"/>
  <c r="D572" i="17"/>
  <c r="E571" i="17"/>
  <c r="J520" i="17"/>
  <c r="K520" i="17"/>
  <c r="D531" i="17"/>
  <c r="D533" i="17"/>
  <c r="E521" i="17"/>
  <c r="J470" i="17"/>
  <c r="D481" i="17"/>
  <c r="D483" i="17"/>
  <c r="D472" i="17"/>
  <c r="E471" i="17"/>
  <c r="J420" i="17"/>
  <c r="D431" i="17"/>
  <c r="D433" i="17"/>
  <c r="D422" i="17"/>
  <c r="E421" i="17"/>
  <c r="J370" i="17"/>
  <c r="D381" i="17"/>
  <c r="D383" i="17"/>
  <c r="D372" i="17"/>
  <c r="E371" i="17"/>
  <c r="J320" i="17"/>
  <c r="K320" i="17"/>
  <c r="D331" i="17"/>
  <c r="D333" i="17"/>
  <c r="E321" i="17"/>
  <c r="J270" i="17"/>
  <c r="D281" i="17"/>
  <c r="D283" i="17"/>
  <c r="D272" i="17"/>
  <c r="E271" i="17"/>
  <c r="J202" i="17"/>
  <c r="D231" i="17"/>
  <c r="D233" i="17"/>
  <c r="D222" i="17"/>
  <c r="E221" i="17"/>
  <c r="D171" i="17"/>
  <c r="D172" i="17"/>
  <c r="D163" i="17"/>
  <c r="E162" i="17"/>
  <c r="E171" i="17"/>
  <c r="E172" i="17"/>
  <c r="D98" i="17"/>
  <c r="D99" i="17"/>
  <c r="D90" i="17"/>
  <c r="E89" i="17"/>
  <c r="E98" i="17"/>
  <c r="E99" i="17"/>
  <c r="C279" i="15"/>
  <c r="C271" i="15"/>
  <c r="C268" i="15"/>
  <c r="D279" i="15"/>
  <c r="D271" i="15"/>
  <c r="D268" i="15"/>
  <c r="E279" i="15"/>
  <c r="E271" i="15"/>
  <c r="E268" i="15"/>
  <c r="F279" i="15"/>
  <c r="F271" i="15"/>
  <c r="F268" i="15"/>
  <c r="G279" i="15"/>
  <c r="G271" i="15"/>
  <c r="G268" i="15"/>
  <c r="H279" i="15"/>
  <c r="H271" i="15"/>
  <c r="H268" i="15"/>
  <c r="J279" i="15"/>
  <c r="J271" i="15"/>
  <c r="J268" i="15"/>
  <c r="K279" i="15"/>
  <c r="L279" i="15"/>
  <c r="AS279" i="15"/>
  <c r="C272" i="15"/>
  <c r="C269" i="15"/>
  <c r="D272" i="15"/>
  <c r="D269" i="15"/>
  <c r="E272" i="15"/>
  <c r="E269" i="15"/>
  <c r="F272" i="15"/>
  <c r="F269" i="15"/>
  <c r="G272" i="15"/>
  <c r="G269" i="15"/>
  <c r="H272" i="15"/>
  <c r="H269" i="15"/>
  <c r="J272" i="15"/>
  <c r="J269" i="15"/>
  <c r="M186" i="15"/>
  <c r="M264" i="15"/>
  <c r="M144" i="15"/>
  <c r="M217" i="15"/>
  <c r="E1126" i="17"/>
  <c r="J1125" i="17"/>
  <c r="K1125" i="17"/>
  <c r="D1127" i="17"/>
  <c r="J925" i="17"/>
  <c r="K925" i="17"/>
  <c r="E926" i="17"/>
  <c r="J721" i="17"/>
  <c r="K721" i="17"/>
  <c r="E722" i="17"/>
  <c r="J522" i="17"/>
  <c r="K522" i="17"/>
  <c r="E523" i="17"/>
  <c r="J322" i="17"/>
  <c r="K322" i="17"/>
  <c r="E323" i="17"/>
  <c r="D92" i="17"/>
  <c r="E91" i="17"/>
  <c r="M257" i="15"/>
  <c r="M181" i="15"/>
  <c r="C274" i="15"/>
  <c r="C277" i="15"/>
  <c r="C276" i="15"/>
  <c r="C220" i="15"/>
  <c r="D220" i="15"/>
  <c r="D274" i="15"/>
  <c r="D277" i="15"/>
  <c r="D276" i="15"/>
  <c r="E274" i="15"/>
  <c r="E277" i="15"/>
  <c r="E276" i="15"/>
  <c r="E220" i="15"/>
  <c r="F220" i="15"/>
  <c r="F274" i="15"/>
  <c r="F277" i="15"/>
  <c r="F276" i="15"/>
  <c r="G220" i="15"/>
  <c r="G274" i="15"/>
  <c r="G277" i="15"/>
  <c r="G276" i="15"/>
  <c r="H220" i="15"/>
  <c r="H274" i="15"/>
  <c r="H277" i="15"/>
  <c r="H276" i="15"/>
  <c r="I274" i="15"/>
  <c r="I277" i="15"/>
  <c r="I276" i="15"/>
  <c r="I220" i="15"/>
  <c r="J220" i="15"/>
  <c r="J274" i="15"/>
  <c r="J277" i="15"/>
  <c r="J276" i="15"/>
  <c r="AD220" i="15"/>
  <c r="AD210" i="15"/>
  <c r="AH220" i="15"/>
  <c r="AH210" i="15"/>
  <c r="E186" i="17"/>
  <c r="E185" i="17"/>
  <c r="E182" i="17"/>
  <c r="E181" i="17"/>
  <c r="E180" i="17"/>
  <c r="E179" i="17"/>
  <c r="E178" i="17"/>
  <c r="E177" i="17"/>
  <c r="E164" i="17"/>
  <c r="E159" i="17"/>
  <c r="E158" i="17"/>
  <c r="E157" i="17"/>
  <c r="E155" i="17"/>
  <c r="E153" i="17"/>
  <c r="E152" i="17"/>
  <c r="E151" i="17"/>
  <c r="E150" i="17"/>
  <c r="E149" i="17"/>
  <c r="E148" i="17"/>
  <c r="E147" i="17"/>
  <c r="E145" i="17"/>
  <c r="E144" i="17"/>
  <c r="E143" i="17"/>
  <c r="E142" i="17"/>
  <c r="E141" i="17"/>
  <c r="E140" i="17"/>
  <c r="E139" i="17"/>
  <c r="E161" i="17"/>
  <c r="E127" i="17"/>
  <c r="E126" i="17"/>
  <c r="E123" i="17"/>
  <c r="E122" i="17"/>
  <c r="E121" i="17"/>
  <c r="E120" i="17"/>
  <c r="E119" i="17"/>
  <c r="E118" i="17"/>
  <c r="E125" i="17"/>
  <c r="E128" i="17"/>
  <c r="E112" i="17"/>
  <c r="E111" i="17"/>
  <c r="E110" i="17"/>
  <c r="E113" i="17"/>
  <c r="E105" i="17"/>
  <c r="E104" i="17"/>
  <c r="E103" i="17"/>
  <c r="E106" i="17"/>
  <c r="E86" i="17"/>
  <c r="E85" i="17"/>
  <c r="E84" i="17"/>
  <c r="E82" i="17"/>
  <c r="E80" i="17"/>
  <c r="E79" i="17"/>
  <c r="E78" i="17"/>
  <c r="E77" i="17"/>
  <c r="E76" i="17"/>
  <c r="E75" i="17"/>
  <c r="E74" i="17"/>
  <c r="E72" i="17"/>
  <c r="E71" i="17"/>
  <c r="E70" i="17"/>
  <c r="E69" i="17"/>
  <c r="E68" i="17"/>
  <c r="E67" i="17"/>
  <c r="K211" i="15"/>
  <c r="K239" i="15"/>
  <c r="K226" i="15"/>
  <c r="K251" i="15"/>
  <c r="K247" i="15"/>
  <c r="K246" i="15"/>
  <c r="K243" i="15"/>
  <c r="K242" i="15"/>
  <c r="K238" i="15"/>
  <c r="K205" i="15"/>
  <c r="L211" i="15"/>
  <c r="L238" i="15"/>
  <c r="L226" i="15"/>
  <c r="L246" i="15"/>
  <c r="L243" i="15"/>
  <c r="L205" i="15"/>
  <c r="J135" i="17"/>
  <c r="J62" i="17"/>
  <c r="J973" i="17"/>
  <c r="K971" i="17"/>
  <c r="K973" i="17"/>
  <c r="J1024" i="17"/>
  <c r="K1022" i="17"/>
  <c r="K1024" i="17"/>
  <c r="E1029" i="17"/>
  <c r="E1027" i="17"/>
  <c r="J1074" i="17"/>
  <c r="K1072" i="17"/>
  <c r="K1074" i="17"/>
  <c r="J1122" i="17"/>
  <c r="K1120" i="17"/>
  <c r="K1122" i="17"/>
  <c r="E224" i="17"/>
  <c r="K212" i="15"/>
  <c r="L212" i="15"/>
  <c r="K213" i="15"/>
  <c r="L213" i="15"/>
  <c r="K266" i="15"/>
  <c r="L266" i="15"/>
  <c r="C139" i="15"/>
  <c r="C212" i="15"/>
  <c r="C129" i="15"/>
  <c r="C198" i="15"/>
  <c r="D139" i="15"/>
  <c r="D212" i="15"/>
  <c r="D129" i="15"/>
  <c r="D198" i="15"/>
  <c r="E139" i="15"/>
  <c r="E212" i="15"/>
  <c r="E129" i="15"/>
  <c r="E198" i="15"/>
  <c r="F139" i="15"/>
  <c r="F212" i="15"/>
  <c r="F129" i="15"/>
  <c r="F198" i="15"/>
  <c r="M259" i="15"/>
  <c r="M105" i="15"/>
  <c r="K237" i="15"/>
  <c r="K209" i="15"/>
  <c r="K248" i="15"/>
  <c r="K240" i="15"/>
  <c r="K241" i="15"/>
  <c r="K244" i="15"/>
  <c r="K236" i="15"/>
  <c r="K249" i="15"/>
  <c r="K250" i="15"/>
  <c r="K252" i="15"/>
  <c r="L236" i="15"/>
  <c r="L237" i="15"/>
  <c r="L239" i="15"/>
  <c r="L251" i="15"/>
  <c r="L249" i="15"/>
  <c r="L252" i="15"/>
  <c r="L247" i="15"/>
  <c r="L245" i="15"/>
  <c r="L244" i="15"/>
  <c r="L242" i="15"/>
  <c r="L241" i="15"/>
  <c r="L248" i="15"/>
  <c r="L209" i="15"/>
  <c r="L240" i="15"/>
  <c r="L250" i="15"/>
  <c r="D527" i="17"/>
  <c r="D327" i="17"/>
  <c r="J718" i="17"/>
  <c r="K716" i="17"/>
  <c r="K718" i="17"/>
  <c r="D747" i="17"/>
  <c r="E746" i="17"/>
  <c r="E747" i="17"/>
  <c r="D723" i="17"/>
  <c r="F723" i="17"/>
  <c r="D721" i="17"/>
  <c r="F721" i="17"/>
  <c r="F719" i="17"/>
  <c r="J519" i="17"/>
  <c r="K517" i="17"/>
  <c r="K519" i="17"/>
  <c r="D548" i="17"/>
  <c r="E547" i="17"/>
  <c r="E548" i="17"/>
  <c r="D524" i="17"/>
  <c r="D522" i="17"/>
  <c r="J319" i="17"/>
  <c r="K317" i="17"/>
  <c r="K319" i="17"/>
  <c r="D348" i="17"/>
  <c r="E347" i="17"/>
  <c r="E348" i="17"/>
  <c r="D324" i="17"/>
  <c r="D322" i="17"/>
  <c r="E923" i="17"/>
  <c r="E950" i="17"/>
  <c r="D951" i="17"/>
  <c r="J922" i="17"/>
  <c r="K920" i="17"/>
  <c r="K922" i="17"/>
  <c r="D930" i="17"/>
  <c r="D927" i="17"/>
  <c r="F927" i="17"/>
  <c r="D925" i="17"/>
  <c r="F925" i="17"/>
  <c r="F923" i="17"/>
  <c r="E15" i="17"/>
  <c r="E25" i="17"/>
  <c r="E7" i="17"/>
  <c r="E951" i="17"/>
  <c r="M30" i="18"/>
  <c r="AT34" i="18"/>
  <c r="AT52" i="18"/>
  <c r="M32" i="18"/>
  <c r="AT47" i="18"/>
  <c r="AD42" i="18"/>
  <c r="U42" i="18"/>
  <c r="AC70" i="18"/>
  <c r="AO70" i="18"/>
  <c r="R20" i="18"/>
  <c r="AG20" i="18"/>
  <c r="Z70" i="18"/>
  <c r="AD62" i="18"/>
  <c r="AD67" i="18"/>
  <c r="AH75" i="18"/>
  <c r="R52" i="18"/>
  <c r="R34" i="18"/>
  <c r="R38" i="18"/>
  <c r="Q39" i="18"/>
  <c r="Q41" i="18"/>
  <c r="V39" i="18"/>
  <c r="V49" i="18"/>
  <c r="AD45" i="18"/>
  <c r="Z45" i="18"/>
  <c r="Z34" i="18"/>
  <c r="Z38" i="18"/>
  <c r="Z52" i="18"/>
  <c r="Y35" i="18"/>
  <c r="Y39" i="18"/>
  <c r="Y42" i="18"/>
  <c r="Y49" i="18"/>
  <c r="AH41" i="18"/>
  <c r="AH35" i="18"/>
  <c r="AH40" i="18"/>
  <c r="AH39" i="18"/>
  <c r="AH42" i="18"/>
  <c r="AH49" i="18"/>
  <c r="AL41" i="18"/>
  <c r="AL35" i="18"/>
  <c r="AL40" i="18"/>
  <c r="AL42" i="18"/>
  <c r="AL49" i="18"/>
  <c r="AP41" i="18"/>
  <c r="AP35" i="18"/>
  <c r="AP40" i="18"/>
  <c r="AP39" i="18"/>
  <c r="AP42" i="18"/>
  <c r="AP49" i="18"/>
  <c r="R54" i="18"/>
  <c r="R40" i="18"/>
  <c r="V54" i="18"/>
  <c r="V47" i="18"/>
  <c r="V40" i="18"/>
  <c r="Z54" i="18"/>
  <c r="Z47" i="18"/>
  <c r="AD47" i="18"/>
  <c r="Z40" i="18"/>
  <c r="Z41" i="18"/>
  <c r="Z48" i="18"/>
  <c r="Z55" i="18"/>
  <c r="Q68" i="18"/>
  <c r="Q64" i="18"/>
  <c r="Q69" i="18"/>
  <c r="R62" i="18"/>
  <c r="R67" i="18"/>
  <c r="V73" i="18"/>
  <c r="V62" i="18"/>
  <c r="V67" i="18"/>
  <c r="U69" i="18"/>
  <c r="U70" i="18"/>
  <c r="U64" i="18"/>
  <c r="U76" i="18"/>
  <c r="Z64" i="18"/>
  <c r="Z76" i="18"/>
  <c r="AD68" i="18"/>
  <c r="AD64" i="18"/>
  <c r="AD76" i="18"/>
  <c r="AL76" i="18"/>
  <c r="AH64" i="18"/>
  <c r="AH76" i="18"/>
  <c r="AP68" i="18"/>
  <c r="AP64" i="18"/>
  <c r="AP76" i="18"/>
  <c r="AS68" i="18"/>
  <c r="AS70" i="18"/>
  <c r="AS76" i="18"/>
  <c r="AS64" i="18"/>
  <c r="AT73" i="18"/>
  <c r="AT62" i="18"/>
  <c r="AT67" i="18"/>
  <c r="V74" i="18"/>
  <c r="V68" i="18"/>
  <c r="AL74" i="18"/>
  <c r="AH74" i="18"/>
  <c r="AH68" i="18"/>
  <c r="AD75" i="18"/>
  <c r="AD69" i="18"/>
  <c r="AP75" i="18"/>
  <c r="AP69" i="18"/>
  <c r="AT75" i="18"/>
  <c r="AT69" i="18"/>
  <c r="AB42" i="18"/>
  <c r="AN42" i="18"/>
  <c r="Q20" i="18"/>
  <c r="AG70" i="18"/>
  <c r="V38" i="18"/>
  <c r="V56" i="18"/>
  <c r="V41" i="18"/>
  <c r="AH67" i="18"/>
  <c r="AH69" i="18"/>
  <c r="AH70" i="18" s="1"/>
  <c r="Z56" i="18"/>
  <c r="Z19" i="18"/>
  <c r="Z18" i="18"/>
  <c r="Z27" i="18"/>
  <c r="Z16" i="18"/>
  <c r="Z13" i="18"/>
  <c r="AD19" i="18"/>
  <c r="AD18" i="18"/>
  <c r="AD56" i="18"/>
  <c r="AD27" i="18"/>
  <c r="AD16" i="18"/>
  <c r="AD20" i="18"/>
  <c r="AD13" i="18"/>
  <c r="AP56" i="18"/>
  <c r="AP19" i="18"/>
  <c r="AP16" i="18"/>
  <c r="AP20" i="18"/>
  <c r="AP27" i="18"/>
  <c r="AP13" i="18"/>
  <c r="AS56" i="18"/>
  <c r="AS19" i="18"/>
  <c r="AS16" i="18"/>
  <c r="AS20" i="18"/>
  <c r="AS13" i="18"/>
  <c r="AS27" i="18"/>
  <c r="AT12" i="18"/>
  <c r="AT17" i="18"/>
  <c r="AT53" i="18"/>
  <c r="AT24" i="18"/>
  <c r="AT25" i="18"/>
  <c r="AT18" i="18"/>
  <c r="AT54" i="18"/>
  <c r="AC20" i="18"/>
  <c r="T135" i="15"/>
  <c r="T208" i="15"/>
  <c r="T95" i="15"/>
  <c r="S135" i="15"/>
  <c r="S208" i="15"/>
  <c r="S95" i="15"/>
  <c r="R95" i="15"/>
  <c r="R135" i="15"/>
  <c r="R208" i="15"/>
  <c r="R16" i="15"/>
  <c r="R11" i="15"/>
  <c r="Q20" i="15"/>
  <c r="Q44" i="15"/>
  <c r="Q46" i="15"/>
  <c r="Q35" i="15"/>
  <c r="V227" i="15"/>
  <c r="Z227" i="15"/>
  <c r="Y95" i="15"/>
  <c r="Y135" i="15"/>
  <c r="Y208" i="15"/>
  <c r="X95" i="15"/>
  <c r="X135" i="15"/>
  <c r="X208" i="15"/>
  <c r="W95" i="15"/>
  <c r="W135" i="15"/>
  <c r="W208" i="15"/>
  <c r="V135" i="15"/>
  <c r="V208" i="15"/>
  <c r="V95" i="15"/>
  <c r="AD143" i="15"/>
  <c r="AD216" i="15"/>
  <c r="AD219" i="15"/>
  <c r="AD261" i="15"/>
  <c r="AD124" i="15"/>
  <c r="AD193" i="15"/>
  <c r="AD121" i="15"/>
  <c r="AD183" i="15"/>
  <c r="AD132" i="15"/>
  <c r="AD201" i="15"/>
  <c r="AH261" i="15"/>
  <c r="AH143" i="15"/>
  <c r="AH216" i="15"/>
  <c r="AH219" i="15"/>
  <c r="AH121" i="15"/>
  <c r="AH124" i="15"/>
  <c r="AH193" i="15"/>
  <c r="AH183" i="15"/>
  <c r="AH132" i="15"/>
  <c r="AH201" i="15"/>
  <c r="AL143" i="15"/>
  <c r="AL216" i="15"/>
  <c r="AL261" i="15"/>
  <c r="AL279" i="15"/>
  <c r="AL183" i="15"/>
  <c r="AL132" i="15"/>
  <c r="AL201" i="15"/>
  <c r="AP143" i="15"/>
  <c r="AP216" i="15"/>
  <c r="AP261" i="15"/>
  <c r="AP279" i="15"/>
  <c r="AP183" i="15"/>
  <c r="AP132" i="15"/>
  <c r="AP201" i="15"/>
  <c r="R262" i="15"/>
  <c r="R142" i="15"/>
  <c r="R215" i="15"/>
  <c r="R184" i="15"/>
  <c r="R117" i="15"/>
  <c r="V262" i="15"/>
  <c r="V142" i="15"/>
  <c r="V215" i="15"/>
  <c r="D1130" i="17"/>
  <c r="V184" i="15"/>
  <c r="V117" i="15"/>
  <c r="Z262" i="15"/>
  <c r="Z142" i="15"/>
  <c r="Z215" i="15"/>
  <c r="Z184" i="15"/>
  <c r="Z117" i="15"/>
  <c r="AD262" i="15"/>
  <c r="AD142" i="15"/>
  <c r="AD215" i="15"/>
  <c r="AD218" i="15"/>
  <c r="AD125" i="15"/>
  <c r="AD194" i="15"/>
  <c r="AD122" i="15"/>
  <c r="AD184" i="15"/>
  <c r="AD117" i="15"/>
  <c r="AL262" i="15"/>
  <c r="AL142" i="15"/>
  <c r="AL215" i="15"/>
  <c r="AL184" i="15"/>
  <c r="AL117" i="15"/>
  <c r="AP262" i="15"/>
  <c r="AP142" i="15"/>
  <c r="AP215" i="15"/>
  <c r="AP184" i="15"/>
  <c r="AP117" i="15"/>
  <c r="O262" i="15"/>
  <c r="O142" i="15"/>
  <c r="O215" i="15"/>
  <c r="O184" i="15"/>
  <c r="O117" i="15"/>
  <c r="O143" i="15"/>
  <c r="O216" i="15"/>
  <c r="O261" i="15"/>
  <c r="O279" i="15"/>
  <c r="O183" i="15"/>
  <c r="O132" i="15"/>
  <c r="O201" i="15"/>
  <c r="P142" i="15"/>
  <c r="P215" i="15"/>
  <c r="P262" i="15"/>
  <c r="P184" i="15"/>
  <c r="P117" i="15"/>
  <c r="P143" i="15"/>
  <c r="P216" i="15"/>
  <c r="P261" i="15"/>
  <c r="P279" i="15"/>
  <c r="P183" i="15"/>
  <c r="P132" i="15"/>
  <c r="P201" i="15"/>
  <c r="Q142" i="15"/>
  <c r="Q215" i="15"/>
  <c r="Q262" i="15"/>
  <c r="Q184" i="15"/>
  <c r="Q117" i="15"/>
  <c r="Q261" i="15"/>
  <c r="Q279" i="15"/>
  <c r="Q143" i="15"/>
  <c r="Q216" i="15"/>
  <c r="Q183" i="15"/>
  <c r="Q132" i="15"/>
  <c r="Q201" i="15"/>
  <c r="S142" i="15"/>
  <c r="S215" i="15"/>
  <c r="S262" i="15"/>
  <c r="S184" i="15"/>
  <c r="S117" i="15"/>
  <c r="S261" i="15"/>
  <c r="S279" i="15"/>
  <c r="S143" i="15"/>
  <c r="S216" i="15"/>
  <c r="S183" i="15"/>
  <c r="S132" i="15"/>
  <c r="S201" i="15"/>
  <c r="T142" i="15"/>
  <c r="T215" i="15"/>
  <c r="T262" i="15"/>
  <c r="T184" i="15"/>
  <c r="T117" i="15"/>
  <c r="T143" i="15"/>
  <c r="T216" i="15"/>
  <c r="T261" i="15"/>
  <c r="T279" i="15"/>
  <c r="T183" i="15"/>
  <c r="T132" i="15"/>
  <c r="T201" i="15"/>
  <c r="U142" i="15"/>
  <c r="U215" i="15"/>
  <c r="U262" i="15"/>
  <c r="U184" i="15"/>
  <c r="U117" i="15"/>
  <c r="U143" i="15"/>
  <c r="U216" i="15"/>
  <c r="U261" i="15"/>
  <c r="U279" i="15"/>
  <c r="U183" i="15"/>
  <c r="U132" i="15"/>
  <c r="U201" i="15"/>
  <c r="W142" i="15"/>
  <c r="W215" i="15"/>
  <c r="D1082" i="17"/>
  <c r="W262" i="15"/>
  <c r="W184" i="15"/>
  <c r="W117" i="15"/>
  <c r="W261" i="15"/>
  <c r="W279" i="15"/>
  <c r="W143" i="15"/>
  <c r="W216" i="15"/>
  <c r="W183" i="15"/>
  <c r="W132" i="15"/>
  <c r="W201" i="15"/>
  <c r="X142" i="15"/>
  <c r="X215" i="15"/>
  <c r="X262" i="15"/>
  <c r="X184" i="15"/>
  <c r="X117" i="15"/>
  <c r="X261" i="15"/>
  <c r="X143" i="15"/>
  <c r="X216" i="15"/>
  <c r="X183" i="15"/>
  <c r="X132" i="15"/>
  <c r="X201" i="15"/>
  <c r="Y262" i="15"/>
  <c r="Y142" i="15"/>
  <c r="Y215" i="15"/>
  <c r="Y184" i="15"/>
  <c r="Y117" i="15"/>
  <c r="Y143" i="15"/>
  <c r="Y216" i="15"/>
  <c r="Y261" i="15"/>
  <c r="Y279" i="15"/>
  <c r="Y183" i="15"/>
  <c r="Y132" i="15"/>
  <c r="Y201" i="15"/>
  <c r="AA142" i="15"/>
  <c r="AA215" i="15"/>
  <c r="AA262" i="15"/>
  <c r="AA184" i="15"/>
  <c r="AA117" i="15"/>
  <c r="AA143" i="15"/>
  <c r="AA216" i="15"/>
  <c r="AA261" i="15"/>
  <c r="AA183" i="15"/>
  <c r="AA132" i="15"/>
  <c r="AA201" i="15"/>
  <c r="D1032" i="17"/>
  <c r="AB262" i="15"/>
  <c r="AB142" i="15"/>
  <c r="AB215" i="15"/>
  <c r="AB184" i="15"/>
  <c r="AB117" i="15"/>
  <c r="AB261" i="15"/>
  <c r="AB143" i="15"/>
  <c r="AB216" i="15"/>
  <c r="AB183" i="15"/>
  <c r="AB132" i="15"/>
  <c r="AB201" i="15"/>
  <c r="AC262" i="15"/>
  <c r="D981" i="17"/>
  <c r="AC142" i="15"/>
  <c r="AC215" i="15"/>
  <c r="AC184" i="15"/>
  <c r="AC117" i="15"/>
  <c r="AC261" i="15"/>
  <c r="AC143" i="15"/>
  <c r="AC216" i="15"/>
  <c r="AC183" i="15"/>
  <c r="AC132" i="15"/>
  <c r="AC201" i="15"/>
  <c r="D877" i="17"/>
  <c r="AE262" i="15"/>
  <c r="AE142" i="15"/>
  <c r="AE215" i="15"/>
  <c r="AE184" i="15"/>
  <c r="AE117" i="15"/>
  <c r="AE143" i="15"/>
  <c r="AE216" i="15"/>
  <c r="AE261" i="15"/>
  <c r="AE183" i="15"/>
  <c r="AE132" i="15"/>
  <c r="AE201" i="15"/>
  <c r="D826" i="17"/>
  <c r="AF262" i="15"/>
  <c r="AF142" i="15"/>
  <c r="AF215" i="15"/>
  <c r="AF184" i="15"/>
  <c r="AF117" i="15"/>
  <c r="AF143" i="15"/>
  <c r="AF216" i="15"/>
  <c r="AF261" i="15"/>
  <c r="AF183" i="15"/>
  <c r="AF132" i="15"/>
  <c r="AF201" i="15"/>
  <c r="D775" i="17"/>
  <c r="AG262" i="15"/>
  <c r="AG142" i="15"/>
  <c r="AG215" i="15"/>
  <c r="AG184" i="15"/>
  <c r="AG117" i="15"/>
  <c r="AG143" i="15"/>
  <c r="AG216" i="15"/>
  <c r="AG261" i="15"/>
  <c r="AG183" i="15"/>
  <c r="AG132" i="15"/>
  <c r="AG201" i="15"/>
  <c r="AI262" i="15"/>
  <c r="D676" i="17"/>
  <c r="AI142" i="15"/>
  <c r="AI215" i="15"/>
  <c r="AI184" i="15"/>
  <c r="AI117" i="15"/>
  <c r="AI261" i="15"/>
  <c r="AI143" i="15"/>
  <c r="AI216" i="15"/>
  <c r="AI183" i="15"/>
  <c r="AI132" i="15"/>
  <c r="AI201" i="15"/>
  <c r="AJ262" i="15"/>
  <c r="D627" i="17"/>
  <c r="AJ142" i="15"/>
  <c r="AJ215" i="15"/>
  <c r="AJ184" i="15"/>
  <c r="AJ117" i="15"/>
  <c r="AJ143" i="15"/>
  <c r="AJ216" i="15"/>
  <c r="AJ261" i="15"/>
  <c r="AJ183" i="15"/>
  <c r="AJ132" i="15"/>
  <c r="AJ201" i="15"/>
  <c r="AK262" i="15"/>
  <c r="AK142" i="15"/>
  <c r="AK215" i="15"/>
  <c r="AK184" i="15"/>
  <c r="AK117" i="15"/>
  <c r="AK143" i="15"/>
  <c r="AK216" i="15"/>
  <c r="AK261" i="15"/>
  <c r="AK183" i="15"/>
  <c r="AK132" i="15"/>
  <c r="AK201" i="15"/>
  <c r="D477" i="17"/>
  <c r="AM262" i="15"/>
  <c r="AM142" i="15"/>
  <c r="AM215" i="15"/>
  <c r="AM184" i="15"/>
  <c r="AM117" i="15"/>
  <c r="AM143" i="15"/>
  <c r="AM216" i="15"/>
  <c r="AM261" i="15"/>
  <c r="AM279" i="15"/>
  <c r="AM183" i="15"/>
  <c r="AM132" i="15"/>
  <c r="AM201" i="15"/>
  <c r="D427" i="17"/>
  <c r="AN142" i="15"/>
  <c r="AN215" i="15"/>
  <c r="AN262" i="15"/>
  <c r="AN184" i="15"/>
  <c r="AN117" i="15"/>
  <c r="AN143" i="15"/>
  <c r="AN216" i="15"/>
  <c r="AN261" i="15"/>
  <c r="AN279" i="15"/>
  <c r="AN183" i="15"/>
  <c r="AN132" i="15"/>
  <c r="AN201" i="15"/>
  <c r="D377" i="17"/>
  <c r="AO142" i="15"/>
  <c r="AO215" i="15"/>
  <c r="AO262" i="15"/>
  <c r="AO184" i="15"/>
  <c r="AO117" i="15"/>
  <c r="AO143" i="15"/>
  <c r="AO216" i="15"/>
  <c r="AO261" i="15"/>
  <c r="AO279" i="15"/>
  <c r="AO183" i="15"/>
  <c r="AO132" i="15"/>
  <c r="AO201" i="15"/>
  <c r="AQ262" i="15"/>
  <c r="D277" i="17"/>
  <c r="AQ142" i="15"/>
  <c r="AQ215" i="15"/>
  <c r="AQ184" i="15"/>
  <c r="AQ117" i="15"/>
  <c r="AQ143" i="15"/>
  <c r="AQ216" i="15"/>
  <c r="AQ261" i="15"/>
  <c r="AQ279" i="15"/>
  <c r="AQ183" i="15"/>
  <c r="AQ132" i="15"/>
  <c r="AQ201" i="15"/>
  <c r="D227" i="17"/>
  <c r="AR142" i="15"/>
  <c r="AR215" i="15"/>
  <c r="AR262" i="15"/>
  <c r="AR184" i="15"/>
  <c r="AR117" i="15"/>
  <c r="AR143" i="15"/>
  <c r="AR216" i="15"/>
  <c r="AR261" i="15"/>
  <c r="AR279" i="15"/>
  <c r="AR183" i="15"/>
  <c r="AR132" i="15"/>
  <c r="AR201" i="15"/>
  <c r="Z143" i="15"/>
  <c r="Z216" i="15"/>
  <c r="Z261" i="15"/>
  <c r="Z183" i="15"/>
  <c r="Z132" i="15"/>
  <c r="Z201" i="15"/>
  <c r="AT261" i="15"/>
  <c r="AT279" i="15"/>
  <c r="AT143" i="15"/>
  <c r="AT216" i="15"/>
  <c r="AT183" i="15"/>
  <c r="AT132" i="15"/>
  <c r="AT201" i="15"/>
  <c r="D95" i="17"/>
  <c r="AT142" i="15"/>
  <c r="AT215" i="15"/>
  <c r="AT262" i="15"/>
  <c r="AT184" i="15"/>
  <c r="AT117" i="15"/>
  <c r="Z124" i="15"/>
  <c r="Z193" i="15"/>
  <c r="Z121" i="15"/>
  <c r="D191" i="15"/>
  <c r="D145" i="15"/>
  <c r="H190" i="15"/>
  <c r="H146" i="15"/>
  <c r="J191" i="15"/>
  <c r="J145" i="15"/>
  <c r="J190" i="15"/>
  <c r="J146" i="15"/>
  <c r="K191" i="15"/>
  <c r="K145" i="15"/>
  <c r="K190" i="15"/>
  <c r="K146" i="15"/>
  <c r="L191" i="15"/>
  <c r="L145" i="15"/>
  <c r="L190" i="15"/>
  <c r="L146" i="15"/>
  <c r="E723" i="17"/>
  <c r="G723" i="17"/>
  <c r="E524" i="17"/>
  <c r="E184" i="17"/>
  <c r="E187" i="17"/>
  <c r="E66" i="17"/>
  <c r="E88" i="17"/>
  <c r="AX47" i="15"/>
  <c r="AX50" i="15"/>
  <c r="AX48" i="15"/>
  <c r="X47" i="15"/>
  <c r="AL124" i="15"/>
  <c r="AL193" i="15"/>
  <c r="AL122" i="15"/>
  <c r="AL121" i="15"/>
  <c r="AL127" i="15"/>
  <c r="D525" i="17"/>
  <c r="AL125" i="15"/>
  <c r="AL194" i="15"/>
  <c r="AL136" i="15"/>
  <c r="AL160" i="15"/>
  <c r="AL236" i="15"/>
  <c r="AS47" i="15"/>
  <c r="AS48" i="15"/>
  <c r="AA209" i="15"/>
  <c r="AA137" i="15"/>
  <c r="AA188" i="15"/>
  <c r="Z188" i="15"/>
  <c r="Z209" i="15"/>
  <c r="AC188" i="15"/>
  <c r="AC209" i="15"/>
  <c r="AC137" i="15"/>
  <c r="AB188" i="15"/>
  <c r="AB209" i="15"/>
  <c r="AB137" i="15"/>
  <c r="AG209" i="15"/>
  <c r="AG188" i="15"/>
  <c r="AG137" i="15"/>
  <c r="AE209" i="15"/>
  <c r="AE188" i="15"/>
  <c r="AE137" i="15"/>
  <c r="AF188" i="15"/>
  <c r="AF209" i="15"/>
  <c r="AF137" i="15"/>
  <c r="AK188" i="15"/>
  <c r="AK209" i="15"/>
  <c r="AK137" i="15"/>
  <c r="AJ209" i="15"/>
  <c r="AJ188" i="15"/>
  <c r="AJ137" i="15"/>
  <c r="AI188" i="15"/>
  <c r="AI209" i="15"/>
  <c r="AI137" i="15"/>
  <c r="C253" i="15"/>
  <c r="C177" i="15"/>
  <c r="C74" i="15"/>
  <c r="D253" i="15"/>
  <c r="D177" i="15"/>
  <c r="E253" i="15"/>
  <c r="E177" i="15"/>
  <c r="F253" i="15"/>
  <c r="F177" i="15"/>
  <c r="G253" i="15"/>
  <c r="G177" i="15"/>
  <c r="H253" i="15"/>
  <c r="H177" i="15"/>
  <c r="I253" i="15"/>
  <c r="I177" i="15"/>
  <c r="J253" i="15"/>
  <c r="J177" i="15"/>
  <c r="O253" i="15"/>
  <c r="O177" i="15"/>
  <c r="S253" i="15"/>
  <c r="S177" i="15"/>
  <c r="W177" i="15"/>
  <c r="W253" i="15"/>
  <c r="AA177" i="15"/>
  <c r="AA253" i="15"/>
  <c r="AE253" i="15"/>
  <c r="AE177" i="15"/>
  <c r="AI253" i="15"/>
  <c r="AI177" i="15"/>
  <c r="F770" i="17"/>
  <c r="F671" i="17"/>
  <c r="F976" i="17"/>
  <c r="F872" i="17"/>
  <c r="F821" i="17"/>
  <c r="F622" i="17"/>
  <c r="F572" i="17"/>
  <c r="E324" i="17"/>
  <c r="K273" i="17"/>
  <c r="E1077" i="17"/>
  <c r="E1079" i="17"/>
  <c r="E1125" i="17"/>
  <c r="E1127" i="17"/>
  <c r="AP41" i="15"/>
  <c r="AP46" i="15"/>
  <c r="AT46" i="15"/>
  <c r="AT41" i="15"/>
  <c r="AA190" i="15"/>
  <c r="AA146" i="15"/>
  <c r="AA145" i="15"/>
  <c r="AA191" i="15"/>
  <c r="AA147" i="15"/>
  <c r="AA196" i="15"/>
  <c r="Z196" i="15"/>
  <c r="Z147" i="15"/>
  <c r="Z145" i="15"/>
  <c r="Z191" i="15"/>
  <c r="AC145" i="15"/>
  <c r="AC191" i="15"/>
  <c r="AC196" i="15"/>
  <c r="AC147" i="15"/>
  <c r="AC146" i="15"/>
  <c r="AC190" i="15"/>
  <c r="F974" i="17"/>
  <c r="E979" i="17"/>
  <c r="J978" i="17"/>
  <c r="F978" i="17"/>
  <c r="F968" i="17"/>
  <c r="F1027" i="17"/>
  <c r="E1030" i="17"/>
  <c r="F1019" i="17"/>
  <c r="J1029" i="17"/>
  <c r="F1029" i="17"/>
  <c r="F1025" i="17"/>
  <c r="AB190" i="15"/>
  <c r="AB146" i="15"/>
  <c r="AB145" i="15"/>
  <c r="AB191" i="15"/>
  <c r="AB196" i="15"/>
  <c r="AB147" i="15"/>
  <c r="F762" i="17"/>
  <c r="E773" i="17"/>
  <c r="J772" i="17"/>
  <c r="F772" i="17"/>
  <c r="F768" i="17"/>
  <c r="AG196" i="15"/>
  <c r="AG147" i="15"/>
  <c r="AG146" i="15"/>
  <c r="AG190" i="15"/>
  <c r="AG191" i="15"/>
  <c r="AG145" i="15"/>
  <c r="AE145" i="15"/>
  <c r="AE191" i="15"/>
  <c r="J874" i="17"/>
  <c r="F874" i="17"/>
  <c r="F870" i="17"/>
  <c r="F864" i="17"/>
  <c r="E875" i="17"/>
  <c r="AE146" i="15"/>
  <c r="AE190" i="15"/>
  <c r="AE147" i="15"/>
  <c r="AE196" i="15"/>
  <c r="AF191" i="15"/>
  <c r="AF145" i="15"/>
  <c r="F819" i="17"/>
  <c r="F823" i="17"/>
  <c r="J823" i="17"/>
  <c r="F813" i="17"/>
  <c r="E824" i="17"/>
  <c r="AF147" i="15"/>
  <c r="AF196" i="15"/>
  <c r="AF146" i="15"/>
  <c r="AF190" i="15"/>
  <c r="F570" i="17"/>
  <c r="F574" i="17"/>
  <c r="F564" i="17"/>
  <c r="E575" i="17"/>
  <c r="J574" i="17"/>
  <c r="AK191" i="15"/>
  <c r="AK145" i="15"/>
  <c r="AK196" i="15"/>
  <c r="AK147" i="15"/>
  <c r="AK146" i="15"/>
  <c r="AK190" i="15"/>
  <c r="AJ147" i="15"/>
  <c r="AJ196" i="15"/>
  <c r="F614" i="17"/>
  <c r="J624" i="17"/>
  <c r="E625" i="17"/>
  <c r="F620" i="17"/>
  <c r="F624" i="17"/>
  <c r="AJ191" i="15"/>
  <c r="AJ145" i="15"/>
  <c r="AJ146" i="15"/>
  <c r="AJ190" i="15"/>
  <c r="AI191" i="15"/>
  <c r="AI145" i="15"/>
  <c r="E674" i="17"/>
  <c r="F673" i="17"/>
  <c r="F669" i="17"/>
  <c r="F663" i="17"/>
  <c r="J673" i="17"/>
  <c r="AI147" i="15"/>
  <c r="AI196" i="15"/>
  <c r="AI190" i="15"/>
  <c r="AI146" i="15"/>
  <c r="AL157" i="15"/>
  <c r="AL158" i="15"/>
  <c r="AL234" i="15"/>
  <c r="AL266" i="15"/>
  <c r="AL233" i="15"/>
  <c r="AN51" i="15"/>
  <c r="AN53" i="15"/>
  <c r="AM50" i="15"/>
  <c r="AM232" i="15"/>
  <c r="AM156" i="15"/>
  <c r="AM52" i="15"/>
  <c r="AM56" i="15"/>
  <c r="AM82" i="15"/>
  <c r="K177" i="15"/>
  <c r="K253" i="15"/>
  <c r="L177" i="15"/>
  <c r="L253" i="15"/>
  <c r="K270" i="17"/>
  <c r="K271" i="17"/>
  <c r="J271" i="17"/>
  <c r="K272" i="15"/>
  <c r="K269" i="15"/>
  <c r="L272" i="15"/>
  <c r="L269" i="15"/>
  <c r="AU261" i="15"/>
  <c r="AU132" i="15"/>
  <c r="AU201" i="15"/>
  <c r="AU143" i="15"/>
  <c r="AU216" i="15"/>
  <c r="AU183" i="15"/>
  <c r="AU117" i="15"/>
  <c r="AU262" i="15"/>
  <c r="AU142" i="15"/>
  <c r="AU215" i="15"/>
  <c r="AU184" i="15"/>
  <c r="AU38" i="15"/>
  <c r="AU22" i="15"/>
  <c r="AU35" i="18" s="1"/>
  <c r="AU37" i="15"/>
  <c r="AU48" i="15"/>
  <c r="AU81" i="15"/>
  <c r="AU47" i="15"/>
  <c r="V80" i="15"/>
  <c r="W80" i="15"/>
  <c r="V20" i="15"/>
  <c r="Y80" i="15"/>
  <c r="V35" i="15"/>
  <c r="X80" i="15"/>
  <c r="V44" i="15"/>
  <c r="V46" i="15"/>
  <c r="U50" i="15"/>
  <c r="U48" i="15"/>
  <c r="U47" i="15"/>
  <c r="U38" i="15"/>
  <c r="U22" i="15"/>
  <c r="U37" i="15"/>
  <c r="Y48" i="15"/>
  <c r="Y81" i="15"/>
  <c r="Y50" i="15"/>
  <c r="Y47" i="15"/>
  <c r="Z41" i="15"/>
  <c r="Z46" i="15"/>
  <c r="AB50" i="15"/>
  <c r="AF47" i="15"/>
  <c r="AB47" i="15"/>
  <c r="AB48" i="15"/>
  <c r="AB81" i="15"/>
  <c r="AD45" i="15"/>
  <c r="AC46" i="15"/>
  <c r="AC41" i="15"/>
  <c r="AH41" i="15"/>
  <c r="AH46" i="15"/>
  <c r="AG47" i="15"/>
  <c r="AG50" i="15"/>
  <c r="AG48" i="15"/>
  <c r="AK81" i="15"/>
  <c r="AK48" i="15"/>
  <c r="AO47" i="15"/>
  <c r="AK50" i="15"/>
  <c r="AK47" i="15"/>
  <c r="AL46" i="15"/>
  <c r="AL41" i="15"/>
  <c r="AQ81" i="15"/>
  <c r="AP81" i="15"/>
  <c r="AP48" i="15"/>
  <c r="AP47" i="15"/>
  <c r="AT48" i="15"/>
  <c r="AT47" i="15"/>
  <c r="T82" i="15"/>
  <c r="AW82" i="15"/>
  <c r="S82" i="15"/>
  <c r="AX82" i="15"/>
  <c r="U82" i="15"/>
  <c r="R232" i="15"/>
  <c r="V233" i="15"/>
  <c r="R156" i="15"/>
  <c r="R82" i="15"/>
  <c r="R56" i="15"/>
  <c r="T266" i="15"/>
  <c r="Q234" i="15"/>
  <c r="Q60" i="15"/>
  <c r="Q236" i="15"/>
  <c r="Q160" i="15"/>
  <c r="V236" i="15"/>
  <c r="V160" i="15"/>
  <c r="Y266" i="15"/>
  <c r="V234" i="15"/>
  <c r="V158" i="15"/>
  <c r="Y136" i="15"/>
  <c r="Y130" i="15"/>
  <c r="Y199" i="15"/>
  <c r="Y127" i="15"/>
  <c r="Y125" i="15"/>
  <c r="Y194" i="15"/>
  <c r="Y124" i="15"/>
  <c r="Y193" i="15"/>
  <c r="Y122" i="15"/>
  <c r="Y121" i="15"/>
  <c r="D1128" i="17"/>
  <c r="V136" i="15"/>
  <c r="V130" i="15"/>
  <c r="V199" i="15"/>
  <c r="V127" i="15"/>
  <c r="V125" i="15"/>
  <c r="V194" i="15"/>
  <c r="V122" i="15"/>
  <c r="X136" i="15"/>
  <c r="X130" i="15"/>
  <c r="X199" i="15"/>
  <c r="X127" i="15"/>
  <c r="X125" i="15"/>
  <c r="X194" i="15"/>
  <c r="X124" i="15"/>
  <c r="X193" i="15"/>
  <c r="X122" i="15"/>
  <c r="X121" i="15"/>
  <c r="W130" i="15"/>
  <c r="W199" i="15"/>
  <c r="W127" i="15"/>
  <c r="W125" i="15"/>
  <c r="W194" i="15"/>
  <c r="W124" i="15"/>
  <c r="W193" i="15"/>
  <c r="W122" i="15"/>
  <c r="W121" i="15"/>
  <c r="W136" i="15"/>
  <c r="D1080" i="17"/>
  <c r="X274" i="15"/>
  <c r="X277" i="15"/>
  <c r="AB274" i="15"/>
  <c r="AA274" i="15"/>
  <c r="Z274" i="15"/>
  <c r="AC274" i="15"/>
  <c r="AF274" i="15"/>
  <c r="AE274" i="15"/>
  <c r="AD274" i="15"/>
  <c r="AG274" i="15"/>
  <c r="AH274" i="15"/>
  <c r="AH277" i="15"/>
  <c r="AJ274" i="15"/>
  <c r="AJ277" i="15"/>
  <c r="AI274" i="15"/>
  <c r="AI277" i="15"/>
  <c r="AK274" i="15"/>
  <c r="AK277" i="15"/>
  <c r="P240" i="15"/>
  <c r="P164" i="15"/>
  <c r="P64" i="15"/>
  <c r="R57" i="15"/>
  <c r="Q237" i="15"/>
  <c r="Q161" i="15"/>
  <c r="T240" i="15"/>
  <c r="T164" i="15"/>
  <c r="T64" i="15"/>
  <c r="U161" i="15"/>
  <c r="V57" i="15"/>
  <c r="V60" i="15"/>
  <c r="U60" i="15"/>
  <c r="U237" i="15"/>
  <c r="Y237" i="15"/>
  <c r="Y161" i="15"/>
  <c r="Z57" i="15"/>
  <c r="Y60" i="15"/>
  <c r="X240" i="15"/>
  <c r="X164" i="15"/>
  <c r="X64" i="15"/>
  <c r="AC64" i="15"/>
  <c r="AC240" i="15"/>
  <c r="AC164" i="15"/>
  <c r="AD237" i="15"/>
  <c r="AD161" i="15"/>
  <c r="AD60" i="15"/>
  <c r="AG240" i="15"/>
  <c r="AG64" i="15"/>
  <c r="AG164" i="15"/>
  <c r="AH60" i="15"/>
  <c r="AH237" i="15"/>
  <c r="AH161" i="15"/>
  <c r="AJ240" i="15"/>
  <c r="AJ164" i="15"/>
  <c r="AJ64" i="15"/>
  <c r="AK161" i="15"/>
  <c r="AK60" i="15"/>
  <c r="AL57" i="15"/>
  <c r="AK237" i="15"/>
  <c r="AP57" i="15"/>
  <c r="AO237" i="15"/>
  <c r="AO161" i="15"/>
  <c r="AT57" i="15"/>
  <c r="M57" i="15"/>
  <c r="AS237" i="15"/>
  <c r="AS161" i="15"/>
  <c r="R238" i="15"/>
  <c r="R162" i="15"/>
  <c r="Z162" i="15"/>
  <c r="Z238" i="15"/>
  <c r="AD238" i="15"/>
  <c r="AD162" i="15"/>
  <c r="AL238" i="15"/>
  <c r="AL162" i="15"/>
  <c r="AT238" i="15"/>
  <c r="AT162" i="15"/>
  <c r="AX83" i="15"/>
  <c r="S83" i="15"/>
  <c r="S138" i="15"/>
  <c r="S211" i="15"/>
  <c r="T83" i="15"/>
  <c r="T138" i="15"/>
  <c r="T211" i="15"/>
  <c r="R83" i="15"/>
  <c r="R138" i="15"/>
  <c r="R211" i="15"/>
  <c r="R239" i="15"/>
  <c r="R163" i="15"/>
  <c r="AW83" i="15"/>
  <c r="U83" i="15"/>
  <c r="U138" i="15"/>
  <c r="U211" i="15"/>
  <c r="AB83" i="15"/>
  <c r="Z239" i="15"/>
  <c r="Z163" i="15"/>
  <c r="AA83" i="15"/>
  <c r="Z83" i="15"/>
  <c r="AC130" i="15"/>
  <c r="AC199" i="15"/>
  <c r="AC138" i="15"/>
  <c r="AC211" i="15"/>
  <c r="AG83" i="15"/>
  <c r="AF83" i="15"/>
  <c r="AD239" i="15"/>
  <c r="AD163" i="15"/>
  <c r="AE83" i="15"/>
  <c r="AD83" i="15"/>
  <c r="AI130" i="15"/>
  <c r="AI199" i="15"/>
  <c r="AI138" i="15"/>
  <c r="AI211" i="15"/>
  <c r="AH130" i="15"/>
  <c r="AH199" i="15"/>
  <c r="AH138" i="15"/>
  <c r="AH211" i="15"/>
  <c r="AL130" i="15"/>
  <c r="AL199" i="15"/>
  <c r="AL138" i="15"/>
  <c r="AL211" i="15"/>
  <c r="AS83" i="15"/>
  <c r="AS138" i="15"/>
  <c r="AS211" i="15"/>
  <c r="AR83" i="15"/>
  <c r="AR138" i="15"/>
  <c r="AR211" i="15"/>
  <c r="AP239" i="15"/>
  <c r="AP163" i="15"/>
  <c r="AQ83" i="15"/>
  <c r="AQ138" i="15"/>
  <c r="AQ211" i="15"/>
  <c r="AP83" i="15"/>
  <c r="AP138" i="15"/>
  <c r="AP211" i="15"/>
  <c r="Q40" i="15"/>
  <c r="R61" i="15"/>
  <c r="Q241" i="15"/>
  <c r="Q165" i="15"/>
  <c r="V61" i="15"/>
  <c r="U40" i="15"/>
  <c r="U241" i="15"/>
  <c r="U165" i="15"/>
  <c r="U85" i="15"/>
  <c r="U139" i="15"/>
  <c r="U212" i="15"/>
  <c r="Z61" i="15"/>
  <c r="Y40" i="15"/>
  <c r="Y241" i="15"/>
  <c r="Y165" i="15"/>
  <c r="Y85" i="15"/>
  <c r="AD61" i="15"/>
  <c r="AC241" i="15"/>
  <c r="AC165" i="15"/>
  <c r="AC85" i="15"/>
  <c r="AC40" i="15"/>
  <c r="AB244" i="15"/>
  <c r="AB70" i="15"/>
  <c r="AB168" i="15"/>
  <c r="AF70" i="15"/>
  <c r="AF244" i="15"/>
  <c r="AF168" i="15"/>
  <c r="AG165" i="15"/>
  <c r="AG85" i="15"/>
  <c r="AG40" i="15"/>
  <c r="AH61" i="15"/>
  <c r="AG241" i="15"/>
  <c r="AK165" i="15"/>
  <c r="AK85" i="15"/>
  <c r="AK40" i="15"/>
  <c r="AL61" i="15"/>
  <c r="AK241" i="15"/>
  <c r="AQ85" i="15"/>
  <c r="AQ139" i="15"/>
  <c r="AQ212" i="15"/>
  <c r="AP165" i="15"/>
  <c r="AP85" i="15"/>
  <c r="AP139" i="15"/>
  <c r="AP212" i="15"/>
  <c r="AP40" i="15"/>
  <c r="AP241" i="15"/>
  <c r="AS165" i="15"/>
  <c r="AS85" i="15"/>
  <c r="AS139" i="15"/>
  <c r="AS212" i="15"/>
  <c r="AS40" i="15"/>
  <c r="AT61" i="15"/>
  <c r="M61" i="15"/>
  <c r="AS241" i="15"/>
  <c r="R242" i="15"/>
  <c r="R166" i="15"/>
  <c r="Z166" i="15"/>
  <c r="Z242" i="15"/>
  <c r="AD166" i="15"/>
  <c r="AD242" i="15"/>
  <c r="AG166" i="15"/>
  <c r="AH62" i="15"/>
  <c r="AG242" i="15"/>
  <c r="AL166" i="15"/>
  <c r="AL242" i="15"/>
  <c r="AT242" i="15"/>
  <c r="AT166" i="15"/>
  <c r="R243" i="15"/>
  <c r="R167" i="15"/>
  <c r="V243" i="15"/>
  <c r="V167" i="15"/>
  <c r="AH243" i="15"/>
  <c r="AH167" i="15"/>
  <c r="AL167" i="15"/>
  <c r="AL243" i="15"/>
  <c r="AT167" i="15"/>
  <c r="AT243" i="15"/>
  <c r="V169" i="15"/>
  <c r="V245" i="15"/>
  <c r="AH245" i="15"/>
  <c r="AH169" i="15"/>
  <c r="AL169" i="15"/>
  <c r="AL245" i="15"/>
  <c r="AP245" i="15"/>
  <c r="AP169" i="15"/>
  <c r="AT245" i="15"/>
  <c r="AT169" i="15"/>
  <c r="R246" i="15"/>
  <c r="R170" i="15"/>
  <c r="V170" i="15"/>
  <c r="V246" i="15"/>
  <c r="Y170" i="15"/>
  <c r="Z66" i="15"/>
  <c r="Y246" i="15"/>
  <c r="AD246" i="15"/>
  <c r="AD170" i="15"/>
  <c r="AH170" i="15"/>
  <c r="AH246" i="15"/>
  <c r="AL246" i="15"/>
  <c r="AL170" i="15"/>
  <c r="AP170" i="15"/>
  <c r="AP246" i="15"/>
  <c r="R247" i="15"/>
  <c r="R171" i="15"/>
  <c r="V171" i="15"/>
  <c r="V247" i="15"/>
  <c r="AD247" i="15"/>
  <c r="AD171" i="15"/>
  <c r="AH247" i="15"/>
  <c r="AH171" i="15"/>
  <c r="R248" i="15"/>
  <c r="R172" i="15"/>
  <c r="V68" i="15"/>
  <c r="U248" i="15"/>
  <c r="U172" i="15"/>
  <c r="Z68" i="15"/>
  <c r="Y248" i="15"/>
  <c r="Y172" i="15"/>
  <c r="AC248" i="15"/>
  <c r="AC172" i="15"/>
  <c r="AD68" i="15"/>
  <c r="AG248" i="15"/>
  <c r="AH68" i="15"/>
  <c r="AG172" i="15"/>
  <c r="AL172" i="15"/>
  <c r="AL248" i="15"/>
  <c r="AP248" i="15"/>
  <c r="AP172" i="15"/>
  <c r="AS172" i="15"/>
  <c r="AT68" i="15"/>
  <c r="M68" i="15"/>
  <c r="AS248" i="15"/>
  <c r="R249" i="15"/>
  <c r="R173" i="15"/>
  <c r="Z173" i="15"/>
  <c r="Z249" i="15"/>
  <c r="AD173" i="15"/>
  <c r="AD249" i="15"/>
  <c r="AH173" i="15"/>
  <c r="AH249" i="15"/>
  <c r="AL173" i="15"/>
  <c r="AL249" i="15"/>
  <c r="AP249" i="15"/>
  <c r="AP173" i="15"/>
  <c r="AT173" i="15"/>
  <c r="AT249" i="15"/>
  <c r="V251" i="15"/>
  <c r="V175" i="15"/>
  <c r="AD251" i="15"/>
  <c r="AD175" i="15"/>
  <c r="AL251" i="15"/>
  <c r="AL175" i="15"/>
  <c r="AT251" i="15"/>
  <c r="AT175" i="15"/>
  <c r="E881" i="17"/>
  <c r="E883" i="17"/>
  <c r="E872" i="17"/>
  <c r="E830" i="17"/>
  <c r="E832" i="17"/>
  <c r="E821" i="17"/>
  <c r="E779" i="17"/>
  <c r="E781" i="17"/>
  <c r="E770" i="17"/>
  <c r="E680" i="17"/>
  <c r="E682" i="17"/>
  <c r="E671" i="17"/>
  <c r="E631" i="17"/>
  <c r="E633" i="17"/>
  <c r="E622" i="17"/>
  <c r="E581" i="17"/>
  <c r="E583" i="17"/>
  <c r="E572" i="17"/>
  <c r="E481" i="17"/>
  <c r="E483" i="17"/>
  <c r="E472" i="17"/>
  <c r="E431" i="17"/>
  <c r="E433" i="17"/>
  <c r="E422" i="17"/>
  <c r="E381" i="17"/>
  <c r="E383" i="17"/>
  <c r="E372" i="17"/>
  <c r="E281" i="17"/>
  <c r="E283" i="17"/>
  <c r="E272" i="17"/>
  <c r="J203" i="17"/>
  <c r="K202" i="17"/>
  <c r="E165" i="17"/>
  <c r="E163" i="17"/>
  <c r="J977" i="17"/>
  <c r="J975" i="17"/>
  <c r="K977" i="17"/>
  <c r="K975" i="17"/>
  <c r="J1026" i="17"/>
  <c r="J1028" i="17"/>
  <c r="K1026" i="17"/>
  <c r="K1028" i="17"/>
  <c r="J1078" i="17"/>
  <c r="J1076" i="17"/>
  <c r="K1078" i="17"/>
  <c r="K1076" i="17"/>
  <c r="J1126" i="17"/>
  <c r="J1124" i="17"/>
  <c r="K1124" i="17"/>
  <c r="K1126" i="17"/>
  <c r="K276" i="15"/>
  <c r="K277" i="15"/>
  <c r="K274" i="15"/>
  <c r="L276" i="15"/>
  <c r="L277" i="15"/>
  <c r="L274" i="15"/>
  <c r="M36" i="15"/>
  <c r="M112" i="15"/>
  <c r="M111" i="15"/>
  <c r="K219" i="15"/>
  <c r="K218" i="15"/>
  <c r="K210" i="15"/>
  <c r="K220" i="15"/>
  <c r="L219" i="15"/>
  <c r="L218" i="15"/>
  <c r="L210" i="15"/>
  <c r="L220" i="15"/>
  <c r="V266" i="15"/>
  <c r="W266" i="15"/>
  <c r="G917" i="17"/>
  <c r="G713" i="17"/>
  <c r="G719" i="17"/>
  <c r="E985" i="17"/>
  <c r="E987" i="17"/>
  <c r="E976" i="17"/>
  <c r="E934" i="17"/>
  <c r="E936" i="17"/>
  <c r="K870" i="17"/>
  <c r="K871" i="17"/>
  <c r="J871" i="17"/>
  <c r="K819" i="17"/>
  <c r="K820" i="17"/>
  <c r="J820" i="17"/>
  <c r="K768" i="17"/>
  <c r="K769" i="17"/>
  <c r="J769" i="17"/>
  <c r="E730" i="17"/>
  <c r="E732" i="17"/>
  <c r="E721" i="17"/>
  <c r="G721" i="17"/>
  <c r="K669" i="17"/>
  <c r="K670" i="17"/>
  <c r="J670" i="17"/>
  <c r="K620" i="17"/>
  <c r="K621" i="17"/>
  <c r="J621" i="17"/>
  <c r="K570" i="17"/>
  <c r="K571" i="17"/>
  <c r="J571" i="17"/>
  <c r="E531" i="17"/>
  <c r="E533" i="17"/>
  <c r="E522" i="17"/>
  <c r="K470" i="17"/>
  <c r="K471" i="17"/>
  <c r="J471" i="17"/>
  <c r="K420" i="17"/>
  <c r="K421" i="17"/>
  <c r="J421" i="17"/>
  <c r="K370" i="17"/>
  <c r="K371" i="17"/>
  <c r="J371" i="17"/>
  <c r="E331" i="17"/>
  <c r="E333" i="17"/>
  <c r="E322" i="17"/>
  <c r="E231" i="17"/>
  <c r="E233" i="17"/>
  <c r="E222" i="17"/>
  <c r="K227" i="15"/>
  <c r="K234" i="15"/>
  <c r="L227" i="15"/>
  <c r="L234" i="15"/>
  <c r="K268" i="15"/>
  <c r="K271" i="15"/>
  <c r="L268" i="15"/>
  <c r="L271" i="15"/>
  <c r="J720" i="17"/>
  <c r="L720" i="17"/>
  <c r="L718" i="17"/>
  <c r="J722" i="17"/>
  <c r="L722" i="17"/>
  <c r="K722" i="17"/>
  <c r="M722" i="17"/>
  <c r="K720" i="17"/>
  <c r="M720" i="17"/>
  <c r="M718" i="17"/>
  <c r="J523" i="17"/>
  <c r="J521" i="17"/>
  <c r="K523" i="17"/>
  <c r="K521" i="17"/>
  <c r="J323" i="17"/>
  <c r="J321" i="17"/>
  <c r="K323" i="17"/>
  <c r="K321" i="17"/>
  <c r="E927" i="17"/>
  <c r="G927" i="17"/>
  <c r="G923" i="17"/>
  <c r="E925" i="17"/>
  <c r="G925" i="17"/>
  <c r="J926" i="17"/>
  <c r="L926" i="17"/>
  <c r="J924" i="17"/>
  <c r="L924" i="17"/>
  <c r="L922" i="17"/>
  <c r="K926" i="17"/>
  <c r="M926" i="17"/>
  <c r="K924" i="17"/>
  <c r="M924" i="17"/>
  <c r="M922" i="17"/>
  <c r="E29" i="17"/>
  <c r="E31" i="17"/>
  <c r="M34" i="18"/>
  <c r="M52" i="18"/>
  <c r="AT39" i="18"/>
  <c r="AT49" i="18"/>
  <c r="AT41" i="18"/>
  <c r="AT40" i="18"/>
  <c r="AT35" i="18"/>
  <c r="AT38" i="18"/>
  <c r="AT42" i="18"/>
  <c r="Z20" i="18"/>
  <c r="Q70" i="18"/>
  <c r="V42" i="18"/>
  <c r="R56" i="18"/>
  <c r="R39" i="18"/>
  <c r="R41" i="18"/>
  <c r="AD49" i="18"/>
  <c r="Z35" i="18"/>
  <c r="Z39" i="18"/>
  <c r="Z42" i="18"/>
  <c r="Z49" i="18"/>
  <c r="R68" i="18"/>
  <c r="R64" i="18"/>
  <c r="R69" i="18"/>
  <c r="V69" i="18"/>
  <c r="V70" i="18"/>
  <c r="V64" i="18"/>
  <c r="V76" i="18"/>
  <c r="AT68" i="18"/>
  <c r="AT70" i="18"/>
  <c r="AT64" i="18"/>
  <c r="AT76" i="18"/>
  <c r="Q42" i="18"/>
  <c r="AD70" i="18"/>
  <c r="AP70" i="18"/>
  <c r="AT13" i="18"/>
  <c r="AT27" i="18"/>
  <c r="AT56" i="18"/>
  <c r="AT16" i="18"/>
  <c r="AT19" i="18"/>
  <c r="M12" i="18"/>
  <c r="M53" i="18"/>
  <c r="M54" i="18"/>
  <c r="U80" i="15"/>
  <c r="R80" i="15"/>
  <c r="R35" i="15"/>
  <c r="R44" i="15"/>
  <c r="R46" i="15"/>
  <c r="AW80" i="15"/>
  <c r="T80" i="15"/>
  <c r="R20" i="15"/>
  <c r="S80" i="15"/>
  <c r="AX80" i="15"/>
  <c r="Q22" i="15"/>
  <c r="Q37" i="15"/>
  <c r="Q38" i="15"/>
  <c r="Q50" i="15"/>
  <c r="Q48" i="15"/>
  <c r="AD146" i="15"/>
  <c r="AD190" i="15"/>
  <c r="AH146" i="15"/>
  <c r="AH190" i="15"/>
  <c r="AD145" i="15"/>
  <c r="AD191" i="15"/>
  <c r="AD279" i="15"/>
  <c r="AD268" i="15"/>
  <c r="AD271" i="15"/>
  <c r="AH279" i="15"/>
  <c r="AH271" i="15"/>
  <c r="AH268" i="15"/>
  <c r="Z272" i="15"/>
  <c r="Z269" i="15"/>
  <c r="AD269" i="15"/>
  <c r="AD272" i="15"/>
  <c r="X272" i="15"/>
  <c r="X269" i="15"/>
  <c r="X279" i="15"/>
  <c r="X271" i="15"/>
  <c r="X268" i="15"/>
  <c r="AA269" i="15"/>
  <c r="AA272" i="15"/>
  <c r="AA279" i="15"/>
  <c r="AA268" i="15"/>
  <c r="AA271" i="15"/>
  <c r="AB269" i="15"/>
  <c r="AB272" i="15"/>
  <c r="AB279" i="15"/>
  <c r="AB268" i="15"/>
  <c r="AB271" i="15"/>
  <c r="AC269" i="15"/>
  <c r="AC272" i="15"/>
  <c r="AC279" i="15"/>
  <c r="AC271" i="15"/>
  <c r="AC268" i="15"/>
  <c r="AE269" i="15"/>
  <c r="AE272" i="15"/>
  <c r="AE279" i="15"/>
  <c r="AE268" i="15"/>
  <c r="AE271" i="15"/>
  <c r="AF269" i="15"/>
  <c r="AF272" i="15"/>
  <c r="AF279" i="15"/>
  <c r="AF268" i="15"/>
  <c r="AF271" i="15"/>
  <c r="AG269" i="15"/>
  <c r="AG272" i="15"/>
  <c r="AG279" i="15"/>
  <c r="AG271" i="15"/>
  <c r="AG268" i="15"/>
  <c r="AI269" i="15"/>
  <c r="AI272" i="15"/>
  <c r="AI279" i="15"/>
  <c r="AI271" i="15"/>
  <c r="AI268" i="15"/>
  <c r="AJ272" i="15"/>
  <c r="AJ269" i="15"/>
  <c r="AJ279" i="15"/>
  <c r="AJ268" i="15"/>
  <c r="AJ271" i="15"/>
  <c r="AK272" i="15"/>
  <c r="AK269" i="15"/>
  <c r="AK279" i="15"/>
  <c r="AK268" i="15"/>
  <c r="AK271" i="15"/>
  <c r="Z279" i="15"/>
  <c r="Z271" i="15"/>
  <c r="Z268" i="15"/>
  <c r="Z190" i="15"/>
  <c r="Z146" i="15"/>
  <c r="G976" i="17"/>
  <c r="G872" i="17"/>
  <c r="G821" i="17"/>
  <c r="G770" i="17"/>
  <c r="L769" i="17"/>
  <c r="E92" i="17"/>
  <c r="E90" i="17"/>
  <c r="G772" i="17"/>
  <c r="G768" i="17"/>
  <c r="G762" i="17"/>
  <c r="G874" i="17"/>
  <c r="G870" i="17"/>
  <c r="G864" i="17"/>
  <c r="G823" i="17"/>
  <c r="G819" i="17"/>
  <c r="G813" i="17"/>
  <c r="G574" i="17"/>
  <c r="G570" i="17"/>
  <c r="G564" i="17"/>
  <c r="G624" i="17"/>
  <c r="G620" i="17"/>
  <c r="G614" i="17"/>
  <c r="G673" i="17"/>
  <c r="G669" i="17"/>
  <c r="G663" i="17"/>
  <c r="AL191" i="15"/>
  <c r="AL145" i="15"/>
  <c r="AL190" i="15"/>
  <c r="AL146" i="15"/>
  <c r="AL196" i="15"/>
  <c r="AL147" i="15"/>
  <c r="F522" i="17"/>
  <c r="F514" i="17"/>
  <c r="F520" i="17"/>
  <c r="F524" i="17"/>
  <c r="E525" i="17"/>
  <c r="J524" i="17"/>
  <c r="AL188" i="15"/>
  <c r="AL209" i="15"/>
  <c r="AL137" i="15"/>
  <c r="AA210" i="15"/>
  <c r="AA220" i="15"/>
  <c r="AA218" i="15"/>
  <c r="AA219" i="15"/>
  <c r="Z220" i="15"/>
  <c r="Z210" i="15"/>
  <c r="Z218" i="15"/>
  <c r="Z219" i="15"/>
  <c r="AC210" i="15"/>
  <c r="AC220" i="15"/>
  <c r="AC219" i="15"/>
  <c r="AC218" i="15"/>
  <c r="AB210" i="15"/>
  <c r="AB220" i="15"/>
  <c r="AB219" i="15"/>
  <c r="AB218" i="15"/>
  <c r="AG210" i="15"/>
  <c r="AG220" i="15"/>
  <c r="AG218" i="15"/>
  <c r="AG219" i="15"/>
  <c r="AE210" i="15"/>
  <c r="AE220" i="15"/>
  <c r="AE219" i="15"/>
  <c r="AE218" i="15"/>
  <c r="AF210" i="15"/>
  <c r="AF220" i="15"/>
  <c r="AF218" i="15"/>
  <c r="AF219" i="15"/>
  <c r="AK218" i="15"/>
  <c r="AK210" i="15"/>
  <c r="AK220" i="15"/>
  <c r="AK219" i="15"/>
  <c r="AJ218" i="15"/>
  <c r="AJ210" i="15"/>
  <c r="AJ220" i="15"/>
  <c r="AJ219" i="15"/>
  <c r="AI210" i="15"/>
  <c r="AI220" i="15"/>
  <c r="AI218" i="15"/>
  <c r="AI219" i="15"/>
  <c r="D74" i="15"/>
  <c r="C76" i="15"/>
  <c r="G671" i="17"/>
  <c r="G622" i="17"/>
  <c r="G572" i="17"/>
  <c r="L977" i="17"/>
  <c r="L975" i="17"/>
  <c r="L1026" i="17"/>
  <c r="L1028" i="17"/>
  <c r="L871" i="17"/>
  <c r="L820" i="17"/>
  <c r="L670" i="17"/>
  <c r="L621" i="17"/>
  <c r="L571" i="17"/>
  <c r="G974" i="17"/>
  <c r="G968" i="17"/>
  <c r="G978" i="17"/>
  <c r="K978" i="17"/>
  <c r="L973" i="17"/>
  <c r="G1025" i="17"/>
  <c r="G1019" i="17"/>
  <c r="G1029" i="17"/>
  <c r="G1027" i="17"/>
  <c r="K1029" i="17"/>
  <c r="L1024" i="17"/>
  <c r="L771" i="17"/>
  <c r="L767" i="17"/>
  <c r="K772" i="17"/>
  <c r="L869" i="17"/>
  <c r="K874" i="17"/>
  <c r="L873" i="17"/>
  <c r="L818" i="17"/>
  <c r="K823" i="17"/>
  <c r="L822" i="17"/>
  <c r="L569" i="17"/>
  <c r="L573" i="17"/>
  <c r="K574" i="17"/>
  <c r="K624" i="17"/>
  <c r="L619" i="17"/>
  <c r="L623" i="17"/>
  <c r="K673" i="17"/>
  <c r="L672" i="17"/>
  <c r="L668" i="17"/>
  <c r="AL274" i="15"/>
  <c r="AL277" i="15"/>
  <c r="AL268" i="15"/>
  <c r="AL272" i="15"/>
  <c r="AL269" i="15"/>
  <c r="AL271" i="15"/>
  <c r="AO51" i="15"/>
  <c r="AO53" i="15"/>
  <c r="AN82" i="15"/>
  <c r="AN232" i="15"/>
  <c r="AN52" i="15"/>
  <c r="AN56" i="15"/>
  <c r="AN50" i="15"/>
  <c r="AN156" i="15"/>
  <c r="AM233" i="15"/>
  <c r="AM234" i="15"/>
  <c r="AM266" i="15"/>
  <c r="AM157" i="15"/>
  <c r="AM158" i="15"/>
  <c r="AM60" i="15"/>
  <c r="AM160" i="15"/>
  <c r="AM236" i="15"/>
  <c r="D475" i="17"/>
  <c r="AM136" i="15"/>
  <c r="AM130" i="15"/>
  <c r="AM199" i="15"/>
  <c r="AM124" i="15"/>
  <c r="AM193" i="15"/>
  <c r="AM121" i="15"/>
  <c r="AM122" i="15"/>
  <c r="AM125" i="15"/>
  <c r="AM194" i="15"/>
  <c r="AM127" i="15"/>
  <c r="AU279" i="15"/>
  <c r="AU84" i="15"/>
  <c r="AU27" i="15"/>
  <c r="V38" i="15"/>
  <c r="V37" i="15"/>
  <c r="V22" i="15"/>
  <c r="V50" i="15"/>
  <c r="W81" i="15"/>
  <c r="X81" i="15"/>
  <c r="V47" i="15"/>
  <c r="V48" i="15"/>
  <c r="V81" i="15"/>
  <c r="W84" i="15"/>
  <c r="V84" i="15"/>
  <c r="U35" i="18"/>
  <c r="U27" i="15"/>
  <c r="X84" i="15"/>
  <c r="Z50" i="15"/>
  <c r="Z81" i="15"/>
  <c r="Z47" i="15"/>
  <c r="AA81" i="15"/>
  <c r="Z48" i="15"/>
  <c r="AD41" i="15"/>
  <c r="AD46" i="15"/>
  <c r="AC50" i="15"/>
  <c r="AC47" i="15"/>
  <c r="AC48" i="15"/>
  <c r="AC81" i="15"/>
  <c r="AH50" i="15"/>
  <c r="AJ81" i="15"/>
  <c r="AH48" i="15"/>
  <c r="AH81" i="15"/>
  <c r="AH47" i="15"/>
  <c r="AI81" i="15"/>
  <c r="AL50" i="15"/>
  <c r="AO81" i="15"/>
  <c r="AN81" i="15"/>
  <c r="AL47" i="15"/>
  <c r="AM81" i="15"/>
  <c r="AL81" i="15"/>
  <c r="AL48" i="15"/>
  <c r="T130" i="15"/>
  <c r="T199" i="15"/>
  <c r="T127" i="15"/>
  <c r="T125" i="15"/>
  <c r="T194" i="15"/>
  <c r="T124" i="15"/>
  <c r="T193" i="15"/>
  <c r="T122" i="15"/>
  <c r="T121" i="15"/>
  <c r="T136" i="15"/>
  <c r="S130" i="15"/>
  <c r="S199" i="15"/>
  <c r="S127" i="15"/>
  <c r="S125" i="15"/>
  <c r="S194" i="15"/>
  <c r="S124" i="15"/>
  <c r="S193" i="15"/>
  <c r="S122" i="15"/>
  <c r="S121" i="15"/>
  <c r="S136" i="15"/>
  <c r="U130" i="15"/>
  <c r="U199" i="15"/>
  <c r="U129" i="15"/>
  <c r="U198" i="15"/>
  <c r="U127" i="15"/>
  <c r="U125" i="15"/>
  <c r="U194" i="15"/>
  <c r="U124" i="15"/>
  <c r="U193" i="15"/>
  <c r="U122" i="15"/>
  <c r="U121" i="15"/>
  <c r="U136" i="15"/>
  <c r="S266" i="15"/>
  <c r="R266" i="15"/>
  <c r="U266" i="15"/>
  <c r="R234" i="15"/>
  <c r="R136" i="15"/>
  <c r="R130" i="15"/>
  <c r="R199" i="15"/>
  <c r="R127" i="15"/>
  <c r="R125" i="15"/>
  <c r="R194" i="15"/>
  <c r="R122" i="15"/>
  <c r="R236" i="15"/>
  <c r="R160" i="15"/>
  <c r="R60" i="15"/>
  <c r="T269" i="15"/>
  <c r="T272" i="15"/>
  <c r="T268" i="15"/>
  <c r="T271" i="15"/>
  <c r="T274" i="15"/>
  <c r="T277" i="15"/>
  <c r="Q240" i="15"/>
  <c r="Q64" i="15"/>
  <c r="Q164" i="15"/>
  <c r="V64" i="15"/>
  <c r="V240" i="15"/>
  <c r="V164" i="15"/>
  <c r="Y269" i="15"/>
  <c r="Y272" i="15"/>
  <c r="Y268" i="15"/>
  <c r="Y271" i="15"/>
  <c r="Y274" i="15"/>
  <c r="Y277" i="15"/>
  <c r="Y137" i="15"/>
  <c r="Y209" i="15"/>
  <c r="Y188" i="15"/>
  <c r="Y196" i="15"/>
  <c r="Y147" i="15"/>
  <c r="Y191" i="15"/>
  <c r="Y145" i="15"/>
  <c r="Y190" i="15"/>
  <c r="Y146" i="15"/>
  <c r="F1127" i="17"/>
  <c r="F1125" i="17"/>
  <c r="J1127" i="17"/>
  <c r="F1123" i="17"/>
  <c r="E1128" i="17"/>
  <c r="F1117" i="17"/>
  <c r="V209" i="15"/>
  <c r="V188" i="15"/>
  <c r="V137" i="15"/>
  <c r="V196" i="15"/>
  <c r="V147" i="15"/>
  <c r="V191" i="15"/>
  <c r="V145" i="15"/>
  <c r="X209" i="15"/>
  <c r="X188" i="15"/>
  <c r="X137" i="15"/>
  <c r="X196" i="15"/>
  <c r="X147" i="15"/>
  <c r="X191" i="15"/>
  <c r="X145" i="15"/>
  <c r="X190" i="15"/>
  <c r="X146" i="15"/>
  <c r="W196" i="15"/>
  <c r="W147" i="15"/>
  <c r="W191" i="15"/>
  <c r="W145" i="15"/>
  <c r="W190" i="15"/>
  <c r="W146" i="15"/>
  <c r="W137" i="15"/>
  <c r="W209" i="15"/>
  <c r="W188" i="15"/>
  <c r="F1077" i="17"/>
  <c r="J1079" i="17"/>
  <c r="F1079" i="17"/>
  <c r="F1075" i="17"/>
  <c r="F1069" i="17"/>
  <c r="E1080" i="17"/>
  <c r="P168" i="15"/>
  <c r="P70" i="15"/>
  <c r="P244" i="15"/>
  <c r="R237" i="15"/>
  <c r="R161" i="15"/>
  <c r="T168" i="15"/>
  <c r="T70" i="15"/>
  <c r="T244" i="15"/>
  <c r="V237" i="15"/>
  <c r="V161" i="15"/>
  <c r="U240" i="15"/>
  <c r="U164" i="15"/>
  <c r="U64" i="15"/>
  <c r="Z237" i="15"/>
  <c r="Z60" i="15"/>
  <c r="Z161" i="15"/>
  <c r="Y240" i="15"/>
  <c r="Y64" i="15"/>
  <c r="Y164" i="15"/>
  <c r="X70" i="15"/>
  <c r="X244" i="15"/>
  <c r="X168" i="15"/>
  <c r="AC168" i="15"/>
  <c r="AC244" i="15"/>
  <c r="AC70" i="15"/>
  <c r="AD240" i="15"/>
  <c r="AD164" i="15"/>
  <c r="AD64" i="15"/>
  <c r="AG168" i="15"/>
  <c r="AG86" i="15"/>
  <c r="AG140" i="15"/>
  <c r="AG213" i="15"/>
  <c r="AG244" i="15"/>
  <c r="AG70" i="15"/>
  <c r="AH240" i="15"/>
  <c r="AH164" i="15"/>
  <c r="AH64" i="15"/>
  <c r="AJ86" i="15"/>
  <c r="AJ140" i="15"/>
  <c r="AJ213" i="15"/>
  <c r="AJ168" i="15"/>
  <c r="AJ70" i="15"/>
  <c r="AJ244" i="15"/>
  <c r="AK240" i="15"/>
  <c r="AK64" i="15"/>
  <c r="AK164" i="15"/>
  <c r="AL60" i="15"/>
  <c r="AL237" i="15"/>
  <c r="AL161" i="15"/>
  <c r="AP237" i="15"/>
  <c r="AP161" i="15"/>
  <c r="M161" i="15"/>
  <c r="M237" i="15"/>
  <c r="AT237" i="15"/>
  <c r="AT161" i="15"/>
  <c r="M162" i="15"/>
  <c r="M238" i="15"/>
  <c r="AB130" i="15"/>
  <c r="AB199" i="15"/>
  <c r="AB138" i="15"/>
  <c r="AB211" i="15"/>
  <c r="AA130" i="15"/>
  <c r="AA199" i="15"/>
  <c r="AA138" i="15"/>
  <c r="AA211" i="15"/>
  <c r="Z130" i="15"/>
  <c r="Z199" i="15"/>
  <c r="Z138" i="15"/>
  <c r="Z211" i="15"/>
  <c r="AG130" i="15"/>
  <c r="AG199" i="15"/>
  <c r="AG138" i="15"/>
  <c r="AG211" i="15"/>
  <c r="AF130" i="15"/>
  <c r="AF199" i="15"/>
  <c r="AF138" i="15"/>
  <c r="AF211" i="15"/>
  <c r="AE130" i="15"/>
  <c r="AE199" i="15"/>
  <c r="AE138" i="15"/>
  <c r="AE211" i="15"/>
  <c r="AD130" i="15"/>
  <c r="AD199" i="15"/>
  <c r="AD138" i="15"/>
  <c r="AD211" i="15"/>
  <c r="T85" i="15"/>
  <c r="T129" i="15" s="1"/>
  <c r="T198" i="15" s="1"/>
  <c r="T139" i="15"/>
  <c r="T212" i="15"/>
  <c r="AX85" i="15"/>
  <c r="AW85" i="15"/>
  <c r="S85" i="15"/>
  <c r="R241" i="15"/>
  <c r="T276" i="15"/>
  <c r="R165" i="15"/>
  <c r="R85" i="15"/>
  <c r="R40" i="15"/>
  <c r="X85" i="15"/>
  <c r="W85" i="15"/>
  <c r="V241" i="15"/>
  <c r="V165" i="15"/>
  <c r="V85" i="15"/>
  <c r="V40" i="15"/>
  <c r="AB85" i="15"/>
  <c r="AA85" i="15"/>
  <c r="Z241" i="15"/>
  <c r="Z165" i="15"/>
  <c r="Z85" i="15"/>
  <c r="Z40" i="15"/>
  <c r="AF85" i="15"/>
  <c r="AE85" i="15"/>
  <c r="AD241" i="15"/>
  <c r="AD165" i="15"/>
  <c r="AD85" i="15"/>
  <c r="AD40" i="15"/>
  <c r="AC129" i="15"/>
  <c r="AC198" i="15"/>
  <c r="AC139" i="15"/>
  <c r="AC212" i="15"/>
  <c r="AB174" i="15"/>
  <c r="AB250" i="15"/>
  <c r="AB72" i="15"/>
  <c r="AB73" i="15"/>
  <c r="AF250" i="15"/>
  <c r="AF174" i="15"/>
  <c r="AF72" i="15"/>
  <c r="AF73" i="15"/>
  <c r="AG129" i="15"/>
  <c r="AG198" i="15"/>
  <c r="AG139" i="15"/>
  <c r="AG212" i="15"/>
  <c r="AJ85" i="15"/>
  <c r="AI85" i="15"/>
  <c r="AH241" i="15"/>
  <c r="AK276" i="15"/>
  <c r="AH165" i="15"/>
  <c r="AH85" i="15"/>
  <c r="AH40" i="15"/>
  <c r="AK129" i="15"/>
  <c r="AK198" i="15"/>
  <c r="AK139" i="15"/>
  <c r="AK212" i="15"/>
  <c r="AO85" i="15"/>
  <c r="AO139" i="15"/>
  <c r="AO212" i="15"/>
  <c r="AN85" i="15"/>
  <c r="AM85" i="15"/>
  <c r="AL241" i="15"/>
  <c r="AL165" i="15"/>
  <c r="AL85" i="15"/>
  <c r="AL40" i="15"/>
  <c r="M85" i="15"/>
  <c r="M139" i="15"/>
  <c r="M212" i="15"/>
  <c r="M165" i="15"/>
  <c r="M241" i="15"/>
  <c r="AU85" i="15"/>
  <c r="AU139" i="15"/>
  <c r="AU212" i="15"/>
  <c r="AT241" i="15"/>
  <c r="AT165" i="15"/>
  <c r="AT85" i="15"/>
  <c r="AT139" i="15"/>
  <c r="AT212" i="15"/>
  <c r="AT40" i="15"/>
  <c r="AH242" i="15"/>
  <c r="AH166" i="15"/>
  <c r="M242" i="15"/>
  <c r="M166" i="15"/>
  <c r="M167" i="15"/>
  <c r="M243" i="15"/>
  <c r="M245" i="15"/>
  <c r="M169" i="15"/>
  <c r="Z246" i="15"/>
  <c r="Z170" i="15"/>
  <c r="V248" i="15"/>
  <c r="V172" i="15"/>
  <c r="Z248" i="15"/>
  <c r="Z172" i="15"/>
  <c r="AD248" i="15"/>
  <c r="AD172" i="15"/>
  <c r="AH172" i="15"/>
  <c r="AH248" i="15"/>
  <c r="M248" i="15"/>
  <c r="M172" i="15"/>
  <c r="AT248" i="15"/>
  <c r="AT172" i="15"/>
  <c r="M173" i="15"/>
  <c r="M249" i="15"/>
  <c r="M175" i="15"/>
  <c r="M251" i="15"/>
  <c r="K203" i="17"/>
  <c r="M262" i="15"/>
  <c r="M184" i="15"/>
  <c r="M142" i="15"/>
  <c r="M215" i="15"/>
  <c r="M117" i="15"/>
  <c r="M261" i="15"/>
  <c r="M183" i="15"/>
  <c r="M143" i="15"/>
  <c r="M216" i="15"/>
  <c r="M132" i="15"/>
  <c r="M201" i="15"/>
  <c r="S81" i="15"/>
  <c r="R81" i="15"/>
  <c r="R48" i="15"/>
  <c r="AW81" i="15"/>
  <c r="T81" i="15"/>
  <c r="AX81" i="15"/>
  <c r="V277" i="15"/>
  <c r="V274" i="15"/>
  <c r="V269" i="15"/>
  <c r="V272" i="15"/>
  <c r="W277" i="15"/>
  <c r="W274" i="15"/>
  <c r="W269" i="15"/>
  <c r="W272" i="15"/>
  <c r="W268" i="15"/>
  <c r="W271" i="15"/>
  <c r="R158" i="15"/>
  <c r="V157" i="15"/>
  <c r="AA277" i="15"/>
  <c r="AC277" i="15"/>
  <c r="AB277" i="15"/>
  <c r="Z277" i="15"/>
  <c r="AE277" i="15"/>
  <c r="AD277" i="15"/>
  <c r="AF277" i="15"/>
  <c r="AG277" i="15"/>
  <c r="Y139" i="15"/>
  <c r="Y212" i="15"/>
  <c r="Y129" i="15"/>
  <c r="Y198" i="15"/>
  <c r="AH276" i="15"/>
  <c r="AJ276" i="15"/>
  <c r="AI276" i="15"/>
  <c r="E33" i="17"/>
  <c r="M39" i="18"/>
  <c r="M38" i="18"/>
  <c r="M40" i="18"/>
  <c r="M41" i="18"/>
  <c r="R42" i="18"/>
  <c r="R70" i="18"/>
  <c r="M17" i="18"/>
  <c r="M18" i="18"/>
  <c r="M56" i="18"/>
  <c r="M16" i="18"/>
  <c r="M19" i="18"/>
  <c r="AT20" i="18"/>
  <c r="R50" i="15"/>
  <c r="U81" i="15"/>
  <c r="R37" i="15"/>
  <c r="R22" i="15"/>
  <c r="R38" i="15"/>
  <c r="Q27" i="15"/>
  <c r="Q35" i="18"/>
  <c r="T84" i="15"/>
  <c r="AW84" i="15"/>
  <c r="R84" i="15"/>
  <c r="S84" i="15"/>
  <c r="AX84" i="15"/>
  <c r="R139" i="15"/>
  <c r="R212" i="15"/>
  <c r="R129" i="15"/>
  <c r="R198" i="15"/>
  <c r="G514" i="17"/>
  <c r="G522" i="17"/>
  <c r="G520" i="17"/>
  <c r="G524" i="17"/>
  <c r="L519" i="17"/>
  <c r="L523" i="17"/>
  <c r="L521" i="17"/>
  <c r="K524" i="17"/>
  <c r="AL218" i="15"/>
  <c r="AL210" i="15"/>
  <c r="AL220" i="15"/>
  <c r="AL219" i="15"/>
  <c r="E74" i="15"/>
  <c r="O74" i="15"/>
  <c r="O76" i="15"/>
  <c r="D76" i="15"/>
  <c r="M975" i="17"/>
  <c r="M977" i="17"/>
  <c r="M973" i="17"/>
  <c r="M1028" i="17"/>
  <c r="M1026" i="17"/>
  <c r="M1024" i="17"/>
  <c r="AM269" i="15"/>
  <c r="AM271" i="15"/>
  <c r="AM268" i="15"/>
  <c r="AM277" i="15"/>
  <c r="AM274" i="15"/>
  <c r="AM272" i="15"/>
  <c r="X86" i="15"/>
  <c r="X140" i="15"/>
  <c r="X213" i="15"/>
  <c r="M769" i="17"/>
  <c r="M767" i="17"/>
  <c r="M771" i="17"/>
  <c r="M871" i="17"/>
  <c r="M869" i="17"/>
  <c r="M873" i="17"/>
  <c r="M820" i="17"/>
  <c r="M818" i="17"/>
  <c r="M822" i="17"/>
  <c r="M571" i="17"/>
  <c r="M569" i="17"/>
  <c r="M573" i="17"/>
  <c r="M621" i="17"/>
  <c r="M623" i="17"/>
  <c r="M619" i="17"/>
  <c r="M670" i="17"/>
  <c r="M672" i="17"/>
  <c r="M668" i="17"/>
  <c r="AO232" i="15"/>
  <c r="AO56" i="15"/>
  <c r="AO156" i="15"/>
  <c r="AP51" i="15"/>
  <c r="AP53" i="15"/>
  <c r="AO82" i="15"/>
  <c r="AO52" i="15"/>
  <c r="AO50" i="15"/>
  <c r="AN130" i="15"/>
  <c r="AN199" i="15"/>
  <c r="AN127" i="15"/>
  <c r="AN122" i="15"/>
  <c r="AN124" i="15"/>
  <c r="AN193" i="15"/>
  <c r="AN121" i="15"/>
  <c r="AN125" i="15"/>
  <c r="AN194" i="15"/>
  <c r="D425" i="17"/>
  <c r="AN136" i="15"/>
  <c r="AN234" i="15"/>
  <c r="AN233" i="15"/>
  <c r="AN266" i="15"/>
  <c r="AN160" i="15"/>
  <c r="AN60" i="15"/>
  <c r="AN236" i="15"/>
  <c r="AN157" i="15"/>
  <c r="AN158" i="15"/>
  <c r="AM240" i="15"/>
  <c r="AM164" i="15"/>
  <c r="AM64" i="15"/>
  <c r="F472" i="17"/>
  <c r="J474" i="17"/>
  <c r="F464" i="17"/>
  <c r="E475" i="17"/>
  <c r="F470" i="17"/>
  <c r="F474" i="17"/>
  <c r="AM209" i="15"/>
  <c r="AM137" i="15"/>
  <c r="AM188" i="15"/>
  <c r="AM146" i="15"/>
  <c r="AM190" i="15"/>
  <c r="AM145" i="15"/>
  <c r="AM191" i="15"/>
  <c r="AM196" i="15"/>
  <c r="AM147" i="15"/>
  <c r="X276" i="15"/>
  <c r="V276" i="15"/>
  <c r="W276" i="15"/>
  <c r="Y276" i="15"/>
  <c r="AC276" i="15"/>
  <c r="AA276" i="15"/>
  <c r="AB276" i="15"/>
  <c r="Z276" i="15"/>
  <c r="AG276" i="15"/>
  <c r="AD276" i="15"/>
  <c r="AE276" i="15"/>
  <c r="AF276" i="15"/>
  <c r="V27" i="15"/>
  <c r="V35" i="18"/>
  <c r="Y84" i="15"/>
  <c r="AG81" i="15"/>
  <c r="AD50" i="15"/>
  <c r="AE81" i="15"/>
  <c r="AD48" i="15"/>
  <c r="AD47" i="15"/>
  <c r="AF81" i="15"/>
  <c r="AD81" i="15"/>
  <c r="T196" i="15"/>
  <c r="T147" i="15"/>
  <c r="T191" i="15"/>
  <c r="T145" i="15"/>
  <c r="T190" i="15"/>
  <c r="T146" i="15"/>
  <c r="T209" i="15"/>
  <c r="T188" i="15"/>
  <c r="T137" i="15"/>
  <c r="S196" i="15"/>
  <c r="S147" i="15"/>
  <c r="S191" i="15"/>
  <c r="S145" i="15"/>
  <c r="S190" i="15"/>
  <c r="S146" i="15"/>
  <c r="S209" i="15"/>
  <c r="S188" i="15"/>
  <c r="S137" i="15"/>
  <c r="U196" i="15"/>
  <c r="U147" i="15"/>
  <c r="U191" i="15"/>
  <c r="U145" i="15"/>
  <c r="U190" i="15"/>
  <c r="U146" i="15"/>
  <c r="U137" i="15"/>
  <c r="U209" i="15"/>
  <c r="U188" i="15"/>
  <c r="S276" i="15"/>
  <c r="S277" i="15"/>
  <c r="S274" i="15"/>
  <c r="S269" i="15"/>
  <c r="S272" i="15"/>
  <c r="S268" i="15"/>
  <c r="S271" i="15"/>
  <c r="R277" i="15"/>
  <c r="R276" i="15"/>
  <c r="R274" i="15"/>
  <c r="R269" i="15"/>
  <c r="R272" i="15"/>
  <c r="U269" i="15"/>
  <c r="U272" i="15"/>
  <c r="U268" i="15"/>
  <c r="U271" i="15"/>
  <c r="U274" i="15"/>
  <c r="U277" i="15"/>
  <c r="U276" i="15"/>
  <c r="R209" i="15"/>
  <c r="R188" i="15"/>
  <c r="R137" i="15"/>
  <c r="R196" i="15"/>
  <c r="R147" i="15"/>
  <c r="R191" i="15"/>
  <c r="R145" i="15"/>
  <c r="R64" i="15"/>
  <c r="U86" i="15"/>
  <c r="U140" i="15"/>
  <c r="U213" i="15"/>
  <c r="R240" i="15"/>
  <c r="R164" i="15"/>
  <c r="Q168" i="15"/>
  <c r="Q244" i="15"/>
  <c r="Q70" i="15"/>
  <c r="W86" i="15"/>
  <c r="W140" i="15"/>
  <c r="W213" i="15"/>
  <c r="V168" i="15"/>
  <c r="V86" i="15"/>
  <c r="V140" i="15"/>
  <c r="V213" i="15"/>
  <c r="V244" i="15"/>
  <c r="V70" i="15"/>
  <c r="Y218" i="15"/>
  <c r="Y219" i="15"/>
  <c r="Y220" i="15"/>
  <c r="Y210" i="15"/>
  <c r="L1122" i="17"/>
  <c r="L1124" i="17"/>
  <c r="L1126" i="17"/>
  <c r="K1127" i="17"/>
  <c r="G1123" i="17"/>
  <c r="G1127" i="17"/>
  <c r="G1125" i="17"/>
  <c r="G1117" i="17"/>
  <c r="V218" i="15"/>
  <c r="V220" i="15"/>
  <c r="V210" i="15"/>
  <c r="X219" i="15"/>
  <c r="X218" i="15"/>
  <c r="X220" i="15"/>
  <c r="X210" i="15"/>
  <c r="W219" i="15"/>
  <c r="W218" i="15"/>
  <c r="W220" i="15"/>
  <c r="W210" i="15"/>
  <c r="L1074" i="17"/>
  <c r="L1076" i="17"/>
  <c r="L1078" i="17"/>
  <c r="K1079" i="17"/>
  <c r="G1075" i="17"/>
  <c r="G1077" i="17"/>
  <c r="G1079" i="17"/>
  <c r="G1069" i="17"/>
  <c r="AN64" i="15"/>
  <c r="AN277" i="15"/>
  <c r="AN276" i="15"/>
  <c r="AN274" i="15"/>
  <c r="AN269" i="15"/>
  <c r="AN272" i="15"/>
  <c r="AN268" i="15"/>
  <c r="AN271" i="15"/>
  <c r="AN137" i="15"/>
  <c r="AN209" i="15"/>
  <c r="AN188" i="15"/>
  <c r="AN196" i="15"/>
  <c r="AN147" i="15"/>
  <c r="AN191" i="15"/>
  <c r="AN145" i="15"/>
  <c r="AN190" i="15"/>
  <c r="AN146" i="15"/>
  <c r="P250" i="15"/>
  <c r="P72" i="15"/>
  <c r="P174" i="15"/>
  <c r="P73" i="15"/>
  <c r="T250" i="15"/>
  <c r="T174" i="15"/>
  <c r="T72" i="15"/>
  <c r="T73" i="15"/>
  <c r="U70" i="15"/>
  <c r="U244" i="15"/>
  <c r="U168" i="15"/>
  <c r="Z240" i="15"/>
  <c r="Z164" i="15"/>
  <c r="Z64" i="15"/>
  <c r="Y168" i="15"/>
  <c r="Y86" i="15"/>
  <c r="Y140" i="15"/>
  <c r="Y213" i="15"/>
  <c r="Y70" i="15"/>
  <c r="Y244" i="15"/>
  <c r="X72" i="15"/>
  <c r="X250" i="15"/>
  <c r="X73" i="15"/>
  <c r="X174" i="15"/>
  <c r="AC174" i="15"/>
  <c r="AC72" i="15"/>
  <c r="AC73" i="15"/>
  <c r="AC250" i="15"/>
  <c r="AF86" i="15"/>
  <c r="AF140" i="15"/>
  <c r="AF213" i="15"/>
  <c r="AE86" i="15"/>
  <c r="AE140" i="15"/>
  <c r="AE213" i="15"/>
  <c r="AD244" i="15"/>
  <c r="AD168" i="15"/>
  <c r="AD86" i="15"/>
  <c r="AD140" i="15"/>
  <c r="AD213" i="15"/>
  <c r="AD70" i="15"/>
  <c r="AG174" i="15"/>
  <c r="AG72" i="15"/>
  <c r="AG73" i="15"/>
  <c r="AG250" i="15"/>
  <c r="AI86" i="15"/>
  <c r="AI140" i="15"/>
  <c r="AI213" i="15"/>
  <c r="AH244" i="15"/>
  <c r="AH70" i="15"/>
  <c r="AH168" i="15"/>
  <c r="AH86" i="15"/>
  <c r="AH140" i="15"/>
  <c r="AH213" i="15"/>
  <c r="AJ250" i="15"/>
  <c r="AJ72" i="15"/>
  <c r="AJ174" i="15"/>
  <c r="AJ73" i="15"/>
  <c r="AK168" i="15"/>
  <c r="AK86" i="15"/>
  <c r="AK140" i="15"/>
  <c r="AK213" i="15"/>
  <c r="AK70" i="15"/>
  <c r="AK244" i="15"/>
  <c r="AL240" i="15"/>
  <c r="AL164" i="15"/>
  <c r="AL64" i="15"/>
  <c r="X129" i="15"/>
  <c r="X198" i="15"/>
  <c r="X139" i="15"/>
  <c r="X212" i="15"/>
  <c r="W129" i="15"/>
  <c r="W198" i="15"/>
  <c r="W139" i="15"/>
  <c r="W212" i="15"/>
  <c r="V129" i="15"/>
  <c r="V198" i="15"/>
  <c r="V139" i="15"/>
  <c r="V212" i="15"/>
  <c r="AB139" i="15"/>
  <c r="AB212" i="15"/>
  <c r="AB129" i="15"/>
  <c r="AB198" i="15"/>
  <c r="AA129" i="15"/>
  <c r="AA198" i="15"/>
  <c r="AA139" i="15"/>
  <c r="AA212" i="15"/>
  <c r="Z129" i="15"/>
  <c r="Z198" i="15"/>
  <c r="Z139" i="15"/>
  <c r="Z212" i="15"/>
  <c r="AF139" i="15"/>
  <c r="AF212" i="15"/>
  <c r="AF129" i="15"/>
  <c r="AF198" i="15"/>
  <c r="AE129" i="15"/>
  <c r="AE198" i="15"/>
  <c r="AE139" i="15"/>
  <c r="AE212" i="15"/>
  <c r="AD129" i="15"/>
  <c r="AD198" i="15"/>
  <c r="AD139" i="15"/>
  <c r="AD212" i="15"/>
  <c r="AB253" i="15"/>
  <c r="AB177" i="15"/>
  <c r="AB176" i="15"/>
  <c r="AB252" i="15"/>
  <c r="AF253" i="15"/>
  <c r="AF177" i="15"/>
  <c r="AF252" i="15"/>
  <c r="AF176" i="15"/>
  <c r="AJ139" i="15"/>
  <c r="AJ212" i="15"/>
  <c r="AJ129" i="15"/>
  <c r="AJ198" i="15"/>
  <c r="AI129" i="15"/>
  <c r="AI198" i="15"/>
  <c r="AI139" i="15"/>
  <c r="AI212" i="15"/>
  <c r="AH129" i="15"/>
  <c r="AH198" i="15"/>
  <c r="AH139" i="15"/>
  <c r="AH212" i="15"/>
  <c r="AM129" i="15"/>
  <c r="AM198" i="15"/>
  <c r="AM139" i="15"/>
  <c r="AM212" i="15"/>
  <c r="AL129" i="15"/>
  <c r="AL198" i="15"/>
  <c r="AL139" i="15"/>
  <c r="AL212" i="15"/>
  <c r="M279" i="15"/>
  <c r="S139" i="15"/>
  <c r="S212" i="15"/>
  <c r="S129" i="15"/>
  <c r="S198" i="15"/>
  <c r="AN139" i="15"/>
  <c r="AN212" i="15"/>
  <c r="AN129" i="15"/>
  <c r="AN198" i="15"/>
  <c r="AL276" i="15"/>
  <c r="AM276" i="15"/>
  <c r="M42" i="18"/>
  <c r="M20" i="18"/>
  <c r="R27" i="15"/>
  <c r="U84" i="15"/>
  <c r="R35" i="18"/>
  <c r="AN240" i="15"/>
  <c r="AN164" i="15"/>
  <c r="AM218" i="15"/>
  <c r="AM219" i="15"/>
  <c r="AM220" i="15"/>
  <c r="AM210" i="15"/>
  <c r="F422" i="17"/>
  <c r="E425" i="17"/>
  <c r="F424" i="17"/>
  <c r="F420" i="17"/>
  <c r="J424" i="17"/>
  <c r="F414" i="17"/>
  <c r="G470" i="17"/>
  <c r="G464" i="17"/>
  <c r="M523" i="17"/>
  <c r="M521" i="17"/>
  <c r="M519" i="17"/>
  <c r="S74" i="15"/>
  <c r="AW74" i="15"/>
  <c r="F74" i="15"/>
  <c r="E76" i="15"/>
  <c r="AM86" i="15"/>
  <c r="AM140" i="15"/>
  <c r="AM213" i="15"/>
  <c r="AO266" i="15"/>
  <c r="AO233" i="15"/>
  <c r="AO234" i="15"/>
  <c r="AO160" i="15"/>
  <c r="AO236" i="15"/>
  <c r="AO60" i="15"/>
  <c r="AO157" i="15"/>
  <c r="AO158" i="15"/>
  <c r="AQ51" i="15"/>
  <c r="AP232" i="15"/>
  <c r="AP156" i="15"/>
  <c r="AP50" i="15"/>
  <c r="AP56" i="15"/>
  <c r="AP82" i="15"/>
  <c r="AP52" i="15"/>
  <c r="AO130" i="15"/>
  <c r="AO199" i="15"/>
  <c r="AO129" i="15"/>
  <c r="AO198" i="15"/>
  <c r="AO136" i="15"/>
  <c r="D375" i="17"/>
  <c r="AO121" i="15"/>
  <c r="AO122" i="15"/>
  <c r="AO124" i="15"/>
  <c r="AO193" i="15"/>
  <c r="AO125" i="15"/>
  <c r="AO194" i="15"/>
  <c r="AO127" i="15"/>
  <c r="AM244" i="15"/>
  <c r="AM70" i="15"/>
  <c r="AM168" i="15"/>
  <c r="L471" i="17"/>
  <c r="L469" i="17"/>
  <c r="L473" i="17"/>
  <c r="K474" i="17"/>
  <c r="G472" i="17"/>
  <c r="G474" i="17"/>
  <c r="T219" i="15"/>
  <c r="T218" i="15"/>
  <c r="T220" i="15"/>
  <c r="T210" i="15"/>
  <c r="S218" i="15"/>
  <c r="S219" i="15"/>
  <c r="S220" i="15"/>
  <c r="S210" i="15"/>
  <c r="U219" i="15"/>
  <c r="U218" i="15"/>
  <c r="U220" i="15"/>
  <c r="U210" i="15"/>
  <c r="R218" i="15"/>
  <c r="R220" i="15"/>
  <c r="R210" i="15"/>
  <c r="T86" i="15"/>
  <c r="T140" i="15"/>
  <c r="T213" i="15"/>
  <c r="S86" i="15"/>
  <c r="S140" i="15"/>
  <c r="S213" i="15"/>
  <c r="AX86" i="15"/>
  <c r="AW86" i="15"/>
  <c r="R244" i="15"/>
  <c r="R70" i="15"/>
  <c r="R168" i="15"/>
  <c r="R86" i="15"/>
  <c r="R140" i="15"/>
  <c r="R213" i="15"/>
  <c r="Q174" i="15"/>
  <c r="Q72" i="15"/>
  <c r="Q73" i="15"/>
  <c r="Q250" i="15"/>
  <c r="V174" i="15"/>
  <c r="V250" i="15"/>
  <c r="M1122" i="17"/>
  <c r="M1126" i="17"/>
  <c r="M1124" i="17"/>
  <c r="M1074" i="17"/>
  <c r="M1076" i="17"/>
  <c r="M1078" i="17"/>
  <c r="AN244" i="15"/>
  <c r="AN168" i="15"/>
  <c r="AN86" i="15"/>
  <c r="AN140" i="15"/>
  <c r="AN213" i="15"/>
  <c r="AN70" i="15"/>
  <c r="AN218" i="15"/>
  <c r="AN219" i="15"/>
  <c r="AN220" i="15"/>
  <c r="AN210" i="15"/>
  <c r="P176" i="15"/>
  <c r="P252" i="15"/>
  <c r="P74" i="15"/>
  <c r="P253" i="15"/>
  <c r="P177" i="15"/>
  <c r="T253" i="15"/>
  <c r="T177" i="15"/>
  <c r="T252" i="15"/>
  <c r="T176" i="15"/>
  <c r="U250" i="15"/>
  <c r="U72" i="15"/>
  <c r="U73" i="15"/>
  <c r="U174" i="15"/>
  <c r="AC86" i="15"/>
  <c r="AC140" i="15"/>
  <c r="AC213" i="15"/>
  <c r="AB86" i="15"/>
  <c r="AB140" i="15"/>
  <c r="AB213" i="15"/>
  <c r="AA86" i="15"/>
  <c r="AA140" i="15"/>
  <c r="AA213" i="15"/>
  <c r="Z70" i="15"/>
  <c r="Z168" i="15"/>
  <c r="Z86" i="15"/>
  <c r="Z140" i="15"/>
  <c r="Z213" i="15"/>
  <c r="Z244" i="15"/>
  <c r="Y250" i="15"/>
  <c r="Y174" i="15"/>
  <c r="Y72" i="15"/>
  <c r="Y73" i="15"/>
  <c r="X252" i="15"/>
  <c r="X176" i="15"/>
  <c r="X177" i="15"/>
  <c r="X253" i="15"/>
  <c r="AC252" i="15"/>
  <c r="AD72" i="15"/>
  <c r="AD73" i="15"/>
  <c r="AC176" i="15"/>
  <c r="AC177" i="15"/>
  <c r="AC253" i="15"/>
  <c r="AD250" i="15"/>
  <c r="AD174" i="15"/>
  <c r="AG253" i="15"/>
  <c r="AG177" i="15"/>
  <c r="AG252" i="15"/>
  <c r="AH72" i="15"/>
  <c r="AH73" i="15"/>
  <c r="AG176" i="15"/>
  <c r="AH174" i="15"/>
  <c r="AH250" i="15"/>
  <c r="AJ176" i="15"/>
  <c r="AJ252" i="15"/>
  <c r="AJ253" i="15"/>
  <c r="AJ177" i="15"/>
  <c r="AK250" i="15"/>
  <c r="AK72" i="15"/>
  <c r="AK73" i="15"/>
  <c r="AK174" i="15"/>
  <c r="AL244" i="15"/>
  <c r="AL70" i="15"/>
  <c r="AL168" i="15"/>
  <c r="AL86" i="15"/>
  <c r="AL140" i="15"/>
  <c r="AL213" i="15"/>
  <c r="G420" i="17"/>
  <c r="G422" i="17"/>
  <c r="G424" i="17"/>
  <c r="G414" i="17"/>
  <c r="L423" i="17"/>
  <c r="L419" i="17"/>
  <c r="K424" i="17"/>
  <c r="L421" i="17"/>
  <c r="S76" i="15"/>
  <c r="T74" i="15"/>
  <c r="AO164" i="15"/>
  <c r="AO64" i="15"/>
  <c r="AO240" i="15"/>
  <c r="AQ56" i="15"/>
  <c r="AQ52" i="15"/>
  <c r="AQ50" i="15"/>
  <c r="AQ53" i="15"/>
  <c r="AR51" i="15"/>
  <c r="AR53" i="15"/>
  <c r="AQ232" i="15"/>
  <c r="AQ266" i="15"/>
  <c r="AQ156" i="15"/>
  <c r="AQ82" i="15"/>
  <c r="AP266" i="15"/>
  <c r="AP233" i="15"/>
  <c r="AP234" i="15"/>
  <c r="AP158" i="15"/>
  <c r="AP157" i="15"/>
  <c r="AP60" i="15"/>
  <c r="AP160" i="15"/>
  <c r="AP236" i="15"/>
  <c r="D325" i="17"/>
  <c r="AP129" i="15"/>
  <c r="AP198" i="15"/>
  <c r="AP127" i="15"/>
  <c r="AP125" i="15"/>
  <c r="AP194" i="15"/>
  <c r="AP124" i="15"/>
  <c r="AP193" i="15"/>
  <c r="AP122" i="15"/>
  <c r="AP121" i="15"/>
  <c r="AP130" i="15"/>
  <c r="AP199" i="15"/>
  <c r="AP136" i="15"/>
  <c r="AO209" i="15"/>
  <c r="AO188" i="15"/>
  <c r="AO137" i="15"/>
  <c r="AO190" i="15"/>
  <c r="AO146" i="15"/>
  <c r="AO191" i="15"/>
  <c r="AO145" i="15"/>
  <c r="AO196" i="15"/>
  <c r="AO147" i="15"/>
  <c r="AM174" i="15"/>
  <c r="AM72" i="15"/>
  <c r="AM73" i="15"/>
  <c r="AM250" i="15"/>
  <c r="F372" i="17"/>
  <c r="J374" i="17"/>
  <c r="F374" i="17"/>
  <c r="F370" i="17"/>
  <c r="F364" i="17"/>
  <c r="E375" i="17"/>
  <c r="G364" i="17"/>
  <c r="M471" i="17"/>
  <c r="M469" i="17"/>
  <c r="M473" i="17"/>
  <c r="AX74" i="15"/>
  <c r="AX76" i="15"/>
  <c r="AW76" i="15"/>
  <c r="W74" i="15"/>
  <c r="F76" i="15"/>
  <c r="G74" i="15"/>
  <c r="AO271" i="15"/>
  <c r="AO268" i="15"/>
  <c r="AO272" i="15"/>
  <c r="AO269" i="15"/>
  <c r="AO274" i="15"/>
  <c r="AO277" i="15"/>
  <c r="AO276" i="15"/>
  <c r="R174" i="15"/>
  <c r="R250" i="15"/>
  <c r="Q177" i="15"/>
  <c r="Q253" i="15"/>
  <c r="R72" i="15"/>
  <c r="R73" i="15"/>
  <c r="Q252" i="15"/>
  <c r="Q176" i="15"/>
  <c r="AN250" i="15"/>
  <c r="AN174" i="15"/>
  <c r="AN72" i="15"/>
  <c r="AN73" i="15"/>
  <c r="M423" i="17"/>
  <c r="L371" i="17"/>
  <c r="AO218" i="15"/>
  <c r="AO219" i="15"/>
  <c r="AO220" i="15"/>
  <c r="AO210" i="15"/>
  <c r="AQ276" i="15"/>
  <c r="AQ277" i="15"/>
  <c r="AQ274" i="15"/>
  <c r="AQ271" i="15"/>
  <c r="AQ268" i="15"/>
  <c r="AQ272" i="15"/>
  <c r="AQ269" i="15"/>
  <c r="AP64" i="15"/>
  <c r="AP240" i="15"/>
  <c r="AP164" i="15"/>
  <c r="AP196" i="15"/>
  <c r="AP147" i="15"/>
  <c r="AP191" i="15"/>
  <c r="AP145" i="15"/>
  <c r="AP190" i="15"/>
  <c r="AP146" i="15"/>
  <c r="AP209" i="15"/>
  <c r="AP188" i="15"/>
  <c r="AP137" i="15"/>
  <c r="AQ234" i="15"/>
  <c r="AQ233" i="15"/>
  <c r="AQ158" i="15"/>
  <c r="AQ157" i="15"/>
  <c r="AS51" i="15"/>
  <c r="AS53" i="15"/>
  <c r="AR56" i="15"/>
  <c r="AR232" i="15"/>
  <c r="AR156" i="15"/>
  <c r="AR82" i="15"/>
  <c r="AR52" i="15"/>
  <c r="D275" i="17"/>
  <c r="AQ130" i="15"/>
  <c r="AQ199" i="15"/>
  <c r="AQ129" i="15"/>
  <c r="AQ198" i="15"/>
  <c r="AQ127" i="15"/>
  <c r="AQ125" i="15"/>
  <c r="AQ194" i="15"/>
  <c r="AQ124" i="15"/>
  <c r="AQ193" i="15"/>
  <c r="AQ122" i="15"/>
  <c r="AQ121" i="15"/>
  <c r="AQ136" i="15"/>
  <c r="AQ60" i="15"/>
  <c r="AQ236" i="15"/>
  <c r="AQ160" i="15"/>
  <c r="AO168" i="15"/>
  <c r="AO86" i="15"/>
  <c r="AO140" i="15"/>
  <c r="AO213" i="15"/>
  <c r="AO244" i="15"/>
  <c r="AO70" i="15"/>
  <c r="AM252" i="15"/>
  <c r="AM176" i="15"/>
  <c r="P76" i="15"/>
  <c r="Q74" i="15"/>
  <c r="T76" i="15"/>
  <c r="U74" i="15"/>
  <c r="U177" i="15"/>
  <c r="U253" i="15"/>
  <c r="U176" i="15"/>
  <c r="V72" i="15"/>
  <c r="U252" i="15"/>
  <c r="Z174" i="15"/>
  <c r="Z250" i="15"/>
  <c r="Y177" i="15"/>
  <c r="Y253" i="15"/>
  <c r="Y252" i="15"/>
  <c r="Z72" i="15"/>
  <c r="Z73" i="15"/>
  <c r="Y176" i="15"/>
  <c r="AD176" i="15"/>
  <c r="AD252" i="15"/>
  <c r="AD177" i="15"/>
  <c r="AD253" i="15"/>
  <c r="AH176" i="15"/>
  <c r="AH252" i="15"/>
  <c r="AH177" i="15"/>
  <c r="AH253" i="15"/>
  <c r="AK177" i="15"/>
  <c r="AK253" i="15"/>
  <c r="AK176" i="15"/>
  <c r="AK252" i="15"/>
  <c r="AL72" i="15"/>
  <c r="AL174" i="15"/>
  <c r="AL73" i="15"/>
  <c r="AL250" i="15"/>
  <c r="AP269" i="15"/>
  <c r="AP272" i="15"/>
  <c r="AP268" i="15"/>
  <c r="AP271" i="15"/>
  <c r="AP274" i="15"/>
  <c r="AP277" i="15"/>
  <c r="AP276" i="15"/>
  <c r="M421" i="17"/>
  <c r="M419" i="17"/>
  <c r="F320" i="17"/>
  <c r="F322" i="17"/>
  <c r="F324" i="17"/>
  <c r="J324" i="17"/>
  <c r="F314" i="17"/>
  <c r="E325" i="17"/>
  <c r="AM253" i="15"/>
  <c r="AM177" i="15"/>
  <c r="K374" i="17"/>
  <c r="L369" i="17"/>
  <c r="L373" i="17"/>
  <c r="G372" i="17"/>
  <c r="G374" i="17"/>
  <c r="G370" i="17"/>
  <c r="X74" i="15"/>
  <c r="W76" i="15"/>
  <c r="H74" i="15"/>
  <c r="G76" i="15"/>
  <c r="R177" i="15"/>
  <c r="R253" i="15"/>
  <c r="R252" i="15"/>
  <c r="R176" i="15"/>
  <c r="AN177" i="15"/>
  <c r="AN253" i="15"/>
  <c r="AN252" i="15"/>
  <c r="AN176" i="15"/>
  <c r="M373" i="17"/>
  <c r="AP168" i="15"/>
  <c r="AP86" i="15"/>
  <c r="AP140" i="15"/>
  <c r="AP213" i="15"/>
  <c r="AP70" i="15"/>
  <c r="AP244" i="15"/>
  <c r="AP218" i="15"/>
  <c r="AP219" i="15"/>
  <c r="AP220" i="15"/>
  <c r="AP210" i="15"/>
  <c r="AS50" i="15"/>
  <c r="AS82" i="15"/>
  <c r="AS52" i="15"/>
  <c r="AT51" i="15"/>
  <c r="AS232" i="15"/>
  <c r="AS156" i="15"/>
  <c r="AS56" i="15"/>
  <c r="AR236" i="15"/>
  <c r="AR160" i="15"/>
  <c r="AR60" i="15"/>
  <c r="AR266" i="15"/>
  <c r="AS266" i="15"/>
  <c r="AR234" i="15"/>
  <c r="AR233" i="15"/>
  <c r="AR158" i="15"/>
  <c r="AR157" i="15"/>
  <c r="D225" i="17"/>
  <c r="AR136" i="15"/>
  <c r="AR130" i="15"/>
  <c r="AR199" i="15"/>
  <c r="AR129" i="15"/>
  <c r="AR198" i="15"/>
  <c r="AR127" i="15"/>
  <c r="AR125" i="15"/>
  <c r="AR194" i="15"/>
  <c r="AR124" i="15"/>
  <c r="AR193" i="15"/>
  <c r="AR122" i="15"/>
  <c r="AR121" i="15"/>
  <c r="F272" i="17"/>
  <c r="J274" i="17"/>
  <c r="F274" i="17"/>
  <c r="F270" i="17"/>
  <c r="F264" i="17"/>
  <c r="E275" i="17"/>
  <c r="AQ196" i="15"/>
  <c r="AQ147" i="15"/>
  <c r="AQ191" i="15"/>
  <c r="AQ145" i="15"/>
  <c r="AQ190" i="15"/>
  <c r="AQ146" i="15"/>
  <c r="AQ209" i="15"/>
  <c r="AQ188" i="15"/>
  <c r="AQ137" i="15"/>
  <c r="AQ240" i="15"/>
  <c r="AQ164" i="15"/>
  <c r="AQ64" i="15"/>
  <c r="AO174" i="15"/>
  <c r="AO72" i="15"/>
  <c r="AO73" i="15"/>
  <c r="AO250" i="15"/>
  <c r="Q76" i="15"/>
  <c r="R74" i="15"/>
  <c r="R76" i="15"/>
  <c r="U76" i="15"/>
  <c r="V73" i="15"/>
  <c r="V74" i="15"/>
  <c r="V76" i="15"/>
  <c r="V252" i="15"/>
  <c r="V176" i="15"/>
  <c r="Z253" i="15"/>
  <c r="Z177" i="15"/>
  <c r="Z176" i="15"/>
  <c r="Z252" i="15"/>
  <c r="AL176" i="15"/>
  <c r="AL252" i="15"/>
  <c r="AL253" i="15"/>
  <c r="AL177" i="15"/>
  <c r="M369" i="17"/>
  <c r="M371" i="17"/>
  <c r="L319" i="17"/>
  <c r="L321" i="17"/>
  <c r="L323" i="17"/>
  <c r="K324" i="17"/>
  <c r="G322" i="17"/>
  <c r="G324" i="17"/>
  <c r="G320" i="17"/>
  <c r="G314" i="17"/>
  <c r="AT53" i="15"/>
  <c r="Y74" i="15"/>
  <c r="X76" i="15"/>
  <c r="H76" i="15"/>
  <c r="I74" i="15"/>
  <c r="AP250" i="15"/>
  <c r="AP174" i="15"/>
  <c r="AS130" i="15"/>
  <c r="AS199" i="15"/>
  <c r="AS129" i="15"/>
  <c r="AS198" i="15"/>
  <c r="AS127" i="15"/>
  <c r="AS125" i="15"/>
  <c r="AS194" i="15"/>
  <c r="AS124" i="15"/>
  <c r="AS193" i="15"/>
  <c r="AS122" i="15"/>
  <c r="AS121" i="15"/>
  <c r="AS136" i="15"/>
  <c r="D166" i="17"/>
  <c r="AT232" i="15"/>
  <c r="AT156" i="15"/>
  <c r="AT50" i="15"/>
  <c r="AT82" i="15"/>
  <c r="AT56" i="15"/>
  <c r="AT52" i="15"/>
  <c r="AT266" i="15"/>
  <c r="AS234" i="15"/>
  <c r="AS233" i="15"/>
  <c r="AS158" i="15"/>
  <c r="AS157" i="15"/>
  <c r="AS60" i="15"/>
  <c r="AS236" i="15"/>
  <c r="AS160" i="15"/>
  <c r="AR164" i="15"/>
  <c r="AR64" i="15"/>
  <c r="AR240" i="15"/>
  <c r="AR269" i="15"/>
  <c r="AR272" i="15"/>
  <c r="AR268" i="15"/>
  <c r="AR271" i="15"/>
  <c r="AR274" i="15"/>
  <c r="AR277" i="15"/>
  <c r="AR276" i="15"/>
  <c r="AS274" i="15"/>
  <c r="AS276" i="15"/>
  <c r="AS277" i="15"/>
  <c r="AS271" i="15"/>
  <c r="AS268" i="15"/>
  <c r="AS272" i="15"/>
  <c r="AS269" i="15"/>
  <c r="J205" i="17"/>
  <c r="F222" i="17"/>
  <c r="F224" i="17"/>
  <c r="F220" i="17"/>
  <c r="E225" i="17"/>
  <c r="AR137" i="15"/>
  <c r="AR209" i="15"/>
  <c r="AR188" i="15"/>
  <c r="AR196" i="15"/>
  <c r="AR147" i="15"/>
  <c r="AR191" i="15"/>
  <c r="AR145" i="15"/>
  <c r="AR190" i="15"/>
  <c r="AR146" i="15"/>
  <c r="L269" i="17"/>
  <c r="L273" i="17"/>
  <c r="L271" i="17"/>
  <c r="K274" i="17"/>
  <c r="G272" i="17"/>
  <c r="G274" i="17"/>
  <c r="G270" i="17"/>
  <c r="G264" i="17"/>
  <c r="AQ220" i="15"/>
  <c r="AQ218" i="15"/>
  <c r="AQ219" i="15"/>
  <c r="AQ210" i="15"/>
  <c r="AQ244" i="15"/>
  <c r="AQ70" i="15"/>
  <c r="AQ168" i="15"/>
  <c r="AQ86" i="15"/>
  <c r="AQ140" i="15"/>
  <c r="AQ213" i="15"/>
  <c r="AO253" i="15"/>
  <c r="AO177" i="15"/>
  <c r="AO252" i="15"/>
  <c r="AP72" i="15"/>
  <c r="AP73" i="15"/>
  <c r="AO176" i="15"/>
  <c r="V177" i="15"/>
  <c r="V253" i="15"/>
  <c r="M319" i="17"/>
  <c r="M321" i="17"/>
  <c r="M323" i="17"/>
  <c r="AU53" i="15"/>
  <c r="M51" i="15"/>
  <c r="M156" i="15" s="1"/>
  <c r="Z74" i="15"/>
  <c r="Y76" i="15"/>
  <c r="J74" i="15"/>
  <c r="I76" i="15"/>
  <c r="AP177" i="15"/>
  <c r="AP253" i="15"/>
  <c r="AS196" i="15"/>
  <c r="AS147" i="15"/>
  <c r="AS191" i="15"/>
  <c r="AS145" i="15"/>
  <c r="AS190" i="15"/>
  <c r="AS146" i="15"/>
  <c r="AS137" i="15"/>
  <c r="AS209" i="15"/>
  <c r="AS188" i="15"/>
  <c r="F163" i="17"/>
  <c r="F165" i="17"/>
  <c r="F161" i="17"/>
  <c r="E166" i="17"/>
  <c r="AT234" i="15"/>
  <c r="AT233" i="15"/>
  <c r="AT158" i="15"/>
  <c r="AT157" i="15"/>
  <c r="D93" i="17"/>
  <c r="AT136" i="15"/>
  <c r="AT130" i="15"/>
  <c r="AT199" i="15"/>
  <c r="AT129" i="15"/>
  <c r="AT198" i="15"/>
  <c r="AT127" i="15"/>
  <c r="AT125" i="15"/>
  <c r="AT194" i="15"/>
  <c r="AT124" i="15"/>
  <c r="AT193" i="15"/>
  <c r="AT122" i="15"/>
  <c r="AT121" i="15"/>
  <c r="AU56" i="15"/>
  <c r="AU156" i="15"/>
  <c r="AU50" i="15"/>
  <c r="AU52" i="15"/>
  <c r="AU82" i="15"/>
  <c r="D34" i="17" s="1"/>
  <c r="AU232" i="15"/>
  <c r="AU266" i="15"/>
  <c r="AU272" i="15" s="1"/>
  <c r="AT236" i="15"/>
  <c r="AT160" i="15"/>
  <c r="AT60" i="15"/>
  <c r="AT276" i="15"/>
  <c r="AT277" i="15"/>
  <c r="AT274" i="15"/>
  <c r="AT271" i="15"/>
  <c r="AT268" i="15"/>
  <c r="AT272" i="15"/>
  <c r="AT269" i="15"/>
  <c r="AS64" i="15"/>
  <c r="AS240" i="15"/>
  <c r="AS164" i="15"/>
  <c r="AR244" i="15"/>
  <c r="AR168" i="15"/>
  <c r="AR86" i="15"/>
  <c r="AR140" i="15"/>
  <c r="AR213" i="15"/>
  <c r="AR70" i="15"/>
  <c r="K205" i="17"/>
  <c r="G222" i="17"/>
  <c r="G224" i="17"/>
  <c r="G220" i="17"/>
  <c r="AR220" i="15"/>
  <c r="AR218" i="15"/>
  <c r="AR219" i="15"/>
  <c r="AR210" i="15"/>
  <c r="M269" i="17"/>
  <c r="M271" i="17"/>
  <c r="M273" i="17"/>
  <c r="AQ174" i="15"/>
  <c r="AQ250" i="15"/>
  <c r="AQ72" i="15"/>
  <c r="AQ73" i="15"/>
  <c r="AP176" i="15"/>
  <c r="AP252" i="15"/>
  <c r="M82" i="15"/>
  <c r="M136" i="15" s="1"/>
  <c r="M232" i="15"/>
  <c r="AA74" i="15"/>
  <c r="Z76" i="15"/>
  <c r="J76" i="15"/>
  <c r="K74" i="15"/>
  <c r="AS218" i="15"/>
  <c r="AS219" i="15"/>
  <c r="AS220" i="15"/>
  <c r="AS210" i="15"/>
  <c r="G161" i="17"/>
  <c r="G163" i="17"/>
  <c r="G165" i="17"/>
  <c r="F92" i="17"/>
  <c r="F90" i="17"/>
  <c r="F88" i="17"/>
  <c r="E93" i="17"/>
  <c r="AT209" i="15"/>
  <c r="AT188" i="15"/>
  <c r="AT137" i="15"/>
  <c r="AT196" i="15"/>
  <c r="AT147" i="15"/>
  <c r="AT191" i="15"/>
  <c r="AT145" i="15"/>
  <c r="AT190" i="15"/>
  <c r="AT146" i="15"/>
  <c r="AU60" i="15"/>
  <c r="AU64" i="15" s="1"/>
  <c r="AU160" i="15"/>
  <c r="AU236" i="15"/>
  <c r="AU157" i="15"/>
  <c r="AU158" i="15"/>
  <c r="AU125" i="15"/>
  <c r="AU194" i="15" s="1"/>
  <c r="AU122" i="15"/>
  <c r="AU191" i="15" s="1"/>
  <c r="AU124" i="15"/>
  <c r="AU193" i="15"/>
  <c r="AU127" i="15"/>
  <c r="AU129" i="15"/>
  <c r="AU198" i="15"/>
  <c r="AU130" i="15"/>
  <c r="AU199" i="15" s="1"/>
  <c r="AU136" i="15"/>
  <c r="AU233" i="15"/>
  <c r="AU234" i="15"/>
  <c r="AT240" i="15"/>
  <c r="AT164" i="15"/>
  <c r="AT64" i="15"/>
  <c r="AS168" i="15"/>
  <c r="AS86" i="15"/>
  <c r="AS140" i="15"/>
  <c r="AS213" i="15"/>
  <c r="AS70" i="15"/>
  <c r="AS244" i="15"/>
  <c r="AR250" i="15"/>
  <c r="AR174" i="15"/>
  <c r="AR72" i="15"/>
  <c r="AQ253" i="15"/>
  <c r="AQ177" i="15"/>
  <c r="AQ176" i="15"/>
  <c r="AQ252" i="15"/>
  <c r="M129" i="15"/>
  <c r="M198" i="15"/>
  <c r="M125" i="15"/>
  <c r="M194" i="15" s="1"/>
  <c r="M122" i="15"/>
  <c r="M145" i="15" s="1"/>
  <c r="M121" i="15"/>
  <c r="M146" i="15" s="1"/>
  <c r="AR73" i="15"/>
  <c r="AB74" i="15"/>
  <c r="AA76" i="15"/>
  <c r="K76" i="15"/>
  <c r="L74" i="15"/>
  <c r="L76" i="15"/>
  <c r="G88" i="17"/>
  <c r="G90" i="17"/>
  <c r="G92" i="17"/>
  <c r="AT220" i="15"/>
  <c r="AT218" i="15"/>
  <c r="AT219" i="15"/>
  <c r="AT210" i="15"/>
  <c r="AU145" i="15"/>
  <c r="AU196" i="15"/>
  <c r="AU147" i="15"/>
  <c r="AU188" i="15"/>
  <c r="AU209" i="15"/>
  <c r="AU218" i="15" s="1"/>
  <c r="AT244" i="15"/>
  <c r="AT70" i="15"/>
  <c r="AT168" i="15"/>
  <c r="AT86" i="15"/>
  <c r="AT140" i="15"/>
  <c r="AT213" i="15"/>
  <c r="AS72" i="15"/>
  <c r="AS250" i="15"/>
  <c r="AS73" i="15"/>
  <c r="AS174" i="15"/>
  <c r="AR253" i="15"/>
  <c r="AR177" i="15"/>
  <c r="AR252" i="15"/>
  <c r="AR176" i="15"/>
  <c r="AC74" i="15"/>
  <c r="AB76" i="15"/>
  <c r="AT174" i="15"/>
  <c r="AT250" i="15"/>
  <c r="AS252" i="15"/>
  <c r="AT72" i="15"/>
  <c r="AS176" i="15"/>
  <c r="AS177" i="15"/>
  <c r="AS253" i="15"/>
  <c r="AD74" i="15"/>
  <c r="AC76" i="15"/>
  <c r="AT176" i="15"/>
  <c r="AT252" i="15"/>
  <c r="AT73" i="15"/>
  <c r="AD76" i="15"/>
  <c r="AE74" i="15"/>
  <c r="AT253" i="15"/>
  <c r="AT177" i="15"/>
  <c r="AF74" i="15"/>
  <c r="AE76" i="15"/>
  <c r="AF76" i="15"/>
  <c r="AG74" i="15"/>
  <c r="AG76" i="15"/>
  <c r="AH74" i="15"/>
  <c r="AH76" i="15"/>
  <c r="AI74" i="15"/>
  <c r="AJ74" i="15"/>
  <c r="AI76" i="15"/>
  <c r="AK74" i="15"/>
  <c r="AJ76" i="15"/>
  <c r="AL74" i="15"/>
  <c r="AK76" i="15"/>
  <c r="AL76" i="15"/>
  <c r="AM74" i="15"/>
  <c r="AM76" i="15"/>
  <c r="AN74" i="15"/>
  <c r="AN76" i="15"/>
  <c r="AO74" i="15"/>
  <c r="AO76" i="15"/>
  <c r="AP74" i="15"/>
  <c r="AQ74" i="15"/>
  <c r="AP76" i="15"/>
  <c r="AQ76" i="15"/>
  <c r="AR74" i="15"/>
  <c r="AR76" i="15"/>
  <c r="AS74" i="15"/>
  <c r="AS76" i="15"/>
  <c r="AT74" i="15"/>
  <c r="AT76" i="15"/>
  <c r="AS81" i="15" l="1"/>
  <c r="AR48" i="15"/>
  <c r="AR50" i="15"/>
  <c r="AT81" i="15"/>
  <c r="AR81" i="15"/>
  <c r="M56" i="15"/>
  <c r="AU164" i="15"/>
  <c r="M190" i="15"/>
  <c r="M127" i="15"/>
  <c r="AU269" i="15"/>
  <c r="M191" i="15"/>
  <c r="AU240" i="15"/>
  <c r="M124" i="15"/>
  <c r="M193" i="15" s="1"/>
  <c r="AU121" i="15"/>
  <c r="AU168" i="15"/>
  <c r="AU244" i="15"/>
  <c r="AU86" i="15"/>
  <c r="AU140" i="15" s="1"/>
  <c r="AU213" i="15" s="1"/>
  <c r="AU70" i="15"/>
  <c r="M188" i="15"/>
  <c r="M266" i="15" s="1"/>
  <c r="M209" i="15"/>
  <c r="AU220" i="15"/>
  <c r="AU268" i="15"/>
  <c r="AU219" i="15"/>
  <c r="AU274" i="15"/>
  <c r="AU271" i="15"/>
  <c r="AU276" i="15"/>
  <c r="AU277" i="15"/>
  <c r="M130" i="15"/>
  <c r="M199" i="15" s="1"/>
  <c r="E34" i="17"/>
  <c r="F33" i="17"/>
  <c r="F31" i="17"/>
  <c r="F29" i="17"/>
  <c r="D1149" i="17"/>
  <c r="D1150" i="17" s="1"/>
  <c r="D898" i="17"/>
  <c r="D648" i="17"/>
  <c r="D498" i="17"/>
  <c r="D398" i="17"/>
  <c r="D248" i="17"/>
  <c r="D187" i="17"/>
  <c r="V105" i="15"/>
  <c r="R111" i="15"/>
  <c r="I105" i="15"/>
  <c r="AP27" i="15"/>
  <c r="AL27" i="15"/>
  <c r="AH27" i="15"/>
  <c r="Z27" i="15"/>
  <c r="T27" i="15"/>
  <c r="P27" i="15"/>
  <c r="M7" i="15"/>
  <c r="AU79" i="15"/>
  <c r="M61" i="18"/>
  <c r="M60" i="18"/>
  <c r="M59" i="18"/>
  <c r="M196" i="15" l="1"/>
  <c r="M147" i="15"/>
  <c r="AU146" i="15"/>
  <c r="AU190" i="15"/>
  <c r="M60" i="15"/>
  <c r="M160" i="15"/>
  <c r="M236" i="15"/>
  <c r="M272" i="15"/>
  <c r="M277" i="15"/>
  <c r="M271" i="15"/>
  <c r="M276" i="15"/>
  <c r="M269" i="15"/>
  <c r="M274" i="15"/>
  <c r="M268" i="15"/>
  <c r="AU174" i="15"/>
  <c r="AU250" i="15"/>
  <c r="AU72" i="15"/>
  <c r="AU73" i="15" s="1"/>
  <c r="M218" i="15"/>
  <c r="M219" i="15"/>
  <c r="M220" i="15"/>
  <c r="M62" i="18"/>
  <c r="M64" i="18" s="1"/>
  <c r="M67" i="18"/>
  <c r="M68" i="18"/>
  <c r="M69" i="18"/>
  <c r="AU95" i="15"/>
  <c r="AU135" i="15"/>
  <c r="M34" i="15"/>
  <c r="M32" i="15"/>
  <c r="M31" i="15"/>
  <c r="M33" i="15"/>
  <c r="M79" i="15"/>
  <c r="M226" i="15"/>
  <c r="M234" i="15" s="1"/>
  <c r="M153" i="15"/>
  <c r="M158" i="15" s="1"/>
  <c r="M98" i="15"/>
  <c r="M10" i="15"/>
  <c r="M30" i="15"/>
  <c r="M41" i="15"/>
  <c r="M40" i="15"/>
  <c r="M13" i="18"/>
  <c r="M53" i="15"/>
  <c r="I36" i="15"/>
  <c r="I112" i="15"/>
  <c r="I111" i="15"/>
  <c r="R183" i="15"/>
  <c r="R132" i="15"/>
  <c r="R201" i="15" s="1"/>
  <c r="R143" i="15"/>
  <c r="R216" i="15" s="1"/>
  <c r="R219" i="15" s="1"/>
  <c r="R261" i="15"/>
  <c r="R124" i="15"/>
  <c r="R193" i="15" s="1"/>
  <c r="R121" i="15"/>
  <c r="V111" i="15"/>
  <c r="V36" i="15"/>
  <c r="G33" i="17"/>
  <c r="G31" i="17"/>
  <c r="G29" i="17"/>
  <c r="M64" i="15" l="1"/>
  <c r="M240" i="15"/>
  <c r="M164" i="15"/>
  <c r="AU177" i="15"/>
  <c r="AU253" i="15"/>
  <c r="AU74" i="15"/>
  <c r="AU76" i="15" s="1"/>
  <c r="M72" i="15"/>
  <c r="AU252" i="15"/>
  <c r="AU176" i="15"/>
  <c r="V183" i="15"/>
  <c r="V132" i="15"/>
  <c r="V201" i="15" s="1"/>
  <c r="V143" i="15"/>
  <c r="V216" i="15" s="1"/>
  <c r="V219" i="15" s="1"/>
  <c r="V261" i="15"/>
  <c r="V124" i="15"/>
  <c r="V193" i="15" s="1"/>
  <c r="V121" i="15"/>
  <c r="R190" i="15"/>
  <c r="R146" i="15"/>
  <c r="R279" i="15"/>
  <c r="R268" i="15"/>
  <c r="R271" i="15"/>
  <c r="I124" i="15"/>
  <c r="I193" i="15" s="1"/>
  <c r="I121" i="15"/>
  <c r="I261" i="15"/>
  <c r="I143" i="15"/>
  <c r="I216" i="15" s="1"/>
  <c r="I219" i="15" s="1"/>
  <c r="I183" i="15"/>
  <c r="I132" i="15"/>
  <c r="I201" i="15" s="1"/>
  <c r="I262" i="15"/>
  <c r="I125" i="15"/>
  <c r="I194" i="15" s="1"/>
  <c r="I122" i="15"/>
  <c r="I142" i="15"/>
  <c r="I215" i="15" s="1"/>
  <c r="I218" i="15" s="1"/>
  <c r="I184" i="15"/>
  <c r="I117" i="15"/>
  <c r="AH112" i="15"/>
  <c r="M16" i="15"/>
  <c r="M11" i="15"/>
  <c r="M95" i="15"/>
  <c r="M135" i="15"/>
  <c r="AU208" i="15"/>
  <c r="AU210" i="15" s="1"/>
  <c r="AU137" i="15"/>
  <c r="M70" i="18"/>
  <c r="M86" i="15" l="1"/>
  <c r="M140" i="15" s="1"/>
  <c r="M213" i="15" s="1"/>
  <c r="M244" i="15"/>
  <c r="M168" i="15"/>
  <c r="M70" i="15"/>
  <c r="M176" i="15"/>
  <c r="M252" i="15"/>
  <c r="M73" i="15"/>
  <c r="M208" i="15"/>
  <c r="M210" i="15" s="1"/>
  <c r="M137" i="15"/>
  <c r="M35" i="15"/>
  <c r="M80" i="15"/>
  <c r="M44" i="15"/>
  <c r="M46" i="15" s="1"/>
  <c r="M20" i="15"/>
  <c r="D726" i="17"/>
  <c r="AH262" i="15"/>
  <c r="AH142" i="15"/>
  <c r="AH215" i="15" s="1"/>
  <c r="AH218" i="15" s="1"/>
  <c r="AH125" i="15"/>
  <c r="AH194" i="15" s="1"/>
  <c r="AH122" i="15"/>
  <c r="AH184" i="15"/>
  <c r="AH117" i="15"/>
  <c r="I191" i="15"/>
  <c r="I145" i="15"/>
  <c r="I272" i="15"/>
  <c r="I269" i="15"/>
  <c r="I279" i="15"/>
  <c r="I271" i="15"/>
  <c r="I268" i="15"/>
  <c r="I190" i="15"/>
  <c r="I146" i="15"/>
  <c r="V190" i="15"/>
  <c r="V146" i="15"/>
  <c r="V279" i="15"/>
  <c r="V268" i="15"/>
  <c r="V271" i="15"/>
  <c r="M250" i="15" l="1"/>
  <c r="M174" i="15"/>
  <c r="M253" i="15"/>
  <c r="M74" i="15"/>
  <c r="M76" i="15" s="1"/>
  <c r="M177" i="15"/>
  <c r="AH145" i="15"/>
  <c r="AH191" i="15"/>
  <c r="AH269" i="15"/>
  <c r="AH272" i="15"/>
  <c r="M38" i="15"/>
  <c r="M37" i="15"/>
  <c r="M22" i="15"/>
  <c r="M81" i="15"/>
  <c r="M48" i="15"/>
  <c r="M50" i="15"/>
  <c r="M27" i="15" l="1"/>
  <c r="M35" i="18"/>
  <c r="M8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Rishabh Saraf</author>
  </authors>
  <commentList>
    <comment ref="J6" authorId="0" shapeId="0" xr:uid="{4701CF71-2D69-4E29-BDBD-329939DC494D}">
      <text>
        <r>
          <rPr>
            <b/>
            <sz val="9"/>
            <color indexed="81"/>
            <rFont val="Tahoma"/>
            <family val="2"/>
          </rPr>
          <t>CRISIL:</t>
        </r>
        <r>
          <rPr>
            <sz val="9"/>
            <color indexed="81"/>
            <rFont val="Tahoma"/>
            <family val="2"/>
          </rPr>
          <t xml:space="preserve">
Excludes lease liabilites (from PPT)</t>
        </r>
      </text>
    </comment>
    <comment ref="D44" authorId="0" shapeId="0" xr:uid="{D1BD0232-C6CE-4ECA-AB29-1F025F165C41}">
      <text>
        <r>
          <rPr>
            <b/>
            <sz val="9"/>
            <color indexed="81"/>
            <rFont val="Tahoma"/>
            <family val="2"/>
          </rPr>
          <t>CRISIL:</t>
        </r>
        <r>
          <rPr>
            <sz val="9"/>
            <color indexed="81"/>
            <rFont val="Tahoma"/>
            <family val="2"/>
          </rPr>
          <t xml:space="preserve">
from ppt</t>
        </r>
      </text>
    </comment>
    <comment ref="J65" authorId="0" shapeId="0" xr:uid="{674DA29F-F722-4F18-A9EC-2E959A6A73BE}">
      <text>
        <r>
          <rPr>
            <b/>
            <sz val="9"/>
            <color indexed="81"/>
            <rFont val="Tahoma"/>
            <family val="2"/>
          </rPr>
          <t>CRISIL:</t>
        </r>
        <r>
          <rPr>
            <sz val="9"/>
            <color indexed="81"/>
            <rFont val="Tahoma"/>
            <family val="2"/>
          </rPr>
          <t xml:space="preserve">
Excludes lease liabilites</t>
        </r>
      </text>
    </comment>
    <comment ref="D102" authorId="0" shapeId="0" xr:uid="{BA456596-EEE7-4C88-B36F-D07F65780684}">
      <text>
        <r>
          <rPr>
            <b/>
            <sz val="9"/>
            <color indexed="81"/>
            <rFont val="Tahoma"/>
            <family val="2"/>
          </rPr>
          <t>CRISIL:</t>
        </r>
        <r>
          <rPr>
            <sz val="9"/>
            <color indexed="81"/>
            <rFont val="Tahoma"/>
            <family val="2"/>
          </rPr>
          <t xml:space="preserve">
from FS</t>
        </r>
      </text>
    </comment>
    <comment ref="D109" authorId="0" shapeId="0" xr:uid="{327977D9-AA4A-4BB7-8854-62CF190AB848}">
      <text>
        <r>
          <rPr>
            <b/>
            <sz val="9"/>
            <color indexed="81"/>
            <rFont val="Tahoma"/>
            <family val="2"/>
          </rPr>
          <t>CRISIL:</t>
        </r>
        <r>
          <rPr>
            <sz val="9"/>
            <color indexed="81"/>
            <rFont val="Tahoma"/>
            <family val="2"/>
          </rPr>
          <t xml:space="preserve">
from FS</t>
        </r>
      </text>
    </comment>
    <comment ref="D116" authorId="0" shapeId="0" xr:uid="{3BDF8CA5-AC14-4027-942D-1ECCACAD8390}">
      <text>
        <r>
          <rPr>
            <b/>
            <sz val="9"/>
            <color indexed="81"/>
            <rFont val="Tahoma"/>
            <family val="2"/>
          </rPr>
          <t>CRISIL:</t>
        </r>
        <r>
          <rPr>
            <sz val="9"/>
            <color indexed="81"/>
            <rFont val="Tahoma"/>
            <family val="2"/>
          </rPr>
          <t xml:space="preserve">
from ppt</t>
        </r>
      </text>
    </comment>
    <comment ref="J138" authorId="0" shapeId="0" xr:uid="{41332630-B407-4F82-A7CC-044A88BCD43A}">
      <text>
        <r>
          <rPr>
            <b/>
            <sz val="9"/>
            <color indexed="81"/>
            <rFont val="Tahoma"/>
            <family val="2"/>
          </rPr>
          <t>CRISIL:</t>
        </r>
        <r>
          <rPr>
            <sz val="9"/>
            <color indexed="81"/>
            <rFont val="Tahoma"/>
            <family val="2"/>
          </rPr>
          <t xml:space="preserve">
Excludes lease liabilites</t>
        </r>
      </text>
    </comment>
    <comment ref="D175" authorId="0" shapeId="0" xr:uid="{763BA143-CA10-4F07-A7A9-FEACAE0479A8}">
      <text>
        <r>
          <rPr>
            <b/>
            <sz val="9"/>
            <color indexed="81"/>
            <rFont val="Tahoma"/>
            <family val="2"/>
          </rPr>
          <t>CRISIL:</t>
        </r>
        <r>
          <rPr>
            <sz val="9"/>
            <color indexed="81"/>
            <rFont val="Tahoma"/>
            <family val="2"/>
          </rPr>
          <t xml:space="preserve">
from ppt</t>
        </r>
      </text>
    </comment>
    <comment ref="D236" authorId="0" shapeId="0" xr:uid="{BAA48F89-F9AA-4427-9639-1A02C66D66B4}">
      <text>
        <r>
          <rPr>
            <b/>
            <sz val="9"/>
            <color indexed="81"/>
            <rFont val="Tahoma"/>
            <family val="2"/>
          </rPr>
          <t>CRISIL:</t>
        </r>
        <r>
          <rPr>
            <sz val="9"/>
            <color indexed="81"/>
            <rFont val="Tahoma"/>
            <family val="2"/>
          </rPr>
          <t xml:space="preserve">
from ppt</t>
        </r>
      </text>
    </comment>
    <comment ref="D286" authorId="0" shapeId="0" xr:uid="{A87D8D77-4EDB-43AE-88F5-76629F4A4DCB}">
      <text>
        <r>
          <rPr>
            <b/>
            <sz val="9"/>
            <color indexed="81"/>
            <rFont val="Tahoma"/>
            <family val="2"/>
          </rPr>
          <t>CRISIL:</t>
        </r>
        <r>
          <rPr>
            <sz val="9"/>
            <color indexed="81"/>
            <rFont val="Tahoma"/>
            <family val="2"/>
          </rPr>
          <t xml:space="preserve">
from ppt</t>
        </r>
      </text>
    </comment>
    <comment ref="D1051" authorId="1" shapeId="0" xr:uid="{EE465D29-0BB5-4745-958F-746B4EE84D76}">
      <text>
        <r>
          <rPr>
            <b/>
            <sz val="9"/>
            <color indexed="81"/>
            <rFont val="Tahoma"/>
            <family val="2"/>
          </rPr>
          <t>Not yet available</t>
        </r>
      </text>
    </comment>
    <comment ref="D1052" authorId="1" shapeId="0" xr:uid="{8EE62251-C1B5-4DFF-B533-54C572324A74}">
      <text>
        <r>
          <rPr>
            <b/>
            <sz val="9"/>
            <color indexed="81"/>
            <rFont val="Tahoma"/>
            <family val="2"/>
          </rPr>
          <t>Not yet available</t>
        </r>
      </text>
    </comment>
    <comment ref="C1091" authorId="2" shapeId="0" xr:uid="{6E1421B9-F56A-440C-91A1-C5E9770AF890}">
      <text>
        <r>
          <rPr>
            <b/>
            <sz val="9"/>
            <color indexed="81"/>
            <rFont val="Tahoma"/>
            <family val="2"/>
          </rPr>
          <t>Rishabh Saraf:</t>
        </r>
        <r>
          <rPr>
            <sz val="9"/>
            <color indexed="81"/>
            <rFont val="Tahoma"/>
            <family val="2"/>
          </rPr>
          <t xml:space="preserve">
taken from Page 123/200 of FY19 report</t>
        </r>
      </text>
    </comment>
    <comment ref="D1102" authorId="1" shapeId="0" xr:uid="{1F135C70-8F02-4EC2-92D7-62BA6A597F00}">
      <text>
        <r>
          <rPr>
            <b/>
            <sz val="9"/>
            <color indexed="81"/>
            <rFont val="Tahoma"/>
            <family val="2"/>
          </rPr>
          <t>Due to rounding off</t>
        </r>
      </text>
    </comment>
    <comment ref="C1139" authorId="2" shapeId="0" xr:uid="{F1733BBF-2468-43EF-9293-5EE2CE6DAAF9}">
      <text>
        <r>
          <rPr>
            <b/>
            <sz val="9"/>
            <color indexed="81"/>
            <rFont val="Tahoma"/>
            <family val="2"/>
          </rPr>
          <t>Rishabh Saraf:</t>
        </r>
        <r>
          <rPr>
            <sz val="9"/>
            <color indexed="81"/>
            <rFont val="Tahoma"/>
            <family val="2"/>
          </rPr>
          <t xml:space="preserve">
taken from Page 123/200 of FY19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Rishabh Saraf</author>
    <author>Vikas Garg</author>
    <author>SAGNIK CHAKRABORTY</author>
    <author>CRISIL</author>
    <author>Crisil Intergral IQ</author>
    <author>CRISL GR&amp;RS</author>
    <author>CRISIL GR&amp;A</author>
    <author>Crisil GR&amp;A</author>
    <author>Kshitij Manish Garg</author>
  </authors>
  <commentList>
    <comment ref="B45" authorId="0" shapeId="0" xr:uid="{9D626CBE-0495-4A8F-BB2E-739203CC7290}">
      <text>
        <r>
          <rPr>
            <b/>
            <sz val="9"/>
            <color indexed="81"/>
            <rFont val="Tahoma"/>
            <family val="2"/>
          </rPr>
          <t>Rishabh Saraf:</t>
        </r>
        <r>
          <rPr>
            <sz val="9"/>
            <color indexed="81"/>
            <rFont val="Tahoma"/>
            <family val="2"/>
          </rPr>
          <t xml:space="preserve">
Includes:
* Depreciation of Property, Plant and Equipment
* Depreciation of Right-of-Use Assets
* Amortisation of Intangible Assets
* Depreciation of Biological Assets</t>
        </r>
      </text>
    </comment>
    <comment ref="AW45" authorId="0" shapeId="0" xr:uid="{C6B3AA59-E31E-4535-8F26-F391DC29D6DC}">
      <text>
        <r>
          <rPr>
            <b/>
            <sz val="9"/>
            <color indexed="81"/>
            <rFont val="Tahoma"/>
            <family val="2"/>
          </rPr>
          <t>Rishabh Saraf:</t>
        </r>
        <r>
          <rPr>
            <sz val="9"/>
            <color indexed="81"/>
            <rFont val="Tahoma"/>
            <family val="2"/>
          </rPr>
          <t xml:space="preserve">
Includes:
Depreciation of Property, Plant and Equipment
Depreciation of Right-of-Use Assets
Amortisation of Intangible Assets
Depreciation of Biological Assets</t>
        </r>
      </text>
    </comment>
    <comment ref="B51" authorId="0" shapeId="0" xr:uid="{83751D5A-F3F5-47EE-BCB3-61655F2972A8}">
      <text>
        <r>
          <rPr>
            <b/>
            <sz val="9"/>
            <color indexed="81"/>
            <rFont val="Tahoma"/>
            <family val="2"/>
          </rPr>
          <t>Rishabh Saraf:</t>
        </r>
        <r>
          <rPr>
            <sz val="9"/>
            <color indexed="81"/>
            <rFont val="Tahoma"/>
            <family val="2"/>
          </rPr>
          <t xml:space="preserve">
Taken as EBITDA reported in the press release</t>
        </r>
      </text>
    </comment>
    <comment ref="I51" authorId="1" shapeId="0" xr:uid="{5E067DC1-E5D9-42C8-86D0-0E47C8D52824}">
      <text>
        <r>
          <rPr>
            <b/>
            <sz val="9"/>
            <color indexed="81"/>
            <rFont val="Tahoma"/>
            <family val="2"/>
          </rPr>
          <t>CRISIL GR&amp;A:</t>
        </r>
        <r>
          <rPr>
            <sz val="9"/>
            <color indexed="81"/>
            <rFont val="Tahoma"/>
            <family val="2"/>
          </rPr>
          <t xml:space="preserve">
Calculated using the EBITDA to revenue ratio of 21%</t>
        </r>
      </text>
    </comment>
    <comment ref="J51" authorId="1" shapeId="0" xr:uid="{2A9029ED-9BB8-4B29-AAC8-0B0273172EBE}">
      <text>
        <r>
          <rPr>
            <b/>
            <sz val="9"/>
            <color indexed="81"/>
            <rFont val="Tahoma"/>
            <family val="2"/>
          </rPr>
          <t>CRISIL GR&amp;A:</t>
        </r>
        <r>
          <rPr>
            <sz val="9"/>
            <color indexed="81"/>
            <rFont val="Tahoma"/>
            <family val="2"/>
          </rPr>
          <t xml:space="preserve">
Calculated using the EBITDA to revenue ratio of 23%</t>
        </r>
      </text>
    </comment>
    <comment ref="K51" authorId="1" shapeId="0" xr:uid="{C75D266C-6E7F-4A62-B359-5359CD2F9BA5}">
      <text>
        <r>
          <rPr>
            <b/>
            <sz val="9"/>
            <color indexed="81"/>
            <rFont val="Tahoma"/>
            <family val="2"/>
          </rPr>
          <t>CRISIL GR&amp;A:</t>
        </r>
        <r>
          <rPr>
            <sz val="9"/>
            <color indexed="81"/>
            <rFont val="Tahoma"/>
            <family val="2"/>
          </rPr>
          <t xml:space="preserve">
Calculated using the EBITDA to revenue ratio of 22%</t>
        </r>
      </text>
    </comment>
    <comment ref="L51" authorId="1" shapeId="0" xr:uid="{76CAF023-6B28-41C9-B1A9-53DF74F1A93F}">
      <text>
        <r>
          <rPr>
            <b/>
            <sz val="9"/>
            <color indexed="81"/>
            <rFont val="Tahoma"/>
            <family val="2"/>
          </rPr>
          <t>CRISIL GR&amp;A:</t>
        </r>
        <r>
          <rPr>
            <sz val="9"/>
            <color indexed="81"/>
            <rFont val="Tahoma"/>
            <family val="2"/>
          </rPr>
          <t xml:space="preserve">
Calculated using the EBITDA to revenue ratio of 22% - from PPT</t>
        </r>
      </text>
    </comment>
    <comment ref="AG51" authorId="2" shapeId="0" xr:uid="{028576E1-C09C-4158-8FEF-347D1E117FAE}">
      <text>
        <r>
          <rPr>
            <b/>
            <sz val="9"/>
            <color indexed="81"/>
            <rFont val="Tahoma"/>
            <family val="2"/>
          </rPr>
          <t xml:space="preserve">CRISIL GR&amp;RS:
</t>
        </r>
        <r>
          <rPr>
            <sz val="9"/>
            <color indexed="81"/>
            <rFont val="Tahoma"/>
            <family val="2"/>
          </rPr>
          <t xml:space="preserve">Calculated based on EBITDA margin of last quarter as press release for the quarter isn't released yet. </t>
        </r>
        <r>
          <rPr>
            <sz val="9"/>
            <color indexed="81"/>
            <rFont val="Tahoma"/>
            <family val="2"/>
          </rPr>
          <t xml:space="preserve">
</t>
        </r>
      </text>
    </comment>
    <comment ref="AM51" authorId="1" shapeId="0" xr:uid="{C75C0FBC-5731-45C0-B189-308FC747A9C0}">
      <text>
        <r>
          <rPr>
            <b/>
            <sz val="9"/>
            <color indexed="81"/>
            <rFont val="Tahoma"/>
            <family val="2"/>
          </rPr>
          <t>CRISIL GR&amp;A:</t>
        </r>
        <r>
          <rPr>
            <sz val="9"/>
            <color indexed="81"/>
            <rFont val="Tahoma"/>
            <family val="2"/>
          </rPr>
          <t xml:space="preserve">
Calculated using the EBITDA to revenue ratio of 22%</t>
        </r>
      </text>
    </comment>
    <comment ref="AN51" authorId="1" shapeId="0" xr:uid="{05EC93A6-DB25-4EB1-887A-A74C632B988D}">
      <text>
        <r>
          <rPr>
            <b/>
            <sz val="9"/>
            <color indexed="81"/>
            <rFont val="Tahoma"/>
            <family val="2"/>
          </rPr>
          <t>CRISIL GR&amp;A:</t>
        </r>
        <r>
          <rPr>
            <sz val="9"/>
            <color indexed="81"/>
            <rFont val="Tahoma"/>
            <family val="2"/>
          </rPr>
          <t xml:space="preserve">
Calculated using the EBITDA to revenue ratio of 22%</t>
        </r>
      </text>
    </comment>
    <comment ref="AO51" authorId="1" shapeId="0" xr:uid="{E7ABCF30-5B98-417E-8B07-7BEE731C7C5A}">
      <text>
        <r>
          <rPr>
            <b/>
            <sz val="9"/>
            <color indexed="81"/>
            <rFont val="Tahoma"/>
            <family val="2"/>
          </rPr>
          <t>CRISIL GR&amp;A:</t>
        </r>
        <r>
          <rPr>
            <sz val="9"/>
            <color indexed="81"/>
            <rFont val="Tahoma"/>
            <family val="2"/>
          </rPr>
          <t xml:space="preserve">
Calculated using the EBITDA to revenue ratio of 22%</t>
        </r>
      </text>
    </comment>
    <comment ref="AQ51" authorId="1" shapeId="0" xr:uid="{FB7ADEE8-0A67-4288-B805-96EE85FDBA96}">
      <text>
        <r>
          <rPr>
            <b/>
            <sz val="9"/>
            <color indexed="81"/>
            <rFont val="Tahoma"/>
            <family val="2"/>
          </rPr>
          <t>CRISIL GR&amp;A:</t>
        </r>
        <r>
          <rPr>
            <sz val="9"/>
            <color indexed="81"/>
            <rFont val="Tahoma"/>
            <family val="2"/>
          </rPr>
          <t xml:space="preserve">
from PPT: Calculated using the EBITDA to revenue ratio of 22%</t>
        </r>
      </text>
    </comment>
    <comment ref="AR51" authorId="1" shapeId="0" xr:uid="{3222241D-7258-4483-AF21-A93F209F2812}">
      <text>
        <r>
          <rPr>
            <b/>
            <sz val="9"/>
            <color indexed="81"/>
            <rFont val="Tahoma"/>
            <family val="2"/>
          </rPr>
          <t>CRISIL GR&amp;A:</t>
        </r>
        <r>
          <rPr>
            <sz val="9"/>
            <color indexed="81"/>
            <rFont val="Tahoma"/>
            <family val="2"/>
          </rPr>
          <t xml:space="preserve">
Calculated using the EBITDA to revenue ratio of 22% from PPT</t>
        </r>
      </text>
    </comment>
    <comment ref="AS51" authorId="1" shapeId="0" xr:uid="{20483F35-B3F9-4AE1-A1B5-9B44569A0A2A}">
      <text>
        <r>
          <rPr>
            <b/>
            <sz val="9"/>
            <color indexed="81"/>
            <rFont val="Tahoma"/>
            <family val="2"/>
          </rPr>
          <t>CRISIL GR&amp;A:</t>
        </r>
        <r>
          <rPr>
            <sz val="9"/>
            <color indexed="81"/>
            <rFont val="Tahoma"/>
            <family val="2"/>
          </rPr>
          <t xml:space="preserve">
Calculated using the EBITDA to revenue ratio of 22%</t>
        </r>
      </text>
    </comment>
    <comment ref="AU51" authorId="1" shapeId="0" xr:uid="{3BA331C7-F29C-4F7E-AF0F-70D5946B30DC}">
      <text>
        <r>
          <rPr>
            <b/>
            <sz val="9"/>
            <color indexed="81"/>
            <rFont val="Tahoma"/>
            <family val="2"/>
          </rPr>
          <t>CRISIL GR&amp;A:</t>
        </r>
        <r>
          <rPr>
            <sz val="9"/>
            <color indexed="81"/>
            <rFont val="Tahoma"/>
            <family val="2"/>
          </rPr>
          <t xml:space="preserve">
from PPT: Calculated using the EBITDA to revenue ratio of 22%</t>
        </r>
      </text>
    </comment>
    <comment ref="B57" authorId="3" shapeId="0" xr:uid="{425C57F4-1429-4B65-9E22-6B750EA38075}">
      <text>
        <r>
          <rPr>
            <b/>
            <sz val="9"/>
            <color indexed="81"/>
            <rFont val="Tahoma"/>
            <family val="2"/>
          </rPr>
          <t>CRISIL:</t>
        </r>
        <r>
          <rPr>
            <sz val="9"/>
            <color indexed="81"/>
            <rFont val="Tahoma"/>
            <family val="2"/>
          </rPr>
          <t xml:space="preserve">
Reported by company, includes:
* Inventories
* Logical Assets
* Trade Receivables , Prepayments and Other Receivables
* Trade and Other Payables</t>
        </r>
      </text>
    </comment>
    <comment ref="H57" authorId="1" shapeId="0" xr:uid="{C0DAE62B-DB5B-45FC-8B82-5066845807BB}">
      <text>
        <r>
          <rPr>
            <b/>
            <sz val="9"/>
            <color indexed="81"/>
            <rFont val="Tahoma"/>
            <family val="2"/>
          </rPr>
          <t>CRISIL GR&amp;A:</t>
        </r>
        <r>
          <rPr>
            <sz val="9"/>
            <color indexed="81"/>
            <rFont val="Tahoma"/>
            <family val="2"/>
          </rPr>
          <t xml:space="preserve">
before restatement amount was 2304.663-1978.985-55.531+358.167=628.3</t>
        </r>
      </text>
    </comment>
    <comment ref="B61" authorId="0" shapeId="0" xr:uid="{11C915C2-4545-443A-98AC-69F007355603}">
      <text>
        <r>
          <rPr>
            <b/>
            <sz val="9"/>
            <color indexed="81"/>
            <rFont val="Tahoma"/>
            <family val="2"/>
          </rPr>
          <t>CRISIL:</t>
        </r>
        <r>
          <rPr>
            <sz val="9"/>
            <color indexed="81"/>
            <rFont val="Tahoma"/>
            <family val="2"/>
          </rPr>
          <t xml:space="preserve">
Includes:
1. Additions to Property, Plant and Equipment
2. Proceeds from the Disposal of Property, Plant and Equipment
3. Additions to Biological Assets
4. Appreciation of Biological Assets
5. Proceeds from the Disposal of Biological Assets</t>
        </r>
      </text>
    </comment>
    <comment ref="AW61" authorId="0" shapeId="0" xr:uid="{5ABAC2B8-4463-49A3-B216-4AD44AC1A87B}">
      <text>
        <r>
          <rPr>
            <b/>
            <sz val="9"/>
            <color indexed="81"/>
            <rFont val="Tahoma"/>
            <family val="2"/>
          </rPr>
          <t>Rishabh Saraf:</t>
        </r>
        <r>
          <rPr>
            <sz val="9"/>
            <color indexed="81"/>
            <rFont val="Tahoma"/>
            <family val="2"/>
          </rPr>
          <t xml:space="preserve">
Includes:
Additions to Property, Plant and Equipment
Proceeds from the Disposal of Property, Plant and Equipment
Additions to Biological Assets
Appreciation of Biological Assets
Proceeds from the Disposal of Biological Assets</t>
        </r>
      </text>
    </comment>
    <comment ref="B63" authorId="0" shapeId="0" xr:uid="{DA6B24B1-8934-4BD2-A589-3CA5D6554A6F}">
      <text>
        <r>
          <rPr>
            <b/>
            <sz val="9"/>
            <color indexed="81"/>
            <rFont val="Tahoma"/>
            <family val="2"/>
          </rPr>
          <t>CRISIL:</t>
        </r>
        <r>
          <rPr>
            <sz val="9"/>
            <color indexed="81"/>
            <rFont val="Tahoma"/>
            <family val="2"/>
          </rPr>
          <t xml:space="preserve">
Includes:
1. Investment in Associate
2. Acquisition of Subsidiary, net of Cash Acquired
3. Acquisition of Additional Shares of a Subsidiary
4. Proceeds from Sale of Investment in Associate</t>
        </r>
      </text>
    </comment>
    <comment ref="H63" authorId="1" shapeId="0" xr:uid="{0E9DA669-B384-4351-92D4-74889906C67E}">
      <text>
        <r>
          <rPr>
            <b/>
            <sz val="9"/>
            <color indexed="81"/>
            <rFont val="Tahoma"/>
            <family val="2"/>
          </rPr>
          <t>CRISIL GR&amp;A:</t>
        </r>
        <r>
          <rPr>
            <sz val="9"/>
            <color indexed="81"/>
            <rFont val="Tahoma"/>
            <family val="2"/>
          </rPr>
          <t xml:space="preserve">
Purchase of manufacturing facility</t>
        </r>
      </text>
    </comment>
    <comment ref="I63" authorId="1" shapeId="0" xr:uid="{D401E045-B58F-43B7-B9F9-5F9C01662F6A}">
      <text>
        <r>
          <rPr>
            <b/>
            <sz val="9"/>
            <color indexed="81"/>
            <rFont val="Tahoma"/>
            <family val="2"/>
          </rPr>
          <t>CRISIL GR&amp;A:</t>
        </r>
        <r>
          <rPr>
            <sz val="9"/>
            <color indexed="81"/>
            <rFont val="Tahoma"/>
            <family val="2"/>
          </rPr>
          <t xml:space="preserve">
Acquisition of subsidiary</t>
        </r>
      </text>
    </comment>
    <comment ref="AW63" authorId="0" shapeId="0" xr:uid="{3DE2E0EC-545E-4AA3-A8A9-53E61ABC0498}">
      <text>
        <r>
          <rPr>
            <b/>
            <sz val="9"/>
            <color indexed="81"/>
            <rFont val="Tahoma"/>
            <family val="2"/>
          </rPr>
          <t>Rishabh Saraf:</t>
        </r>
        <r>
          <rPr>
            <sz val="9"/>
            <color indexed="81"/>
            <rFont val="Tahoma"/>
            <family val="2"/>
          </rPr>
          <t xml:space="preserve">
Includes:
Investment in Associate
Acquisition of Subsidiary, net of Cash Acquired
Acquisition of Additional Shares of a Subsidiary
Proceeds from Sale of Investment in Associate</t>
        </r>
      </text>
    </comment>
    <comment ref="K65" authorId="4" shapeId="0" xr:uid="{A32926D9-FA70-45E0-B16A-91354F56548A}">
      <text>
        <r>
          <rPr>
            <b/>
            <sz val="9"/>
            <color indexed="81"/>
            <rFont val="Tahoma"/>
            <family val="2"/>
          </rPr>
          <t>Crisil Intergral IQ:</t>
        </r>
        <r>
          <rPr>
            <sz val="9"/>
            <color indexed="81"/>
            <rFont val="Tahoma"/>
            <family val="2"/>
          </rPr>
          <t xml:space="preserve">
includes:
- Redemption / (Investment) in Time Deposit
- Additions in Long-term Prepayments
- Purchase of Warehouse Facilities</t>
        </r>
      </text>
    </comment>
    <comment ref="L65" authorId="4" shapeId="0" xr:uid="{E16E4B12-ACDE-4199-A912-12D20D788B05}">
      <text>
        <r>
          <rPr>
            <b/>
            <sz val="9"/>
            <color indexed="81"/>
            <rFont val="Tahoma"/>
            <family val="2"/>
          </rPr>
          <t>Crisil Intergral IQ:</t>
        </r>
        <r>
          <rPr>
            <sz val="9"/>
            <color indexed="81"/>
            <rFont val="Tahoma"/>
            <family val="2"/>
          </rPr>
          <t xml:space="preserve">
includes:
* Additions in Long-term Prepayments: (1.176)
* Proceeds from Sale of Equity Investment: 99.242</t>
        </r>
      </text>
    </comment>
    <comment ref="O65" authorId="0" shapeId="0" xr:uid="{0AE87ED2-344D-47F5-ADA9-94AAFA2EC881}">
      <text>
        <r>
          <rPr>
            <b/>
            <sz val="9"/>
            <color indexed="81"/>
            <rFont val="Tahoma"/>
            <family val="2"/>
          </rPr>
          <t>Rishabh Saraf:</t>
        </r>
        <r>
          <rPr>
            <sz val="9"/>
            <color indexed="81"/>
            <rFont val="Tahoma"/>
            <family val="2"/>
          </rPr>
          <t xml:space="preserve">
Repayment of loan - Associate</t>
        </r>
      </text>
    </comment>
    <comment ref="AS65" authorId="3" shapeId="0" xr:uid="{93F4F4ED-E444-420F-BA1F-5A4B538BE821}">
      <text>
        <r>
          <rPr>
            <b/>
            <sz val="9"/>
            <color indexed="81"/>
            <rFont val="Tahoma"/>
            <family val="2"/>
          </rPr>
          <t>CRISIL:</t>
        </r>
        <r>
          <rPr>
            <sz val="9"/>
            <color indexed="81"/>
            <rFont val="Tahoma"/>
            <family val="2"/>
          </rPr>
          <t xml:space="preserve">
Includes:
1. Additions in Long-term Prepayments: 1.175</t>
        </r>
      </text>
    </comment>
    <comment ref="B68" authorId="0" shapeId="0" xr:uid="{EBE8A751-DC07-462E-89F4-DBD55E06D080}">
      <text>
        <r>
          <rPr>
            <b/>
            <sz val="9"/>
            <color indexed="81"/>
            <rFont val="Tahoma"/>
            <family val="2"/>
          </rPr>
          <t>CRISIL:</t>
        </r>
        <r>
          <rPr>
            <sz val="9"/>
            <color indexed="81"/>
            <rFont val="Tahoma"/>
            <family val="2"/>
          </rPr>
          <t xml:space="preserve">
1. Proceeds from Loans and Borrowings
2. Repayment of Loans and Borrowings
3. Repayment of Perpetual Sukuk
4. Lease Payments</t>
        </r>
      </text>
    </comment>
    <comment ref="AW68" authorId="0" shapeId="0" xr:uid="{7287D6FF-38B8-41ED-A831-1E07130456F7}">
      <text>
        <r>
          <rPr>
            <b/>
            <sz val="9"/>
            <color indexed="81"/>
            <rFont val="Tahoma"/>
            <family val="2"/>
          </rPr>
          <t>Rishabh Saraf:</t>
        </r>
        <r>
          <rPr>
            <sz val="9"/>
            <color indexed="81"/>
            <rFont val="Tahoma"/>
            <family val="2"/>
          </rPr>
          <t xml:space="preserve">
Proceeds from Loans and Borrowings
Repayment of Loans and Borrowings
Repayment of Perpetual Sukuk
Lease Payments</t>
        </r>
      </text>
    </comment>
    <comment ref="B69" authorId="0" shapeId="0" xr:uid="{B4CFE259-B17C-4395-BDF4-C0D7105058F3}">
      <text>
        <r>
          <rPr>
            <b/>
            <sz val="9"/>
            <color indexed="81"/>
            <rFont val="Tahoma"/>
            <family val="2"/>
          </rPr>
          <t>CRISIL:</t>
        </r>
        <r>
          <rPr>
            <sz val="9"/>
            <color indexed="81"/>
            <rFont val="Tahoma"/>
            <family val="2"/>
          </rPr>
          <t xml:space="preserve">
1. Transactions with Non Controlling Interests
2. Payment of Profit on Perpetual Sukuk
Director’s Remuneration</t>
        </r>
      </text>
    </comment>
    <comment ref="H69" authorId="1" shapeId="0" xr:uid="{15AE91C0-56D3-46A9-89D6-09FC07D7EC69}">
      <text>
        <r>
          <rPr>
            <b/>
            <sz val="9"/>
            <color indexed="81"/>
            <rFont val="Tahoma"/>
            <family val="2"/>
          </rPr>
          <t>CRISIL GR&amp;A:</t>
        </r>
        <r>
          <rPr>
            <sz val="9"/>
            <color indexed="81"/>
            <rFont val="Tahoma"/>
            <family val="2"/>
          </rPr>
          <t xml:space="preserve">
Includes purchase of additional stake in subsidiary
</t>
        </r>
      </text>
    </comment>
    <comment ref="I69" authorId="1" shapeId="0" xr:uid="{CC54B85B-AFF0-4165-86F3-0E3E84AB799D}">
      <text>
        <r>
          <rPr>
            <b/>
            <sz val="9"/>
            <color indexed="81"/>
            <rFont val="Tahoma"/>
            <family val="2"/>
          </rPr>
          <t>CRISIL GR&amp;A:</t>
        </r>
        <r>
          <rPr>
            <sz val="9"/>
            <color indexed="81"/>
            <rFont val="Tahoma"/>
            <family val="2"/>
          </rPr>
          <t xml:space="preserve">
Includes purchase of additional stake in subsidiary
</t>
        </r>
      </text>
    </comment>
    <comment ref="J69" authorId="1" shapeId="0" xr:uid="{2E487D2C-2232-43D6-BDA2-1D9DEBBC3B3D}">
      <text>
        <r>
          <rPr>
            <b/>
            <sz val="9"/>
            <color indexed="81"/>
            <rFont val="Tahoma"/>
            <family val="2"/>
          </rPr>
          <t>CRISIL GR&amp;A:</t>
        </r>
        <r>
          <rPr>
            <sz val="9"/>
            <color indexed="81"/>
            <rFont val="Tahoma"/>
            <family val="2"/>
          </rPr>
          <t xml:space="preserve">
Includes purchase of additional stake in subsidiary
</t>
        </r>
      </text>
    </comment>
    <comment ref="L69" authorId="4" shapeId="0" xr:uid="{4519ED21-63B9-4BA1-80AA-1BBE018CB5D3}">
      <text>
        <r>
          <rPr>
            <b/>
            <sz val="9"/>
            <color indexed="81"/>
            <rFont val="Tahoma"/>
            <family val="2"/>
          </rPr>
          <t>Crisil Intergral IQ:</t>
        </r>
        <r>
          <rPr>
            <sz val="9"/>
            <color indexed="81"/>
            <rFont val="Tahoma"/>
            <family val="2"/>
          </rPr>
          <t xml:space="preserve">
includes:
* Director's remuneration
* Transactions with Non-Controlling Interests</t>
        </r>
      </text>
    </comment>
    <comment ref="AS69" authorId="3" shapeId="0" xr:uid="{975D6E03-7A81-4BD3-B1FA-2C2729B4FB80}">
      <text>
        <r>
          <rPr>
            <b/>
            <sz val="9"/>
            <color indexed="81"/>
            <rFont val="Tahoma"/>
            <family val="2"/>
          </rPr>
          <t>CRISIL:</t>
        </r>
        <r>
          <rPr>
            <sz val="9"/>
            <color indexed="81"/>
            <rFont val="Tahoma"/>
            <family val="2"/>
          </rPr>
          <t xml:space="preserve">
Includes:
1. Interest element of lease payments: 3.554
2. Director's remuneration: 7.390</t>
        </r>
      </text>
    </comment>
    <comment ref="AW69" authorId="0" shapeId="0" xr:uid="{6C00E084-32BD-410D-9B17-E442C1BCC45C}">
      <text>
        <r>
          <rPr>
            <b/>
            <sz val="9"/>
            <color indexed="81"/>
            <rFont val="Tahoma"/>
            <family val="2"/>
          </rPr>
          <t>Rishabh Saraf:</t>
        </r>
        <r>
          <rPr>
            <sz val="9"/>
            <color indexed="81"/>
            <rFont val="Tahoma"/>
            <family val="2"/>
          </rPr>
          <t xml:space="preserve">
Transactions with Non Controlling Interests
Payment of Profit on Perpetual Sukuk
Director’s Remuneration</t>
        </r>
      </text>
    </comment>
    <comment ref="K72" authorId="5" shapeId="0" xr:uid="{D69533E7-DF98-476B-9DFE-12AC44AF654E}">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L72" authorId="5" shapeId="0" xr:uid="{2D1DC3B0-A853-43E6-8EFB-B59DA6C9A94B}">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 and other adjustments, majorly:
* Provision for employee retirement benefits: 222.699</t>
        </r>
      </text>
    </comment>
    <comment ref="AI72" authorId="5" shapeId="0" xr:uid="{7C48C59B-51E8-42A8-8486-790E7B321E91}">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AM72" authorId="5" shapeId="0" xr:uid="{2F3E3631-8931-4202-91C5-BA12BC32FE28}">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AQ72" authorId="5" shapeId="0" xr:uid="{0B2BDD9F-EECD-4BC4-8650-228CAC2F933C}">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AR72" authorId="5" shapeId="0" xr:uid="{6A0809E3-3F1B-4E1C-90D2-D904B8708301}">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AS72" authorId="5" shapeId="0" xr:uid="{31EAD9BE-F61F-4EF0-9D03-78C8BFE56147}">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AU72" authorId="5" shapeId="0" xr:uid="{E5E65FA5-E8AC-4B80-BDFC-4BF0D731BB1B}">
      <text>
        <r>
          <rPr>
            <b/>
            <sz val="9"/>
            <color indexed="81"/>
            <rFont val="Tahoma"/>
            <family val="2"/>
          </rPr>
          <t>CRISL GR&amp;RS:</t>
        </r>
        <r>
          <rPr>
            <sz val="9"/>
            <color indexed="81"/>
            <rFont val="Tahoma"/>
            <family val="2"/>
          </rPr>
          <t xml:space="preserve">
High balancing figure due to the difference between adjusted EBITDA taken as % of revenue as reported and operating profit before WC changes reported in financial statements</t>
        </r>
      </text>
    </comment>
    <comment ref="H74" authorId="6" shapeId="0" xr:uid="{076CF4FB-6B48-43D9-9D17-5766E39CBD92}">
      <text>
        <r>
          <rPr>
            <b/>
            <sz val="9"/>
            <color indexed="81"/>
            <rFont val="Tahoma"/>
            <family val="2"/>
          </rPr>
          <t>CRISIL GR&amp;A:</t>
        </r>
        <r>
          <rPr>
            <sz val="9"/>
            <color indexed="81"/>
            <rFont val="Tahoma"/>
            <family val="2"/>
          </rPr>
          <t xml:space="preserve">
inclusive of bank overdraft (as per company filing)</t>
        </r>
      </text>
    </comment>
    <comment ref="AD74" authorId="6" shapeId="0" xr:uid="{DEDE99FB-887B-4F14-9874-23CA3703AF2E}">
      <text>
        <r>
          <rPr>
            <b/>
            <sz val="9"/>
            <color indexed="81"/>
            <rFont val="Tahoma"/>
            <family val="2"/>
          </rPr>
          <t>CRISIL GR&amp;A:</t>
        </r>
        <r>
          <rPr>
            <sz val="9"/>
            <color indexed="81"/>
            <rFont val="Tahoma"/>
            <family val="2"/>
          </rPr>
          <t xml:space="preserve">
inclusive of bank overdraft (as per company filing)</t>
        </r>
      </text>
    </comment>
    <comment ref="AH74" authorId="6" shapeId="0" xr:uid="{FD525CE9-0B5F-4271-AB29-E2FB77B0AE8A}">
      <text>
        <r>
          <rPr>
            <b/>
            <sz val="9"/>
            <color indexed="81"/>
            <rFont val="Tahoma"/>
            <family val="2"/>
          </rPr>
          <t>CRISIL GR&amp;A:</t>
        </r>
        <r>
          <rPr>
            <sz val="9"/>
            <color indexed="81"/>
            <rFont val="Tahoma"/>
            <family val="2"/>
          </rPr>
          <t xml:space="preserve">
inclusive of bank overdraft (as per company filing)</t>
        </r>
      </text>
    </comment>
    <comment ref="AL74" authorId="6" shapeId="0" xr:uid="{0E3ED930-3860-4370-BD12-FDCF5C1535A8}">
      <text>
        <r>
          <rPr>
            <b/>
            <sz val="9"/>
            <color indexed="81"/>
            <rFont val="Tahoma"/>
            <family val="2"/>
          </rPr>
          <t>CRISIL GR&amp;A:</t>
        </r>
        <r>
          <rPr>
            <sz val="9"/>
            <color indexed="81"/>
            <rFont val="Tahoma"/>
            <family val="2"/>
          </rPr>
          <t xml:space="preserve">
inclusive of bank overdraft (as per company filing)</t>
        </r>
      </text>
    </comment>
    <comment ref="B76" authorId="0" shapeId="0" xr:uid="{DFBF941D-E309-4370-AE29-22A2374B5B27}">
      <text>
        <r>
          <rPr>
            <b/>
            <sz val="9"/>
            <color indexed="81"/>
            <rFont val="Tahoma"/>
            <family val="2"/>
          </rPr>
          <t>CRISIL:</t>
        </r>
        <r>
          <rPr>
            <sz val="9"/>
            <color indexed="81"/>
            <rFont val="Tahoma"/>
            <family val="2"/>
          </rPr>
          <t xml:space="preserve">
The above cash exclude bank overdrafts which balance sheet cash includes it. We have removed overdrafts from balance sheet cash to check cash flow ending cash number.</t>
        </r>
      </text>
    </comment>
    <comment ref="B90" authorId="0" shapeId="0" xr:uid="{526395E3-20F6-479E-9FC9-31BDDDFC9170}">
      <text>
        <r>
          <rPr>
            <b/>
            <sz val="9"/>
            <color indexed="81"/>
            <rFont val="Tahoma"/>
            <family val="2"/>
          </rPr>
          <t>CRISIL:</t>
        </r>
        <r>
          <rPr>
            <sz val="9"/>
            <color indexed="81"/>
            <rFont val="Tahoma"/>
            <family val="2"/>
          </rPr>
          <t xml:space="preserve">
Includes:
1. Property, Plant and Equipment
2. Right-of-Use Assets
3. Non current portion of Biological Assets</t>
        </r>
      </text>
    </comment>
    <comment ref="S90" authorId="7" shapeId="0" xr:uid="{0D0F66E0-2736-45A2-A211-0DA792E0921D}">
      <text>
        <r>
          <rPr>
            <b/>
            <sz val="9"/>
            <color indexed="81"/>
            <rFont val="Tahoma"/>
            <family val="2"/>
          </rPr>
          <t>Crisil GR&amp;A:</t>
        </r>
        <r>
          <rPr>
            <sz val="9"/>
            <color indexed="81"/>
            <rFont val="Tahoma"/>
            <family val="2"/>
          </rPr>
          <t xml:space="preserve">
Also includes right of use assets as per new accounting standard</t>
        </r>
      </text>
    </comment>
    <comment ref="T90" authorId="7" shapeId="0" xr:uid="{8E13D02F-0B97-4657-A28B-ABF502534343}">
      <text>
        <r>
          <rPr>
            <b/>
            <sz val="9"/>
            <color indexed="81"/>
            <rFont val="Tahoma"/>
            <family val="2"/>
          </rPr>
          <t>Crisil GR&amp;A:</t>
        </r>
        <r>
          <rPr>
            <sz val="9"/>
            <color indexed="81"/>
            <rFont val="Tahoma"/>
            <family val="2"/>
          </rPr>
          <t xml:space="preserve">
Also includes right of use assets as per new accounting standard</t>
        </r>
      </text>
    </comment>
    <comment ref="U90" authorId="7" shapeId="0" xr:uid="{843FDFE5-25DD-4FD1-B107-9834B7D64D0D}">
      <text>
        <r>
          <rPr>
            <b/>
            <sz val="9"/>
            <color indexed="81"/>
            <rFont val="Tahoma"/>
            <family val="2"/>
          </rPr>
          <t>Crisil GR&amp;A:</t>
        </r>
        <r>
          <rPr>
            <sz val="9"/>
            <color indexed="81"/>
            <rFont val="Tahoma"/>
            <family val="2"/>
          </rPr>
          <t xml:space="preserve">
Also includes right of use assets as per new accounting standard</t>
        </r>
      </text>
    </comment>
    <comment ref="V90" authorId="7" shapeId="0" xr:uid="{3404B073-CFA2-4916-B524-46C8D6B75C46}">
      <text>
        <r>
          <rPr>
            <b/>
            <sz val="9"/>
            <color indexed="81"/>
            <rFont val="Tahoma"/>
            <family val="2"/>
          </rPr>
          <t>Crisil GR&amp;A:</t>
        </r>
        <r>
          <rPr>
            <sz val="9"/>
            <color indexed="81"/>
            <rFont val="Tahoma"/>
            <family val="2"/>
          </rPr>
          <t xml:space="preserve">
Also includes right of use assets as per new accounting standard</t>
        </r>
      </text>
    </comment>
    <comment ref="W90" authorId="0" shapeId="0" xr:uid="{4B7060B2-7590-4D3E-9334-00CA16D68904}">
      <text>
        <r>
          <rPr>
            <b/>
            <sz val="9"/>
            <color indexed="81"/>
            <rFont val="Tahoma"/>
            <family val="2"/>
          </rPr>
          <t>Rishabh Saraf:</t>
        </r>
        <r>
          <rPr>
            <sz val="9"/>
            <color indexed="81"/>
            <rFont val="Tahoma"/>
            <family val="2"/>
          </rPr>
          <t xml:space="preserve">
Includes:
Property, Plant and Equipment
Right-of-Use Assets
Non current portion of Biological Assets</t>
        </r>
      </text>
    </comment>
    <comment ref="X90" authorId="7" shapeId="0" xr:uid="{7B4F0EB0-B062-47D4-8A02-B1725C5AF0C1}">
      <text>
        <r>
          <rPr>
            <b/>
            <sz val="9"/>
            <color indexed="81"/>
            <rFont val="Tahoma"/>
            <family val="2"/>
          </rPr>
          <t>Crisil GR&amp;A:</t>
        </r>
        <r>
          <rPr>
            <sz val="9"/>
            <color indexed="81"/>
            <rFont val="Tahoma"/>
            <family val="2"/>
          </rPr>
          <t xml:space="preserve">
Also includes right of use assets as per new accounting standard</t>
        </r>
      </text>
    </comment>
    <comment ref="Y90" authorId="7" shapeId="0" xr:uid="{46CE0A56-5641-4303-A446-DBC21DD55A35}">
      <text>
        <r>
          <rPr>
            <b/>
            <sz val="9"/>
            <color indexed="81"/>
            <rFont val="Tahoma"/>
            <family val="2"/>
          </rPr>
          <t>Crisil GR&amp;A:</t>
        </r>
        <r>
          <rPr>
            <sz val="9"/>
            <color indexed="81"/>
            <rFont val="Tahoma"/>
            <family val="2"/>
          </rPr>
          <t xml:space="preserve">
Also includes right of use assets as per new accounting standard</t>
        </r>
      </text>
    </comment>
    <comment ref="Z90" authorId="7" shapeId="0" xr:uid="{A8DE043C-30F3-4D0B-8C84-3A822E609BC4}">
      <text>
        <r>
          <rPr>
            <b/>
            <sz val="9"/>
            <color indexed="81"/>
            <rFont val="Tahoma"/>
            <family val="2"/>
          </rPr>
          <t>Crisil GR&amp;A:</t>
        </r>
        <r>
          <rPr>
            <sz val="9"/>
            <color indexed="81"/>
            <rFont val="Tahoma"/>
            <family val="2"/>
          </rPr>
          <t xml:space="preserve">
Also includes right of use assets as per new accounting standard</t>
        </r>
      </text>
    </comment>
    <comment ref="AA90" authorId="0" shapeId="0" xr:uid="{89A6E8B5-87A5-4FD6-951D-F8FD5377C6D0}">
      <text>
        <r>
          <rPr>
            <b/>
            <sz val="9"/>
            <color indexed="81"/>
            <rFont val="Tahoma"/>
            <family val="2"/>
          </rPr>
          <t>Rishabh Saraf:</t>
        </r>
        <r>
          <rPr>
            <sz val="9"/>
            <color indexed="81"/>
            <rFont val="Tahoma"/>
            <family val="2"/>
          </rPr>
          <t xml:space="preserve">
Includes:
Property, Plant and Equipment
Right-of-Use Assets
Non current portion of Biological Assets</t>
        </r>
      </text>
    </comment>
    <comment ref="AB90" authorId="7" shapeId="0" xr:uid="{C9ECDE83-84DC-4197-B172-F5A7CB2B97BF}">
      <text>
        <r>
          <rPr>
            <b/>
            <sz val="9"/>
            <color indexed="81"/>
            <rFont val="Tahoma"/>
            <family val="2"/>
          </rPr>
          <t>Crisil GR&amp;A:</t>
        </r>
        <r>
          <rPr>
            <sz val="9"/>
            <color indexed="81"/>
            <rFont val="Tahoma"/>
            <family val="2"/>
          </rPr>
          <t xml:space="preserve">
Also includes right of use assets as per new accounting standard</t>
        </r>
      </text>
    </comment>
    <comment ref="AC90" authorId="7" shapeId="0" xr:uid="{8A398721-4680-4F8E-8F96-6A906E2ACAAB}">
      <text>
        <r>
          <rPr>
            <b/>
            <sz val="9"/>
            <color indexed="81"/>
            <rFont val="Tahoma"/>
            <family val="2"/>
          </rPr>
          <t>Crisil GR&amp;A:</t>
        </r>
        <r>
          <rPr>
            <sz val="9"/>
            <color indexed="81"/>
            <rFont val="Tahoma"/>
            <family val="2"/>
          </rPr>
          <t xml:space="preserve">
Also includes right of use assets as per new accounting standard</t>
        </r>
      </text>
    </comment>
    <comment ref="AD90" authorId="7" shapeId="0" xr:uid="{3CCAED7C-7D34-4EEB-ACE3-F2840DB612D4}">
      <text>
        <r>
          <rPr>
            <b/>
            <sz val="9"/>
            <color indexed="81"/>
            <rFont val="Tahoma"/>
            <family val="2"/>
          </rPr>
          <t>Crisil GR&amp;A:</t>
        </r>
        <r>
          <rPr>
            <sz val="9"/>
            <color indexed="81"/>
            <rFont val="Tahoma"/>
            <family val="2"/>
          </rPr>
          <t xml:space="preserve">
Also includes right of use assets as per new accounting standard</t>
        </r>
      </text>
    </comment>
    <comment ref="AE90" authorId="8" shapeId="0" xr:uid="{4A851F65-CEF0-434E-94B8-A08073249C1A}">
      <text>
        <r>
          <rPr>
            <b/>
            <sz val="9"/>
            <color indexed="81"/>
            <rFont val="Tahoma"/>
            <family val="2"/>
          </rPr>
          <t>Crisil GR&amp;A:</t>
        </r>
        <r>
          <rPr>
            <sz val="9"/>
            <color indexed="81"/>
            <rFont val="Tahoma"/>
            <family val="2"/>
          </rPr>
          <t xml:space="preserve">
Includes PPE, Right to use assets and non current portion of biological assets
</t>
        </r>
      </text>
    </comment>
    <comment ref="AF90" authorId="7" shapeId="0" xr:uid="{8F870A36-B7EC-460F-AE1E-CA9419CFDC4A}">
      <text>
        <r>
          <rPr>
            <b/>
            <sz val="9"/>
            <color indexed="81"/>
            <rFont val="Tahoma"/>
            <family val="2"/>
          </rPr>
          <t>Crisil GR&amp;A:</t>
        </r>
        <r>
          <rPr>
            <sz val="9"/>
            <color indexed="81"/>
            <rFont val="Tahoma"/>
            <family val="2"/>
          </rPr>
          <t xml:space="preserve">
Also includes right of use assets as per new accounting standard</t>
        </r>
      </text>
    </comment>
    <comment ref="AG90" authorId="8" shapeId="0" xr:uid="{9EA0CAB3-5C7D-4914-8C66-AF8409F1E469}">
      <text>
        <r>
          <rPr>
            <b/>
            <sz val="9"/>
            <color indexed="81"/>
            <rFont val="Tahoma"/>
            <family val="2"/>
          </rPr>
          <t xml:space="preserve">Crisil GR&amp;A:
</t>
        </r>
        <r>
          <rPr>
            <sz val="9"/>
            <color indexed="81"/>
            <rFont val="Tahoma"/>
            <family val="2"/>
          </rPr>
          <t>Also includes right of use assets as per new accounting standard</t>
        </r>
        <r>
          <rPr>
            <sz val="9"/>
            <color indexed="81"/>
            <rFont val="Tahoma"/>
            <family val="2"/>
          </rPr>
          <t xml:space="preserve">
</t>
        </r>
      </text>
    </comment>
    <comment ref="AH90" authorId="7" shapeId="0" xr:uid="{B38799B3-411A-4683-BA6A-793EDB9EBEC6}">
      <text>
        <r>
          <rPr>
            <b/>
            <sz val="9"/>
            <color indexed="81"/>
            <rFont val="Tahoma"/>
            <family val="2"/>
          </rPr>
          <t>Crisil GR&amp;A:</t>
        </r>
        <r>
          <rPr>
            <sz val="9"/>
            <color indexed="81"/>
            <rFont val="Tahoma"/>
            <family val="2"/>
          </rPr>
          <t xml:space="preserve">
Also includes right of use assets as per new accounting standard</t>
        </r>
      </text>
    </comment>
    <comment ref="AI90" authorId="8" shapeId="0" xr:uid="{575500D4-9C70-4B34-B275-8091AE2F4100}">
      <text>
        <r>
          <rPr>
            <b/>
            <sz val="9"/>
            <color indexed="81"/>
            <rFont val="Tahoma"/>
            <family val="2"/>
          </rPr>
          <t xml:space="preserve">Crisil GR&amp;A:
</t>
        </r>
        <r>
          <rPr>
            <sz val="9"/>
            <color indexed="81"/>
            <rFont val="Tahoma"/>
            <family val="2"/>
          </rPr>
          <t>Also includes right of use assets as per new accounting standard</t>
        </r>
        <r>
          <rPr>
            <sz val="9"/>
            <color indexed="81"/>
            <rFont val="Tahoma"/>
            <family val="2"/>
          </rPr>
          <t xml:space="preserve">
</t>
        </r>
      </text>
    </comment>
    <comment ref="AJ90" authorId="7" shapeId="0" xr:uid="{D4A48CAE-8EB9-40C4-AD7B-ACA17A7BA172}">
      <text>
        <r>
          <rPr>
            <b/>
            <sz val="9"/>
            <color indexed="81"/>
            <rFont val="Tahoma"/>
            <family val="2"/>
          </rPr>
          <t>Crisil GR&amp;A:</t>
        </r>
        <r>
          <rPr>
            <sz val="9"/>
            <color indexed="81"/>
            <rFont val="Tahoma"/>
            <family val="2"/>
          </rPr>
          <t xml:space="preserve">
Also includes right of use assets as per new accounting standard</t>
        </r>
      </text>
    </comment>
    <comment ref="AK90" authorId="8" shapeId="0" xr:uid="{048057E6-6CF8-449B-B97B-6D87D454FF00}">
      <text>
        <r>
          <rPr>
            <b/>
            <sz val="9"/>
            <color indexed="81"/>
            <rFont val="Tahoma"/>
            <family val="2"/>
          </rPr>
          <t xml:space="preserve">Crisil GR&amp;A:
</t>
        </r>
        <r>
          <rPr>
            <sz val="9"/>
            <color indexed="81"/>
            <rFont val="Tahoma"/>
            <family val="2"/>
          </rPr>
          <t>Also includes right of use assets as per new accounting standard</t>
        </r>
        <r>
          <rPr>
            <sz val="9"/>
            <color indexed="81"/>
            <rFont val="Tahoma"/>
            <family val="2"/>
          </rPr>
          <t xml:space="preserve">
</t>
        </r>
      </text>
    </comment>
    <comment ref="AL90" authorId="7" shapeId="0" xr:uid="{9A751AC4-04E7-4CFE-9BF9-2AD4316CF5BC}">
      <text>
        <r>
          <rPr>
            <b/>
            <sz val="9"/>
            <color indexed="81"/>
            <rFont val="Tahoma"/>
            <family val="2"/>
          </rPr>
          <t>Crisil GR&amp;A:</t>
        </r>
        <r>
          <rPr>
            <sz val="9"/>
            <color indexed="81"/>
            <rFont val="Tahoma"/>
            <family val="2"/>
          </rPr>
          <t xml:space="preserve">
Also includes right of use assets as per new accounting standard</t>
        </r>
      </text>
    </comment>
    <comment ref="B92" authorId="0" shapeId="0" xr:uid="{F1F3A8F1-AFB1-40F2-A2A6-C8C3DFD412B5}">
      <text>
        <r>
          <rPr>
            <b/>
            <sz val="9"/>
            <color indexed="81"/>
            <rFont val="Tahoma"/>
            <family val="2"/>
          </rPr>
          <t>CRISIL:</t>
        </r>
        <r>
          <rPr>
            <sz val="9"/>
            <color indexed="81"/>
            <rFont val="Tahoma"/>
            <family val="2"/>
          </rPr>
          <t xml:space="preserve">
Includes:
1. Trade Receivables, 
2. Prepayments and Other Receivables</t>
        </r>
      </text>
    </comment>
    <comment ref="B93" authorId="0" shapeId="0" xr:uid="{D09B98BA-7203-4888-BBAB-72D3CDB3B682}">
      <text>
        <r>
          <rPr>
            <b/>
            <sz val="9"/>
            <color indexed="81"/>
            <rFont val="Tahoma"/>
            <family val="2"/>
          </rPr>
          <t>CRISIL:</t>
        </r>
        <r>
          <rPr>
            <sz val="9"/>
            <color indexed="81"/>
            <rFont val="Tahoma"/>
            <family val="2"/>
          </rPr>
          <t xml:space="preserve">
Includes Trade and Other Payables</t>
        </r>
      </text>
    </comment>
    <comment ref="B103" authorId="3" shapeId="0" xr:uid="{A6D0A2B7-9282-414A-9560-57754EF4E3D9}">
      <text>
        <r>
          <rPr>
            <b/>
            <sz val="9"/>
            <color indexed="81"/>
            <rFont val="Tahoma"/>
            <family val="2"/>
          </rPr>
          <t>CRISIL:</t>
        </r>
        <r>
          <rPr>
            <sz val="9"/>
            <color indexed="81"/>
            <rFont val="Tahoma"/>
            <family val="2"/>
          </rPr>
          <t xml:space="preserve">
Includes current and non-current</t>
        </r>
      </text>
    </comment>
    <comment ref="AS103" authorId="3" shapeId="0" xr:uid="{C8014124-731E-4027-8BFE-184EB041D6B1}">
      <text>
        <r>
          <rPr>
            <b/>
            <sz val="9"/>
            <color indexed="81"/>
            <rFont val="Tahoma"/>
            <family val="2"/>
          </rPr>
          <t>CRISIL:</t>
        </r>
        <r>
          <rPr>
            <sz val="9"/>
            <color indexed="81"/>
            <rFont val="Tahoma"/>
            <family val="2"/>
          </rPr>
          <t xml:space="preserve">
Current: 1,563.421
Non-current: 11,044.216</t>
        </r>
      </text>
    </comment>
    <comment ref="B104" authorId="3" shapeId="0" xr:uid="{CA1B31BC-4A54-4212-BD1E-B59A88B9FFB1}">
      <text>
        <r>
          <rPr>
            <b/>
            <sz val="9"/>
            <color indexed="81"/>
            <rFont val="Tahoma"/>
            <family val="2"/>
          </rPr>
          <t>CRISIL:</t>
        </r>
        <r>
          <rPr>
            <sz val="9"/>
            <color indexed="81"/>
            <rFont val="Tahoma"/>
            <family val="2"/>
          </rPr>
          <t xml:space="preserve">
Includes current and non-current</t>
        </r>
      </text>
    </comment>
    <comment ref="AS104" authorId="3" shapeId="0" xr:uid="{7C293893-20F3-4D3F-8D75-2CE5CF2D5C25}">
      <text>
        <r>
          <rPr>
            <b/>
            <sz val="9"/>
            <color indexed="81"/>
            <rFont val="Tahoma"/>
            <family val="2"/>
          </rPr>
          <t>CRISIL:</t>
        </r>
        <r>
          <rPr>
            <sz val="9"/>
            <color indexed="81"/>
            <rFont val="Tahoma"/>
            <family val="2"/>
          </rPr>
          <t xml:space="preserve">
Current: 88.530
Non-current: 377.657</t>
        </r>
      </text>
    </comment>
    <comment ref="L114" authorId="3" shapeId="0" xr:uid="{8550A142-34B5-4DB1-B96D-12601CA93124}">
      <text>
        <r>
          <rPr>
            <b/>
            <sz val="9"/>
            <color indexed="81"/>
            <rFont val="Tahoma"/>
            <family val="2"/>
          </rPr>
          <t>CRISIL:</t>
        </r>
        <r>
          <rPr>
            <sz val="9"/>
            <color indexed="81"/>
            <rFont val="Tahoma"/>
            <family val="2"/>
          </rPr>
          <t xml:space="preserve">
Reported by company (excludes leases)</t>
        </r>
      </text>
    </comment>
    <comment ref="O114" authorId="0" shapeId="0" xr:uid="{139C629D-2173-42CE-B223-56AB6ADC1FEF}">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P114" authorId="0" shapeId="0" xr:uid="{BE80A80B-917F-4039-A18A-7DAA7D1CA1A5}">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Q114" authorId="0" shapeId="0" xr:uid="{01113446-DE9E-4544-A476-BFEB875278DC}">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S114" authorId="0" shapeId="0" xr:uid="{359281E7-7155-4DCD-B096-18BC2B257B30}">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T114" authorId="0" shapeId="0" xr:uid="{B7B3F9C5-30D5-4BD4-BE01-9E36D5A6DA28}">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U114" authorId="0" shapeId="0" xr:uid="{00A3910E-71C0-4E12-B77C-514BBC1EA6AB}">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W114" authorId="0" shapeId="0" xr:uid="{E841FACA-7C01-4689-A7F3-21ADEA31FADB}">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X114" authorId="3" shapeId="0" xr:uid="{BA536511-19AC-45A8-8888-56D4DAEA570A}">
      <text>
        <r>
          <rPr>
            <b/>
            <sz val="9"/>
            <color indexed="81"/>
            <rFont val="Tahoma"/>
            <family val="2"/>
          </rPr>
          <t>CRISIL:</t>
        </r>
        <r>
          <rPr>
            <sz val="9"/>
            <color indexed="81"/>
            <rFont val="Tahoma"/>
            <family val="2"/>
          </rPr>
          <t xml:space="preserve">
Company doesn't report net debt for quarters. So we have calculated this using company's methodologies in the full year reports i.e., Loans and borowings + Bank overdrafts- Cash and cash equivalents</t>
        </r>
      </text>
    </comment>
    <comment ref="Y114" authorId="0" shapeId="0" xr:uid="{605F613E-7FC0-4DB5-B155-FD4330872E90}">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AA114" authorId="0" shapeId="0" xr:uid="{AE8A5A42-E389-45FF-B8C2-3C8C4E6588C2}">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AB114" authorId="0" shapeId="0" xr:uid="{B3C065F8-29AF-43A8-AC50-81AE9B4CD74E}">
      <text>
        <r>
          <rPr>
            <b/>
            <sz val="9"/>
            <color indexed="81"/>
            <rFont val="Tahoma"/>
            <family val="2"/>
          </rPr>
          <t>Rishabh Saraf:</t>
        </r>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AC114" authorId="0" shapeId="0" xr:uid="{6E1BD563-A47C-4376-8A4E-0A85204EB0A3}">
      <text>
        <r>
          <rPr>
            <sz val="9"/>
            <color indexed="81"/>
            <rFont val="Tahoma"/>
            <family val="2"/>
          </rPr>
          <t xml:space="preserve">
</t>
        </r>
        <r>
          <rPr>
            <b/>
            <sz val="9"/>
            <color indexed="81"/>
            <rFont val="Tahoma"/>
            <family val="2"/>
          </rPr>
          <t>Company doesn't report net debt for quarters. So we have calculated this using company's methodologies in the full year reports i.e., Loans and borowings + Bank overdrafts- Cash and cash equivalents</t>
        </r>
      </text>
    </comment>
    <comment ref="AE114" authorId="8" shapeId="0" xr:uid="{54674EE3-880D-4F67-9263-266194F6E636}">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F114" authorId="8" shapeId="0" xr:uid="{FF117CE3-90FF-42F4-A4CF-1ADADE758135}">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G114" authorId="8" shapeId="0" xr:uid="{E2FBE742-6B05-436C-B7DA-2EE645F55C55}">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t>
        </r>
      </text>
    </comment>
    <comment ref="AI114" authorId="8" shapeId="0" xr:uid="{7C393A78-4003-4F8B-92A2-6D9EDAD56055}">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J114" authorId="8" shapeId="0" xr:uid="{FB4084FA-8F85-4C06-A8F5-EB8874EC79BE}">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K114" authorId="8" shapeId="0" xr:uid="{B23E639F-A75D-4D03-B4DC-6E8764B35BF1}">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t>
        </r>
      </text>
    </comment>
    <comment ref="AM114" authorId="8" shapeId="0" xr:uid="{0AB9A2CC-70CB-4876-BC90-71039B86A00E}">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N114" authorId="8" shapeId="0" xr:uid="{4EE02429-45B0-475A-91B7-E4087E4A0B91}">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O114" authorId="8" shapeId="0" xr:uid="{C5EE8C0E-E7E5-40D6-A54F-82AC9DAC1772}">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t>
        </r>
      </text>
    </comment>
    <comment ref="AQ114" authorId="8" shapeId="0" xr:uid="{58482322-F3BB-485F-B8EA-5F36811BAD72}">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t>
        </r>
      </text>
    </comment>
    <comment ref="AR114" authorId="8" shapeId="0" xr:uid="{2CD2206B-3B64-4AB5-8F48-438405E10BDD}">
      <text>
        <r>
          <rPr>
            <b/>
            <sz val="9"/>
            <color indexed="81"/>
            <rFont val="Tahoma"/>
            <family val="2"/>
          </rPr>
          <t>Crisil GR&amp;A:</t>
        </r>
        <r>
          <rPr>
            <sz val="9"/>
            <color indexed="81"/>
            <rFont val="Tahoma"/>
            <family val="2"/>
          </rPr>
          <t xml:space="preserve">
Company does not report net debt for quarters. Hence used the methodology as adpted by the company i.e. Loans and borrowings+ bank overdrafts-cash and cash equivalence
 </t>
        </r>
      </text>
    </comment>
    <comment ref="AS114" authorId="3" shapeId="0" xr:uid="{D4FB1667-6A34-47A9-95D9-51C18745DB7A}">
      <text>
        <r>
          <rPr>
            <b/>
            <sz val="9"/>
            <color indexed="81"/>
            <rFont val="Tahoma"/>
            <family val="2"/>
          </rPr>
          <t>CRISIL:</t>
        </r>
        <r>
          <rPr>
            <sz val="9"/>
            <color indexed="81"/>
            <rFont val="Tahoma"/>
            <family val="2"/>
          </rPr>
          <t xml:space="preserve">
Reported by company (excludes leases)</t>
        </r>
      </text>
    </comment>
    <comment ref="AU114" authorId="3" shapeId="0" xr:uid="{C09B23AA-0FAA-4B94-B351-FE4E967466CB}">
      <text>
        <r>
          <rPr>
            <b/>
            <sz val="9"/>
            <color indexed="81"/>
            <rFont val="Tahoma"/>
            <family val="2"/>
          </rPr>
          <t>CRISIL:</t>
        </r>
        <r>
          <rPr>
            <sz val="9"/>
            <color indexed="81"/>
            <rFont val="Tahoma"/>
            <family val="2"/>
          </rPr>
          <t xml:space="preserve">
Reported by company (excludes leases) - from PPT</t>
        </r>
      </text>
    </comment>
    <comment ref="C116" authorId="0" shapeId="0" xr:uid="{72A2052C-FB1F-410D-B7CE-D055096AD701}">
      <text>
        <r>
          <rPr>
            <b/>
            <sz val="9"/>
            <color indexed="81"/>
            <rFont val="Tahoma"/>
            <family val="2"/>
          </rPr>
          <t>Rishabh Saraf:</t>
        </r>
        <r>
          <rPr>
            <sz val="9"/>
            <color indexed="81"/>
            <rFont val="Tahoma"/>
            <family val="2"/>
          </rPr>
          <t xml:space="preserve">
This also includes perpetual sukuk of SAR1700</t>
        </r>
      </text>
    </comment>
    <comment ref="D116" authorId="0" shapeId="0" xr:uid="{F18A2A9B-6115-4E0E-A0B6-46AE87C029AD}">
      <text>
        <r>
          <rPr>
            <b/>
            <sz val="9"/>
            <color indexed="81"/>
            <rFont val="Tahoma"/>
            <family val="2"/>
          </rPr>
          <t>Rishabh Saraf:</t>
        </r>
        <r>
          <rPr>
            <sz val="9"/>
            <color indexed="81"/>
            <rFont val="Tahoma"/>
            <family val="2"/>
          </rPr>
          <t xml:space="preserve">
This also includes perpetual sukuk of SAR1700</t>
        </r>
      </text>
    </comment>
    <comment ref="AE203" authorId="8" shapeId="0" xr:uid="{759D6AE6-CB39-4307-BE5B-C9E920D6A118}">
      <text>
        <r>
          <rPr>
            <b/>
            <sz val="9"/>
            <color indexed="81"/>
            <rFont val="Tahoma"/>
            <family val="2"/>
          </rPr>
          <t>Crisil GR&amp;A:</t>
        </r>
        <r>
          <rPr>
            <sz val="9"/>
            <color indexed="81"/>
            <rFont val="Tahoma"/>
            <family val="2"/>
          </rPr>
          <t xml:space="preserve">
taken from investing.com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s>
  <commentList>
    <comment ref="AQ8" authorId="0" shapeId="0" xr:uid="{7F17DC68-9DF1-405E-B8E5-CCA36EC8A824}">
      <text>
        <r>
          <rPr>
            <b/>
            <sz val="9"/>
            <color indexed="81"/>
            <rFont val="Tahoma"/>
            <family val="2"/>
          </rPr>
          <t>CRISIL:</t>
        </r>
        <r>
          <rPr>
            <sz val="9"/>
            <color indexed="81"/>
            <rFont val="Tahoma"/>
            <family val="2"/>
          </rPr>
          <t xml:space="preserve">
from filing</t>
        </r>
      </text>
    </comment>
    <comment ref="AR8" authorId="0" shapeId="0" xr:uid="{DEF58693-5A2E-4877-8FC2-4681E0F53F9A}">
      <text>
        <r>
          <rPr>
            <b/>
            <sz val="9"/>
            <color indexed="81"/>
            <rFont val="Tahoma"/>
            <family val="2"/>
          </rPr>
          <t>CRISIL:</t>
        </r>
        <r>
          <rPr>
            <sz val="9"/>
            <color indexed="81"/>
            <rFont val="Tahoma"/>
            <family val="2"/>
          </rPr>
          <t xml:space="preserve">
from filing</t>
        </r>
      </text>
    </comment>
    <comment ref="AS8" authorId="0" shapeId="0" xr:uid="{F82F3B5C-3C41-4DC0-89A3-8D8F33B12939}">
      <text>
        <r>
          <rPr>
            <b/>
            <sz val="9"/>
            <color indexed="81"/>
            <rFont val="Tahoma"/>
            <family val="2"/>
          </rPr>
          <t>CRISIL:</t>
        </r>
        <r>
          <rPr>
            <sz val="9"/>
            <color indexed="81"/>
            <rFont val="Tahoma"/>
            <family val="2"/>
          </rPr>
          <t xml:space="preserve">
from filing</t>
        </r>
      </text>
    </comment>
    <comment ref="AU8" authorId="0" shapeId="0" xr:uid="{EEED39BB-2BFB-4309-9288-D9752960875A}">
      <text>
        <r>
          <rPr>
            <b/>
            <sz val="9"/>
            <color indexed="81"/>
            <rFont val="Tahoma"/>
            <family val="2"/>
          </rPr>
          <t>CRISIL:</t>
        </r>
        <r>
          <rPr>
            <sz val="9"/>
            <color indexed="81"/>
            <rFont val="Tahoma"/>
            <family val="2"/>
          </rPr>
          <t xml:space="preserve">
from filing</t>
        </r>
      </text>
    </comment>
    <comment ref="AQ30" authorId="0" shapeId="0" xr:uid="{B52668C6-3E3F-4F75-BD18-9BC98030B638}">
      <text>
        <r>
          <rPr>
            <b/>
            <sz val="9"/>
            <color indexed="81"/>
            <rFont val="Tahoma"/>
            <family val="2"/>
          </rPr>
          <t>CRISIL:</t>
        </r>
        <r>
          <rPr>
            <sz val="9"/>
            <color indexed="81"/>
            <rFont val="Tahoma"/>
            <family val="2"/>
          </rPr>
          <t xml:space="preserve">
from filing</t>
        </r>
      </text>
    </comment>
    <comment ref="AR30" authorId="0" shapeId="0" xr:uid="{7151B004-27F3-4403-9252-C8FDF686B614}">
      <text>
        <r>
          <rPr>
            <b/>
            <sz val="9"/>
            <color indexed="81"/>
            <rFont val="Tahoma"/>
            <family val="2"/>
          </rPr>
          <t>CRISIL:</t>
        </r>
        <r>
          <rPr>
            <sz val="9"/>
            <color indexed="81"/>
            <rFont val="Tahoma"/>
            <family val="2"/>
          </rPr>
          <t xml:space="preserve">
from filing</t>
        </r>
      </text>
    </comment>
    <comment ref="AS30" authorId="0" shapeId="0" xr:uid="{44045143-7CF6-4D32-9D31-60A654FEB5C8}">
      <text>
        <r>
          <rPr>
            <b/>
            <sz val="9"/>
            <color indexed="81"/>
            <rFont val="Tahoma"/>
            <family val="2"/>
          </rPr>
          <t>CRISIL:</t>
        </r>
        <r>
          <rPr>
            <sz val="9"/>
            <color indexed="81"/>
            <rFont val="Tahoma"/>
            <family val="2"/>
          </rPr>
          <t xml:space="preserve">
from filing</t>
        </r>
      </text>
    </comment>
    <comment ref="AU30" authorId="0" shapeId="0" xr:uid="{72D47CED-3088-4333-9210-746B9C89DBA9}">
      <text>
        <r>
          <rPr>
            <b/>
            <sz val="9"/>
            <color indexed="81"/>
            <rFont val="Tahoma"/>
            <family val="2"/>
          </rPr>
          <t>CRISIL:</t>
        </r>
        <r>
          <rPr>
            <sz val="9"/>
            <color indexed="81"/>
            <rFont val="Tahoma"/>
            <family val="2"/>
          </rPr>
          <t xml:space="preserve">
from filing</t>
        </r>
      </text>
    </comment>
    <comment ref="AX35" authorId="1" shapeId="0" xr:uid="{E8AAD643-5598-4775-82B7-7EAD59822F59}">
      <text>
        <r>
          <rPr>
            <sz val="9"/>
            <color indexed="81"/>
            <rFont val="Tahoma"/>
            <family val="2"/>
          </rPr>
          <t>Due to missinng data for 'other activities'</t>
        </r>
      </text>
    </comment>
    <comment ref="AQ59" authorId="0" shapeId="0" xr:uid="{B9FFCC98-EF53-4452-95EB-7A884E5768CE}">
      <text>
        <r>
          <rPr>
            <b/>
            <sz val="9"/>
            <color indexed="81"/>
            <rFont val="Tahoma"/>
            <family val="2"/>
          </rPr>
          <t>CRISIL:</t>
        </r>
        <r>
          <rPr>
            <sz val="9"/>
            <color indexed="81"/>
            <rFont val="Tahoma"/>
            <family val="2"/>
          </rPr>
          <t xml:space="preserve">
from filing</t>
        </r>
      </text>
    </comment>
    <comment ref="AR59" authorId="0" shapeId="0" xr:uid="{386E06BE-B2AC-40F0-BF1A-B7DF68CCE89D}">
      <text>
        <r>
          <rPr>
            <b/>
            <sz val="9"/>
            <color indexed="81"/>
            <rFont val="Tahoma"/>
            <family val="2"/>
          </rPr>
          <t>CRISIL:</t>
        </r>
        <r>
          <rPr>
            <sz val="9"/>
            <color indexed="81"/>
            <rFont val="Tahoma"/>
            <family val="2"/>
          </rPr>
          <t xml:space="preserve">
from filing</t>
        </r>
      </text>
    </comment>
    <comment ref="AU59" authorId="0" shapeId="0" xr:uid="{7A93BCB0-096B-4095-9B3C-178726B6CD4E}">
      <text>
        <r>
          <rPr>
            <b/>
            <sz val="9"/>
            <color indexed="81"/>
            <rFont val="Tahoma"/>
            <family val="2"/>
          </rPr>
          <t>CRISIL:</t>
        </r>
        <r>
          <rPr>
            <sz val="9"/>
            <color indexed="81"/>
            <rFont val="Tahoma"/>
            <family val="2"/>
          </rPr>
          <t xml:space="preserve">
from filing</t>
        </r>
      </text>
    </comment>
  </commentList>
</comments>
</file>

<file path=xl/sharedStrings.xml><?xml version="1.0" encoding="utf-8"?>
<sst xmlns="http://schemas.openxmlformats.org/spreadsheetml/2006/main" count="1862" uniqueCount="325">
  <si>
    <t>1Q26</t>
  </si>
  <si>
    <t>Exchange rate as at end</t>
  </si>
  <si>
    <t>LTM Average Exchange rate</t>
  </si>
  <si>
    <t>Amount outstanding as on Mar 2026</t>
  </si>
  <si>
    <t>SAR (mn)</t>
  </si>
  <si>
    <t>USD (mn)</t>
  </si>
  <si>
    <t xml:space="preserve">Leverage </t>
  </si>
  <si>
    <t xml:space="preserve">USD Leverage </t>
  </si>
  <si>
    <t>Company reported</t>
  </si>
  <si>
    <t>Net debt</t>
  </si>
  <si>
    <t>Current Liabilities</t>
  </si>
  <si>
    <t>Net debt / EBITDA</t>
  </si>
  <si>
    <t>2.48x</t>
  </si>
  <si>
    <t>Islamic Banking Facilities (Murabaha)</t>
  </si>
  <si>
    <t>Saudi Industrial Development Fund ("SIDF")</t>
  </si>
  <si>
    <t>Banking Facilities of Non-GCC Subsidiaries</t>
  </si>
  <si>
    <t>Supranational (Murabaha)</t>
  </si>
  <si>
    <t>Agricultural Development Fund ("ADF")</t>
  </si>
  <si>
    <t>International Sukuk</t>
  </si>
  <si>
    <t>Non-Current Liabilities</t>
  </si>
  <si>
    <t>Bank Overdraft</t>
  </si>
  <si>
    <t>Leases</t>
  </si>
  <si>
    <t>Current</t>
  </si>
  <si>
    <t>Non-current</t>
  </si>
  <si>
    <t>Total Loans &amp; Borrowings</t>
  </si>
  <si>
    <t>Cash &amp; Equivalents</t>
  </si>
  <si>
    <t xml:space="preserve">Net debt </t>
  </si>
  <si>
    <t>Equity</t>
  </si>
  <si>
    <t xml:space="preserve">Total Capitalisation </t>
  </si>
  <si>
    <t>LTM Adjusted EBITDA</t>
  </si>
  <si>
    <t>check</t>
  </si>
  <si>
    <t>Liquidity Table</t>
  </si>
  <si>
    <t>Cash and cash equivalents</t>
  </si>
  <si>
    <t>Total Liquidity</t>
  </si>
  <si>
    <t>Debt Maturity of the debt at end (from PPT)</t>
  </si>
  <si>
    <t>less than 1 year</t>
  </si>
  <si>
    <t>Between 1-2 years</t>
  </si>
  <si>
    <t>Between 2-3 years</t>
  </si>
  <si>
    <t>Between 3-4 years</t>
  </si>
  <si>
    <t>Between 4-5 years</t>
  </si>
  <si>
    <t>Over 5 years</t>
  </si>
  <si>
    <t>Total debt (excluding lease liabilities and bank overdrafts)</t>
  </si>
  <si>
    <t>Lease liabilities</t>
  </si>
  <si>
    <t>Bank overdrafts</t>
  </si>
  <si>
    <t>Total debt (including lease liabilities and bank overdrafts)</t>
  </si>
  <si>
    <t>FY25</t>
  </si>
  <si>
    <t>Exchange rate as at end FY25</t>
  </si>
  <si>
    <t>LTM Average Exchange rate of FY25</t>
  </si>
  <si>
    <t>Amount outstanding as on Dec 2025</t>
  </si>
  <si>
    <t>Liquidity Table at FY25</t>
  </si>
  <si>
    <r>
      <t xml:space="preserve">Debt Maturity of "Loans and Borrowings" at end-FY25 (from FS)
</t>
    </r>
    <r>
      <rPr>
        <b/>
        <sz val="10"/>
        <color indexed="10"/>
        <rFont val="Calibri"/>
        <family val="2"/>
      </rPr>
      <t>undiscounted and include estimated interest</t>
    </r>
  </si>
  <si>
    <t>On Demand or Less than 1 year</t>
  </si>
  <si>
    <t>1 year to 5 years</t>
  </si>
  <si>
    <t>More than 5 years</t>
  </si>
  <si>
    <r>
      <t xml:space="preserve">Debt Maturity of "Leases" at end-FY25 (from FS)
</t>
    </r>
    <r>
      <rPr>
        <b/>
        <sz val="10"/>
        <color indexed="10"/>
        <rFont val="Calibri"/>
        <family val="2"/>
      </rPr>
      <t>undiscounted and include estimated interest</t>
    </r>
  </si>
  <si>
    <t>Debt Maturity of the debt at end-FY25 (from PPT)</t>
  </si>
  <si>
    <t>3Q25</t>
  </si>
  <si>
    <t>Exchange rate as at end 3Q25</t>
  </si>
  <si>
    <t>LTM Average Exchange rate of 3Q25</t>
  </si>
  <si>
    <t>Amount outstanding as on Sep 2025</t>
  </si>
  <si>
    <t>2.5x</t>
  </si>
  <si>
    <t>Liquidity Table at 3Q25</t>
  </si>
  <si>
    <t>Debt Maturity of the  debt at end-3Q25</t>
  </si>
  <si>
    <t>2Q25</t>
  </si>
  <si>
    <t>Exchange rate as at end 2Q25</t>
  </si>
  <si>
    <t>LTM Average Exchange rate of 2Q25</t>
  </si>
  <si>
    <t>Amount outstanding as on Jun 2025</t>
  </si>
  <si>
    <t>Company reported Debt</t>
  </si>
  <si>
    <t>Less: Cash and cash equivalents</t>
  </si>
  <si>
    <t>Company reported Net debt</t>
  </si>
  <si>
    <t>Net Debt / Ebitda</t>
  </si>
  <si>
    <t>Liquidity Table at 2Q25</t>
  </si>
  <si>
    <t>Debt Maturity of the  debt at end-2Q25</t>
  </si>
  <si>
    <t>1Q25</t>
  </si>
  <si>
    <t>Exchange rate as at end 1Q25</t>
  </si>
  <si>
    <t>LTM Average Exchange rate of 1Q25</t>
  </si>
  <si>
    <t>Amount outstanding as on 31-Mar-2025</t>
  </si>
  <si>
    <t>Secured debt</t>
  </si>
  <si>
    <t>Lease Liabilities</t>
  </si>
  <si>
    <t>Saudi Industrial Development Fund</t>
  </si>
  <si>
    <t>Supranational</t>
  </si>
  <si>
    <t>Agricultural Development Fund</t>
  </si>
  <si>
    <t>Total Secured debt</t>
  </si>
  <si>
    <t>Sukuk</t>
  </si>
  <si>
    <t>Total Loans &amp; Borrows</t>
  </si>
  <si>
    <t>Cash &amp; Equivalents (Including time deposits)</t>
  </si>
  <si>
    <t>Liquidity Table at 1Q25</t>
  </si>
  <si>
    <t>(SAR millions)</t>
  </si>
  <si>
    <t>(USD millions)</t>
  </si>
  <si>
    <t>2.1x</t>
  </si>
  <si>
    <t>Debt Maturity of the  debt at end-1Q25</t>
  </si>
  <si>
    <t>FY24</t>
  </si>
  <si>
    <t>Exchange rate as at end FY24</t>
  </si>
  <si>
    <t>LTM Average Exchange rate of FY24</t>
  </si>
  <si>
    <t>Amount outstanding as on 31-Dec-2024</t>
  </si>
  <si>
    <t>Liquidity Table at FY24</t>
  </si>
  <si>
    <t>Debt Maturity of the  debt at end-FY24</t>
  </si>
  <si>
    <t>3Q24</t>
  </si>
  <si>
    <t>Exchange rate as at end 3Q24</t>
  </si>
  <si>
    <t>LTM Average Exchange rate of 3Q24</t>
  </si>
  <si>
    <t>Amount outstanding as on 30-Sep-2024</t>
  </si>
  <si>
    <t>Liquidity Table at 3Q24</t>
  </si>
  <si>
    <t>Debt Maturity of the  debt at end-3Q24</t>
  </si>
  <si>
    <t>2Q24</t>
  </si>
  <si>
    <t>Exchange rate as at end 2Q24</t>
  </si>
  <si>
    <t>LTM Average Exchange rate of 2Q24</t>
  </si>
  <si>
    <t>Amount outstanding as on 30-Jun-2024</t>
  </si>
  <si>
    <t>Amount outstanding as on 30- Jun-2024</t>
  </si>
  <si>
    <t>Liquidity Table at 1Q24</t>
  </si>
  <si>
    <t>Debt Maturity of the  debt at end-1Q24</t>
  </si>
  <si>
    <t>1Q24</t>
  </si>
  <si>
    <t>Exchange rate as at end 1Q24</t>
  </si>
  <si>
    <t>LTM Average Exchange rate of 1Q24</t>
  </si>
  <si>
    <t>Amount outstanding as on 31-Mar-2024</t>
  </si>
  <si>
    <t>Amount outstanding as on 31- Mar-2024</t>
  </si>
  <si>
    <t>FY23</t>
  </si>
  <si>
    <t>Exchange rate as at end FY23</t>
  </si>
  <si>
    <t>LTM Average Exchange rate of FY23</t>
  </si>
  <si>
    <t>Amount outstanding as on 31-Dec-2023</t>
  </si>
  <si>
    <t>Amount outstanding as on 31- Dec-2023</t>
  </si>
  <si>
    <t>Liquidity Table at FY23</t>
  </si>
  <si>
    <t>Debt Maturity of the  debt at end-FY23</t>
  </si>
  <si>
    <t>3Q23</t>
  </si>
  <si>
    <t>Exchange rate as at end 3Q23</t>
  </si>
  <si>
    <t>LTM Average Exchange rate of 3Q23</t>
  </si>
  <si>
    <t>Amount outstanding as on 30-Sept-2023</t>
  </si>
  <si>
    <t>Liquidity Table at 3Q23</t>
  </si>
  <si>
    <t>Debt Maturity of the  debt at end-3Q23</t>
  </si>
  <si>
    <t>2Q23</t>
  </si>
  <si>
    <t>Exchange rate as at end 2Q23</t>
  </si>
  <si>
    <t>LTM Average Exchange rate of 2Q23</t>
  </si>
  <si>
    <t>Amount outstanding as on 30-Jun-2023</t>
  </si>
  <si>
    <t>Liquidity Table at 2Q23</t>
  </si>
  <si>
    <t>Debt Maturity of the  debt at end-2Q23</t>
  </si>
  <si>
    <t>1Q23</t>
  </si>
  <si>
    <t>Exchange rate as at end 1Q23</t>
  </si>
  <si>
    <t>LTM Average Exchange rate of 1Q23</t>
  </si>
  <si>
    <t>Amount outstanding as on 31-Mar-2023</t>
  </si>
  <si>
    <t>Liquidity Table at 1Q23</t>
  </si>
  <si>
    <t>Debt Maturity of the  debt at end-1Q23</t>
  </si>
  <si>
    <t>4Q22</t>
  </si>
  <si>
    <t>Exchange rate as at end 4Q22</t>
  </si>
  <si>
    <t>LTM Average Exchange rate of 4Q22</t>
  </si>
  <si>
    <t>Amount outstanding as on 31-Dec-2022</t>
  </si>
  <si>
    <t>Liquidity Table at 4Q22</t>
  </si>
  <si>
    <t>Debt Maturity of the  debt at end-4Q22</t>
  </si>
  <si>
    <t>3Q22</t>
  </si>
  <si>
    <t>Exchange rate as at end 3Q22</t>
  </si>
  <si>
    <t>LTM Average Exchange rate of 3Q22</t>
  </si>
  <si>
    <t>Amount outstanding as on 30-Sept-2022</t>
  </si>
  <si>
    <t>Liquidity Table at 3Q22</t>
  </si>
  <si>
    <t>Debt Maturity of the  debt at end-3Q22</t>
  </si>
  <si>
    <t>2Q22</t>
  </si>
  <si>
    <t>Exchange rate as at end 2Q22</t>
  </si>
  <si>
    <t>LTM Average Exchange rate of 2Q22</t>
  </si>
  <si>
    <t>Amount outstanding as on 30-Jun-2022</t>
  </si>
  <si>
    <t>Liquidity Table at 2Q22</t>
  </si>
  <si>
    <t>Debt Maturity of the  debt at end-2Q22</t>
  </si>
  <si>
    <t>1Q22</t>
  </si>
  <si>
    <t>Exchange rate as at end 1Q22</t>
  </si>
  <si>
    <t>LTM Average Exchange rate of 1Q22</t>
  </si>
  <si>
    <t>Amount outstanding as on 31-Mar-2022</t>
  </si>
  <si>
    <t>Liquidity Table at 1Q22</t>
  </si>
  <si>
    <t>Debt Maturity of the  debt at end-1Q22</t>
  </si>
  <si>
    <t>Check</t>
  </si>
  <si>
    <t>FY21</t>
  </si>
  <si>
    <t>Exchange rate as at end FY21</t>
  </si>
  <si>
    <t>LTM Average Exchange rate of FY21</t>
  </si>
  <si>
    <t>Amount outstanding as on 31-Dec-2021</t>
  </si>
  <si>
    <t>Liquidity Table at FY21</t>
  </si>
  <si>
    <t>Debt Maturity of the  debt at end-FY21</t>
  </si>
  <si>
    <t>3Q21</t>
  </si>
  <si>
    <t>Exchange rate as at end 3Q21</t>
  </si>
  <si>
    <t>LTM Average Exchange rate of 3Q21</t>
  </si>
  <si>
    <t>Amount outstanding as on 31-Sept-2021</t>
  </si>
  <si>
    <t>Amount outstanding as on 31-sept-2021</t>
  </si>
  <si>
    <t>Liquidity Table at 3Q21</t>
  </si>
  <si>
    <t>Debt Maturity of the  debt at end-3Q21</t>
  </si>
  <si>
    <t>2Q21</t>
  </si>
  <si>
    <t>Exchange rate as at end 2Q21</t>
  </si>
  <si>
    <t>LTM Average Exchange rate of 2Q21</t>
  </si>
  <si>
    <t>Amount outstanding as on 31-Jun-2021</t>
  </si>
  <si>
    <t>Liquidity Table at 2Q21</t>
  </si>
  <si>
    <t>Debt Maturity of the  debt at end-2Q21</t>
  </si>
  <si>
    <t>1Q20</t>
  </si>
  <si>
    <t>Exchange rate as at end 1Q20</t>
  </si>
  <si>
    <t>LTM Average Exchange rate of 1Q20</t>
  </si>
  <si>
    <t>Amount outstanding as on 31-Mar-2020</t>
  </si>
  <si>
    <t>Liquidity Table at 1Q20</t>
  </si>
  <si>
    <t>Debt Maturity of the  debt at end-1Q20</t>
  </si>
  <si>
    <t>Between 2-5 years</t>
  </si>
  <si>
    <t>FY19</t>
  </si>
  <si>
    <t>Exchange rate as at end FY 2019</t>
  </si>
  <si>
    <t>LTM Average Exchange rate of FY 2019</t>
  </si>
  <si>
    <t>Amount outstanding as on 31-Dec-2019</t>
  </si>
  <si>
    <t>Liquidity Table at end-FY19</t>
  </si>
  <si>
    <t>Debt Maturity of the  debt at end-FY19</t>
  </si>
  <si>
    <t>ALMARAI</t>
  </si>
  <si>
    <t>Annual</t>
  </si>
  <si>
    <t>LTM</t>
  </si>
  <si>
    <t>Quarterly</t>
  </si>
  <si>
    <t>QuarterIy</t>
  </si>
  <si>
    <t>Act</t>
  </si>
  <si>
    <t>Restated</t>
  </si>
  <si>
    <t>FY</t>
  </si>
  <si>
    <t>Q1</t>
  </si>
  <si>
    <t>Q2</t>
  </si>
  <si>
    <t>Q3</t>
  </si>
  <si>
    <t>Q4</t>
  </si>
  <si>
    <t>INCOME STATEMENT</t>
  </si>
  <si>
    <t>Revenue</t>
  </si>
  <si>
    <t xml:space="preserve">% y-o-y growth </t>
  </si>
  <si>
    <t>Cost of Sales</t>
  </si>
  <si>
    <t>Gross Profit</t>
  </si>
  <si>
    <t>Gross Profit margin</t>
  </si>
  <si>
    <t>Selling and Distribution Expenses</t>
  </si>
  <si>
    <t>General and Administration Expenses</t>
  </si>
  <si>
    <t>Other Expenses, net</t>
  </si>
  <si>
    <t>Impairment (Loss) / Reversal on Financial Assets</t>
  </si>
  <si>
    <t>Operating Profit</t>
  </si>
  <si>
    <t>Exchange Gain, net</t>
  </si>
  <si>
    <t>Financial Cost, net</t>
  </si>
  <si>
    <t>Share of Results of Associates</t>
  </si>
  <si>
    <t>Profit before Zakat and Income Tax</t>
  </si>
  <si>
    <t>Zakat and Income Tax</t>
  </si>
  <si>
    <t>Profit for the year</t>
  </si>
  <si>
    <t>Profit (loss) attributable to non-controlling interests</t>
  </si>
  <si>
    <t>Profit (loss) attributable to shareholders</t>
  </si>
  <si>
    <t>As % of Net sales or stated otherwise</t>
  </si>
  <si>
    <t>Finance costs as a % of debt at end of period</t>
  </si>
  <si>
    <t>Income tax benefit/(expense) as a % of Profit before tax</t>
  </si>
  <si>
    <t>capex/sales</t>
  </si>
  <si>
    <t>D/A/sales</t>
  </si>
  <si>
    <t xml:space="preserve">EBITDA </t>
  </si>
  <si>
    <t xml:space="preserve">Operating profit </t>
  </si>
  <si>
    <t>Depreciation &amp; amortisation</t>
  </si>
  <si>
    <t xml:space="preserve">% growth </t>
  </si>
  <si>
    <t>% margin</t>
  </si>
  <si>
    <t xml:space="preserve">Adjustment </t>
  </si>
  <si>
    <t>Adj. EBITDA</t>
  </si>
  <si>
    <t>CASH FLOW</t>
  </si>
  <si>
    <t xml:space="preserve">Adjusted EBITDA </t>
  </si>
  <si>
    <t>Working Capital</t>
  </si>
  <si>
    <t>Taxes, net</t>
  </si>
  <si>
    <t>Cash interest paid</t>
  </si>
  <si>
    <t xml:space="preserve">Net cash from operations </t>
  </si>
  <si>
    <t>Net Capex</t>
  </si>
  <si>
    <t>Purchase and development of intangible assets</t>
  </si>
  <si>
    <t>Disposals/ Acquisition, of subsidiaries</t>
  </si>
  <si>
    <t xml:space="preserve">Free cash flow </t>
  </si>
  <si>
    <t>Other investing activities</t>
  </si>
  <si>
    <t>Equity Issuance/Buyback</t>
  </si>
  <si>
    <t xml:space="preserve">Dividends Paid </t>
  </si>
  <si>
    <t>Change in debt</t>
  </si>
  <si>
    <t>Other financing activities</t>
  </si>
  <si>
    <t>Cash flow after financing activities</t>
  </si>
  <si>
    <t>FX impact</t>
  </si>
  <si>
    <t>Balancing figure</t>
  </si>
  <si>
    <t xml:space="preserve">Net change in cash </t>
  </si>
  <si>
    <t xml:space="preserve">LTM </t>
  </si>
  <si>
    <t>EBITDA</t>
  </si>
  <si>
    <t>Adjusted EBITDA</t>
  </si>
  <si>
    <t>Net Income</t>
  </si>
  <si>
    <t>Capex</t>
  </si>
  <si>
    <t xml:space="preserve">BALANCE SHEET </t>
  </si>
  <si>
    <t>Tangible fixed assets</t>
  </si>
  <si>
    <t>Inventory</t>
  </si>
  <si>
    <t>Trade accounts receivables, net</t>
  </si>
  <si>
    <t>Trade creditors /payables</t>
  </si>
  <si>
    <t>Net working capital</t>
  </si>
  <si>
    <t>% of revenues</t>
  </si>
  <si>
    <t>Inventory days</t>
  </si>
  <si>
    <t>Receivable days</t>
  </si>
  <si>
    <t>Payable days</t>
  </si>
  <si>
    <t xml:space="preserve">Debt  Breakdown </t>
  </si>
  <si>
    <t>Bank Overdrafts</t>
  </si>
  <si>
    <t>Loans and Borrowings</t>
  </si>
  <si>
    <t>Total Debt</t>
  </si>
  <si>
    <t>Cash and equivalents</t>
  </si>
  <si>
    <t>Time Deposits</t>
  </si>
  <si>
    <t>Net debt (including leases)</t>
  </si>
  <si>
    <t>Gross debt (including leases)</t>
  </si>
  <si>
    <t>Company Reported Net Debt</t>
  </si>
  <si>
    <t>Equity (as reported on balance sheet)</t>
  </si>
  <si>
    <t>Total debt + Equity</t>
  </si>
  <si>
    <t>CREDIT RATIOS</t>
  </si>
  <si>
    <t>Total Net Leverage (including leases)</t>
  </si>
  <si>
    <t>Total Gross Leverage (including leases)</t>
  </si>
  <si>
    <t>Total Net Leverage (excluding leases)</t>
  </si>
  <si>
    <t>Total Gross Leverage (excluding leases)</t>
  </si>
  <si>
    <t>Net Leverage (based on company reported debt)</t>
  </si>
  <si>
    <t>EBITDA - Capex / Interest</t>
  </si>
  <si>
    <t>EBITDA/Interest</t>
  </si>
  <si>
    <t xml:space="preserve">Gearing (Net debt / Equity) </t>
  </si>
  <si>
    <r>
      <t>Key  Credit Metrics (SAR</t>
    </r>
    <r>
      <rPr>
        <b/>
        <sz val="10"/>
        <rFont val="Calibri"/>
        <family val="2"/>
      </rPr>
      <t xml:space="preserve"> mn where applicable)</t>
    </r>
  </si>
  <si>
    <t>Adjusted EBITDA margin</t>
  </si>
  <si>
    <t>Cash</t>
  </si>
  <si>
    <t>Net Debt</t>
  </si>
  <si>
    <t>Gross Leverage</t>
  </si>
  <si>
    <t xml:space="preserve">Net Leverage </t>
  </si>
  <si>
    <t>Company Reported Net Leverage</t>
  </si>
  <si>
    <t>Summary Financials</t>
  </si>
  <si>
    <t>(SAR)</t>
  </si>
  <si>
    <t>Company Reported net debt</t>
  </si>
  <si>
    <t>FX rate end of period - SAR/USD</t>
  </si>
  <si>
    <t>FX rate average - SAR/USD</t>
  </si>
  <si>
    <t>Key  Credit Metrics (USD mn where applicable)</t>
  </si>
  <si>
    <t>Net sales</t>
  </si>
  <si>
    <t>`</t>
  </si>
  <si>
    <t>Total Leases</t>
  </si>
  <si>
    <t>Company Reported debt</t>
  </si>
  <si>
    <t>Revenue by Business Segments</t>
  </si>
  <si>
    <t>Dairy and Juice</t>
  </si>
  <si>
    <t>Bakery</t>
  </si>
  <si>
    <t>Poultry</t>
  </si>
  <si>
    <t>Other Activities</t>
  </si>
  <si>
    <t>Total</t>
  </si>
  <si>
    <t>Revenue Composition (%)</t>
  </si>
  <si>
    <t>y-o-y growth in Revenue</t>
  </si>
  <si>
    <t>Profit / (loss) by Business Segments</t>
  </si>
  <si>
    <t>Net income margin</t>
  </si>
  <si>
    <t>Revenue by geographical area</t>
  </si>
  <si>
    <t>Saudi Arabia</t>
  </si>
  <si>
    <t>Other GCC Countries</t>
  </si>
  <si>
    <t>Other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</si>
</sst>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7">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_);\(#,##0.0\)"/>
    <numFmt numFmtId="173" formatCode="#0.0%_);\(#0.0%\)"/>
    <numFmt numFmtId="174" formatCode="#0.00\x"/>
    <numFmt numFmtId="175" formatCode="mmm\ yyyy"/>
    <numFmt numFmtId="176" formatCode="0.0%"/>
    <numFmt numFmtId="177" formatCode="_(* #,##0.0_);_(* \(#,##0.0\);_(* &quot;-&quot;??_);_(@_)"/>
    <numFmt numFmtId="178" formatCode="_(* #,##0.000_);_(* \(#,##0.000\);_(* &quot;-&quot;??_);_(@_)"/>
    <numFmt numFmtId="179" formatCode="_(* #,##0_);_(* \(#,##0\);_(* &quot;-&quot;??_);_(@_)"/>
    <numFmt numFmtId="180" formatCode="#,##0.0\ ;\(#,##0.0\)"/>
    <numFmt numFmtId="181" formatCode="&quot;$&quot;#,##0.00_)&quot;per share&quot;;\(&quot;$&quot;#,##0.00\)&quot; per share&quot;"/>
    <numFmt numFmtId="182" formatCode="0.0_)\%;\(0.0\)\%;0.0_)\%;@_)_%"/>
    <numFmt numFmtId="183" formatCode="#,##0.0_)_%;\(#,##0.0\)_%;0.0_)_%;@_)_%"/>
    <numFmt numFmtId="184" formatCode="#,##0.0_);\(#,##0.0\);#,##0.0_);@_)"/>
    <numFmt numFmtId="185" formatCode="&quot;$&quot;_(#,##0.00_);&quot;$&quot;\(#,##0.00\);&quot;$&quot;_(0.00_);@_)"/>
    <numFmt numFmtId="186" formatCode="&quot;$&quot;_(#,##0.00_);&quot;$&quot;\(#,##0.00\)"/>
    <numFmt numFmtId="187" formatCode="#,##0.00_);\(#,##0.00\);0.00_);@_)"/>
    <numFmt numFmtId="188" formatCode="\€_(#,##0.00_);\€\(#,##0.00\);\€_(0.00_);@_)"/>
    <numFmt numFmtId="189" formatCode="#,##0_)\x;\(#,##0\)\x;0_)\x;@_)_x"/>
    <numFmt numFmtId="190" formatCode="#,##0.0_)\x;\(#,##0.0\)\x"/>
    <numFmt numFmtId="191" formatCode="#,##0_)_x;\(#,##0\)_x;0_)_x;@_)_x"/>
    <numFmt numFmtId="192" formatCode="#,##0.0_)_x;\(#,##0.0\)_x"/>
    <numFmt numFmtId="193" formatCode="0.0_)\%;\(0.0\)\%"/>
    <numFmt numFmtId="194" formatCode="#,##0.0_)_%;\(#,##0.0\)_%"/>
    <numFmt numFmtId="195" formatCode="_(\£* #,##0_);_(\£* \(#,##0\);_(\£* &quot;-&quot;_);_(@_)"/>
    <numFmt numFmtId="196" formatCode="_(\£* #,##0.0_);_(\£* \(#,##0.0\);_(\£* &quot;-&quot;_);_(@_)"/>
    <numFmt numFmtId="197" formatCode="_(\£* #,##0.00_);_(\£* \(#,##0.00\);_(\£* &quot;-&quot;_);_(@_)"/>
    <numFmt numFmtId="198" formatCode="_(* #,##0\p_);_(* \(#,##0\p\);_(* &quot;-&quot;\ \p_);_(@_)"/>
    <numFmt numFmtId="199" formatCode="_(* #,##0.00\p_);_(* \(#,##0.00\p\);_(* &quot;-&quot;\ \p_);_(@_)"/>
    <numFmt numFmtId="200" formatCode="\£#,##0.00"/>
    <numFmt numFmtId="201" formatCode="&quot;$&quot;&quot; &quot;#,##0_);\(&quot;$&quot;&quot; &quot;#,##0\);\-_)"/>
    <numFmt numFmtId="202" formatCode="#,##0_);\(#,##0\);\-_)"/>
    <numFmt numFmtId="203" formatCode="&quot;$&quot;#,##0_);[Red]\(&quot;$&quot;#,##0\);&quot;-&quot;"/>
    <numFmt numFmtId="204" formatCode="[Blue]0.0%;[Blue]\-0.0%"/>
    <numFmt numFmtId="205" formatCode="\£#,##0_);\(\£#,##0\)"/>
    <numFmt numFmtId="206" formatCode="&quot;fl&quot;#,##0_);\(&quot;fl&quot;#,##0\)"/>
    <numFmt numFmtId="207" formatCode="&quot;$&quot;\ #,##0_);\(&quot;$&quot;\ #,##0\)"/>
    <numFmt numFmtId="208" formatCode="_(&quot;R$&quot;* #,##0.00_);_(&quot;R$&quot;* \(#,##0.00\);_(&quot;R$&quot;* &quot;-&quot;??_);_(@_)"/>
    <numFmt numFmtId="209" formatCode="0.0\x;[Red]\(0.0\x\)"/>
    <numFmt numFmtId="210" formatCode="#,##0.0_);\(#,##0.0\);&quot;—&quot;_)"/>
    <numFmt numFmtId="211" formatCode="&quot;$&quot;#,##0.0_);\(&quot;$&quot;#,##0.0\);&quot;—&quot;_)"/>
    <numFmt numFmtId="212" formatCode="0.000000000%"/>
    <numFmt numFmtId="213" formatCode="#,##0.0000"/>
    <numFmt numFmtId="214" formatCode="mm/dd/yy"/>
    <numFmt numFmtId="215" formatCode="&quot;$&quot;#,##0.00"/>
    <numFmt numFmtId="216" formatCode="_([$€-2]* #,##0.00_);_([$€-2]* \(#,##0.00\);_([$€-2]* &quot;-&quot;??_)"/>
    <numFmt numFmtId="217" formatCode="#&quot; mon&quot;"/>
    <numFmt numFmtId="218" formatCode="#,##0\ &quot;F&quot;;[Red]\-#,##0\ &quot;F&quot;"/>
    <numFmt numFmtId="219" formatCode="#,##0.00\ &quot;F&quot;;[Red]\-#,##0.00\ &quot;F&quot;"/>
    <numFmt numFmtId="220" formatCode="#,##0.0\x_)_);\(#,##0.0\x\)_);#,##0.0\x_)_);@_%_)"/>
    <numFmt numFmtId="221" formatCode="_(* #,##0.00\ ___);_(* \(#,##0.00\ __\);_(* &quot;-&quot;??_);_(@_)"/>
    <numFmt numFmtId="222" formatCode="0%\);[Red]\(0%"/>
    <numFmt numFmtId="223" formatCode="_(* #,##0\ ___);_(* \(#,##0\ __\);_(* &quot;-&quot;??_);_(@_)"/>
    <numFmt numFmtId="224" formatCode="_(* #,##0\ \x_);_(* \(#,##0\ \x\);_(* &quot;-&quot;??_);_(@_)"/>
    <numFmt numFmtId="225" formatCode="0%_);[Red]\(0%\)"/>
    <numFmt numFmtId="226" formatCode="_(* #,##0.0\ ___);_(* \(#,##0.0\ __\);_(* &quot;-&quot;??_);_(@_)"/>
    <numFmt numFmtId="227" formatCode="_(* #,##0.0\ \x_);_(* \(#,##0.0\ \x\);_(* &quot;-&quot;??_);_(@_)"/>
    <numFmt numFmtId="228" formatCode="#,##0&quot; F&quot;_);\(#,##0&quot; F&quot;\)"/>
    <numFmt numFmtId="229" formatCode="_(* #,##0.00_);_(* \(\ #,##0.00\ \);_(* &quot;&quot;??_);_(\ @_ \)"/>
    <numFmt numFmtId="230" formatCode="0.00_)"/>
    <numFmt numFmtId="231" formatCode="_(* #,##0.0_);_(* \(#,##0.0\);_(* &quot;-&quot;?_);_(@_)"/>
    <numFmt numFmtId="232" formatCode="0.00%\ &quot;Ramped&quot;\ "/>
    <numFmt numFmtId="233" formatCode="0.00%\ &quot;Ramped&quot;"/>
    <numFmt numFmtId="234" formatCode="0.0000"/>
    <numFmt numFmtId="235" formatCode="0.000"/>
    <numFmt numFmtId="236" formatCode="&quot;Diversity =&quot;\ #.0"/>
    <numFmt numFmtId="237" formatCode="&quot;Ratings Factor =&quot;\ #"/>
    <numFmt numFmtId="238" formatCode="&quot;Page &quot;0"/>
    <numFmt numFmtId="239" formatCode="&quot;\&quot;#,##0.00;[Red]\-&quot;\&quot;#,##0.00"/>
    <numFmt numFmtId="240" formatCode="0.0_%"/>
    <numFmt numFmtId="241" formatCode="_(0.0%;_(* \(0.0\)%"/>
    <numFmt numFmtId="242" formatCode="_(* #,##0.0000_);_(* \(#,##0.0000\);_(* &quot;-&quot;??_);_(@_)"/>
    <numFmt numFmtId="243" formatCode="0&quot; bps&quot;"/>
    <numFmt numFmtId="244" formatCode="&quot;WAS =&quot;\ #.00"/>
    <numFmt numFmtId="245" formatCode="&quot;Avg. Px.=&quot;#.00"/>
    <numFmt numFmtId="246" formatCode="&quot;WAL=&quot;#.00"/>
    <numFmt numFmtId="247" formatCode="#.00\ &quot;years&quot;"/>
    <numFmt numFmtId="248" formatCode="&quot;2nd Lien=&quot;#"/>
    <numFmt numFmtId="249" formatCode="&quot;WAPP=&quot;#.00"/>
    <numFmt numFmtId="250" formatCode="&quot;WAS=&quot;#.00"/>
    <numFmt numFmtId="251" formatCode="&quot;WAC=&quot;#.00"/>
    <numFmt numFmtId="252" formatCode="&quot;$&quot;#,##0.0_);\(&quot;$&quot;#,##0.0\)"/>
    <numFmt numFmtId="253" formatCode="#,###,;\(#,###,\)"/>
    <numFmt numFmtId="254" formatCode="000\-00\-0000"/>
    <numFmt numFmtId="255" formatCode="&quot;$&quot;#,##0.0000"/>
    <numFmt numFmtId="256" formatCode="&quot;$&quot;#,##0.000000"/>
    <numFmt numFmtId="257" formatCode="&quot;$&quot;#,##0.000"/>
    <numFmt numFmtId="258" formatCode="000000000"/>
    <numFmt numFmtId="259" formatCode="000"/>
    <numFmt numFmtId="260" formatCode="hh:mm\ AM/PM_)"/>
    <numFmt numFmtId="261" formatCode="#.0&quot;x&quot;"/>
    <numFmt numFmtId="262" formatCode="yyyy"/>
    <numFmt numFmtId="263" formatCode="\¥#,##0_);\(\¥#,##0\)"/>
    <numFmt numFmtId="264" formatCode="#0.0\x"/>
    <numFmt numFmtId="265" formatCode="0.0\x"/>
    <numFmt numFmtId="266" formatCode="#,##0.0"/>
    <numFmt numFmtId="267" formatCode="#,##0.000_);\(#,##0.000\)"/>
    <numFmt numFmtId="268" formatCode="#,##0.0000_);\(#,##0.0000\)"/>
    <numFmt numFmtId="269" formatCode="#,##0.00000_);\(#,##0.00000\)"/>
  </numFmts>
  <fonts count="133">
    <font>
      <sz val="10"/>
      <name val="Arial"/>
      <family val="2"/>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sz val="9"/>
      <color indexed="81"/>
      <name val="Tahoma"/>
      <family val="2"/>
    </font>
    <font>
      <b/>
      <sz val="9"/>
      <color indexed="81"/>
      <name val="Tahoma"/>
      <family val="2"/>
    </font>
    <font>
      <b/>
      <sz val="11"/>
      <color indexed="9"/>
      <name val="Calibri"/>
      <family val="2"/>
    </font>
    <font>
      <b/>
      <sz val="10"/>
      <name val="Calibri"/>
      <family val="2"/>
    </font>
    <font>
      <b/>
      <sz val="10"/>
      <color indexed="8"/>
      <name val="Arial"/>
      <family val="2"/>
    </font>
    <font>
      <b/>
      <sz val="10"/>
      <color indexed="10"/>
      <name val="Calibri"/>
      <family val="2"/>
    </font>
    <font>
      <i/>
      <sz val="10"/>
      <name val="Arial"/>
      <family val="2"/>
    </font>
    <font>
      <sz val="11"/>
      <color theme="1"/>
      <name val="Calibri"/>
      <family val="2"/>
      <scheme val="minor"/>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b/>
      <u/>
      <sz val="16"/>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sz val="10"/>
      <color rgb="FF0000FF"/>
      <name val="Calibri"/>
      <family val="2"/>
      <scheme val="minor"/>
    </font>
    <font>
      <i/>
      <sz val="8"/>
      <color rgb="FFFF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i/>
      <sz val="10"/>
      <color rgb="FFFF0000"/>
      <name val="Calibri"/>
      <family val="2"/>
      <scheme val="minor"/>
    </font>
    <font>
      <b/>
      <sz val="10"/>
      <color rgb="FFFF0000"/>
      <name val="Calibri"/>
      <family val="2"/>
      <scheme val="minor"/>
    </font>
    <font>
      <sz val="10"/>
      <color rgb="FFFF0000"/>
      <name val="Arial"/>
      <family val="2"/>
    </font>
    <font>
      <b/>
      <sz val="10"/>
      <color rgb="FF0000FF"/>
      <name val="Calibri"/>
      <family val="2"/>
      <scheme val="minor"/>
    </font>
    <font>
      <sz val="8"/>
      <color rgb="FFFF0000"/>
      <name val="Arial"/>
      <family val="2"/>
    </font>
    <font>
      <sz val="8"/>
      <name val="Calibri"/>
      <family val="2"/>
      <scheme val="minor"/>
    </font>
  </fonts>
  <fills count="32">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9"/>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59999389629810485"/>
        <bgColor indexed="64"/>
      </patternFill>
    </fill>
  </fills>
  <borders count="60">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9"/>
      </top>
      <bottom style="thin">
        <color indexed="9"/>
      </bottom>
      <diagonal/>
    </border>
  </borders>
  <cellStyleXfs count="907">
    <xf numFmtId="0" fontId="0" fillId="0" borderId="0"/>
    <xf numFmtId="180" fontId="26" fillId="0" borderId="0"/>
    <xf numFmtId="0" fontId="27" fillId="0" borderId="0">
      <alignment horizontal="right"/>
    </xf>
    <xf numFmtId="0" fontId="6" fillId="0" borderId="0"/>
    <xf numFmtId="181" fontId="22" fillId="0" borderId="0" applyFont="0" applyFill="0" applyBorder="0" applyAlignment="0"/>
    <xf numFmtId="182" fontId="6" fillId="0" borderId="0" applyFont="0" applyFill="0" applyBorder="0" applyAlignment="0" applyProtection="0"/>
    <xf numFmtId="183"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vertical="top"/>
    </xf>
    <xf numFmtId="0" fontId="6" fillId="0" borderId="0" applyNumberFormat="0" applyFill="0" applyBorder="0" applyAlignment="0" applyProtection="0">
      <alignment horizontal="left" wrapText="1"/>
    </xf>
    <xf numFmtId="0" fontId="6" fillId="0" borderId="0">
      <alignment vertical="top"/>
    </xf>
    <xf numFmtId="184" fontId="6" fillId="0" borderId="0" applyFont="0" applyFill="0" applyBorder="0" applyAlignment="0" applyProtection="0"/>
    <xf numFmtId="172" fontId="6" fillId="0" borderId="0" applyFont="0" applyFill="0" applyBorder="0" applyAlignment="0" applyProtection="0"/>
    <xf numFmtId="185" fontId="6" fillId="0" borderId="0" applyFont="0" applyFill="0" applyBorder="0" applyAlignment="0" applyProtection="0"/>
    <xf numFmtId="186" fontId="6" fillId="0" borderId="0" applyFont="0" applyFill="0" applyBorder="0" applyAlignment="0" applyProtection="0"/>
    <xf numFmtId="187" fontId="6" fillId="0" borderId="0" applyFont="0" applyFill="0" applyBorder="0" applyAlignment="0" applyProtection="0"/>
    <xf numFmtId="39" fontId="6" fillId="0" borderId="0" applyFont="0" applyFill="0" applyBorder="0" applyAlignment="0" applyProtection="0"/>
    <xf numFmtId="188"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8" fillId="0" borderId="0" applyNumberFormat="0" applyFill="0" applyBorder="0" applyAlignment="0" applyProtection="0"/>
    <xf numFmtId="0" fontId="28" fillId="0" borderId="0" applyNumberFormat="0" applyFill="0" applyBorder="0" applyAlignment="0" applyProtection="0"/>
    <xf numFmtId="0" fontId="6" fillId="2" borderId="0" applyNumberFormat="0" applyFont="0" applyAlignment="0" applyProtection="0"/>
    <xf numFmtId="0"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91" fontId="6" fillId="0" borderId="0" applyFont="0" applyFill="0" applyBorder="0" applyProtection="0">
      <alignment horizontal="right"/>
    </xf>
    <xf numFmtId="192" fontId="6" fillId="0" borderId="0" applyFont="0" applyFill="0" applyBorder="0" applyAlignment="0" applyProtection="0"/>
    <xf numFmtId="0" fontId="6" fillId="0" borderId="0">
      <alignment horizontal="left" wrapText="1"/>
    </xf>
    <xf numFmtId="0" fontId="6" fillId="0" borderId="0">
      <alignment horizontal="left" wrapText="1"/>
    </xf>
    <xf numFmtId="193" fontId="6" fillId="0" borderId="0" applyFont="0" applyFill="0" applyBorder="0" applyAlignment="0" applyProtection="0"/>
    <xf numFmtId="194"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Font="0" applyFill="0" applyBorder="0" applyAlignment="0" applyProtection="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9" fillId="0" borderId="0" applyNumberFormat="0" applyFill="0" applyBorder="0" applyProtection="0">
      <alignment vertical="top"/>
    </xf>
    <xf numFmtId="0" fontId="29" fillId="0" borderId="0" applyNumberFormat="0" applyFill="0" applyBorder="0" applyProtection="0">
      <alignment vertical="top"/>
    </xf>
    <xf numFmtId="0" fontId="30" fillId="0" borderId="1" applyNumberFormat="0" applyFill="0" applyAlignment="0" applyProtection="0"/>
    <xf numFmtId="0" fontId="31" fillId="0" borderId="2" applyNumberFormat="0" applyFill="0" applyProtection="0">
      <alignment horizontal="center"/>
    </xf>
    <xf numFmtId="0" fontId="31" fillId="0" borderId="0" applyNumberFormat="0" applyFill="0" applyBorder="0" applyProtection="0">
      <alignment horizontal="left"/>
    </xf>
    <xf numFmtId="0" fontId="32" fillId="0" borderId="0" applyNumberFormat="0" applyFill="0" applyBorder="0" applyProtection="0">
      <alignment horizontal="centerContinuous"/>
    </xf>
    <xf numFmtId="195" fontId="33" fillId="0" borderId="0" applyFont="0" applyFill="0" applyBorder="0" applyAlignment="0" applyProtection="0"/>
    <xf numFmtId="196" fontId="33" fillId="0" borderId="0" applyFont="0" applyFill="0" applyBorder="0" applyAlignment="0" applyProtection="0"/>
    <xf numFmtId="197" fontId="33" fillId="0" borderId="0" applyFont="0" applyFill="0" applyBorder="0" applyAlignment="0" applyProtection="0"/>
    <xf numFmtId="198" fontId="33" fillId="0" borderId="0" applyFont="0" applyFill="0" applyBorder="0" applyAlignment="0" applyProtection="0"/>
    <xf numFmtId="199" fontId="33" fillId="0" borderId="0" applyFont="0" applyFill="0" applyBorder="0" applyAlignment="0" applyProtection="0"/>
    <xf numFmtId="200" fontId="34" fillId="0" borderId="0" applyFont="0" applyFill="0" applyBorder="0" applyAlignment="0" applyProtection="0"/>
    <xf numFmtId="168" fontId="6" fillId="0" borderId="0" applyFont="0" applyFill="0" applyBorder="0" applyAlignment="0" applyProtection="0"/>
    <xf numFmtId="0" fontId="35" fillId="0" borderId="0" applyNumberFormat="0" applyFont="0" applyFill="0" applyBorder="0" applyProtection="0">
      <alignment horizontal="centerContinuous"/>
    </xf>
    <xf numFmtId="0" fontId="3" fillId="0" borderId="0" applyNumberFormat="0" applyFill="0" applyBorder="0" applyAlignment="0">
      <protection locked="0"/>
    </xf>
    <xf numFmtId="0" fontId="36" fillId="0" borderId="0"/>
    <xf numFmtId="0" fontId="37" fillId="0" borderId="0"/>
    <xf numFmtId="0" fontId="27" fillId="0" borderId="0">
      <alignment horizontal="center" wrapText="1"/>
      <protection locked="0"/>
    </xf>
    <xf numFmtId="0" fontId="6" fillId="0" borderId="0" applyNumberFormat="0" applyFill="0" applyBorder="0" applyAlignment="0" applyProtection="0"/>
    <xf numFmtId="0" fontId="38" fillId="0" borderId="0" applyNumberFormat="0" applyFill="0" applyBorder="0" applyAlignment="0" applyProtection="0"/>
    <xf numFmtId="0" fontId="22" fillId="3" borderId="0" applyNumberFormat="0" applyBorder="0" applyAlignment="0">
      <protection locked="0"/>
    </xf>
    <xf numFmtId="201" fontId="22" fillId="0" borderId="0" applyFont="0" applyFill="0" applyBorder="0" applyAlignment="0" applyProtection="0"/>
    <xf numFmtId="202" fontId="39" fillId="0" borderId="0" applyFont="0" applyFill="0" applyBorder="0" applyAlignment="0" applyProtection="0"/>
    <xf numFmtId="203" fontId="22" fillId="0" borderId="0" applyFont="0" applyFill="0" applyBorder="0" applyAlignment="0" applyProtection="0"/>
    <xf numFmtId="0" fontId="106" fillId="25" borderId="0"/>
    <xf numFmtId="0" fontId="40" fillId="0" borderId="0" applyNumberFormat="0" applyFill="0" applyBorder="0" applyAlignment="0" applyProtection="0"/>
    <xf numFmtId="204" fontId="41" fillId="0" borderId="0"/>
    <xf numFmtId="0" fontId="42" fillId="0" borderId="0" applyNumberFormat="0" applyFill="0" applyBorder="0" applyAlignment="0" applyProtection="0"/>
    <xf numFmtId="0" fontId="5" fillId="0" borderId="0"/>
    <xf numFmtId="0" fontId="43" fillId="0" borderId="0"/>
    <xf numFmtId="0" fontId="35" fillId="0" borderId="3" applyNumberFormat="0" applyFont="0" applyFill="0" applyAlignment="0" applyProtection="0"/>
    <xf numFmtId="0" fontId="44" fillId="0" borderId="4" applyFill="0" applyProtection="0">
      <alignment horizontal="right"/>
    </xf>
    <xf numFmtId="205" fontId="21" fillId="0" borderId="0" applyFont="0" applyFill="0" applyBorder="0" applyAlignment="0" applyProtection="0"/>
    <xf numFmtId="0" fontId="7" fillId="0" borderId="0" applyNumberFormat="0" applyFill="0" applyBorder="0" applyAlignment="0" applyProtection="0"/>
    <xf numFmtId="0" fontId="45" fillId="0" borderId="0"/>
    <xf numFmtId="0" fontId="26" fillId="0" borderId="0" applyFill="0" applyBorder="0" applyAlignment="0"/>
    <xf numFmtId="0" fontId="26" fillId="0" borderId="0" applyFill="0" applyBorder="0" applyAlignment="0"/>
    <xf numFmtId="206" fontId="26" fillId="0" borderId="0" applyFill="0" applyBorder="0" applyAlignment="0"/>
    <xf numFmtId="207" fontId="26" fillId="0" borderId="0" applyFill="0" applyBorder="0" applyAlignment="0"/>
    <xf numFmtId="208" fontId="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39" fontId="27" fillId="4" borderId="0" applyNumberFormat="0" applyFont="0" applyBorder="0" applyAlignment="0"/>
    <xf numFmtId="0" fontId="46" fillId="0" borderId="0"/>
    <xf numFmtId="0" fontId="35" fillId="0" borderId="0" applyNumberFormat="0" applyFont="0" applyFill="0" applyBorder="0" applyProtection="0">
      <alignment horizontal="center"/>
    </xf>
    <xf numFmtId="49" fontId="20" fillId="0" borderId="0" applyFill="0" applyBorder="0" applyProtection="0">
      <alignment horizontal="center"/>
    </xf>
    <xf numFmtId="49" fontId="47" fillId="0" borderId="0" applyFill="0" applyBorder="0" applyProtection="0">
      <alignment horizontal="center"/>
    </xf>
    <xf numFmtId="167" fontId="6" fillId="0" borderId="5" applyFont="0" applyFill="0" applyBorder="0" applyProtection="0">
      <alignment horizontal="right"/>
    </xf>
    <xf numFmtId="0" fontId="4" fillId="0" borderId="0"/>
    <xf numFmtId="0" fontId="2" fillId="0" borderId="0" applyNumberFormat="0" applyFill="0" applyBorder="0" applyAlignment="0" applyProtection="0"/>
    <xf numFmtId="0" fontId="48" fillId="0" borderId="0" applyNumberFormat="0" applyFill="0" applyBorder="0" applyAlignment="0" applyProtection="0"/>
    <xf numFmtId="0" fontId="2" fillId="0" borderId="0" applyNumberFormat="0" applyFill="0" applyBorder="0" applyAlignment="0" applyProtection="0"/>
    <xf numFmtId="0" fontId="49" fillId="0" borderId="3" applyNumberFormat="0" applyFill="0" applyBorder="0" applyAlignment="0" applyProtection="0">
      <alignment horizontal="center"/>
    </xf>
    <xf numFmtId="0" fontId="8" fillId="5" borderId="0"/>
    <xf numFmtId="171" fontId="1" fillId="0" borderId="0" applyFont="0" applyFill="0" applyBorder="0" applyAlignment="0" applyProtection="0"/>
    <xf numFmtId="209" fontId="6" fillId="0" borderId="0"/>
    <xf numFmtId="209" fontId="6" fillId="0" borderId="0"/>
    <xf numFmtId="209" fontId="6" fillId="0" borderId="0"/>
    <xf numFmtId="209" fontId="6" fillId="0" borderId="0"/>
    <xf numFmtId="209" fontId="6" fillId="0" borderId="0"/>
    <xf numFmtId="209" fontId="6" fillId="0" borderId="0"/>
    <xf numFmtId="209" fontId="6" fillId="0" borderId="0"/>
    <xf numFmtId="209" fontId="6" fillId="0" borderId="0"/>
    <xf numFmtId="210" fontId="50" fillId="0" borderId="0"/>
    <xf numFmtId="0" fontId="26" fillId="0" borderId="0" applyFont="0" applyFill="0" applyBorder="0" applyAlignment="0" applyProtection="0"/>
    <xf numFmtId="177" fontId="51" fillId="0" borderId="0" applyFont="0" applyFill="0" applyBorder="0" applyAlignment="0" applyProtection="0"/>
    <xf numFmtId="43" fontId="6" fillId="0" borderId="0" applyFont="0" applyFill="0" applyBorder="0" applyAlignment="0" applyProtection="0"/>
    <xf numFmtId="171" fontId="6" fillId="0" borderId="0" applyFont="0" applyFill="0" applyBorder="0" applyAlignment="0" applyProtection="0"/>
    <xf numFmtId="40" fontId="6" fillId="0" borderId="0" applyFont="0" applyFill="0" applyBorder="0" applyProtection="0">
      <alignment horizontal="right"/>
    </xf>
    <xf numFmtId="3" fontId="6" fillId="0" borderId="0" applyFill="0" applyBorder="0" applyAlignment="0" applyProtection="0"/>
    <xf numFmtId="3" fontId="2" fillId="0" borderId="0" applyFont="0" applyFill="0" applyBorder="0" applyAlignment="0" applyProtection="0"/>
    <xf numFmtId="3" fontId="20" fillId="0" borderId="0" applyFill="0" applyBorder="0" applyAlignment="0" applyProtection="0"/>
    <xf numFmtId="38" fontId="52" fillId="0" borderId="0" applyNumberFormat="0" applyFill="0" applyBorder="0">
      <alignment vertical="center"/>
    </xf>
    <xf numFmtId="0" fontId="53" fillId="0" borderId="0" applyNumberFormat="0" applyAlignment="0">
      <alignment horizontal="left"/>
    </xf>
    <xf numFmtId="166" fontId="6" fillId="0" borderId="0" applyFont="0" applyFill="0" applyBorder="0" applyAlignment="0" applyProtection="0"/>
    <xf numFmtId="211" fontId="50" fillId="0" borderId="0"/>
    <xf numFmtId="0" fontId="26" fillId="0" borderId="0" applyFont="0" applyFill="0" applyBorder="0" applyAlignment="0" applyProtection="0"/>
    <xf numFmtId="212" fontId="22" fillId="0" borderId="0" applyFont="0" applyFill="0" applyBorder="0" applyAlignment="0" applyProtection="0"/>
    <xf numFmtId="167" fontId="35" fillId="0" borderId="0" applyBorder="0"/>
    <xf numFmtId="213" fontId="6" fillId="0" borderId="0" applyNumberFormat="0">
      <alignment horizontal="right"/>
    </xf>
    <xf numFmtId="15" fontId="6" fillId="0" borderId="0" applyFont="0" applyFill="0" applyBorder="0" applyProtection="0">
      <alignment horizontal="right"/>
    </xf>
    <xf numFmtId="14" fontId="4" fillId="0" borderId="0" applyFill="0" applyBorder="0" applyAlignment="0"/>
    <xf numFmtId="15" fontId="6" fillId="0" borderId="0" applyFont="0" applyFill="0" applyBorder="0" applyProtection="0">
      <alignment horizontal="right"/>
    </xf>
    <xf numFmtId="214" fontId="20" fillId="0" borderId="0" applyFill="0" applyBorder="0" applyProtection="0">
      <alignment horizontal="left"/>
    </xf>
    <xf numFmtId="0" fontId="6" fillId="0" borderId="0">
      <alignment horizontal="left"/>
    </xf>
    <xf numFmtId="38" fontId="54" fillId="0" borderId="6">
      <alignment vertical="center"/>
    </xf>
    <xf numFmtId="215" fontId="34" fillId="0" borderId="0" applyFont="0" applyFill="0" applyBorder="0" applyAlignment="0" applyProtection="0"/>
    <xf numFmtId="4" fontId="55" fillId="0" borderId="0" applyFont="0" applyFill="0" applyBorder="0" applyAlignment="0" applyProtection="0"/>
    <xf numFmtId="0" fontId="34" fillId="0" borderId="0" applyFont="0" applyFill="0" applyBorder="0" applyAlignment="0" applyProtection="0"/>
    <xf numFmtId="0" fontId="35" fillId="0" borderId="7" applyNumberFormat="0" applyFont="0" applyFill="0" applyAlignment="0" applyProtection="0"/>
    <xf numFmtId="168" fontId="56" fillId="0" borderId="0" applyFill="0" applyBorder="0" applyAlignment="0" applyProtection="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57" fillId="0" borderId="0" applyNumberFormat="0" applyAlignment="0">
      <alignment horizontal="left"/>
    </xf>
    <xf numFmtId="216" fontId="6" fillId="0" borderId="0" applyFont="0" applyFill="0" applyBorder="0" applyAlignment="0" applyProtection="0"/>
    <xf numFmtId="266" fontId="108" fillId="26" borderId="8">
      <alignment horizontal="right"/>
    </xf>
    <xf numFmtId="176" fontId="35" fillId="0" borderId="0" applyNumberFormat="0" applyFont="0" applyAlignment="0">
      <alignment vertical="center"/>
    </xf>
    <xf numFmtId="0" fontId="58" fillId="0" borderId="0">
      <alignment horizontal="center"/>
    </xf>
    <xf numFmtId="0" fontId="59" fillId="0" borderId="0" applyNumberFormat="0" applyFill="0" applyBorder="0" applyAlignment="0" applyProtection="0"/>
    <xf numFmtId="38" fontId="2" fillId="7" borderId="0" applyNumberFormat="0" applyBorder="0" applyAlignment="0" applyProtection="0"/>
    <xf numFmtId="0" fontId="5" fillId="8" borderId="9" applyAlignment="0" applyProtection="0"/>
    <xf numFmtId="0" fontId="60" fillId="0" borderId="3" applyFill="0" applyProtection="0">
      <alignment horizontal="centerContinuous"/>
    </xf>
    <xf numFmtId="169" fontId="61" fillId="0" borderId="0">
      <alignment horizontal="center"/>
    </xf>
    <xf numFmtId="0" fontId="6" fillId="0" borderId="0">
      <alignment horizontal="center"/>
    </xf>
    <xf numFmtId="0" fontId="6" fillId="0" borderId="0">
      <alignment horizontal="left"/>
    </xf>
    <xf numFmtId="0" fontId="6" fillId="0" borderId="0">
      <alignment horizontal="right"/>
    </xf>
    <xf numFmtId="0" fontId="62" fillId="9" borderId="0"/>
    <xf numFmtId="0" fontId="63" fillId="0" borderId="0">
      <alignment horizontal="center" vertical="center"/>
    </xf>
    <xf numFmtId="0" fontId="64" fillId="0" borderId="10" applyNumberFormat="0" applyAlignment="0" applyProtection="0">
      <alignment horizontal="left" vertical="center"/>
    </xf>
    <xf numFmtId="0" fontId="64" fillId="0" borderId="9">
      <alignment horizontal="left" vertical="center"/>
    </xf>
    <xf numFmtId="0" fontId="65" fillId="0" borderId="0">
      <alignment horizontal="center"/>
    </xf>
    <xf numFmtId="0" fontId="66" fillId="0" borderId="0" applyFill="0" applyBorder="0" applyProtection="0">
      <alignment horizontal="right"/>
    </xf>
    <xf numFmtId="0" fontId="67" fillId="0" borderId="11">
      <alignment horizontal="center"/>
    </xf>
    <xf numFmtId="0" fontId="67" fillId="0" borderId="0">
      <alignment horizontal="center"/>
    </xf>
    <xf numFmtId="10" fontId="40" fillId="0" borderId="0" applyNumberFormat="0" applyFill="0" applyBorder="0" applyAlignment="0" applyProtection="0">
      <alignment horizontal="right"/>
    </xf>
    <xf numFmtId="10" fontId="2" fillId="10" borderId="12" applyNumberFormat="0" applyBorder="0" applyAlignment="0" applyProtection="0"/>
    <xf numFmtId="0" fontId="9" fillId="0" borderId="0"/>
    <xf numFmtId="0" fontId="68" fillId="0" borderId="0"/>
    <xf numFmtId="0" fontId="2" fillId="0" borderId="0" applyNumberFormat="0" applyFill="0" applyBorder="0" applyAlignment="0" applyProtection="0"/>
    <xf numFmtId="0" fontId="20" fillId="0" borderId="0" applyNumberFormat="0" applyFill="0" applyBorder="0" applyAlignment="0" applyProtection="0"/>
    <xf numFmtId="0" fontId="2" fillId="0" borderId="0" applyNumberFormat="0" applyFill="0" applyBorder="0" applyAlignment="0" applyProtection="0"/>
    <xf numFmtId="49" fontId="2" fillId="0" borderId="0" applyFont="0" applyFill="0" applyBorder="0" applyProtection="0">
      <alignment horizontal="left"/>
    </xf>
    <xf numFmtId="49" fontId="20" fillId="0" borderId="0" applyFill="0" applyBorder="0" applyProtection="0">
      <alignment horizontal="left"/>
    </xf>
    <xf numFmtId="49" fontId="20" fillId="0" borderId="3" applyFill="0" applyProtection="0">
      <alignment horizontal="left"/>
    </xf>
    <xf numFmtId="49" fontId="20" fillId="0" borderId="13" applyFill="0" applyProtection="0">
      <alignment horizontal="left"/>
    </xf>
    <xf numFmtId="0" fontId="69"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172" fontId="6" fillId="0" borderId="0" applyNumberFormat="0" applyFont="0" applyFill="0" applyBorder="0" applyAlignment="0"/>
    <xf numFmtId="17" fontId="22" fillId="0" borderId="0"/>
    <xf numFmtId="0" fontId="27" fillId="0" borderId="0" applyNumberFormat="0" applyFill="0" applyBorder="0" applyProtection="0"/>
    <xf numFmtId="0" fontId="22" fillId="0" borderId="0" applyNumberFormat="0" applyFill="0" applyBorder="0" applyProtection="0"/>
    <xf numFmtId="38" fontId="70" fillId="0" borderId="0" applyNumberFormat="0" applyFill="0" applyBorder="0">
      <alignment horizontal="left" vertical="center"/>
    </xf>
    <xf numFmtId="43" fontId="6" fillId="0" borderId="0" applyFont="0" applyFill="0" applyBorder="0" applyAlignment="0" applyProtection="0"/>
    <xf numFmtId="38" fontId="71" fillId="0" borderId="0" applyFont="0" applyFill="0" applyBorder="0" applyAlignment="0" applyProtection="0"/>
    <xf numFmtId="40" fontId="71" fillId="0" borderId="0" applyFont="0" applyFill="0" applyBorder="0" applyAlignment="0" applyProtection="0"/>
    <xf numFmtId="176" fontId="72" fillId="0" borderId="0" applyFill="0" applyBorder="0">
      <alignment vertical="center"/>
    </xf>
    <xf numFmtId="217" fontId="27" fillId="0" borderId="0">
      <alignment horizontal="center"/>
    </xf>
    <xf numFmtId="218" fontId="71" fillId="0" borderId="0" applyFont="0" applyFill="0" applyBorder="0" applyAlignment="0" applyProtection="0"/>
    <xf numFmtId="219" fontId="71" fillId="0" borderId="0" applyFont="0" applyFill="0" applyBorder="0" applyAlignment="0" applyProtection="0"/>
    <xf numFmtId="166" fontId="6" fillId="0" borderId="0"/>
    <xf numFmtId="220" fontId="73" fillId="0" borderId="0" applyFont="0" applyFill="0" applyBorder="0" applyProtection="0">
      <alignment horizontal="right"/>
    </xf>
    <xf numFmtId="221" fontId="55" fillId="0" borderId="0" applyFont="0" applyFill="0" applyBorder="0" applyAlignment="0" applyProtection="0"/>
    <xf numFmtId="222" fontId="22" fillId="0" borderId="0" applyFont="0" applyFill="0" applyBorder="0" applyAlignment="0" applyProtection="0"/>
    <xf numFmtId="223" fontId="55" fillId="0" borderId="0" applyFont="0" applyFill="0" applyBorder="0" applyAlignment="0" applyProtection="0"/>
    <xf numFmtId="224" fontId="27" fillId="0" borderId="0" applyFont="0" applyFill="0" applyBorder="0" applyAlignment="0" applyProtection="0"/>
    <xf numFmtId="225" fontId="22" fillId="0" borderId="0" applyFont="0" applyFill="0" applyBorder="0" applyAlignment="0" applyProtection="0"/>
    <xf numFmtId="226" fontId="55" fillId="0" borderId="0" applyFont="0" applyFill="0" applyBorder="0" applyAlignment="0" applyProtection="0"/>
    <xf numFmtId="227" fontId="55" fillId="0" borderId="0" applyFont="0" applyFill="0" applyBorder="0" applyAlignment="0" applyProtection="0"/>
    <xf numFmtId="228" fontId="22" fillId="0" borderId="0" applyFont="0" applyFill="0" applyBorder="0" applyAlignment="0" applyProtection="0"/>
    <xf numFmtId="229" fontId="6" fillId="0" borderId="0"/>
    <xf numFmtId="0" fontId="10" fillId="11" borderId="0"/>
    <xf numFmtId="0" fontId="11" fillId="12" borderId="0"/>
    <xf numFmtId="0" fontId="12" fillId="0" borderId="0"/>
    <xf numFmtId="230" fontId="74"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lignment horizontal="center"/>
    </xf>
    <xf numFmtId="0" fontId="23" fillId="0" borderId="0">
      <alignment horizontal="center" vertical="center"/>
    </xf>
    <xf numFmtId="0" fontId="22" fillId="0" borderId="14"/>
    <xf numFmtId="0" fontId="22" fillId="0" borderId="15"/>
    <xf numFmtId="49" fontId="22" fillId="0" borderId="15">
      <alignment horizontal="left"/>
    </xf>
    <xf numFmtId="0" fontId="22" fillId="0" borderId="16"/>
    <xf numFmtId="0" fontId="22" fillId="0" borderId="3"/>
    <xf numFmtId="0" fontId="22" fillId="0" borderId="17"/>
    <xf numFmtId="0" fontId="22" fillId="7" borderId="18"/>
    <xf numFmtId="0" fontId="23" fillId="7" borderId="13">
      <alignment horizontal="left"/>
    </xf>
    <xf numFmtId="0" fontId="23" fillId="7" borderId="19">
      <alignment horizontal="left"/>
    </xf>
    <xf numFmtId="0" fontId="22" fillId="7" borderId="13"/>
    <xf numFmtId="0" fontId="22" fillId="0" borderId="0">
      <alignment horizontal="left"/>
    </xf>
    <xf numFmtId="0" fontId="23" fillId="7" borderId="13">
      <alignment horizontal="left"/>
    </xf>
    <xf numFmtId="0" fontId="39" fillId="7" borderId="13">
      <alignment horizontal="left"/>
    </xf>
    <xf numFmtId="0" fontId="22" fillId="7" borderId="19"/>
    <xf numFmtId="0" fontId="22" fillId="0" borderId="14">
      <alignment horizontal="left"/>
    </xf>
    <xf numFmtId="0" fontId="22" fillId="0" borderId="0">
      <alignment horizontal="left"/>
    </xf>
    <xf numFmtId="0" fontId="22" fillId="0" borderId="15">
      <alignment horizontal="center"/>
    </xf>
    <xf numFmtId="0" fontId="22" fillId="0" borderId="0">
      <alignment horizontal="left"/>
    </xf>
    <xf numFmtId="0" fontId="23" fillId="7" borderId="18">
      <alignment horizontal="left"/>
    </xf>
    <xf numFmtId="0" fontId="22" fillId="0" borderId="14">
      <alignment horizontal="left"/>
    </xf>
    <xf numFmtId="0" fontId="22" fillId="0" borderId="14">
      <alignment horizontal="right"/>
    </xf>
    <xf numFmtId="179" fontId="23" fillId="0" borderId="0"/>
    <xf numFmtId="0" fontId="22" fillId="0" borderId="14"/>
    <xf numFmtId="176" fontId="22" fillId="0" borderId="15"/>
    <xf numFmtId="0" fontId="22" fillId="0" borderId="14"/>
    <xf numFmtId="0" fontId="22" fillId="0" borderId="14">
      <alignment horizontal="left"/>
    </xf>
    <xf numFmtId="0" fontId="23" fillId="7" borderId="18"/>
    <xf numFmtId="0" fontId="76" fillId="7" borderId="14">
      <alignment horizontal="left"/>
    </xf>
    <xf numFmtId="0" fontId="22" fillId="7" borderId="15"/>
    <xf numFmtId="0" fontId="23" fillId="7" borderId="14">
      <alignment horizontal="left"/>
    </xf>
    <xf numFmtId="0" fontId="22" fillId="0" borderId="14">
      <alignment horizontal="left"/>
    </xf>
    <xf numFmtId="0" fontId="22" fillId="0" borderId="14">
      <alignment horizontal="left"/>
    </xf>
    <xf numFmtId="14" fontId="75" fillId="0" borderId="0">
      <alignment horizontal="center"/>
    </xf>
    <xf numFmtId="49" fontId="77" fillId="0" borderId="14">
      <alignment horizontal="left"/>
    </xf>
    <xf numFmtId="0" fontId="77" fillId="0" borderId="14"/>
    <xf numFmtId="0" fontId="23" fillId="7" borderId="14">
      <alignment horizontal="left"/>
    </xf>
    <xf numFmtId="0" fontId="23" fillId="7" borderId="14"/>
    <xf numFmtId="49" fontId="22" fillId="0" borderId="15">
      <alignment horizontal="left"/>
    </xf>
    <xf numFmtId="0" fontId="75" fillId="0" borderId="14"/>
    <xf numFmtId="0" fontId="75" fillId="0" borderId="0">
      <alignment horizontal="center"/>
    </xf>
    <xf numFmtId="14" fontId="75" fillId="0" borderId="0">
      <alignment horizontal="center"/>
    </xf>
    <xf numFmtId="0" fontId="75" fillId="0" borderId="16"/>
    <xf numFmtId="0" fontId="22" fillId="0" borderId="3">
      <alignment horizontal="center"/>
    </xf>
    <xf numFmtId="0" fontId="22" fillId="0" borderId="0"/>
    <xf numFmtId="0" fontId="75" fillId="0" borderId="3">
      <alignment horizontal="center"/>
    </xf>
    <xf numFmtId="14" fontId="75" fillId="0" borderId="3">
      <alignment horizontal="center"/>
    </xf>
    <xf numFmtId="0" fontId="23" fillId="0" borderId="0">
      <alignment horizontal="left" vertical="center" wrapText="1"/>
    </xf>
    <xf numFmtId="0" fontId="23" fillId="7" borderId="10">
      <alignment horizontal="left" wrapText="1"/>
    </xf>
    <xf numFmtId="0" fontId="23" fillId="0" borderId="0">
      <alignment horizontal="right" vertical="center"/>
    </xf>
    <xf numFmtId="179" fontId="23" fillId="0" borderId="0">
      <alignment horizontal="right"/>
    </xf>
    <xf numFmtId="14" fontId="78" fillId="0" borderId="0">
      <alignment horizontal="center"/>
    </xf>
    <xf numFmtId="0" fontId="23" fillId="7" borderId="20">
      <alignment horizontal="center" wrapText="1"/>
    </xf>
    <xf numFmtId="0" fontId="55" fillId="0" borderId="0">
      <alignment horizontal="center" vertical="center"/>
    </xf>
    <xf numFmtId="1" fontId="79" fillId="0" borderId="0">
      <alignment horizontal="center" wrapText="1"/>
    </xf>
    <xf numFmtId="0" fontId="23" fillId="7" borderId="10">
      <alignment horizontal="center" wrapText="1"/>
    </xf>
    <xf numFmtId="0" fontId="79" fillId="7" borderId="21">
      <alignment horizontal="center" wrapText="1"/>
    </xf>
    <xf numFmtId="0" fontId="79" fillId="7" borderId="20">
      <alignment horizontal="left" wrapText="1"/>
    </xf>
    <xf numFmtId="0" fontId="22" fillId="0" borderId="15">
      <alignment horizontal="left"/>
    </xf>
    <xf numFmtId="0" fontId="55" fillId="0" borderId="0">
      <alignment horizontal="center"/>
    </xf>
    <xf numFmtId="2" fontId="55" fillId="13" borderId="0">
      <alignment horizontal="center"/>
    </xf>
    <xf numFmtId="0" fontId="22" fillId="0" borderId="0">
      <alignment horizontal="left" vertical="top"/>
    </xf>
    <xf numFmtId="16" fontId="22" fillId="0" borderId="0"/>
    <xf numFmtId="0" fontId="22" fillId="13" borderId="0"/>
    <xf numFmtId="14" fontId="22" fillId="0" borderId="0">
      <alignment horizontal="center"/>
    </xf>
    <xf numFmtId="2" fontId="55" fillId="0" borderId="13">
      <alignment horizontal="center" vertical="center"/>
    </xf>
    <xf numFmtId="0" fontId="23" fillId="7" borderId="0">
      <alignment horizontal="center"/>
    </xf>
    <xf numFmtId="2" fontId="55" fillId="0" borderId="0">
      <alignment horizontal="center"/>
    </xf>
    <xf numFmtId="2" fontId="55" fillId="0" borderId="0">
      <alignment horizontal="center"/>
    </xf>
    <xf numFmtId="0" fontId="22" fillId="0" borderId="0">
      <alignment horizontal="left" vertical="top"/>
    </xf>
    <xf numFmtId="15" fontId="22" fillId="0" borderId="0">
      <alignment horizontal="left" vertical="top"/>
    </xf>
    <xf numFmtId="0" fontId="22" fillId="0" borderId="0">
      <alignment horizontal="left" vertical="top"/>
    </xf>
    <xf numFmtId="14" fontId="22" fillId="0" borderId="0">
      <alignment horizontal="center" vertical="top"/>
    </xf>
    <xf numFmtId="0" fontId="55" fillId="0" borderId="0"/>
    <xf numFmtId="0" fontId="79" fillId="0" borderId="3"/>
    <xf numFmtId="14" fontId="79" fillId="0" borderId="3"/>
    <xf numFmtId="2" fontId="55" fillId="0" borderId="3">
      <alignment horizontal="center"/>
    </xf>
    <xf numFmtId="0" fontId="22" fillId="0" borderId="0">
      <alignment horizontal="center"/>
    </xf>
    <xf numFmtId="2" fontId="55" fillId="0" borderId="3">
      <alignment horizontal="center"/>
    </xf>
    <xf numFmtId="0" fontId="55" fillId="0" borderId="3"/>
    <xf numFmtId="0" fontId="55" fillId="0" borderId="3">
      <alignment horizontal="center"/>
    </xf>
    <xf numFmtId="0" fontId="55" fillId="0" borderId="3">
      <alignment horizontal="center"/>
    </xf>
    <xf numFmtId="0" fontId="23" fillId="0" borderId="0">
      <alignment horizontal="left" vertical="top"/>
    </xf>
    <xf numFmtId="0" fontId="23" fillId="0" borderId="0">
      <alignment horizontal="left" vertical="top"/>
    </xf>
    <xf numFmtId="0" fontId="22" fillId="0" borderId="0">
      <alignment horizontal="center" vertical="top"/>
    </xf>
    <xf numFmtId="171" fontId="55" fillId="0" borderId="0">
      <alignment horizontal="left"/>
    </xf>
    <xf numFmtId="179" fontId="22" fillId="0" borderId="0"/>
    <xf numFmtId="0" fontId="22" fillId="0" borderId="0">
      <alignment horizontal="center"/>
    </xf>
    <xf numFmtId="0" fontId="75" fillId="0" borderId="0"/>
    <xf numFmtId="171" fontId="22" fillId="0" borderId="0"/>
    <xf numFmtId="1" fontId="22" fillId="0" borderId="0"/>
    <xf numFmtId="0" fontId="23" fillId="0" borderId="0"/>
    <xf numFmtId="171" fontId="22" fillId="0" borderId="0">
      <alignment horizontal="center"/>
    </xf>
    <xf numFmtId="171" fontId="22" fillId="0" borderId="22"/>
    <xf numFmtId="171" fontId="22" fillId="0" borderId="23"/>
    <xf numFmtId="0" fontId="22" fillId="0" borderId="11"/>
    <xf numFmtId="171" fontId="22" fillId="0" borderId="0"/>
    <xf numFmtId="1" fontId="79" fillId="0" borderId="17">
      <alignment horizontal="center" wrapText="1"/>
    </xf>
    <xf numFmtId="0" fontId="55" fillId="0" borderId="0">
      <alignment horizontal="center"/>
    </xf>
    <xf numFmtId="0" fontId="22" fillId="0" borderId="0">
      <alignment horizontal="left"/>
    </xf>
    <xf numFmtId="0" fontId="55" fillId="0" borderId="0"/>
    <xf numFmtId="171" fontId="22" fillId="0" borderId="0">
      <alignment horizontal="center"/>
    </xf>
    <xf numFmtId="0" fontId="23" fillId="0" borderId="3">
      <alignment horizontal="left" vertical="top"/>
    </xf>
    <xf numFmtId="0" fontId="22" fillId="0" borderId="3">
      <alignment horizontal="center" vertical="top"/>
    </xf>
    <xf numFmtId="14" fontId="22" fillId="0" borderId="3">
      <alignment horizontal="center" vertical="top"/>
    </xf>
    <xf numFmtId="15" fontId="22" fillId="0" borderId="3">
      <alignment horizontal="left" vertical="top"/>
    </xf>
    <xf numFmtId="0" fontId="25" fillId="0" borderId="0"/>
    <xf numFmtId="231" fontId="22" fillId="0" borderId="0">
      <alignment vertical="top"/>
    </xf>
    <xf numFmtId="0" fontId="22" fillId="0" borderId="3">
      <alignment horizontal="left" vertical="top"/>
    </xf>
    <xf numFmtId="0" fontId="22" fillId="0" borderId="0">
      <alignment horizontal="center" wrapText="1"/>
    </xf>
    <xf numFmtId="0" fontId="22" fillId="0" borderId="0">
      <alignment horizontal="center"/>
    </xf>
    <xf numFmtId="0" fontId="22" fillId="0" borderId="0">
      <alignment horizontal="center" vertical="top"/>
    </xf>
    <xf numFmtId="0" fontId="23" fillId="0" borderId="0"/>
    <xf numFmtId="14" fontId="22" fillId="0" borderId="0">
      <alignment horizontal="center"/>
    </xf>
    <xf numFmtId="14" fontId="22" fillId="0" borderId="0">
      <alignment horizontal="left" vertical="top"/>
    </xf>
    <xf numFmtId="169" fontId="22" fillId="0" borderId="0"/>
    <xf numFmtId="3" fontId="23" fillId="0" borderId="24">
      <alignment horizontal="right" vertical="center"/>
    </xf>
    <xf numFmtId="179" fontId="23" fillId="0" borderId="23">
      <alignment horizontal="right"/>
    </xf>
    <xf numFmtId="232" fontId="79" fillId="0" borderId="0">
      <alignment wrapText="1"/>
    </xf>
    <xf numFmtId="0" fontId="22" fillId="0" borderId="0">
      <alignment horizontal="center"/>
    </xf>
    <xf numFmtId="233" fontId="23" fillId="0" borderId="11"/>
    <xf numFmtId="233" fontId="23" fillId="0" borderId="0"/>
    <xf numFmtId="0" fontId="22" fillId="0" borderId="0">
      <alignment vertical="top"/>
    </xf>
    <xf numFmtId="3" fontId="23" fillId="0" borderId="22">
      <alignment horizontal="right" vertical="center"/>
    </xf>
    <xf numFmtId="0" fontId="79" fillId="0" borderId="16">
      <alignment horizontal="center" wrapText="1"/>
    </xf>
    <xf numFmtId="3" fontId="23" fillId="0" borderId="25">
      <alignment horizontal="right" vertical="center"/>
    </xf>
    <xf numFmtId="3" fontId="23" fillId="0" borderId="0">
      <alignment horizontal="right" vertical="center"/>
    </xf>
    <xf numFmtId="179" fontId="23" fillId="0" borderId="11">
      <alignment horizontal="right"/>
    </xf>
    <xf numFmtId="0" fontId="4" fillId="0" borderId="26">
      <alignment wrapText="1"/>
    </xf>
    <xf numFmtId="234" fontId="4" fillId="0" borderId="26">
      <alignment horizontal="right" wrapText="1"/>
    </xf>
    <xf numFmtId="4" fontId="22" fillId="0" borderId="0">
      <alignment horizontal="center"/>
    </xf>
    <xf numFmtId="0" fontId="23" fillId="7" borderId="10">
      <alignment horizontal="center"/>
    </xf>
    <xf numFmtId="0" fontId="23" fillId="7" borderId="21">
      <alignment horizontal="center"/>
    </xf>
    <xf numFmtId="14" fontId="22" fillId="0" borderId="0">
      <alignment horizontal="center" vertical="top"/>
    </xf>
    <xf numFmtId="0" fontId="22" fillId="14" borderId="0">
      <alignment vertical="top"/>
    </xf>
    <xf numFmtId="0" fontId="22" fillId="14" borderId="0"/>
    <xf numFmtId="0" fontId="4" fillId="0" borderId="26">
      <alignment wrapText="1"/>
    </xf>
    <xf numFmtId="235" fontId="26" fillId="0" borderId="0">
      <alignment horizontal="right" vertical="center" wrapText="1"/>
    </xf>
    <xf numFmtId="0" fontId="26" fillId="0" borderId="0">
      <alignment horizontal="right" vertical="center" wrapText="1"/>
    </xf>
    <xf numFmtId="0" fontId="4" fillId="0" borderId="0">
      <alignment wrapText="1"/>
    </xf>
    <xf numFmtId="179" fontId="22" fillId="0" borderId="0"/>
    <xf numFmtId="0" fontId="22" fillId="14" borderId="0">
      <alignment horizontal="center"/>
    </xf>
    <xf numFmtId="0" fontId="23" fillId="14" borderId="0"/>
    <xf numFmtId="0" fontId="22" fillId="14" borderId="0">
      <alignment horizontal="center" vertical="top"/>
    </xf>
    <xf numFmtId="0" fontId="22" fillId="0" borderId="0">
      <alignment vertical="top"/>
    </xf>
    <xf numFmtId="14" fontId="22" fillId="14" borderId="0">
      <alignment horizontal="center" vertical="top"/>
    </xf>
    <xf numFmtId="15" fontId="22" fillId="14" borderId="0">
      <alignment horizontal="left" vertical="top"/>
    </xf>
    <xf numFmtId="0" fontId="22" fillId="14" borderId="0">
      <alignment horizontal="left" vertical="top"/>
    </xf>
    <xf numFmtId="14" fontId="22" fillId="14" borderId="0">
      <alignment horizontal="left" vertical="top"/>
    </xf>
    <xf numFmtId="0" fontId="22" fillId="15" borderId="0">
      <alignment horizontal="center"/>
    </xf>
    <xf numFmtId="0" fontId="23" fillId="15" borderId="0"/>
    <xf numFmtId="0" fontId="22" fillId="15" borderId="0">
      <alignment horizontal="center" vertical="top"/>
    </xf>
    <xf numFmtId="14" fontId="22" fillId="15" borderId="0">
      <alignment horizontal="center" vertical="top"/>
    </xf>
    <xf numFmtId="0" fontId="22" fillId="15" borderId="0">
      <alignment vertical="top"/>
    </xf>
    <xf numFmtId="15" fontId="22" fillId="15" borderId="0">
      <alignment horizontal="left" vertical="top"/>
    </xf>
    <xf numFmtId="15" fontId="75" fillId="0" borderId="0">
      <alignment horizontal="left"/>
    </xf>
    <xf numFmtId="0" fontId="22" fillId="15" borderId="0">
      <alignment horizontal="left" vertical="top"/>
    </xf>
    <xf numFmtId="179" fontId="22" fillId="15" borderId="0">
      <alignment vertical="top"/>
    </xf>
    <xf numFmtId="14" fontId="22" fillId="15" borderId="0">
      <alignment horizontal="left" vertical="top"/>
    </xf>
    <xf numFmtId="0" fontId="22" fillId="15" borderId="0">
      <alignment horizontal="center"/>
    </xf>
    <xf numFmtId="0" fontId="22" fillId="15" borderId="0"/>
    <xf numFmtId="0" fontId="23" fillId="15" borderId="0">
      <alignment horizontal="left" vertical="top"/>
    </xf>
    <xf numFmtId="14" fontId="22" fillId="15" borderId="0">
      <alignment horizontal="center" vertical="top"/>
    </xf>
    <xf numFmtId="0" fontId="55" fillId="15" borderId="0">
      <alignment horizontal="center"/>
    </xf>
    <xf numFmtId="0" fontId="75" fillId="15" borderId="0">
      <alignment horizontal="center"/>
    </xf>
    <xf numFmtId="0" fontId="22" fillId="15" borderId="0"/>
    <xf numFmtId="0" fontId="55" fillId="0" borderId="0"/>
    <xf numFmtId="0" fontId="23" fillId="0" borderId="0">
      <alignment horizontal="center"/>
    </xf>
    <xf numFmtId="0" fontId="23" fillId="0" borderId="0">
      <alignment horizontal="center"/>
    </xf>
    <xf numFmtId="179" fontId="23" fillId="7" borderId="24">
      <alignment horizontal="center"/>
    </xf>
    <xf numFmtId="179" fontId="23" fillId="7" borderId="25">
      <alignment horizontal="center"/>
    </xf>
    <xf numFmtId="2" fontId="55" fillId="0" borderId="0"/>
    <xf numFmtId="0" fontId="55" fillId="0" borderId="0"/>
    <xf numFmtId="2" fontId="55" fillId="0" borderId="0">
      <alignment horizontal="center"/>
    </xf>
    <xf numFmtId="0" fontId="55" fillId="0" borderId="0">
      <alignment horizontal="center"/>
    </xf>
    <xf numFmtId="0" fontId="75" fillId="0" borderId="0">
      <alignment wrapText="1"/>
    </xf>
    <xf numFmtId="0" fontId="55" fillId="0" borderId="0">
      <alignment horizontal="center"/>
    </xf>
    <xf numFmtId="0" fontId="79" fillId="0" borderId="0">
      <alignment horizontal="left" vertical="center"/>
    </xf>
    <xf numFmtId="2" fontId="55" fillId="0" borderId="13">
      <alignment horizontal="center" vertical="center"/>
    </xf>
    <xf numFmtId="0" fontId="55" fillId="0" borderId="13">
      <alignment horizontal="center" vertical="center"/>
    </xf>
    <xf numFmtId="0" fontId="55" fillId="0" borderId="19">
      <alignment horizontal="center" vertical="center"/>
    </xf>
    <xf numFmtId="0" fontId="55" fillId="0" borderId="0">
      <alignment horizontal="center" vertical="center"/>
    </xf>
    <xf numFmtId="0" fontId="55" fillId="0" borderId="0">
      <alignment horizontal="left" vertical="center"/>
    </xf>
    <xf numFmtId="0" fontId="79" fillId="0" borderId="0">
      <alignment horizontal="left"/>
    </xf>
    <xf numFmtId="0" fontId="79" fillId="0" borderId="0">
      <alignment horizontal="left"/>
    </xf>
    <xf numFmtId="0" fontId="79" fillId="0" borderId="0">
      <alignment horizontal="center"/>
    </xf>
    <xf numFmtId="0" fontId="22" fillId="0" borderId="0">
      <alignment horizontal="center" vertical="center" wrapText="1"/>
    </xf>
    <xf numFmtId="0" fontId="79" fillId="0" borderId="0">
      <alignment horizontal="center" wrapText="1"/>
    </xf>
    <xf numFmtId="0" fontId="79" fillId="0" borderId="14">
      <alignment horizontal="center" wrapText="1"/>
    </xf>
    <xf numFmtId="1" fontId="79" fillId="0" borderId="15">
      <alignment horizontal="center" wrapText="1"/>
    </xf>
    <xf numFmtId="0" fontId="79" fillId="0" borderId="0">
      <alignment horizontal="center"/>
    </xf>
    <xf numFmtId="236" fontId="79" fillId="0" borderId="0">
      <alignment horizontal="center" wrapText="1"/>
    </xf>
    <xf numFmtId="171" fontId="79" fillId="0" borderId="0"/>
    <xf numFmtId="0" fontId="79" fillId="0" borderId="0"/>
    <xf numFmtId="0" fontId="55" fillId="0" borderId="0">
      <alignment wrapText="1"/>
    </xf>
    <xf numFmtId="0" fontId="79" fillId="0" borderId="0">
      <alignment horizontal="center" wrapText="1"/>
    </xf>
    <xf numFmtId="0" fontId="79" fillId="0" borderId="0">
      <alignment horizontal="center" wrapText="1"/>
    </xf>
    <xf numFmtId="171" fontId="22" fillId="0" borderId="0">
      <alignment horizontal="center" vertical="center" wrapText="1"/>
    </xf>
    <xf numFmtId="0" fontId="79" fillId="0" borderId="0">
      <alignment horizontal="center" wrapText="1"/>
    </xf>
    <xf numFmtId="237" fontId="79" fillId="0" borderId="0">
      <alignment horizontal="center" wrapText="1"/>
    </xf>
    <xf numFmtId="0" fontId="79" fillId="7" borderId="10">
      <alignment horizontal="center" wrapText="1"/>
    </xf>
    <xf numFmtId="2" fontId="79" fillId="7" borderId="10">
      <alignment horizontal="center" wrapText="1"/>
    </xf>
    <xf numFmtId="0" fontId="79" fillId="7" borderId="10">
      <alignment horizontal="center" wrapText="1"/>
    </xf>
    <xf numFmtId="0" fontId="79" fillId="0" borderId="0">
      <alignment horizontal="center" wrapText="1"/>
    </xf>
    <xf numFmtId="0" fontId="22" fillId="0" borderId="0"/>
    <xf numFmtId="0" fontId="22" fillId="0" borderId="0"/>
    <xf numFmtId="0" fontId="80" fillId="0" borderId="0">
      <alignment horizontal="left" vertical="center"/>
    </xf>
    <xf numFmtId="179" fontId="80" fillId="0" borderId="0">
      <alignment horizontal="left" vertical="center"/>
    </xf>
    <xf numFmtId="0" fontId="23" fillId="0" borderId="0">
      <alignment horizontal="center" vertical="center" wrapText="1"/>
    </xf>
    <xf numFmtId="0" fontId="80" fillId="0" borderId="0">
      <alignment horizontal="center" vertical="center"/>
    </xf>
    <xf numFmtId="0" fontId="23" fillId="0" borderId="24">
      <alignment horizontal="left"/>
    </xf>
    <xf numFmtId="169" fontId="23" fillId="0" borderId="27"/>
    <xf numFmtId="0" fontId="23" fillId="0" borderId="24"/>
    <xf numFmtId="169" fontId="23" fillId="0" borderId="0"/>
    <xf numFmtId="0" fontId="23" fillId="0" borderId="22"/>
    <xf numFmtId="179" fontId="23" fillId="0" borderId="28"/>
    <xf numFmtId="179" fontId="23" fillId="0" borderId="0"/>
    <xf numFmtId="171" fontId="23" fillId="0" borderId="28"/>
    <xf numFmtId="171" fontId="23" fillId="0" borderId="0"/>
    <xf numFmtId="0" fontId="22" fillId="0" borderId="0">
      <alignment wrapText="1"/>
    </xf>
    <xf numFmtId="0" fontId="23" fillId="0" borderId="23"/>
    <xf numFmtId="171" fontId="23" fillId="0" borderId="29"/>
    <xf numFmtId="0" fontId="23" fillId="0" borderId="0">
      <alignment horizontal="center"/>
    </xf>
    <xf numFmtId="0" fontId="23" fillId="7" borderId="24">
      <alignment horizontal="center"/>
    </xf>
    <xf numFmtId="179" fontId="23" fillId="7" borderId="25">
      <alignment horizontal="center"/>
    </xf>
    <xf numFmtId="0" fontId="23" fillId="7" borderId="25">
      <alignment horizontal="center"/>
    </xf>
    <xf numFmtId="0" fontId="23" fillId="7" borderId="27">
      <alignment horizontal="center"/>
    </xf>
    <xf numFmtId="0" fontId="23" fillId="7" borderId="23">
      <alignment horizontal="center"/>
    </xf>
    <xf numFmtId="179" fontId="23" fillId="7" borderId="11">
      <alignment horizontal="right"/>
    </xf>
    <xf numFmtId="0" fontId="23" fillId="7" borderId="11">
      <alignment horizontal="center"/>
    </xf>
    <xf numFmtId="0" fontId="22" fillId="0" borderId="0">
      <alignment horizontal="left" vertical="center" wrapText="1"/>
    </xf>
    <xf numFmtId="0" fontId="23" fillId="7" borderId="29">
      <alignment horizontal="center"/>
    </xf>
    <xf numFmtId="0" fontId="23" fillId="6" borderId="0">
      <alignment horizontal="center"/>
    </xf>
    <xf numFmtId="179" fontId="23" fillId="7" borderId="23">
      <alignment horizontal="center"/>
    </xf>
    <xf numFmtId="179" fontId="23" fillId="7" borderId="11">
      <alignment horizontal="center"/>
    </xf>
    <xf numFmtId="0" fontId="23" fillId="7" borderId="11">
      <alignment horizontal="center"/>
    </xf>
    <xf numFmtId="179" fontId="23" fillId="7" borderId="29">
      <alignment horizontal="center"/>
    </xf>
    <xf numFmtId="0" fontId="23" fillId="7" borderId="30">
      <alignment horizontal="center"/>
    </xf>
    <xf numFmtId="0" fontId="23" fillId="7" borderId="3">
      <alignment horizontal="center"/>
    </xf>
    <xf numFmtId="0" fontId="23" fillId="7" borderId="3">
      <alignment horizontal="center"/>
    </xf>
    <xf numFmtId="0" fontId="23" fillId="7" borderId="31">
      <alignment horizontal="center"/>
    </xf>
    <xf numFmtId="0" fontId="22" fillId="0" borderId="0"/>
    <xf numFmtId="0" fontId="23" fillId="7" borderId="22">
      <alignment horizontal="center"/>
    </xf>
    <xf numFmtId="0" fontId="23" fillId="7" borderId="0">
      <alignment horizontal="center"/>
    </xf>
    <xf numFmtId="0" fontId="23" fillId="7" borderId="28">
      <alignment horizontal="center"/>
    </xf>
    <xf numFmtId="0" fontId="39" fillId="0" borderId="0">
      <alignment horizontal="left"/>
    </xf>
    <xf numFmtId="49" fontId="22" fillId="0" borderId="0">
      <alignment horizontal="left"/>
    </xf>
    <xf numFmtId="0" fontId="39" fillId="0" borderId="0">
      <alignment horizontal="left"/>
    </xf>
    <xf numFmtId="15" fontId="75" fillId="6" borderId="0">
      <alignment horizontal="left"/>
    </xf>
    <xf numFmtId="0" fontId="22" fillId="0" borderId="0">
      <alignment horizontal="right"/>
    </xf>
    <xf numFmtId="49" fontId="22" fillId="0" borderId="0">
      <alignment horizontal="left"/>
    </xf>
    <xf numFmtId="49" fontId="22" fillId="0" borderId="0">
      <alignment horizontal="left"/>
    </xf>
    <xf numFmtId="10" fontId="75" fillId="0" borderId="0"/>
    <xf numFmtId="0" fontId="2" fillId="0" borderId="0" applyNumberFormat="0" applyFill="0" applyBorder="0" applyAlignment="0" applyProtection="0"/>
    <xf numFmtId="0" fontId="6" fillId="0" borderId="0" applyNumberFormat="0" applyFill="0" applyBorder="0" applyAlignment="0" applyProtection="0"/>
    <xf numFmtId="0" fontId="48" fillId="0" borderId="0" applyNumberFormat="0" applyFill="0" applyBorder="0" applyAlignment="0" applyProtection="0"/>
    <xf numFmtId="0" fontId="6" fillId="0" borderId="0" applyNumberFormat="0" applyFill="0" applyBorder="0" applyAlignment="0" applyProtection="0"/>
    <xf numFmtId="0" fontId="70" fillId="0" borderId="0" applyNumberFormat="0" applyFill="0" applyBorder="0" applyAlignment="0" applyProtection="0"/>
    <xf numFmtId="0" fontId="2" fillId="0" borderId="0" applyNumberFormat="0" applyFill="0" applyBorder="0" applyAlignment="0" applyProtection="0"/>
    <xf numFmtId="0" fontId="81" fillId="0" borderId="0">
      <alignment horizontal="left" vertical="top"/>
      <protection locked="0"/>
    </xf>
    <xf numFmtId="0" fontId="35" fillId="0" borderId="12" applyNumberFormat="0" applyFont="0" applyFill="0" applyAlignment="0" applyProtection="0"/>
    <xf numFmtId="40" fontId="82" fillId="6" borderId="0">
      <alignment horizontal="right"/>
    </xf>
    <xf numFmtId="0" fontId="83" fillId="6" borderId="0">
      <alignment horizontal="right"/>
    </xf>
    <xf numFmtId="0" fontId="84" fillId="6" borderId="15"/>
    <xf numFmtId="0" fontId="84" fillId="0" borderId="0" applyBorder="0">
      <alignment horizontal="centerContinuous"/>
    </xf>
    <xf numFmtId="238" fontId="85" fillId="0" borderId="0" applyFill="0">
      <alignment horizontal="center" vertical="center"/>
    </xf>
    <xf numFmtId="0" fontId="23" fillId="0" borderId="32" applyNumberFormat="0" applyAlignment="0" applyProtection="0"/>
    <xf numFmtId="0" fontId="22" fillId="16" borderId="0" applyNumberFormat="0" applyFont="0" applyBorder="0" applyAlignment="0" applyProtection="0"/>
    <xf numFmtId="0" fontId="2" fillId="17" borderId="8" applyNumberFormat="0" applyFont="0" applyBorder="0" applyAlignment="0" applyProtection="0">
      <alignment horizontal="center"/>
    </xf>
    <xf numFmtId="0" fontId="2" fillId="18" borderId="8" applyNumberFormat="0" applyFont="0" applyBorder="0" applyAlignment="0" applyProtection="0">
      <alignment horizontal="center"/>
    </xf>
    <xf numFmtId="0" fontId="22" fillId="0" borderId="33" applyNumberFormat="0" applyAlignment="0" applyProtection="0"/>
    <xf numFmtId="0" fontId="22" fillId="0" borderId="34" applyNumberFormat="0" applyAlignment="0" applyProtection="0"/>
    <xf numFmtId="0" fontId="23" fillId="0" borderId="35" applyNumberFormat="0" applyAlignment="0" applyProtection="0"/>
    <xf numFmtId="14" fontId="27" fillId="0" borderId="0">
      <alignment horizontal="center" wrapText="1"/>
      <protection locked="0"/>
    </xf>
    <xf numFmtId="9" fontId="1" fillId="0" borderId="0" applyFont="0" applyFill="0" applyBorder="0" applyAlignment="0" applyProtection="0"/>
    <xf numFmtId="9" fontId="55" fillId="0" borderId="0" applyFont="0" applyFill="0" applyBorder="0" applyAlignment="0" applyProtection="0"/>
    <xf numFmtId="239" fontId="86" fillId="0" borderId="0" applyFont="0" applyFill="0" applyBorder="0" applyAlignment="0" applyProtection="0"/>
    <xf numFmtId="176" fontId="55" fillId="0" borderId="0" applyFont="0" applyFill="0" applyBorder="0" applyAlignment="0" applyProtection="0"/>
    <xf numFmtId="240" fontId="55" fillId="0" borderId="0" applyFont="0" applyFill="0" applyBorder="0" applyAlignment="0" applyProtection="0"/>
    <xf numFmtId="241" fontId="55"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0" fontId="6" fillId="0" borderId="0" applyFont="0" applyFill="0" applyBorder="0" applyProtection="0">
      <alignment horizontal="right"/>
    </xf>
    <xf numFmtId="179" fontId="75" fillId="0" borderId="0">
      <alignment horizontal="right"/>
    </xf>
    <xf numFmtId="179" fontId="23" fillId="0" borderId="0">
      <alignment horizontal="left" vertical="center"/>
    </xf>
    <xf numFmtId="178" fontId="2" fillId="0" borderId="0"/>
    <xf numFmtId="179" fontId="75" fillId="0" borderId="0">
      <alignment horizontal="right"/>
    </xf>
    <xf numFmtId="179" fontId="75" fillId="0" borderId="0">
      <alignment horizontal="center"/>
    </xf>
    <xf numFmtId="177" fontId="75" fillId="0" borderId="0">
      <alignment horizontal="right"/>
    </xf>
    <xf numFmtId="179" fontId="75" fillId="0" borderId="3">
      <alignment horizontal="right"/>
    </xf>
    <xf numFmtId="179" fontId="75" fillId="0" borderId="3">
      <alignment horizontal="center"/>
    </xf>
    <xf numFmtId="177" fontId="75" fillId="0" borderId="3">
      <alignment horizontal="right"/>
    </xf>
    <xf numFmtId="171" fontId="75" fillId="0" borderId="3">
      <alignment horizontal="center"/>
    </xf>
    <xf numFmtId="242" fontId="75" fillId="0" borderId="13"/>
    <xf numFmtId="243" fontId="75" fillId="0" borderId="13">
      <alignment horizontal="center"/>
    </xf>
    <xf numFmtId="179" fontId="23" fillId="0" borderId="0">
      <alignment horizontal="right" vertical="center"/>
    </xf>
    <xf numFmtId="243" fontId="75" fillId="0" borderId="19">
      <alignment horizontal="center" wrapText="1"/>
    </xf>
    <xf numFmtId="243" fontId="75" fillId="0" borderId="0">
      <alignment horizontal="center"/>
    </xf>
    <xf numFmtId="243" fontId="75" fillId="0" borderId="15">
      <alignment horizontal="center" wrapText="1"/>
    </xf>
    <xf numFmtId="242" fontId="75" fillId="0" borderId="15">
      <alignment wrapText="1"/>
    </xf>
    <xf numFmtId="242" fontId="75" fillId="0" borderId="3"/>
    <xf numFmtId="242" fontId="75" fillId="0" borderId="17">
      <alignment wrapText="1"/>
    </xf>
    <xf numFmtId="244" fontId="23" fillId="0" borderId="0">
      <alignment horizontal="left"/>
    </xf>
    <xf numFmtId="245" fontId="23" fillId="0" borderId="0">
      <alignment horizontal="left"/>
    </xf>
    <xf numFmtId="246" fontId="23" fillId="0" borderId="0">
      <alignment horizontal="left"/>
    </xf>
    <xf numFmtId="179" fontId="22" fillId="0" borderId="0">
      <alignment vertical="top"/>
    </xf>
    <xf numFmtId="247" fontId="23" fillId="0" borderId="0">
      <alignment horizontal="center"/>
    </xf>
    <xf numFmtId="242" fontId="78" fillId="0" borderId="0"/>
    <xf numFmtId="179" fontId="55" fillId="0" borderId="0">
      <alignment horizontal="right"/>
    </xf>
    <xf numFmtId="179" fontId="55" fillId="0" borderId="0">
      <alignment horizontal="center"/>
    </xf>
    <xf numFmtId="243" fontId="22" fillId="0" borderId="0">
      <alignment horizontal="center" vertical="top"/>
    </xf>
    <xf numFmtId="179" fontId="20" fillId="0" borderId="3">
      <alignment horizontal="centerContinuous"/>
    </xf>
    <xf numFmtId="179" fontId="2" fillId="0" borderId="3">
      <alignment horizontal="center"/>
    </xf>
    <xf numFmtId="179" fontId="2" fillId="0" borderId="0"/>
    <xf numFmtId="179" fontId="2" fillId="0" borderId="3"/>
    <xf numFmtId="171" fontId="2" fillId="0" borderId="3"/>
    <xf numFmtId="171" fontId="20" fillId="0" borderId="0">
      <alignment horizontal="right"/>
    </xf>
    <xf numFmtId="177" fontId="23" fillId="0" borderId="0">
      <alignment horizontal="right" vertical="center"/>
    </xf>
    <xf numFmtId="172" fontId="79" fillId="0" borderId="0">
      <alignment horizontal="center" wrapText="1"/>
    </xf>
    <xf numFmtId="2" fontId="79" fillId="0" borderId="0">
      <alignment horizontal="center"/>
    </xf>
    <xf numFmtId="171" fontId="55" fillId="0" borderId="0"/>
    <xf numFmtId="0" fontId="2" fillId="0" borderId="0">
      <alignment horizontal="center"/>
    </xf>
    <xf numFmtId="171" fontId="22" fillId="0" borderId="0">
      <alignment horizontal="center" vertical="top"/>
    </xf>
    <xf numFmtId="242" fontId="22" fillId="0" borderId="0">
      <alignment horizontal="center" vertical="top"/>
    </xf>
    <xf numFmtId="243" fontId="22" fillId="0" borderId="0">
      <alignment horizontal="center" vertical="top" wrapText="1"/>
    </xf>
    <xf numFmtId="171" fontId="22" fillId="0" borderId="0">
      <alignment horizontal="left" vertical="top"/>
    </xf>
    <xf numFmtId="179" fontId="22" fillId="0" borderId="0">
      <alignment horizontal="right" vertical="top"/>
    </xf>
    <xf numFmtId="171" fontId="22" fillId="0" borderId="0">
      <alignment horizontal="center" vertical="top"/>
    </xf>
    <xf numFmtId="171" fontId="23" fillId="0" borderId="0">
      <alignment horizontal="center"/>
    </xf>
    <xf numFmtId="242" fontId="22" fillId="0" borderId="0">
      <alignment horizontal="center" vertical="top"/>
    </xf>
    <xf numFmtId="243" fontId="22" fillId="0" borderId="0">
      <alignment horizontal="center" vertical="top" wrapText="1"/>
    </xf>
    <xf numFmtId="179" fontId="22" fillId="0" borderId="0">
      <alignment horizontal="left" vertical="top"/>
    </xf>
    <xf numFmtId="171" fontId="22" fillId="0" borderId="0">
      <alignment horizontal="left" vertical="top"/>
    </xf>
    <xf numFmtId="179" fontId="2" fillId="0" borderId="0">
      <alignment horizontal="left"/>
    </xf>
    <xf numFmtId="179" fontId="20" fillId="0" borderId="0">
      <alignment horizontal="centerContinuous"/>
    </xf>
    <xf numFmtId="179" fontId="20" fillId="0" borderId="0">
      <alignment horizontal="left"/>
    </xf>
    <xf numFmtId="179" fontId="20" fillId="0" borderId="3">
      <alignment horizontal="left"/>
    </xf>
    <xf numFmtId="171" fontId="55" fillId="0" borderId="0"/>
    <xf numFmtId="171" fontId="55" fillId="0" borderId="3">
      <alignment horizontal="center"/>
    </xf>
    <xf numFmtId="242" fontId="23" fillId="0" borderId="0">
      <alignment horizontal="center"/>
    </xf>
    <xf numFmtId="171" fontId="55" fillId="0" borderId="3"/>
    <xf numFmtId="171" fontId="20" fillId="0" borderId="0"/>
    <xf numFmtId="179" fontId="2" fillId="15" borderId="0">
      <alignment horizontal="center"/>
    </xf>
    <xf numFmtId="179" fontId="2" fillId="15" borderId="0">
      <alignment horizontal="center"/>
    </xf>
    <xf numFmtId="179" fontId="20" fillId="15" borderId="0">
      <alignment horizontal="centerContinuous"/>
    </xf>
    <xf numFmtId="179" fontId="20" fillId="15" borderId="3">
      <alignment horizontal="center" wrapText="1"/>
    </xf>
    <xf numFmtId="179" fontId="2" fillId="19" borderId="0">
      <alignment horizontal="center"/>
    </xf>
    <xf numFmtId="179" fontId="2" fillId="19" borderId="0">
      <alignment horizontal="center"/>
    </xf>
    <xf numFmtId="179" fontId="20" fillId="19" borderId="0">
      <alignment horizontal="centerContinuous"/>
    </xf>
    <xf numFmtId="179" fontId="20" fillId="19" borderId="3">
      <alignment horizontal="centerContinuous"/>
    </xf>
    <xf numFmtId="242" fontId="23" fillId="0" borderId="0">
      <alignment horizontal="center" wrapText="1"/>
    </xf>
    <xf numFmtId="179" fontId="22" fillId="0" borderId="0"/>
    <xf numFmtId="171" fontId="22" fillId="0" borderId="0"/>
    <xf numFmtId="171" fontId="22" fillId="0" borderId="0">
      <alignment horizontal="center"/>
    </xf>
    <xf numFmtId="179" fontId="22" fillId="0" borderId="0"/>
    <xf numFmtId="178" fontId="22" fillId="0" borderId="0"/>
    <xf numFmtId="171" fontId="22" fillId="0" borderId="28"/>
    <xf numFmtId="179" fontId="22" fillId="0" borderId="3"/>
    <xf numFmtId="171" fontId="22" fillId="0" borderId="29"/>
    <xf numFmtId="178" fontId="22" fillId="0" borderId="11"/>
    <xf numFmtId="10" fontId="22" fillId="0" borderId="0"/>
    <xf numFmtId="244" fontId="23" fillId="0" borderId="0">
      <alignment horizontal="center"/>
    </xf>
    <xf numFmtId="171" fontId="22" fillId="0" borderId="0"/>
    <xf numFmtId="248" fontId="23" fillId="0" borderId="0">
      <alignment horizontal="center" vertical="top"/>
    </xf>
    <xf numFmtId="14" fontId="20" fillId="0" borderId="0">
      <alignment horizontal="center"/>
    </xf>
    <xf numFmtId="4" fontId="55" fillId="0" borderId="0">
      <alignment horizontal="right" vertical="top"/>
    </xf>
    <xf numFmtId="179" fontId="55" fillId="0" borderId="0">
      <alignment horizontal="center" vertical="top"/>
    </xf>
    <xf numFmtId="179" fontId="22" fillId="0" borderId="3">
      <alignment horizontal="right" vertical="top"/>
    </xf>
    <xf numFmtId="177" fontId="22" fillId="0" borderId="3">
      <alignment horizontal="center" vertical="top"/>
    </xf>
    <xf numFmtId="171" fontId="22" fillId="0" borderId="3">
      <alignment horizontal="center" vertical="top"/>
    </xf>
    <xf numFmtId="242" fontId="22" fillId="0" borderId="3">
      <alignment horizontal="center" vertical="top"/>
    </xf>
    <xf numFmtId="243" fontId="22" fillId="0" borderId="3">
      <alignment horizontal="center" vertical="top" wrapText="1"/>
    </xf>
    <xf numFmtId="244" fontId="23" fillId="0" borderId="0">
      <alignment horizontal="center" wrapText="1"/>
    </xf>
    <xf numFmtId="179" fontId="22" fillId="0" borderId="3">
      <alignment horizontal="center" vertical="top"/>
    </xf>
    <xf numFmtId="179" fontId="22" fillId="0" borderId="3">
      <alignment horizontal="left" vertical="top"/>
    </xf>
    <xf numFmtId="179" fontId="22" fillId="0" borderId="3">
      <alignment vertical="top"/>
    </xf>
    <xf numFmtId="171" fontId="22" fillId="0" borderId="3">
      <alignment horizontal="left" vertical="top"/>
    </xf>
    <xf numFmtId="243" fontId="22" fillId="0" borderId="3">
      <alignment horizontal="center" vertical="top"/>
    </xf>
    <xf numFmtId="171" fontId="2" fillId="0" borderId="0">
      <alignment horizontal="center"/>
    </xf>
    <xf numFmtId="179" fontId="23" fillId="0" borderId="25">
      <alignment horizontal="right" vertical="center"/>
    </xf>
    <xf numFmtId="246" fontId="23" fillId="0" borderId="25">
      <alignment horizontal="left"/>
    </xf>
    <xf numFmtId="249" fontId="23" fillId="0" borderId="25">
      <alignment horizontal="left"/>
    </xf>
    <xf numFmtId="177" fontId="23" fillId="0" borderId="25">
      <alignment horizontal="right" vertical="center"/>
    </xf>
    <xf numFmtId="179" fontId="23" fillId="0" borderId="0">
      <alignment horizontal="left"/>
    </xf>
    <xf numFmtId="179" fontId="23" fillId="0" borderId="11">
      <alignment horizontal="right" vertical="center"/>
    </xf>
    <xf numFmtId="246" fontId="23" fillId="0" borderId="11">
      <alignment horizontal="left"/>
    </xf>
    <xf numFmtId="249" fontId="23" fillId="0" borderId="11">
      <alignment horizontal="left"/>
    </xf>
    <xf numFmtId="177" fontId="23" fillId="0" borderId="11">
      <alignment horizontal="right"/>
    </xf>
    <xf numFmtId="250" fontId="23" fillId="0" borderId="29">
      <alignment horizontal="left"/>
    </xf>
    <xf numFmtId="179" fontId="23" fillId="0" borderId="11">
      <alignment horizontal="left" vertical="center"/>
    </xf>
    <xf numFmtId="178" fontId="2" fillId="0" borderId="0">
      <alignment horizontal="center"/>
    </xf>
    <xf numFmtId="171" fontId="2" fillId="15" borderId="0">
      <alignment horizontal="center"/>
    </xf>
    <xf numFmtId="171" fontId="2" fillId="19" borderId="0">
      <alignment horizontal="center"/>
    </xf>
    <xf numFmtId="249" fontId="23" fillId="0" borderId="0">
      <alignment horizontal="left"/>
    </xf>
    <xf numFmtId="176" fontId="20" fillId="0" borderId="0" applyFill="0" applyBorder="0" applyAlignment="0" applyProtection="0"/>
    <xf numFmtId="179" fontId="75" fillId="0" borderId="0">
      <alignment horizontal="center"/>
    </xf>
    <xf numFmtId="179" fontId="23" fillId="0" borderId="0">
      <alignment horizontal="right"/>
    </xf>
    <xf numFmtId="250" fontId="23" fillId="0" borderId="28">
      <alignment horizontal="left"/>
    </xf>
    <xf numFmtId="171" fontId="22" fillId="0" borderId="27">
      <alignment horizontal="center"/>
    </xf>
    <xf numFmtId="179" fontId="23" fillId="0" borderId="3">
      <alignment horizontal="right" vertical="center"/>
    </xf>
    <xf numFmtId="251" fontId="23" fillId="0" borderId="28">
      <alignment horizontal="left"/>
    </xf>
    <xf numFmtId="179" fontId="22" fillId="14" borderId="0"/>
    <xf numFmtId="179" fontId="22" fillId="14" borderId="0">
      <alignment horizontal="center" vertical="top"/>
    </xf>
    <xf numFmtId="179" fontId="22" fillId="0" borderId="11"/>
    <xf numFmtId="179" fontId="22" fillId="14" borderId="0">
      <alignment horizontal="center" vertical="top"/>
    </xf>
    <xf numFmtId="179" fontId="22" fillId="14" borderId="0">
      <alignment horizontal="right" vertical="top"/>
    </xf>
    <xf numFmtId="177" fontId="22" fillId="14" borderId="0">
      <alignment horizontal="center" vertical="top"/>
    </xf>
    <xf numFmtId="177" fontId="23" fillId="0" borderId="0">
      <alignment horizontal="right"/>
    </xf>
    <xf numFmtId="171" fontId="22" fillId="14" borderId="0">
      <alignment horizontal="center" vertical="top"/>
    </xf>
    <xf numFmtId="242" fontId="22" fillId="14" borderId="0">
      <alignment horizontal="center" vertical="top"/>
    </xf>
    <xf numFmtId="243" fontId="22" fillId="14" borderId="0">
      <alignment horizontal="center" vertical="top"/>
    </xf>
    <xf numFmtId="243" fontId="22" fillId="14" borderId="0">
      <alignment horizontal="center" vertical="top" wrapText="1"/>
    </xf>
    <xf numFmtId="179" fontId="22" fillId="14" borderId="0">
      <alignment horizontal="left" vertical="top"/>
    </xf>
    <xf numFmtId="171" fontId="22" fillId="14" borderId="0">
      <alignment horizontal="left" vertical="top"/>
    </xf>
    <xf numFmtId="171" fontId="22" fillId="14" borderId="0"/>
    <xf numFmtId="179" fontId="22" fillId="15" borderId="0">
      <alignment horizontal="center" vertical="top"/>
    </xf>
    <xf numFmtId="179" fontId="22" fillId="15" borderId="0">
      <alignment horizontal="right" vertical="top"/>
    </xf>
    <xf numFmtId="177" fontId="22" fillId="15" borderId="0">
      <alignment horizontal="center" vertical="top"/>
    </xf>
    <xf numFmtId="179" fontId="22" fillId="0" borderId="0">
      <alignment horizontal="right"/>
    </xf>
    <xf numFmtId="171" fontId="22" fillId="15" borderId="0">
      <alignment horizontal="center" vertical="top"/>
    </xf>
    <xf numFmtId="242" fontId="22" fillId="15" borderId="0">
      <alignment horizontal="center" vertical="top"/>
    </xf>
    <xf numFmtId="243" fontId="22" fillId="15" borderId="0">
      <alignment horizontal="center" vertical="top"/>
    </xf>
    <xf numFmtId="243" fontId="22" fillId="15" borderId="0">
      <alignment horizontal="center" vertical="top" wrapText="1"/>
    </xf>
    <xf numFmtId="179" fontId="22" fillId="15" borderId="0">
      <alignment horizontal="center" vertical="top"/>
    </xf>
    <xf numFmtId="179" fontId="22" fillId="15" borderId="0">
      <alignment horizontal="left" vertical="top"/>
    </xf>
    <xf numFmtId="179" fontId="22" fillId="15" borderId="0"/>
    <xf numFmtId="171" fontId="22" fillId="15" borderId="0">
      <alignment horizontal="left" vertical="top"/>
    </xf>
    <xf numFmtId="242" fontId="22" fillId="15" borderId="0">
      <alignment horizontal="center" vertical="top"/>
    </xf>
    <xf numFmtId="243" fontId="75" fillId="15" borderId="0">
      <alignment horizontal="center" wrapText="1"/>
    </xf>
    <xf numFmtId="179" fontId="22" fillId="0" borderId="0"/>
    <xf numFmtId="179" fontId="22" fillId="15" borderId="0">
      <alignment horizontal="left" vertical="top"/>
    </xf>
    <xf numFmtId="179" fontId="22" fillId="15" borderId="0">
      <alignment horizontal="right"/>
    </xf>
    <xf numFmtId="179" fontId="22" fillId="15" borderId="0">
      <alignment horizontal="right"/>
    </xf>
    <xf numFmtId="4" fontId="55" fillId="15" borderId="0">
      <alignment horizontal="right" vertical="top"/>
    </xf>
    <xf numFmtId="171" fontId="22" fillId="15" borderId="0">
      <alignment horizontal="center" vertical="top"/>
    </xf>
    <xf numFmtId="243" fontId="22" fillId="15" borderId="0">
      <alignment horizontal="center" vertical="top" wrapText="1"/>
    </xf>
    <xf numFmtId="171" fontId="22" fillId="15" borderId="0">
      <alignment horizontal="left" vertical="top"/>
    </xf>
    <xf numFmtId="179" fontId="23" fillId="7" borderId="10">
      <alignment horizontal="right" wrapText="1"/>
    </xf>
    <xf numFmtId="179" fontId="23" fillId="7" borderId="10">
      <alignment horizontal="center" wrapText="1"/>
    </xf>
    <xf numFmtId="177" fontId="23" fillId="7" borderId="10">
      <alignment horizontal="right" wrapText="1"/>
    </xf>
    <xf numFmtId="171" fontId="23" fillId="7" borderId="10">
      <alignment horizontal="center" wrapText="1"/>
    </xf>
    <xf numFmtId="242" fontId="23" fillId="7" borderId="10">
      <alignment horizontal="center" wrapText="1"/>
    </xf>
    <xf numFmtId="242" fontId="23" fillId="7" borderId="10">
      <alignment horizontal="center" wrapText="1"/>
    </xf>
    <xf numFmtId="214" fontId="24" fillId="0" borderId="0">
      <alignment horizontal="left" vertical="center" wrapText="1"/>
    </xf>
    <xf numFmtId="179" fontId="22" fillId="0" borderId="0">
      <alignment horizontal="right"/>
    </xf>
    <xf numFmtId="179" fontId="22" fillId="0" borderId="0"/>
    <xf numFmtId="177" fontId="22" fillId="0" borderId="0">
      <alignment horizontal="right"/>
    </xf>
    <xf numFmtId="171" fontId="22" fillId="0" borderId="0">
      <alignment horizontal="center"/>
    </xf>
    <xf numFmtId="242" fontId="22" fillId="0" borderId="0"/>
    <xf numFmtId="242" fontId="22" fillId="0" borderId="0">
      <alignment wrapText="1"/>
    </xf>
    <xf numFmtId="177" fontId="22" fillId="0" borderId="0">
      <alignment horizontal="center" vertical="top"/>
    </xf>
    <xf numFmtId="179" fontId="22" fillId="0" borderId="0">
      <alignment horizontal="center" vertical="top"/>
    </xf>
    <xf numFmtId="179" fontId="22" fillId="0" borderId="0">
      <alignment horizontal="center" vertical="top"/>
    </xf>
    <xf numFmtId="179" fontId="22" fillId="0" borderId="0">
      <alignment horizontal="left" vertical="top"/>
    </xf>
    <xf numFmtId="179" fontId="22" fillId="0" borderId="0">
      <alignment horizontal="right" vertical="center" wrapText="1"/>
    </xf>
    <xf numFmtId="179" fontId="22" fillId="0" borderId="0">
      <alignment horizontal="right" vertical="top"/>
    </xf>
    <xf numFmtId="177" fontId="22" fillId="0" borderId="0">
      <alignment horizontal="center" vertical="top"/>
    </xf>
    <xf numFmtId="177" fontId="75" fillId="0" borderId="0">
      <alignment horizontal="right"/>
    </xf>
    <xf numFmtId="171" fontId="75" fillId="0" borderId="0">
      <alignment horizontal="center"/>
    </xf>
    <xf numFmtId="242" fontId="75" fillId="0" borderId="0"/>
    <xf numFmtId="243" fontId="75" fillId="0" borderId="0">
      <alignment horizontal="center"/>
    </xf>
    <xf numFmtId="243" fontId="75" fillId="0" borderId="0">
      <alignment horizontal="center" wrapText="1"/>
    </xf>
    <xf numFmtId="242" fontId="75" fillId="0" borderId="0">
      <alignment wrapText="1"/>
    </xf>
    <xf numFmtId="171" fontId="55" fillId="0" borderId="0">
      <alignment horizontal="center"/>
    </xf>
    <xf numFmtId="171" fontId="55" fillId="0" borderId="0"/>
    <xf numFmtId="179" fontId="22" fillId="0" borderId="0">
      <alignment horizontal="center" vertical="center" wrapText="1"/>
    </xf>
    <xf numFmtId="171" fontId="55" fillId="0" borderId="18">
      <alignment horizontal="center" vertical="center"/>
    </xf>
    <xf numFmtId="171" fontId="55" fillId="0" borderId="13">
      <alignment horizontal="center" vertical="center"/>
    </xf>
    <xf numFmtId="171" fontId="79" fillId="0" borderId="13">
      <alignment horizontal="center" vertical="center"/>
    </xf>
    <xf numFmtId="171" fontId="79" fillId="0" borderId="14">
      <alignment horizontal="center"/>
    </xf>
    <xf numFmtId="171" fontId="79" fillId="0" borderId="0">
      <alignment horizontal="center"/>
    </xf>
    <xf numFmtId="2" fontId="79" fillId="0" borderId="0">
      <alignment horizontal="center"/>
    </xf>
    <xf numFmtId="171" fontId="79" fillId="0" borderId="15">
      <alignment horizontal="center"/>
    </xf>
    <xf numFmtId="171" fontId="79" fillId="0" borderId="0">
      <alignment horizontal="center"/>
    </xf>
    <xf numFmtId="179" fontId="79" fillId="0" borderId="0">
      <alignment horizontal="center" wrapText="1"/>
    </xf>
    <xf numFmtId="179" fontId="79" fillId="0" borderId="3">
      <alignment horizontal="center" wrapText="1"/>
    </xf>
    <xf numFmtId="177" fontId="22" fillId="0" borderId="0">
      <alignment horizontal="right" vertical="center" wrapText="1"/>
    </xf>
    <xf numFmtId="172" fontId="79" fillId="0" borderId="3">
      <alignment horizontal="center" wrapText="1"/>
    </xf>
    <xf numFmtId="171" fontId="87" fillId="0" borderId="0">
      <alignment horizontal="left"/>
    </xf>
    <xf numFmtId="171" fontId="79" fillId="0" borderId="0">
      <alignment horizontal="center" wrapText="1"/>
    </xf>
    <xf numFmtId="171" fontId="79" fillId="0" borderId="0">
      <alignment wrapText="1"/>
    </xf>
    <xf numFmtId="171" fontId="79" fillId="7" borderId="10">
      <alignment horizontal="right" wrapText="1"/>
    </xf>
    <xf numFmtId="171" fontId="79" fillId="7" borderId="10">
      <alignment horizontal="center" wrapText="1"/>
    </xf>
    <xf numFmtId="179" fontId="2" fillId="0" borderId="0"/>
    <xf numFmtId="179" fontId="2" fillId="0" borderId="0">
      <alignment horizontal="center"/>
    </xf>
    <xf numFmtId="179" fontId="2" fillId="0" borderId="0">
      <alignment horizontal="left"/>
    </xf>
    <xf numFmtId="179" fontId="2" fillId="0" borderId="0">
      <alignment horizontal="center"/>
    </xf>
    <xf numFmtId="171" fontId="23" fillId="0" borderId="0">
      <alignment horizontal="center" vertical="center" wrapText="1"/>
    </xf>
    <xf numFmtId="179" fontId="20" fillId="0" borderId="0">
      <alignment horizontal="center"/>
    </xf>
    <xf numFmtId="179" fontId="2" fillId="0" borderId="0"/>
    <xf numFmtId="179" fontId="80" fillId="0" borderId="0">
      <alignment horizontal="left" vertical="center"/>
    </xf>
    <xf numFmtId="179" fontId="23" fillId="0" borderId="28"/>
    <xf numFmtId="179" fontId="23" fillId="0" borderId="0"/>
    <xf numFmtId="171" fontId="23" fillId="0" borderId="0"/>
    <xf numFmtId="171" fontId="23" fillId="0" borderId="0">
      <alignment horizontal="center"/>
    </xf>
    <xf numFmtId="179" fontId="23" fillId="0" borderId="0">
      <alignment horizontal="center"/>
    </xf>
    <xf numFmtId="179" fontId="23" fillId="7" borderId="25">
      <alignment horizontal="center"/>
    </xf>
    <xf numFmtId="49" fontId="22" fillId="0" borderId="0">
      <alignment horizontal="left"/>
    </xf>
    <xf numFmtId="242" fontId="23" fillId="0" borderId="0">
      <alignment horizontal="center" vertical="center" wrapText="1"/>
    </xf>
    <xf numFmtId="49" fontId="22" fillId="0" borderId="14">
      <alignment horizontal="left"/>
    </xf>
    <xf numFmtId="49" fontId="22" fillId="0" borderId="16">
      <alignment horizontal="left"/>
    </xf>
    <xf numFmtId="179" fontId="77" fillId="0" borderId="15"/>
    <xf numFmtId="49" fontId="22" fillId="0" borderId="15">
      <alignment horizontal="left"/>
    </xf>
    <xf numFmtId="179" fontId="2" fillId="0" borderId="0">
      <alignment horizontal="center"/>
    </xf>
    <xf numFmtId="179" fontId="2" fillId="0" borderId="0"/>
    <xf numFmtId="179" fontId="2" fillId="0" borderId="0"/>
    <xf numFmtId="179" fontId="20" fillId="0" borderId="0">
      <alignment horizontal="right"/>
    </xf>
    <xf numFmtId="179" fontId="20" fillId="0" borderId="0">
      <alignment horizontal="center"/>
    </xf>
    <xf numFmtId="179" fontId="20" fillId="0" borderId="3"/>
    <xf numFmtId="179" fontId="23" fillId="0" borderId="0">
      <alignment horizontal="left" vertical="center" wrapText="1"/>
    </xf>
    <xf numFmtId="179" fontId="20" fillId="0" borderId="3">
      <alignment horizontal="center"/>
    </xf>
    <xf numFmtId="179" fontId="20" fillId="0" borderId="3">
      <alignment horizontal="center" wrapText="1"/>
    </xf>
    <xf numFmtId="179" fontId="20" fillId="0" borderId="0"/>
    <xf numFmtId="179" fontId="20" fillId="0" borderId="3">
      <alignment horizontal="center" wrapText="1"/>
    </xf>
    <xf numFmtId="179" fontId="20" fillId="0" borderId="0">
      <alignment horizontal="center"/>
    </xf>
    <xf numFmtId="179" fontId="20" fillId="0" borderId="3">
      <alignment horizontal="center"/>
    </xf>
    <xf numFmtId="179" fontId="20" fillId="0" borderId="0"/>
    <xf numFmtId="179" fontId="20" fillId="0" borderId="3">
      <alignment horizontal="left" wrapText="1"/>
    </xf>
    <xf numFmtId="243" fontId="2" fillId="0" borderId="0">
      <alignment horizontal="center"/>
    </xf>
    <xf numFmtId="243" fontId="2" fillId="0" borderId="0">
      <alignment horizontal="left"/>
    </xf>
    <xf numFmtId="0" fontId="88" fillId="0" borderId="0"/>
    <xf numFmtId="10" fontId="6"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234" fontId="6" fillId="0" borderId="0"/>
    <xf numFmtId="0" fontId="89" fillId="7" borderId="0"/>
    <xf numFmtId="0" fontId="54" fillId="0" borderId="0" applyNumberFormat="0" applyFont="0" applyFill="0" applyBorder="0" applyAlignment="0" applyProtection="0">
      <alignment horizontal="left"/>
    </xf>
    <xf numFmtId="15" fontId="54" fillId="0" borderId="0" applyFont="0" applyFill="0" applyBorder="0" applyAlignment="0" applyProtection="0"/>
    <xf numFmtId="4" fontId="54" fillId="0" borderId="0" applyFont="0" applyFill="0" applyBorder="0" applyAlignment="0" applyProtection="0"/>
    <xf numFmtId="0" fontId="90" fillId="0" borderId="11">
      <alignment horizontal="center"/>
    </xf>
    <xf numFmtId="3" fontId="54" fillId="0" borderId="0" applyFont="0" applyFill="0" applyBorder="0" applyAlignment="0" applyProtection="0"/>
    <xf numFmtId="0" fontId="54" fillId="20" borderId="0" applyNumberFormat="0" applyFont="0" applyBorder="0" applyAlignment="0" applyProtection="0"/>
    <xf numFmtId="0" fontId="22" fillId="0" borderId="0">
      <alignment vertical="top"/>
    </xf>
    <xf numFmtId="0" fontId="22" fillId="0" borderId="0">
      <alignment vertical="top"/>
    </xf>
    <xf numFmtId="0" fontId="22" fillId="0" borderId="0">
      <alignment vertical="top"/>
    </xf>
    <xf numFmtId="0" fontId="22" fillId="0" borderId="0">
      <alignment vertical="top"/>
    </xf>
    <xf numFmtId="252" fontId="91" fillId="0" borderId="0"/>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92" fillId="21" borderId="0" applyNumberFormat="0" applyFont="0" applyBorder="0" applyAlignment="0">
      <alignment horizontal="center"/>
    </xf>
    <xf numFmtId="14" fontId="41" fillId="0" borderId="0" applyNumberFormat="0" applyFill="0" applyBorder="0" applyAlignment="0" applyProtection="0">
      <alignment horizontal="left"/>
    </xf>
    <xf numFmtId="49" fontId="2" fillId="0" borderId="0" applyFont="0" applyFill="0" applyBorder="0" applyProtection="0">
      <alignment horizontal="right"/>
    </xf>
    <xf numFmtId="49" fontId="20" fillId="0" borderId="0" applyFill="0" applyBorder="0" applyProtection="0">
      <alignment horizontal="right"/>
    </xf>
    <xf numFmtId="49" fontId="20" fillId="0" borderId="3" applyFill="0" applyProtection="0">
      <alignment horizontal="right"/>
    </xf>
    <xf numFmtId="49" fontId="20" fillId="0" borderId="13" applyFill="0" applyProtection="0">
      <alignment horizontal="right"/>
    </xf>
    <xf numFmtId="0" fontId="64" fillId="0" borderId="0" applyFill="0" applyBorder="0" applyProtection="0">
      <alignment horizontal="left"/>
    </xf>
    <xf numFmtId="0" fontId="13" fillId="22" borderId="0"/>
    <xf numFmtId="43" fontId="6" fillId="0" borderId="0" applyFont="0" applyFill="0" applyBorder="0" applyAlignment="0" applyProtection="0"/>
    <xf numFmtId="0" fontId="92" fillId="1" borderId="9" applyNumberFormat="0" applyFont="0" applyAlignment="0">
      <alignment horizontal="center"/>
    </xf>
    <xf numFmtId="253" fontId="93" fillId="0" borderId="0" applyFont="0" applyFill="0" applyBorder="0" applyAlignment="0" applyProtection="0"/>
    <xf numFmtId="1" fontId="6" fillId="0" borderId="0"/>
    <xf numFmtId="0" fontId="2" fillId="0" borderId="0" applyFont="0" applyFill="0" applyBorder="0" applyAlignment="0" applyProtection="0"/>
    <xf numFmtId="0" fontId="20" fillId="0" borderId="0" applyFill="0" applyBorder="0" applyAlignment="0" applyProtection="0"/>
    <xf numFmtId="168" fontId="21" fillId="0" borderId="0" applyFill="0" applyBorder="0" applyAlignment="0" applyProtection="0"/>
    <xf numFmtId="0" fontId="94" fillId="0" borderId="0" applyNumberFormat="0" applyFill="0" applyBorder="0" applyAlignment="0">
      <alignment horizontal="center"/>
    </xf>
    <xf numFmtId="12" fontId="6" fillId="0" borderId="0" applyFont="0" applyFill="0" applyBorder="0" applyProtection="0">
      <alignment horizontal="right"/>
    </xf>
    <xf numFmtId="0" fontId="6" fillId="23" borderId="0" applyFont="0" applyFill="0" applyBorder="0" applyProtection="0">
      <alignment horizontal="right"/>
    </xf>
    <xf numFmtId="0" fontId="4" fillId="0" borderId="0">
      <alignment vertical="top"/>
    </xf>
    <xf numFmtId="0" fontId="79"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3" fillId="0" borderId="0" applyNumberFormat="0" applyFill="0" applyBorder="0" applyProtection="0">
      <alignment horizontal="left"/>
    </xf>
    <xf numFmtId="0" fontId="23" fillId="0" borderId="0" applyFill="0" applyBorder="0" applyProtection="0">
      <alignment horizontal="left" wrapText="1"/>
    </xf>
    <xf numFmtId="0" fontId="23" fillId="0" borderId="0" applyNumberFormat="0" applyFill="0" applyBorder="0" applyProtection="0">
      <alignment horizontal="right" wrapText="1"/>
    </xf>
    <xf numFmtId="1" fontId="22" fillId="0" borderId="0" applyFill="0" applyBorder="0" applyProtection="0">
      <alignment horizontal="left"/>
    </xf>
    <xf numFmtId="49" fontId="22" fillId="0" borderId="0" applyFill="0" applyBorder="0" applyProtection="0">
      <alignment horizontal="left"/>
    </xf>
    <xf numFmtId="1" fontId="22" fillId="0" borderId="0" applyFill="0" applyBorder="0" applyProtection="0">
      <alignment horizontal="center"/>
    </xf>
    <xf numFmtId="37" fontId="22" fillId="0" borderId="0" applyFill="0" applyBorder="0" applyProtection="0">
      <alignment horizontal="right"/>
    </xf>
    <xf numFmtId="166" fontId="22" fillId="0" borderId="0" applyFill="0" applyBorder="0" applyProtection="0">
      <alignment horizontal="right"/>
    </xf>
    <xf numFmtId="254" fontId="22" fillId="0" borderId="0" applyFill="0" applyBorder="0" applyProtection="0">
      <alignment horizontal="left"/>
    </xf>
    <xf numFmtId="37" fontId="23" fillId="0" borderId="0" applyFill="0" applyBorder="0" applyProtection="0">
      <alignment horizontal="right"/>
    </xf>
    <xf numFmtId="166" fontId="23" fillId="0" borderId="0" applyFill="0" applyBorder="0" applyProtection="0">
      <alignment horizontal="right"/>
    </xf>
    <xf numFmtId="255" fontId="22" fillId="0" borderId="0" applyFill="0" applyBorder="0" applyProtection="0">
      <alignment horizontal="right"/>
    </xf>
    <xf numFmtId="256" fontId="22" fillId="0" borderId="0" applyFill="0" applyBorder="0" applyProtection="0">
      <alignment horizontal="right"/>
    </xf>
    <xf numFmtId="257" fontId="22" fillId="0" borderId="0" applyFill="0" applyBorder="0" applyProtection="0">
      <alignment horizontal="right"/>
    </xf>
    <xf numFmtId="14" fontId="22" fillId="0" borderId="0" applyFill="0" applyBorder="0" applyProtection="0">
      <alignment horizontal="right"/>
    </xf>
    <xf numFmtId="14" fontId="22" fillId="0" borderId="0" applyFill="0" applyBorder="0" applyProtection="0">
      <alignment horizontal="right"/>
    </xf>
    <xf numFmtId="258" fontId="22" fillId="0" borderId="0" applyFill="0" applyBorder="0" applyProtection="0">
      <alignment horizontal="left"/>
    </xf>
    <xf numFmtId="259" fontId="22" fillId="0" borderId="0" applyFill="0" applyBorder="0" applyProtection="0">
      <alignment horizontal="left"/>
    </xf>
    <xf numFmtId="255" fontId="23" fillId="0" borderId="0" applyFill="0" applyBorder="0" applyProtection="0">
      <alignment horizontal="right"/>
    </xf>
    <xf numFmtId="1" fontId="23" fillId="0" borderId="0" applyFill="0" applyBorder="0" applyProtection="0">
      <alignment horizontal="left"/>
    </xf>
    <xf numFmtId="254" fontId="23" fillId="0" borderId="0" applyFill="0" applyBorder="0" applyProtection="0">
      <alignment horizontal="left"/>
    </xf>
    <xf numFmtId="37" fontId="23" fillId="0" borderId="0" applyFill="0" applyBorder="0" applyProtection="0">
      <alignment horizontal="right"/>
    </xf>
    <xf numFmtId="1" fontId="95" fillId="0" borderId="0" applyFill="0" applyBorder="0" applyProtection="0">
      <alignment horizontal="left"/>
    </xf>
    <xf numFmtId="49" fontId="22" fillId="0" borderId="0" applyFill="0" applyBorder="0" applyProtection="0">
      <alignment horizontal="left"/>
    </xf>
    <xf numFmtId="259" fontId="22" fillId="0" borderId="0" applyFill="0" applyBorder="0" applyProtection="0">
      <alignment horizontal="left"/>
    </xf>
    <xf numFmtId="0" fontId="4" fillId="0" borderId="0" applyNumberFormat="0" applyBorder="0" applyAlignment="0"/>
    <xf numFmtId="0" fontId="14" fillId="0" borderId="0"/>
    <xf numFmtId="40" fontId="96" fillId="0" borderId="0" applyBorder="0">
      <alignment horizontal="right"/>
    </xf>
    <xf numFmtId="165" fontId="70" fillId="0" borderId="36" applyFill="0">
      <alignment vertical="center"/>
    </xf>
    <xf numFmtId="0" fontId="15" fillId="0" borderId="0"/>
    <xf numFmtId="0" fontId="97" fillId="0" borderId="0"/>
    <xf numFmtId="0" fontId="2" fillId="0" borderId="0"/>
    <xf numFmtId="49" fontId="4" fillId="0" borderId="0" applyFill="0" applyBorder="0" applyAlignment="0"/>
    <xf numFmtId="0" fontId="26" fillId="0" borderId="0" applyFill="0" applyBorder="0" applyAlignment="0"/>
    <xf numFmtId="208" fontId="6" fillId="0" borderId="0" applyFill="0" applyBorder="0" applyAlignment="0"/>
    <xf numFmtId="0" fontId="16" fillId="0" borderId="0"/>
    <xf numFmtId="0" fontId="17" fillId="0" borderId="0"/>
    <xf numFmtId="0" fontId="18" fillId="0" borderId="0">
      <alignment vertical="top"/>
    </xf>
    <xf numFmtId="260" fontId="70" fillId="0" borderId="0" applyFill="0" applyBorder="0">
      <alignment vertical="center"/>
    </xf>
    <xf numFmtId="0" fontId="22" fillId="0" borderId="0" applyNumberFormat="0" applyFill="0" applyBorder="0" applyAlignment="0" applyProtection="0"/>
    <xf numFmtId="0" fontId="5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38" fontId="98" fillId="0" borderId="0" applyNumberFormat="0" applyFill="0" applyBorder="0">
      <alignment horizontal="left" vertical="center"/>
    </xf>
    <xf numFmtId="38" fontId="99" fillId="0" borderId="0" applyNumberFormat="0" applyFill="0" applyBorder="0">
      <alignment horizontal="centerContinuous" vertical="center"/>
    </xf>
    <xf numFmtId="0" fontId="19" fillId="0" borderId="0">
      <alignment vertical="top"/>
    </xf>
    <xf numFmtId="0" fontId="100" fillId="0" borderId="0" applyNumberFormat="0" applyFill="0" applyBorder="0" applyAlignment="0" applyProtection="0"/>
    <xf numFmtId="0" fontId="6" fillId="0" borderId="0" applyNumberFormat="0" applyFill="0" applyBorder="0" applyAlignment="0" applyProtection="0"/>
    <xf numFmtId="0" fontId="25" fillId="0" borderId="0" applyFill="0" applyBorder="0" applyAlignment="0" applyProtection="0"/>
    <xf numFmtId="0" fontId="16" fillId="0" borderId="0">
      <alignment wrapText="1"/>
    </xf>
    <xf numFmtId="0" fontId="101" fillId="0" borderId="0">
      <alignment horizontal="left"/>
      <protection locked="0"/>
    </xf>
    <xf numFmtId="43" fontId="6" fillId="0" borderId="0" applyFont="0" applyFill="0" applyBorder="0" applyAlignment="0" applyProtection="0">
      <alignment wrapText="1"/>
    </xf>
    <xf numFmtId="43" fontId="111" fillId="0" borderId="0" applyFont="0" applyFill="0" applyBorder="0" applyAlignment="0" applyProtection="0"/>
    <xf numFmtId="164" fontId="86" fillId="0" borderId="0">
      <alignment vertical="center"/>
    </xf>
    <xf numFmtId="230" fontId="26" fillId="0" borderId="0"/>
    <xf numFmtId="261" fontId="27" fillId="0" borderId="0" applyFill="0" applyBorder="0" applyAlignment="0" applyProtection="0"/>
    <xf numFmtId="14" fontId="22" fillId="0" borderId="0" applyFont="0" applyFill="0" applyBorder="0" applyProtection="0"/>
    <xf numFmtId="262" fontId="102" fillId="0" borderId="0" applyFill="0" applyBorder="0">
      <alignment vertical="center"/>
    </xf>
    <xf numFmtId="0" fontId="70" fillId="24" borderId="37" applyNumberFormat="0" applyFont="0" applyBorder="0" applyAlignment="0" applyProtection="0">
      <alignment horizontal="right"/>
    </xf>
    <xf numFmtId="263" fontId="21" fillId="0" borderId="0" applyFont="0" applyFill="0" applyBorder="0" applyAlignment="0" applyProtection="0"/>
    <xf numFmtId="262" fontId="103" fillId="0" borderId="0">
      <alignment horizontal="center"/>
    </xf>
    <xf numFmtId="171" fontId="6" fillId="0" borderId="0" applyFont="0" applyFill="0" applyBorder="0" applyAlignment="0" applyProtection="0"/>
    <xf numFmtId="169" fontId="6" fillId="0" borderId="0" applyFont="0" applyFill="0" applyBorder="0" applyAlignment="0" applyProtection="0"/>
    <xf numFmtId="0" fontId="6" fillId="0" borderId="0"/>
    <xf numFmtId="170" fontId="6" fillId="0" borderId="0" applyFont="0" applyFill="0" applyBorder="0" applyAlignment="0" applyProtection="0"/>
    <xf numFmtId="168" fontId="6" fillId="0" borderId="0" applyFont="0" applyFill="0" applyBorder="0" applyAlignment="0" applyProtection="0"/>
  </cellStyleXfs>
  <cellXfs count="373">
    <xf numFmtId="0" fontId="0" fillId="0" borderId="0" xfId="0"/>
    <xf numFmtId="0" fontId="112" fillId="0" borderId="0" xfId="0" applyFont="1"/>
    <xf numFmtId="0" fontId="113" fillId="0" borderId="0" xfId="0" applyFont="1"/>
    <xf numFmtId="0" fontId="114" fillId="0" borderId="0" xfId="0" applyFont="1"/>
    <xf numFmtId="172" fontId="115" fillId="0" borderId="0" xfId="0" applyNumberFormat="1" applyFont="1"/>
    <xf numFmtId="0" fontId="116" fillId="0" borderId="0" xfId="0" applyFont="1"/>
    <xf numFmtId="0" fontId="112" fillId="0" borderId="0" xfId="0" applyFont="1" applyAlignment="1">
      <alignment horizontal="left"/>
    </xf>
    <xf numFmtId="172" fontId="116" fillId="0" borderId="0" xfId="0" applyNumberFormat="1" applyFont="1"/>
    <xf numFmtId="174" fontId="112" fillId="0" borderId="0" xfId="0" applyNumberFormat="1" applyFont="1"/>
    <xf numFmtId="0" fontId="117" fillId="27" borderId="0" xfId="0" applyFont="1" applyFill="1" applyAlignment="1">
      <alignment horizontal="left"/>
    </xf>
    <xf numFmtId="0" fontId="116" fillId="27" borderId="0" xfId="0" applyFont="1" applyFill="1"/>
    <xf numFmtId="0" fontId="116" fillId="27" borderId="38" xfId="0" applyFont="1" applyFill="1" applyBorder="1" applyAlignment="1">
      <alignment horizontal="centerContinuous"/>
    </xf>
    <xf numFmtId="175" fontId="116" fillId="27" borderId="0" xfId="0" applyNumberFormat="1" applyFont="1" applyFill="1" applyAlignment="1">
      <alignment horizontal="centerContinuous"/>
    </xf>
    <xf numFmtId="175" fontId="116" fillId="27" borderId="0" xfId="0" applyNumberFormat="1" applyFont="1" applyFill="1" applyAlignment="1">
      <alignment horizontal="center"/>
    </xf>
    <xf numFmtId="0" fontId="116" fillId="0" borderId="0" xfId="0" applyFont="1" applyAlignment="1">
      <alignment horizontal="left"/>
    </xf>
    <xf numFmtId="0" fontId="116" fillId="27" borderId="3" xfId="0" applyFont="1" applyFill="1" applyBorder="1"/>
    <xf numFmtId="0" fontId="112" fillId="27" borderId="3" xfId="0" applyFont="1" applyFill="1" applyBorder="1"/>
    <xf numFmtId="0" fontId="118" fillId="28" borderId="0" xfId="0" applyFont="1" applyFill="1" applyAlignment="1">
      <alignment horizontal="left" indent="1"/>
    </xf>
    <xf numFmtId="176" fontId="119" fillId="28" borderId="0" xfId="550" applyNumberFormat="1" applyFont="1" applyFill="1"/>
    <xf numFmtId="0" fontId="118" fillId="28" borderId="0" xfId="0" applyFont="1" applyFill="1" applyAlignment="1">
      <alignment horizontal="left"/>
    </xf>
    <xf numFmtId="171" fontId="114" fillId="0" borderId="0" xfId="162" applyFont="1" applyFill="1" applyBorder="1" applyAlignment="1">
      <alignment horizontal="center"/>
    </xf>
    <xf numFmtId="37" fontId="112" fillId="0" borderId="0" xfId="0" applyNumberFormat="1" applyFont="1"/>
    <xf numFmtId="0" fontId="116" fillId="0" borderId="39" xfId="0" applyFont="1" applyBorder="1"/>
    <xf numFmtId="0" fontId="112" fillId="0" borderId="3" xfId="0" applyFont="1" applyBorder="1"/>
    <xf numFmtId="0" fontId="118" fillId="28" borderId="0" xfId="0" applyFont="1" applyFill="1"/>
    <xf numFmtId="176" fontId="118" fillId="28" borderId="0" xfId="550" applyNumberFormat="1" applyFont="1" applyFill="1"/>
    <xf numFmtId="264" fontId="112" fillId="0" borderId="0" xfId="0" applyNumberFormat="1" applyFont="1"/>
    <xf numFmtId="0" fontId="112" fillId="0" borderId="0" xfId="272" applyFont="1"/>
    <xf numFmtId="173" fontId="116" fillId="0" borderId="0" xfId="0" applyNumberFormat="1" applyFont="1"/>
    <xf numFmtId="172" fontId="120" fillId="0" borderId="0" xfId="0" applyNumberFormat="1" applyFont="1"/>
    <xf numFmtId="172" fontId="112" fillId="0" borderId="0" xfId="0" applyNumberFormat="1" applyFont="1"/>
    <xf numFmtId="172" fontId="121" fillId="0" borderId="0" xfId="0" applyNumberFormat="1" applyFont="1"/>
    <xf numFmtId="176" fontId="118" fillId="28" borderId="0" xfId="0" applyNumberFormat="1" applyFont="1" applyFill="1"/>
    <xf numFmtId="175" fontId="116" fillId="27" borderId="3" xfId="0" applyNumberFormat="1" applyFont="1" applyFill="1" applyBorder="1" applyAlignment="1">
      <alignment horizontal="centerContinuous"/>
    </xf>
    <xf numFmtId="0" fontId="118" fillId="0" borderId="0" xfId="0" applyFont="1"/>
    <xf numFmtId="0" fontId="112" fillId="0" borderId="0" xfId="0" applyFont="1" applyAlignment="1">
      <alignment horizontal="right"/>
    </xf>
    <xf numFmtId="265" fontId="116" fillId="0" borderId="0" xfId="0" applyNumberFormat="1" applyFont="1" applyAlignment="1">
      <alignment horizontal="right"/>
    </xf>
    <xf numFmtId="265" fontId="112" fillId="0" borderId="0" xfId="0" applyNumberFormat="1" applyFont="1" applyAlignment="1">
      <alignment horizontal="right"/>
    </xf>
    <xf numFmtId="9" fontId="118" fillId="28" borderId="0" xfId="550" applyFont="1" applyFill="1" applyAlignment="1">
      <alignment horizontal="right"/>
    </xf>
    <xf numFmtId="37" fontId="112" fillId="0" borderId="0" xfId="0" applyNumberFormat="1" applyFont="1" applyAlignment="1">
      <alignment horizontal="right"/>
    </xf>
    <xf numFmtId="172" fontId="116" fillId="0" borderId="0" xfId="0" applyNumberFormat="1" applyFont="1" applyAlignment="1">
      <alignment horizontal="right"/>
    </xf>
    <xf numFmtId="9" fontId="112" fillId="0" borderId="0" xfId="550" applyFont="1"/>
    <xf numFmtId="9" fontId="112" fillId="0" borderId="0" xfId="550" applyFont="1" applyFill="1"/>
    <xf numFmtId="0" fontId="112" fillId="0" borderId="7" xfId="0" applyFont="1" applyBorder="1"/>
    <xf numFmtId="176" fontId="118" fillId="0" borderId="0" xfId="550" applyNumberFormat="1" applyFont="1" applyFill="1"/>
    <xf numFmtId="172" fontId="116" fillId="0" borderId="39" xfId="0" applyNumberFormat="1" applyFont="1" applyBorder="1"/>
    <xf numFmtId="0" fontId="118" fillId="0" borderId="0" xfId="0" applyFont="1" applyAlignment="1">
      <alignment horizontal="left" indent="1"/>
    </xf>
    <xf numFmtId="1" fontId="112" fillId="0" borderId="0" xfId="0" applyNumberFormat="1" applyFont="1" applyAlignment="1">
      <alignment horizontal="right"/>
    </xf>
    <xf numFmtId="0" fontId="116" fillId="0" borderId="7" xfId="0" applyFont="1" applyBorder="1"/>
    <xf numFmtId="176" fontId="118" fillId="28" borderId="0" xfId="550" applyNumberFormat="1" applyFont="1" applyFill="1" applyAlignment="1">
      <alignment horizontal="right"/>
    </xf>
    <xf numFmtId="0" fontId="116" fillId="0" borderId="0" xfId="272" applyFont="1"/>
    <xf numFmtId="2" fontId="112" fillId="0" borderId="0" xfId="0" applyNumberFormat="1" applyFont="1"/>
    <xf numFmtId="0" fontId="113" fillId="0" borderId="9" xfId="0" applyFont="1" applyBorder="1"/>
    <xf numFmtId="0" fontId="116" fillId="27" borderId="9" xfId="0" applyFont="1" applyFill="1" applyBorder="1"/>
    <xf numFmtId="0" fontId="116" fillId="0" borderId="6" xfId="0" applyFont="1" applyBorder="1"/>
    <xf numFmtId="0" fontId="116" fillId="0" borderId="40" xfId="272" applyFont="1" applyBorder="1" applyAlignment="1">
      <alignment horizontal="left" wrapText="1"/>
    </xf>
    <xf numFmtId="0" fontId="112" fillId="0" borderId="22" xfId="272" applyFont="1" applyBorder="1" applyAlignment="1">
      <alignment horizontal="left" wrapText="1"/>
    </xf>
    <xf numFmtId="172" fontId="122" fillId="0" borderId="0" xfId="0" applyNumberFormat="1" applyFont="1"/>
    <xf numFmtId="177" fontId="112" fillId="0" borderId="0" xfId="162" applyNumberFormat="1" applyFont="1" applyFill="1" applyBorder="1"/>
    <xf numFmtId="177" fontId="116" fillId="0" borderId="0" xfId="162" applyNumberFormat="1" applyFont="1" applyFill="1" applyBorder="1"/>
    <xf numFmtId="176" fontId="116" fillId="0" borderId="0" xfId="550" applyNumberFormat="1" applyFont="1" applyFill="1" applyAlignment="1">
      <alignment horizontal="right"/>
    </xf>
    <xf numFmtId="177" fontId="116" fillId="0" borderId="0" xfId="162" applyNumberFormat="1" applyFont="1" applyFill="1"/>
    <xf numFmtId="175" fontId="116" fillId="27" borderId="3" xfId="0" applyNumberFormat="1" applyFont="1" applyFill="1" applyBorder="1" applyAlignment="1">
      <alignment horizontal="center" vertical="center"/>
    </xf>
    <xf numFmtId="177" fontId="112" fillId="0" borderId="0" xfId="162" applyNumberFormat="1" applyFont="1" applyAlignment="1">
      <alignment horizontal="right"/>
    </xf>
    <xf numFmtId="177" fontId="116" fillId="0" borderId="39" xfId="162" applyNumberFormat="1" applyFont="1" applyFill="1" applyBorder="1" applyAlignment="1">
      <alignment horizontal="right"/>
    </xf>
    <xf numFmtId="177" fontId="112" fillId="0" borderId="0" xfId="162" applyNumberFormat="1" applyFont="1" applyBorder="1"/>
    <xf numFmtId="177" fontId="112" fillId="0" borderId="7" xfId="162" applyNumberFormat="1" applyFont="1" applyBorder="1"/>
    <xf numFmtId="177" fontId="116" fillId="0" borderId="7" xfId="162" applyNumberFormat="1" applyFont="1" applyBorder="1"/>
    <xf numFmtId="177" fontId="112" fillId="0" borderId="0" xfId="162" applyNumberFormat="1" applyFont="1"/>
    <xf numFmtId="179" fontId="112" fillId="0" borderId="28" xfId="162" applyNumberFormat="1" applyFont="1" applyFill="1" applyBorder="1" applyAlignment="1">
      <alignment horizontal="left" wrapText="1"/>
    </xf>
    <xf numFmtId="176" fontId="115" fillId="0" borderId="0" xfId="550" applyNumberFormat="1" applyFont="1" applyFill="1"/>
    <xf numFmtId="0" fontId="112" fillId="0" borderId="41" xfId="0" applyFont="1" applyBorder="1"/>
    <xf numFmtId="177" fontId="112" fillId="0" borderId="41" xfId="162" applyNumberFormat="1" applyFont="1" applyBorder="1"/>
    <xf numFmtId="0" fontId="123" fillId="0" borderId="0" xfId="0" applyFont="1"/>
    <xf numFmtId="177" fontId="112" fillId="28" borderId="0" xfId="162" applyNumberFormat="1" applyFont="1" applyFill="1" applyBorder="1" applyAlignment="1">
      <alignment horizontal="center" wrapText="1"/>
    </xf>
    <xf numFmtId="172" fontId="124" fillId="0" borderId="0" xfId="0" applyNumberFormat="1" applyFont="1"/>
    <xf numFmtId="172" fontId="125" fillId="0" borderId="0" xfId="0" applyNumberFormat="1" applyFont="1"/>
    <xf numFmtId="0" fontId="122" fillId="0" borderId="0" xfId="0" applyFont="1"/>
    <xf numFmtId="176" fontId="126" fillId="28" borderId="0" xfId="550" applyNumberFormat="1" applyFont="1" applyFill="1"/>
    <xf numFmtId="0" fontId="116" fillId="28" borderId="42" xfId="272" applyFont="1" applyFill="1" applyBorder="1" applyAlignment="1">
      <alignment horizontal="right" wrapText="1"/>
    </xf>
    <xf numFmtId="0" fontId="112" fillId="28" borderId="15" xfId="272" applyFont="1" applyFill="1" applyBorder="1" applyAlignment="1">
      <alignment horizontal="right" wrapText="1"/>
    </xf>
    <xf numFmtId="0" fontId="112" fillId="28" borderId="8" xfId="272" applyFont="1" applyFill="1" applyBorder="1" applyAlignment="1">
      <alignment horizontal="left" wrapText="1"/>
    </xf>
    <xf numFmtId="0" fontId="127" fillId="0" borderId="0" xfId="272" applyFont="1"/>
    <xf numFmtId="177" fontId="127" fillId="0" borderId="0" xfId="272" applyNumberFormat="1" applyFont="1"/>
    <xf numFmtId="0" fontId="118" fillId="0" borderId="0" xfId="272" applyFont="1"/>
    <xf numFmtId="179" fontId="112" fillId="0" borderId="43" xfId="162" applyNumberFormat="1" applyFont="1" applyFill="1" applyBorder="1" applyAlignment="1">
      <alignment horizontal="left" wrapText="1"/>
    </xf>
    <xf numFmtId="172" fontId="112" fillId="0" borderId="0" xfId="0" applyNumberFormat="1" applyFont="1" applyAlignment="1">
      <alignment horizontal="right"/>
    </xf>
    <xf numFmtId="0" fontId="116" fillId="28" borderId="15" xfId="272" applyFont="1" applyFill="1" applyBorder="1" applyAlignment="1">
      <alignment horizontal="right" wrapText="1"/>
    </xf>
    <xf numFmtId="0" fontId="116" fillId="0" borderId="40" xfId="272" applyFont="1" applyBorder="1"/>
    <xf numFmtId="0" fontId="116" fillId="0" borderId="44" xfId="272" applyFont="1" applyBorder="1"/>
    <xf numFmtId="0" fontId="112" fillId="0" borderId="22" xfId="272" applyFont="1" applyBorder="1" applyAlignment="1">
      <alignment horizontal="left"/>
    </xf>
    <xf numFmtId="0" fontId="116" fillId="0" borderId="45" xfId="272" applyFont="1" applyBorder="1" applyAlignment="1">
      <alignment horizontal="left"/>
    </xf>
    <xf numFmtId="176" fontId="112" fillId="0" borderId="0" xfId="550" applyNumberFormat="1" applyFont="1" applyFill="1"/>
    <xf numFmtId="0" fontId="124" fillId="27" borderId="0" xfId="0" applyFont="1" applyFill="1"/>
    <xf numFmtId="177" fontId="122" fillId="0" borderId="43" xfId="272" applyNumberFormat="1" applyFont="1" applyBorder="1"/>
    <xf numFmtId="0" fontId="116" fillId="0" borderId="46" xfId="272" applyFont="1" applyBorder="1"/>
    <xf numFmtId="175" fontId="116" fillId="27" borderId="3" xfId="0" applyNumberFormat="1" applyFont="1" applyFill="1" applyBorder="1" applyAlignment="1">
      <alignment horizontal="left" vertical="center"/>
    </xf>
    <xf numFmtId="176" fontId="112" fillId="0" borderId="0" xfId="550" applyNumberFormat="1" applyFont="1"/>
    <xf numFmtId="177" fontId="112" fillId="0" borderId="43" xfId="162" applyNumberFormat="1" applyFont="1" applyFill="1" applyBorder="1" applyAlignment="1">
      <alignment horizontal="left" wrapText="1"/>
    </xf>
    <xf numFmtId="177" fontId="112" fillId="0" borderId="28" xfId="162" applyNumberFormat="1" applyFont="1" applyFill="1" applyBorder="1" applyAlignment="1">
      <alignment horizontal="left" wrapText="1"/>
    </xf>
    <xf numFmtId="177" fontId="112" fillId="0" borderId="28" xfId="272" applyNumberFormat="1" applyFont="1" applyBorder="1"/>
    <xf numFmtId="177" fontId="116" fillId="0" borderId="47" xfId="162" applyNumberFormat="1" applyFont="1" applyFill="1" applyBorder="1" applyAlignment="1">
      <alignment horizontal="left" wrapText="1"/>
    </xf>
    <xf numFmtId="0" fontId="116" fillId="0" borderId="48" xfId="272" applyFont="1" applyBorder="1" applyAlignment="1">
      <alignment horizontal="right"/>
    </xf>
    <xf numFmtId="0" fontId="116" fillId="0" borderId="44" xfId="272" applyFont="1" applyBorder="1" applyAlignment="1">
      <alignment horizontal="right"/>
    </xf>
    <xf numFmtId="177" fontId="112" fillId="0" borderId="43" xfId="272" applyNumberFormat="1" applyFont="1" applyBorder="1"/>
    <xf numFmtId="0" fontId="116" fillId="0" borderId="11" xfId="272" applyFont="1" applyBorder="1" applyAlignment="1">
      <alignment horizontal="center"/>
    </xf>
    <xf numFmtId="177" fontId="116" fillId="0" borderId="45" xfId="175" applyNumberFormat="1" applyFont="1" applyFill="1" applyBorder="1" applyAlignment="1">
      <alignment horizontal="left" wrapText="1"/>
    </xf>
    <xf numFmtId="177" fontId="122" fillId="28" borderId="14" xfId="175" applyNumberFormat="1" applyFont="1" applyFill="1" applyBorder="1" applyAlignment="1">
      <alignment horizontal="center" wrapText="1"/>
    </xf>
    <xf numFmtId="0" fontId="116" fillId="28" borderId="12" xfId="272" applyFont="1" applyFill="1" applyBorder="1" applyAlignment="1">
      <alignment horizontal="right" wrapText="1"/>
    </xf>
    <xf numFmtId="0" fontId="112" fillId="28" borderId="8" xfId="272" applyFont="1" applyFill="1" applyBorder="1" applyAlignment="1">
      <alignment horizontal="right" wrapText="1"/>
    </xf>
    <xf numFmtId="0" fontId="116" fillId="28" borderId="8" xfId="272" applyFont="1" applyFill="1" applyBorder="1" applyAlignment="1">
      <alignment horizontal="right" wrapText="1"/>
    </xf>
    <xf numFmtId="0" fontId="112" fillId="28" borderId="8" xfId="272" applyFont="1" applyFill="1" applyBorder="1"/>
    <xf numFmtId="0" fontId="116" fillId="28" borderId="49" xfId="272" applyFont="1" applyFill="1" applyBorder="1" applyAlignment="1">
      <alignment horizontal="left" wrapText="1"/>
    </xf>
    <xf numFmtId="0" fontId="116" fillId="28" borderId="14" xfId="272" applyFont="1" applyFill="1" applyBorder="1" applyAlignment="1">
      <alignment horizontal="left" wrapText="1"/>
    </xf>
    <xf numFmtId="0" fontId="112" fillId="28" borderId="14" xfId="272" applyFont="1" applyFill="1" applyBorder="1" applyAlignment="1">
      <alignment horizontal="left" wrapText="1"/>
    </xf>
    <xf numFmtId="0" fontId="112" fillId="28" borderId="15" xfId="272" applyFont="1" applyFill="1" applyBorder="1"/>
    <xf numFmtId="177" fontId="116" fillId="0" borderId="0" xfId="175" applyNumberFormat="1" applyFont="1" applyFill="1" applyBorder="1" applyAlignment="1">
      <alignment horizontal="left" wrapText="1"/>
    </xf>
    <xf numFmtId="177" fontId="120" fillId="0" borderId="0" xfId="175" applyNumberFormat="1" applyFont="1" applyFill="1" applyBorder="1" applyAlignment="1">
      <alignment horizontal="left" wrapText="1"/>
    </xf>
    <xf numFmtId="176" fontId="116" fillId="0" borderId="7" xfId="550" applyNumberFormat="1" applyFont="1" applyFill="1" applyBorder="1" applyAlignment="1">
      <alignment horizontal="right"/>
    </xf>
    <xf numFmtId="177" fontId="116" fillId="28" borderId="49" xfId="162" applyNumberFormat="1" applyFont="1" applyFill="1" applyBorder="1"/>
    <xf numFmtId="177" fontId="116" fillId="28" borderId="9" xfId="162" applyNumberFormat="1" applyFont="1" applyFill="1" applyBorder="1"/>
    <xf numFmtId="265" fontId="116" fillId="28" borderId="42" xfId="273" applyNumberFormat="1" applyFont="1" applyFill="1" applyBorder="1"/>
    <xf numFmtId="265" fontId="116" fillId="28" borderId="12" xfId="273" applyNumberFormat="1" applyFont="1" applyFill="1" applyBorder="1"/>
    <xf numFmtId="177" fontId="112" fillId="28" borderId="14" xfId="162" applyNumberFormat="1" applyFont="1" applyFill="1" applyBorder="1"/>
    <xf numFmtId="265" fontId="112" fillId="28" borderId="15" xfId="273" applyNumberFormat="1" applyFont="1" applyFill="1" applyBorder="1"/>
    <xf numFmtId="265" fontId="112" fillId="28" borderId="8" xfId="273" applyNumberFormat="1" applyFont="1" applyFill="1" applyBorder="1"/>
    <xf numFmtId="177" fontId="116" fillId="28" borderId="14" xfId="162" applyNumberFormat="1" applyFont="1" applyFill="1" applyBorder="1"/>
    <xf numFmtId="172" fontId="112" fillId="28" borderId="16" xfId="0" applyNumberFormat="1" applyFont="1" applyFill="1" applyBorder="1"/>
    <xf numFmtId="177" fontId="112" fillId="28" borderId="9" xfId="162" applyNumberFormat="1" applyFont="1" applyFill="1" applyBorder="1" applyAlignment="1">
      <alignment horizontal="center" wrapText="1"/>
    </xf>
    <xf numFmtId="0" fontId="112" fillId="28" borderId="17" xfId="272" applyFont="1" applyFill="1" applyBorder="1"/>
    <xf numFmtId="0" fontId="112" fillId="28" borderId="50" xfId="272" applyFont="1" applyFill="1" applyBorder="1"/>
    <xf numFmtId="179" fontId="116" fillId="28" borderId="14" xfId="162" applyNumberFormat="1" applyFont="1" applyFill="1" applyBorder="1" applyAlignment="1">
      <alignment horizontal="center" wrapText="1"/>
    </xf>
    <xf numFmtId="179" fontId="116" fillId="28" borderId="0" xfId="162" applyNumberFormat="1" applyFont="1" applyFill="1" applyBorder="1" applyAlignment="1">
      <alignment horizontal="center" wrapText="1"/>
    </xf>
    <xf numFmtId="0" fontId="116" fillId="28" borderId="49" xfId="273" applyFont="1" applyFill="1" applyBorder="1"/>
    <xf numFmtId="0" fontId="112" fillId="28" borderId="14" xfId="273" applyFont="1" applyFill="1" applyBorder="1"/>
    <xf numFmtId="0" fontId="116" fillId="28" borderId="14" xfId="273" applyFont="1" applyFill="1" applyBorder="1"/>
    <xf numFmtId="0" fontId="112" fillId="28" borderId="16" xfId="273" applyFont="1" applyFill="1" applyBorder="1"/>
    <xf numFmtId="175" fontId="116" fillId="0" borderId="0" xfId="0" applyNumberFormat="1" applyFont="1" applyAlignment="1">
      <alignment horizontal="center"/>
    </xf>
    <xf numFmtId="176" fontId="118" fillId="0" borderId="0" xfId="0" applyNumberFormat="1" applyFont="1"/>
    <xf numFmtId="0" fontId="112" fillId="28" borderId="51" xfId="272" applyFont="1" applyFill="1" applyBorder="1" applyAlignment="1">
      <alignment horizontal="left" wrapText="1"/>
    </xf>
    <xf numFmtId="0" fontId="112" fillId="28" borderId="51" xfId="272" applyFont="1" applyFill="1" applyBorder="1" applyAlignment="1">
      <alignment horizontal="right" wrapText="1"/>
    </xf>
    <xf numFmtId="0" fontId="120" fillId="0" borderId="0" xfId="272" applyFont="1" applyAlignment="1">
      <alignment horizontal="left"/>
    </xf>
    <xf numFmtId="0" fontId="128" fillId="0" borderId="12" xfId="272" applyFont="1" applyBorder="1"/>
    <xf numFmtId="0" fontId="116" fillId="27" borderId="38" xfId="0" applyFont="1" applyFill="1" applyBorder="1" applyAlignment="1">
      <alignment horizontal="left"/>
    </xf>
    <xf numFmtId="175" fontId="116" fillId="27" borderId="0" xfId="0" applyNumberFormat="1" applyFont="1" applyFill="1" applyAlignment="1">
      <alignment horizontal="left"/>
    </xf>
    <xf numFmtId="172" fontId="114" fillId="0" borderId="0" xfId="0" applyNumberFormat="1" applyFont="1"/>
    <xf numFmtId="177" fontId="112" fillId="28" borderId="14" xfId="175" applyNumberFormat="1" applyFont="1" applyFill="1" applyBorder="1" applyAlignment="1">
      <alignment horizontal="center" wrapText="1"/>
    </xf>
    <xf numFmtId="0" fontId="116" fillId="28" borderId="8" xfId="272" applyFont="1" applyFill="1" applyBorder="1" applyAlignment="1">
      <alignment horizontal="left" wrapText="1"/>
    </xf>
    <xf numFmtId="0" fontId="129" fillId="0" borderId="0" xfId="0" applyFont="1"/>
    <xf numFmtId="176" fontId="116" fillId="0" borderId="0" xfId="550" applyNumberFormat="1" applyFont="1" applyFill="1"/>
    <xf numFmtId="176" fontId="112" fillId="29" borderId="0" xfId="550" applyNumberFormat="1" applyFont="1" applyFill="1"/>
    <xf numFmtId="176" fontId="116" fillId="29" borderId="0" xfId="550" applyNumberFormat="1" applyFont="1" applyFill="1"/>
    <xf numFmtId="172" fontId="130" fillId="0" borderId="0" xfId="0" applyNumberFormat="1" applyFont="1"/>
    <xf numFmtId="0" fontId="116" fillId="0" borderId="49" xfId="272" applyFont="1" applyBorder="1" applyAlignment="1">
      <alignment horizontal="center"/>
    </xf>
    <xf numFmtId="0" fontId="116" fillId="0" borderId="9" xfId="272" applyFont="1" applyBorder="1" applyAlignment="1">
      <alignment horizontal="center"/>
    </xf>
    <xf numFmtId="0" fontId="116" fillId="0" borderId="42" xfId="272" applyFont="1" applyBorder="1" applyAlignment="1">
      <alignment horizontal="center"/>
    </xf>
    <xf numFmtId="0" fontId="116" fillId="28" borderId="49" xfId="272" applyFont="1" applyFill="1" applyBorder="1" applyAlignment="1">
      <alignment horizontal="center" wrapText="1"/>
    </xf>
    <xf numFmtId="0" fontId="116" fillId="28" borderId="9" xfId="272" applyFont="1" applyFill="1" applyBorder="1" applyAlignment="1">
      <alignment horizontal="center" wrapText="1"/>
    </xf>
    <xf numFmtId="177" fontId="130" fillId="28" borderId="14" xfId="175" applyNumberFormat="1" applyFont="1" applyFill="1" applyBorder="1" applyAlignment="1">
      <alignment horizontal="center" wrapText="1"/>
    </xf>
    <xf numFmtId="177" fontId="116" fillId="28" borderId="0" xfId="162" applyNumberFormat="1" applyFont="1" applyFill="1" applyBorder="1" applyAlignment="1">
      <alignment horizontal="center" wrapText="1"/>
    </xf>
    <xf numFmtId="177" fontId="116" fillId="28" borderId="14" xfId="175" applyNumberFormat="1" applyFont="1" applyFill="1" applyBorder="1" applyAlignment="1">
      <alignment horizontal="center" wrapText="1"/>
    </xf>
    <xf numFmtId="265" fontId="116" fillId="28" borderId="15" xfId="272" applyNumberFormat="1" applyFont="1" applyFill="1" applyBorder="1" applyAlignment="1">
      <alignment horizontal="right" wrapText="1"/>
    </xf>
    <xf numFmtId="177" fontId="120" fillId="0" borderId="0" xfId="162" applyNumberFormat="1" applyFont="1" applyFill="1"/>
    <xf numFmtId="0" fontId="120" fillId="30" borderId="0" xfId="0" applyFont="1" applyFill="1" applyAlignment="1">
      <alignment horizontal="left"/>
    </xf>
    <xf numFmtId="172" fontId="112" fillId="30" borderId="0" xfId="0" applyNumberFormat="1" applyFont="1" applyFill="1"/>
    <xf numFmtId="39" fontId="116" fillId="0" borderId="0" xfId="0" applyNumberFormat="1" applyFont="1" applyAlignment="1">
      <alignment horizontal="right"/>
    </xf>
    <xf numFmtId="172" fontId="127" fillId="0" borderId="0" xfId="0" applyNumberFormat="1" applyFont="1"/>
    <xf numFmtId="0" fontId="127" fillId="0" borderId="0" xfId="0" applyFont="1"/>
    <xf numFmtId="268" fontId="116" fillId="0" borderId="0" xfId="0" applyNumberFormat="1" applyFont="1"/>
    <xf numFmtId="269" fontId="112" fillId="0" borderId="0" xfId="550" applyNumberFormat="1" applyFont="1" applyFill="1"/>
    <xf numFmtId="175" fontId="116" fillId="27" borderId="3" xfId="0" applyNumberFormat="1" applyFont="1" applyFill="1" applyBorder="1" applyAlignment="1">
      <alignment horizontal="center"/>
    </xf>
    <xf numFmtId="0" fontId="112" fillId="27" borderId="0" xfId="0" applyFont="1" applyFill="1"/>
    <xf numFmtId="177" fontId="116" fillId="0" borderId="0" xfId="162" applyNumberFormat="1" applyFont="1" applyFill="1" applyBorder="1" applyAlignment="1">
      <alignment horizontal="right"/>
    </xf>
    <xf numFmtId="176" fontId="116" fillId="0" borderId="0" xfId="550" applyNumberFormat="1" applyFont="1" applyFill="1" applyBorder="1" applyAlignment="1">
      <alignment horizontal="right"/>
    </xf>
    <xf numFmtId="0" fontId="116" fillId="27" borderId="38" xfId="0" applyFont="1" applyFill="1" applyBorder="1" applyAlignment="1">
      <alignment horizontal="center"/>
    </xf>
    <xf numFmtId="177" fontId="130" fillId="0" borderId="0" xfId="162" applyNumberFormat="1" applyFont="1" applyFill="1"/>
    <xf numFmtId="175" fontId="116" fillId="0" borderId="0" xfId="0" applyNumberFormat="1" applyFont="1" applyAlignment="1">
      <alignment horizontal="center" vertical="center"/>
    </xf>
    <xf numFmtId="175" fontId="116" fillId="0" borderId="0" xfId="0" applyNumberFormat="1" applyFont="1" applyAlignment="1">
      <alignment horizontal="centerContinuous"/>
    </xf>
    <xf numFmtId="0" fontId="116" fillId="0" borderId="0" xfId="272" applyFont="1" applyAlignment="1">
      <alignment horizontal="left"/>
    </xf>
    <xf numFmtId="171" fontId="112" fillId="0" borderId="0" xfId="272" applyNumberFormat="1" applyFont="1"/>
    <xf numFmtId="177" fontId="122" fillId="0" borderId="0" xfId="272" applyNumberFormat="1" applyFont="1"/>
    <xf numFmtId="177" fontId="125" fillId="28" borderId="14" xfId="162" applyNumberFormat="1" applyFont="1" applyFill="1" applyBorder="1"/>
    <xf numFmtId="177" fontId="125" fillId="28" borderId="14" xfId="175" applyNumberFormat="1" applyFont="1" applyFill="1" applyBorder="1" applyAlignment="1">
      <alignment horizontal="center" wrapText="1"/>
    </xf>
    <xf numFmtId="177" fontId="112" fillId="28" borderId="49" xfId="162" applyNumberFormat="1" applyFont="1" applyFill="1" applyBorder="1"/>
    <xf numFmtId="177" fontId="112" fillId="28" borderId="9" xfId="162" applyNumberFormat="1" applyFont="1" applyFill="1" applyBorder="1"/>
    <xf numFmtId="0" fontId="116" fillId="28" borderId="49" xfId="272" applyFont="1" applyFill="1" applyBorder="1" applyAlignment="1">
      <alignment horizontal="left" vertical="center" wrapText="1"/>
    </xf>
    <xf numFmtId="0" fontId="112" fillId="30" borderId="0" xfId="0" applyFont="1" applyFill="1" applyAlignment="1">
      <alignment horizontal="left"/>
    </xf>
    <xf numFmtId="0" fontId="116" fillId="0" borderId="14" xfId="272" applyFont="1" applyBorder="1" applyAlignment="1">
      <alignment horizontal="left" wrapText="1"/>
    </xf>
    <xf numFmtId="179" fontId="116" fillId="0" borderId="14" xfId="162" applyNumberFormat="1" applyFont="1" applyFill="1" applyBorder="1" applyAlignment="1">
      <alignment horizontal="center" wrapText="1"/>
    </xf>
    <xf numFmtId="179" fontId="116" fillId="0" borderId="0" xfId="162" applyNumberFormat="1" applyFont="1" applyFill="1" applyBorder="1" applyAlignment="1">
      <alignment horizontal="center" wrapText="1"/>
    </xf>
    <xf numFmtId="0" fontId="112" fillId="0" borderId="15" xfId="272" applyFont="1" applyBorder="1" applyAlignment="1">
      <alignment horizontal="right" wrapText="1"/>
    </xf>
    <xf numFmtId="0" fontId="112" fillId="0" borderId="8" xfId="272" applyFont="1" applyBorder="1" applyAlignment="1">
      <alignment horizontal="right" wrapText="1"/>
    </xf>
    <xf numFmtId="0" fontId="112" fillId="0" borderId="14" xfId="272" applyFont="1" applyBorder="1" applyAlignment="1">
      <alignment horizontal="left" wrapText="1"/>
    </xf>
    <xf numFmtId="177" fontId="122" fillId="0" borderId="14" xfId="175" applyNumberFormat="1" applyFont="1" applyFill="1" applyBorder="1" applyAlignment="1">
      <alignment horizontal="center" wrapText="1"/>
    </xf>
    <xf numFmtId="177" fontId="112" fillId="0" borderId="0" xfId="162" applyNumberFormat="1" applyFont="1" applyFill="1" applyBorder="1" applyAlignment="1">
      <alignment horizontal="center" wrapText="1"/>
    </xf>
    <xf numFmtId="0" fontId="116" fillId="0" borderId="15" xfId="272" applyFont="1" applyBorder="1" applyAlignment="1">
      <alignment horizontal="right" wrapText="1"/>
    </xf>
    <xf numFmtId="0" fontId="116" fillId="0" borderId="8" xfId="272" applyFont="1" applyBorder="1" applyAlignment="1">
      <alignment horizontal="right" wrapText="1"/>
    </xf>
    <xf numFmtId="177" fontId="116" fillId="0" borderId="14" xfId="175" applyNumberFormat="1" applyFont="1" applyFill="1" applyBorder="1" applyAlignment="1">
      <alignment horizontal="center" wrapText="1"/>
    </xf>
    <xf numFmtId="177" fontId="116" fillId="0" borderId="0" xfId="162" applyNumberFormat="1" applyFont="1" applyFill="1" applyBorder="1" applyAlignment="1">
      <alignment horizontal="center" wrapText="1"/>
    </xf>
    <xf numFmtId="265" fontId="116" fillId="0" borderId="15" xfId="272" applyNumberFormat="1" applyFont="1" applyBorder="1" applyAlignment="1">
      <alignment horizontal="right" wrapText="1"/>
    </xf>
    <xf numFmtId="177" fontId="125" fillId="0" borderId="14" xfId="175" applyNumberFormat="1" applyFont="1" applyFill="1" applyBorder="1" applyAlignment="1">
      <alignment horizontal="center" wrapText="1"/>
    </xf>
    <xf numFmtId="0" fontId="116" fillId="0" borderId="49" xfId="273" applyFont="1" applyBorder="1"/>
    <xf numFmtId="177" fontId="116" fillId="0" borderId="49" xfId="162" applyNumberFormat="1" applyFont="1" applyFill="1" applyBorder="1"/>
    <xf numFmtId="177" fontId="116" fillId="0" borderId="9" xfId="162" applyNumberFormat="1" applyFont="1" applyFill="1" applyBorder="1"/>
    <xf numFmtId="265" fontId="116" fillId="0" borderId="42" xfId="273" applyNumberFormat="1" applyFont="1" applyBorder="1"/>
    <xf numFmtId="265" fontId="116" fillId="0" borderId="12" xfId="273" applyNumberFormat="1" applyFont="1" applyBorder="1"/>
    <xf numFmtId="0" fontId="112" fillId="0" borderId="14" xfId="273" applyFont="1" applyBorder="1"/>
    <xf numFmtId="177" fontId="112" fillId="0" borderId="14" xfId="162" applyNumberFormat="1" applyFont="1" applyFill="1" applyBorder="1"/>
    <xf numFmtId="265" fontId="112" fillId="0" borderId="15" xfId="273" applyNumberFormat="1" applyFont="1" applyBorder="1"/>
    <xf numFmtId="265" fontId="112" fillId="0" borderId="8" xfId="273" applyNumberFormat="1" applyFont="1" applyBorder="1"/>
    <xf numFmtId="0" fontId="116" fillId="0" borderId="14" xfId="273" applyFont="1" applyBorder="1"/>
    <xf numFmtId="177" fontId="116" fillId="0" borderId="14" xfId="162" applyNumberFormat="1" applyFont="1" applyFill="1" applyBorder="1"/>
    <xf numFmtId="0" fontId="112" fillId="0" borderId="15" xfId="272" applyFont="1" applyBorder="1"/>
    <xf numFmtId="0" fontId="112" fillId="0" borderId="8" xfId="272" applyFont="1" applyBorder="1"/>
    <xf numFmtId="0" fontId="112" fillId="0" borderId="16" xfId="273" applyFont="1" applyBorder="1"/>
    <xf numFmtId="172" fontId="112" fillId="0" borderId="16" xfId="0" applyNumberFormat="1" applyFont="1" applyBorder="1"/>
    <xf numFmtId="177" fontId="112" fillId="0" borderId="9" xfId="162" applyNumberFormat="1" applyFont="1" applyFill="1" applyBorder="1" applyAlignment="1">
      <alignment horizontal="center" wrapText="1"/>
    </xf>
    <xf numFmtId="0" fontId="112" fillId="0" borderId="17" xfId="272" applyFont="1" applyBorder="1"/>
    <xf numFmtId="0" fontId="112" fillId="0" borderId="50" xfId="272" applyFont="1" applyBorder="1"/>
    <xf numFmtId="0" fontId="116" fillId="0" borderId="49" xfId="272" applyFont="1" applyBorder="1" applyAlignment="1">
      <alignment horizontal="left" wrapText="1"/>
    </xf>
    <xf numFmtId="0" fontId="116" fillId="0" borderId="49" xfId="272" applyFont="1" applyBorder="1" applyAlignment="1">
      <alignment horizontal="center" wrapText="1"/>
    </xf>
    <xf numFmtId="0" fontId="116" fillId="0" borderId="9" xfId="272" applyFont="1" applyBorder="1" applyAlignment="1">
      <alignment horizontal="center" wrapText="1"/>
    </xf>
    <xf numFmtId="0" fontId="116" fillId="0" borderId="42" xfId="272" applyFont="1" applyBorder="1" applyAlignment="1">
      <alignment horizontal="right" wrapText="1"/>
    </xf>
    <xf numFmtId="0" fontId="116" fillId="0" borderId="12" xfId="272" applyFont="1" applyBorder="1" applyAlignment="1">
      <alignment horizontal="right" wrapText="1"/>
    </xf>
    <xf numFmtId="0" fontId="112" fillId="0" borderId="51" xfId="272" applyFont="1" applyBorder="1" applyAlignment="1">
      <alignment horizontal="left" wrapText="1"/>
    </xf>
    <xf numFmtId="0" fontId="112" fillId="0" borderId="51" xfId="272" applyFont="1" applyBorder="1" applyAlignment="1">
      <alignment horizontal="right" wrapText="1"/>
    </xf>
    <xf numFmtId="177" fontId="112" fillId="0" borderId="14" xfId="175" applyNumberFormat="1" applyFont="1" applyFill="1" applyBorder="1" applyAlignment="1">
      <alignment horizontal="center" wrapText="1"/>
    </xf>
    <xf numFmtId="0" fontId="116" fillId="0" borderId="8" xfId="272" applyFont="1" applyBorder="1" applyAlignment="1">
      <alignment horizontal="left" wrapText="1"/>
    </xf>
    <xf numFmtId="177" fontId="130" fillId="0" borderId="14" xfId="175" applyNumberFormat="1" applyFont="1" applyFill="1" applyBorder="1" applyAlignment="1">
      <alignment horizontal="center" wrapText="1"/>
    </xf>
    <xf numFmtId="0" fontId="112" fillId="0" borderId="8" xfId="272" applyFont="1" applyBorder="1" applyAlignment="1">
      <alignment horizontal="left" wrapText="1"/>
    </xf>
    <xf numFmtId="177" fontId="125" fillId="0" borderId="14" xfId="162" applyNumberFormat="1" applyFont="1" applyFill="1" applyBorder="1"/>
    <xf numFmtId="177" fontId="112" fillId="0" borderId="49" xfId="162" applyNumberFormat="1" applyFont="1" applyFill="1" applyBorder="1"/>
    <xf numFmtId="177" fontId="112" fillId="0" borderId="9" xfId="162" applyNumberFormat="1" applyFont="1" applyFill="1" applyBorder="1"/>
    <xf numFmtId="0" fontId="128" fillId="28" borderId="12" xfId="272" applyFont="1" applyFill="1" applyBorder="1"/>
    <xf numFmtId="0" fontId="116" fillId="28" borderId="49" xfId="272" applyFont="1" applyFill="1" applyBorder="1" applyAlignment="1">
      <alignment horizontal="center"/>
    </xf>
    <xf numFmtId="0" fontId="116" fillId="28" borderId="9" xfId="272" applyFont="1" applyFill="1" applyBorder="1" applyAlignment="1">
      <alignment horizontal="center"/>
    </xf>
    <xf numFmtId="0" fontId="116" fillId="28" borderId="42" xfId="272" applyFont="1" applyFill="1" applyBorder="1" applyAlignment="1">
      <alignment horizontal="center"/>
    </xf>
    <xf numFmtId="0" fontId="128" fillId="28" borderId="52" xfId="272" applyFont="1" applyFill="1" applyBorder="1"/>
    <xf numFmtId="0" fontId="112" fillId="0" borderId="22" xfId="272" applyFont="1" applyBorder="1"/>
    <xf numFmtId="0" fontId="112" fillId="0" borderId="23" xfId="272" applyFont="1" applyBorder="1"/>
    <xf numFmtId="177" fontId="122" fillId="0" borderId="53" xfId="175" applyNumberFormat="1" applyFont="1" applyFill="1" applyBorder="1" applyAlignment="1">
      <alignment horizontal="center" wrapText="1"/>
    </xf>
    <xf numFmtId="177" fontId="122" fillId="0" borderId="54" xfId="175" applyNumberFormat="1" applyFont="1" applyFill="1" applyBorder="1" applyAlignment="1">
      <alignment horizontal="right" wrapText="1"/>
    </xf>
    <xf numFmtId="0" fontId="116" fillId="0" borderId="0" xfId="272" applyFont="1" applyAlignment="1">
      <alignment horizontal="left" wrapText="1"/>
    </xf>
    <xf numFmtId="0" fontId="116" fillId="28" borderId="49" xfId="272" applyFont="1" applyFill="1" applyBorder="1" applyAlignment="1">
      <alignment horizontal="center" vertical="center" wrapText="1"/>
    </xf>
    <xf numFmtId="0" fontId="112" fillId="0" borderId="14" xfId="272" applyFont="1" applyBorder="1"/>
    <xf numFmtId="177" fontId="112" fillId="0" borderId="14" xfId="162" applyNumberFormat="1" applyFont="1" applyFill="1" applyBorder="1" applyAlignment="1">
      <alignment horizontal="center" wrapText="1"/>
    </xf>
    <xf numFmtId="177" fontId="112" fillId="0" borderId="16" xfId="162" applyNumberFormat="1" applyFont="1" applyFill="1" applyBorder="1" applyAlignment="1">
      <alignment horizontal="center" wrapText="1"/>
    </xf>
    <xf numFmtId="265" fontId="116" fillId="0" borderId="8" xfId="272" applyNumberFormat="1" applyFont="1" applyBorder="1" applyAlignment="1">
      <alignment horizontal="right" wrapText="1"/>
    </xf>
    <xf numFmtId="0" fontId="112" fillId="0" borderId="50" xfId="272" applyFont="1" applyBorder="1" applyAlignment="1">
      <alignment horizontal="right" wrapText="1"/>
    </xf>
    <xf numFmtId="177" fontId="112" fillId="0" borderId="49" xfId="162" applyNumberFormat="1" applyFont="1" applyFill="1" applyBorder="1" applyAlignment="1">
      <alignment horizontal="center" wrapText="1"/>
    </xf>
    <xf numFmtId="0" fontId="116" fillId="0" borderId="48" xfId="272" applyFont="1" applyBorder="1" applyAlignment="1">
      <alignment horizontal="center" vertical="center"/>
    </xf>
    <xf numFmtId="0" fontId="116" fillId="0" borderId="44" xfId="272" applyFont="1" applyBorder="1" applyAlignment="1">
      <alignment horizontal="center" vertical="center"/>
    </xf>
    <xf numFmtId="0" fontId="112" fillId="0" borderId="8" xfId="0" applyFont="1" applyBorder="1" applyAlignment="1">
      <alignment horizontal="left" indent="1"/>
    </xf>
    <xf numFmtId="0" fontId="112" fillId="0" borderId="50" xfId="272" applyFont="1" applyBorder="1" applyAlignment="1">
      <alignment horizontal="left" wrapText="1"/>
    </xf>
    <xf numFmtId="0" fontId="5" fillId="0" borderId="0" xfId="0" applyFont="1"/>
    <xf numFmtId="177" fontId="122" fillId="0" borderId="0" xfId="175" applyNumberFormat="1" applyFont="1" applyFill="1" applyBorder="1" applyAlignment="1">
      <alignment horizontal="center" wrapText="1"/>
    </xf>
    <xf numFmtId="0" fontId="112" fillId="0" borderId="0" xfId="272" applyFont="1" applyAlignment="1">
      <alignment horizontal="right" wrapText="1"/>
    </xf>
    <xf numFmtId="0" fontId="112" fillId="0" borderId="0" xfId="272" applyFont="1" applyAlignment="1">
      <alignment horizontal="left" wrapText="1"/>
    </xf>
    <xf numFmtId="177" fontId="112" fillId="0" borderId="0" xfId="175" applyNumberFormat="1" applyFont="1" applyFill="1" applyBorder="1" applyAlignment="1">
      <alignment horizontal="center" wrapText="1"/>
    </xf>
    <xf numFmtId="0" fontId="116" fillId="0" borderId="0" xfId="273" applyFont="1"/>
    <xf numFmtId="265" fontId="116" fillId="0" borderId="0" xfId="273" applyNumberFormat="1" applyFont="1"/>
    <xf numFmtId="0" fontId="112" fillId="0" borderId="0" xfId="273" applyFont="1"/>
    <xf numFmtId="177" fontId="125" fillId="0" borderId="0" xfId="162" applyNumberFormat="1" applyFont="1" applyFill="1" applyBorder="1"/>
    <xf numFmtId="265" fontId="112" fillId="0" borderId="0" xfId="273" applyNumberFormat="1" applyFont="1"/>
    <xf numFmtId="0" fontId="128" fillId="0" borderId="0" xfId="272" applyFont="1"/>
    <xf numFmtId="0" fontId="116" fillId="0" borderId="0" xfId="272" applyFont="1" applyAlignment="1">
      <alignment horizontal="right"/>
    </xf>
    <xf numFmtId="177" fontId="122" fillId="0" borderId="0" xfId="175" applyNumberFormat="1" applyFont="1" applyFill="1" applyBorder="1" applyAlignment="1">
      <alignment horizontal="right" wrapText="1"/>
    </xf>
    <xf numFmtId="0" fontId="116" fillId="0" borderId="0" xfId="272" applyFont="1" applyAlignment="1">
      <alignment horizontal="right" wrapText="1"/>
    </xf>
    <xf numFmtId="0" fontId="128" fillId="28" borderId="24" xfId="272" applyFont="1" applyFill="1" applyBorder="1"/>
    <xf numFmtId="0" fontId="116" fillId="28" borderId="25" xfId="272" applyFont="1" applyFill="1" applyBorder="1" applyAlignment="1">
      <alignment horizontal="center"/>
    </xf>
    <xf numFmtId="0" fontId="116" fillId="28" borderId="27" xfId="272" applyFont="1" applyFill="1" applyBorder="1" applyAlignment="1">
      <alignment horizontal="center"/>
    </xf>
    <xf numFmtId="0" fontId="112" fillId="0" borderId="28" xfId="272" applyFont="1" applyBorder="1" applyAlignment="1">
      <alignment horizontal="left" wrapText="1"/>
    </xf>
    <xf numFmtId="177" fontId="112" fillId="0" borderId="28" xfId="162" applyNumberFormat="1" applyFont="1" applyFill="1" applyBorder="1" applyAlignment="1">
      <alignment horizontal="center" wrapText="1"/>
    </xf>
    <xf numFmtId="0" fontId="112" fillId="0" borderId="28" xfId="272" applyFont="1" applyBorder="1"/>
    <xf numFmtId="0" fontId="116" fillId="0" borderId="55" xfId="272" applyFont="1" applyBorder="1" applyAlignment="1">
      <alignment horizontal="left" wrapText="1"/>
    </xf>
    <xf numFmtId="0" fontId="116" fillId="0" borderId="46" xfId="272" applyFont="1" applyBorder="1" applyAlignment="1">
      <alignment horizontal="left" wrapText="1"/>
    </xf>
    <xf numFmtId="265" fontId="116" fillId="0" borderId="56" xfId="273" applyNumberFormat="1" applyFont="1" applyBorder="1"/>
    <xf numFmtId="265" fontId="116" fillId="0" borderId="57" xfId="273" applyNumberFormat="1" applyFont="1" applyBorder="1"/>
    <xf numFmtId="179" fontId="116" fillId="0" borderId="9" xfId="162" applyNumberFormat="1" applyFont="1" applyFill="1" applyBorder="1" applyAlignment="1">
      <alignment horizontal="center" vertical="center"/>
    </xf>
    <xf numFmtId="179" fontId="116" fillId="0" borderId="58" xfId="162" applyNumberFormat="1" applyFont="1" applyFill="1" applyBorder="1" applyAlignment="1">
      <alignment horizontal="center" vertical="center"/>
    </xf>
    <xf numFmtId="0" fontId="116" fillId="28" borderId="12" xfId="272" applyFont="1" applyFill="1" applyBorder="1" applyAlignment="1">
      <alignment horizontal="center" vertical="center"/>
    </xf>
    <xf numFmtId="172" fontId="0" fillId="0" borderId="0" xfId="0" applyNumberFormat="1"/>
    <xf numFmtId="264" fontId="112" fillId="28" borderId="0" xfId="0" applyNumberFormat="1" applyFont="1" applyFill="1"/>
    <xf numFmtId="172" fontId="116" fillId="0" borderId="0" xfId="0" applyNumberFormat="1" applyFont="1" applyAlignment="1">
      <alignment horizontal="left"/>
    </xf>
    <xf numFmtId="172" fontId="112" fillId="0" borderId="0" xfId="0" applyNumberFormat="1" applyFont="1" applyAlignment="1">
      <alignment horizontal="left"/>
    </xf>
    <xf numFmtId="265" fontId="116" fillId="0" borderId="0" xfId="0" applyNumberFormat="1" applyFont="1" applyAlignment="1">
      <alignment horizontal="left"/>
    </xf>
    <xf numFmtId="265" fontId="112" fillId="0" borderId="0" xfId="0" applyNumberFormat="1" applyFont="1" applyAlignment="1">
      <alignment horizontal="left"/>
    </xf>
    <xf numFmtId="37" fontId="112" fillId="28" borderId="0" xfId="0" applyNumberFormat="1" applyFont="1" applyFill="1" applyAlignment="1">
      <alignment horizontal="right"/>
    </xf>
    <xf numFmtId="37" fontId="112" fillId="28" borderId="0" xfId="0" applyNumberFormat="1" applyFont="1" applyFill="1"/>
    <xf numFmtId="176" fontId="112" fillId="28" borderId="0" xfId="550" applyNumberFormat="1" applyFont="1" applyFill="1"/>
    <xf numFmtId="265" fontId="116" fillId="28" borderId="0" xfId="0" applyNumberFormat="1" applyFont="1" applyFill="1" applyAlignment="1">
      <alignment horizontal="right"/>
    </xf>
    <xf numFmtId="265" fontId="112" fillId="28" borderId="0" xfId="0" applyNumberFormat="1" applyFont="1" applyFill="1" applyAlignment="1">
      <alignment horizontal="right"/>
    </xf>
    <xf numFmtId="176" fontId="126" fillId="0" borderId="0" xfId="550" applyNumberFormat="1" applyFont="1" applyFill="1" applyBorder="1"/>
    <xf numFmtId="267" fontId="116" fillId="0" borderId="0" xfId="0" applyNumberFormat="1" applyFont="1"/>
    <xf numFmtId="176" fontId="118" fillId="0" borderId="0" xfId="550" applyNumberFormat="1" applyFont="1" applyFill="1" applyBorder="1"/>
    <xf numFmtId="176" fontId="119" fillId="0" borderId="0" xfId="550" applyNumberFormat="1" applyFont="1" applyFill="1" applyBorder="1"/>
    <xf numFmtId="9" fontId="112" fillId="0" borderId="0" xfId="550" applyFont="1" applyFill="1" applyBorder="1"/>
    <xf numFmtId="176" fontId="115" fillId="0" borderId="0" xfId="550" applyNumberFormat="1" applyFont="1" applyFill="1" applyBorder="1"/>
    <xf numFmtId="264" fontId="116" fillId="0" borderId="0" xfId="0" applyNumberFormat="1" applyFont="1"/>
    <xf numFmtId="176" fontId="118" fillId="0" borderId="0" xfId="550" applyNumberFormat="1" applyFont="1" applyFill="1" applyBorder="1" applyAlignment="1">
      <alignment horizontal="right"/>
    </xf>
    <xf numFmtId="9" fontId="118" fillId="0" borderId="0" xfId="550" applyFont="1" applyFill="1" applyBorder="1" applyAlignment="1">
      <alignment horizontal="right"/>
    </xf>
    <xf numFmtId="177" fontId="112" fillId="0" borderId="0" xfId="162" applyNumberFormat="1" applyFont="1" applyFill="1" applyBorder="1" applyAlignment="1">
      <alignment horizontal="right"/>
    </xf>
    <xf numFmtId="176" fontId="112" fillId="0" borderId="0" xfId="550" applyNumberFormat="1" applyFont="1" applyFill="1" applyBorder="1"/>
    <xf numFmtId="172" fontId="115" fillId="30" borderId="0" xfId="0" applyNumberFormat="1" applyFont="1" applyFill="1"/>
    <xf numFmtId="0" fontId="0" fillId="27" borderId="0" xfId="0" applyFill="1"/>
    <xf numFmtId="0" fontId="116" fillId="31" borderId="0" xfId="0" applyFont="1" applyFill="1"/>
    <xf numFmtId="0" fontId="0" fillId="31" borderId="0" xfId="0" applyFill="1"/>
    <xf numFmtId="172" fontId="114" fillId="31" borderId="0" xfId="0" applyNumberFormat="1" applyFont="1" applyFill="1"/>
    <xf numFmtId="172" fontId="124" fillId="31" borderId="0" xfId="0" applyNumberFormat="1" applyFont="1" applyFill="1"/>
    <xf numFmtId="172" fontId="115" fillId="31" borderId="0" xfId="0" applyNumberFormat="1" applyFont="1" applyFill="1"/>
    <xf numFmtId="172" fontId="112" fillId="31" borderId="0" xfId="0" applyNumberFormat="1" applyFont="1" applyFill="1"/>
    <xf numFmtId="176" fontId="116" fillId="28" borderId="0" xfId="550" applyNumberFormat="1" applyFont="1" applyFill="1"/>
    <xf numFmtId="0" fontId="116" fillId="27" borderId="49" xfId="272" applyFont="1" applyFill="1" applyBorder="1" applyAlignment="1">
      <alignment horizontal="left" vertical="center" wrapText="1"/>
    </xf>
    <xf numFmtId="0" fontId="116" fillId="27" borderId="49" xfId="272" applyFont="1" applyFill="1" applyBorder="1" applyAlignment="1">
      <alignment horizontal="center" vertical="center" wrapText="1"/>
    </xf>
    <xf numFmtId="0" fontId="116" fillId="27" borderId="12" xfId="272" applyFont="1" applyFill="1" applyBorder="1" applyAlignment="1">
      <alignment horizontal="center" vertical="center"/>
    </xf>
    <xf numFmtId="0" fontId="116" fillId="27" borderId="40" xfId="272" applyFont="1" applyFill="1" applyBorder="1" applyAlignment="1">
      <alignment horizontal="left" wrapText="1"/>
    </xf>
    <xf numFmtId="0" fontId="116" fillId="27" borderId="48" xfId="272" applyFont="1" applyFill="1" applyBorder="1" applyAlignment="1">
      <alignment horizontal="center" vertical="center"/>
    </xf>
    <xf numFmtId="0" fontId="116" fillId="27" borderId="40" xfId="272" applyFont="1" applyFill="1" applyBorder="1"/>
    <xf numFmtId="0" fontId="116" fillId="27" borderId="44" xfId="272" applyFont="1" applyFill="1" applyBorder="1" applyAlignment="1">
      <alignment horizontal="center" vertical="center"/>
    </xf>
    <xf numFmtId="0" fontId="116" fillId="27" borderId="27" xfId="272" applyFont="1" applyFill="1" applyBorder="1" applyAlignment="1">
      <alignment horizontal="center"/>
    </xf>
    <xf numFmtId="0" fontId="128" fillId="27" borderId="24" xfId="272" applyFont="1" applyFill="1" applyBorder="1" applyAlignment="1">
      <alignment horizontal="left" vertical="center" wrapText="1"/>
    </xf>
    <xf numFmtId="179" fontId="130" fillId="0" borderId="28" xfId="162" applyNumberFormat="1" applyFont="1" applyFill="1" applyBorder="1" applyAlignment="1">
      <alignment horizontal="center" vertical="center"/>
    </xf>
    <xf numFmtId="0" fontId="112" fillId="0" borderId="23" xfId="272" applyFont="1" applyBorder="1" applyAlignment="1">
      <alignment horizontal="left" wrapText="1"/>
    </xf>
    <xf numFmtId="179" fontId="130" fillId="0" borderId="29" xfId="162" applyNumberFormat="1" applyFont="1" applyFill="1" applyBorder="1" applyAlignment="1">
      <alignment horizontal="right" vertical="center"/>
    </xf>
    <xf numFmtId="171" fontId="112" fillId="0" borderId="0" xfId="272" applyNumberFormat="1" applyFont="1" applyAlignment="1">
      <alignment horizontal="left" wrapText="1"/>
    </xf>
    <xf numFmtId="268" fontId="112" fillId="0" borderId="0" xfId="0" applyNumberFormat="1" applyFont="1"/>
    <xf numFmtId="177" fontId="120" fillId="0" borderId="0" xfId="162" applyNumberFormat="1" applyFont="1" applyFill="1" applyBorder="1"/>
    <xf numFmtId="264" fontId="116" fillId="0" borderId="0" xfId="0" applyNumberFormat="1" applyFont="1" applyAlignment="1">
      <alignment horizontal="left" indent="3"/>
    </xf>
    <xf numFmtId="264" fontId="116" fillId="28" borderId="0" xfId="0" applyNumberFormat="1" applyFont="1" applyFill="1" applyAlignment="1">
      <alignment horizontal="left" indent="3"/>
    </xf>
    <xf numFmtId="39" fontId="122" fillId="30" borderId="0" xfId="0" applyNumberFormat="1" applyFont="1" applyFill="1" applyAlignment="1">
      <alignment horizontal="right"/>
    </xf>
    <xf numFmtId="39" fontId="112" fillId="30" borderId="0" xfId="0" applyNumberFormat="1" applyFont="1" applyFill="1" applyAlignment="1">
      <alignment horizontal="right"/>
    </xf>
    <xf numFmtId="173" fontId="112" fillId="0" borderId="0" xfId="0" applyNumberFormat="1" applyFont="1"/>
    <xf numFmtId="39" fontId="112" fillId="30" borderId="0" xfId="0" applyNumberFormat="1" applyFont="1" applyFill="1"/>
    <xf numFmtId="177" fontId="116" fillId="27" borderId="48" xfId="272" applyNumberFormat="1" applyFont="1" applyFill="1" applyBorder="1" applyAlignment="1">
      <alignment horizontal="center" vertical="center"/>
    </xf>
    <xf numFmtId="0" fontId="116" fillId="27" borderId="40" xfId="272" applyFont="1" applyFill="1" applyBorder="1" applyAlignment="1">
      <alignment wrapText="1"/>
    </xf>
    <xf numFmtId="171" fontId="116" fillId="0" borderId="0" xfId="162" applyFont="1" applyFill="1" applyBorder="1" applyAlignment="1">
      <alignment horizontal="center"/>
    </xf>
    <xf numFmtId="175" fontId="116" fillId="27" borderId="59" xfId="0" applyNumberFormat="1" applyFont="1" applyFill="1" applyBorder="1" applyAlignment="1">
      <alignment horizontal="center" vertical="center"/>
    </xf>
    <xf numFmtId="0" fontId="123" fillId="0" borderId="0" xfId="0" applyFont="1" applyAlignment="1">
      <alignment horizontal="left"/>
    </xf>
    <xf numFmtId="172" fontId="123" fillId="0" borderId="0" xfId="0" applyNumberFormat="1" applyFont="1"/>
    <xf numFmtId="0" fontId="116" fillId="30" borderId="0" xfId="0" applyFont="1" applyFill="1" applyAlignment="1">
      <alignment horizontal="left"/>
    </xf>
    <xf numFmtId="0" fontId="112" fillId="28" borderId="0" xfId="0" applyFont="1" applyFill="1"/>
    <xf numFmtId="0" fontId="112" fillId="28" borderId="0" xfId="0" applyFont="1" applyFill="1" applyAlignment="1">
      <alignment horizontal="left"/>
    </xf>
    <xf numFmtId="176" fontId="119" fillId="0" borderId="0" xfId="550" applyNumberFormat="1" applyFont="1" applyFill="1"/>
    <xf numFmtId="176" fontId="126" fillId="0" borderId="0" xfId="550" applyNumberFormat="1" applyFont="1" applyFill="1"/>
    <xf numFmtId="177" fontId="123" fillId="0" borderId="0" xfId="162" applyNumberFormat="1" applyFont="1" applyFill="1"/>
    <xf numFmtId="179" fontId="123" fillId="0" borderId="0" xfId="162" applyNumberFormat="1" applyFont="1" applyFill="1" applyBorder="1"/>
    <xf numFmtId="172" fontId="118" fillId="0" borderId="0" xfId="0" applyNumberFormat="1" applyFont="1"/>
    <xf numFmtId="0" fontId="110" fillId="0" borderId="0" xfId="0" applyFont="1"/>
    <xf numFmtId="0" fontId="112" fillId="30" borderId="0" xfId="0" applyFont="1" applyFill="1"/>
    <xf numFmtId="172" fontId="116" fillId="28" borderId="0" xfId="0" applyNumberFormat="1" applyFont="1" applyFill="1" applyAlignment="1">
      <alignment horizontal="right"/>
    </xf>
    <xf numFmtId="37" fontId="116" fillId="28" borderId="0" xfId="0" applyNumberFormat="1" applyFont="1" applyFill="1" applyAlignment="1">
      <alignment horizontal="right"/>
    </xf>
    <xf numFmtId="0" fontId="131" fillId="0" borderId="0" xfId="0" applyFont="1"/>
    <xf numFmtId="176" fontId="132" fillId="29" borderId="0" xfId="550" applyNumberFormat="1" applyFont="1" applyFill="1"/>
    <xf numFmtId="0" fontId="116" fillId="27" borderId="9" xfId="272" applyFont="1" applyFill="1" applyBorder="1" applyAlignment="1">
      <alignment horizontal="left" vertical="center" wrapText="1"/>
    </xf>
    <xf numFmtId="0" fontId="116" fillId="0" borderId="15" xfId="272" applyFont="1" applyBorder="1" applyAlignment="1">
      <alignment horizontal="left" wrapText="1"/>
    </xf>
    <xf numFmtId="0" fontId="112" fillId="0" borderId="15" xfId="0" applyFont="1" applyBorder="1" applyAlignment="1">
      <alignment horizontal="left" indent="1"/>
    </xf>
    <xf numFmtId="0" fontId="112" fillId="0" borderId="15" xfId="272" applyFont="1" applyBorder="1" applyAlignment="1">
      <alignment horizontal="left" wrapText="1"/>
    </xf>
    <xf numFmtId="0" fontId="112" fillId="0" borderId="17" xfId="272" applyFont="1" applyBorder="1" applyAlignment="1">
      <alignment horizontal="left" wrapText="1"/>
    </xf>
    <xf numFmtId="0" fontId="116" fillId="0" borderId="9" xfId="273" applyFont="1" applyBorder="1"/>
    <xf numFmtId="0" fontId="116" fillId="27" borderId="49" xfId="272" applyFont="1" applyFill="1" applyBorder="1" applyAlignment="1">
      <alignment horizontal="center" vertical="center"/>
    </xf>
    <xf numFmtId="0" fontId="112" fillId="0" borderId="14" xfId="272" applyFont="1" applyBorder="1" applyAlignment="1">
      <alignment horizontal="right" wrapText="1"/>
    </xf>
    <xf numFmtId="0" fontId="116" fillId="0" borderId="14" xfId="272" applyFont="1" applyBorder="1" applyAlignment="1">
      <alignment horizontal="right" wrapText="1"/>
    </xf>
    <xf numFmtId="265" fontId="116" fillId="0" borderId="14" xfId="272" applyNumberFormat="1" applyFont="1" applyBorder="1" applyAlignment="1">
      <alignment horizontal="right" wrapText="1"/>
    </xf>
    <xf numFmtId="265" fontId="116" fillId="0" borderId="49" xfId="273" applyNumberFormat="1" applyFont="1" applyBorder="1"/>
    <xf numFmtId="265" fontId="112" fillId="0" borderId="14" xfId="273" applyNumberFormat="1" applyFont="1" applyBorder="1"/>
    <xf numFmtId="172" fontId="116" fillId="0" borderId="14" xfId="0" applyNumberFormat="1" applyFont="1" applyBorder="1"/>
    <xf numFmtId="177" fontId="116" fillId="0" borderId="18" xfId="162" applyNumberFormat="1" applyFont="1" applyFill="1" applyBorder="1" applyAlignment="1">
      <alignment horizontal="center" wrapText="1"/>
    </xf>
    <xf numFmtId="0" fontId="116" fillId="0" borderId="8" xfId="272" applyFont="1" applyBorder="1"/>
    <xf numFmtId="0" fontId="116" fillId="0" borderId="14" xfId="272" applyFont="1" applyBorder="1"/>
    <xf numFmtId="39" fontId="112" fillId="0" borderId="0" xfId="0" applyNumberFormat="1" applyFont="1" applyAlignment="1">
      <alignment horizontal="right"/>
    </xf>
    <xf numFmtId="177" fontId="112" fillId="0" borderId="53" xfId="162" applyNumberFormat="1" applyFont="1" applyFill="1" applyBorder="1" applyAlignment="1">
      <alignment horizontal="center" wrapText="1"/>
    </xf>
    <xf numFmtId="0" fontId="116" fillId="28" borderId="49" xfId="272" applyFont="1" applyFill="1" applyBorder="1" applyAlignment="1">
      <alignment horizontal="center" wrapText="1"/>
    </xf>
    <xf numFmtId="0" fontId="116" fillId="28" borderId="9" xfId="272" applyFont="1" applyFill="1" applyBorder="1" applyAlignment="1">
      <alignment horizontal="center" wrapText="1"/>
    </xf>
  </cellXfs>
  <cellStyles count="907">
    <cellStyle name="$" xfId="1" xr:uid="{696C7653-433A-4D65-BAF8-016D22C01D67}"/>
    <cellStyle name="$_TSA Model - 1 8 06 - v2" xfId="2" xr:uid="{0F52764D-CF71-40C8-B36F-D7B99B2FB594}"/>
    <cellStyle name="%" xfId="3" xr:uid="{723674EE-C6ED-4E9D-8976-452CCCA6857A}"/>
    <cellStyle name=";;;" xfId="4" xr:uid="{3D377214-01B7-491D-8FD4-E7562C31C2FE}"/>
    <cellStyle name="_%(SignOnly)" xfId="5" xr:uid="{B48C8E6B-A34E-4C38-A99E-BF67E399CAEC}"/>
    <cellStyle name="_%(SignSpaceOnly)" xfId="6" xr:uid="{CEBC2E13-B919-492D-9528-423C08DF3285}"/>
    <cellStyle name="_0% CADR" xfId="7" xr:uid="{A927B9A2-5573-4048-BF1B-9688C23B2C16}"/>
    <cellStyle name="_0% IRR" xfId="8" xr:uid="{3F2B024F-1D3A-4793-8B4F-2DA8CFF22A93}"/>
    <cellStyle name="_1% CADR" xfId="9" xr:uid="{19CCB2C0-E7DA-44C2-A0E8-0B0C13913419}"/>
    <cellStyle name="_10% CADR" xfId="10" xr:uid="{64DA7F74-E45A-436D-AA6E-21C45FDD6872}"/>
    <cellStyle name="_10% CDR" xfId="11" xr:uid="{74D68B21-4075-4974-94F7-471B224A57DC}"/>
    <cellStyle name="_11% CADR" xfId="12" xr:uid="{5AC22843-7CEA-4A29-A735-4BEE4B4BFF94}"/>
    <cellStyle name="_12% CADR" xfId="13" xr:uid="{5DD1F9EB-8AB5-4B2F-AEA2-0249A06E0B3E}"/>
    <cellStyle name="_12% CDR" xfId="14" xr:uid="{6CD60AB5-9F7D-436F-9D00-C812B317B82B}"/>
    <cellStyle name="_13% CADR" xfId="15" xr:uid="{3C27543F-0C78-4C2D-8DF5-F6D527F51E31}"/>
    <cellStyle name="_14% CADR" xfId="16" xr:uid="{C75C8170-A86C-4B92-976A-CD15BFDD1296}"/>
    <cellStyle name="_14% CDR" xfId="17" xr:uid="{7AE35938-AFFA-4A88-9DFB-D9C3C133C4C3}"/>
    <cellStyle name="_16% CDR" xfId="18" xr:uid="{B96E5C03-6155-4DD3-B5D7-B6813341DB47}"/>
    <cellStyle name="_18% CDR" xfId="19" xr:uid="{C8ABA725-230A-487C-9789-232D785835A8}"/>
    <cellStyle name="_19.6% CDR BBB Break In Yield" xfId="20" xr:uid="{1F2C190A-E60D-4C13-8374-E904D81232A4}"/>
    <cellStyle name="_2% CADR" xfId="21" xr:uid="{A21A3CC0-079F-46F8-A2CA-7F4E6D3FF256}"/>
    <cellStyle name="_20% CDR" xfId="22" xr:uid="{A50B64DF-05C3-4893-8547-28C7EF956AF9}"/>
    <cellStyle name="_21.5% CDR BBB Break In Yield" xfId="23" xr:uid="{6092B0B8-EDAF-4F68-8BFD-762AF0DE4A8E}"/>
    <cellStyle name="_3% CADR" xfId="24" xr:uid="{2416A4B4-062A-4E81-BA54-7F82EAFFE0EF}"/>
    <cellStyle name="_3% CDR" xfId="25" xr:uid="{EAFCF9D6-ACD2-4C17-B5B3-CAF3A031F531}"/>
    <cellStyle name="_4% CADR" xfId="26" xr:uid="{E7CBA220-2ED9-4A8F-AC51-54CE04D79A94}"/>
    <cellStyle name="_5% CADR" xfId="27" xr:uid="{036C1542-B821-4B09-AA38-D5C5160B61D5}"/>
    <cellStyle name="_5% CDR" xfId="28" xr:uid="{571FC6AA-1A7F-4B10-B1FA-EAAB53E0DF65}"/>
    <cellStyle name="_6% CADR" xfId="29" xr:uid="{F4BDC4D6-FA49-4E65-9CE3-C5D417FF383A}"/>
    <cellStyle name="_7% CADR" xfId="30" xr:uid="{89897FFF-102F-4009-A3CF-A055BAA666BB}"/>
    <cellStyle name="_7% CDR" xfId="31" xr:uid="{BD447904-0B6A-46BB-B499-3549C98A9D5A}"/>
    <cellStyle name="_8% CADR" xfId="32" xr:uid="{5EA53BF7-9B67-4D11-AB9B-4105ED066AB7}"/>
    <cellStyle name="_8.0% CDR BB Break In Yield" xfId="33" xr:uid="{97F99FA1-5BA3-46B3-B0E4-4E8813A18E8A}"/>
    <cellStyle name="_8.1% CDR BB Break In Yield" xfId="34" xr:uid="{8838D4AD-55B4-452B-937C-D35A4626BEF8}"/>
    <cellStyle name="_9% CADR" xfId="35" xr:uid="{CC5178FA-FD8A-4AA2-B536-63D3BC21AFD1}"/>
    <cellStyle name="_Assets" xfId="36" xr:uid="{6167CF2D-C934-4614-9427-3AC1D04E6EF6}"/>
    <cellStyle name="_Assets_1" xfId="37" xr:uid="{F611DE0C-E360-4ECA-856F-C3F330CD833F}"/>
    <cellStyle name="_Assets_1_COMPS - B2B Publishers" xfId="38" xr:uid="{F0C67027-F7FB-4974-8D67-6C2072DE925E}"/>
    <cellStyle name="_Assets_1_COMPS - Directories" xfId="39" xr:uid="{49492713-D629-4F12-ACE1-0C5FE562AE73}"/>
    <cellStyle name="_Assets_1_F&amp;W Servicing Model" xfId="40" xr:uid="{E5D2F3EF-7A7A-4D9E-B812-3A7D5B60EA7F}"/>
    <cellStyle name="_Assets_1_F&amp;W Servicing Model v2" xfId="41" xr:uid="{8FA92D14-0CD0-401B-96B7-B29A6F3DB1FB}"/>
    <cellStyle name="_Assets_1_S&amp;P Analysis" xfId="42" xr:uid="{45868AF7-8C9F-4217-A397-D15E294D9C31}"/>
    <cellStyle name="_Assets_1_Univision Annual Model" xfId="43" xr:uid="{CFD689EF-6040-480B-B9D1-EA28B9DEEF40}"/>
    <cellStyle name="_Assets_1_Yell Servicing Model" xfId="44" xr:uid="{2D82C553-E991-4391-BF8C-F1B9E54C2DFD}"/>
    <cellStyle name="_Assets_S&amp;P Analysis" xfId="45" xr:uid="{1EC43D39-16A6-411F-BB8D-B7F9D94AE823}"/>
    <cellStyle name="_Assets_S&amp;P Analysis_COMPS - B2B Publishers" xfId="46" xr:uid="{71515FFE-CCF4-4777-B6B0-DF6A2F61A92E}"/>
    <cellStyle name="_Assets_S&amp;P Analysis_COMPS - Directories" xfId="47" xr:uid="{27D2E59A-53CB-490E-A8FC-A45EA6C662E4}"/>
    <cellStyle name="_Assets_S&amp;P Analysis_F&amp;W Servicing Model" xfId="48" xr:uid="{3E724885-D760-4B44-8470-B2351F96BBB7}"/>
    <cellStyle name="_Assets_S&amp;P Analysis_F&amp;W Servicing Model v2" xfId="49" xr:uid="{6D1DC73D-E223-4CE9-84A5-E2C39394F637}"/>
    <cellStyle name="_Assets_S&amp;P Analysis_Univision Annual Model" xfId="50" xr:uid="{B1FFCF86-9F81-484C-9BBC-CD0CD2362A30}"/>
    <cellStyle name="_Assets_S&amp;P Analysis_Yell Servicing Model" xfId="51" xr:uid="{E904A9A1-ED1D-48BB-A835-D919C0DE49D3}"/>
    <cellStyle name="_Assumptions" xfId="52" xr:uid="{4A3FEC0E-FC3B-4585-8575-4D6066390F92}"/>
    <cellStyle name="_Assumptions_1" xfId="53" xr:uid="{4FC4BD5D-C009-4CC9-8CD0-758C13CB1840}"/>
    <cellStyle name="_Assumptions_1_COMPS - B2B Publishers" xfId="54" xr:uid="{55AED610-8277-4372-99E0-80D8C2AB758B}"/>
    <cellStyle name="_Assumptions_1_COMPS - Directories" xfId="55" xr:uid="{CE0AF083-6D69-4D1D-9431-D23DA20E7AEA}"/>
    <cellStyle name="_Assumptions_1_F&amp;W Servicing Model" xfId="56" xr:uid="{A0B7E80E-2062-40D5-8F28-C6A21909B827}"/>
    <cellStyle name="_Assumptions_1_F&amp;W Servicing Model v2" xfId="57" xr:uid="{2BCC5C5B-2C01-4B7C-A079-BC32FCE224F7}"/>
    <cellStyle name="_Assumptions_1_Univision Annual Model" xfId="58" xr:uid="{79275337-736E-4993-A397-4BDA95C961A4}"/>
    <cellStyle name="_Assumptions_1_Yell Servicing Model" xfId="59" xr:uid="{12E342A9-80F5-45F6-AE04-AA76556E793C}"/>
    <cellStyle name="_Blue Mountain TRS (7-5-05)" xfId="60" xr:uid="{D5209045-8911-45BA-B9F9-472CB2791C48}"/>
    <cellStyle name="_Book2" xfId="61" xr:uid="{48E5B7AF-1216-4BE3-BCC6-A6B0C9D1A325}"/>
    <cellStyle name="_CDO of CDO" xfId="62" xr:uid="{5C0E888D-B5ED-405C-9299-38031766D885}"/>
    <cellStyle name="_CLO Portfolio 10_07_2005" xfId="63" xr:uid="{3AE09C7B-E08A-4F2E-9E75-E6B709900D2C}"/>
    <cellStyle name="_Comma" xfId="64" xr:uid="{7CDC9A65-A457-4A11-B084-14EC0AC641EA}"/>
    <cellStyle name="_Comma_dcf" xfId="65" xr:uid="{FF7FFC45-E5C3-4469-97FF-EE81A1C96EAA}"/>
    <cellStyle name="_Currency" xfId="66" xr:uid="{F354197D-7227-471E-BAD4-A8D36DB2FAE2}"/>
    <cellStyle name="_Currency_dcf" xfId="67" xr:uid="{02C6D543-D61A-44A8-93CF-642FEC1971CF}"/>
    <cellStyle name="_CurrencySpace" xfId="68" xr:uid="{2579F903-1C9D-420F-AF5F-16EA28CE9099}"/>
    <cellStyle name="_CurrencySpace_dcf" xfId="69" xr:uid="{49DC38DB-4B70-4C1E-A917-2847F6C54F35}"/>
    <cellStyle name="_Euro" xfId="70" xr:uid="{75BCB788-E9B9-4628-888C-61BEBC2EC9B1}"/>
    <cellStyle name="_EV8 Assumption List" xfId="71" xr:uid="{C3DB4931-4893-4B80-9CF6-E06A0731CA46}"/>
    <cellStyle name="_Exhibit I Babson Warehouse 2006-II CLO 8 18 06" xfId="72" xr:uid="{86DF522D-73BF-4927-98EA-DC38F0E4FBE2}"/>
    <cellStyle name="_First PIK" xfId="73" xr:uid="{ED3E0B17-D13A-4E88-BF8C-DB828F77BEEF}"/>
    <cellStyle name="_Galaxy VI CLO - WestLB Request" xfId="74" xr:uid="{19D60734-147D-4EFA-B3B6-E813CBAB8ED5}"/>
    <cellStyle name="_Heading" xfId="75" xr:uid="{216A92EF-2C78-47FA-9425-AB580C52EB4B}"/>
    <cellStyle name="_Heading_prestemp" xfId="76" xr:uid="{79EB3243-A74A-4346-934E-A9008509AEF5}"/>
    <cellStyle name="_Highlight" xfId="77" xr:uid="{09FAA7CB-70D4-4827-8908-5849F3EE34DD}"/>
    <cellStyle name="_Model FINAL (2)" xfId="78" xr:uid="{E730802A-B62A-43E3-BA76-209E7674E78B}"/>
    <cellStyle name="_Multiple" xfId="79" xr:uid="{8F848956-FF32-4DF8-BD3A-B4A7F290B94E}"/>
    <cellStyle name="_Multiple_dcf" xfId="80" xr:uid="{FCDCB4AA-CD69-43B1-8A8F-2C1607B0F9F6}"/>
    <cellStyle name="_MultipleSpace" xfId="81" xr:uid="{2E5A4CFD-D2C2-43AA-A9E8-A3F49099E85B}"/>
    <cellStyle name="_MultipleSpace_dcf" xfId="82" xr:uid="{1FBDED29-9B55-4F2C-89B6-B51C7B5A03F7}"/>
    <cellStyle name="_Other Defafult Scenario 1" xfId="83" xr:uid="{F3758A60-FBCB-48C9-A181-94582780C123}"/>
    <cellStyle name="_Other Default Scenario 2" xfId="84" xr:uid="{FE493462-B2C6-45C6-845D-21341BE0B755}"/>
    <cellStyle name="_Percent" xfId="85" xr:uid="{DBA5317F-88D8-43DA-86F6-1E52E88EF35B}"/>
    <cellStyle name="_PercentSpace" xfId="86" xr:uid="{1192DD80-7218-4988-AB7D-C473A1D02EDA}"/>
    <cellStyle name="_Port" xfId="87" xr:uid="{AA25E21F-4384-4658-932B-4AF2FFBBD51A}"/>
    <cellStyle name="_Port For S&amp;P" xfId="88" xr:uid="{B0611AB3-79DE-42AD-9AF6-B9E7A6A42B8D}"/>
    <cellStyle name="_Port_COMPS - B2B Publishers" xfId="89" xr:uid="{117750AC-57B2-435D-86DC-B10FDE587DC1}"/>
    <cellStyle name="_Port_COMPS - Directories" xfId="90" xr:uid="{9642932E-5DFB-4DC4-9E3D-32F5EA5E362E}"/>
    <cellStyle name="_Port_F&amp;W Servicing Model" xfId="91" xr:uid="{DAFB4F52-FAF8-4C66-836F-2B1D6E7C961A}"/>
    <cellStyle name="_Port_F&amp;W Servicing Model v2" xfId="92" xr:uid="{BBAD4FE9-BD2F-4E6D-BAB4-7EC6BEB6B703}"/>
    <cellStyle name="_Port_Univision Annual Model" xfId="93" xr:uid="{087B8E55-40E7-4D69-B3B0-076622645FB2}"/>
    <cellStyle name="_Port_Yell Servicing Model" xfId="94" xr:uid="{9A958E94-01F7-425D-BA33-5890459C45F7}"/>
    <cellStyle name="_Pro Forma TTM 9.30.07 (CW NEIRB Acquisition)" xfId="95" xr:uid="{2C9BE17F-ED53-4EC7-AE9A-CA777710676A}"/>
    <cellStyle name="_S&amp;P Analysis" xfId="96" xr:uid="{267E9A11-82A7-4E25-B169-3DA8736D6148}"/>
    <cellStyle name="_S&amp;P Analysis_COMPS - B2B Publishers" xfId="97" xr:uid="{96FF0C24-993F-454C-8E60-CB4382E66230}"/>
    <cellStyle name="_S&amp;P Analysis_COMPS - Directories" xfId="98" xr:uid="{017FBB96-330A-407A-96DF-2E914BA40416}"/>
    <cellStyle name="_S&amp;P Analysis_F&amp;W Servicing Model" xfId="99" xr:uid="{3B999BAB-47C6-40AB-B579-6030C6921B5B}"/>
    <cellStyle name="_S&amp;P Analysis_F&amp;W Servicing Model v2" xfId="100" xr:uid="{C4460665-082A-4480-835D-278BC21D1F5F}"/>
    <cellStyle name="_S&amp;P Analysis_Univision Annual Model" xfId="101" xr:uid="{BC904675-B7E9-4109-84AF-AF9490F8582B}"/>
    <cellStyle name="_S&amp;P Analysis_Yell Servicing Model" xfId="102" xr:uid="{5D060AC4-B570-4B3C-A0D7-D68F41957DC3}"/>
    <cellStyle name="_S&amp;P Hypothetical Port Summary" xfId="103" xr:uid="{D7EC7E8D-D048-44C0-9DA8-44F9242DDE32}"/>
    <cellStyle name="_S&amp;P Port 80Div_2099WARF" xfId="104" xr:uid="{4071067D-B69A-45DE-8B14-809CE1D7D6CD}"/>
    <cellStyle name="_S&amp;P Stress Scenarios" xfId="105" xr:uid="{CC75E121-906E-4472-AD05-5FEEFAB1FE24}"/>
    <cellStyle name="_Sources and Uses" xfId="106" xr:uid="{6EAFADDE-2611-4AC3-B73B-5E48A35B7762}"/>
    <cellStyle name="_SubHeading" xfId="107" xr:uid="{34C59148-E57A-497A-B366-12CB5A8AECAE}"/>
    <cellStyle name="_SubHeading_prestemp" xfId="108" xr:uid="{11B7A82F-744E-4FEC-BA89-9AB7D0FB606B}"/>
    <cellStyle name="_Table" xfId="109" xr:uid="{2795929B-0514-4800-ABE7-D5D1746C3EF0}"/>
    <cellStyle name="_TableHead" xfId="110" xr:uid="{FCF87A10-6FAE-4EB2-8C50-10A8B7D1ACB0}"/>
    <cellStyle name="_TableRowHead" xfId="111" xr:uid="{3F3767FC-7931-4935-9095-25DA07FE74B3}"/>
    <cellStyle name="_TableSuperHead" xfId="112" xr:uid="{82B2913C-46A2-4A3B-8BED-7762D2C7E81A}"/>
    <cellStyle name="£Currency [0]" xfId="113" xr:uid="{36D42F8F-E422-4555-BDDA-AE10A9D43730}"/>
    <cellStyle name="£Currency [1]" xfId="114" xr:uid="{B4EFC41B-BD4C-4D94-BA07-45FB5F0216B0}"/>
    <cellStyle name="£Currency [2]" xfId="115" xr:uid="{4722377E-3A50-43D5-A470-560CC64038D6}"/>
    <cellStyle name="£Currency [p]" xfId="116" xr:uid="{0F369151-0FF9-4A78-8FF5-9E07AD8EE517}"/>
    <cellStyle name="£Currency [p2]" xfId="117" xr:uid="{E6E0AE6F-97B0-481E-AE6A-A7BEE9BD172F}"/>
    <cellStyle name="£Pounds" xfId="118" xr:uid="{EA1DA7C7-BEAC-44C7-A846-B6C18F1C5876}"/>
    <cellStyle name="Accounting $" xfId="119" xr:uid="{44E37605-955C-4CD4-88FF-44A22442DC4C}"/>
    <cellStyle name="Across" xfId="120" xr:uid="{3F2813D8-ABEF-4DB0-9531-E63869E51C19}"/>
    <cellStyle name="Adjustable" xfId="121" xr:uid="{3CC90968-A742-481E-859F-6E0C7778EE2C}"/>
    <cellStyle name="AFE" xfId="122" xr:uid="{EFC93CFB-1D41-4B34-9174-8BF4280754CB}"/>
    <cellStyle name="Andre's Title" xfId="123" xr:uid="{D47390C3-6405-48B1-9A95-AF47F70620D2}"/>
    <cellStyle name="args.style" xfId="124" xr:uid="{A5E967A5-5AAA-4AC5-B06F-FCFD5E0AE5AD}"/>
    <cellStyle name="Arial 10" xfId="125" xr:uid="{DADA39F4-F073-44E6-B62A-9DBEAD8F56EA}"/>
    <cellStyle name="Arial 12" xfId="126" xr:uid="{FFDEC783-325F-4DD1-99C6-D06EDD35426B}"/>
    <cellStyle name="Best" xfId="127" xr:uid="{1C1B0C08-B2D9-41CA-A6F4-8C3397A987E0}"/>
    <cellStyle name="Blank [$]" xfId="128" xr:uid="{7ABBA36A-BA38-48B0-9BCB-A831A0F233A6}"/>
    <cellStyle name="Blank [,]" xfId="129" xr:uid="{7AEB62B5-E0A3-432A-BA2B-96038F1BC5DD}"/>
    <cellStyle name="BlankedZeros" xfId="130" xr:uid="{E0A38EE4-9D5C-46A6-9310-813E27346324}"/>
    <cellStyle name="blp_column_header" xfId="131" xr:uid="{9C70072D-8F14-46FC-8ED2-D8193E2DD9B4}"/>
    <cellStyle name="Blue" xfId="132" xr:uid="{F1A08D1F-5467-4BAE-8449-AE1485C525E5}"/>
    <cellStyle name="bluepercent" xfId="133" xr:uid="{04DAA4A1-1CA0-4617-B888-543DDD6E6106}"/>
    <cellStyle name="Body" xfId="134" xr:uid="{0A4412FD-C7C7-4B00-8817-3A1ACCF9C8EA}"/>
    <cellStyle name="Bold" xfId="135" xr:uid="{01382497-301D-4A57-BE57-4DD0772471CB}"/>
    <cellStyle name="BoldItalic" xfId="136" xr:uid="{950F8FBA-1261-4EE3-A37B-D245966C24C2}"/>
    <cellStyle name="Bottom" xfId="137" xr:uid="{5BBB4BB7-4692-4B85-884A-F50AFA8F1C95}"/>
    <cellStyle name="Bottom Edge" xfId="138" xr:uid="{95640A93-05EB-484C-921E-6B7C517043B1}"/>
    <cellStyle name="British Pound" xfId="139" xr:uid="{C64C5CEF-B0A3-48F6-A3A7-8E38644A485D}"/>
    <cellStyle name="Business Description" xfId="140" xr:uid="{F65C6B03-3B31-4195-A1AE-66D57E57D326}"/>
    <cellStyle name="c" xfId="141" xr:uid="{A188799F-75F0-4708-BFEA-8E41134E2F0E}"/>
    <cellStyle name="Calc Currency (0)" xfId="142" xr:uid="{570F39FA-521F-4C46-B6BD-41F5C627097C}"/>
    <cellStyle name="Calc Currency (2)" xfId="143" xr:uid="{930BD61B-F6DE-43B9-BB2C-BB0274A10F0F}"/>
    <cellStyle name="Calc Percent (0)" xfId="144" xr:uid="{CE7045D9-6208-4BEA-834A-3ACCEAC4D4B3}"/>
    <cellStyle name="Calc Percent (1)" xfId="145" xr:uid="{DBD3CBE5-36E1-4B2C-BF5D-19A07D0CF1DD}"/>
    <cellStyle name="Calc Percent (2)" xfId="146" xr:uid="{653492D1-4F11-4B09-BB83-760401A3E9B5}"/>
    <cellStyle name="Calc Units (0)" xfId="147" xr:uid="{22CB8EAF-E1F7-4B40-806F-82906B851AF0}"/>
    <cellStyle name="Calc Units (1)" xfId="148" xr:uid="{B96B00A0-C005-4C96-8B23-53FD871C22FA}"/>
    <cellStyle name="Calc Units (2)" xfId="149" xr:uid="{25BAFC22-13FE-4C23-94A4-B765FF4F95FF}"/>
    <cellStyle name="Case" xfId="150" xr:uid="{4255017B-FD66-409B-B4F3-4BB9CB054D6A}"/>
    <cellStyle name="cc" xfId="151" xr:uid="{D94951AA-3BD3-4DBC-AEDF-F7FC0AEB8440}"/>
    <cellStyle name="Center" xfId="152" xr:uid="{83117D3F-8B76-470F-A600-868B494D38F8}"/>
    <cellStyle name="CenterBold" xfId="153" xr:uid="{B503DC51-B7ED-4CAF-BF09-BA82A79EBA93}"/>
    <cellStyle name="CenterItalic" xfId="154" xr:uid="{91D93C4F-5FD1-4FF8-BCF9-759EC9DA60A6}"/>
    <cellStyle name="Cents" xfId="155" xr:uid="{264B9030-2DCB-43BD-9BD4-9BBEFBA70392}"/>
    <cellStyle name="ChartingText" xfId="156" xr:uid="{3A664A06-E1CB-452D-916A-3D505F3C4B9B}"/>
    <cellStyle name="Co. Names" xfId="157" xr:uid="{6F3EAF45-CD9D-4E95-9EE3-4B789B2B7600}"/>
    <cellStyle name="Co. Names - Bold" xfId="158" xr:uid="{3014EEF2-1F7D-48BF-8241-938A80EE40BE}"/>
    <cellStyle name="Co. Names_Break-Up" xfId="159" xr:uid="{8363B8D7-881C-451B-8DE8-08DC5F686239}"/>
    <cellStyle name="COL HEADINGS" xfId="160" xr:uid="{F9FF9C9F-F851-4ED0-AFAB-8A43CE7D8EC5}"/>
    <cellStyle name="ColumnHeaderNormal" xfId="161" xr:uid="{9CA72C1A-BDF1-4634-976B-ED418E1A324B}"/>
    <cellStyle name="Comma" xfId="162" builtinId="3"/>
    <cellStyle name="Comma  - Style1" xfId="163" xr:uid="{F274E3BD-62A7-4BDF-BF63-A15C1B4A3921}"/>
    <cellStyle name="Comma  - Style2" xfId="164" xr:uid="{1BD87B5A-9569-4F52-AF4C-20D5A8BCBD9C}"/>
    <cellStyle name="Comma  - Style3" xfId="165" xr:uid="{618BBF4E-0CF5-4A3F-AE3C-5604FAD2F753}"/>
    <cellStyle name="Comma  - Style4" xfId="166" xr:uid="{9FA2C224-9204-4163-8162-8E277C703EE1}"/>
    <cellStyle name="Comma  - Style5" xfId="167" xr:uid="{C76B789C-B400-4A49-8980-3C03F783392C}"/>
    <cellStyle name="Comma  - Style6" xfId="168" xr:uid="{62B3806B-5860-4826-B213-CBE9929A55FE}"/>
    <cellStyle name="Comma  - Style7" xfId="169" xr:uid="{DB95B801-A808-4B9E-84DE-46717954DFFA}"/>
    <cellStyle name="Comma  - Style8" xfId="170" xr:uid="{6FAC3970-0FF7-4AAE-B249-CB1147BD25D0}"/>
    <cellStyle name="Comma [0]; --" xfId="171" xr:uid="{1FAEA915-7174-4A51-8986-1959B972AC3D}"/>
    <cellStyle name="Comma [00]" xfId="172" xr:uid="{70E3608C-20E0-47CB-A8C9-FAC5521C66B2}"/>
    <cellStyle name="Comma [1]" xfId="173" xr:uid="{E3BDEB07-EBC8-46BB-BC59-01E08050DC39}"/>
    <cellStyle name="Comma 10 2 2" xfId="174" xr:uid="{6F0E2538-1CCF-47E2-9D50-834A0ADFABA3}"/>
    <cellStyle name="Comma 2" xfId="175" xr:uid="{A9CD9706-873E-4AB9-84C3-168CEC1FA528}"/>
    <cellStyle name="Comma Cents" xfId="176" xr:uid="{66937C95-782F-4B44-B19E-EC7BD77E2039}"/>
    <cellStyle name="Comma0" xfId="177" xr:uid="{0D4A0BB6-23E0-46DA-9842-0ED269566109}"/>
    <cellStyle name="Commas" xfId="178" xr:uid="{5DA29007-EC22-46F7-9102-C07318663165}"/>
    <cellStyle name="CommasBold" xfId="179" xr:uid="{7B8A2570-7A9D-486E-9B6F-DC09DA286723}"/>
    <cellStyle name="CompanyTitle" xfId="180" xr:uid="{45929351-2949-4766-AC1A-A6F76448409B}"/>
    <cellStyle name="Copied" xfId="181" xr:uid="{2DC36386-B838-4CF4-A391-78B9A8707550}"/>
    <cellStyle name="Currency $" xfId="182" xr:uid="{E3D293D4-82C7-4A10-94B9-AF524D1FE6DB}"/>
    <cellStyle name="Currency [0]; --" xfId="183" xr:uid="{0A945C54-C49A-43B7-B0C2-01A57DA35D48}"/>
    <cellStyle name="Currency [00]" xfId="184" xr:uid="{4AE635FB-CB54-4151-96C8-C58DD6374114}"/>
    <cellStyle name="Currency [1]" xfId="185" xr:uid="{7436706D-94AC-4A72-80F1-75520F7828FD}"/>
    <cellStyle name="Currency [2]" xfId="186" xr:uid="{1D0C68D0-E5AB-4DA0-B0FF-AB2C008CD6A8}"/>
    <cellStyle name="data" xfId="187" xr:uid="{431B43A2-69B5-4B66-83EE-B1840BC9575D}"/>
    <cellStyle name="Date" xfId="188" xr:uid="{E6198674-5E66-4F1B-906B-107D39DDE964}"/>
    <cellStyle name="Date Short" xfId="189" xr:uid="{D85CB566-6B8F-4C48-954A-012782037361}"/>
    <cellStyle name="Date_COMPS - Directories" xfId="190" xr:uid="{218D5B30-30A9-4318-8A6B-41F30DCEDCDC}"/>
    <cellStyle name="DateLeftBold" xfId="191" xr:uid="{270EB350-BB80-43BF-8569-E56ACE92DF68}"/>
    <cellStyle name="Default" xfId="192" xr:uid="{70A3CC79-09A9-43FE-826B-34A5B6BAA1CB}"/>
    <cellStyle name="DELTA" xfId="193" xr:uid="{BC08F5B7-275F-4136-96D3-62AE277C04E6}"/>
    <cellStyle name="Dollars" xfId="194" xr:uid="{4604A455-2C5D-4170-8ED0-FEF16F1F75DB}"/>
    <cellStyle name="Dollars []" xfId="195" xr:uid="{82622C55-7AEA-4FDF-A072-D4AAD06E202D}"/>
    <cellStyle name="Dollars_Pro Forma TTM 9.30.07 (CW NEIRB Acquisition)" xfId="196" xr:uid="{D1A7B3C0-D90B-47CD-87ED-523D1F9B3436}"/>
    <cellStyle name="Double" xfId="197" xr:uid="{3742595A-93E9-4869-A4E8-0B98B1E1F995}"/>
    <cellStyle name="Double Accounting" xfId="198" xr:uid="{A28077C3-AFA8-4C52-91B7-8A168126B5B3}"/>
    <cellStyle name="Enter Currency (0)" xfId="199" xr:uid="{6753B379-4126-4947-A237-E0425170167A}"/>
    <cellStyle name="Enter Currency (2)" xfId="200" xr:uid="{DC1787C9-CEFF-483A-9D4F-1DF1EB5F755A}"/>
    <cellStyle name="Enter Units (0)" xfId="201" xr:uid="{2675A1E4-272B-4D35-A0EA-B42F7444BBC7}"/>
    <cellStyle name="Enter Units (1)" xfId="202" xr:uid="{A931554E-0BA1-4ADC-BE0D-C20BCA4A2A18}"/>
    <cellStyle name="Enter Units (2)" xfId="203" xr:uid="{9EC044E7-4D40-4A4E-813D-1CA45A50F995}"/>
    <cellStyle name="Entered" xfId="204" xr:uid="{C5D63618-592C-44FC-A4E7-2910AFC931CD}"/>
    <cellStyle name="Euro" xfId="205" xr:uid="{AD961616-BD07-4DAD-B735-8E7C024E2131}"/>
    <cellStyle name="fa_data_bold_1_grouped" xfId="206" xr:uid="{ED72E405-1F51-4A14-93F4-6059D7BE0EB0}"/>
    <cellStyle name="Fit" xfId="207" xr:uid="{779F4F1F-4921-4847-84E5-5F5BD312F608}"/>
    <cellStyle name="Footer" xfId="208" xr:uid="{03A2B6C3-EDB9-404F-98A1-3FC780E5AB59}"/>
    <cellStyle name="Footnotes" xfId="209" xr:uid="{441E9010-C480-44F4-A7A6-807CCCCDFEEB}"/>
    <cellStyle name="Grey" xfId="210" xr:uid="{256683FF-6BD3-4BCC-836C-1B75B1EC2094}"/>
    <cellStyle name="GreybarHeader" xfId="211" xr:uid="{B45AC1C2-A138-4858-B529-02CAE9E722D6}"/>
    <cellStyle name="Grouped Head" xfId="212" xr:uid="{2E8D3A13-580B-4507-B00E-465D6A3E9CE2}"/>
    <cellStyle name="h" xfId="213" xr:uid="{0E13C6C9-5140-4001-A7FC-5041405D1DC4}"/>
    <cellStyle name="HAlignCenter" xfId="214" xr:uid="{398E0B7C-3B49-4960-8A69-5DFDA9E35E4F}"/>
    <cellStyle name="HAlignLeft" xfId="215" xr:uid="{C66E7B49-441A-45C9-A6FD-AC653BBAE425}"/>
    <cellStyle name="HAlignRight" xfId="216" xr:uid="{C3758371-C857-49A2-BA79-D851E8A6ED9A}"/>
    <cellStyle name="Head 1" xfId="217" xr:uid="{A69C21D2-5E69-492B-BCE9-F3C6E9EF5BEB}"/>
    <cellStyle name="Header" xfId="218" xr:uid="{F7EAFC87-BF25-4B5E-B5D0-65BCDC378248}"/>
    <cellStyle name="Header1" xfId="219" xr:uid="{F01363F5-BD7F-4D71-ADAB-B2EA44C99A91}"/>
    <cellStyle name="Header2" xfId="220" xr:uid="{4235B8BF-FBDF-4B66-8902-16B27BB1B583}"/>
    <cellStyle name="headers" xfId="221" xr:uid="{D67B52A8-E1D6-4E85-8BEE-DE8274971D8D}"/>
    <cellStyle name="Heading" xfId="222" xr:uid="{E91B7F69-F0AE-4D8B-A4B3-F7895912FCE2}"/>
    <cellStyle name="HEADINGS" xfId="223" xr:uid="{92435462-6734-40E6-ACEB-BC67B0024E59}"/>
    <cellStyle name="HEADINGSTOP" xfId="224" xr:uid="{1714790C-5BCF-490D-821C-28A7641341F1}"/>
    <cellStyle name="imput" xfId="225" xr:uid="{7743AB03-8185-4C9F-8391-304084566245}"/>
    <cellStyle name="Input [yellow]" xfId="226" xr:uid="{2CE021FD-1FE0-4DD5-8E3B-CA19D1BC3264}"/>
    <cellStyle name="Invisible" xfId="227" xr:uid="{DE5B4A8B-60EC-48CE-BF1D-7363B20141DB}"/>
    <cellStyle name="ItalicHeader" xfId="228" xr:uid="{99FF1270-6355-45DE-AB3A-A7FD6DCD34BA}"/>
    <cellStyle name="Item Descriptions" xfId="229" xr:uid="{140C1D8D-BF2A-4988-834C-6AD4EB26ADD1}"/>
    <cellStyle name="Item Descriptions - Bold" xfId="230" xr:uid="{6D00EA8C-5BF1-4C9E-BC9F-612280077CD5}"/>
    <cellStyle name="Item Descriptions_6079BX" xfId="231" xr:uid="{EAAF852F-E5B8-47D3-8EE1-7A84B2E9E880}"/>
    <cellStyle name="Left" xfId="232" xr:uid="{70D64E1F-A6DA-42A1-AB5A-C5D38EDC51FA}"/>
    <cellStyle name="LeftBold" xfId="233" xr:uid="{C4D263EF-CB59-4DC9-84AE-1AC2C27602D5}"/>
    <cellStyle name="LeftBoldBottomRule" xfId="234" xr:uid="{173B0809-79C2-40E2-B31C-07D91598A340}"/>
    <cellStyle name="LeftBoldCenterRule" xfId="235" xr:uid="{47C50F7F-57BC-4A48-BD8E-3B7CD7A8FB99}"/>
    <cellStyle name="Line" xfId="236" xr:uid="{FAEFFAFC-2ACC-4FFD-AF8D-5189678AFC15}"/>
    <cellStyle name="Link Currency (0)" xfId="237" xr:uid="{36657159-49A6-4B67-8C73-68FA61BFC33A}"/>
    <cellStyle name="Link Currency (2)" xfId="238" xr:uid="{D16480B3-C04B-4C11-A6A0-FCD0737E4278}"/>
    <cellStyle name="Link Units (0)" xfId="239" xr:uid="{94BF88AD-919C-445F-AC98-68816A98315D}"/>
    <cellStyle name="Link Units (1)" xfId="240" xr:uid="{9B0012E3-6C8A-4053-9F17-A8C8DCED2B46}"/>
    <cellStyle name="Link Units (2)" xfId="241" xr:uid="{AB66169C-794D-4854-8CA0-92A9E0A98707}"/>
    <cellStyle name="locked" xfId="242" xr:uid="{27D90B6F-C4A9-4C54-B38C-E1AD2E22B047}"/>
    <cellStyle name="m&amp;a" xfId="243" xr:uid="{91BB982A-B263-47DF-948E-7E1C31C66CA1}"/>
    <cellStyle name="Map Labels" xfId="244" xr:uid="{66AF6DDA-8833-473D-AC45-1936F63AEDC7}"/>
    <cellStyle name="Map Legend" xfId="245" xr:uid="{089F8E55-92B7-4DAB-A00A-956C7F7C342A}"/>
    <cellStyle name="Merrill" xfId="246" xr:uid="{9DFE171C-97D1-4F2A-9659-96AE46E87D35}"/>
    <cellStyle name="Millares_Inv Detail A7" xfId="247" xr:uid="{EF046E5E-E566-49E4-8CB5-9AB1709A5810}"/>
    <cellStyle name="Milliers [0]_r00SC" xfId="248" xr:uid="{B184FD20-09D4-4D4A-BD9D-5755DF0DC92A}"/>
    <cellStyle name="Milliers_r00SC" xfId="249" xr:uid="{4F08DE99-286D-4914-A900-A31C442042CF}"/>
    <cellStyle name="Mix" xfId="250" xr:uid="{7D1D6CBC-8D2F-498B-9298-381A9BCA8B4A}"/>
    <cellStyle name="mon" xfId="251" xr:uid="{AE340003-9AAF-4969-97D0-FD70B87B366A}"/>
    <cellStyle name="Monétaire [0]_r00SC" xfId="252" xr:uid="{D9FBAEC9-D501-45DC-9DDD-9A6903AB5E5D}"/>
    <cellStyle name="Monétaire_r00SC" xfId="253" xr:uid="{839358C3-5E1E-44A8-B5E7-3FA7BD69D69D}"/>
    <cellStyle name="Money" xfId="254" xr:uid="{29EA794E-00C4-4CA6-B8DA-DEF8ECE46B9E}"/>
    <cellStyle name="Multiple" xfId="255" xr:uid="{BA9B0F7B-B071-4302-B0B3-FE80A54B1085}"/>
    <cellStyle name="Multiple []" xfId="256" xr:uid="{993A1E30-B3FD-4B50-85D3-728E93C64F91}"/>
    <cellStyle name="Multiple [0]" xfId="257" xr:uid="{9DCD3414-593D-42A1-839B-3F023A3D41FC}"/>
    <cellStyle name="Multiple [0] []" xfId="258" xr:uid="{7C16C2D3-ED67-44B0-8C9F-E6082ADFD8CF}"/>
    <cellStyle name="Multiple [0]_New MA Public Comps and WACC Model" xfId="259" xr:uid="{2780913A-CAD6-4580-8ABF-0B8E1F99FB15}"/>
    <cellStyle name="Multiple [1]" xfId="260" xr:uid="{F72D4922-9D23-4BF7-879E-D4DAE6171C0F}"/>
    <cellStyle name="Multiple [1] []" xfId="261" xr:uid="{097068B8-E3DB-4CB2-883C-F80788937B79}"/>
    <cellStyle name="Multiple [1]_New MA Public Comps and WACC Model" xfId="262" xr:uid="{1CBEF538-EA59-411D-B32F-B8AC2DC2D570}"/>
    <cellStyle name="Multiple_CapitalSum" xfId="263" xr:uid="{E000983F-1731-4571-BE11-62C81549F596}"/>
    <cellStyle name="N2Style" xfId="264" xr:uid="{291BFC03-3271-4683-BE68-AD9B6390C72A}"/>
    <cellStyle name="NewColumnHeaderNormal" xfId="265" xr:uid="{FFE0ABA7-7C21-46F1-B738-800918E6F969}"/>
    <cellStyle name="NewSectionHeaderNormal" xfId="266" xr:uid="{AEE43D63-F1A5-494A-8D80-A973FAFFC0BA}"/>
    <cellStyle name="NewTitleNormal" xfId="267" xr:uid="{2A62DF5A-DA60-45FC-BEFD-0D5AADB650F1}"/>
    <cellStyle name="Normal" xfId="0" builtinId="0"/>
    <cellStyle name="Normal - Style1" xfId="268" xr:uid="{434FB8ED-027E-4900-A373-96490AB09B8C}"/>
    <cellStyle name="Normal 101" xfId="269" xr:uid="{4583E687-5ADF-48E0-8132-65EB1557F135}"/>
    <cellStyle name="Normal 103 2" xfId="270" xr:uid="{E13E9911-976C-434E-B220-B2C943EF42B0}"/>
    <cellStyle name="Normal 112" xfId="271" xr:uid="{723C7BC7-BA89-4770-828E-002F6C8620C5}"/>
    <cellStyle name="Normal 2" xfId="272" xr:uid="{CBA19719-DED5-4DF9-A881-3DA2202EF457}"/>
    <cellStyle name="Normal 2 2" xfId="273" xr:uid="{F2C12B77-CF45-4347-A3CD-DC85511FF42B}"/>
    <cellStyle name="Normal 3 3" xfId="274" xr:uid="{DBD04F7A-AE98-4E95-98AC-5221DB6F1989}"/>
    <cellStyle name="Normal1" xfId="275" xr:uid="{922B2770-155B-4585-A1C3-9E3E08818308}"/>
    <cellStyle name="Normal10" xfId="276" xr:uid="{DD932CF8-4580-4C1D-A74C-8F62CEBA401F}"/>
    <cellStyle name="Normal100" xfId="277" xr:uid="{7168FB63-5F27-4B09-9B7B-E2DB0FA37CC2}"/>
    <cellStyle name="Normal101" xfId="278" xr:uid="{1C41CCB8-0A29-4FA6-A3BA-C7FBB8382AB5}"/>
    <cellStyle name="Normal102" xfId="279" xr:uid="{A4688E34-46E2-4FFE-97E4-DFC2D59C61E9}"/>
    <cellStyle name="Normal103" xfId="280" xr:uid="{B25A6D2F-FFDB-4122-BB14-F7E0D1C0537A}"/>
    <cellStyle name="Normal104" xfId="281" xr:uid="{8FC9302F-022F-4493-8DD1-6324EA82B4E5}"/>
    <cellStyle name="Normal105" xfId="282" xr:uid="{732164A8-0324-4AE4-AB1F-8317BCC98D79}"/>
    <cellStyle name="Normal106" xfId="283" xr:uid="{86724BE8-C0DB-42B9-94F6-B564B4DD3A2B}"/>
    <cellStyle name="Normal107" xfId="284" xr:uid="{DA27B07D-3140-48B0-BA55-6B71513DA412}"/>
    <cellStyle name="Normal108" xfId="285" xr:uid="{8447EB3D-57D5-407D-A63F-EA8787D48719}"/>
    <cellStyle name="Normal109" xfId="286" xr:uid="{4AE96F80-F12A-4E0C-9BB0-BB3206109D1F}"/>
    <cellStyle name="Normal11" xfId="287" xr:uid="{BFB36F0F-4B47-4E67-BBB5-F6285DAAFBE8}"/>
    <cellStyle name="Normal110" xfId="288" xr:uid="{0C8F41CD-7491-45EC-AA9C-FF530F9F9159}"/>
    <cellStyle name="Normal111" xfId="289" xr:uid="{17F16567-23F0-4255-9438-DB29B473DCD3}"/>
    <cellStyle name="Normal112" xfId="290" xr:uid="{09C7D2C9-DE74-44BD-8CE0-969899A7F0FE}"/>
    <cellStyle name="Normal113" xfId="291" xr:uid="{17C8C111-3061-4E3A-8CA1-FA3D4C6C9990}"/>
    <cellStyle name="Normal114" xfId="292" xr:uid="{4375DAA3-0950-4F53-8A9D-D3718B6AE18D}"/>
    <cellStyle name="Normal115" xfId="293" xr:uid="{88983885-3E07-4210-8017-F3EDD5FA03CD}"/>
    <cellStyle name="Normal116" xfId="294" xr:uid="{555DA140-7E38-4821-AF99-50CF01C770E9}"/>
    <cellStyle name="Normal117" xfId="295" xr:uid="{C55985E8-FF4B-4391-9677-F31188A02CAF}"/>
    <cellStyle name="Normal118" xfId="296" xr:uid="{3FA68012-0CAF-4B3C-91D1-B61840EEF59F}"/>
    <cellStyle name="Normal119" xfId="297" xr:uid="{D26F0272-52D5-4854-A493-21A377A27D19}"/>
    <cellStyle name="Normal12" xfId="298" xr:uid="{94DA5FC6-3D44-44D3-8D02-AEF77A0255EB}"/>
    <cellStyle name="Normal120" xfId="299" xr:uid="{CACC8EF3-7030-477B-81A8-9B45DF095A47}"/>
    <cellStyle name="Normal121" xfId="300" xr:uid="{CD347055-F7D5-448B-A0CE-38BE1CE9AE53}"/>
    <cellStyle name="Normal122" xfId="301" xr:uid="{374A09A3-618B-4892-A253-75F02CA200BE}"/>
    <cellStyle name="Normal123" xfId="302" xr:uid="{70E7A790-1D7F-41F1-8EC5-0A06519BB542}"/>
    <cellStyle name="Normal124" xfId="303" xr:uid="{6B6CCEB9-B4E0-4CA2-9639-102A3B225495}"/>
    <cellStyle name="Normal125" xfId="304" xr:uid="{33656C36-F611-4D2B-B8F8-48B75878278D}"/>
    <cellStyle name="Normal126" xfId="305" xr:uid="{77A352E5-434E-4FE0-AA7D-8EA76224CD60}"/>
    <cellStyle name="Normal127" xfId="306" xr:uid="{3BAF9F81-FBDF-44FF-B3F4-0771A69EE298}"/>
    <cellStyle name="Normal128" xfId="307" xr:uid="{62B7771F-4272-47D2-B3E2-FF55160079D0}"/>
    <cellStyle name="Normal129" xfId="308" xr:uid="{8ACCB43C-420D-4415-AB0F-D1CA85ED029E}"/>
    <cellStyle name="Normal13" xfId="309" xr:uid="{18BD0D96-7490-4437-84EE-1A8DAB7ABACA}"/>
    <cellStyle name="Normal130" xfId="310" xr:uid="{51678328-496D-41D8-A24B-6AA3DFF0B2CD}"/>
    <cellStyle name="Normal131" xfId="311" xr:uid="{470DF387-0361-42E2-A93F-54C4C321112C}"/>
    <cellStyle name="Normal132" xfId="312" xr:uid="{88334F9B-DAAA-494A-A4F0-446AB570B730}"/>
    <cellStyle name="Normal133" xfId="313" xr:uid="{5E077F68-2D06-4833-BEBE-A870A000CF4E}"/>
    <cellStyle name="Normal134" xfId="314" xr:uid="{F3286D66-31F6-441B-A481-33C5323500BA}"/>
    <cellStyle name="Normal135" xfId="315" xr:uid="{1F9E68EB-DB8E-4CDC-8942-61F589F0AE81}"/>
    <cellStyle name="Normal136" xfId="316" xr:uid="{C4B404EA-6D61-4342-AF33-4E1172ECC63F}"/>
    <cellStyle name="Normal137" xfId="317" xr:uid="{90CF7560-32AD-47A1-A353-2E76370D4877}"/>
    <cellStyle name="Normal138" xfId="318" xr:uid="{9EF2AD03-CA46-4DE0-80D2-4B0B3695D3B7}"/>
    <cellStyle name="Normal139" xfId="319" xr:uid="{E807A5C1-D14A-46BD-9360-A60C246EFCE3}"/>
    <cellStyle name="Normal14" xfId="320" xr:uid="{3F3D81D7-0DD1-400A-963A-492DC3610318}"/>
    <cellStyle name="Normal140" xfId="321" xr:uid="{F2E7F7FB-CE65-4905-8137-42B9FBC07DD9}"/>
    <cellStyle name="Normal141" xfId="322" xr:uid="{A45B583C-F849-4096-9D3B-D2D65552A1B6}"/>
    <cellStyle name="Normal142" xfId="323" xr:uid="{8D86EBF8-38DF-4C1B-9491-6C851A318F1B}"/>
    <cellStyle name="Normal143" xfId="324" xr:uid="{525E9206-C8B0-4ECD-9CC3-0130147F88AE}"/>
    <cellStyle name="Normal144" xfId="325" xr:uid="{EA503316-270C-4DE8-8500-991D022C3B26}"/>
    <cellStyle name="Normal145" xfId="326" xr:uid="{988DC552-DED4-46CA-BEBD-D5F2D837EE9A}"/>
    <cellStyle name="Normal146" xfId="327" xr:uid="{A2640ECB-F9FE-474A-8B5B-3DD3B728B124}"/>
    <cellStyle name="Normal147" xfId="328" xr:uid="{F5DB4BF5-1482-4EE3-87E3-ACAE708BDED4}"/>
    <cellStyle name="Normal148" xfId="329" xr:uid="{F3A88246-A170-4193-8EC3-1582F6D69D1F}"/>
    <cellStyle name="Normal149" xfId="330" xr:uid="{7B7D838F-4621-47A9-81EE-F41BBCFD9CC8}"/>
    <cellStyle name="Normal15" xfId="331" xr:uid="{B3F07C61-3F40-44EB-B245-18A3915AC625}"/>
    <cellStyle name="Normal150" xfId="332" xr:uid="{25B493E0-4C4C-475D-9BB3-6B9A047503FB}"/>
    <cellStyle name="Normal151" xfId="333" xr:uid="{F6706141-BC38-4B86-827D-4766184E8390}"/>
    <cellStyle name="Normal152" xfId="334" xr:uid="{6B0176E0-0BBF-454F-BA5A-76F02E6C9F45}"/>
    <cellStyle name="Normal153" xfId="335" xr:uid="{462FE1DE-0BDC-484D-9972-B78660640068}"/>
    <cellStyle name="Normal154" xfId="336" xr:uid="{324EFB2B-9A44-42A8-922C-02ECD9D6FF9C}"/>
    <cellStyle name="Normal155" xfId="337" xr:uid="{F0B9992B-0457-4EA7-85AB-312013AC9083}"/>
    <cellStyle name="Normal156" xfId="338" xr:uid="{ECD499FD-2521-452F-B532-C93B1FE814DC}"/>
    <cellStyle name="Normal157" xfId="339" xr:uid="{D1896DBE-1970-440C-9CFF-50E8F8CB25E5}"/>
    <cellStyle name="Normal158" xfId="340" xr:uid="{257DE4DD-E39E-4BC8-B96E-2B40A4C05AFF}"/>
    <cellStyle name="Normal159" xfId="341" xr:uid="{642D79F5-B279-4864-9427-D7A7703017B2}"/>
    <cellStyle name="Normal16" xfId="342" xr:uid="{0B32F20A-3489-4262-9597-8B13ED8BA5A6}"/>
    <cellStyle name="Normal160" xfId="343" xr:uid="{DA1A9A32-17F1-4BF8-B1B1-83ED9460D0CD}"/>
    <cellStyle name="Normal161" xfId="344" xr:uid="{CAB9883B-49FF-40E1-BD14-325583A74A94}"/>
    <cellStyle name="Normal162" xfId="345" xr:uid="{F024E57C-17DB-475C-B2E8-8E6BC686BC97}"/>
    <cellStyle name="Normal163" xfId="346" xr:uid="{EE29E775-C135-4352-B221-C128E8B82EA6}"/>
    <cellStyle name="Normal164" xfId="347" xr:uid="{59FB5AEF-0218-400B-BF00-3C06F54A53B9}"/>
    <cellStyle name="Normal165" xfId="348" xr:uid="{36EEAF4A-B89E-403A-BA0C-5A3E3E704AFC}"/>
    <cellStyle name="Normal166" xfId="349" xr:uid="{5052E282-278E-42C6-B978-70877B32E697}"/>
    <cellStyle name="Normal167" xfId="350" xr:uid="{618D971E-18AC-414E-88E9-A4A2CC2181F7}"/>
    <cellStyle name="Normal168" xfId="351" xr:uid="{C2960D61-DBDC-41DD-9D1A-092488B04A8B}"/>
    <cellStyle name="Normal169" xfId="352" xr:uid="{7BF9F4C0-FAF5-4D59-92FC-E16D0E81C37B}"/>
    <cellStyle name="Normal17" xfId="353" xr:uid="{0371C9B7-B5D0-4B12-A69B-C340E0F04FBB}"/>
    <cellStyle name="Normal170" xfId="354" xr:uid="{36769DF4-3AE6-4ECD-9122-3BF70E8EF97D}"/>
    <cellStyle name="Normal171" xfId="355" xr:uid="{19BDE05E-860D-4FA2-9BCF-F812092D4034}"/>
    <cellStyle name="Normal172" xfId="356" xr:uid="{B9D761D1-DA41-449A-897A-5D019053C349}"/>
    <cellStyle name="Normal173" xfId="357" xr:uid="{FA74882F-DFE2-4DD4-9AA0-C05EBE4C2DCA}"/>
    <cellStyle name="Normal174" xfId="358" xr:uid="{06559E6E-844C-44F5-B4AB-551A7FFF752C}"/>
    <cellStyle name="Normal175" xfId="359" xr:uid="{2A9FBEC2-6AD5-4ACD-89DB-21E8C031DD7E}"/>
    <cellStyle name="Normal176" xfId="360" xr:uid="{3D77FA6A-9998-4804-9D23-CB7978E0AFCE}"/>
    <cellStyle name="Normal177" xfId="361" xr:uid="{EB670A19-268D-4A1D-AF38-C753436542B3}"/>
    <cellStyle name="Normal178" xfId="362" xr:uid="{BDF4F4F7-057E-40F3-A08F-2B2554AB02E6}"/>
    <cellStyle name="Normal179" xfId="363" xr:uid="{8272A019-3E20-4D77-ADEC-0A5D6D1898FA}"/>
    <cellStyle name="Normal18" xfId="364" xr:uid="{126DD503-3758-43BF-8F74-1174101C39DB}"/>
    <cellStyle name="Normal180" xfId="365" xr:uid="{A8D14570-0CF2-4D22-9F52-D46B1C96DEF5}"/>
    <cellStyle name="Normal181" xfId="366" xr:uid="{F1552402-CC99-45D1-A4CA-100F7F2FCCCA}"/>
    <cellStyle name="Normal182" xfId="367" xr:uid="{8BECF763-B0C1-4850-82E1-545008E6906C}"/>
    <cellStyle name="Normal183" xfId="368" xr:uid="{B0BFD48A-8180-4E1D-95E1-27310678F47E}"/>
    <cellStyle name="Normal184" xfId="369" xr:uid="{FDD18576-5489-498A-884D-64133D294C06}"/>
    <cellStyle name="Normal185" xfId="370" xr:uid="{4F22D041-82A9-41EF-9266-1FEF62BC4F5A}"/>
    <cellStyle name="Normal186" xfId="371" xr:uid="{F8BDDE38-60C6-417B-AC4A-2006B7DC5ED3}"/>
    <cellStyle name="Normal187" xfId="372" xr:uid="{B5C68689-8B9A-401E-979F-BBF3F5C7FE07}"/>
    <cellStyle name="Normal188" xfId="373" xr:uid="{8F69745A-9EE7-4D62-BAA5-6907430C2B6A}"/>
    <cellStyle name="Normal189" xfId="374" xr:uid="{A9F52EDC-F343-4879-9F1D-EEA6E6CD1E69}"/>
    <cellStyle name="Normal19" xfId="375" xr:uid="{61382E54-8DD5-4359-97C9-4481E78B19E7}"/>
    <cellStyle name="Normal190" xfId="376" xr:uid="{013F20F3-5CEC-4D9F-929C-4247FBEB28E6}"/>
    <cellStyle name="Normal191" xfId="377" xr:uid="{5BC11720-6FAC-4FA8-A153-BF51839A46D0}"/>
    <cellStyle name="Normal192" xfId="378" xr:uid="{FE276E27-8D7C-4D06-97B4-C00B0B129A9A}"/>
    <cellStyle name="Normal193" xfId="379" xr:uid="{E855BBCE-C3FA-439D-86BC-8882865C0E0B}"/>
    <cellStyle name="Normal194" xfId="380" xr:uid="{FE3E29FD-E4FA-451A-A5A3-DE9953FDE482}"/>
    <cellStyle name="Normal195" xfId="381" xr:uid="{A82A9E28-796A-40BC-9F58-3BEB798D4D00}"/>
    <cellStyle name="Normal196" xfId="382" xr:uid="{997969B7-59EE-49B8-8F43-D9497BE79420}"/>
    <cellStyle name="Normal197" xfId="383" xr:uid="{100B114D-06FA-45F4-BDFE-FF3356EC7783}"/>
    <cellStyle name="Normal198" xfId="384" xr:uid="{C05E0C8C-E0B9-4C18-8043-572D2467FACD}"/>
    <cellStyle name="Normal199" xfId="385" xr:uid="{3EC4D0CD-421D-43BE-B3C4-17CF66776AFF}"/>
    <cellStyle name="Normal2" xfId="386" xr:uid="{82FDA554-B355-4721-9CC9-3AB12F808E1E}"/>
    <cellStyle name="Normal20" xfId="387" xr:uid="{3CA04935-6227-4F8B-BBD1-621F6B9494AD}"/>
    <cellStyle name="Normal200" xfId="388" xr:uid="{1DEA6FAB-452F-4B26-A36A-0D5CC5040235}"/>
    <cellStyle name="Normal201" xfId="389" xr:uid="{8D3BF8F6-FED5-44A6-9D00-8C55FC76650C}"/>
    <cellStyle name="Normal202" xfId="390" xr:uid="{B98099CE-A5D7-426D-A6AE-10F8A381C148}"/>
    <cellStyle name="Normal203" xfId="391" xr:uid="{581358D4-0748-4063-9E31-462044757B71}"/>
    <cellStyle name="Normal204" xfId="392" xr:uid="{E2337BA7-C12A-4894-8600-B39AAACB8E7C}"/>
    <cellStyle name="Normal205" xfId="393" xr:uid="{21FA9ECB-6591-47EC-81D5-64D3AF2C28FE}"/>
    <cellStyle name="Normal206" xfId="394" xr:uid="{B098B503-1A67-45C6-9F7F-F4238D9BDFB0}"/>
    <cellStyle name="Normal207" xfId="395" xr:uid="{802FE444-DADE-43F5-B437-CB017A3F51AB}"/>
    <cellStyle name="Normal208" xfId="396" xr:uid="{61A970F5-0729-4068-8F42-627B457CA6D7}"/>
    <cellStyle name="Normal209" xfId="397" xr:uid="{2718E53A-0F8D-4726-B8DE-34CB2C9C01DF}"/>
    <cellStyle name="Normal21" xfId="398" xr:uid="{DC91B6BA-244A-412F-BED7-41FC913CEDF8}"/>
    <cellStyle name="Normal210" xfId="399" xr:uid="{66BB5D1F-4A9E-48E8-B62A-D73590539144}"/>
    <cellStyle name="Normal211" xfId="400" xr:uid="{7CE192CF-0C03-4B52-9B83-92435B7C61A7}"/>
    <cellStyle name="Normal212" xfId="401" xr:uid="{01918738-99BF-4C03-8AA9-16088FC028DF}"/>
    <cellStyle name="Normal213" xfId="402" xr:uid="{1AF5D08B-4802-479D-8A6E-AC5FCD0B0F39}"/>
    <cellStyle name="Normal214" xfId="403" xr:uid="{3B27F486-CC81-4687-B7BA-8FC1EA3F8BBB}"/>
    <cellStyle name="Normal215" xfId="404" xr:uid="{51E62062-ED17-4D61-A18E-244DD53D16BB}"/>
    <cellStyle name="Normal216" xfId="405" xr:uid="{F6689725-96C7-4BB4-8B25-34C7BEFBCE73}"/>
    <cellStyle name="Normal217" xfId="406" xr:uid="{3A7400A7-B83E-418B-8136-59BD5F6424D3}"/>
    <cellStyle name="Normal218" xfId="407" xr:uid="{1C764F10-7D5F-4C49-8BDC-B198EE96AFB3}"/>
    <cellStyle name="Normal219" xfId="408" xr:uid="{4029EAED-08A9-459B-9B2A-52BF6CC9C5D3}"/>
    <cellStyle name="Normal22" xfId="409" xr:uid="{D5D3A319-DF56-4EAE-A0DD-FE575ECEBED5}"/>
    <cellStyle name="Normal220" xfId="410" xr:uid="{3DC8FFE2-E41A-44E2-AECB-09EF9140D9F5}"/>
    <cellStyle name="Normal221" xfId="411" xr:uid="{2CBD8535-1F18-4FCA-ADC2-EB9D72933EB0}"/>
    <cellStyle name="Normal222" xfId="412" xr:uid="{17CA0304-269E-450B-8630-CC8BD87E2317}"/>
    <cellStyle name="Normal223" xfId="413" xr:uid="{47818829-76A7-474A-8560-EA66392AAE41}"/>
    <cellStyle name="Normal224" xfId="414" xr:uid="{F02F6FC8-BBF8-447E-8FD2-95744230B3E0}"/>
    <cellStyle name="Normal225" xfId="415" xr:uid="{21D5BA8B-A50C-4DBF-9A4D-0435CAD48D92}"/>
    <cellStyle name="Normal226" xfId="416" xr:uid="{AD8214E6-5F13-4667-BAFE-2192F00CE0B8}"/>
    <cellStyle name="Normal227" xfId="417" xr:uid="{560C6F5B-7D32-45B3-9D77-82B54B37836D}"/>
    <cellStyle name="Normal228" xfId="418" xr:uid="{8F760663-A8FA-4D56-AC41-91DD93854ABE}"/>
    <cellStyle name="Normal229" xfId="419" xr:uid="{4001C8BF-61C8-41A1-AF81-9BBECE09B0B3}"/>
    <cellStyle name="Normal23" xfId="420" xr:uid="{08D8F947-8030-41CF-BAE6-7FF4BFD1F2AE}"/>
    <cellStyle name="Normal230" xfId="421" xr:uid="{C7AEF7A4-DE0D-422A-B545-E7C4A5DC6C6C}"/>
    <cellStyle name="Normal231" xfId="422" xr:uid="{B8F6CAB1-AF75-4289-851D-41A4DFC55B9C}"/>
    <cellStyle name="Normal232" xfId="423" xr:uid="{A188D450-A79C-4FCE-932A-7A8264CE9847}"/>
    <cellStyle name="Normal233" xfId="424" xr:uid="{C9D5571B-E0FF-4C85-9F5D-EBA2AF1039A3}"/>
    <cellStyle name="Normal234" xfId="425" xr:uid="{E1562AE8-7AED-4119-B75D-0B80EE552A9C}"/>
    <cellStyle name="Normal235" xfId="426" xr:uid="{4B93E42A-3946-442A-8EF2-3B5C6CB6DAA3}"/>
    <cellStyle name="Normal236" xfId="427" xr:uid="{69CE9759-260D-44E4-A458-2218B7291DD9}"/>
    <cellStyle name="Normal237" xfId="428" xr:uid="{BB5B7C11-581E-42F2-A968-EF30344D93D6}"/>
    <cellStyle name="Normal238" xfId="429" xr:uid="{9EF2B5A0-E9D4-4A40-85B2-5858150519EC}"/>
    <cellStyle name="Normal239" xfId="430" xr:uid="{ED43F1E8-7E65-467A-9D02-892FCEBE5B42}"/>
    <cellStyle name="Normal24" xfId="431" xr:uid="{179DCF24-C457-4CC4-877D-7697144C083A}"/>
    <cellStyle name="Normal240" xfId="432" xr:uid="{9AEE9DAE-9F53-4939-984D-1E69E8DD4CB0}"/>
    <cellStyle name="Normal241" xfId="433" xr:uid="{5A29FDA0-56D0-4559-A2C7-238F55A5AEF3}"/>
    <cellStyle name="Normal242" xfId="434" xr:uid="{7BD5B08F-92B3-41E1-84E0-F83D5F7F1717}"/>
    <cellStyle name="Normal243" xfId="435" xr:uid="{B3586786-6066-4A01-8842-B9B56887BFFE}"/>
    <cellStyle name="Normal244" xfId="436" xr:uid="{72A8CA4C-4B99-419E-B597-0068EF337EAE}"/>
    <cellStyle name="Normal245" xfId="437" xr:uid="{94DAA3FF-12A6-4B45-9C42-0E72D756C461}"/>
    <cellStyle name="Normal246" xfId="438" xr:uid="{DD73FE78-5FFC-430E-865D-3DADBAB70D3F}"/>
    <cellStyle name="Normal247" xfId="439" xr:uid="{5B7D44CF-7CCC-4792-905E-B2F461F7FE03}"/>
    <cellStyle name="Normal248" xfId="440" xr:uid="{A3837BCE-0BEF-46A5-B5A2-AB28E8401416}"/>
    <cellStyle name="Normal249" xfId="441" xr:uid="{FB82AE3C-EFED-4960-923D-2A2609F453CF}"/>
    <cellStyle name="Normal25" xfId="442" xr:uid="{A9138FE6-FC89-41D4-A598-C13B1A45C1D5}"/>
    <cellStyle name="Normal250" xfId="443" xr:uid="{40C400AE-1228-4C9A-8D47-D2563E92CB31}"/>
    <cellStyle name="Normal251" xfId="444" xr:uid="{AEBE33EF-068D-4C4A-9066-1807F9CDD6E5}"/>
    <cellStyle name="Normal252" xfId="445" xr:uid="{C37B94E4-9237-4501-999D-286D6A3540AC}"/>
    <cellStyle name="Normal253" xfId="446" xr:uid="{874C9348-B6BF-4FB1-ADC4-D24A61F0EB17}"/>
    <cellStyle name="Normal26" xfId="447" xr:uid="{FD7A501C-C3E8-49D9-9C7F-254ED14B4EF9}"/>
    <cellStyle name="Normal27" xfId="448" xr:uid="{1F8BBBC6-F4EA-4CED-A35B-5444CDA94337}"/>
    <cellStyle name="Normal28" xfId="449" xr:uid="{B74E2543-3CB1-41AC-8474-44072E439E33}"/>
    <cellStyle name="Normal29" xfId="450" xr:uid="{F498E076-39CF-4C7C-B871-2C4C7B59F216}"/>
    <cellStyle name="Normal3" xfId="451" xr:uid="{241780E2-0329-40C8-B7CB-953F49C77DE7}"/>
    <cellStyle name="Normal30" xfId="452" xr:uid="{9866F7EB-A015-4A92-9ECC-BCEEF9E0D302}"/>
    <cellStyle name="Normal31" xfId="453" xr:uid="{2A4C4FCE-A789-47AC-9DEE-E0725D451282}"/>
    <cellStyle name="Normal32" xfId="454" xr:uid="{69C4CF9D-5E7D-43F6-9833-09C97FF351B4}"/>
    <cellStyle name="Normal33" xfId="455" xr:uid="{7C028553-6469-4DEE-AB48-88FB320ED920}"/>
    <cellStyle name="Normal34" xfId="456" xr:uid="{9021AFE5-A1C3-4023-AC49-BD21B907AC10}"/>
    <cellStyle name="Normal35" xfId="457" xr:uid="{D3C7AFFF-D483-47E6-B194-34F457FA4914}"/>
    <cellStyle name="Normal36" xfId="458" xr:uid="{9A4995E3-5957-4755-BA46-B28E7BAC4C1E}"/>
    <cellStyle name="Normal37" xfId="459" xr:uid="{BC613726-9B99-45C2-AE31-80DDADF11525}"/>
    <cellStyle name="Normal38" xfId="460" xr:uid="{2A0021DD-1EEB-44A6-A7F5-C63501B58AA4}"/>
    <cellStyle name="Normal39" xfId="461" xr:uid="{AFFE09CE-5D47-4C81-914A-849CC5A236FA}"/>
    <cellStyle name="Normal4" xfId="462" xr:uid="{11756BFB-9E26-4B93-95AD-838295FD8154}"/>
    <cellStyle name="Normal40" xfId="463" xr:uid="{62E65563-FA50-4ACA-819B-8FBC7E8F10C2}"/>
    <cellStyle name="Normal41" xfId="464" xr:uid="{5C54926F-6AD2-4304-8276-7E86B49BDA5B}"/>
    <cellStyle name="Normal42" xfId="465" xr:uid="{73EE1378-D141-4312-9149-52125EA6F0FF}"/>
    <cellStyle name="Normal43" xfId="466" xr:uid="{36CA997F-7962-40D9-8468-A66B272290EA}"/>
    <cellStyle name="Normal44" xfId="467" xr:uid="{3CB09E7F-4821-45FD-A5BE-67CE12670640}"/>
    <cellStyle name="Normal45" xfId="468" xr:uid="{1785AE98-8B28-4A19-A294-D70548CAF4A7}"/>
    <cellStyle name="Normal46" xfId="469" xr:uid="{CFC50A39-8AA2-48A6-8C02-5A367BBEE4FD}"/>
    <cellStyle name="Normal47" xfId="470" xr:uid="{3E562004-50CF-42A5-9480-7712DB89B3DD}"/>
    <cellStyle name="Normal48" xfId="471" xr:uid="{B71391D9-CB41-4F62-B39C-EB98B60058AD}"/>
    <cellStyle name="Normal49" xfId="472" xr:uid="{F4996930-2354-40A9-A4C0-893016F41054}"/>
    <cellStyle name="Normal5" xfId="473" xr:uid="{A4ED6B87-2319-46CB-8472-A2983785B644}"/>
    <cellStyle name="Normal50" xfId="474" xr:uid="{03FEC742-016E-4526-B121-A40E7A22807F}"/>
    <cellStyle name="Normal51" xfId="475" xr:uid="{F068BCCF-F721-4115-BBC9-2CA2141A305F}"/>
    <cellStyle name="Normal52" xfId="476" xr:uid="{F434A3C7-E711-4C79-ACD5-AD0608ABB76E}"/>
    <cellStyle name="Normal53" xfId="477" xr:uid="{E8672F22-422A-4476-9F81-CC69DF6116EA}"/>
    <cellStyle name="Normal54" xfId="478" xr:uid="{B4989470-3EF7-4681-A071-9B68BD777A51}"/>
    <cellStyle name="Normal55" xfId="479" xr:uid="{2F81B179-F857-4380-872D-5DEFEC8E5D21}"/>
    <cellStyle name="Normal56" xfId="480" xr:uid="{7F4274ED-09AF-40E0-809E-BF5E10B9FBE4}"/>
    <cellStyle name="Normal57" xfId="481" xr:uid="{12D0305E-7024-4CEB-A808-A60DB0885743}"/>
    <cellStyle name="Normal58" xfId="482" xr:uid="{388FE7B5-2C9A-4F6C-BF64-EB53CA0E7DBA}"/>
    <cellStyle name="Normal59" xfId="483" xr:uid="{9D2FAA8B-8556-4BD1-8746-EED1A80DEAC6}"/>
    <cellStyle name="Normal6" xfId="484" xr:uid="{A31B9390-E2EE-4580-BED0-2A541DCF8B42}"/>
    <cellStyle name="Normal60" xfId="485" xr:uid="{9369F57C-F600-478F-B259-E9FD70746D50}"/>
    <cellStyle name="Normal61" xfId="486" xr:uid="{CCA22B47-2CCB-49A1-8391-4C2DB500F491}"/>
    <cellStyle name="Normal62" xfId="487" xr:uid="{77AE450A-BE51-4FA3-BF30-CDF590C27FF3}"/>
    <cellStyle name="Normal63" xfId="488" xr:uid="{B82424B6-5FE8-4D1C-AB2C-F121CC7D883B}"/>
    <cellStyle name="Normal64" xfId="489" xr:uid="{B29490CF-0317-4021-896F-67C049F19735}"/>
    <cellStyle name="Normal65" xfId="490" xr:uid="{EEDE638D-A716-4A65-AC95-AF0A17954F44}"/>
    <cellStyle name="Normal66" xfId="491" xr:uid="{0982FED1-E963-4B96-BFC0-B1A65D75A903}"/>
    <cellStyle name="Normal67" xfId="492" xr:uid="{C683C7A0-CB1D-407E-A565-46FF935C0853}"/>
    <cellStyle name="Normal68" xfId="493" xr:uid="{E1ABA8BA-80D1-4A6F-93CD-856E4470C936}"/>
    <cellStyle name="Normal69" xfId="494" xr:uid="{C8CD086E-7F2F-496B-B018-3FDE8AA49A57}"/>
    <cellStyle name="Normal7" xfId="495" xr:uid="{5618958E-15EC-4E8D-8DB1-02FD64441BCB}"/>
    <cellStyle name="Normal70" xfId="496" xr:uid="{A8FA0BCD-2447-4D31-8EF9-1FDBF075F098}"/>
    <cellStyle name="Normal71" xfId="497" xr:uid="{7AB0CEBB-DF79-4FAA-9BAD-46733E6CE99B}"/>
    <cellStyle name="Normal72" xfId="498" xr:uid="{EF9BF5FF-BEBF-4A29-B4FC-AC23CFFD4142}"/>
    <cellStyle name="Normal73" xfId="499" xr:uid="{AF8173FC-C811-4ADA-A647-D254102E899E}"/>
    <cellStyle name="Normal74" xfId="500" xr:uid="{E7B1EB8D-927F-4257-A248-6D041FC13D95}"/>
    <cellStyle name="Normal75" xfId="501" xr:uid="{18D03720-A046-48C7-A143-0BFFE2D70843}"/>
    <cellStyle name="Normal76" xfId="502" xr:uid="{D7771170-3D58-433F-9B69-C432D4FBB59D}"/>
    <cellStyle name="Normal77" xfId="503" xr:uid="{155C185C-7A26-4A96-A15D-71A65D534A90}"/>
    <cellStyle name="Normal78" xfId="504" xr:uid="{2C57E459-1FB9-4091-9BA3-A4CEFB9FF682}"/>
    <cellStyle name="Normal79" xfId="505" xr:uid="{2E7EAE52-62B6-466D-B295-34EFB9A5061B}"/>
    <cellStyle name="Normal8" xfId="506" xr:uid="{157CA97F-4629-4FD7-B037-8E06E4C168CA}"/>
    <cellStyle name="Normal80" xfId="507" xr:uid="{98ED5570-13B7-43EB-BFD9-24A5C72B4CAD}"/>
    <cellStyle name="Normal81" xfId="508" xr:uid="{76CC591E-9906-44EE-8BF4-463CC67C5544}"/>
    <cellStyle name="Normal82" xfId="509" xr:uid="{9D889C02-622C-49C1-8E45-29BFA00AD6EB}"/>
    <cellStyle name="Normal83" xfId="510" xr:uid="{AE3DF819-39E5-4534-9D85-3EDC68DBF1D4}"/>
    <cellStyle name="Normal84" xfId="511" xr:uid="{745B717E-8253-4C07-8B7E-A5BBD07EF8AA}"/>
    <cellStyle name="Normal85" xfId="512" xr:uid="{C0326FAD-8F38-4910-B266-A515CD25811C}"/>
    <cellStyle name="Normal86" xfId="513" xr:uid="{0C5C15E8-1E77-4C82-9E88-B8AA00F36743}"/>
    <cellStyle name="Normal87" xfId="514" xr:uid="{CDE379CF-1743-437F-B5AC-F5BF8B61AA30}"/>
    <cellStyle name="Normal88" xfId="515" xr:uid="{CD4DEA18-09D3-4CB3-AA93-328E3E846625}"/>
    <cellStyle name="Normal89" xfId="516" xr:uid="{CE513143-57F8-4AE4-8B26-5FED6F6A61E7}"/>
    <cellStyle name="Normal9" xfId="517" xr:uid="{6269F07F-6C16-4C6A-AA82-9CE0AD0F0793}"/>
    <cellStyle name="Normal90" xfId="518" xr:uid="{484A9A3B-B7E6-4049-9882-0B5846088AFF}"/>
    <cellStyle name="Normal91" xfId="519" xr:uid="{72AFCCB5-9B4C-4B0B-A1FB-50DE5D96C1E3}"/>
    <cellStyle name="Normal92" xfId="520" xr:uid="{AC74A6B0-5E19-4001-855F-8C9D6DC84D7C}"/>
    <cellStyle name="Normal93" xfId="521" xr:uid="{C379284C-0482-4450-97E2-DE1CF17B3B39}"/>
    <cellStyle name="Normal94" xfId="522" xr:uid="{37AC6879-EFBE-4BEB-944F-03ACC37815A7}"/>
    <cellStyle name="Normal95" xfId="523" xr:uid="{F5778038-3698-4167-84AD-493F582BB971}"/>
    <cellStyle name="Normal96" xfId="524" xr:uid="{3A097F9E-4346-4EA4-8E0A-242CFB2E83A0}"/>
    <cellStyle name="Normal97" xfId="525" xr:uid="{6E25BC32-083C-49A5-BA9F-3D15EEB6F757}"/>
    <cellStyle name="Normal98" xfId="526" xr:uid="{A49F334D-D1CB-4787-BA4E-50E20602E626}"/>
    <cellStyle name="Normal99" xfId="527" xr:uid="{977D4D19-9D5F-474D-9383-AFD22E86744B}"/>
    <cellStyle name="NotDeclared_1" xfId="528" xr:uid="{E82AD536-8DBD-4321-8C9A-128C9A983524}"/>
    <cellStyle name="Numbers" xfId="529" xr:uid="{1F496374-099D-45E9-A921-22BB87EC3902}"/>
    <cellStyle name="Numbers - Bold" xfId="530" xr:uid="{0E8FF689-C6AB-4020-A334-BBBC015CAA39}"/>
    <cellStyle name="Numbers - Bold - Italic" xfId="531" xr:uid="{BF2DFCCF-3F8C-4C52-93F3-E9E8D0F60AD6}"/>
    <cellStyle name="Numbers - Bold_6079BX" xfId="532" xr:uid="{1A1E0B13-1BF4-47C6-84E0-905F4D83DDCF}"/>
    <cellStyle name="Numbers - Large" xfId="533" xr:uid="{98E4F76F-9B6F-4F29-B1FC-E1DA83728E5D}"/>
    <cellStyle name="Numbers_6079BX" xfId="534" xr:uid="{B47CD3ED-08DF-49E4-A581-D18F10FB38F7}"/>
    <cellStyle name="OSW_RowLabels" xfId="535" xr:uid="{7ABAF2A5-4DF9-4F82-8E11-74D21BE795E9}"/>
    <cellStyle name="Outline" xfId="536" xr:uid="{E9681E5D-25FB-440E-A241-18FD9BEB6383}"/>
    <cellStyle name="Output Amounts" xfId="537" xr:uid="{170F4B81-44CB-408E-980F-2DBC2601D773}"/>
    <cellStyle name="Output Column Headings" xfId="538" xr:uid="{5668F708-7B8B-45CE-A70F-60698638EB6C}"/>
    <cellStyle name="Output Line Items" xfId="539" xr:uid="{84F2D561-FD3D-4306-B04A-4F91E3DCA501}"/>
    <cellStyle name="Output Report Heading" xfId="540" xr:uid="{C5328309-B026-4646-9C61-2E3CDD0D1118}"/>
    <cellStyle name="Page" xfId="541" xr:uid="{ABE9AEBD-79F2-427B-A4BC-6074EDF8CC93}"/>
    <cellStyle name="PB Table Heading" xfId="542" xr:uid="{2D3CD4D9-5996-4FF5-9B88-0E9AE8F18710}"/>
    <cellStyle name="PB Table Highlight1" xfId="543" xr:uid="{FFE0859E-2A4D-44BC-A344-E54AF4B8D748}"/>
    <cellStyle name="PB Table Highlight2" xfId="544" xr:uid="{343ACCB2-C459-4B0A-AC5A-3178C9EA450B}"/>
    <cellStyle name="PB Table Highlight3" xfId="545" xr:uid="{D0DBF0F6-5CBC-4381-8BE1-9662CEAE28C2}"/>
    <cellStyle name="PB Table Standard Row" xfId="546" xr:uid="{7B333BE1-0BE4-47D6-85CB-42AD5093FF70}"/>
    <cellStyle name="PB Table Subtotal Row" xfId="547" xr:uid="{369C5677-919C-42E1-845F-D0E9457AD6C7}"/>
    <cellStyle name="PB Table Total Row" xfId="548" xr:uid="{D6D1CF07-C402-404B-9A58-DA186D4ED49C}"/>
    <cellStyle name="per.style" xfId="549" xr:uid="{24FE5D4F-7FD6-47E2-B45A-0B40D819C2ED}"/>
    <cellStyle name="Percent" xfId="550" builtinId="5"/>
    <cellStyle name="Percent [0]" xfId="551" xr:uid="{5418CF5E-390F-4427-8FC8-7FAB03B1CBA9}"/>
    <cellStyle name="Percent [00]" xfId="552" xr:uid="{B5AA55F3-D082-43DF-A339-9925958A19E0}"/>
    <cellStyle name="Percent [1]" xfId="553" xr:uid="{D2646516-C9D0-4611-9341-A68AB4697419}"/>
    <cellStyle name="Percent [1][]" xfId="554" xr:uid="{11173B4C-1D9B-41CD-B860-AD23D081D5C4}"/>
    <cellStyle name="Percent [1]_New MA Public Comps and WACC Model" xfId="555" xr:uid="{6EB3C696-6445-45A2-9FAD-468172D0E24B}"/>
    <cellStyle name="Percent [2]" xfId="556" xr:uid="{3AA70B7C-8C2B-45DD-B63E-7DB11FEBCD92}"/>
    <cellStyle name="Percent 2" xfId="557" xr:uid="{AEC36166-A90F-4453-B9A2-90F384CB05F0}"/>
    <cellStyle name="Percent Comma" xfId="558" xr:uid="{48A6AEB5-6D9D-4B89-B023-29CEDEF3B486}"/>
    <cellStyle name="Percent1" xfId="559" xr:uid="{EA92E455-53C7-4477-9C56-F2DE34C06B4E}"/>
    <cellStyle name="Percent10" xfId="560" xr:uid="{03BE80EE-BCE9-43D2-BD94-B68818A33305}"/>
    <cellStyle name="Percent100" xfId="561" xr:uid="{7F91C8BF-E531-46E2-BFAA-327228787480}"/>
    <cellStyle name="Percent101" xfId="562" xr:uid="{36B89B3C-8991-49D0-8FAA-C7F10DCDBDA8}"/>
    <cellStyle name="Percent102" xfId="563" xr:uid="{42FD7F82-3CD2-47F5-B66B-5C5964C7E568}"/>
    <cellStyle name="Percent103" xfId="564" xr:uid="{9499F3D8-F4F2-469A-A5B1-D6CB16029035}"/>
    <cellStyle name="Percent104" xfId="565" xr:uid="{22BE1041-9BB8-43C6-A555-A80FA30FAED8}"/>
    <cellStyle name="Percent105" xfId="566" xr:uid="{335092C0-DEF5-4AC2-ADFA-C854A985AE5F}"/>
    <cellStyle name="Percent106" xfId="567" xr:uid="{85F90C9A-334D-4E6C-8812-756F2A839FD0}"/>
    <cellStyle name="Percent107" xfId="568" xr:uid="{FDFFC297-411B-4C26-AF17-024629B365B9}"/>
    <cellStyle name="Percent108" xfId="569" xr:uid="{A6B6DEEC-5471-483F-AE7E-CFD78B4D1A22}"/>
    <cellStyle name="Percent109" xfId="570" xr:uid="{7E0850E9-DF69-4795-9AD4-9393E60676E1}"/>
    <cellStyle name="Percent11" xfId="571" xr:uid="{F978F3BE-7F26-4560-8ED9-8076A7DF727A}"/>
    <cellStyle name="Percent110" xfId="572" xr:uid="{21BCC01C-7067-4232-BB55-165C8EB9DDE4}"/>
    <cellStyle name="Percent111" xfId="573" xr:uid="{8D1321E6-AAF5-4B21-BA65-03BDCA852BE1}"/>
    <cellStyle name="Percent112" xfId="574" xr:uid="{FA2D6E6D-2CC1-48C5-8A6F-935E4F5058D0}"/>
    <cellStyle name="Percent113" xfId="575" xr:uid="{95688149-9186-4C36-9EC3-F3CED166F33A}"/>
    <cellStyle name="Percent114" xfId="576" xr:uid="{7F548CC8-02B9-42B8-B319-1C8D7E0E524B}"/>
    <cellStyle name="Percent115" xfId="577" xr:uid="{50FF93E9-B1F9-4E6C-B4D6-602FE9D7E2E6}"/>
    <cellStyle name="Percent116" xfId="578" xr:uid="{CD7E50CD-43BB-4C44-90CB-7DDE3A60D120}"/>
    <cellStyle name="Percent117" xfId="579" xr:uid="{9421DAA4-FBF4-4F35-A4DA-70097063AE2F}"/>
    <cellStyle name="Percent118" xfId="580" xr:uid="{25EA7094-90ED-40A5-BD77-60B2FFF12CA2}"/>
    <cellStyle name="Percent119" xfId="581" xr:uid="{6B0519A5-1784-45E2-B051-5BC7B2690F1C}"/>
    <cellStyle name="Percent12" xfId="582" xr:uid="{44C235A3-6534-458E-ABE4-26FDC5428095}"/>
    <cellStyle name="Percent120" xfId="583" xr:uid="{728F672F-CC96-488B-A58E-68474068B918}"/>
    <cellStyle name="Percent121" xfId="584" xr:uid="{50E8CA0D-52D1-4F8F-9EA9-F20676AB1B0F}"/>
    <cellStyle name="Percent122" xfId="585" xr:uid="{4629DED0-623B-4CE9-B908-08E04E722AE7}"/>
    <cellStyle name="Percent123" xfId="586" xr:uid="{E156D6A5-A31D-470B-9230-C89C5E3C4487}"/>
    <cellStyle name="Percent124" xfId="587" xr:uid="{CF54B900-518C-4E03-8731-FBF1680B7623}"/>
    <cellStyle name="Percent125" xfId="588" xr:uid="{75FFDF2B-EE89-497A-9049-96520A8534A1}"/>
    <cellStyle name="Percent126" xfId="589" xr:uid="{ADADD8F8-A930-4398-AC89-BC8E3675F0D5}"/>
    <cellStyle name="Percent127" xfId="590" xr:uid="{C5531AA2-6A8B-4B15-9909-528189D28157}"/>
    <cellStyle name="Percent128" xfId="591" xr:uid="{7189BA6A-7C3B-49EA-BC2A-7A5A9A5FF2D3}"/>
    <cellStyle name="Percent129" xfId="592" xr:uid="{D03A4F87-A2C9-439D-8F23-BCECE3849260}"/>
    <cellStyle name="Percent13" xfId="593" xr:uid="{2BAF1568-B935-4EFE-B968-2EBB9E63A6B9}"/>
    <cellStyle name="Percent130" xfId="594" xr:uid="{80B3B0C0-696A-43F1-9CC0-F073F4C77228}"/>
    <cellStyle name="Percent131" xfId="595" xr:uid="{5B395149-E12C-44E8-ACBB-E883E2BDE627}"/>
    <cellStyle name="Percent132" xfId="596" xr:uid="{A990B1B7-B79F-4671-8C17-E67A421B7461}"/>
    <cellStyle name="Percent133" xfId="597" xr:uid="{BCA29C57-A6C4-4CFB-ABE5-A9F6F0D9287C}"/>
    <cellStyle name="Percent134" xfId="598" xr:uid="{401A6D4F-C100-47FF-A573-7BC6B676C697}"/>
    <cellStyle name="Percent135" xfId="599" xr:uid="{204886E1-43D6-465E-A9DB-4A784EFED8F6}"/>
    <cellStyle name="Percent136" xfId="600" xr:uid="{535FB4E1-3E76-45B2-9B21-FE68F8B72E04}"/>
    <cellStyle name="Percent137" xfId="601" xr:uid="{EE349DE4-AABA-4F04-BF69-A6E42ADC78D1}"/>
    <cellStyle name="Percent138" xfId="602" xr:uid="{B193EECB-D4C7-4B3B-99E3-2A98D27A8D64}"/>
    <cellStyle name="Percent139" xfId="603" xr:uid="{6C2D722F-CB4F-483F-A490-936E571ACC36}"/>
    <cellStyle name="Percent14" xfId="604" xr:uid="{79070805-76FC-4288-AC5F-34D6ADD32D6B}"/>
    <cellStyle name="Percent140" xfId="605" xr:uid="{50A9020B-5640-4778-BB6E-6B0EA613593A}"/>
    <cellStyle name="Percent141" xfId="606" xr:uid="{2475BF4A-781F-4F50-9BB2-6AEDEEED80D4}"/>
    <cellStyle name="Percent142" xfId="607" xr:uid="{80860879-E3AC-43CF-8C72-767C865E7E8F}"/>
    <cellStyle name="Percent143" xfId="608" xr:uid="{3EA7C0D2-B75B-4250-B880-5DEAE06B8F07}"/>
    <cellStyle name="Percent144" xfId="609" xr:uid="{AA22F24E-9858-47B9-B9B2-6A8B53AA5883}"/>
    <cellStyle name="Percent145" xfId="610" xr:uid="{F21D3A5A-CC62-4DD4-B3A8-72C37FBD8486}"/>
    <cellStyle name="Percent146" xfId="611" xr:uid="{7E18F66F-4F32-4325-9D5A-F8FE6D514D16}"/>
    <cellStyle name="Percent147" xfId="612" xr:uid="{FC846F45-4C97-4717-AE56-68502A4D86EE}"/>
    <cellStyle name="Percent148" xfId="613" xr:uid="{73EF3D84-D76F-4F24-8E95-726BCB9D19DC}"/>
    <cellStyle name="Percent149" xfId="614" xr:uid="{BFC50977-A515-402D-A5AC-35136BB9BC69}"/>
    <cellStyle name="Percent15" xfId="615" xr:uid="{616FBA9F-6A06-4941-B941-79FBFA9F8554}"/>
    <cellStyle name="Percent150" xfId="616" xr:uid="{DA26CF58-AF73-458D-9C34-92C0CF282647}"/>
    <cellStyle name="Percent151" xfId="617" xr:uid="{25827BAE-2499-4BC5-94E2-541713F2F095}"/>
    <cellStyle name="Percent152" xfId="618" xr:uid="{771F8B8A-9E43-4425-9AA0-067CF90FF335}"/>
    <cellStyle name="Percent153" xfId="619" xr:uid="{77873718-7538-4B22-9449-405949BE55C9}"/>
    <cellStyle name="Percent154" xfId="620" xr:uid="{B2380C3D-C72C-4417-A514-EB649A6B1AAB}"/>
    <cellStyle name="Percent155" xfId="621" xr:uid="{99C1755E-3805-4A2F-9819-BFF649B974FB}"/>
    <cellStyle name="Percent156" xfId="622" xr:uid="{8C7EF12F-9577-4C27-A0CB-F35C00AA7EA5}"/>
    <cellStyle name="Percent157" xfId="623" xr:uid="{37D11376-0825-4C60-A6B4-BE1D090679E3}"/>
    <cellStyle name="Percent158" xfId="624" xr:uid="{7E8CDC4D-FCC9-4770-86DE-86C409E061A5}"/>
    <cellStyle name="Percent159" xfId="625" xr:uid="{C541D160-915C-4662-8274-30EEE0CB961D}"/>
    <cellStyle name="Percent16" xfId="626" xr:uid="{C3F0DEBE-09C3-4EA8-B1BD-F8C8E62A8E12}"/>
    <cellStyle name="Percent160" xfId="627" xr:uid="{8CEE1223-985F-4C96-9D73-125F31226E92}"/>
    <cellStyle name="Percent161" xfId="628" xr:uid="{A6642DBE-E192-43F3-AF09-563CEA5DD55F}"/>
    <cellStyle name="Percent162" xfId="629" xr:uid="{712C7FBB-521D-4F8B-BC03-486EB0437EF8}"/>
    <cellStyle name="Percent163" xfId="630" xr:uid="{981F74AF-9D03-4D5D-92D6-2B94E7A1DA50}"/>
    <cellStyle name="Percent164" xfId="631" xr:uid="{07788EEF-0DA2-4D48-8AB2-60E80EFB3B1B}"/>
    <cellStyle name="Percent165" xfId="632" xr:uid="{D0B493BF-7E0F-427B-9DCD-7317606C8511}"/>
    <cellStyle name="Percent166" xfId="633" xr:uid="{D20B8053-B660-461C-BD54-D0906DB0DAB8}"/>
    <cellStyle name="Percent167" xfId="634" xr:uid="{D430B8E7-C96B-4D71-9091-BD3ED6D8CAEF}"/>
    <cellStyle name="Percent168" xfId="635" xr:uid="{BD571A08-ACCC-447A-8C6D-8F24B721DBA5}"/>
    <cellStyle name="Percent169" xfId="636" xr:uid="{A619A168-F3EC-402D-8F18-403299FFA216}"/>
    <cellStyle name="Percent17" xfId="637" xr:uid="{4719694D-72AD-4295-AEEE-6B2338AAF595}"/>
    <cellStyle name="Percent170" xfId="638" xr:uid="{70896E19-90FF-41D7-B7A9-DBCBFE29CD27}"/>
    <cellStyle name="Percent171" xfId="639" xr:uid="{6A6C2C9B-660B-4020-BE6D-ABB6FBC46D1C}"/>
    <cellStyle name="Percent172" xfId="640" xr:uid="{0C0AE965-D682-4F88-B56F-4E791CCB99B7}"/>
    <cellStyle name="Percent173" xfId="641" xr:uid="{16BF2C20-AC48-4568-8573-6D35978C543C}"/>
    <cellStyle name="Percent174" xfId="642" xr:uid="{C67C23FC-9301-43FA-96E0-5F6060ED4986}"/>
    <cellStyle name="Percent175" xfId="643" xr:uid="{158BB9E1-62BE-4731-8366-A90BF6BD8E9C}"/>
    <cellStyle name="Percent176" xfId="644" xr:uid="{88273946-247D-4ED1-AA73-5AA91F534F2A}"/>
    <cellStyle name="Percent177" xfId="645" xr:uid="{E7655546-48BB-4239-9879-C122C8CD8B30}"/>
    <cellStyle name="Percent178" xfId="646" xr:uid="{09469F65-659E-4789-B972-11136B8EBD62}"/>
    <cellStyle name="Percent179" xfId="647" xr:uid="{B8AC92BF-08DE-4C98-B963-687E1614C357}"/>
    <cellStyle name="Percent18" xfId="648" xr:uid="{FAD59467-8CC1-49F2-8C22-FFD32AD290F7}"/>
    <cellStyle name="Percent180" xfId="649" xr:uid="{EDE07845-DAB6-4A20-B9DB-6FDDE6B264A2}"/>
    <cellStyle name="Percent181" xfId="650" xr:uid="{DE329C98-6859-48C7-BC10-A9A59BCBA132}"/>
    <cellStyle name="Percent182" xfId="651" xr:uid="{99AA237B-BDB9-40C0-B7D4-10C1A548FBCB}"/>
    <cellStyle name="Percent183" xfId="652" xr:uid="{BB0D267D-B9E1-4694-84B8-08339FF3B378}"/>
    <cellStyle name="Percent184" xfId="653" xr:uid="{74F23781-5B3E-4D26-98B4-0296710ADC9F}"/>
    <cellStyle name="Percent185" xfId="654" xr:uid="{01281FFD-2B8D-4C9A-9FA2-4EFD244EB602}"/>
    <cellStyle name="Percent186" xfId="655" xr:uid="{B4C80550-590A-48DD-9FCA-9AADF1328FC0}"/>
    <cellStyle name="Percent187" xfId="656" xr:uid="{D4B33C78-5C99-4B13-84BA-2C7CB30577EF}"/>
    <cellStyle name="Percent188" xfId="657" xr:uid="{2CCE9B00-4B2F-4755-A638-39431B33DEEF}"/>
    <cellStyle name="Percent189" xfId="658" xr:uid="{49FE3C7A-AA4C-4405-94FA-D75353FD7143}"/>
    <cellStyle name="Percent19" xfId="659" xr:uid="{5D42A804-F69C-4669-9494-13A4F926BC63}"/>
    <cellStyle name="Percent190" xfId="660" xr:uid="{4105186F-BD4F-4307-AC3D-D2227A9F998A}"/>
    <cellStyle name="Percent191" xfId="661" xr:uid="{A2099696-D6D7-4DD3-899A-43DD7DB782C8}"/>
    <cellStyle name="Percent192" xfId="662" xr:uid="{84137467-559E-4156-B9D1-93CD24934661}"/>
    <cellStyle name="Percent193" xfId="663" xr:uid="{27A77EDA-139C-457A-B66C-097A6D041A4E}"/>
    <cellStyle name="Percent194" xfId="664" xr:uid="{0BEE897A-2B7D-4350-B631-BDA4116E8827}"/>
    <cellStyle name="Percent195" xfId="665" xr:uid="{83D4E6D1-37EB-42AA-B9A7-71FE6CCFD6ED}"/>
    <cellStyle name="Percent196" xfId="666" xr:uid="{E40A7B86-FE8B-4686-B62F-ACC9078D6D98}"/>
    <cellStyle name="Percent197" xfId="667" xr:uid="{560C1486-75C9-46C6-A53F-600C20E385D6}"/>
    <cellStyle name="Percent198" xfId="668" xr:uid="{7F33B4A2-6757-4FF1-8A08-A7F099F51EFC}"/>
    <cellStyle name="Percent199" xfId="669" xr:uid="{61EFA824-8563-4685-841B-F4FAFE5E5C22}"/>
    <cellStyle name="Percent1Bold" xfId="670" xr:uid="{61F981DE-7F91-4EB7-898A-494839A26FE5}"/>
    <cellStyle name="Percent2" xfId="671" xr:uid="{4AEE2FBB-F2BB-45CC-A427-AC0E247270A8}"/>
    <cellStyle name="Percent20" xfId="672" xr:uid="{5B56E6EC-4F6E-417F-814D-F4A207AF5669}"/>
    <cellStyle name="Percent200" xfId="673" xr:uid="{30D8EC22-8788-46C3-B4DF-B0E6B57A1118}"/>
    <cellStyle name="Percent201" xfId="674" xr:uid="{4EE97D8D-BAB3-4489-AAAF-045B5FA81A45}"/>
    <cellStyle name="Percent202" xfId="675" xr:uid="{183D15F5-9A79-4143-B033-DA793E994BF6}"/>
    <cellStyle name="Percent203" xfId="676" xr:uid="{2A3B0079-3311-4C4D-BC67-00AC6D707A60}"/>
    <cellStyle name="Percent204" xfId="677" xr:uid="{33091667-5BBA-4CAC-8382-5AC7BAAFA5A2}"/>
    <cellStyle name="Percent205" xfId="678" xr:uid="{4B76BD53-6E36-414F-B13F-8E006E8BF8C6}"/>
    <cellStyle name="Percent206" xfId="679" xr:uid="{F68F6F08-5823-400C-8CDF-AEBBF6A913A8}"/>
    <cellStyle name="Percent207" xfId="680" xr:uid="{309DFAF9-D571-4E7C-B3E3-A2FD91681090}"/>
    <cellStyle name="Percent208" xfId="681" xr:uid="{3C19E551-E3F6-4049-B609-551345A1BC2D}"/>
    <cellStyle name="Percent209" xfId="682" xr:uid="{C06E4C27-8F2B-4029-9413-B00552844FEF}"/>
    <cellStyle name="Percent21" xfId="683" xr:uid="{DA566086-FD00-4408-8F51-44A1BD996EA6}"/>
    <cellStyle name="Percent210" xfId="684" xr:uid="{95495B75-3A5A-475A-931B-0CD1CF70B765}"/>
    <cellStyle name="Percent211" xfId="685" xr:uid="{A3D65520-F788-4215-86C8-3D308D0B8519}"/>
    <cellStyle name="Percent212" xfId="686" xr:uid="{4A73C538-7372-4135-8656-C2BB3CFEE97E}"/>
    <cellStyle name="Percent213" xfId="687" xr:uid="{03D262F9-7DE1-4A16-B1FD-6AC642DC1F43}"/>
    <cellStyle name="Percent214" xfId="688" xr:uid="{2086C8D9-6C33-43A1-948D-6CDD4CAFA230}"/>
    <cellStyle name="Percent215" xfId="689" xr:uid="{2B71C800-FF87-489F-9AA1-1A100916E0D9}"/>
    <cellStyle name="Percent216" xfId="690" xr:uid="{87458B84-2205-4D70-827E-09F75ECA9193}"/>
    <cellStyle name="Percent217" xfId="691" xr:uid="{040DE411-5033-40BE-9677-D9641147C369}"/>
    <cellStyle name="Percent218" xfId="692" xr:uid="{7F17C8A6-E4D2-4A8B-BE73-6422A4E78659}"/>
    <cellStyle name="Percent219" xfId="693" xr:uid="{26192DEC-3A06-4EA0-9E61-AC6471433CAE}"/>
    <cellStyle name="Percent22" xfId="694" xr:uid="{0909B329-C448-4A27-879F-983CE9262C82}"/>
    <cellStyle name="Percent220" xfId="695" xr:uid="{4DB788F5-3868-42E5-B35D-941467DC89D4}"/>
    <cellStyle name="Percent221" xfId="696" xr:uid="{DC807DD6-8F79-4127-9BB3-3283CD019D7F}"/>
    <cellStyle name="Percent222" xfId="697" xr:uid="{464B47D8-0D7D-4B66-B6A5-265095002985}"/>
    <cellStyle name="Percent223" xfId="698" xr:uid="{984FBED5-A3EA-4A34-B7FE-461890C9C3E3}"/>
    <cellStyle name="Percent224" xfId="699" xr:uid="{1D9C4C64-2DFD-464D-B6F6-4BDB60758300}"/>
    <cellStyle name="Percent225" xfId="700" xr:uid="{9B788A7B-D34D-40A8-8F86-D63F2DB64880}"/>
    <cellStyle name="Percent226" xfId="701" xr:uid="{7491F63B-487A-4E4C-AF5C-FB28475E3CDA}"/>
    <cellStyle name="Percent227" xfId="702" xr:uid="{675E8A56-5A43-47CB-96E8-774EBACC69D6}"/>
    <cellStyle name="Percent228" xfId="703" xr:uid="{D6836E4D-F8DD-48A9-99FB-151148DB3171}"/>
    <cellStyle name="Percent229" xfId="704" xr:uid="{0D165426-3C13-48CF-9DA6-400832155CCD}"/>
    <cellStyle name="Percent23" xfId="705" xr:uid="{CACBFA05-FCCD-45F9-A0E3-DCC68CBE4172}"/>
    <cellStyle name="Percent230" xfId="706" xr:uid="{2D2DD7DD-B039-47F6-B4A2-951D8BAA1B17}"/>
    <cellStyle name="Percent231" xfId="707" xr:uid="{2C034101-786E-49B6-A31D-3DB00D94A3AD}"/>
    <cellStyle name="Percent232" xfId="708" xr:uid="{46F338C4-8FD4-48E8-95FB-D3925D824D06}"/>
    <cellStyle name="Percent233" xfId="709" xr:uid="{365C1794-F281-43DB-8CFD-AD712DA93318}"/>
    <cellStyle name="Percent234" xfId="710" xr:uid="{606A8AD4-61D5-4173-8E61-79608DD8F4C5}"/>
    <cellStyle name="Percent235" xfId="711" xr:uid="{ED706739-921D-47D2-ADAD-2C90EC7D3431}"/>
    <cellStyle name="Percent236" xfId="712" xr:uid="{175EC49A-F670-454D-AFC6-C0E7A149A998}"/>
    <cellStyle name="Percent24" xfId="713" xr:uid="{2645D1D7-EDFE-443A-8F1E-7CB170F841B0}"/>
    <cellStyle name="Percent25" xfId="714" xr:uid="{056DA242-7458-4679-9865-A71FABDEDCBC}"/>
    <cellStyle name="Percent26" xfId="715" xr:uid="{4E226A3A-9F69-4795-864E-F67E9E1C62E5}"/>
    <cellStyle name="Percent27" xfId="716" xr:uid="{C19841E8-A902-4BD3-ACC2-D86971BC01D4}"/>
    <cellStyle name="Percent28" xfId="717" xr:uid="{073D2BE1-458E-4EEC-8F4A-658B33D8BFC2}"/>
    <cellStyle name="Percent29" xfId="718" xr:uid="{EEF7BF27-8AA3-407B-AB2C-04CA7C4DC988}"/>
    <cellStyle name="Percent3" xfId="719" xr:uid="{28784CA8-B733-4E5D-94EF-8BA4508BC201}"/>
    <cellStyle name="Percent30" xfId="720" xr:uid="{EDB7C5EB-2B2E-4E40-A883-8D72DAA38067}"/>
    <cellStyle name="Percent31" xfId="721" xr:uid="{946C7CE4-8A1A-4B29-BC98-F8584E80F713}"/>
    <cellStyle name="Percent32" xfId="722" xr:uid="{8C8C3C4A-DFF9-4C00-9BF5-BC0214A752E1}"/>
    <cellStyle name="Percent33" xfId="723" xr:uid="{76B275D9-801E-45F4-A27F-42BADF7516CC}"/>
    <cellStyle name="Percent34" xfId="724" xr:uid="{21B14690-34EB-4DA3-BE66-97F5EE9C68F1}"/>
    <cellStyle name="Percent35" xfId="725" xr:uid="{1F6DD3F7-365F-4C68-88B6-87DA460B07FB}"/>
    <cellStyle name="Percent36" xfId="726" xr:uid="{6DBB3438-4636-4D76-8E4A-E6FF5955473C}"/>
    <cellStyle name="Percent37" xfId="727" xr:uid="{BEC31D70-1A29-4651-9966-621365ED8930}"/>
    <cellStyle name="Percent38" xfId="728" xr:uid="{140743C1-777C-46B0-93E9-69A60B10A608}"/>
    <cellStyle name="Percent39" xfId="729" xr:uid="{336B0908-0877-45FB-9CCF-2E952AE2166C}"/>
    <cellStyle name="Percent4" xfId="730" xr:uid="{3CB1C437-8874-42F0-8D60-E835412397F5}"/>
    <cellStyle name="Percent40" xfId="731" xr:uid="{9079B72C-4444-497B-B842-1BF00C1FB62E}"/>
    <cellStyle name="Percent41" xfId="732" xr:uid="{FBF9E5F5-8352-4AFD-BD63-CAEDF24DC968}"/>
    <cellStyle name="Percent42" xfId="733" xr:uid="{DEB3E01C-CFEF-4591-B08A-A88BA18533B4}"/>
    <cellStyle name="Percent43" xfId="734" xr:uid="{1C96EF76-7EEC-4C7C-A8E2-B0944AD3310C}"/>
    <cellStyle name="Percent44" xfId="735" xr:uid="{827B5417-671F-4FFF-9BE2-1571E45E0870}"/>
    <cellStyle name="Percent45" xfId="736" xr:uid="{99E85D30-0E62-42F4-8DAD-72728173843B}"/>
    <cellStyle name="Percent46" xfId="737" xr:uid="{87A11CB9-015A-4569-AA6F-9CA31813B0D7}"/>
    <cellStyle name="Percent47" xfId="738" xr:uid="{B487845A-3EE3-4324-A88F-ACF3AD73E922}"/>
    <cellStyle name="Percent48" xfId="739" xr:uid="{0EDC9CE8-C265-4A79-837E-10AF72FBA97A}"/>
    <cellStyle name="Percent49" xfId="740" xr:uid="{3571E89F-C59F-4B47-A474-ADF617013A50}"/>
    <cellStyle name="Percent5" xfId="741" xr:uid="{A294CA22-F7F8-48DB-9B5F-09310BD59260}"/>
    <cellStyle name="Percent50" xfId="742" xr:uid="{35646640-F6E3-4539-A33C-86A62AC3D770}"/>
    <cellStyle name="Percent51" xfId="743" xr:uid="{631EBDE2-1E89-4301-8C91-12A477D813C2}"/>
    <cellStyle name="Percent52" xfId="744" xr:uid="{1348295E-A02C-4CBB-8458-FE69367335CC}"/>
    <cellStyle name="Percent53" xfId="745" xr:uid="{656A673D-21B1-4EDF-A1F6-B25A500A249A}"/>
    <cellStyle name="Percent54" xfId="746" xr:uid="{DCA09DB8-DDD7-4BBA-9C4D-C81C8040F6F9}"/>
    <cellStyle name="Percent55" xfId="747" xr:uid="{428BDCA0-52D7-46A5-AA66-1E9B11B1026F}"/>
    <cellStyle name="Percent56" xfId="748" xr:uid="{D9440F52-5532-4CDC-9B14-69E6619EB620}"/>
    <cellStyle name="Percent57" xfId="749" xr:uid="{0F2AB5D9-AD2A-4C78-8CC5-51EC0D930A16}"/>
    <cellStyle name="Percent58" xfId="750" xr:uid="{03B1BE5D-16CB-41F9-AA8F-81C35FCDCDCA}"/>
    <cellStyle name="Percent59" xfId="751" xr:uid="{70978378-61E2-49B3-AD48-F786BB120183}"/>
    <cellStyle name="Percent6" xfId="752" xr:uid="{7599039C-170A-4EFD-BE61-545A3CF45BC4}"/>
    <cellStyle name="Percent60" xfId="753" xr:uid="{062020F0-A353-4E13-B9DC-34136BD98196}"/>
    <cellStyle name="Percent61" xfId="754" xr:uid="{29B2EF3C-5764-425B-AF0D-203122307DB6}"/>
    <cellStyle name="Percent62" xfId="755" xr:uid="{B2099EAD-67AF-4D55-B107-D3D559987EAA}"/>
    <cellStyle name="Percent63" xfId="756" xr:uid="{3EC4321D-79F7-4A0F-BD3D-73B98F77EC6C}"/>
    <cellStyle name="Percent64" xfId="757" xr:uid="{13B18786-2EDE-4CBE-B143-22B0F5D4AC60}"/>
    <cellStyle name="Percent65" xfId="758" xr:uid="{A163B4C7-5D51-429C-ABB9-D118046483C6}"/>
    <cellStyle name="Percent66" xfId="759" xr:uid="{1373F9E4-2FDF-4D9D-A730-67CB3084D750}"/>
    <cellStyle name="Percent67" xfId="760" xr:uid="{0350AD0E-6D58-419F-AFF4-A01A837D0303}"/>
    <cellStyle name="Percent68" xfId="761" xr:uid="{6BCFFB12-8C64-4E02-AC15-094F5E93D5F9}"/>
    <cellStyle name="Percent69" xfId="762" xr:uid="{6558568E-5398-4EDE-A688-5A94B934DE43}"/>
    <cellStyle name="Percent7" xfId="763" xr:uid="{C6D0BC0A-301A-4ED6-874D-A2FB93093FC4}"/>
    <cellStyle name="Percent70" xfId="764" xr:uid="{CE159CC3-DCB5-4357-92CF-80698CA4FB6D}"/>
    <cellStyle name="Percent71" xfId="765" xr:uid="{2DCBF512-8FF5-4693-8809-00DCA8A3E335}"/>
    <cellStyle name="Percent72" xfId="766" xr:uid="{C6702976-A6E6-4010-AC83-BCA05100B033}"/>
    <cellStyle name="Percent73" xfId="767" xr:uid="{766B93F9-244D-41A3-A296-3CDDA0EA9207}"/>
    <cellStyle name="Percent74" xfId="768" xr:uid="{6B301CF6-722A-4F3E-8DFA-F56E134F9077}"/>
    <cellStyle name="Percent75" xfId="769" xr:uid="{4D072C35-097E-45B2-8B04-5054F7077641}"/>
    <cellStyle name="Percent76" xfId="770" xr:uid="{0A4ED51F-CEDA-40FF-948B-6E4206EEE22A}"/>
    <cellStyle name="Percent77" xfId="771" xr:uid="{F7184D42-FD24-4D19-9AA6-13A744AE28F2}"/>
    <cellStyle name="Percent78" xfId="772" xr:uid="{2F9902E6-0300-4041-AA35-DCE5F30E335E}"/>
    <cellStyle name="Percent79" xfId="773" xr:uid="{79AA5973-2CE3-44A6-AA8B-B83E17770091}"/>
    <cellStyle name="Percent8" xfId="774" xr:uid="{A09D9F33-D3C9-48D9-9170-3B63FA4F5BE9}"/>
    <cellStyle name="Percent80" xfId="775" xr:uid="{66113DB5-7907-40BA-9BAF-06C19834D461}"/>
    <cellStyle name="Percent81" xfId="776" xr:uid="{6FBFF539-BC88-420E-9892-5F4E836A6E96}"/>
    <cellStyle name="Percent82" xfId="777" xr:uid="{979F49D5-6AE7-4B60-A05A-063BB3DB31B6}"/>
    <cellStyle name="Percent83" xfId="778" xr:uid="{1D0312CA-BBBD-4D56-8152-066F3F0194A6}"/>
    <cellStyle name="Percent84" xfId="779" xr:uid="{0822AF67-1335-4F54-97D3-576B17847083}"/>
    <cellStyle name="Percent85" xfId="780" xr:uid="{66DAD6AD-1446-4A90-AC08-391289E93954}"/>
    <cellStyle name="Percent86" xfId="781" xr:uid="{190506BC-C45C-4767-98F1-16D38A5B2E49}"/>
    <cellStyle name="Percent87" xfId="782" xr:uid="{88B31631-A49A-471B-ADF4-CD1E114D3BAE}"/>
    <cellStyle name="Percent88" xfId="783" xr:uid="{8DC803C8-A9C4-4DBA-800D-1035E151BB31}"/>
    <cellStyle name="Percent89" xfId="784" xr:uid="{CF46E833-2027-457C-A057-6855AF50589B}"/>
    <cellStyle name="Percent9" xfId="785" xr:uid="{18EBCE99-F39E-4321-A99B-D35BF0D84ED0}"/>
    <cellStyle name="Percent90" xfId="786" xr:uid="{1BAF0107-6C56-47C3-938A-5AACBA5D475A}"/>
    <cellStyle name="Percent91" xfId="787" xr:uid="{5FFE38FE-A14E-4BA0-97C1-EA85632F1EA4}"/>
    <cellStyle name="Percent92" xfId="788" xr:uid="{4B412225-DF95-4D99-9D5A-1D9F060725CA}"/>
    <cellStyle name="Percent93" xfId="789" xr:uid="{93EDE3AF-1458-49E4-AFDB-B6231A1B1D2A}"/>
    <cellStyle name="Percent94" xfId="790" xr:uid="{CE3E4D10-30A9-4C6A-BC3E-3D3E0820C836}"/>
    <cellStyle name="Percent95" xfId="791" xr:uid="{6B5A4331-9804-43A7-8D22-E646CF821D0A}"/>
    <cellStyle name="Percent96" xfId="792" xr:uid="{E80117ED-0B1B-4B0E-8953-4D7B044A40AE}"/>
    <cellStyle name="Percent97" xfId="793" xr:uid="{F8A3DAD8-FB8E-45F1-B13D-0BC547E5C0E9}"/>
    <cellStyle name="Percent98" xfId="794" xr:uid="{4F36E501-9D75-47DF-80D7-46EE36E11CA7}"/>
    <cellStyle name="Percent99" xfId="795" xr:uid="{0866D86E-1AAD-4620-9FA1-259FB74FCBBD}"/>
    <cellStyle name="Percentage" xfId="796" xr:uid="{921EE29B-3342-4486-B9BD-511E1B27A366}"/>
    <cellStyle name="PercentStyle" xfId="797" xr:uid="{49408E68-7017-46EF-8575-CDDC21D66674}"/>
    <cellStyle name="PrePop Currency (0)" xfId="798" xr:uid="{4E63077E-67F9-429E-ABE2-EF2D44C70B8C}"/>
    <cellStyle name="PrePop Currency (2)" xfId="799" xr:uid="{1FE7805B-12F2-4EF4-B759-2A1078B560AE}"/>
    <cellStyle name="PrePop Units (0)" xfId="800" xr:uid="{466712D4-BE48-4834-9964-E4AA62594CFB}"/>
    <cellStyle name="PrePop Units (1)" xfId="801" xr:uid="{DA5267E6-20B9-4603-8F2E-E05741F75856}"/>
    <cellStyle name="PrePop Units (2)" xfId="802" xr:uid="{C3168CC7-6A4F-472A-8A81-CF42B1E0C4E5}"/>
    <cellStyle name="Price" xfId="803" xr:uid="{DA5C46B8-654C-41D0-BC19-5F211B903B77}"/>
    <cellStyle name="Product Header" xfId="804" xr:uid="{2F3CF71D-8AAC-4A71-86BB-B7D246BE6C74}"/>
    <cellStyle name="PSChar" xfId="805" xr:uid="{313FE7A7-8A0B-49CB-BC50-D2EA094B9508}"/>
    <cellStyle name="PSDate" xfId="806" xr:uid="{F794C836-7DAE-44D5-AEFB-A82A7B4F0126}"/>
    <cellStyle name="PSDec" xfId="807" xr:uid="{9D4995F9-FA7C-470D-9039-08472A87F320}"/>
    <cellStyle name="PSHeading" xfId="808" xr:uid="{8EEC47FB-7498-4BED-A280-EF389181651F}"/>
    <cellStyle name="PSInt" xfId="809" xr:uid="{AEAB5FF1-7EDF-4E7E-9754-3626E0C75DF1}"/>
    <cellStyle name="PSSpacer" xfId="810" xr:uid="{66028F23-B674-4B11-83E5-2ED8BE07741E}"/>
    <cellStyle name="r" xfId="811" xr:uid="{E0B13903-CD92-4076-AC4E-B56DAA04C39D}"/>
    <cellStyle name="r_F&amp;W Servicing Model" xfId="812" xr:uid="{F0A156B2-BB27-4462-A0BE-C366645A5213}"/>
    <cellStyle name="r_F&amp;W Servicing Model v2" xfId="813" xr:uid="{A19512A0-CCCB-42DE-8D5D-B3C4985B5B07}"/>
    <cellStyle name="r_Yell Servicing Model" xfId="814" xr:uid="{125AF39A-EE52-4D59-A2AD-3723FD83D173}"/>
    <cellStyle name="rate" xfId="815" xr:uid="{FE2989D8-F066-4144-BEF1-EFE1B3288F17}"/>
    <cellStyle name="Ratio" xfId="816" xr:uid="{B3B10C0A-836C-464F-8BEF-F8B52967E9FE}"/>
    <cellStyle name="Ratio Comma" xfId="817" xr:uid="{6AD4F9C7-5BCD-468F-969D-74795B224729}"/>
    <cellStyle name="Ratio_Private" xfId="818" xr:uid="{5B3457E1-5714-4B9C-95C7-2B6FA14744A1}"/>
    <cellStyle name="regstoresfromspecstores" xfId="819" xr:uid="{C00ECE6E-DBF2-45E4-9AF3-C86E0ACC6642}"/>
    <cellStyle name="RevList" xfId="820" xr:uid="{6BAB2043-160D-41D3-8338-FBAB4EF7F5CE}"/>
    <cellStyle name="Right" xfId="821" xr:uid="{EB648D58-C44D-4B65-BE25-E33E9424CB2B}"/>
    <cellStyle name="RightBold" xfId="822" xr:uid="{EEB6811F-A332-4152-97CE-806A49319279}"/>
    <cellStyle name="RightBoldBottomRule" xfId="823" xr:uid="{8F36BB23-627F-455F-B118-29D13013DBAD}"/>
    <cellStyle name="RightBoldCenterRule" xfId="824" xr:uid="{B2C1036B-BA9D-434B-BDD0-DBB4CF0CA989}"/>
    <cellStyle name="Section" xfId="825" xr:uid="{678620D4-F717-475E-9B9B-C457E28B41E0}"/>
    <cellStyle name="SectionHeaderNormal" xfId="826" xr:uid="{FC3F1E9D-81C7-4390-A827-2658ECFD6D22}"/>
    <cellStyle name="Separador de milhares 10" xfId="827" xr:uid="{0F62089C-85CB-4EEB-BC4F-7131A2940B4F}"/>
    <cellStyle name="SHADEDSTORES" xfId="828" xr:uid="{10DA360C-65A8-449F-A136-FDEDF0637AD3}"/>
    <cellStyle name="Short $" xfId="829" xr:uid="{7D34A500-BF08-4838-8AEE-3F6D7DAE3CA3}"/>
    <cellStyle name="ShOut" xfId="830" xr:uid="{ADA29E9B-363C-4689-85E2-7414C5B48AAF}"/>
    <cellStyle name="Simple" xfId="831" xr:uid="{946AE1F6-9CFA-4FD3-BED1-0EF967A71DD5}"/>
    <cellStyle name="SimpleBold" xfId="832" xr:uid="{FFFC05B0-D6B0-4CA3-AE33-2CD02A097347}"/>
    <cellStyle name="Single Accounting" xfId="833" xr:uid="{702E7E63-D0C5-4619-88A3-817E9E0F1DC3}"/>
    <cellStyle name="specstores" xfId="834" xr:uid="{B30AF062-FF68-431A-938F-C8070B71DAEB}"/>
    <cellStyle name="Stock Comma" xfId="835" xr:uid="{7138FDDB-968A-4160-9190-C9843262A5BB}"/>
    <cellStyle name="Stock Price" xfId="836" xr:uid="{3B149F7F-DA36-415D-875C-AC0703C06647}"/>
    <cellStyle name="Style 1" xfId="837" xr:uid="{A1CC4D42-98D9-433A-84D4-6AB08A5C3D4A}"/>
    <cellStyle name="Style 21" xfId="838" xr:uid="{04970405-60F9-46BC-993B-A6E2A05AE99C}"/>
    <cellStyle name="Style 22" xfId="839" xr:uid="{64CFDCBA-5C75-4A95-867C-6FC8C050C400}"/>
    <cellStyle name="Style 23" xfId="840" xr:uid="{AB969835-F98E-4831-9470-561CBA47CE74}"/>
    <cellStyle name="Style 24" xfId="841" xr:uid="{823700C5-59D3-415E-928E-7774AC0358DD}"/>
    <cellStyle name="Style 25" xfId="842" xr:uid="{3BF7B3A1-53D6-4B9F-BD3B-4643B09743E5}"/>
    <cellStyle name="Style 26" xfId="843" xr:uid="{ABEC7A13-8CC3-4696-BC77-017277E1A31E}"/>
    <cellStyle name="Style 27" xfId="844" xr:uid="{47C7FC27-8F38-4EC0-8EF2-0BE7D4AA4E39}"/>
    <cellStyle name="Style 28" xfId="845" xr:uid="{22F87192-D8E5-4EE5-9F6A-C89DE8AC6E88}"/>
    <cellStyle name="Style 29" xfId="846" xr:uid="{5CD08D4C-268B-4E4D-A0C9-8E6C18346342}"/>
    <cellStyle name="Style 30" xfId="847" xr:uid="{D48FF3A1-5A2A-4D7F-815D-AF296E7F5D2B}"/>
    <cellStyle name="Style 31" xfId="848" xr:uid="{0F3E75ED-5576-4CA0-99CD-D93ECD58E1E6}"/>
    <cellStyle name="Style 32" xfId="849" xr:uid="{FEAE203B-1B73-4E67-899B-067CD51D0E6B}"/>
    <cellStyle name="Style 33" xfId="850" xr:uid="{41BB3C91-90F8-445F-9189-E24E79F13C84}"/>
    <cellStyle name="Style 34" xfId="851" xr:uid="{4B55C918-3F59-4781-894A-1A84A3DDA151}"/>
    <cellStyle name="Style 35" xfId="852" xr:uid="{0845025D-DC2B-4705-A983-2339A164ECDA}"/>
    <cellStyle name="Style 36" xfId="853" xr:uid="{EB679747-5D98-470E-9556-D4370F117682}"/>
    <cellStyle name="Style 37" xfId="854" xr:uid="{2582329B-5ACF-4EC9-AED4-938F700B8995}"/>
    <cellStyle name="Style 38" xfId="855" xr:uid="{8D1E9F8A-FF93-4036-A4B7-0CD44A72078A}"/>
    <cellStyle name="Style 39" xfId="856" xr:uid="{5C919925-621B-42D6-8E10-3916D576735A}"/>
    <cellStyle name="Style 40" xfId="857" xr:uid="{1D3214A1-9175-462B-AF5C-0F0FD3CEB0FF}"/>
    <cellStyle name="Style 41" xfId="858" xr:uid="{B95C636A-7478-4559-A3D6-A1F9117F71FC}"/>
    <cellStyle name="Style 42" xfId="859" xr:uid="{1CDCEAC9-D8EC-4D6B-873C-EECDF3AE0858}"/>
    <cellStyle name="Style 43" xfId="860" xr:uid="{A7961F72-D878-46A6-A50B-A8D4B3FAE0B2}"/>
    <cellStyle name="Style 44" xfId="861" xr:uid="{5A2009D9-E91E-4514-9A58-38379E74DE09}"/>
    <cellStyle name="Style 45" xfId="862" xr:uid="{8D0E1976-A0C3-4A2A-9133-731CC168716A}"/>
    <cellStyle name="Style 46" xfId="863" xr:uid="{E859315E-095E-42D6-A067-449812DAAA7B}"/>
    <cellStyle name="Style 47" xfId="864" xr:uid="{58879955-9D46-4CDC-935D-CCDC9DE7050E}"/>
    <cellStyle name="Style 48" xfId="865" xr:uid="{F8AB6A55-DE86-44B2-98E3-3AFA0BCA031A}"/>
    <cellStyle name="STYLE1" xfId="866" xr:uid="{407CF6B1-E8B6-467C-B348-7B9FC9862E54}"/>
    <cellStyle name="SubScript" xfId="867" xr:uid="{5EFCA8E4-4F9F-41F4-85B6-2C3135B5EDB1}"/>
    <cellStyle name="Subtotal" xfId="868" xr:uid="{882DF203-C106-4BEF-A35A-CBB811DF4499}"/>
    <cellStyle name="Sum" xfId="869" xr:uid="{2D82C21C-12A9-4F37-9F0D-1D8813D9E130}"/>
    <cellStyle name="SuperScript" xfId="870" xr:uid="{1D6BB62E-0B26-4474-BB76-99F0433FF9E9}"/>
    <cellStyle name="Table_Title" xfId="871" xr:uid="{2B395169-8091-44C0-9CC8-18BEB3364CAB}"/>
    <cellStyle name="Test" xfId="872" xr:uid="{5BE20146-699C-44F1-BA25-1A537514B83F}"/>
    <cellStyle name="Text Indent A" xfId="873" xr:uid="{5DF5BE36-5A44-42CD-9E9A-48D180F1C533}"/>
    <cellStyle name="Text Indent B" xfId="874" xr:uid="{C281EDAF-7980-43D5-A78B-ACB6919505CC}"/>
    <cellStyle name="Text Indent C" xfId="875" xr:uid="{2C625472-0FBB-4F97-B407-AF1F50406DC3}"/>
    <cellStyle name="TextBold" xfId="876" xr:uid="{D663E6DF-2449-434E-9B54-62CA47FE8883}"/>
    <cellStyle name="TextItalic" xfId="877" xr:uid="{11D75EE5-C542-496C-9443-9493DA619C4B}"/>
    <cellStyle name="TextNormal" xfId="878" xr:uid="{8C0C48DF-2228-42DB-ABE6-FBC27B43CE0C}"/>
    <cellStyle name="Time" xfId="879" xr:uid="{05E2AA97-D2AE-4BB9-A02A-C5AD646FF00A}"/>
    <cellStyle name="Times 10" xfId="880" xr:uid="{895E9AB8-C8F6-4A73-8654-DE3DE378D999}"/>
    <cellStyle name="Times 12" xfId="881" xr:uid="{F5D94B05-E13C-4496-A300-31CA4FE101E3}"/>
    <cellStyle name="Title - PROJECT" xfId="882" xr:uid="{0D90A14A-B494-4064-890A-493CD9BA56E9}"/>
    <cellStyle name="Title - Underline" xfId="883" xr:uid="{0B36744F-FABE-44C5-A92D-510C6199CC19}"/>
    <cellStyle name="Title1" xfId="884" xr:uid="{92E61374-BD88-49B2-870F-BF4A4F23FDD9}"/>
    <cellStyle name="Title2" xfId="885" xr:uid="{1D7E2285-6920-4604-A46F-DFE75E941133}"/>
    <cellStyle name="TitleNormal" xfId="886" xr:uid="{CA97C9C1-AFD5-4855-BD21-1F307FE9247C}"/>
    <cellStyle name="Titles - Col. Headings" xfId="887" xr:uid="{69B33219-66B1-4DEE-8A70-8CE6FA90C6BD}"/>
    <cellStyle name="Titles - Other" xfId="888" xr:uid="{A831B58E-C574-4BB1-B0A7-5FBD6BBBC075}"/>
    <cellStyle name="Top Edge" xfId="889" xr:uid="{769E0112-F031-405C-B3C9-D407F4D385CF}"/>
    <cellStyle name="Total" xfId="890" builtinId="25" customBuiltin="1"/>
    <cellStyle name="ubordinated Debt" xfId="891" xr:uid="{A00DA5A8-5795-45F3-A286-13A967562AE2}"/>
    <cellStyle name="Vírgula 2" xfId="892" xr:uid="{D1AA6B5C-63B9-4508-959D-2F05D03BC104}"/>
    <cellStyle name="Vírgula 5" xfId="893" xr:uid="{E7C7C4B7-0DB0-4840-8AE2-1F59D28B07F1}"/>
    <cellStyle name="wheat merger's and acquisitions" xfId="894" xr:uid="{59B25474-EB17-4F4E-85CD-8DE46DE15013}"/>
    <cellStyle name="x" xfId="895" xr:uid="{A778A653-6DF9-4E5B-A650-3105F3889F8D}"/>
    <cellStyle name="x_TSA Model - 1 8 06 - v2" xfId="896" xr:uid="{97A9101B-248A-4832-B416-D97EE803E89E}"/>
    <cellStyle name="Y2K Compliant Date Fmt" xfId="897" xr:uid="{1A505EE1-BBDD-47C5-B619-3224B9D778A6}"/>
    <cellStyle name="Years" xfId="898" xr:uid="{026CB50D-D42F-4ED6-9354-2E969C9C0C39}"/>
    <cellStyle name="yellow" xfId="899" xr:uid="{49A81967-A531-495E-9717-6A966CBB37F8}"/>
    <cellStyle name="Yen" xfId="900" xr:uid="{6563AA57-8B6B-46EC-A70B-B2D7D07BBDC4}"/>
    <cellStyle name="YYYY" xfId="901" xr:uid="{E41A4397-3D59-4EA5-A0E3-85827B703BAB}"/>
    <cellStyle name="桁区切り [0.00]_Appendix" xfId="902" xr:uid="{ADCCD170-7DDE-488B-A206-B6EA108E199A}"/>
    <cellStyle name="桁区切り_Appendix" xfId="903" xr:uid="{1AD9C1EF-4A59-4123-9D42-4D957E356304}"/>
    <cellStyle name="標準_Appendix" xfId="904" xr:uid="{5F67A42F-FF7C-49C4-955A-2934D95502F3}"/>
    <cellStyle name="通貨 [0.00]_Appendix" xfId="905" xr:uid="{BA49596D-2B84-4696-9200-1C8C6E0D14D7}"/>
    <cellStyle name="通貨_Appendix" xfId="906" xr:uid="{1E422D56-EEBB-441A-9496-873EC22A07F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customXml" Target="../customXml/item1.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styles" Target="style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theme" Target="theme/theme1.xml"/><Relationship Id="rId8" Type="http://schemas.openxmlformats.org/officeDocument/2006/relationships/externalLink" Target="externalLinks/externalLink5.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rojects5\Barracuda\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rojects5\Barracuda\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rojects5\Barracuda\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jects5\Barracuda\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rojects5\Barracuda\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rojects5\Barracuda\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rojects5\Barracuda\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rojects5\Barracuda\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row r="10">
          <cell r="E10" t="str">
            <v>Endurance Business Media</v>
          </cell>
        </row>
        <row r="11">
          <cell r="E11" t="str">
            <v>N/A</v>
          </cell>
        </row>
        <row r="12">
          <cell r="E12" t="str">
            <v>December</v>
          </cell>
        </row>
        <row r="13">
          <cell r="E13" t="str">
            <v>6/30/05</v>
          </cell>
        </row>
        <row r="14">
          <cell r="E14">
            <v>0.5</v>
          </cell>
        </row>
        <row r="16">
          <cell r="J16">
            <v>0</v>
          </cell>
        </row>
        <row r="17">
          <cell r="J17">
            <v>0</v>
          </cell>
        </row>
        <row r="21">
          <cell r="E21">
            <v>0</v>
          </cell>
        </row>
        <row r="23">
          <cell r="E23">
            <v>0</v>
          </cell>
        </row>
        <row r="29">
          <cell r="P29">
            <v>0</v>
          </cell>
        </row>
        <row r="42">
          <cell r="P42">
            <v>0</v>
          </cell>
        </row>
        <row r="46">
          <cell r="P46">
            <v>0</v>
          </cell>
        </row>
        <row r="61">
          <cell r="E61" t="str">
            <v>F&amp;W (NEW) Publishing</v>
          </cell>
        </row>
        <row r="62">
          <cell r="E62" t="str">
            <v>F&amp;W</v>
          </cell>
        </row>
        <row r="63">
          <cell r="E63" t="str">
            <v>December</v>
          </cell>
        </row>
        <row r="64">
          <cell r="E64" t="str">
            <v>9/30/06</v>
          </cell>
        </row>
        <row r="65">
          <cell r="E65">
            <v>0.75</v>
          </cell>
        </row>
        <row r="67">
          <cell r="J67">
            <v>0</v>
          </cell>
        </row>
        <row r="68">
          <cell r="J68">
            <v>286.15800000000002</v>
          </cell>
        </row>
        <row r="72">
          <cell r="E72">
            <v>0</v>
          </cell>
        </row>
        <row r="74">
          <cell r="E74">
            <v>0</v>
          </cell>
        </row>
        <row r="80">
          <cell r="P80">
            <v>165.315</v>
          </cell>
        </row>
        <row r="93">
          <cell r="P93">
            <v>-17.663000000000007</v>
          </cell>
        </row>
        <row r="97">
          <cell r="P97">
            <v>23.793999999999993</v>
          </cell>
        </row>
        <row r="112">
          <cell r="E112" t="str">
            <v>Jobson Medical</v>
          </cell>
        </row>
        <row r="113">
          <cell r="E113" t="str">
            <v>N/A</v>
          </cell>
        </row>
        <row r="114">
          <cell r="E114" t="str">
            <v>December</v>
          </cell>
        </row>
        <row r="115">
          <cell r="E115" t="str">
            <v>6/30/05</v>
          </cell>
        </row>
        <row r="116">
          <cell r="E116">
            <v>0.5</v>
          </cell>
        </row>
        <row r="118">
          <cell r="J118">
            <v>0</v>
          </cell>
        </row>
        <row r="119">
          <cell r="J119">
            <v>0</v>
          </cell>
        </row>
        <row r="123">
          <cell r="E123">
            <v>0</v>
          </cell>
        </row>
        <row r="125">
          <cell r="E125">
            <v>0</v>
          </cell>
        </row>
        <row r="131">
          <cell r="P131">
            <v>0</v>
          </cell>
        </row>
        <row r="144">
          <cell r="P144">
            <v>0</v>
          </cell>
        </row>
        <row r="148">
          <cell r="P148">
            <v>0</v>
          </cell>
        </row>
        <row r="163">
          <cell r="E163" t="str">
            <v>Medical Media Holdings (MMH)</v>
          </cell>
        </row>
        <row r="164">
          <cell r="E164" t="str">
            <v>N/A</v>
          </cell>
        </row>
        <row r="165">
          <cell r="E165" t="str">
            <v>December</v>
          </cell>
        </row>
        <row r="166">
          <cell r="E166" t="str">
            <v>6/30/05</v>
          </cell>
        </row>
        <row r="167">
          <cell r="E167">
            <v>0.5</v>
          </cell>
        </row>
        <row r="169">
          <cell r="J169">
            <v>0</v>
          </cell>
        </row>
        <row r="170">
          <cell r="J170">
            <v>0</v>
          </cell>
        </row>
        <row r="174">
          <cell r="E174">
            <v>0</v>
          </cell>
        </row>
        <row r="176">
          <cell r="E176">
            <v>0</v>
          </cell>
        </row>
        <row r="182">
          <cell r="P182">
            <v>0</v>
          </cell>
        </row>
        <row r="195">
          <cell r="P195">
            <v>0</v>
          </cell>
        </row>
        <row r="199">
          <cell r="P199">
            <v>0</v>
          </cell>
        </row>
        <row r="214">
          <cell r="E214" t="str">
            <v>American Reprographics Company</v>
          </cell>
        </row>
        <row r="215">
          <cell r="E215" t="str">
            <v>ARP</v>
          </cell>
        </row>
        <row r="216">
          <cell r="E216" t="str">
            <v>December</v>
          </cell>
        </row>
        <row r="217">
          <cell r="E217" t="str">
            <v>9/30/06</v>
          </cell>
        </row>
        <row r="218">
          <cell r="E218">
            <v>0.75</v>
          </cell>
        </row>
        <row r="220">
          <cell r="J220">
            <v>1426.7825558400002</v>
          </cell>
        </row>
        <row r="221">
          <cell r="J221">
            <v>1695.0005558400001</v>
          </cell>
        </row>
        <row r="225">
          <cell r="E225">
            <v>31.76</v>
          </cell>
        </row>
        <row r="227">
          <cell r="E227">
            <v>39</v>
          </cell>
        </row>
        <row r="233">
          <cell r="P233">
            <v>569.55799999999999</v>
          </cell>
        </row>
        <row r="246">
          <cell r="P246">
            <v>0.92534296455756204</v>
          </cell>
        </row>
        <row r="250">
          <cell r="P250">
            <v>124.91600000000004</v>
          </cell>
        </row>
        <row r="265">
          <cell r="E265" t="str">
            <v>Springer Science + Business Media</v>
          </cell>
        </row>
        <row r="266">
          <cell r="E266" t="str">
            <v>N/A</v>
          </cell>
        </row>
        <row r="267">
          <cell r="E267" t="str">
            <v>December</v>
          </cell>
        </row>
        <row r="268">
          <cell r="E268" t="str">
            <v>6/30/05</v>
          </cell>
        </row>
        <row r="269">
          <cell r="E269">
            <v>0.5</v>
          </cell>
        </row>
        <row r="271">
          <cell r="J271">
            <v>0</v>
          </cell>
        </row>
        <row r="272">
          <cell r="J272">
            <v>0</v>
          </cell>
        </row>
        <row r="276">
          <cell r="E276">
            <v>0</v>
          </cell>
        </row>
        <row r="278">
          <cell r="E278">
            <v>0</v>
          </cell>
        </row>
        <row r="284">
          <cell r="P284">
            <v>0</v>
          </cell>
        </row>
        <row r="297">
          <cell r="P297">
            <v>0</v>
          </cell>
        </row>
        <row r="301">
          <cell r="P301">
            <v>0</v>
          </cell>
        </row>
        <row r="316">
          <cell r="E316" t="str">
            <v>Thomas Nelson Publishers</v>
          </cell>
        </row>
        <row r="317">
          <cell r="E317" t="str">
            <v>TNM</v>
          </cell>
        </row>
        <row r="318">
          <cell r="E318" t="str">
            <v>March</v>
          </cell>
        </row>
        <row r="319">
          <cell r="E319" t="str">
            <v>9/30/06</v>
          </cell>
        </row>
        <row r="320">
          <cell r="E320">
            <v>0.5</v>
          </cell>
        </row>
        <row r="322">
          <cell r="J322">
            <v>200.5</v>
          </cell>
        </row>
        <row r="323">
          <cell r="J323">
            <v>490.05099999999999</v>
          </cell>
        </row>
        <row r="327">
          <cell r="E327">
            <v>1</v>
          </cell>
        </row>
        <row r="329">
          <cell r="E329">
            <v>0</v>
          </cell>
        </row>
        <row r="335">
          <cell r="P335">
            <v>260.279</v>
          </cell>
        </row>
        <row r="348">
          <cell r="P348">
            <v>7.7890274314214206E-2</v>
          </cell>
        </row>
        <row r="352">
          <cell r="P352">
            <v>42.807999999999971</v>
          </cell>
        </row>
        <row r="367">
          <cell r="E367" t="str">
            <v>Thomson (Source) Media</v>
          </cell>
        </row>
        <row r="368">
          <cell r="E368" t="str">
            <v>N/A</v>
          </cell>
        </row>
        <row r="369">
          <cell r="E369" t="str">
            <v>December</v>
          </cell>
        </row>
        <row r="370">
          <cell r="E370" t="str">
            <v>6/30/05</v>
          </cell>
        </row>
        <row r="371">
          <cell r="E371">
            <v>0.5</v>
          </cell>
        </row>
        <row r="373">
          <cell r="J373">
            <v>0</v>
          </cell>
        </row>
        <row r="374">
          <cell r="J374">
            <v>0</v>
          </cell>
        </row>
        <row r="378">
          <cell r="E378">
            <v>0</v>
          </cell>
        </row>
        <row r="380">
          <cell r="E380">
            <v>0</v>
          </cell>
        </row>
        <row r="386">
          <cell r="P386">
            <v>0</v>
          </cell>
        </row>
        <row r="399">
          <cell r="P399">
            <v>0</v>
          </cell>
        </row>
        <row r="403">
          <cell r="P403">
            <v>0</v>
          </cell>
        </row>
        <row r="418">
          <cell r="E418" t="str">
            <v>Reed Elsevier</v>
          </cell>
        </row>
        <row r="420">
          <cell r="E420" t="str">
            <v>December</v>
          </cell>
        </row>
        <row r="421">
          <cell r="E421" t="str">
            <v>6/30/05</v>
          </cell>
        </row>
        <row r="422">
          <cell r="E422">
            <v>0.5</v>
          </cell>
        </row>
        <row r="424">
          <cell r="J424">
            <v>0</v>
          </cell>
        </row>
        <row r="425">
          <cell r="J425">
            <v>0</v>
          </cell>
        </row>
        <row r="429">
          <cell r="E429">
            <v>0</v>
          </cell>
        </row>
        <row r="431">
          <cell r="E431">
            <v>0</v>
          </cell>
        </row>
        <row r="437">
          <cell r="P437">
            <v>0</v>
          </cell>
        </row>
        <row r="450">
          <cell r="P450">
            <v>0</v>
          </cell>
        </row>
        <row r="454">
          <cell r="P454">
            <v>0</v>
          </cell>
        </row>
        <row r="469">
          <cell r="E469" t="str">
            <v>Primedia</v>
          </cell>
        </row>
        <row r="470">
          <cell r="E470" t="str">
            <v>PRM</v>
          </cell>
        </row>
        <row r="471">
          <cell r="E471" t="str">
            <v>December</v>
          </cell>
        </row>
        <row r="472">
          <cell r="E472" t="str">
            <v>6/30/05</v>
          </cell>
        </row>
        <row r="473">
          <cell r="E473">
            <v>0.5</v>
          </cell>
        </row>
        <row r="475">
          <cell r="J475">
            <v>0</v>
          </cell>
        </row>
        <row r="476">
          <cell r="J476">
            <v>0</v>
          </cell>
        </row>
        <row r="480">
          <cell r="E480">
            <v>0</v>
          </cell>
        </row>
        <row r="482">
          <cell r="E482">
            <v>0</v>
          </cell>
        </row>
        <row r="488">
          <cell r="P488">
            <v>0</v>
          </cell>
        </row>
        <row r="501">
          <cell r="P501">
            <v>0</v>
          </cell>
        </row>
        <row r="505">
          <cell r="P505">
            <v>0</v>
          </cell>
        </row>
        <row r="522">
          <cell r="E522" t="str">
            <v>December</v>
          </cell>
        </row>
        <row r="523">
          <cell r="E523" t="str">
            <v>6/30/05</v>
          </cell>
        </row>
        <row r="524">
          <cell r="E524">
            <v>0.5</v>
          </cell>
        </row>
        <row r="526">
          <cell r="J526">
            <v>0</v>
          </cell>
        </row>
        <row r="527">
          <cell r="J527">
            <v>0</v>
          </cell>
        </row>
        <row r="531">
          <cell r="E531">
            <v>0</v>
          </cell>
        </row>
        <row r="533">
          <cell r="E533">
            <v>0</v>
          </cell>
        </row>
        <row r="539">
          <cell r="P539">
            <v>0</v>
          </cell>
        </row>
        <row r="552">
          <cell r="P552">
            <v>0</v>
          </cell>
        </row>
        <row r="556">
          <cell r="P556">
            <v>0</v>
          </cell>
        </row>
        <row r="573">
          <cell r="E573" t="str">
            <v>December</v>
          </cell>
        </row>
        <row r="574">
          <cell r="E574" t="str">
            <v>6/30/05</v>
          </cell>
        </row>
        <row r="575">
          <cell r="E575">
            <v>0.5</v>
          </cell>
        </row>
        <row r="577">
          <cell r="J577">
            <v>0</v>
          </cell>
        </row>
        <row r="578">
          <cell r="J578">
            <v>0</v>
          </cell>
        </row>
        <row r="582">
          <cell r="E582">
            <v>0</v>
          </cell>
        </row>
        <row r="584">
          <cell r="E584">
            <v>0</v>
          </cell>
        </row>
        <row r="590">
          <cell r="P590">
            <v>0</v>
          </cell>
        </row>
        <row r="603">
          <cell r="P603">
            <v>0</v>
          </cell>
        </row>
        <row r="607">
          <cell r="P607">
            <v>0</v>
          </cell>
        </row>
        <row r="624">
          <cell r="E624" t="str">
            <v>December</v>
          </cell>
        </row>
        <row r="625">
          <cell r="E625" t="str">
            <v>6/30/05</v>
          </cell>
        </row>
        <row r="626">
          <cell r="E626">
            <v>0.5</v>
          </cell>
        </row>
        <row r="628">
          <cell r="J628">
            <v>0</v>
          </cell>
        </row>
        <row r="629">
          <cell r="J629">
            <v>0</v>
          </cell>
        </row>
        <row r="633">
          <cell r="E633">
            <v>0</v>
          </cell>
        </row>
        <row r="635">
          <cell r="E635">
            <v>0</v>
          </cell>
        </row>
        <row r="641">
          <cell r="P641">
            <v>0</v>
          </cell>
        </row>
        <row r="654">
          <cell r="P654">
            <v>0</v>
          </cell>
        </row>
        <row r="658">
          <cell r="P658">
            <v>0</v>
          </cell>
        </row>
        <row r="675">
          <cell r="E675" t="str">
            <v>December</v>
          </cell>
        </row>
        <row r="676">
          <cell r="E676" t="str">
            <v>6/30/05</v>
          </cell>
        </row>
        <row r="677">
          <cell r="E677">
            <v>0.5</v>
          </cell>
        </row>
        <row r="679">
          <cell r="J679">
            <v>0</v>
          </cell>
        </row>
        <row r="680">
          <cell r="J680">
            <v>0</v>
          </cell>
        </row>
        <row r="684">
          <cell r="E684">
            <v>0</v>
          </cell>
        </row>
        <row r="686">
          <cell r="E686">
            <v>0</v>
          </cell>
        </row>
        <row r="692">
          <cell r="P692">
            <v>0</v>
          </cell>
        </row>
        <row r="705">
          <cell r="P705">
            <v>0</v>
          </cell>
        </row>
        <row r="709">
          <cell r="P709">
            <v>0</v>
          </cell>
        </row>
        <row r="726">
          <cell r="E726" t="str">
            <v>December</v>
          </cell>
        </row>
        <row r="727">
          <cell r="E727" t="str">
            <v>6/30/05</v>
          </cell>
        </row>
        <row r="728">
          <cell r="E728">
            <v>0.5</v>
          </cell>
        </row>
        <row r="730">
          <cell r="J730">
            <v>0</v>
          </cell>
        </row>
        <row r="731">
          <cell r="J731">
            <v>0</v>
          </cell>
        </row>
        <row r="735">
          <cell r="E735">
            <v>0</v>
          </cell>
        </row>
        <row r="737">
          <cell r="E737">
            <v>0</v>
          </cell>
        </row>
        <row r="743">
          <cell r="P743">
            <v>0</v>
          </cell>
        </row>
        <row r="756">
          <cell r="P756">
            <v>0</v>
          </cell>
        </row>
        <row r="760">
          <cell r="P760">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row r="8">
          <cell r="C8" t="str">
            <v>N/A</v>
          </cell>
        </row>
      </sheetData>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row r="1">
          <cell r="A1" t="str">
            <v>ELC 00-I</v>
          </cell>
          <cell r="C1">
            <v>38078</v>
          </cell>
          <cell r="P1">
            <v>2004</v>
          </cell>
          <cell r="R1">
            <v>2004</v>
          </cell>
        </row>
        <row r="2">
          <cell r="C2">
            <v>38107</v>
          </cell>
          <cell r="L2">
            <v>3.0601851851851852E-2</v>
          </cell>
          <cell r="P2">
            <v>4</v>
          </cell>
          <cell r="R2">
            <v>4</v>
          </cell>
          <cell r="U2" t="str">
            <v>Presentation Info 22 (Adam Silver).xls</v>
          </cell>
        </row>
        <row r="3">
          <cell r="L3">
            <v>3.6354166666666667E-2</v>
          </cell>
          <cell r="P3">
            <v>1</v>
          </cell>
          <cell r="R3">
            <v>30</v>
          </cell>
        </row>
      </sheetData>
      <sheetData sheetId="1" refreshError="1">
        <row r="1">
          <cell r="B1">
            <v>524015945.15399992</v>
          </cell>
        </row>
      </sheetData>
      <sheetData sheetId="2"/>
      <sheetData sheetId="3"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Overcollateralization</v>
          </cell>
        </row>
        <row r="2">
          <cell r="B2">
            <v>36242</v>
          </cell>
          <cell r="C2">
            <v>1.3480000000000001</v>
          </cell>
          <cell r="D2">
            <v>1.3</v>
          </cell>
          <cell r="G2">
            <v>36242</v>
          </cell>
          <cell r="H2">
            <v>1.1951000000000001</v>
          </cell>
          <cell r="I2">
            <v>1.1499999999999999</v>
          </cell>
          <cell r="L2">
            <v>36242</v>
          </cell>
          <cell r="M2">
            <v>1.0789</v>
          </cell>
          <cell r="N2">
            <v>1.0625</v>
          </cell>
          <cell r="Q2">
            <v>36242</v>
          </cell>
          <cell r="R2">
            <v>0</v>
          </cell>
          <cell r="S2">
            <v>0</v>
          </cell>
        </row>
        <row r="3">
          <cell r="B3">
            <v>36273</v>
          </cell>
          <cell r="C3">
            <v>1.3477000000000001</v>
          </cell>
          <cell r="D3">
            <v>1.3</v>
          </cell>
          <cell r="G3">
            <v>36273</v>
          </cell>
          <cell r="H3">
            <v>1.1948000000000001</v>
          </cell>
          <cell r="I3">
            <v>1.1499999999999999</v>
          </cell>
          <cell r="L3">
            <v>36273</v>
          </cell>
          <cell r="M3">
            <v>1.0786</v>
          </cell>
          <cell r="N3">
            <v>1.0625</v>
          </cell>
          <cell r="Q3">
            <v>36273</v>
          </cell>
          <cell r="R3">
            <v>0</v>
          </cell>
          <cell r="S3">
            <v>0</v>
          </cell>
        </row>
        <row r="4">
          <cell r="B4">
            <v>36303</v>
          </cell>
          <cell r="C4">
            <v>1.3478999999999999</v>
          </cell>
          <cell r="D4">
            <v>1.3</v>
          </cell>
          <cell r="G4">
            <v>36303</v>
          </cell>
          <cell r="H4">
            <v>1.1950000000000001</v>
          </cell>
          <cell r="I4">
            <v>1.1499999999999999</v>
          </cell>
          <cell r="L4">
            <v>36303</v>
          </cell>
          <cell r="M4">
            <v>1.0787</v>
          </cell>
          <cell r="N4">
            <v>1.0625</v>
          </cell>
          <cell r="Q4">
            <v>36303</v>
          </cell>
          <cell r="R4">
            <v>0</v>
          </cell>
          <cell r="S4">
            <v>0</v>
          </cell>
        </row>
        <row r="5">
          <cell r="B5">
            <v>36334</v>
          </cell>
          <cell r="C5">
            <v>1.3478999999999999</v>
          </cell>
          <cell r="D5">
            <v>1.3</v>
          </cell>
          <cell r="G5">
            <v>36334</v>
          </cell>
          <cell r="H5">
            <v>1.1950000000000001</v>
          </cell>
          <cell r="I5">
            <v>1.1499999999999999</v>
          </cell>
          <cell r="L5">
            <v>36334</v>
          </cell>
          <cell r="M5">
            <v>1.0787</v>
          </cell>
          <cell r="N5">
            <v>1.0625</v>
          </cell>
          <cell r="Q5">
            <v>36334</v>
          </cell>
          <cell r="R5">
            <v>0</v>
          </cell>
          <cell r="S5">
            <v>0</v>
          </cell>
        </row>
        <row r="6">
          <cell r="B6">
            <v>36356</v>
          </cell>
          <cell r="C6">
            <v>1.3478999999999999</v>
          </cell>
          <cell r="D6">
            <v>1.3</v>
          </cell>
          <cell r="G6">
            <v>36356</v>
          </cell>
          <cell r="H6">
            <v>1.1950000000000001</v>
          </cell>
          <cell r="I6">
            <v>1.1499999999999999</v>
          </cell>
          <cell r="L6">
            <v>36356</v>
          </cell>
          <cell r="M6">
            <v>1.0787</v>
          </cell>
          <cell r="N6">
            <v>1.0625</v>
          </cell>
          <cell r="Q6">
            <v>36356</v>
          </cell>
          <cell r="R6">
            <v>0</v>
          </cell>
          <cell r="S6">
            <v>0</v>
          </cell>
        </row>
        <row r="7">
          <cell r="B7">
            <v>36395</v>
          </cell>
          <cell r="C7">
            <v>1.3485</v>
          </cell>
          <cell r="D7">
            <v>1.3</v>
          </cell>
          <cell r="G7">
            <v>36395</v>
          </cell>
          <cell r="H7">
            <v>1.1955</v>
          </cell>
          <cell r="I7">
            <v>1.1499999999999999</v>
          </cell>
          <cell r="L7">
            <v>36395</v>
          </cell>
          <cell r="M7">
            <v>1.0791999999999999</v>
          </cell>
          <cell r="N7">
            <v>1.0625</v>
          </cell>
          <cell r="Q7">
            <v>36395</v>
          </cell>
          <cell r="R7">
            <v>0</v>
          </cell>
          <cell r="S7">
            <v>0</v>
          </cell>
        </row>
        <row r="8">
          <cell r="B8">
            <v>36426</v>
          </cell>
          <cell r="C8">
            <v>1.3485</v>
          </cell>
          <cell r="D8">
            <v>1.3</v>
          </cell>
          <cell r="G8">
            <v>36426</v>
          </cell>
          <cell r="H8">
            <v>1.1955</v>
          </cell>
          <cell r="I8">
            <v>1.1499999999999999</v>
          </cell>
          <cell r="L8">
            <v>36426</v>
          </cell>
          <cell r="M8">
            <v>1.0793000000000001</v>
          </cell>
          <cell r="N8">
            <v>1.0625</v>
          </cell>
          <cell r="Q8">
            <v>36426</v>
          </cell>
          <cell r="R8">
            <v>0</v>
          </cell>
          <cell r="S8">
            <v>0</v>
          </cell>
        </row>
        <row r="9">
          <cell r="B9">
            <v>36448</v>
          </cell>
          <cell r="C9">
            <v>1.3486000000000002</v>
          </cell>
          <cell r="D9">
            <v>1.3</v>
          </cell>
          <cell r="G9">
            <v>36448</v>
          </cell>
          <cell r="H9">
            <v>1.1956</v>
          </cell>
          <cell r="I9">
            <v>1.1499999999999999</v>
          </cell>
          <cell r="L9">
            <v>36448</v>
          </cell>
          <cell r="M9">
            <v>1.0793000000000001</v>
          </cell>
          <cell r="N9">
            <v>1.0625</v>
          </cell>
          <cell r="Q9">
            <v>36448</v>
          </cell>
          <cell r="R9">
            <v>0</v>
          </cell>
          <cell r="S9">
            <v>0</v>
          </cell>
        </row>
        <row r="10">
          <cell r="B10">
            <v>36487</v>
          </cell>
          <cell r="C10">
            <v>1.3488</v>
          </cell>
          <cell r="D10">
            <v>1.3</v>
          </cell>
          <cell r="G10">
            <v>36487</v>
          </cell>
          <cell r="H10">
            <v>1.1958</v>
          </cell>
          <cell r="I10">
            <v>1.1499999999999999</v>
          </cell>
          <cell r="L10">
            <v>36487</v>
          </cell>
          <cell r="M10">
            <v>1.0795000000000001</v>
          </cell>
          <cell r="N10">
            <v>1.0625</v>
          </cell>
          <cell r="Q10">
            <v>36487</v>
          </cell>
          <cell r="R10">
            <v>0</v>
          </cell>
          <cell r="S10">
            <v>0</v>
          </cell>
        </row>
        <row r="11">
          <cell r="B11">
            <v>36517</v>
          </cell>
          <cell r="C11">
            <v>1.3491</v>
          </cell>
          <cell r="D11">
            <v>1.3</v>
          </cell>
          <cell r="G11">
            <v>36517</v>
          </cell>
          <cell r="H11">
            <v>1.196</v>
          </cell>
          <cell r="I11">
            <v>1.1499999999999999</v>
          </cell>
          <cell r="L11">
            <v>36517</v>
          </cell>
          <cell r="M11">
            <v>1.0797000000000001</v>
          </cell>
          <cell r="N11">
            <v>1.0625</v>
          </cell>
          <cell r="Q11">
            <v>36517</v>
          </cell>
          <cell r="R11">
            <v>0</v>
          </cell>
          <cell r="S11">
            <v>0</v>
          </cell>
        </row>
        <row r="12">
          <cell r="B12">
            <v>36535</v>
          </cell>
          <cell r="C12">
            <v>1.3383</v>
          </cell>
          <cell r="D12">
            <v>1.3</v>
          </cell>
          <cell r="G12">
            <v>36535</v>
          </cell>
          <cell r="H12">
            <v>1.1865000000000001</v>
          </cell>
          <cell r="I12">
            <v>1.1499999999999999</v>
          </cell>
          <cell r="L12">
            <v>36535</v>
          </cell>
          <cell r="M12">
            <v>1.0710999999999999</v>
          </cell>
          <cell r="N12">
            <v>1.0625</v>
          </cell>
          <cell r="Q12">
            <v>36535</v>
          </cell>
          <cell r="R12">
            <v>0</v>
          </cell>
          <cell r="S12">
            <v>0</v>
          </cell>
        </row>
        <row r="13">
          <cell r="B13">
            <v>36579</v>
          </cell>
          <cell r="C13">
            <v>1.3371000000000002</v>
          </cell>
          <cell r="D13">
            <v>1.3</v>
          </cell>
          <cell r="G13">
            <v>36579</v>
          </cell>
          <cell r="H13">
            <v>1.1854</v>
          </cell>
          <cell r="I13">
            <v>1.1499999999999999</v>
          </cell>
          <cell r="L13">
            <v>36579</v>
          </cell>
          <cell r="M13">
            <v>1.0701000000000001</v>
          </cell>
          <cell r="N13">
            <v>1.0625</v>
          </cell>
          <cell r="Q13">
            <v>36579</v>
          </cell>
          <cell r="R13">
            <v>0</v>
          </cell>
          <cell r="S13">
            <v>0</v>
          </cell>
        </row>
        <row r="14">
          <cell r="B14">
            <v>36608</v>
          </cell>
          <cell r="C14">
            <v>1.3381000000000001</v>
          </cell>
          <cell r="D14">
            <v>1.3</v>
          </cell>
          <cell r="G14">
            <v>36608</v>
          </cell>
          <cell r="H14">
            <v>1.1862999999999999</v>
          </cell>
          <cell r="I14">
            <v>1.1499999999999999</v>
          </cell>
          <cell r="L14">
            <v>36608</v>
          </cell>
          <cell r="M14">
            <v>1.0709</v>
          </cell>
          <cell r="N14">
            <v>1.0625</v>
          </cell>
          <cell r="Q14">
            <v>36608</v>
          </cell>
          <cell r="R14">
            <v>0</v>
          </cell>
          <cell r="S14">
            <v>0</v>
          </cell>
        </row>
        <row r="15">
          <cell r="B15">
            <v>36633</v>
          </cell>
          <cell r="C15">
            <v>1.3383</v>
          </cell>
          <cell r="D15">
            <v>1.3</v>
          </cell>
          <cell r="G15">
            <v>36633</v>
          </cell>
          <cell r="H15">
            <v>1.1865000000000001</v>
          </cell>
          <cell r="I15">
            <v>1.1499999999999999</v>
          </cell>
          <cell r="L15">
            <v>36633</v>
          </cell>
          <cell r="M15">
            <v>1.0710999999999999</v>
          </cell>
          <cell r="N15">
            <v>1.0625</v>
          </cell>
          <cell r="Q15">
            <v>36633</v>
          </cell>
          <cell r="R15">
            <v>0</v>
          </cell>
          <cell r="S15">
            <v>0</v>
          </cell>
        </row>
        <row r="16">
          <cell r="B16">
            <v>36669</v>
          </cell>
          <cell r="C16">
            <v>1.3415000000000001</v>
          </cell>
          <cell r="D16">
            <v>1.3</v>
          </cell>
          <cell r="G16">
            <v>36669</v>
          </cell>
          <cell r="H16">
            <v>1.1893</v>
          </cell>
          <cell r="I16">
            <v>1.1499999999999999</v>
          </cell>
          <cell r="L16">
            <v>36669</v>
          </cell>
          <cell r="M16">
            <v>1.0737000000000001</v>
          </cell>
          <cell r="N16">
            <v>1.0625</v>
          </cell>
          <cell r="Q16">
            <v>36669</v>
          </cell>
          <cell r="R16">
            <v>0</v>
          </cell>
          <cell r="S16">
            <v>0</v>
          </cell>
        </row>
        <row r="17">
          <cell r="B17">
            <v>36700</v>
          </cell>
          <cell r="C17">
            <v>1.3390000000000002</v>
          </cell>
          <cell r="D17">
            <v>1.3</v>
          </cell>
          <cell r="G17">
            <v>36700</v>
          </cell>
          <cell r="H17">
            <v>1.1871</v>
          </cell>
          <cell r="I17">
            <v>1.1499999999999999</v>
          </cell>
          <cell r="L17">
            <v>36700</v>
          </cell>
          <cell r="M17">
            <v>1.0715999999999999</v>
          </cell>
          <cell r="N17">
            <v>1.0625</v>
          </cell>
          <cell r="Q17">
            <v>36700</v>
          </cell>
          <cell r="R17">
            <v>0</v>
          </cell>
          <cell r="S17">
            <v>0</v>
          </cell>
        </row>
        <row r="18">
          <cell r="B18">
            <v>36717</v>
          </cell>
          <cell r="C18">
            <v>1.3388</v>
          </cell>
          <cell r="D18">
            <v>1.3</v>
          </cell>
          <cell r="G18">
            <v>36717</v>
          </cell>
          <cell r="H18">
            <v>1.1870000000000001</v>
          </cell>
          <cell r="I18">
            <v>1.1499999999999999</v>
          </cell>
          <cell r="L18">
            <v>36717</v>
          </cell>
          <cell r="M18">
            <v>1.0715000000000001</v>
          </cell>
          <cell r="N18">
            <v>1.0625</v>
          </cell>
          <cell r="Q18">
            <v>36717</v>
          </cell>
          <cell r="R18">
            <v>0</v>
          </cell>
          <cell r="S18">
            <v>0</v>
          </cell>
        </row>
        <row r="19">
          <cell r="B19">
            <v>36761</v>
          </cell>
          <cell r="C19">
            <v>1.3402000000000001</v>
          </cell>
          <cell r="D19">
            <v>1.3</v>
          </cell>
          <cell r="G19">
            <v>36761</v>
          </cell>
          <cell r="H19">
            <v>1.1881000000000002</v>
          </cell>
          <cell r="I19">
            <v>1.1499999999999999</v>
          </cell>
          <cell r="L19">
            <v>36761</v>
          </cell>
          <cell r="M19">
            <v>1.0726</v>
          </cell>
          <cell r="N19">
            <v>1.0625</v>
          </cell>
          <cell r="Q19">
            <v>36761</v>
          </cell>
          <cell r="R19">
            <v>0</v>
          </cell>
          <cell r="S19">
            <v>0</v>
          </cell>
        </row>
        <row r="20">
          <cell r="B20">
            <v>36792</v>
          </cell>
          <cell r="C20">
            <v>1.3446</v>
          </cell>
          <cell r="D20">
            <v>1.3</v>
          </cell>
          <cell r="G20">
            <v>36792</v>
          </cell>
          <cell r="H20">
            <v>1.1920999999999999</v>
          </cell>
          <cell r="I20">
            <v>1.1499999999999999</v>
          </cell>
          <cell r="L20">
            <v>36792</v>
          </cell>
          <cell r="M20">
            <v>1.0761000000000001</v>
          </cell>
          <cell r="N20">
            <v>1.0625</v>
          </cell>
          <cell r="Q20">
            <v>36792</v>
          </cell>
          <cell r="R20">
            <v>0</v>
          </cell>
          <cell r="S20">
            <v>0</v>
          </cell>
        </row>
        <row r="21">
          <cell r="B21">
            <v>36805</v>
          </cell>
          <cell r="C21">
            <v>1.34</v>
          </cell>
          <cell r="D21">
            <v>1.3</v>
          </cell>
          <cell r="G21">
            <v>36805</v>
          </cell>
          <cell r="H21">
            <v>1.1879999999999999</v>
          </cell>
          <cell r="I21">
            <v>1.1499999999999999</v>
          </cell>
          <cell r="L21">
            <v>36805</v>
          </cell>
          <cell r="M21">
            <v>1.0724</v>
          </cell>
          <cell r="N21">
            <v>1.0625</v>
          </cell>
          <cell r="Q21">
            <v>36805</v>
          </cell>
          <cell r="R21">
            <v>0</v>
          </cell>
          <cell r="S21">
            <v>0</v>
          </cell>
        </row>
        <row r="22">
          <cell r="B22">
            <v>36852</v>
          </cell>
          <cell r="C22">
            <v>1.3256000000000001</v>
          </cell>
          <cell r="D22">
            <v>1.3</v>
          </cell>
          <cell r="G22">
            <v>36852</v>
          </cell>
          <cell r="H22">
            <v>1.1752</v>
          </cell>
          <cell r="I22">
            <v>1.1499999999999999</v>
          </cell>
          <cell r="L22">
            <v>36852</v>
          </cell>
          <cell r="M22">
            <v>1.0609</v>
          </cell>
          <cell r="N22">
            <v>1.0625</v>
          </cell>
          <cell r="Q22">
            <v>36852</v>
          </cell>
          <cell r="R22">
            <v>0</v>
          </cell>
          <cell r="S22">
            <v>0</v>
          </cell>
        </row>
        <row r="23">
          <cell r="B23">
            <v>36882</v>
          </cell>
          <cell r="C23">
            <v>1.3291999999999999</v>
          </cell>
          <cell r="D23">
            <v>1.3</v>
          </cell>
          <cell r="G23">
            <v>36882</v>
          </cell>
          <cell r="H23">
            <v>1.1784000000000001</v>
          </cell>
          <cell r="I23">
            <v>1.1499999999999999</v>
          </cell>
          <cell r="L23">
            <v>36882</v>
          </cell>
          <cell r="M23">
            <v>1.0638000000000001</v>
          </cell>
          <cell r="N23">
            <v>1.0625</v>
          </cell>
          <cell r="Q23">
            <v>36882</v>
          </cell>
          <cell r="R23">
            <v>0</v>
          </cell>
          <cell r="S23">
            <v>0</v>
          </cell>
        </row>
        <row r="24">
          <cell r="B24">
            <v>36899</v>
          </cell>
          <cell r="C24">
            <v>1.3297999999999999</v>
          </cell>
          <cell r="D24">
            <v>1.3</v>
          </cell>
          <cell r="G24">
            <v>36899</v>
          </cell>
          <cell r="H24">
            <v>1.1789000000000001</v>
          </cell>
          <cell r="I24">
            <v>1.1499999999999999</v>
          </cell>
          <cell r="L24">
            <v>36899</v>
          </cell>
          <cell r="M24">
            <v>1.0643</v>
          </cell>
          <cell r="N24">
            <v>1.0625</v>
          </cell>
          <cell r="Q24">
            <v>36899</v>
          </cell>
          <cell r="R24">
            <v>0</v>
          </cell>
          <cell r="S24">
            <v>0</v>
          </cell>
        </row>
        <row r="25">
          <cell r="B25">
            <v>36945</v>
          </cell>
          <cell r="C25">
            <v>1.3340000000000001</v>
          </cell>
          <cell r="D25">
            <v>1.3</v>
          </cell>
          <cell r="G25">
            <v>36945</v>
          </cell>
          <cell r="H25">
            <v>1.1826000000000001</v>
          </cell>
          <cell r="I25">
            <v>1.1499999999999999</v>
          </cell>
          <cell r="L25">
            <v>36945</v>
          </cell>
          <cell r="M25">
            <v>1.0676000000000001</v>
          </cell>
          <cell r="N25">
            <v>1.0625</v>
          </cell>
          <cell r="Q25">
            <v>36945</v>
          </cell>
          <cell r="R25">
            <v>0</v>
          </cell>
          <cell r="S25">
            <v>0</v>
          </cell>
        </row>
        <row r="26">
          <cell r="B26">
            <v>36973</v>
          </cell>
          <cell r="C26">
            <v>1.3331</v>
          </cell>
          <cell r="D26">
            <v>1.3</v>
          </cell>
          <cell r="G26">
            <v>36973</v>
          </cell>
          <cell r="H26">
            <v>1.1819</v>
          </cell>
          <cell r="I26">
            <v>1.1499999999999999</v>
          </cell>
          <cell r="L26">
            <v>36973</v>
          </cell>
          <cell r="M26">
            <v>1.0669</v>
          </cell>
          <cell r="N26">
            <v>1.0625</v>
          </cell>
          <cell r="Q26">
            <v>36973</v>
          </cell>
          <cell r="R26">
            <v>0</v>
          </cell>
          <cell r="S26">
            <v>0</v>
          </cell>
        </row>
        <row r="27">
          <cell r="B27">
            <v>36987</v>
          </cell>
          <cell r="C27">
            <v>1.3336000000000001</v>
          </cell>
          <cell r="D27">
            <v>1.3</v>
          </cell>
          <cell r="G27">
            <v>36987</v>
          </cell>
          <cell r="H27">
            <v>1.1823000000000001</v>
          </cell>
          <cell r="I27">
            <v>1.1499999999999999</v>
          </cell>
          <cell r="L27">
            <v>36987</v>
          </cell>
          <cell r="M27">
            <v>1.0673000000000001</v>
          </cell>
          <cell r="N27">
            <v>1.0625</v>
          </cell>
          <cell r="Q27">
            <v>36987</v>
          </cell>
          <cell r="R27">
            <v>0</v>
          </cell>
          <cell r="S27">
            <v>0</v>
          </cell>
        </row>
        <row r="28">
          <cell r="B28">
            <v>37034</v>
          </cell>
          <cell r="C28">
            <v>1.3119000000000001</v>
          </cell>
          <cell r="D28">
            <v>1.3</v>
          </cell>
          <cell r="G28">
            <v>37034</v>
          </cell>
          <cell r="H28">
            <v>1.1631</v>
          </cell>
          <cell r="I28">
            <v>1.1499999999999999</v>
          </cell>
          <cell r="L28">
            <v>37034</v>
          </cell>
          <cell r="M28">
            <v>1.0499000000000001</v>
          </cell>
          <cell r="N28">
            <v>1.0625</v>
          </cell>
          <cell r="Q28">
            <v>37034</v>
          </cell>
          <cell r="R28">
            <v>0</v>
          </cell>
          <cell r="S28">
            <v>0</v>
          </cell>
        </row>
        <row r="29">
          <cell r="B29">
            <v>37065</v>
          </cell>
          <cell r="C29">
            <v>1.3108000000000002</v>
          </cell>
          <cell r="D29">
            <v>1.3</v>
          </cell>
          <cell r="G29">
            <v>37065</v>
          </cell>
          <cell r="H29">
            <v>1.1620999999999999</v>
          </cell>
          <cell r="I29">
            <v>1.1499999999999999</v>
          </cell>
          <cell r="L29">
            <v>37065</v>
          </cell>
          <cell r="M29">
            <v>1.0490999999999999</v>
          </cell>
          <cell r="N29">
            <v>1.0625</v>
          </cell>
          <cell r="Q29">
            <v>37065</v>
          </cell>
          <cell r="R29">
            <v>0</v>
          </cell>
          <cell r="S29">
            <v>0</v>
          </cell>
        </row>
        <row r="30">
          <cell r="B30">
            <v>37081</v>
          </cell>
          <cell r="C30">
            <v>1.2987</v>
          </cell>
          <cell r="D30">
            <v>1.3</v>
          </cell>
          <cell r="G30">
            <v>37081</v>
          </cell>
          <cell r="H30">
            <v>1.1514</v>
          </cell>
          <cell r="I30">
            <v>1.1499999999999999</v>
          </cell>
          <cell r="L30">
            <v>37081</v>
          </cell>
          <cell r="M30">
            <v>1.0394000000000001</v>
          </cell>
          <cell r="N30">
            <v>1.0625</v>
          </cell>
          <cell r="Q30">
            <v>37081</v>
          </cell>
          <cell r="R30">
            <v>0</v>
          </cell>
          <cell r="S30">
            <v>0</v>
          </cell>
        </row>
        <row r="31">
          <cell r="B31">
            <v>37126</v>
          </cell>
          <cell r="C31">
            <v>1.3125</v>
          </cell>
          <cell r="D31">
            <v>1.3</v>
          </cell>
          <cell r="G31">
            <v>37126</v>
          </cell>
          <cell r="H31">
            <v>1.1599999999999999</v>
          </cell>
          <cell r="I31">
            <v>1.1499999999999999</v>
          </cell>
          <cell r="L31">
            <v>37126</v>
          </cell>
          <cell r="M31">
            <v>1.0448</v>
          </cell>
          <cell r="N31">
            <v>1.0625</v>
          </cell>
          <cell r="Q31">
            <v>37126</v>
          </cell>
          <cell r="R31">
            <v>0</v>
          </cell>
          <cell r="S31">
            <v>0</v>
          </cell>
        </row>
        <row r="32">
          <cell r="B32">
            <v>37155</v>
          </cell>
          <cell r="C32">
            <v>1.3094999999999999</v>
          </cell>
          <cell r="D32">
            <v>1.3</v>
          </cell>
          <cell r="G32">
            <v>37155</v>
          </cell>
          <cell r="H32">
            <v>1.1573</v>
          </cell>
          <cell r="I32">
            <v>1.1499999999999999</v>
          </cell>
          <cell r="L32">
            <v>37155</v>
          </cell>
          <cell r="M32">
            <v>1.0422</v>
          </cell>
          <cell r="N32">
            <v>1.0625</v>
          </cell>
          <cell r="Q32">
            <v>37155</v>
          </cell>
          <cell r="R32">
            <v>0</v>
          </cell>
          <cell r="S32">
            <v>0</v>
          </cell>
        </row>
        <row r="33">
          <cell r="B33">
            <v>37169</v>
          </cell>
          <cell r="C33">
            <v>1.3082</v>
          </cell>
          <cell r="D33">
            <v>1.3</v>
          </cell>
          <cell r="G33">
            <v>37169</v>
          </cell>
          <cell r="H33">
            <v>1.1562000000000001</v>
          </cell>
          <cell r="I33">
            <v>1.1499999999999999</v>
          </cell>
          <cell r="L33">
            <v>37169</v>
          </cell>
          <cell r="M33">
            <v>1.0412000000000001</v>
          </cell>
          <cell r="N33">
            <v>1.0625</v>
          </cell>
          <cell r="Q33">
            <v>37169</v>
          </cell>
          <cell r="R33">
            <v>0</v>
          </cell>
          <cell r="S33">
            <v>0</v>
          </cell>
        </row>
        <row r="34">
          <cell r="B34">
            <v>37225</v>
          </cell>
          <cell r="C34">
            <v>1.3197999999999999</v>
          </cell>
          <cell r="D34">
            <v>1.3</v>
          </cell>
          <cell r="G34">
            <v>37225</v>
          </cell>
          <cell r="H34">
            <v>1.1629</v>
          </cell>
          <cell r="I34">
            <v>1.1499999999999999</v>
          </cell>
          <cell r="L34">
            <v>37225</v>
          </cell>
          <cell r="M34">
            <v>1.0448999999999999</v>
          </cell>
          <cell r="N34">
            <v>1.0625</v>
          </cell>
          <cell r="Q34">
            <v>37225</v>
          </cell>
          <cell r="R34">
            <v>0</v>
          </cell>
          <cell r="S34">
            <v>0</v>
          </cell>
        </row>
        <row r="35">
          <cell r="B35">
            <v>37246</v>
          </cell>
          <cell r="C35">
            <v>1.3128</v>
          </cell>
          <cell r="D35">
            <v>1.3</v>
          </cell>
          <cell r="G35">
            <v>37246</v>
          </cell>
          <cell r="H35">
            <v>1.1568000000000001</v>
          </cell>
          <cell r="I35">
            <v>1.1499999999999999</v>
          </cell>
          <cell r="L35">
            <v>37246</v>
          </cell>
          <cell r="M35">
            <v>1.0394000000000001</v>
          </cell>
          <cell r="N35">
            <v>1.0625</v>
          </cell>
          <cell r="Q35">
            <v>37246</v>
          </cell>
          <cell r="R35">
            <v>0</v>
          </cell>
          <cell r="S35">
            <v>0</v>
          </cell>
        </row>
        <row r="36">
          <cell r="B36">
            <v>37264</v>
          </cell>
          <cell r="C36">
            <v>1.3136000000000001</v>
          </cell>
          <cell r="D36">
            <v>1.3</v>
          </cell>
          <cell r="G36">
            <v>37264</v>
          </cell>
          <cell r="H36">
            <v>1.1575</v>
          </cell>
          <cell r="I36">
            <v>1.1499999999999999</v>
          </cell>
          <cell r="L36">
            <v>37264</v>
          </cell>
          <cell r="M36">
            <v>1.04</v>
          </cell>
          <cell r="N36">
            <v>1.0625</v>
          </cell>
          <cell r="Q36">
            <v>37264</v>
          </cell>
          <cell r="R36">
            <v>0</v>
          </cell>
          <cell r="S36">
            <v>0</v>
          </cell>
        </row>
        <row r="37">
          <cell r="B37">
            <v>37309</v>
          </cell>
          <cell r="C37">
            <v>1.3116000000000001</v>
          </cell>
          <cell r="D37">
            <v>1.3</v>
          </cell>
          <cell r="G37">
            <v>37309</v>
          </cell>
          <cell r="H37">
            <v>1.1518999999999999</v>
          </cell>
          <cell r="I37">
            <v>1.1499999999999999</v>
          </cell>
          <cell r="L37">
            <v>37309</v>
          </cell>
          <cell r="M37">
            <v>1.0325</v>
          </cell>
          <cell r="N37">
            <v>1.0625</v>
          </cell>
          <cell r="Q37">
            <v>37309</v>
          </cell>
          <cell r="R37">
            <v>0</v>
          </cell>
          <cell r="S37">
            <v>0</v>
          </cell>
        </row>
        <row r="38">
          <cell r="B38">
            <v>37337</v>
          </cell>
          <cell r="C38">
            <v>1.3123</v>
          </cell>
          <cell r="D38">
            <v>1.3</v>
          </cell>
          <cell r="G38">
            <v>37337</v>
          </cell>
          <cell r="H38">
            <v>1.1526000000000001</v>
          </cell>
          <cell r="I38">
            <v>1.1499999999999999</v>
          </cell>
          <cell r="L38">
            <v>37337</v>
          </cell>
          <cell r="M38">
            <v>1.0331000000000001</v>
          </cell>
          <cell r="N38">
            <v>1.0625</v>
          </cell>
          <cell r="Q38">
            <v>37337</v>
          </cell>
          <cell r="R38">
            <v>0</v>
          </cell>
          <cell r="S38">
            <v>0</v>
          </cell>
        </row>
        <row r="39">
          <cell r="B39">
            <v>37354</v>
          </cell>
          <cell r="C39">
            <v>1.3126</v>
          </cell>
          <cell r="D39">
            <v>1.3</v>
          </cell>
          <cell r="G39">
            <v>37354</v>
          </cell>
          <cell r="H39">
            <v>1.1528</v>
          </cell>
          <cell r="I39">
            <v>1.1499999999999999</v>
          </cell>
          <cell r="L39">
            <v>37354</v>
          </cell>
          <cell r="M39">
            <v>1.0333000000000001</v>
          </cell>
          <cell r="N39">
            <v>1.0625</v>
          </cell>
          <cell r="Q39">
            <v>37354</v>
          </cell>
          <cell r="R39">
            <v>0</v>
          </cell>
          <cell r="S39">
            <v>0</v>
          </cell>
        </row>
        <row r="40">
          <cell r="B40">
            <v>37399</v>
          </cell>
          <cell r="C40">
            <v>1.3322999999999998</v>
          </cell>
          <cell r="D40">
            <v>1.3</v>
          </cell>
          <cell r="G40">
            <v>37399</v>
          </cell>
          <cell r="H40">
            <v>1.165</v>
          </cell>
          <cell r="I40">
            <v>1.1499999999999999</v>
          </cell>
          <cell r="L40">
            <v>37399</v>
          </cell>
          <cell r="M40">
            <v>1.0407999999999999</v>
          </cell>
          <cell r="N40">
            <v>1.0625</v>
          </cell>
          <cell r="Q40">
            <v>37399</v>
          </cell>
          <cell r="R40">
            <v>0</v>
          </cell>
          <cell r="S40">
            <v>0</v>
          </cell>
        </row>
        <row r="41">
          <cell r="B41">
            <v>37428</v>
          </cell>
          <cell r="C41">
            <v>1.3330000000000002</v>
          </cell>
          <cell r="D41">
            <v>1.3</v>
          </cell>
          <cell r="G41">
            <v>37428</v>
          </cell>
          <cell r="H41">
            <v>1.1656</v>
          </cell>
          <cell r="I41">
            <v>1.1499999999999999</v>
          </cell>
          <cell r="L41">
            <v>37428</v>
          </cell>
          <cell r="M41">
            <v>1.0412999999999999</v>
          </cell>
          <cell r="N41">
            <v>1.0625</v>
          </cell>
          <cell r="Q41">
            <v>37428</v>
          </cell>
          <cell r="R41">
            <v>0</v>
          </cell>
          <cell r="S41">
            <v>0</v>
          </cell>
        </row>
        <row r="42">
          <cell r="B42">
            <v>37445</v>
          </cell>
          <cell r="C42">
            <v>1.3312999999999999</v>
          </cell>
          <cell r="D42">
            <v>1.3</v>
          </cell>
          <cell r="G42">
            <v>37445</v>
          </cell>
          <cell r="H42">
            <v>1.1640999999999999</v>
          </cell>
          <cell r="I42">
            <v>1.1499999999999999</v>
          </cell>
          <cell r="L42">
            <v>37445</v>
          </cell>
          <cell r="M42">
            <v>1.0401</v>
          </cell>
          <cell r="N42">
            <v>1.0625</v>
          </cell>
          <cell r="Q42">
            <v>37445</v>
          </cell>
          <cell r="R42">
            <v>0</v>
          </cell>
          <cell r="S42">
            <v>0</v>
          </cell>
        </row>
        <row r="43">
          <cell r="B43">
            <v>37522</v>
          </cell>
          <cell r="C43">
            <v>1.3573999999999999</v>
          </cell>
          <cell r="D43">
            <v>1.3</v>
          </cell>
          <cell r="G43">
            <v>37522</v>
          </cell>
          <cell r="H43">
            <v>1.1828000000000001</v>
          </cell>
          <cell r="I43">
            <v>1.1499999999999999</v>
          </cell>
          <cell r="L43">
            <v>37522</v>
          </cell>
          <cell r="M43">
            <v>1.054</v>
          </cell>
          <cell r="N43">
            <v>1.0625</v>
          </cell>
          <cell r="Q43">
            <v>37522</v>
          </cell>
          <cell r="R43">
            <v>0</v>
          </cell>
          <cell r="S43">
            <v>0</v>
          </cell>
        </row>
        <row r="44">
          <cell r="B44">
            <v>37536</v>
          </cell>
          <cell r="C44">
            <v>1.357</v>
          </cell>
          <cell r="D44">
            <v>1.3</v>
          </cell>
          <cell r="G44">
            <v>37536</v>
          </cell>
          <cell r="H44">
            <v>1.1825000000000001</v>
          </cell>
          <cell r="I44">
            <v>1.1499999999999999</v>
          </cell>
          <cell r="L44">
            <v>37536</v>
          </cell>
          <cell r="M44">
            <v>1.0537000000000001</v>
          </cell>
          <cell r="N44">
            <v>1.0625</v>
          </cell>
          <cell r="Q44">
            <v>37536</v>
          </cell>
          <cell r="R44">
            <v>0</v>
          </cell>
          <cell r="S44">
            <v>0</v>
          </cell>
        </row>
      </sheetData>
      <sheetData sheetId="4"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Interest Coverage</v>
          </cell>
        </row>
        <row r="2">
          <cell r="B2">
            <v>36242</v>
          </cell>
          <cell r="C2">
            <v>1.4983000000000002</v>
          </cell>
          <cell r="D2">
            <v>1.4</v>
          </cell>
          <cell r="G2">
            <v>36242</v>
          </cell>
          <cell r="H2">
            <v>1.3119000000000001</v>
          </cell>
          <cell r="I2">
            <v>1.3</v>
          </cell>
          <cell r="L2">
            <v>36242</v>
          </cell>
          <cell r="M2">
            <v>1.1105</v>
          </cell>
          <cell r="N2">
            <v>1.1200000000000001</v>
          </cell>
          <cell r="Q2">
            <v>36242</v>
          </cell>
          <cell r="R2">
            <v>0</v>
          </cell>
          <cell r="S2">
            <v>0</v>
          </cell>
        </row>
        <row r="3">
          <cell r="B3">
            <v>36273</v>
          </cell>
          <cell r="C3">
            <v>1.4968000000000001</v>
          </cell>
          <cell r="D3">
            <v>1.4</v>
          </cell>
          <cell r="G3">
            <v>36273</v>
          </cell>
          <cell r="H3">
            <v>1.3106</v>
          </cell>
          <cell r="I3">
            <v>1.3</v>
          </cell>
          <cell r="L3">
            <v>36273</v>
          </cell>
          <cell r="M3">
            <v>1.1093999999999999</v>
          </cell>
          <cell r="N3">
            <v>1.1200000000000001</v>
          </cell>
          <cell r="Q3">
            <v>36273</v>
          </cell>
          <cell r="R3">
            <v>0</v>
          </cell>
          <cell r="S3">
            <v>0</v>
          </cell>
        </row>
        <row r="4">
          <cell r="B4">
            <v>36303</v>
          </cell>
          <cell r="C4">
            <v>1.4855</v>
          </cell>
          <cell r="D4">
            <v>1.4</v>
          </cell>
          <cell r="G4">
            <v>36303</v>
          </cell>
          <cell r="H4">
            <v>1.3007</v>
          </cell>
          <cell r="I4">
            <v>1.3</v>
          </cell>
          <cell r="L4">
            <v>36303</v>
          </cell>
          <cell r="M4">
            <v>1.101</v>
          </cell>
          <cell r="N4">
            <v>1.1200000000000001</v>
          </cell>
          <cell r="Q4">
            <v>36303</v>
          </cell>
          <cell r="R4">
            <v>0</v>
          </cell>
          <cell r="S4">
            <v>0</v>
          </cell>
        </row>
        <row r="5">
          <cell r="B5">
            <v>36334</v>
          </cell>
          <cell r="C5">
            <v>1.5503</v>
          </cell>
          <cell r="D5">
            <v>1.4</v>
          </cell>
          <cell r="G5">
            <v>36334</v>
          </cell>
          <cell r="H5">
            <v>1.3574000000000002</v>
          </cell>
          <cell r="I5">
            <v>1.3</v>
          </cell>
          <cell r="L5">
            <v>36334</v>
          </cell>
          <cell r="M5">
            <v>1.149</v>
          </cell>
          <cell r="N5">
            <v>1.1200000000000001</v>
          </cell>
          <cell r="Q5">
            <v>36334</v>
          </cell>
          <cell r="R5">
            <v>0</v>
          </cell>
          <cell r="S5">
            <v>0</v>
          </cell>
        </row>
        <row r="6">
          <cell r="B6">
            <v>36356</v>
          </cell>
          <cell r="C6">
            <v>1.5731999999999999</v>
          </cell>
          <cell r="D6">
            <v>1.4</v>
          </cell>
          <cell r="G6">
            <v>36356</v>
          </cell>
          <cell r="H6">
            <v>1.3774999999999999</v>
          </cell>
          <cell r="I6">
            <v>1.3</v>
          </cell>
          <cell r="L6">
            <v>36356</v>
          </cell>
          <cell r="M6">
            <v>1.1659999999999999</v>
          </cell>
          <cell r="N6">
            <v>1.1200000000000001</v>
          </cell>
          <cell r="Q6">
            <v>36356</v>
          </cell>
          <cell r="R6">
            <v>0</v>
          </cell>
          <cell r="S6">
            <v>0</v>
          </cell>
        </row>
        <row r="7">
          <cell r="B7">
            <v>36395</v>
          </cell>
          <cell r="C7">
            <v>1.4891000000000001</v>
          </cell>
          <cell r="D7">
            <v>1.4</v>
          </cell>
          <cell r="G7">
            <v>36395</v>
          </cell>
          <cell r="H7">
            <v>1.3038000000000001</v>
          </cell>
          <cell r="I7">
            <v>1.3</v>
          </cell>
          <cell r="L7">
            <v>36395</v>
          </cell>
          <cell r="M7">
            <v>1.1037000000000001</v>
          </cell>
          <cell r="N7">
            <v>1.1200000000000001</v>
          </cell>
          <cell r="Q7">
            <v>36395</v>
          </cell>
          <cell r="R7">
            <v>0</v>
          </cell>
          <cell r="S7">
            <v>0</v>
          </cell>
        </row>
        <row r="8">
          <cell r="B8">
            <v>36426</v>
          </cell>
          <cell r="C8">
            <v>1.6869000000000001</v>
          </cell>
          <cell r="D8">
            <v>1.4</v>
          </cell>
          <cell r="G8">
            <v>36426</v>
          </cell>
          <cell r="H8">
            <v>1.4772999999999998</v>
          </cell>
          <cell r="I8">
            <v>1.3</v>
          </cell>
          <cell r="L8">
            <v>36426</v>
          </cell>
          <cell r="M8">
            <v>1.2515000000000001</v>
          </cell>
          <cell r="N8">
            <v>1.1200000000000001</v>
          </cell>
          <cell r="Q8">
            <v>36426</v>
          </cell>
          <cell r="R8">
            <v>0</v>
          </cell>
          <cell r="S8">
            <v>0</v>
          </cell>
        </row>
        <row r="9">
          <cell r="B9">
            <v>36448</v>
          </cell>
          <cell r="C9">
            <v>1.8959000000000001</v>
          </cell>
          <cell r="D9">
            <v>1.4</v>
          </cell>
          <cell r="G9">
            <v>36448</v>
          </cell>
          <cell r="H9">
            <v>1.6603000000000001</v>
          </cell>
          <cell r="I9">
            <v>1.3</v>
          </cell>
          <cell r="L9">
            <v>36448</v>
          </cell>
          <cell r="M9">
            <v>1.4065000000000001</v>
          </cell>
          <cell r="N9">
            <v>1.1200000000000001</v>
          </cell>
          <cell r="Q9">
            <v>36448</v>
          </cell>
          <cell r="R9">
            <v>0</v>
          </cell>
          <cell r="S9">
            <v>0</v>
          </cell>
        </row>
        <row r="10">
          <cell r="B10">
            <v>36487</v>
          </cell>
          <cell r="C10">
            <v>1.6156999999999999</v>
          </cell>
          <cell r="D10">
            <v>1.4</v>
          </cell>
          <cell r="G10">
            <v>36487</v>
          </cell>
          <cell r="H10">
            <v>1.4171</v>
          </cell>
          <cell r="I10">
            <v>1.3</v>
          </cell>
          <cell r="L10">
            <v>36487</v>
          </cell>
          <cell r="M10">
            <v>1.2099</v>
          </cell>
          <cell r="N10">
            <v>1.1200000000000001</v>
          </cell>
          <cell r="Q10">
            <v>36487</v>
          </cell>
          <cell r="R10">
            <v>0</v>
          </cell>
          <cell r="S10">
            <v>0</v>
          </cell>
        </row>
        <row r="11">
          <cell r="B11">
            <v>36517</v>
          </cell>
          <cell r="C11">
            <v>1.5327999999999999</v>
          </cell>
          <cell r="D11">
            <v>1.4</v>
          </cell>
          <cell r="G11">
            <v>36517</v>
          </cell>
          <cell r="H11">
            <v>1.3444</v>
          </cell>
          <cell r="I11">
            <v>1.3</v>
          </cell>
          <cell r="L11">
            <v>36517</v>
          </cell>
          <cell r="M11">
            <v>1.1477999999999999</v>
          </cell>
          <cell r="N11">
            <v>1.1200000000000001</v>
          </cell>
          <cell r="Q11">
            <v>36517</v>
          </cell>
          <cell r="R11">
            <v>0</v>
          </cell>
          <cell r="S11">
            <v>0</v>
          </cell>
        </row>
        <row r="12">
          <cell r="B12">
            <v>36535</v>
          </cell>
          <cell r="C12">
            <v>1.6268</v>
          </cell>
          <cell r="D12">
            <v>1.4</v>
          </cell>
          <cell r="G12">
            <v>36535</v>
          </cell>
          <cell r="H12">
            <v>1.4269000000000001</v>
          </cell>
          <cell r="I12">
            <v>1.3</v>
          </cell>
          <cell r="L12">
            <v>36535</v>
          </cell>
          <cell r="M12">
            <v>1.2181999999999999</v>
          </cell>
          <cell r="N12">
            <v>1.1200000000000001</v>
          </cell>
          <cell r="Q12">
            <v>36535</v>
          </cell>
          <cell r="R12">
            <v>0</v>
          </cell>
          <cell r="S12">
            <v>0</v>
          </cell>
        </row>
        <row r="13">
          <cell r="B13">
            <v>36579</v>
          </cell>
          <cell r="C13">
            <v>1.5194999999999999</v>
          </cell>
          <cell r="D13">
            <v>1.4</v>
          </cell>
          <cell r="G13">
            <v>36579</v>
          </cell>
          <cell r="H13">
            <v>1.3327000000000002</v>
          </cell>
          <cell r="I13">
            <v>1.3</v>
          </cell>
          <cell r="L13">
            <v>36579</v>
          </cell>
          <cell r="M13">
            <v>1.1378000000000001</v>
          </cell>
          <cell r="N13">
            <v>1.1200000000000001</v>
          </cell>
          <cell r="Q13">
            <v>36579</v>
          </cell>
          <cell r="R13">
            <v>0</v>
          </cell>
          <cell r="S13">
            <v>0</v>
          </cell>
        </row>
        <row r="14">
          <cell r="B14">
            <v>36608</v>
          </cell>
          <cell r="C14">
            <v>1.6318000000000001</v>
          </cell>
          <cell r="D14">
            <v>1.4</v>
          </cell>
          <cell r="G14">
            <v>36608</v>
          </cell>
          <cell r="H14">
            <v>1.4309000000000001</v>
          </cell>
          <cell r="I14">
            <v>1.3</v>
          </cell>
          <cell r="L14">
            <v>36608</v>
          </cell>
          <cell r="M14">
            <v>1.2202999999999999</v>
          </cell>
          <cell r="N14">
            <v>1.1200000000000001</v>
          </cell>
          <cell r="Q14">
            <v>36608</v>
          </cell>
          <cell r="R14">
            <v>0</v>
          </cell>
          <cell r="S14">
            <v>0</v>
          </cell>
        </row>
        <row r="15">
          <cell r="B15">
            <v>36633</v>
          </cell>
          <cell r="C15">
            <v>1.7391000000000001</v>
          </cell>
          <cell r="D15">
            <v>1.4</v>
          </cell>
          <cell r="G15">
            <v>36633</v>
          </cell>
          <cell r="H15">
            <v>1.5249999999999999</v>
          </cell>
          <cell r="I15">
            <v>1.3</v>
          </cell>
          <cell r="L15">
            <v>36633</v>
          </cell>
          <cell r="M15">
            <v>1.3006</v>
          </cell>
          <cell r="N15">
            <v>1.1200000000000001</v>
          </cell>
          <cell r="Q15">
            <v>36633</v>
          </cell>
          <cell r="R15">
            <v>0</v>
          </cell>
          <cell r="S15">
            <v>0</v>
          </cell>
        </row>
        <row r="16">
          <cell r="B16">
            <v>36669</v>
          </cell>
          <cell r="C16">
            <v>1.5441</v>
          </cell>
          <cell r="D16">
            <v>1.4</v>
          </cell>
          <cell r="G16">
            <v>36669</v>
          </cell>
          <cell r="H16">
            <v>1.3544999999999998</v>
          </cell>
          <cell r="I16">
            <v>1.3</v>
          </cell>
          <cell r="L16">
            <v>36669</v>
          </cell>
          <cell r="M16">
            <v>1.1573</v>
          </cell>
          <cell r="N16">
            <v>1.1200000000000001</v>
          </cell>
          <cell r="Q16">
            <v>36669</v>
          </cell>
          <cell r="R16">
            <v>0</v>
          </cell>
          <cell r="S16">
            <v>0</v>
          </cell>
        </row>
        <row r="17">
          <cell r="B17">
            <v>36700</v>
          </cell>
          <cell r="C17">
            <v>1.629</v>
          </cell>
          <cell r="D17">
            <v>1.4</v>
          </cell>
          <cell r="G17">
            <v>36700</v>
          </cell>
          <cell r="H17">
            <v>1.4284999999999999</v>
          </cell>
          <cell r="I17">
            <v>1.3</v>
          </cell>
          <cell r="L17">
            <v>36700</v>
          </cell>
          <cell r="M17">
            <v>1.2181999999999999</v>
          </cell>
          <cell r="N17">
            <v>1.1200000000000001</v>
          </cell>
          <cell r="Q17">
            <v>36700</v>
          </cell>
          <cell r="R17">
            <v>0</v>
          </cell>
          <cell r="S17">
            <v>0</v>
          </cell>
        </row>
        <row r="18">
          <cell r="B18">
            <v>36717</v>
          </cell>
          <cell r="C18">
            <v>1.6879</v>
          </cell>
          <cell r="D18">
            <v>1.4</v>
          </cell>
          <cell r="G18">
            <v>36717</v>
          </cell>
          <cell r="H18">
            <v>1.4806999999999999</v>
          </cell>
          <cell r="I18">
            <v>1.3</v>
          </cell>
          <cell r="L18">
            <v>36717</v>
          </cell>
          <cell r="M18">
            <v>1.2651999999999999</v>
          </cell>
          <cell r="N18">
            <v>1.1200000000000001</v>
          </cell>
          <cell r="Q18">
            <v>36717</v>
          </cell>
          <cell r="R18">
            <v>0</v>
          </cell>
          <cell r="S18">
            <v>0</v>
          </cell>
        </row>
        <row r="19">
          <cell r="B19">
            <v>36761</v>
          </cell>
          <cell r="C19">
            <v>1.6977000000000002</v>
          </cell>
          <cell r="D19">
            <v>1.4</v>
          </cell>
          <cell r="G19">
            <v>36761</v>
          </cell>
          <cell r="H19">
            <v>1.4903</v>
          </cell>
          <cell r="I19">
            <v>1.3</v>
          </cell>
          <cell r="L19">
            <v>36761</v>
          </cell>
          <cell r="M19">
            <v>1.2775000000000001</v>
          </cell>
          <cell r="N19">
            <v>1.1200000000000001</v>
          </cell>
          <cell r="Q19">
            <v>36761</v>
          </cell>
          <cell r="R19">
            <v>0</v>
          </cell>
          <cell r="S19">
            <v>0</v>
          </cell>
        </row>
        <row r="20">
          <cell r="B20">
            <v>36792</v>
          </cell>
          <cell r="C20">
            <v>1.8129</v>
          </cell>
          <cell r="D20">
            <v>1.4</v>
          </cell>
          <cell r="G20">
            <v>36792</v>
          </cell>
          <cell r="H20">
            <v>1.5913999999999999</v>
          </cell>
          <cell r="I20">
            <v>1.3</v>
          </cell>
          <cell r="L20">
            <v>36792</v>
          </cell>
          <cell r="M20">
            <v>1.3641000000000001</v>
          </cell>
          <cell r="N20">
            <v>1.1200000000000001</v>
          </cell>
          <cell r="Q20">
            <v>36792</v>
          </cell>
          <cell r="R20">
            <v>0</v>
          </cell>
          <cell r="S20">
            <v>0</v>
          </cell>
        </row>
        <row r="21">
          <cell r="B21">
            <v>36805</v>
          </cell>
          <cell r="C21">
            <v>1.8116000000000001</v>
          </cell>
          <cell r="D21">
            <v>1.4</v>
          </cell>
          <cell r="G21">
            <v>36805</v>
          </cell>
          <cell r="H21">
            <v>1.5900999999999998</v>
          </cell>
          <cell r="I21">
            <v>1.3</v>
          </cell>
          <cell r="L21">
            <v>36805</v>
          </cell>
          <cell r="M21">
            <v>1.3630000000000002</v>
          </cell>
          <cell r="N21">
            <v>1.1200000000000001</v>
          </cell>
          <cell r="Q21">
            <v>36805</v>
          </cell>
          <cell r="R21">
            <v>0</v>
          </cell>
          <cell r="S21">
            <v>0</v>
          </cell>
        </row>
        <row r="22">
          <cell r="B22">
            <v>36852</v>
          </cell>
          <cell r="C22">
            <v>1.4950000000000001</v>
          </cell>
          <cell r="D22">
            <v>1.4</v>
          </cell>
          <cell r="G22">
            <v>36852</v>
          </cell>
          <cell r="H22">
            <v>1.3224</v>
          </cell>
          <cell r="I22">
            <v>1.3</v>
          </cell>
          <cell r="L22">
            <v>36852</v>
          </cell>
          <cell r="M22">
            <v>1.1254999999999999</v>
          </cell>
          <cell r="N22">
            <v>1.1200000000000001</v>
          </cell>
          <cell r="Q22">
            <v>36852</v>
          </cell>
          <cell r="R22">
            <v>0</v>
          </cell>
          <cell r="S22">
            <v>0</v>
          </cell>
        </row>
        <row r="23">
          <cell r="B23">
            <v>36882</v>
          </cell>
          <cell r="C23">
            <v>1.6296000000000002</v>
          </cell>
          <cell r="D23">
            <v>1.4</v>
          </cell>
          <cell r="G23">
            <v>36882</v>
          </cell>
          <cell r="H23">
            <v>1.4306000000000001</v>
          </cell>
          <cell r="I23">
            <v>1.3</v>
          </cell>
          <cell r="L23">
            <v>36882</v>
          </cell>
          <cell r="M23">
            <v>1.2268000000000001</v>
          </cell>
          <cell r="N23">
            <v>1.1200000000000001</v>
          </cell>
          <cell r="Q23">
            <v>36882</v>
          </cell>
          <cell r="R23">
            <v>0</v>
          </cell>
          <cell r="S23">
            <v>0</v>
          </cell>
        </row>
        <row r="24">
          <cell r="B24">
            <v>36899</v>
          </cell>
          <cell r="C24">
            <v>1.5921000000000001</v>
          </cell>
          <cell r="D24">
            <v>1.4</v>
          </cell>
          <cell r="G24">
            <v>36899</v>
          </cell>
          <cell r="H24">
            <v>1.4</v>
          </cell>
          <cell r="I24">
            <v>1.3</v>
          </cell>
          <cell r="L24">
            <v>36899</v>
          </cell>
          <cell r="M24">
            <v>1.1986000000000001</v>
          </cell>
          <cell r="N24">
            <v>1.1200000000000001</v>
          </cell>
          <cell r="Q24">
            <v>36899</v>
          </cell>
          <cell r="R24">
            <v>0</v>
          </cell>
          <cell r="S24">
            <v>0</v>
          </cell>
        </row>
        <row r="25">
          <cell r="B25">
            <v>36945</v>
          </cell>
          <cell r="C25">
            <v>1.7321000000000002</v>
          </cell>
          <cell r="D25">
            <v>1.4</v>
          </cell>
          <cell r="G25">
            <v>36945</v>
          </cell>
          <cell r="H25">
            <v>1.5179</v>
          </cell>
          <cell r="I25">
            <v>1.3</v>
          </cell>
          <cell r="L25">
            <v>36945</v>
          </cell>
          <cell r="M25">
            <v>1.2904</v>
          </cell>
          <cell r="N25">
            <v>1.1200000000000001</v>
          </cell>
          <cell r="Q25">
            <v>36945</v>
          </cell>
          <cell r="R25">
            <v>0</v>
          </cell>
          <cell r="S25">
            <v>0</v>
          </cell>
        </row>
        <row r="26">
          <cell r="B26">
            <v>36973</v>
          </cell>
          <cell r="C26">
            <v>1.7665999999999999</v>
          </cell>
          <cell r="D26">
            <v>1.4</v>
          </cell>
          <cell r="G26">
            <v>36973</v>
          </cell>
          <cell r="H26">
            <v>1.5482</v>
          </cell>
          <cell r="I26">
            <v>1.3</v>
          </cell>
          <cell r="L26">
            <v>36973</v>
          </cell>
          <cell r="M26">
            <v>1.3162</v>
          </cell>
          <cell r="N26">
            <v>1.1200000000000001</v>
          </cell>
          <cell r="Q26">
            <v>36973</v>
          </cell>
          <cell r="R26">
            <v>0</v>
          </cell>
          <cell r="S26">
            <v>0</v>
          </cell>
        </row>
        <row r="27">
          <cell r="B27">
            <v>36987</v>
          </cell>
          <cell r="C27">
            <v>1.7986000000000002</v>
          </cell>
          <cell r="D27">
            <v>1.4</v>
          </cell>
          <cell r="G27">
            <v>36987</v>
          </cell>
          <cell r="H27">
            <v>1.5762</v>
          </cell>
          <cell r="I27">
            <v>1.3</v>
          </cell>
          <cell r="L27">
            <v>36987</v>
          </cell>
          <cell r="M27">
            <v>1.34</v>
          </cell>
          <cell r="N27">
            <v>1.1200000000000001</v>
          </cell>
          <cell r="Q27">
            <v>36987</v>
          </cell>
          <cell r="R27">
            <v>0</v>
          </cell>
          <cell r="S27">
            <v>0</v>
          </cell>
        </row>
        <row r="28">
          <cell r="B28">
            <v>37034</v>
          </cell>
          <cell r="C28">
            <v>1.6863999999999999</v>
          </cell>
          <cell r="D28">
            <v>1.4</v>
          </cell>
          <cell r="G28">
            <v>37034</v>
          </cell>
          <cell r="H28">
            <v>1.4750000000000001</v>
          </cell>
          <cell r="I28">
            <v>1.3</v>
          </cell>
          <cell r="L28">
            <v>37034</v>
          </cell>
          <cell r="M28">
            <v>1.2419</v>
          </cell>
          <cell r="N28">
            <v>1.1200000000000001</v>
          </cell>
          <cell r="Q28">
            <v>37034</v>
          </cell>
          <cell r="R28">
            <v>0</v>
          </cell>
          <cell r="S28">
            <v>0</v>
          </cell>
        </row>
        <row r="29">
          <cell r="B29">
            <v>37065</v>
          </cell>
          <cell r="C29">
            <v>1.7261000000000002</v>
          </cell>
          <cell r="D29">
            <v>1.4</v>
          </cell>
          <cell r="G29">
            <v>37065</v>
          </cell>
          <cell r="H29">
            <v>1.5097</v>
          </cell>
          <cell r="I29">
            <v>1.3</v>
          </cell>
          <cell r="L29">
            <v>37065</v>
          </cell>
          <cell r="M29">
            <v>1.2711000000000001</v>
          </cell>
          <cell r="N29">
            <v>1.1200000000000001</v>
          </cell>
          <cell r="Q29">
            <v>37065</v>
          </cell>
          <cell r="R29">
            <v>0</v>
          </cell>
          <cell r="S29">
            <v>0</v>
          </cell>
        </row>
        <row r="30">
          <cell r="B30">
            <v>37081</v>
          </cell>
          <cell r="C30">
            <v>1.7261000000000002</v>
          </cell>
          <cell r="D30">
            <v>1.4</v>
          </cell>
          <cell r="G30">
            <v>37081</v>
          </cell>
          <cell r="H30">
            <v>1.5097</v>
          </cell>
          <cell r="I30">
            <v>1.3</v>
          </cell>
          <cell r="L30">
            <v>37081</v>
          </cell>
          <cell r="M30">
            <v>1.2711000000000001</v>
          </cell>
          <cell r="N30">
            <v>1.1200000000000001</v>
          </cell>
          <cell r="Q30">
            <v>37081</v>
          </cell>
          <cell r="R30">
            <v>0</v>
          </cell>
          <cell r="S30">
            <v>0</v>
          </cell>
        </row>
        <row r="31">
          <cell r="B31">
            <v>37126</v>
          </cell>
          <cell r="C31">
            <v>1.8016999999999999</v>
          </cell>
          <cell r="D31">
            <v>1.4</v>
          </cell>
          <cell r="G31">
            <v>37126</v>
          </cell>
          <cell r="H31">
            <v>1.5655000000000001</v>
          </cell>
          <cell r="I31">
            <v>1.3</v>
          </cell>
          <cell r="L31">
            <v>37126</v>
          </cell>
          <cell r="M31">
            <v>1.2934000000000001</v>
          </cell>
          <cell r="N31">
            <v>1.1200000000000001</v>
          </cell>
          <cell r="Q31">
            <v>37126</v>
          </cell>
          <cell r="R31">
            <v>0</v>
          </cell>
          <cell r="S31">
            <v>0</v>
          </cell>
        </row>
        <row r="32">
          <cell r="B32">
            <v>37155</v>
          </cell>
          <cell r="C32">
            <v>1.9087000000000001</v>
          </cell>
          <cell r="D32">
            <v>1.4</v>
          </cell>
          <cell r="G32">
            <v>37155</v>
          </cell>
          <cell r="H32">
            <v>1.6585000000000001</v>
          </cell>
          <cell r="I32">
            <v>1.3</v>
          </cell>
          <cell r="L32">
            <v>37155</v>
          </cell>
          <cell r="M32">
            <v>1.3703000000000001</v>
          </cell>
          <cell r="N32">
            <v>1.1200000000000001</v>
          </cell>
          <cell r="Q32">
            <v>37155</v>
          </cell>
          <cell r="R32">
            <v>0</v>
          </cell>
          <cell r="S32">
            <v>0</v>
          </cell>
        </row>
        <row r="33">
          <cell r="B33">
            <v>37169</v>
          </cell>
          <cell r="C33">
            <v>1.9092</v>
          </cell>
          <cell r="D33">
            <v>1.4</v>
          </cell>
          <cell r="G33">
            <v>37169</v>
          </cell>
          <cell r="H33">
            <v>1.659</v>
          </cell>
          <cell r="I33">
            <v>1.3</v>
          </cell>
          <cell r="L33">
            <v>37169</v>
          </cell>
          <cell r="M33">
            <v>1.3707</v>
          </cell>
          <cell r="N33">
            <v>1.1200000000000001</v>
          </cell>
          <cell r="Q33">
            <v>37169</v>
          </cell>
          <cell r="R33">
            <v>0</v>
          </cell>
          <cell r="S33">
            <v>0</v>
          </cell>
        </row>
        <row r="34">
          <cell r="B34">
            <v>37225</v>
          </cell>
          <cell r="C34">
            <v>2.5794999999999999</v>
          </cell>
          <cell r="D34">
            <v>1.4</v>
          </cell>
          <cell r="G34">
            <v>37225</v>
          </cell>
          <cell r="H34">
            <v>2.2172000000000001</v>
          </cell>
          <cell r="I34">
            <v>1.3</v>
          </cell>
          <cell r="L34">
            <v>37225</v>
          </cell>
          <cell r="M34">
            <v>1.7619</v>
          </cell>
          <cell r="N34">
            <v>1.1200000000000001</v>
          </cell>
          <cell r="Q34">
            <v>37225</v>
          </cell>
          <cell r="R34">
            <v>0</v>
          </cell>
          <cell r="S34">
            <v>0</v>
          </cell>
        </row>
        <row r="35">
          <cell r="B35">
            <v>37246</v>
          </cell>
          <cell r="C35">
            <v>2.319</v>
          </cell>
          <cell r="D35">
            <v>1.4</v>
          </cell>
          <cell r="G35">
            <v>37246</v>
          </cell>
          <cell r="H35">
            <v>1.9933000000000001</v>
          </cell>
          <cell r="I35">
            <v>1.3</v>
          </cell>
          <cell r="L35">
            <v>37246</v>
          </cell>
          <cell r="M35">
            <v>1.5840000000000001</v>
          </cell>
          <cell r="N35">
            <v>1.1200000000000001</v>
          </cell>
          <cell r="Q35">
            <v>37246</v>
          </cell>
          <cell r="R35">
            <v>0</v>
          </cell>
          <cell r="S35">
            <v>0</v>
          </cell>
        </row>
        <row r="36">
          <cell r="B36">
            <v>37264</v>
          </cell>
          <cell r="C36">
            <v>2.3199999999999998</v>
          </cell>
          <cell r="D36">
            <v>1.4</v>
          </cell>
          <cell r="G36">
            <v>37264</v>
          </cell>
          <cell r="H36">
            <v>1.9942</v>
          </cell>
          <cell r="I36">
            <v>1.3</v>
          </cell>
          <cell r="L36">
            <v>37264</v>
          </cell>
          <cell r="M36">
            <v>1.5847</v>
          </cell>
          <cell r="N36">
            <v>1.1200000000000001</v>
          </cell>
          <cell r="Q36">
            <v>37264</v>
          </cell>
          <cell r="R36">
            <v>0</v>
          </cell>
          <cell r="S36">
            <v>0</v>
          </cell>
        </row>
        <row r="37">
          <cell r="B37">
            <v>37309</v>
          </cell>
          <cell r="C37">
            <v>2.5493000000000001</v>
          </cell>
          <cell r="D37">
            <v>1.4</v>
          </cell>
          <cell r="G37">
            <v>37309</v>
          </cell>
          <cell r="H37">
            <v>2.1697000000000002</v>
          </cell>
          <cell r="I37">
            <v>1.3</v>
          </cell>
          <cell r="L37">
            <v>37309</v>
          </cell>
          <cell r="M37">
            <v>1.6695</v>
          </cell>
          <cell r="N37">
            <v>1.1200000000000001</v>
          </cell>
          <cell r="Q37">
            <v>37309</v>
          </cell>
          <cell r="R37">
            <v>0</v>
          </cell>
          <cell r="S37">
            <v>0</v>
          </cell>
        </row>
        <row r="38">
          <cell r="B38">
            <v>37337</v>
          </cell>
          <cell r="C38">
            <v>2.5939999999999999</v>
          </cell>
          <cell r="D38">
            <v>1.4</v>
          </cell>
          <cell r="G38">
            <v>37337</v>
          </cell>
          <cell r="H38">
            <v>2.2077</v>
          </cell>
          <cell r="I38">
            <v>1.3</v>
          </cell>
          <cell r="L38">
            <v>37337</v>
          </cell>
          <cell r="M38">
            <v>1.6987000000000001</v>
          </cell>
          <cell r="N38">
            <v>1.1200000000000001</v>
          </cell>
          <cell r="Q38">
            <v>37337</v>
          </cell>
          <cell r="R38">
            <v>0</v>
          </cell>
          <cell r="S38">
            <v>0</v>
          </cell>
        </row>
        <row r="39">
          <cell r="B39">
            <v>37354</v>
          </cell>
          <cell r="C39">
            <v>2.7010000000000001</v>
          </cell>
          <cell r="D39">
            <v>1.4</v>
          </cell>
          <cell r="G39">
            <v>37354</v>
          </cell>
          <cell r="H39">
            <v>2.2987000000000002</v>
          </cell>
          <cell r="I39">
            <v>1.3</v>
          </cell>
          <cell r="L39">
            <v>37354</v>
          </cell>
          <cell r="M39">
            <v>1.7687999999999999</v>
          </cell>
          <cell r="N39">
            <v>1.1200000000000001</v>
          </cell>
          <cell r="Q39">
            <v>37354</v>
          </cell>
          <cell r="R39">
            <v>0</v>
          </cell>
          <cell r="S39">
            <v>0</v>
          </cell>
        </row>
        <row r="40">
          <cell r="B40">
            <v>37399</v>
          </cell>
          <cell r="C40">
            <v>2.3835000000000002</v>
          </cell>
          <cell r="D40">
            <v>1.4</v>
          </cell>
          <cell r="G40">
            <v>37399</v>
          </cell>
          <cell r="H40">
            <v>2.0213999999999999</v>
          </cell>
          <cell r="I40">
            <v>1.3</v>
          </cell>
          <cell r="L40">
            <v>37399</v>
          </cell>
          <cell r="M40">
            <v>1.5572999999999999</v>
          </cell>
          <cell r="N40">
            <v>1.1200000000000001</v>
          </cell>
          <cell r="Q40">
            <v>37399</v>
          </cell>
          <cell r="R40">
            <v>0</v>
          </cell>
          <cell r="S40">
            <v>0</v>
          </cell>
        </row>
        <row r="41">
          <cell r="B41">
            <v>37428</v>
          </cell>
          <cell r="C41">
            <v>2.4549000000000003</v>
          </cell>
          <cell r="D41">
            <v>1.4</v>
          </cell>
          <cell r="G41">
            <v>37428</v>
          </cell>
          <cell r="H41">
            <v>2.0819999999999999</v>
          </cell>
          <cell r="I41">
            <v>1.3</v>
          </cell>
          <cell r="L41">
            <v>37428</v>
          </cell>
          <cell r="M41">
            <v>1.6156999999999999</v>
          </cell>
          <cell r="N41">
            <v>1.1200000000000001</v>
          </cell>
          <cell r="Q41">
            <v>37428</v>
          </cell>
          <cell r="R41">
            <v>0</v>
          </cell>
          <cell r="S41">
            <v>0</v>
          </cell>
        </row>
        <row r="42">
          <cell r="B42">
            <v>37445</v>
          </cell>
          <cell r="C42">
            <v>2.5127000000000002</v>
          </cell>
          <cell r="D42">
            <v>1.4</v>
          </cell>
          <cell r="G42">
            <v>37445</v>
          </cell>
          <cell r="H42">
            <v>2.1309999999999998</v>
          </cell>
          <cell r="I42">
            <v>1.3</v>
          </cell>
          <cell r="L42">
            <v>37445</v>
          </cell>
          <cell r="M42">
            <v>1.6038999999999999</v>
          </cell>
          <cell r="N42">
            <v>1.1200000000000001</v>
          </cell>
          <cell r="Q42">
            <v>37445</v>
          </cell>
          <cell r="R42">
            <v>0</v>
          </cell>
          <cell r="S42">
            <v>0</v>
          </cell>
        </row>
        <row r="43">
          <cell r="B43">
            <v>37522</v>
          </cell>
          <cell r="C43">
            <v>2.1962000000000002</v>
          </cell>
          <cell r="D43">
            <v>1.4</v>
          </cell>
          <cell r="G43">
            <v>37522</v>
          </cell>
          <cell r="H43">
            <v>1.8520000000000001</v>
          </cell>
          <cell r="I43">
            <v>1.3</v>
          </cell>
          <cell r="L43">
            <v>37522</v>
          </cell>
          <cell r="M43">
            <v>1.41</v>
          </cell>
          <cell r="N43">
            <v>1.1200000000000001</v>
          </cell>
          <cell r="Q43">
            <v>37522</v>
          </cell>
          <cell r="R43">
            <v>0</v>
          </cell>
          <cell r="S43">
            <v>0</v>
          </cell>
        </row>
        <row r="44">
          <cell r="B44">
            <v>37536</v>
          </cell>
          <cell r="C44">
            <v>2.2406999999999999</v>
          </cell>
          <cell r="D44">
            <v>1.4</v>
          </cell>
          <cell r="G44">
            <v>37536</v>
          </cell>
          <cell r="H44">
            <v>1.8895999999999999</v>
          </cell>
          <cell r="I44">
            <v>1.3</v>
          </cell>
          <cell r="L44">
            <v>37536</v>
          </cell>
          <cell r="M44">
            <v>1.4386000000000001</v>
          </cell>
          <cell r="N44">
            <v>1.1200000000000001</v>
          </cell>
          <cell r="Q44">
            <v>37536</v>
          </cell>
          <cell r="R44">
            <v>0</v>
          </cell>
          <cell r="S44">
            <v>0</v>
          </cell>
        </row>
      </sheetData>
      <sheetData sheetId="5" refreshError="1">
        <row r="1">
          <cell r="B1" t="str">
            <v>Date</v>
          </cell>
          <cell r="C1" t="str">
            <v>Actual</v>
          </cell>
          <cell r="D1" t="str">
            <v>Covenant</v>
          </cell>
        </row>
        <row r="2">
          <cell r="B2">
            <v>36242</v>
          </cell>
          <cell r="C2">
            <v>38.380000000000003</v>
          </cell>
          <cell r="D2">
            <v>38</v>
          </cell>
        </row>
        <row r="3">
          <cell r="B3">
            <v>36273</v>
          </cell>
          <cell r="C3">
            <v>38.729999999999997</v>
          </cell>
          <cell r="D3">
            <v>38</v>
          </cell>
        </row>
        <row r="4">
          <cell r="B4">
            <v>36303</v>
          </cell>
          <cell r="C4">
            <v>38.1</v>
          </cell>
          <cell r="D4">
            <v>38</v>
          </cell>
        </row>
        <row r="5">
          <cell r="B5">
            <v>36334</v>
          </cell>
          <cell r="C5">
            <v>38.1</v>
          </cell>
          <cell r="D5">
            <v>38</v>
          </cell>
        </row>
        <row r="6">
          <cell r="B6">
            <v>36356</v>
          </cell>
          <cell r="C6">
            <v>39.03</v>
          </cell>
          <cell r="D6">
            <v>38</v>
          </cell>
        </row>
        <row r="7">
          <cell r="B7">
            <v>36395</v>
          </cell>
          <cell r="C7">
            <v>38.5</v>
          </cell>
          <cell r="D7">
            <v>38</v>
          </cell>
        </row>
        <row r="8">
          <cell r="B8">
            <v>36426</v>
          </cell>
          <cell r="C8">
            <v>38.25</v>
          </cell>
          <cell r="D8">
            <v>38</v>
          </cell>
        </row>
        <row r="9">
          <cell r="B9">
            <v>36448</v>
          </cell>
          <cell r="C9">
            <v>38.729999999999997</v>
          </cell>
          <cell r="D9">
            <v>38</v>
          </cell>
        </row>
        <row r="10">
          <cell r="B10">
            <v>36487</v>
          </cell>
          <cell r="C10">
            <v>38.619999999999997</v>
          </cell>
          <cell r="D10">
            <v>38</v>
          </cell>
        </row>
        <row r="11">
          <cell r="B11">
            <v>36517</v>
          </cell>
          <cell r="C11">
            <v>39.78</v>
          </cell>
          <cell r="D11">
            <v>38</v>
          </cell>
        </row>
        <row r="12">
          <cell r="B12">
            <v>36535</v>
          </cell>
          <cell r="C12">
            <v>40.619999999999997</v>
          </cell>
          <cell r="D12">
            <v>38</v>
          </cell>
        </row>
        <row r="13">
          <cell r="B13">
            <v>36579</v>
          </cell>
          <cell r="C13">
            <v>41.63</v>
          </cell>
          <cell r="D13">
            <v>38</v>
          </cell>
        </row>
        <row r="14">
          <cell r="B14">
            <v>36608</v>
          </cell>
          <cell r="C14">
            <v>42.47</v>
          </cell>
          <cell r="D14">
            <v>38</v>
          </cell>
        </row>
        <row r="15">
          <cell r="B15">
            <v>36633</v>
          </cell>
          <cell r="C15">
            <v>42.38</v>
          </cell>
          <cell r="D15">
            <v>38</v>
          </cell>
        </row>
        <row r="16">
          <cell r="B16">
            <v>36669</v>
          </cell>
          <cell r="C16">
            <v>40.97</v>
          </cell>
          <cell r="D16">
            <v>38</v>
          </cell>
        </row>
        <row r="17">
          <cell r="B17">
            <v>36700</v>
          </cell>
          <cell r="C17">
            <v>40.53</v>
          </cell>
          <cell r="D17">
            <v>38</v>
          </cell>
        </row>
        <row r="18">
          <cell r="B18">
            <v>36717</v>
          </cell>
          <cell r="C18">
            <v>40.869999999999997</v>
          </cell>
          <cell r="D18">
            <v>38</v>
          </cell>
        </row>
        <row r="19">
          <cell r="B19">
            <v>36761</v>
          </cell>
          <cell r="C19">
            <v>42.97</v>
          </cell>
          <cell r="D19">
            <v>38</v>
          </cell>
        </row>
        <row r="20">
          <cell r="B20">
            <v>36792</v>
          </cell>
          <cell r="C20">
            <v>44.75</v>
          </cell>
          <cell r="D20">
            <v>38</v>
          </cell>
        </row>
        <row r="21">
          <cell r="B21">
            <v>36805</v>
          </cell>
          <cell r="C21">
            <v>42.75</v>
          </cell>
          <cell r="D21">
            <v>38</v>
          </cell>
        </row>
        <row r="22">
          <cell r="B22">
            <v>36852</v>
          </cell>
          <cell r="C22">
            <v>43.43</v>
          </cell>
          <cell r="D22">
            <v>38</v>
          </cell>
        </row>
        <row r="23">
          <cell r="B23">
            <v>36882</v>
          </cell>
          <cell r="C23">
            <v>43.26</v>
          </cell>
          <cell r="D23">
            <v>38</v>
          </cell>
        </row>
        <row r="24">
          <cell r="B24">
            <v>36899</v>
          </cell>
          <cell r="C24">
            <v>42.98</v>
          </cell>
          <cell r="D24">
            <v>38</v>
          </cell>
        </row>
        <row r="25">
          <cell r="B25">
            <v>36945</v>
          </cell>
          <cell r="C25">
            <v>43.6</v>
          </cell>
          <cell r="D25">
            <v>38</v>
          </cell>
        </row>
        <row r="26">
          <cell r="B26">
            <v>36973</v>
          </cell>
          <cell r="C26">
            <v>43.67</v>
          </cell>
          <cell r="D26">
            <v>38</v>
          </cell>
        </row>
        <row r="27">
          <cell r="B27">
            <v>36987</v>
          </cell>
          <cell r="C27">
            <v>44.87</v>
          </cell>
          <cell r="D27">
            <v>38</v>
          </cell>
        </row>
        <row r="28">
          <cell r="B28">
            <v>37034</v>
          </cell>
          <cell r="C28">
            <v>45.37</v>
          </cell>
          <cell r="D28">
            <v>38</v>
          </cell>
        </row>
        <row r="29">
          <cell r="B29">
            <v>37065</v>
          </cell>
          <cell r="C29">
            <v>44.47</v>
          </cell>
          <cell r="D29">
            <v>38</v>
          </cell>
        </row>
        <row r="30">
          <cell r="B30">
            <v>37081</v>
          </cell>
          <cell r="C30">
            <v>47.39</v>
          </cell>
          <cell r="D30">
            <v>38</v>
          </cell>
        </row>
        <row r="31">
          <cell r="B31">
            <v>37126</v>
          </cell>
          <cell r="C31">
            <v>46.89</v>
          </cell>
          <cell r="D31">
            <v>38</v>
          </cell>
        </row>
        <row r="32">
          <cell r="B32">
            <v>37155</v>
          </cell>
          <cell r="C32">
            <v>47.9</v>
          </cell>
          <cell r="D32">
            <v>38</v>
          </cell>
        </row>
        <row r="33">
          <cell r="B33">
            <v>37169</v>
          </cell>
          <cell r="C33">
            <v>47.86</v>
          </cell>
          <cell r="D33">
            <v>38</v>
          </cell>
        </row>
        <row r="34">
          <cell r="B34">
            <v>37225</v>
          </cell>
          <cell r="C34">
            <v>47.26</v>
          </cell>
          <cell r="D34">
            <v>38</v>
          </cell>
        </row>
        <row r="35">
          <cell r="B35">
            <v>37246</v>
          </cell>
          <cell r="C35">
            <v>45.82</v>
          </cell>
          <cell r="D35">
            <v>38</v>
          </cell>
        </row>
        <row r="36">
          <cell r="B36">
            <v>37264</v>
          </cell>
          <cell r="C36">
            <v>45.72</v>
          </cell>
          <cell r="D36">
            <v>38</v>
          </cell>
        </row>
        <row r="37">
          <cell r="B37">
            <v>37309</v>
          </cell>
          <cell r="C37">
            <v>43.62</v>
          </cell>
          <cell r="D37">
            <v>38</v>
          </cell>
        </row>
        <row r="38">
          <cell r="B38">
            <v>37337</v>
          </cell>
          <cell r="C38">
            <v>44.77</v>
          </cell>
          <cell r="D38">
            <v>38</v>
          </cell>
        </row>
        <row r="39">
          <cell r="B39">
            <v>37354</v>
          </cell>
          <cell r="C39">
            <v>45.02</v>
          </cell>
          <cell r="D39">
            <v>38</v>
          </cell>
        </row>
        <row r="40">
          <cell r="B40">
            <v>37399</v>
          </cell>
          <cell r="C40">
            <v>42.95</v>
          </cell>
          <cell r="D40">
            <v>38</v>
          </cell>
        </row>
        <row r="41">
          <cell r="B41">
            <v>37428</v>
          </cell>
          <cell r="C41">
            <v>43.08</v>
          </cell>
          <cell r="D41">
            <v>38</v>
          </cell>
        </row>
        <row r="42">
          <cell r="B42">
            <v>37445</v>
          </cell>
          <cell r="C42">
            <v>41.07</v>
          </cell>
          <cell r="D42">
            <v>38</v>
          </cell>
        </row>
        <row r="43">
          <cell r="B43">
            <v>37522</v>
          </cell>
          <cell r="C43">
            <v>38.729999999999997</v>
          </cell>
          <cell r="D43">
            <v>38</v>
          </cell>
        </row>
        <row r="44">
          <cell r="B44">
            <v>37536</v>
          </cell>
          <cell r="C44">
            <v>38.549999999999997</v>
          </cell>
          <cell r="D44">
            <v>38</v>
          </cell>
        </row>
      </sheetData>
      <sheetData sheetId="6" refreshError="1">
        <row r="1">
          <cell r="B1" t="str">
            <v>Date</v>
          </cell>
          <cell r="C1" t="str">
            <v>Actual</v>
          </cell>
          <cell r="D1" t="str">
            <v>Covenant</v>
          </cell>
        </row>
        <row r="2">
          <cell r="B2">
            <v>36242</v>
          </cell>
          <cell r="C2">
            <v>2578</v>
          </cell>
          <cell r="D2">
            <v>2720</v>
          </cell>
        </row>
        <row r="3">
          <cell r="B3">
            <v>36273</v>
          </cell>
          <cell r="C3">
            <v>2556</v>
          </cell>
          <cell r="D3">
            <v>2720</v>
          </cell>
        </row>
        <row r="4">
          <cell r="B4">
            <v>36303</v>
          </cell>
          <cell r="C4">
            <v>2584</v>
          </cell>
          <cell r="D4">
            <v>2720</v>
          </cell>
        </row>
        <row r="5">
          <cell r="B5">
            <v>36334</v>
          </cell>
          <cell r="C5">
            <v>2582</v>
          </cell>
          <cell r="D5">
            <v>2720</v>
          </cell>
        </row>
        <row r="6">
          <cell r="B6">
            <v>36356</v>
          </cell>
          <cell r="C6">
            <v>2556</v>
          </cell>
          <cell r="D6">
            <v>2720</v>
          </cell>
        </row>
        <row r="7">
          <cell r="B7">
            <v>36395</v>
          </cell>
          <cell r="C7">
            <v>2692</v>
          </cell>
          <cell r="D7">
            <v>2720</v>
          </cell>
        </row>
        <row r="8">
          <cell r="B8">
            <v>36426</v>
          </cell>
          <cell r="C8">
            <v>2693</v>
          </cell>
          <cell r="D8">
            <v>2720</v>
          </cell>
        </row>
        <row r="9">
          <cell r="B9">
            <v>36448</v>
          </cell>
          <cell r="C9">
            <v>2653</v>
          </cell>
          <cell r="D9">
            <v>2720</v>
          </cell>
        </row>
        <row r="10">
          <cell r="B10">
            <v>36487</v>
          </cell>
          <cell r="C10">
            <v>2630</v>
          </cell>
          <cell r="D10">
            <v>2720</v>
          </cell>
        </row>
        <row r="11">
          <cell r="B11">
            <v>36517</v>
          </cell>
          <cell r="C11">
            <v>2658</v>
          </cell>
          <cell r="D11">
            <v>2720</v>
          </cell>
        </row>
        <row r="12">
          <cell r="B12">
            <v>36535</v>
          </cell>
          <cell r="C12">
            <v>2716</v>
          </cell>
          <cell r="D12">
            <v>2720</v>
          </cell>
        </row>
        <row r="13">
          <cell r="B13">
            <v>36579</v>
          </cell>
          <cell r="C13">
            <v>2661</v>
          </cell>
          <cell r="D13">
            <v>2720</v>
          </cell>
        </row>
        <row r="14">
          <cell r="B14">
            <v>36608</v>
          </cell>
          <cell r="C14">
            <v>2722</v>
          </cell>
          <cell r="D14">
            <v>2720</v>
          </cell>
        </row>
        <row r="15">
          <cell r="B15">
            <v>36633</v>
          </cell>
          <cell r="C15">
            <v>2681</v>
          </cell>
          <cell r="D15">
            <v>2720</v>
          </cell>
        </row>
        <row r="16">
          <cell r="B16">
            <v>36669</v>
          </cell>
          <cell r="C16">
            <v>2724</v>
          </cell>
          <cell r="D16">
            <v>2720</v>
          </cell>
        </row>
        <row r="17">
          <cell r="B17">
            <v>36700</v>
          </cell>
          <cell r="C17">
            <v>2649</v>
          </cell>
          <cell r="D17">
            <v>2720</v>
          </cell>
        </row>
        <row r="18">
          <cell r="B18">
            <v>36717</v>
          </cell>
          <cell r="C18">
            <v>2663</v>
          </cell>
          <cell r="D18">
            <v>2720</v>
          </cell>
        </row>
        <row r="19">
          <cell r="B19">
            <v>36761</v>
          </cell>
          <cell r="C19">
            <v>2661</v>
          </cell>
          <cell r="D19">
            <v>2720</v>
          </cell>
        </row>
        <row r="20">
          <cell r="B20">
            <v>36792</v>
          </cell>
          <cell r="C20">
            <v>2471.48</v>
          </cell>
          <cell r="D20">
            <v>2720</v>
          </cell>
        </row>
        <row r="21">
          <cell r="B21">
            <v>36805</v>
          </cell>
          <cell r="C21">
            <v>2472.52</v>
          </cell>
          <cell r="D21">
            <v>2720</v>
          </cell>
        </row>
        <row r="22">
          <cell r="B22">
            <v>36852</v>
          </cell>
          <cell r="C22">
            <v>2284</v>
          </cell>
          <cell r="D22">
            <v>2720</v>
          </cell>
        </row>
        <row r="23">
          <cell r="B23">
            <v>36882</v>
          </cell>
          <cell r="C23">
            <v>2281</v>
          </cell>
          <cell r="D23">
            <v>2720</v>
          </cell>
        </row>
        <row r="24">
          <cell r="B24">
            <v>36899</v>
          </cell>
          <cell r="C24">
            <v>2312</v>
          </cell>
          <cell r="D24">
            <v>2720</v>
          </cell>
        </row>
        <row r="25">
          <cell r="B25">
            <v>36945</v>
          </cell>
          <cell r="C25">
            <v>2309</v>
          </cell>
          <cell r="D25">
            <v>2720</v>
          </cell>
        </row>
        <row r="26">
          <cell r="B26">
            <v>36973</v>
          </cell>
          <cell r="C26">
            <v>2340</v>
          </cell>
          <cell r="D26">
            <v>2720</v>
          </cell>
        </row>
        <row r="27">
          <cell r="B27">
            <v>36987</v>
          </cell>
          <cell r="C27">
            <v>2332</v>
          </cell>
          <cell r="D27">
            <v>2720</v>
          </cell>
        </row>
        <row r="28">
          <cell r="B28">
            <v>37034</v>
          </cell>
          <cell r="C28">
            <v>2456</v>
          </cell>
          <cell r="D28">
            <v>2720</v>
          </cell>
        </row>
        <row r="29">
          <cell r="B29">
            <v>37065</v>
          </cell>
          <cell r="C29">
            <v>2507</v>
          </cell>
          <cell r="D29">
            <v>2720</v>
          </cell>
        </row>
        <row r="30">
          <cell r="B30">
            <v>37081</v>
          </cell>
          <cell r="C30">
            <v>2447</v>
          </cell>
          <cell r="D30">
            <v>2720</v>
          </cell>
        </row>
        <row r="31">
          <cell r="B31">
            <v>37126</v>
          </cell>
          <cell r="C31">
            <v>2390</v>
          </cell>
          <cell r="D31">
            <v>2720</v>
          </cell>
        </row>
        <row r="32">
          <cell r="B32">
            <v>37155</v>
          </cell>
          <cell r="C32">
            <v>2462</v>
          </cell>
          <cell r="D32">
            <v>2720</v>
          </cell>
        </row>
        <row r="33">
          <cell r="B33">
            <v>37169</v>
          </cell>
          <cell r="C33">
            <v>2459</v>
          </cell>
          <cell r="D33">
            <v>2720</v>
          </cell>
        </row>
        <row r="34">
          <cell r="B34">
            <v>37225</v>
          </cell>
          <cell r="C34">
            <v>2510</v>
          </cell>
          <cell r="D34">
            <v>2720</v>
          </cell>
        </row>
        <row r="35">
          <cell r="B35">
            <v>37246</v>
          </cell>
          <cell r="C35">
            <v>2865</v>
          </cell>
          <cell r="D35">
            <v>2720</v>
          </cell>
        </row>
        <row r="36">
          <cell r="B36">
            <v>37264</v>
          </cell>
          <cell r="C36">
            <v>2868</v>
          </cell>
          <cell r="D36">
            <v>2720</v>
          </cell>
        </row>
        <row r="37">
          <cell r="B37">
            <v>37309</v>
          </cell>
          <cell r="C37">
            <v>2627</v>
          </cell>
          <cell r="D37">
            <v>2720</v>
          </cell>
        </row>
        <row r="38">
          <cell r="B38">
            <v>37337</v>
          </cell>
          <cell r="C38">
            <v>2553</v>
          </cell>
          <cell r="D38">
            <v>2720</v>
          </cell>
        </row>
        <row r="39">
          <cell r="B39">
            <v>37354</v>
          </cell>
          <cell r="C39">
            <v>2549</v>
          </cell>
          <cell r="D39">
            <v>2720</v>
          </cell>
        </row>
        <row r="40">
          <cell r="B40">
            <v>37399</v>
          </cell>
          <cell r="C40">
            <v>2751</v>
          </cell>
          <cell r="D40">
            <v>2720</v>
          </cell>
        </row>
        <row r="41">
          <cell r="B41">
            <v>37428</v>
          </cell>
          <cell r="C41">
            <v>2825</v>
          </cell>
          <cell r="D41">
            <v>2720</v>
          </cell>
        </row>
        <row r="42">
          <cell r="B42">
            <v>37445</v>
          </cell>
          <cell r="C42">
            <v>2817</v>
          </cell>
          <cell r="D42">
            <v>2720</v>
          </cell>
        </row>
        <row r="43">
          <cell r="B43">
            <v>37522</v>
          </cell>
          <cell r="C43">
            <v>2772</v>
          </cell>
          <cell r="D43">
            <v>2720</v>
          </cell>
        </row>
        <row r="44">
          <cell r="B44">
            <v>37536</v>
          </cell>
          <cell r="C44">
            <v>2817</v>
          </cell>
          <cell r="D44">
            <v>2720</v>
          </cell>
        </row>
      </sheetData>
      <sheetData sheetId="7"/>
      <sheetData sheetId="8" refreshError="1">
        <row r="1">
          <cell r="B1" t="str">
            <v>Date</v>
          </cell>
          <cell r="C1" t="str">
            <v>Actual</v>
          </cell>
          <cell r="D1" t="str">
            <v>Covenant</v>
          </cell>
        </row>
        <row r="2">
          <cell r="B2">
            <v>36242</v>
          </cell>
          <cell r="C2">
            <v>0.03</v>
          </cell>
          <cell r="D2">
            <v>2.6499999999999999E-2</v>
          </cell>
        </row>
        <row r="3">
          <cell r="B3">
            <v>36273</v>
          </cell>
          <cell r="C3">
            <v>3.0800000000000001E-2</v>
          </cell>
          <cell r="D3">
            <v>2.6499999999999999E-2</v>
          </cell>
        </row>
        <row r="4">
          <cell r="B4">
            <v>36303</v>
          </cell>
          <cell r="C4">
            <v>3.04E-2</v>
          </cell>
          <cell r="D4">
            <v>2.6499999999999999E-2</v>
          </cell>
        </row>
        <row r="5">
          <cell r="B5">
            <v>36334</v>
          </cell>
          <cell r="C5">
            <v>3.04E-2</v>
          </cell>
          <cell r="D5">
            <v>2.6499999999999999E-2</v>
          </cell>
        </row>
        <row r="6">
          <cell r="B6">
            <v>36356</v>
          </cell>
          <cell r="C6">
            <v>3.0300000000000001E-2</v>
          </cell>
          <cell r="D6">
            <v>2.6499999999999999E-2</v>
          </cell>
        </row>
        <row r="7">
          <cell r="B7">
            <v>36395</v>
          </cell>
          <cell r="C7">
            <v>3.0700000000000002E-2</v>
          </cell>
          <cell r="D7">
            <v>2.6499999999999999E-2</v>
          </cell>
        </row>
        <row r="8">
          <cell r="B8">
            <v>36426</v>
          </cell>
          <cell r="C8">
            <v>3.04E-2</v>
          </cell>
          <cell r="D8">
            <v>2.6499999999999999E-2</v>
          </cell>
        </row>
        <row r="9">
          <cell r="B9">
            <v>36448</v>
          </cell>
          <cell r="C9">
            <v>3.0300000000000001E-2</v>
          </cell>
          <cell r="D9">
            <v>2.6499999999999999E-2</v>
          </cell>
        </row>
        <row r="10">
          <cell r="B10">
            <v>36487</v>
          </cell>
          <cell r="C10">
            <v>3.04E-2</v>
          </cell>
          <cell r="D10">
            <v>2.6499999999999999E-2</v>
          </cell>
        </row>
        <row r="11">
          <cell r="B11">
            <v>36517</v>
          </cell>
          <cell r="C11">
            <v>3.09E-2</v>
          </cell>
          <cell r="D11">
            <v>2.6499999999999999E-2</v>
          </cell>
        </row>
        <row r="12">
          <cell r="B12">
            <v>36535</v>
          </cell>
          <cell r="C12">
            <v>3.0599999999999999E-2</v>
          </cell>
          <cell r="D12">
            <v>2.6499999999999999E-2</v>
          </cell>
        </row>
        <row r="13">
          <cell r="B13">
            <v>36579</v>
          </cell>
          <cell r="C13">
            <v>3.0599999999999999E-2</v>
          </cell>
          <cell r="D13">
            <v>2.6499999999999999E-2</v>
          </cell>
        </row>
        <row r="14">
          <cell r="B14">
            <v>36608</v>
          </cell>
          <cell r="C14">
            <v>3.0599999999999999E-2</v>
          </cell>
          <cell r="D14">
            <v>2.6499999999999999E-2</v>
          </cell>
        </row>
        <row r="15">
          <cell r="B15">
            <v>36633</v>
          </cell>
          <cell r="C15">
            <v>3.1E-2</v>
          </cell>
          <cell r="D15">
            <v>2.6499999999999999E-2</v>
          </cell>
        </row>
        <row r="16">
          <cell r="B16">
            <v>36669</v>
          </cell>
          <cell r="C16">
            <v>3.1300000000000001E-2</v>
          </cell>
          <cell r="D16">
            <v>2.6499999999999999E-2</v>
          </cell>
        </row>
        <row r="17">
          <cell r="B17">
            <v>36700</v>
          </cell>
          <cell r="C17">
            <v>3.0800000000000001E-2</v>
          </cell>
          <cell r="D17">
            <v>2.6499999999999999E-2</v>
          </cell>
        </row>
        <row r="18">
          <cell r="B18">
            <v>36717</v>
          </cell>
          <cell r="C18">
            <v>3.09E-2</v>
          </cell>
          <cell r="D18">
            <v>2.6499999999999999E-2</v>
          </cell>
        </row>
        <row r="19">
          <cell r="B19">
            <v>36761</v>
          </cell>
          <cell r="C19">
            <v>3.0200000000000001E-2</v>
          </cell>
          <cell r="D19">
            <v>2.6499999999999999E-2</v>
          </cell>
        </row>
        <row r="20">
          <cell r="B20">
            <v>36792</v>
          </cell>
          <cell r="C20">
            <v>2.7099999999999999E-2</v>
          </cell>
          <cell r="D20">
            <v>2.6499999999999999E-2</v>
          </cell>
        </row>
        <row r="21">
          <cell r="B21">
            <v>36805</v>
          </cell>
          <cell r="C21">
            <v>2.7E-2</v>
          </cell>
          <cell r="D21">
            <v>2.6499999999999999E-2</v>
          </cell>
        </row>
        <row r="22">
          <cell r="B22">
            <v>36852</v>
          </cell>
          <cell r="C22">
            <v>2.7300000000000001E-2</v>
          </cell>
          <cell r="D22">
            <v>2.6499999999999999E-2</v>
          </cell>
        </row>
        <row r="23">
          <cell r="B23">
            <v>36882</v>
          </cell>
          <cell r="C23">
            <v>2.7799999999999998E-2</v>
          </cell>
          <cell r="D23">
            <v>2.6499999999999999E-2</v>
          </cell>
        </row>
        <row r="24">
          <cell r="B24">
            <v>36899</v>
          </cell>
          <cell r="C24">
            <v>2.7699999999999999E-2</v>
          </cell>
          <cell r="D24">
            <v>2.6499999999999999E-2</v>
          </cell>
        </row>
        <row r="25">
          <cell r="B25">
            <v>36945</v>
          </cell>
          <cell r="C25">
            <v>2.76E-2</v>
          </cell>
          <cell r="D25">
            <v>2.6499999999999999E-2</v>
          </cell>
        </row>
        <row r="26">
          <cell r="B26">
            <v>36973</v>
          </cell>
          <cell r="C26">
            <v>2.8199999999999999E-2</v>
          </cell>
          <cell r="D26">
            <v>2.6499999999999999E-2</v>
          </cell>
        </row>
        <row r="27">
          <cell r="B27">
            <v>36987</v>
          </cell>
          <cell r="C27">
            <v>2.8199999999999999E-2</v>
          </cell>
          <cell r="D27">
            <v>2.6499999999999999E-2</v>
          </cell>
        </row>
        <row r="28">
          <cell r="B28">
            <v>37034</v>
          </cell>
          <cell r="C28">
            <v>2.8799999999999999E-2</v>
          </cell>
          <cell r="D28">
            <v>2.6499999999999999E-2</v>
          </cell>
        </row>
        <row r="29">
          <cell r="B29">
            <v>37065</v>
          </cell>
          <cell r="C29">
            <v>2.9499999999999998E-2</v>
          </cell>
          <cell r="D29">
            <v>2.6499999999999999E-2</v>
          </cell>
        </row>
        <row r="30">
          <cell r="B30">
            <v>37081</v>
          </cell>
          <cell r="C30">
            <v>2.8799999999999999E-2</v>
          </cell>
          <cell r="D30">
            <v>2.6499999999999999E-2</v>
          </cell>
        </row>
        <row r="31">
          <cell r="B31">
            <v>37126</v>
          </cell>
          <cell r="C31">
            <v>2.9399999999999999E-2</v>
          </cell>
          <cell r="D31">
            <v>2.6499999999999999E-2</v>
          </cell>
        </row>
        <row r="32">
          <cell r="B32">
            <v>37155</v>
          </cell>
          <cell r="C32">
            <v>3.04E-2</v>
          </cell>
          <cell r="D32">
            <v>2.6499999999999999E-2</v>
          </cell>
        </row>
        <row r="33">
          <cell r="B33">
            <v>37169</v>
          </cell>
          <cell r="C33">
            <v>3.0300000000000001E-2</v>
          </cell>
          <cell r="D33">
            <v>2.6499999999999999E-2</v>
          </cell>
        </row>
        <row r="34">
          <cell r="B34">
            <v>37225</v>
          </cell>
          <cell r="C34">
            <v>3.1099999999999999E-2</v>
          </cell>
          <cell r="D34">
            <v>2.6499999999999999E-2</v>
          </cell>
        </row>
        <row r="35">
          <cell r="B35">
            <v>37246</v>
          </cell>
          <cell r="C35">
            <v>3.1099999999999999E-2</v>
          </cell>
          <cell r="D35">
            <v>2.6499999999999999E-2</v>
          </cell>
        </row>
        <row r="36">
          <cell r="B36">
            <v>37264</v>
          </cell>
          <cell r="C36">
            <v>3.0700000000000002E-2</v>
          </cell>
          <cell r="D36">
            <v>2.6499999999999999E-2</v>
          </cell>
        </row>
        <row r="37">
          <cell r="B37">
            <v>37309</v>
          </cell>
          <cell r="C37">
            <v>3.1E-2</v>
          </cell>
          <cell r="D37">
            <v>2.6499999999999999E-2</v>
          </cell>
        </row>
        <row r="38">
          <cell r="B38">
            <v>37337</v>
          </cell>
          <cell r="C38">
            <v>3.09E-2</v>
          </cell>
          <cell r="D38">
            <v>2.6499999999999999E-2</v>
          </cell>
        </row>
        <row r="39">
          <cell r="B39">
            <v>37354</v>
          </cell>
          <cell r="C39">
            <v>3.1099999999999999E-2</v>
          </cell>
          <cell r="D39">
            <v>2.6499999999999999E-2</v>
          </cell>
        </row>
        <row r="40">
          <cell r="B40">
            <v>37399</v>
          </cell>
          <cell r="C40">
            <v>3.2000000000000001E-2</v>
          </cell>
          <cell r="D40">
            <v>2.6499999999999999E-2</v>
          </cell>
        </row>
        <row r="41">
          <cell r="B41">
            <v>37428</v>
          </cell>
          <cell r="C41">
            <v>3.1699999999999999E-2</v>
          </cell>
          <cell r="D41">
            <v>2.6499999999999999E-2</v>
          </cell>
        </row>
        <row r="42">
          <cell r="B42">
            <v>37445</v>
          </cell>
          <cell r="C42">
            <v>3.1899999999999998E-2</v>
          </cell>
          <cell r="D42">
            <v>2.6499999999999999E-2</v>
          </cell>
        </row>
        <row r="43">
          <cell r="B43">
            <v>37522</v>
          </cell>
          <cell r="C43">
            <v>3.0300000000000001E-2</v>
          </cell>
          <cell r="D43">
            <v>2.6499999999999999E-2</v>
          </cell>
        </row>
        <row r="44">
          <cell r="B44">
            <v>37536</v>
          </cell>
          <cell r="C44">
            <v>3.1199999999999999E-2</v>
          </cell>
          <cell r="D44">
            <v>2.6499999999999999E-2</v>
          </cell>
        </row>
      </sheetData>
      <sheetData sheetId="9" refreshError="1">
        <row r="1">
          <cell r="B1" t="str">
            <v>Date</v>
          </cell>
          <cell r="C1" t="str">
            <v>Actual</v>
          </cell>
          <cell r="D1" t="str">
            <v>Covenant</v>
          </cell>
        </row>
        <row r="2">
          <cell r="B2">
            <v>36494</v>
          </cell>
          <cell r="C2">
            <v>0.1007</v>
          </cell>
          <cell r="D2">
            <v>9.5000000000000001E-2</v>
          </cell>
        </row>
        <row r="3">
          <cell r="B3">
            <v>36525</v>
          </cell>
          <cell r="C3">
            <v>0.1009</v>
          </cell>
          <cell r="D3">
            <v>9.5000000000000001E-2</v>
          </cell>
        </row>
        <row r="4">
          <cell r="B4">
            <v>36556</v>
          </cell>
          <cell r="C4">
            <v>0.10059999999999999</v>
          </cell>
          <cell r="D4">
            <v>9.5000000000000001E-2</v>
          </cell>
        </row>
        <row r="5">
          <cell r="B5">
            <v>36585</v>
          </cell>
          <cell r="C5">
            <v>0.10059999999999999</v>
          </cell>
          <cell r="D5">
            <v>9.5000000000000001E-2</v>
          </cell>
        </row>
        <row r="6">
          <cell r="B6">
            <v>36600</v>
          </cell>
          <cell r="C6">
            <v>0.10009999999999999</v>
          </cell>
          <cell r="D6">
            <v>9.5000000000000001E-2</v>
          </cell>
        </row>
        <row r="7">
          <cell r="B7">
            <v>36644</v>
          </cell>
          <cell r="C7">
            <v>9.9900000000000003E-2</v>
          </cell>
          <cell r="D7">
            <v>9.5000000000000001E-2</v>
          </cell>
        </row>
        <row r="8">
          <cell r="B8">
            <v>36677</v>
          </cell>
          <cell r="C8">
            <v>0.10009999999999999</v>
          </cell>
          <cell r="D8">
            <v>9.5000000000000001E-2</v>
          </cell>
        </row>
        <row r="9">
          <cell r="B9">
            <v>36707</v>
          </cell>
          <cell r="C9">
            <v>0.10009999999999999</v>
          </cell>
          <cell r="D9">
            <v>9.5000000000000001E-2</v>
          </cell>
        </row>
        <row r="10">
          <cell r="B10">
            <v>36738</v>
          </cell>
          <cell r="C10">
            <v>0.1002</v>
          </cell>
          <cell r="D10">
            <v>9.5000000000000001E-2</v>
          </cell>
        </row>
        <row r="11">
          <cell r="B11">
            <v>36768</v>
          </cell>
          <cell r="C11">
            <v>9.9599999999999994E-2</v>
          </cell>
          <cell r="D11">
            <v>9.5000000000000001E-2</v>
          </cell>
        </row>
        <row r="12">
          <cell r="B12">
            <v>36784</v>
          </cell>
          <cell r="C12">
            <v>9.9599999999999994E-2</v>
          </cell>
          <cell r="D12">
            <v>9.5000000000000001E-2</v>
          </cell>
        </row>
        <row r="13">
          <cell r="B13">
            <v>36830</v>
          </cell>
          <cell r="C13">
            <v>9.9699999999999997E-2</v>
          </cell>
          <cell r="D13">
            <v>9.5000000000000001E-2</v>
          </cell>
        </row>
        <row r="14">
          <cell r="B14">
            <v>36860</v>
          </cell>
          <cell r="C14">
            <v>9.98E-2</v>
          </cell>
          <cell r="D14">
            <v>9.5000000000000001E-2</v>
          </cell>
        </row>
        <row r="15">
          <cell r="B15">
            <v>36891</v>
          </cell>
          <cell r="C15">
            <v>9.9599999999999994E-2</v>
          </cell>
          <cell r="D15">
            <v>9.5000000000000001E-2</v>
          </cell>
        </row>
        <row r="16">
          <cell r="B16">
            <v>36922</v>
          </cell>
          <cell r="C16">
            <v>0.1</v>
          </cell>
          <cell r="D16">
            <v>9.5000000000000001E-2</v>
          </cell>
        </row>
        <row r="17">
          <cell r="B17">
            <v>36950</v>
          </cell>
          <cell r="C17">
            <v>9.9900000000000003E-2</v>
          </cell>
          <cell r="D17">
            <v>9.5000000000000001E-2</v>
          </cell>
        </row>
        <row r="18">
          <cell r="B18">
            <v>36958</v>
          </cell>
          <cell r="C18">
            <v>9.9599999999999994E-2</v>
          </cell>
          <cell r="D18">
            <v>9.5000000000000001E-2</v>
          </cell>
        </row>
        <row r="19">
          <cell r="B19">
            <v>37011</v>
          </cell>
          <cell r="C19">
            <v>9.8299999999999998E-2</v>
          </cell>
          <cell r="D19">
            <v>9.5000000000000001E-2</v>
          </cell>
        </row>
        <row r="20">
          <cell r="B20">
            <v>37042</v>
          </cell>
          <cell r="C20">
            <v>9.7500000000000003E-2</v>
          </cell>
          <cell r="D20">
            <v>9.5000000000000001E-2</v>
          </cell>
        </row>
        <row r="21">
          <cell r="B21">
            <v>37071</v>
          </cell>
          <cell r="C21">
            <v>9.6600000000000005E-2</v>
          </cell>
          <cell r="D21">
            <v>9.5000000000000001E-2</v>
          </cell>
        </row>
        <row r="22">
          <cell r="B22">
            <v>37103</v>
          </cell>
          <cell r="C22">
            <v>9.7000000000000003E-2</v>
          </cell>
          <cell r="D22">
            <v>9.5000000000000001E-2</v>
          </cell>
        </row>
        <row r="23">
          <cell r="B23">
            <v>37134</v>
          </cell>
          <cell r="C23">
            <v>9.69E-2</v>
          </cell>
          <cell r="D23">
            <v>9.5000000000000001E-2</v>
          </cell>
        </row>
        <row r="24">
          <cell r="B24">
            <v>37144</v>
          </cell>
          <cell r="C24">
            <v>9.69E-2</v>
          </cell>
          <cell r="D24">
            <v>9.5000000000000001E-2</v>
          </cell>
        </row>
        <row r="25">
          <cell r="B25">
            <v>37195</v>
          </cell>
          <cell r="C25">
            <v>9.6299999999999997E-2</v>
          </cell>
          <cell r="D25">
            <v>9.5000000000000001E-2</v>
          </cell>
        </row>
        <row r="26">
          <cell r="B26">
            <v>37225</v>
          </cell>
          <cell r="C26">
            <v>9.6600000000000005E-2</v>
          </cell>
          <cell r="D26">
            <v>9.5000000000000001E-2</v>
          </cell>
        </row>
        <row r="27">
          <cell r="B27">
            <v>37256</v>
          </cell>
          <cell r="C27">
            <v>9.6199999999999994E-2</v>
          </cell>
          <cell r="D27">
            <v>9.5000000000000001E-2</v>
          </cell>
        </row>
        <row r="28">
          <cell r="B28">
            <v>37287</v>
          </cell>
          <cell r="C28">
            <v>9.6199999999999994E-2</v>
          </cell>
          <cell r="D28">
            <v>9.5000000000000001E-2</v>
          </cell>
        </row>
        <row r="29">
          <cell r="B29">
            <v>37323</v>
          </cell>
          <cell r="C29">
            <v>9.5200000000000007E-2</v>
          </cell>
          <cell r="D29">
            <v>9.5000000000000001E-2</v>
          </cell>
        </row>
        <row r="30">
          <cell r="B30">
            <v>37346</v>
          </cell>
          <cell r="C30">
            <v>9.4899999999999998E-2</v>
          </cell>
          <cell r="D30">
            <v>9.5000000000000001E-2</v>
          </cell>
        </row>
        <row r="31">
          <cell r="B31">
            <v>37376</v>
          </cell>
          <cell r="C31">
            <v>9.4799999999999995E-2</v>
          </cell>
          <cell r="D31">
            <v>9.5000000000000001E-2</v>
          </cell>
        </row>
        <row r="32">
          <cell r="B32">
            <v>37407</v>
          </cell>
          <cell r="C32">
            <v>9.4399999999999998E-2</v>
          </cell>
          <cell r="D32">
            <v>9.5000000000000001E-2</v>
          </cell>
        </row>
        <row r="33">
          <cell r="B33">
            <v>37435</v>
          </cell>
          <cell r="C33">
            <v>9.4799999999999995E-2</v>
          </cell>
          <cell r="D33">
            <v>9.5000000000000001E-2</v>
          </cell>
        </row>
        <row r="34">
          <cell r="B34">
            <v>37468</v>
          </cell>
          <cell r="C34">
            <v>9.4500000000000001E-2</v>
          </cell>
          <cell r="D34">
            <v>9.5000000000000001E-2</v>
          </cell>
        </row>
        <row r="35">
          <cell r="B35">
            <v>37499</v>
          </cell>
          <cell r="C35">
            <v>9.4500000000000001E-2</v>
          </cell>
          <cell r="D35">
            <v>9.5000000000000001E-2</v>
          </cell>
        </row>
        <row r="36">
          <cell r="B36">
            <v>37508</v>
          </cell>
          <cell r="C36">
            <v>9.4600000000000017E-2</v>
          </cell>
          <cell r="D36">
            <v>9.5000000000000001E-2</v>
          </cell>
        </row>
        <row r="37">
          <cell r="B37">
            <v>37529</v>
          </cell>
          <cell r="C37">
            <v>9.4600000000000017E-2</v>
          </cell>
          <cell r="D37">
            <v>9.5000000000000001E-2</v>
          </cell>
        </row>
        <row r="38">
          <cell r="B38">
            <v>37560</v>
          </cell>
          <cell r="C38">
            <v>9.5100000000000004E-2</v>
          </cell>
          <cell r="D38">
            <v>9.5000000000000001E-2</v>
          </cell>
        </row>
      </sheetData>
      <sheetData sheetId="10" refreshError="1">
        <row r="1">
          <cell r="B1" t="str">
            <v>Date</v>
          </cell>
          <cell r="C1" t="str">
            <v>Actual</v>
          </cell>
          <cell r="D1" t="str">
            <v>Covenant</v>
          </cell>
        </row>
        <row r="2">
          <cell r="B2">
            <v>36242</v>
          </cell>
          <cell r="C2">
            <v>5.65</v>
          </cell>
          <cell r="D2">
            <v>7</v>
          </cell>
        </row>
        <row r="3">
          <cell r="B3">
            <v>36273</v>
          </cell>
          <cell r="C3">
            <v>5.65</v>
          </cell>
          <cell r="D3">
            <v>7</v>
          </cell>
        </row>
        <row r="4">
          <cell r="B4">
            <v>36303</v>
          </cell>
          <cell r="C4">
            <v>5.56</v>
          </cell>
          <cell r="D4">
            <v>7</v>
          </cell>
        </row>
        <row r="5">
          <cell r="B5">
            <v>36334</v>
          </cell>
          <cell r="C5">
            <v>5.48</v>
          </cell>
          <cell r="D5">
            <v>7</v>
          </cell>
        </row>
        <row r="6">
          <cell r="B6">
            <v>36356</v>
          </cell>
          <cell r="C6">
            <v>5.44</v>
          </cell>
          <cell r="D6">
            <v>7</v>
          </cell>
        </row>
        <row r="7">
          <cell r="B7">
            <v>36395</v>
          </cell>
          <cell r="C7">
            <v>5.39</v>
          </cell>
          <cell r="D7">
            <v>7</v>
          </cell>
        </row>
        <row r="8">
          <cell r="B8">
            <v>36426</v>
          </cell>
          <cell r="C8">
            <v>5.31</v>
          </cell>
          <cell r="D8">
            <v>7</v>
          </cell>
        </row>
        <row r="9">
          <cell r="B9">
            <v>36448</v>
          </cell>
          <cell r="C9">
            <v>5.26</v>
          </cell>
          <cell r="D9">
            <v>7</v>
          </cell>
        </row>
        <row r="10">
          <cell r="B10">
            <v>36487</v>
          </cell>
          <cell r="C10">
            <v>5.22</v>
          </cell>
          <cell r="D10">
            <v>7</v>
          </cell>
        </row>
        <row r="11">
          <cell r="B11">
            <v>36517</v>
          </cell>
          <cell r="C11">
            <v>5.12</v>
          </cell>
          <cell r="D11">
            <v>7</v>
          </cell>
        </row>
        <row r="12">
          <cell r="B12">
            <v>36535</v>
          </cell>
          <cell r="C12">
            <v>5.14</v>
          </cell>
          <cell r="D12">
            <v>7</v>
          </cell>
        </row>
        <row r="13">
          <cell r="B13">
            <v>36579</v>
          </cell>
          <cell r="C13">
            <v>5.15</v>
          </cell>
          <cell r="D13">
            <v>7</v>
          </cell>
        </row>
        <row r="14">
          <cell r="B14">
            <v>36608</v>
          </cell>
          <cell r="C14">
            <v>5.28</v>
          </cell>
          <cell r="D14">
            <v>7</v>
          </cell>
        </row>
        <row r="15">
          <cell r="B15">
            <v>36633</v>
          </cell>
          <cell r="C15">
            <v>5.31</v>
          </cell>
          <cell r="D15">
            <v>7</v>
          </cell>
        </row>
        <row r="16">
          <cell r="B16">
            <v>36669</v>
          </cell>
          <cell r="C16">
            <v>5.12</v>
          </cell>
          <cell r="D16">
            <v>7</v>
          </cell>
        </row>
        <row r="17">
          <cell r="B17">
            <v>36700</v>
          </cell>
          <cell r="C17">
            <v>5.03</v>
          </cell>
          <cell r="D17">
            <v>7</v>
          </cell>
        </row>
        <row r="18">
          <cell r="B18">
            <v>36717</v>
          </cell>
          <cell r="C18">
            <v>4.9800000000000004</v>
          </cell>
          <cell r="D18">
            <v>7</v>
          </cell>
        </row>
        <row r="19">
          <cell r="B19">
            <v>36761</v>
          </cell>
          <cell r="C19">
            <v>4.8499999999999996</v>
          </cell>
          <cell r="D19">
            <v>7</v>
          </cell>
        </row>
        <row r="20">
          <cell r="B20">
            <v>36792</v>
          </cell>
          <cell r="C20">
            <v>4.92</v>
          </cell>
          <cell r="D20">
            <v>7</v>
          </cell>
        </row>
        <row r="21">
          <cell r="B21">
            <v>36805</v>
          </cell>
          <cell r="C21">
            <v>4.92</v>
          </cell>
          <cell r="D21">
            <v>7</v>
          </cell>
        </row>
        <row r="22">
          <cell r="B22">
            <v>36852</v>
          </cell>
          <cell r="C22">
            <v>4.8499999999999996</v>
          </cell>
          <cell r="D22">
            <v>7</v>
          </cell>
        </row>
        <row r="23">
          <cell r="B23">
            <v>36882</v>
          </cell>
          <cell r="C23">
            <v>4.76</v>
          </cell>
          <cell r="D23">
            <v>7</v>
          </cell>
        </row>
        <row r="24">
          <cell r="B24">
            <v>36899</v>
          </cell>
          <cell r="C24">
            <v>4.76</v>
          </cell>
          <cell r="D24">
            <v>7</v>
          </cell>
        </row>
        <row r="25">
          <cell r="B25">
            <v>36945</v>
          </cell>
          <cell r="C25">
            <v>4.68</v>
          </cell>
          <cell r="D25">
            <v>7</v>
          </cell>
        </row>
        <row r="26">
          <cell r="B26">
            <v>36973</v>
          </cell>
          <cell r="C26">
            <v>4.71</v>
          </cell>
          <cell r="D26">
            <v>7</v>
          </cell>
        </row>
        <row r="27">
          <cell r="B27">
            <v>36987</v>
          </cell>
          <cell r="C27">
            <v>4.75</v>
          </cell>
          <cell r="D27">
            <v>7</v>
          </cell>
        </row>
        <row r="28">
          <cell r="B28">
            <v>37034</v>
          </cell>
          <cell r="C28">
            <v>4.78</v>
          </cell>
          <cell r="D28">
            <v>7</v>
          </cell>
        </row>
        <row r="29">
          <cell r="B29">
            <v>37065</v>
          </cell>
          <cell r="C29">
            <v>4.78</v>
          </cell>
          <cell r="D29">
            <v>7</v>
          </cell>
        </row>
        <row r="30">
          <cell r="B30">
            <v>37081</v>
          </cell>
          <cell r="C30">
            <v>4.6100000000000003</v>
          </cell>
          <cell r="D30">
            <v>7</v>
          </cell>
        </row>
        <row r="31">
          <cell r="B31">
            <v>37126</v>
          </cell>
          <cell r="C31">
            <v>4.5</v>
          </cell>
          <cell r="D31">
            <v>7</v>
          </cell>
        </row>
        <row r="32">
          <cell r="B32">
            <v>37155</v>
          </cell>
          <cell r="C32">
            <v>4.3899999999999997</v>
          </cell>
          <cell r="D32">
            <v>7</v>
          </cell>
        </row>
        <row r="33">
          <cell r="B33">
            <v>37169</v>
          </cell>
          <cell r="C33">
            <v>4.43</v>
          </cell>
          <cell r="D33">
            <v>7</v>
          </cell>
        </row>
        <row r="34">
          <cell r="B34">
            <v>37225</v>
          </cell>
          <cell r="C34">
            <v>4.24</v>
          </cell>
          <cell r="D34">
            <v>7</v>
          </cell>
        </row>
        <row r="35">
          <cell r="B35">
            <v>37246</v>
          </cell>
          <cell r="C35">
            <v>4.18</v>
          </cell>
          <cell r="D35">
            <v>7</v>
          </cell>
        </row>
        <row r="36">
          <cell r="B36">
            <v>37264</v>
          </cell>
          <cell r="C36">
            <v>4.18</v>
          </cell>
          <cell r="D36">
            <v>7</v>
          </cell>
        </row>
        <row r="37">
          <cell r="B37">
            <v>37309</v>
          </cell>
          <cell r="C37">
            <v>4.0599999999999996</v>
          </cell>
          <cell r="D37">
            <v>7</v>
          </cell>
        </row>
        <row r="38">
          <cell r="B38">
            <v>37337</v>
          </cell>
          <cell r="C38">
            <v>3.93</v>
          </cell>
          <cell r="D38">
            <v>7</v>
          </cell>
        </row>
        <row r="39">
          <cell r="B39">
            <v>37354</v>
          </cell>
          <cell r="C39">
            <v>3.88</v>
          </cell>
          <cell r="D39">
            <v>7</v>
          </cell>
        </row>
        <row r="40">
          <cell r="B40">
            <v>37399</v>
          </cell>
          <cell r="C40">
            <v>3.87</v>
          </cell>
          <cell r="D40">
            <v>7</v>
          </cell>
        </row>
        <row r="41">
          <cell r="B41">
            <v>37428</v>
          </cell>
          <cell r="C41">
            <v>3.81</v>
          </cell>
          <cell r="D41">
            <v>7</v>
          </cell>
        </row>
        <row r="42">
          <cell r="B42">
            <v>37445</v>
          </cell>
          <cell r="C42">
            <v>3.78</v>
          </cell>
          <cell r="D42">
            <v>7</v>
          </cell>
        </row>
        <row r="43">
          <cell r="B43">
            <v>37522</v>
          </cell>
          <cell r="C43">
            <v>3.63</v>
          </cell>
          <cell r="D43">
            <v>7</v>
          </cell>
        </row>
        <row r="44">
          <cell r="B44">
            <v>37536</v>
          </cell>
          <cell r="C44">
            <v>3.62</v>
          </cell>
          <cell r="D44">
            <v>7</v>
          </cell>
        </row>
      </sheetData>
      <sheetData sheetId="11"/>
      <sheetData sheetId="12"/>
      <sheetData sheetId="13" refreshError="1">
        <row r="5">
          <cell r="G5">
            <v>44768465.8442</v>
          </cell>
        </row>
      </sheetData>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row r="1">
          <cell r="W1" t="str">
            <v>As of 6/28/2002</v>
          </cell>
        </row>
      </sheetData>
      <sheetData sheetId="1" refreshError="1"/>
      <sheetData sheetId="2" refreshError="1"/>
      <sheetData sheetId="3" refreshError="1">
        <row r="3">
          <cell r="D3" t="str">
            <v>Broadstreet Ltd. Series 3</v>
          </cell>
          <cell r="G3" t="str">
            <v>Charter Communications Operating LLC and Marcus Cable Operating Company LLC</v>
          </cell>
          <cell r="J3" t="str">
            <v>Nextel Finance, Inc.(AKA Nextel Commun)</v>
          </cell>
          <cell r="M3" t="str">
            <v>American Cellular Corporation</v>
          </cell>
          <cell r="P3" t="str">
            <v>Century Cable Holdings</v>
          </cell>
          <cell r="S3" t="str">
            <v>Huntsman Corporation</v>
          </cell>
        </row>
        <row r="8">
          <cell r="D8" t="str">
            <v>Allied Waste North America, Inc.</v>
          </cell>
          <cell r="G8" t="str">
            <v>Gen Tek - Noma Ind</v>
          </cell>
          <cell r="J8" t="str">
            <v>Woodlands Commercial Properties, Inc., The</v>
          </cell>
          <cell r="M8" t="str">
            <v>Sealy Mattress Company</v>
          </cell>
          <cell r="P8" t="str">
            <v>Graham Packaging Company</v>
          </cell>
          <cell r="S8" t="str">
            <v>Century Cable Holdings</v>
          </cell>
        </row>
      </sheetData>
      <sheetData sheetId="4" refreshError="1"/>
      <sheetData sheetId="5" refreshError="1"/>
      <sheetData sheetId="6" refreshError="1"/>
      <sheetData sheetId="7" refreshError="1"/>
      <sheetData sheetId="8" refreshError="1">
        <row r="11">
          <cell r="Q11" t="str">
            <v>WA Rating</v>
          </cell>
        </row>
        <row r="12">
          <cell r="P12" t="str">
            <v>ELC 99-I *F</v>
          </cell>
          <cell r="Q12">
            <v>64</v>
          </cell>
        </row>
        <row r="13">
          <cell r="P13" t="str">
            <v>ELC 99-II</v>
          </cell>
          <cell r="Q13">
            <v>-30</v>
          </cell>
        </row>
        <row r="14">
          <cell r="P14" t="str">
            <v>ELC 98-I</v>
          </cell>
          <cell r="Q14">
            <v>-96</v>
          </cell>
        </row>
        <row r="15">
          <cell r="P15" t="str">
            <v>APEX</v>
          </cell>
          <cell r="Q15">
            <v>249</v>
          </cell>
        </row>
        <row r="16">
          <cell r="P16" t="str">
            <v>ELC 99-III</v>
          </cell>
          <cell r="Q16">
            <v>343</v>
          </cell>
        </row>
        <row r="17">
          <cell r="P17" t="str">
            <v>TRYON</v>
          </cell>
          <cell r="Q17">
            <v>220</v>
          </cell>
        </row>
        <row r="18">
          <cell r="P18" t="str">
            <v>ELC 2000</v>
          </cell>
          <cell r="Q18">
            <v>290</v>
          </cell>
        </row>
        <row r="21">
          <cell r="Q21" t="str">
            <v>Most Senior Class O/C Cushion</v>
          </cell>
        </row>
        <row r="22">
          <cell r="P22" t="str">
            <v>ELC 99-I</v>
          </cell>
          <cell r="Q22">
            <v>1.1294476757668592E-2</v>
          </cell>
        </row>
        <row r="23">
          <cell r="P23" t="str">
            <v>ELC 98-I</v>
          </cell>
          <cell r="Q23">
            <v>3.1042227221065755E-2</v>
          </cell>
        </row>
        <row r="24">
          <cell r="P24" t="str">
            <v>APEX</v>
          </cell>
          <cell r="Q24">
            <v>1.6199999999999992E-2</v>
          </cell>
        </row>
        <row r="25">
          <cell r="P25" t="str">
            <v>ELC 2000</v>
          </cell>
          <cell r="Q25">
            <v>6.9000000000001283E-3</v>
          </cell>
        </row>
        <row r="26">
          <cell r="P26" t="str">
            <v>ELC 99-III</v>
          </cell>
          <cell r="Q26">
            <v>2.8999999999999027E-3</v>
          </cell>
        </row>
        <row r="27">
          <cell r="P27" t="str">
            <v>ELC 99-II</v>
          </cell>
          <cell r="Q27">
            <v>2.2499999999999964E-2</v>
          </cell>
        </row>
        <row r="28">
          <cell r="P28" t="str">
            <v>TRYON</v>
          </cell>
          <cell r="Q28">
            <v>0.14759999999999995</v>
          </cell>
        </row>
        <row r="31">
          <cell r="Q31" t="str">
            <v>Most Senior Class I/C Cushion</v>
          </cell>
        </row>
        <row r="32">
          <cell r="P32" t="str">
            <v>ELC 99-I</v>
          </cell>
          <cell r="Q32">
            <v>0.9212720767841347</v>
          </cell>
        </row>
        <row r="33">
          <cell r="P33" t="str">
            <v>ELC 98-I</v>
          </cell>
          <cell r="Q33">
            <v>1.1597336069622766</v>
          </cell>
        </row>
        <row r="34">
          <cell r="P34" t="str">
            <v>APEX</v>
          </cell>
          <cell r="Q34">
            <v>1.0044000000000002</v>
          </cell>
        </row>
        <row r="35">
          <cell r="P35" t="str">
            <v>ELC 99-II</v>
          </cell>
          <cell r="Q35">
            <v>1.30307</v>
          </cell>
        </row>
        <row r="36">
          <cell r="P36" t="str">
            <v>TRYON</v>
          </cell>
          <cell r="Q36">
            <v>1.5772999999999999</v>
          </cell>
        </row>
        <row r="37">
          <cell r="P37" t="str">
            <v>ELC 2000</v>
          </cell>
          <cell r="Q37">
            <v>1.3357999999999999</v>
          </cell>
        </row>
        <row r="38">
          <cell r="P38" t="str">
            <v>ELC 99-III</v>
          </cell>
          <cell r="Q38">
            <v>1.3809999999999998</v>
          </cell>
        </row>
        <row r="41">
          <cell r="Q41" t="str">
            <v>Diversity Score Cushion</v>
          </cell>
        </row>
        <row r="42">
          <cell r="P42" t="str">
            <v>ELC 98-I</v>
          </cell>
          <cell r="Q42">
            <v>3.2665999999999968</v>
          </cell>
        </row>
        <row r="43">
          <cell r="P43" t="str">
            <v>TRYON</v>
          </cell>
          <cell r="Q43">
            <v>17.5</v>
          </cell>
        </row>
        <row r="44">
          <cell r="P44" t="str">
            <v>APEX</v>
          </cell>
          <cell r="Q44">
            <v>16.869999999999997</v>
          </cell>
        </row>
        <row r="45">
          <cell r="P45" t="str">
            <v>ELC 2000</v>
          </cell>
          <cell r="Q45">
            <v>15.600000000000001</v>
          </cell>
        </row>
        <row r="46">
          <cell r="P46" t="str">
            <v>ELC 99-III</v>
          </cell>
          <cell r="Q46">
            <v>15.530000000000001</v>
          </cell>
        </row>
        <row r="47">
          <cell r="P47" t="str">
            <v>ELC 99-II</v>
          </cell>
          <cell r="Q47">
            <v>21.799999999999997</v>
          </cell>
        </row>
        <row r="48">
          <cell r="P48" t="str">
            <v>ELC 99-I</v>
          </cell>
        </row>
      </sheetData>
      <sheetData sheetId="9"/>
      <sheetData sheetId="10" refreshError="1"/>
      <sheetData sheetId="11" refreshError="1"/>
      <sheetData sheetId="12" refreshError="1"/>
      <sheetData sheetId="13" refreshError="1"/>
      <sheetData sheetId="14" refreshError="1">
        <row r="2">
          <cell r="A2" t="str">
            <v>A2</v>
          </cell>
          <cell r="B2">
            <v>3.7385200383301176E-2</v>
          </cell>
          <cell r="D2" t="str">
            <v>A</v>
          </cell>
          <cell r="E2">
            <v>3.7385200383301176E-2</v>
          </cell>
          <cell r="G2" t="str">
            <v>BBB</v>
          </cell>
          <cell r="H2">
            <v>1.4472274683180467E-2</v>
          </cell>
        </row>
        <row r="3">
          <cell r="A3" t="str">
            <v>Baa2</v>
          </cell>
          <cell r="B3">
            <v>1.4472274683180473E-2</v>
          </cell>
          <cell r="D3" t="str">
            <v>BBB</v>
          </cell>
          <cell r="E3">
            <v>1.4472274683180469E-2</v>
          </cell>
          <cell r="G3" t="str">
            <v>BBB-</v>
          </cell>
          <cell r="H3">
            <v>2.4426446632877446E-2</v>
          </cell>
        </row>
        <row r="4">
          <cell r="A4" t="str">
            <v>Ba1</v>
          </cell>
          <cell r="B4">
            <v>2.4761480655376422E-2</v>
          </cell>
          <cell r="D4" t="str">
            <v>BBB-</v>
          </cell>
          <cell r="E4">
            <v>3.0920676150355346E-3</v>
          </cell>
          <cell r="G4" t="str">
            <v>BB+</v>
          </cell>
          <cell r="H4">
            <v>5.9832471946688878E-2</v>
          </cell>
        </row>
        <row r="5">
          <cell r="A5" t="str">
            <v>Ba2</v>
          </cell>
          <cell r="B5">
            <v>3.0546824143718444E-2</v>
          </cell>
          <cell r="D5" t="str">
            <v>BB+</v>
          </cell>
          <cell r="E5">
            <v>6.6508232988844299E-2</v>
          </cell>
          <cell r="G5" t="str">
            <v>BB</v>
          </cell>
          <cell r="H5">
            <v>0.15771565067703916</v>
          </cell>
        </row>
        <row r="6">
          <cell r="A6" t="str">
            <v>Ba3</v>
          </cell>
          <cell r="B6">
            <v>0.17307449645544418</v>
          </cell>
          <cell r="D6" t="str">
            <v>BB</v>
          </cell>
          <cell r="E6">
            <v>0.12034060105106804</v>
          </cell>
          <cell r="G6" t="str">
            <v>BB-</v>
          </cell>
          <cell r="H6">
            <v>0.2290754763632431</v>
          </cell>
        </row>
        <row r="7">
          <cell r="A7" t="str">
            <v>B1</v>
          </cell>
          <cell r="B7">
            <v>0.24088373367521954</v>
          </cell>
          <cell r="D7" t="str">
            <v>BB-</v>
          </cell>
          <cell r="E7">
            <v>0.19520178501319538</v>
          </cell>
          <cell r="G7" t="str">
            <v>B+</v>
          </cell>
          <cell r="H7">
            <v>0.16588844407070169</v>
          </cell>
        </row>
        <row r="8">
          <cell r="A8" t="str">
            <v>B2</v>
          </cell>
          <cell r="B8">
            <v>0.16641393737258628</v>
          </cell>
          <cell r="D8" t="str">
            <v>B+</v>
          </cell>
          <cell r="E8">
            <v>0.22211172891772987</v>
          </cell>
          <cell r="G8" t="str">
            <v>B</v>
          </cell>
          <cell r="H8">
            <v>5.855325427369789E-2</v>
          </cell>
        </row>
        <row r="9">
          <cell r="A9" t="str">
            <v>B3</v>
          </cell>
          <cell r="B9">
            <v>0.14004645787885178</v>
          </cell>
          <cell r="D9" t="str">
            <v>B</v>
          </cell>
          <cell r="E9">
            <v>9.9383389950119194E-2</v>
          </cell>
          <cell r="G9" t="str">
            <v>B-</v>
          </cell>
          <cell r="H9">
            <v>0.13062766572578416</v>
          </cell>
        </row>
        <row r="10">
          <cell r="A10" t="str">
            <v>Caa1</v>
          </cell>
          <cell r="B10">
            <v>1.557716681921E-2</v>
          </cell>
          <cell r="D10" t="str">
            <v>B-</v>
          </cell>
          <cell r="E10">
            <v>6.867407844236989E-2</v>
          </cell>
          <cell r="G10" t="str">
            <v>CCC+</v>
          </cell>
          <cell r="H10">
            <v>2.4292367476655259E-2</v>
          </cell>
        </row>
        <row r="11">
          <cell r="A11" t="str">
            <v>Caa2</v>
          </cell>
          <cell r="B11">
            <v>3.1351969506423057E-2</v>
          </cell>
          <cell r="D11" t="str">
            <v>CCC+</v>
          </cell>
          <cell r="E11">
            <v>2.4292367476655263E-2</v>
          </cell>
          <cell r="G11" t="str">
            <v>CCC</v>
          </cell>
          <cell r="H11">
            <v>3.4467402871698159E-2</v>
          </cell>
        </row>
        <row r="12">
          <cell r="A12" t="str">
            <v>Caa3</v>
          </cell>
          <cell r="B12">
            <v>6.3466299475839053E-2</v>
          </cell>
          <cell r="D12" t="str">
            <v>CCC</v>
          </cell>
          <cell r="E12">
            <v>3.2312561450331442E-2</v>
          </cell>
        </row>
        <row r="13">
          <cell r="A13" t="str">
            <v>Ca</v>
          </cell>
          <cell r="B13">
            <v>1.4477602117228072E-2</v>
          </cell>
          <cell r="D13" t="str">
            <v>CC</v>
          </cell>
          <cell r="E13">
            <v>1.5577166826375491E-2</v>
          </cell>
        </row>
        <row r="14">
          <cell r="A14" t="str">
            <v>D</v>
          </cell>
          <cell r="B14">
            <v>4.7542556833621658E-2</v>
          </cell>
          <cell r="D14" t="str">
            <v>D</v>
          </cell>
          <cell r="E14">
            <v>0.10064854520179405</v>
          </cell>
        </row>
      </sheetData>
      <sheetData sheetId="15" refreshError="1"/>
      <sheetData sheetId="16" refreshError="1"/>
      <sheetData sheetId="17" refreshError="1"/>
      <sheetData sheetId="18" refreshError="1"/>
      <sheetData sheetId="19" refreshError="1"/>
      <sheetData sheetId="20" refreshError="1">
        <row r="2">
          <cell r="A2" t="str">
            <v>A2</v>
          </cell>
          <cell r="B2">
            <v>2.1073684081758345E-2</v>
          </cell>
          <cell r="D2" t="str">
            <v>A</v>
          </cell>
          <cell r="E2">
            <v>2.1073684081758342E-2</v>
          </cell>
          <cell r="G2" t="str">
            <v>BBB</v>
          </cell>
          <cell r="H2">
            <v>8.2574435361467136E-3</v>
          </cell>
        </row>
        <row r="3">
          <cell r="A3" t="str">
            <v>Baa2</v>
          </cell>
          <cell r="B3">
            <v>4.0427067197950466E-3</v>
          </cell>
          <cell r="D3" t="str">
            <v>BBB+</v>
          </cell>
          <cell r="E3">
            <v>2.9439596573484607E-18</v>
          </cell>
          <cell r="G3" t="str">
            <v>BBB-</v>
          </cell>
          <cell r="H3">
            <v>3.9407778867585841E-2</v>
          </cell>
        </row>
        <row r="4">
          <cell r="A4" t="str">
            <v>Baa3</v>
          </cell>
          <cell r="B4">
            <v>1.365047883867055E-2</v>
          </cell>
          <cell r="D4" t="str">
            <v>BBB</v>
          </cell>
          <cell r="E4">
            <v>8.0591029799963326E-3</v>
          </cell>
          <cell r="G4" t="str">
            <v>BB+</v>
          </cell>
          <cell r="H4">
            <v>8.6955430401145631E-2</v>
          </cell>
        </row>
        <row r="5">
          <cell r="A5" t="str">
            <v>Ba1</v>
          </cell>
          <cell r="B5">
            <v>3.4782105192462838E-2</v>
          </cell>
          <cell r="D5" t="str">
            <v>BBB-</v>
          </cell>
          <cell r="E5">
            <v>7.9605341397017814E-3</v>
          </cell>
          <cell r="G5" t="str">
            <v>BB</v>
          </cell>
          <cell r="H5">
            <v>0.17784737057545774</v>
          </cell>
        </row>
        <row r="6">
          <cell r="A6" t="str">
            <v>Ba2</v>
          </cell>
          <cell r="B6">
            <v>9.8476365851369346E-2</v>
          </cell>
          <cell r="D6" t="str">
            <v>BB+</v>
          </cell>
          <cell r="E6">
            <v>0.11347173821622754</v>
          </cell>
          <cell r="G6" t="str">
            <v>BB-</v>
          </cell>
          <cell r="H6">
            <v>0.2724973058797191</v>
          </cell>
        </row>
        <row r="7">
          <cell r="A7" t="str">
            <v>Ba3</v>
          </cell>
          <cell r="B7">
            <v>0.20169572397538385</v>
          </cell>
          <cell r="D7" t="str">
            <v>BB</v>
          </cell>
          <cell r="E7">
            <v>0.17479335134035975</v>
          </cell>
          <cell r="G7" t="str">
            <v>B+</v>
          </cell>
          <cell r="H7">
            <v>0.13660906243384091</v>
          </cell>
        </row>
        <row r="8">
          <cell r="A8" t="str">
            <v>B1</v>
          </cell>
          <cell r="B8">
            <v>0.27068006806125805</v>
          </cell>
          <cell r="D8" t="str">
            <v>BB-</v>
          </cell>
          <cell r="E8">
            <v>0.24588452987488188</v>
          </cell>
          <cell r="G8" t="str">
            <v>B</v>
          </cell>
          <cell r="H8">
            <v>4.8445035609986566E-2</v>
          </cell>
        </row>
        <row r="9">
          <cell r="A9" t="str">
            <v>B2</v>
          </cell>
          <cell r="B9">
            <v>0.14040094403536021</v>
          </cell>
          <cell r="D9" t="str">
            <v>B+</v>
          </cell>
          <cell r="E9">
            <v>0.16964464675160323</v>
          </cell>
          <cell r="G9" t="str">
            <v>B-</v>
          </cell>
          <cell r="H9">
            <v>0.15189195287431512</v>
          </cell>
        </row>
        <row r="10">
          <cell r="A10" t="str">
            <v>B3</v>
          </cell>
          <cell r="B10">
            <v>0.1046194730428283</v>
          </cell>
          <cell r="D10" t="str">
            <v>B</v>
          </cell>
          <cell r="E10">
            <v>8.077919558483232E-2</v>
          </cell>
          <cell r="G10" t="str">
            <v>CCC+</v>
          </cell>
          <cell r="H10">
            <v>2.2114159988298118E-2</v>
          </cell>
        </row>
        <row r="11">
          <cell r="A11" t="str">
            <v>Caa1</v>
          </cell>
          <cell r="B11">
            <v>2.5298721940588333E-2</v>
          </cell>
          <cell r="D11" t="str">
            <v>B-</v>
          </cell>
          <cell r="E11">
            <v>7.2547953323204017E-2</v>
          </cell>
          <cell r="G11" t="str">
            <v>CCC</v>
          </cell>
          <cell r="H11">
            <v>1.7697927163304615E-2</v>
          </cell>
        </row>
        <row r="12">
          <cell r="A12" t="str">
            <v>Caa2</v>
          </cell>
          <cell r="B12">
            <v>1.5204663066253066E-2</v>
          </cell>
          <cell r="D12" t="str">
            <v>CCC+</v>
          </cell>
          <cell r="E12">
            <v>2.2114159988298129E-2</v>
          </cell>
          <cell r="G12" t="str">
            <v>CCC-</v>
          </cell>
          <cell r="H12">
            <v>5.2684210204395846E-3</v>
          </cell>
        </row>
        <row r="13">
          <cell r="A13" t="str">
            <v>Caa3</v>
          </cell>
          <cell r="B13">
            <v>5.5154950129177462E-2</v>
          </cell>
          <cell r="D13" t="str">
            <v>CCC</v>
          </cell>
          <cell r="E13">
            <v>2.2428222945905192E-2</v>
          </cell>
        </row>
        <row r="14">
          <cell r="A14" t="str">
            <v>Ca</v>
          </cell>
          <cell r="B14">
            <v>4.2147368163516687E-3</v>
          </cell>
          <cell r="D14" t="str">
            <v>CC</v>
          </cell>
          <cell r="E14">
            <v>1.7697927163304619E-2</v>
          </cell>
        </row>
        <row r="15">
          <cell r="A15" t="str">
            <v>D</v>
          </cell>
          <cell r="B15">
            <v>1.0705378248743036E-2</v>
          </cell>
          <cell r="D15" t="str">
            <v>D</v>
          </cell>
          <cell r="E15">
            <v>4.3544953609926815E-2</v>
          </cell>
        </row>
      </sheetData>
      <sheetData sheetId="21" refreshError="1"/>
      <sheetData sheetId="22" refreshError="1"/>
      <sheetData sheetId="23" refreshError="1"/>
      <sheetData sheetId="24" refreshError="1"/>
      <sheetData sheetId="25" refreshError="1">
        <row r="2">
          <cell r="A2" t="str">
            <v>A3</v>
          </cell>
          <cell r="B2">
            <v>5.3232097096345956E-3</v>
          </cell>
          <cell r="D2" t="str">
            <v>A</v>
          </cell>
          <cell r="E2">
            <v>5.3232097096345965E-3</v>
          </cell>
          <cell r="G2" t="str">
            <v>A</v>
          </cell>
          <cell r="H2">
            <v>5.3232097096345965E-3</v>
          </cell>
        </row>
        <row r="3">
          <cell r="A3" t="str">
            <v>Baa2</v>
          </cell>
          <cell r="B3">
            <v>1.0744323374139858E-2</v>
          </cell>
          <cell r="D3" t="str">
            <v>BBB+</v>
          </cell>
          <cell r="E3">
            <v>7.3058820222693648E-3</v>
          </cell>
          <cell r="G3" t="str">
            <v>BBB</v>
          </cell>
          <cell r="H3">
            <v>1.074432337413986E-2</v>
          </cell>
        </row>
        <row r="4">
          <cell r="A4" t="str">
            <v>Baa3</v>
          </cell>
          <cell r="B4">
            <v>4.8355477880716417E-3</v>
          </cell>
          <cell r="D4" t="str">
            <v>BBB</v>
          </cell>
          <cell r="E4">
            <v>1.4422302410345275E-2</v>
          </cell>
          <cell r="G4" t="str">
            <v>BBB-</v>
          </cell>
          <cell r="H4">
            <v>2.5313041613611739E-2</v>
          </cell>
        </row>
        <row r="5">
          <cell r="A5" t="str">
            <v>Ba1</v>
          </cell>
          <cell r="B5">
            <v>8.9558753095749042E-3</v>
          </cell>
          <cell r="D5" t="str">
            <v>BBB-</v>
          </cell>
          <cell r="E5">
            <v>4.821021823464609E-3</v>
          </cell>
          <cell r="G5" t="str">
            <v>BB+</v>
          </cell>
          <cell r="H5">
            <v>3.4530890234526754E-2</v>
          </cell>
        </row>
        <row r="6">
          <cell r="A6" t="str">
            <v>Ba2</v>
          </cell>
          <cell r="B6">
            <v>4.3705165613627896E-2</v>
          </cell>
          <cell r="D6" t="str">
            <v>BB+</v>
          </cell>
          <cell r="E6">
            <v>9.417418632077984E-2</v>
          </cell>
          <cell r="G6" t="str">
            <v>BB</v>
          </cell>
          <cell r="H6">
            <v>0.11585256604371132</v>
          </cell>
        </row>
        <row r="7">
          <cell r="A7" t="str">
            <v>Ba3</v>
          </cell>
          <cell r="B7">
            <v>0.18142443926036059</v>
          </cell>
          <cell r="D7" t="str">
            <v>BB</v>
          </cell>
          <cell r="E7">
            <v>0.1501774247484601</v>
          </cell>
          <cell r="G7" t="str">
            <v>BB-</v>
          </cell>
          <cell r="H7">
            <v>0.19032001954503694</v>
          </cell>
        </row>
        <row r="8">
          <cell r="A8" t="str">
            <v>B1</v>
          </cell>
          <cell r="B8">
            <v>0.27298119305761098</v>
          </cell>
          <cell r="D8" t="str">
            <v>BB-</v>
          </cell>
          <cell r="E8">
            <v>0.20854955556265084</v>
          </cell>
          <cell r="G8" t="str">
            <v>B+</v>
          </cell>
          <cell r="H8">
            <v>0.15271295161647225</v>
          </cell>
        </row>
        <row r="9">
          <cell r="A9" t="str">
            <v>B2</v>
          </cell>
          <cell r="B9">
            <v>0.17477234244575249</v>
          </cell>
          <cell r="D9" t="str">
            <v>B+</v>
          </cell>
          <cell r="E9">
            <v>0.20610405646213698</v>
          </cell>
          <cell r="G9" t="str">
            <v>B</v>
          </cell>
          <cell r="H9">
            <v>9.6481564985583565E-2</v>
          </cell>
        </row>
        <row r="10">
          <cell r="A10" t="str">
            <v>B3</v>
          </cell>
          <cell r="B10">
            <v>0.11834919165573861</v>
          </cell>
          <cell r="D10" t="str">
            <v>B</v>
          </cell>
          <cell r="E10">
            <v>0.11842893337375515</v>
          </cell>
          <cell r="G10" t="str">
            <v>B-</v>
          </cell>
          <cell r="H10">
            <v>0.19615859452918999</v>
          </cell>
        </row>
        <row r="11">
          <cell r="A11" t="str">
            <v>Caa1</v>
          </cell>
          <cell r="B11">
            <v>4.9034042156617857E-2</v>
          </cell>
          <cell r="D11" t="str">
            <v>B-</v>
          </cell>
          <cell r="E11">
            <v>6.2144586336809839E-2</v>
          </cell>
          <cell r="G11" t="str">
            <v>CCC+</v>
          </cell>
          <cell r="H11">
            <v>5.057221411514045E-2</v>
          </cell>
        </row>
        <row r="12">
          <cell r="A12" t="str">
            <v>Caa2</v>
          </cell>
          <cell r="B12">
            <v>2.9964628358706048E-2</v>
          </cell>
          <cell r="D12" t="str">
            <v>CCC+</v>
          </cell>
          <cell r="E12">
            <v>2.5637606695251336E-2</v>
          </cell>
          <cell r="G12" t="str">
            <v>CCC</v>
          </cell>
          <cell r="H12">
            <v>3.0643451173688808E-2</v>
          </cell>
        </row>
        <row r="13">
          <cell r="A13" t="str">
            <v>Caa3</v>
          </cell>
          <cell r="B13">
            <v>3.150544013171195E-2</v>
          </cell>
          <cell r="D13" t="str">
            <v>CCC</v>
          </cell>
          <cell r="E13">
            <v>1.2088869533251466E-3</v>
          </cell>
          <cell r="G13" t="str">
            <v>CCC-</v>
          </cell>
          <cell r="H13">
            <v>1.6745712318669205E-2</v>
          </cell>
        </row>
        <row r="14">
          <cell r="A14" t="str">
            <v>Ca</v>
          </cell>
          <cell r="B14">
            <v>6.3492845200729432E-3</v>
          </cell>
          <cell r="D14" t="str">
            <v>CCC-</v>
          </cell>
          <cell r="E14">
            <v>1.6703664076814419E-2</v>
          </cell>
          <cell r="G14" t="str">
            <v>CC</v>
          </cell>
          <cell r="H14">
            <v>6.3492845200729441E-3</v>
          </cell>
        </row>
        <row r="15">
          <cell r="A15" t="str">
            <v>D</v>
          </cell>
          <cell r="B15">
            <v>6.2055316618379514E-2</v>
          </cell>
          <cell r="D15" t="str">
            <v>CC</v>
          </cell>
          <cell r="E15">
            <v>1.4759727813042751E-2</v>
          </cell>
        </row>
        <row r="16">
          <cell r="D16" t="str">
            <v>D</v>
          </cell>
          <cell r="E16">
            <v>7.023895569125975E-2</v>
          </cell>
        </row>
      </sheetData>
      <sheetData sheetId="26" refreshError="1"/>
      <sheetData sheetId="27" refreshError="1"/>
      <sheetData sheetId="28" refreshError="1"/>
      <sheetData sheetId="29" refreshError="1"/>
      <sheetData sheetId="30" refreshError="1"/>
      <sheetData sheetId="31" refreshError="1">
        <row r="2">
          <cell r="A2" t="str">
            <v>Baa2</v>
          </cell>
          <cell r="B2">
            <v>5.9946772315449927E-3</v>
          </cell>
          <cell r="D2" t="str">
            <v>BBB</v>
          </cell>
          <cell r="E2">
            <v>5.9946772315449936E-3</v>
          </cell>
        </row>
        <row r="3">
          <cell r="A3" t="str">
            <v>Baa3</v>
          </cell>
          <cell r="B3">
            <v>2.1502434672717848E-2</v>
          </cell>
          <cell r="D3" t="str">
            <v>BBB-</v>
          </cell>
          <cell r="E3">
            <v>7.7234551547616711E-3</v>
          </cell>
        </row>
        <row r="4">
          <cell r="A4" t="str">
            <v>Ba1</v>
          </cell>
          <cell r="B4">
            <v>2.9661423012898407E-2</v>
          </cell>
          <cell r="D4" t="str">
            <v>BB+</v>
          </cell>
          <cell r="E4">
            <v>0.13981433282892808</v>
          </cell>
        </row>
        <row r="5">
          <cell r="A5" t="str">
            <v>Ba2</v>
          </cell>
          <cell r="B5">
            <v>7.3481876253466527E-2</v>
          </cell>
          <cell r="D5" t="str">
            <v>BB</v>
          </cell>
          <cell r="E5">
            <v>0.13683183875616364</v>
          </cell>
        </row>
        <row r="6">
          <cell r="A6" t="str">
            <v>Ba3</v>
          </cell>
          <cell r="B6">
            <v>0.20093774038661363</v>
          </cell>
          <cell r="D6" t="str">
            <v>BB-</v>
          </cell>
          <cell r="E6">
            <v>0.23501796394076405</v>
          </cell>
        </row>
        <row r="7">
          <cell r="A7" t="str">
            <v>B1</v>
          </cell>
          <cell r="B7">
            <v>0.3263672425224084</v>
          </cell>
          <cell r="D7" t="str">
            <v>B+</v>
          </cell>
          <cell r="E7">
            <v>0.22416807448746529</v>
          </cell>
        </row>
        <row r="8">
          <cell r="A8" t="str">
            <v>B2</v>
          </cell>
          <cell r="B8">
            <v>0.17578056446008242</v>
          </cell>
          <cell r="D8" t="str">
            <v>B</v>
          </cell>
          <cell r="E8">
            <v>6.9611117817670778E-2</v>
          </cell>
        </row>
        <row r="9">
          <cell r="A9" t="str">
            <v>B3</v>
          </cell>
          <cell r="B9">
            <v>8.1164621172892609E-2</v>
          </cell>
          <cell r="D9" t="str">
            <v>B-</v>
          </cell>
          <cell r="E9">
            <v>5.9467038025883767E-2</v>
          </cell>
        </row>
        <row r="10">
          <cell r="A10" t="str">
            <v>Caa1</v>
          </cell>
          <cell r="B10">
            <v>2.2847379310057363E-2</v>
          </cell>
          <cell r="D10" t="str">
            <v>CCC+</v>
          </cell>
          <cell r="E10">
            <v>3.3234163536274529E-2</v>
          </cell>
        </row>
        <row r="11">
          <cell r="A11" t="str">
            <v>Caa2</v>
          </cell>
          <cell r="B11">
            <v>1.3395198014716446E-2</v>
          </cell>
          <cell r="D11" t="str">
            <v>CCC</v>
          </cell>
          <cell r="E11">
            <v>1.3602939917771997E-2</v>
          </cell>
        </row>
        <row r="12">
          <cell r="A12" t="str">
            <v>Caa3</v>
          </cell>
          <cell r="B12">
            <v>3.0971248740898925E-2</v>
          </cell>
          <cell r="D12" t="str">
            <v>CCC-</v>
          </cell>
          <cell r="E12">
            <v>2.8403216032799394E-2</v>
          </cell>
        </row>
        <row r="13">
          <cell r="A13" t="str">
            <v>D</v>
          </cell>
          <cell r="B13">
            <v>1.7895594221702341E-2</v>
          </cell>
          <cell r="D13" t="str">
            <v>CC</v>
          </cell>
          <cell r="E13">
            <v>1.5485624370449464E-2</v>
          </cell>
        </row>
        <row r="14">
          <cell r="D14" t="str">
            <v>D</v>
          </cell>
          <cell r="E14">
            <v>3.0645557899522367E-2</v>
          </cell>
        </row>
      </sheetData>
      <sheetData sheetId="32" refreshError="1"/>
      <sheetData sheetId="33" refreshError="1"/>
      <sheetData sheetId="34" refreshError="1"/>
      <sheetData sheetId="35" refreshError="1"/>
      <sheetData sheetId="36" refreshError="1">
        <row r="2">
          <cell r="A2" t="str">
            <v>Baa2</v>
          </cell>
          <cell r="B2">
            <v>5.8171832567974913E-3</v>
          </cell>
          <cell r="D2" t="str">
            <v>BBB+</v>
          </cell>
          <cell r="E2">
            <v>9.3626895225603886E-4</v>
          </cell>
        </row>
        <row r="3">
          <cell r="A3" t="str">
            <v>Baa3</v>
          </cell>
          <cell r="B3">
            <v>1.0412017893144915E-2</v>
          </cell>
          <cell r="D3" t="str">
            <v>BBB</v>
          </cell>
          <cell r="E3">
            <v>9.7949494628859785E-3</v>
          </cell>
        </row>
        <row r="4">
          <cell r="A4" t="str">
            <v>Ba1</v>
          </cell>
          <cell r="B4">
            <v>3.8734854608280578E-2</v>
          </cell>
          <cell r="D4" t="str">
            <v>BBB-</v>
          </cell>
          <cell r="E4">
            <v>5.5499717215846869E-3</v>
          </cell>
        </row>
        <row r="5">
          <cell r="A5" t="str">
            <v>Ba2</v>
          </cell>
          <cell r="B5">
            <v>7.1637776741333772E-2</v>
          </cell>
          <cell r="D5" t="str">
            <v>BB+</v>
          </cell>
          <cell r="E5">
            <v>0.12581418550008469</v>
          </cell>
        </row>
        <row r="6">
          <cell r="A6" t="str">
            <v>Ba3</v>
          </cell>
          <cell r="B6">
            <v>0.22048285940705969</v>
          </cell>
          <cell r="D6" t="str">
            <v>BB</v>
          </cell>
          <cell r="E6">
            <v>0.18552905183788448</v>
          </cell>
        </row>
        <row r="7">
          <cell r="A7" t="str">
            <v>B1</v>
          </cell>
          <cell r="B7">
            <v>0.28532402532341361</v>
          </cell>
          <cell r="D7" t="str">
            <v>BB-</v>
          </cell>
          <cell r="E7">
            <v>0.2210240740181855</v>
          </cell>
        </row>
        <row r="8">
          <cell r="A8" t="str">
            <v>B2</v>
          </cell>
          <cell r="B8">
            <v>0.14304347534272696</v>
          </cell>
          <cell r="D8" t="str">
            <v>B+</v>
          </cell>
          <cell r="E8">
            <v>0.19206162138303387</v>
          </cell>
        </row>
        <row r="9">
          <cell r="A9" t="str">
            <v>B3</v>
          </cell>
          <cell r="B9">
            <v>0.11136149830346929</v>
          </cell>
          <cell r="D9" t="str">
            <v>B</v>
          </cell>
          <cell r="E9">
            <v>8.8491534774621475E-2</v>
          </cell>
        </row>
        <row r="10">
          <cell r="A10" t="str">
            <v>Caa1</v>
          </cell>
          <cell r="B10">
            <v>1.394378153064308E-2</v>
          </cell>
          <cell r="D10" t="str">
            <v>B-</v>
          </cell>
          <cell r="E10">
            <v>5.9322495127190469E-2</v>
          </cell>
        </row>
        <row r="11">
          <cell r="A11" t="str">
            <v>Caa2</v>
          </cell>
          <cell r="B11">
            <v>2.912808312544226E-2</v>
          </cell>
          <cell r="D11" t="str">
            <v>CCC+</v>
          </cell>
          <cell r="E11">
            <v>2.2508433969376157E-2</v>
          </cell>
        </row>
        <row r="12">
          <cell r="A12" t="str">
            <v>Caa3</v>
          </cell>
          <cell r="B12">
            <v>2.7350033586114864E-2</v>
          </cell>
          <cell r="D12" t="str">
            <v>CCC</v>
          </cell>
          <cell r="E12">
            <v>2.9144978452407856E-2</v>
          </cell>
        </row>
        <row r="13">
          <cell r="A13" t="str">
            <v>Ca</v>
          </cell>
          <cell r="B13">
            <v>1.9899573460405103E-2</v>
          </cell>
          <cell r="D13" t="str">
            <v>CC</v>
          </cell>
          <cell r="E13">
            <v>1.0435497763111918E-2</v>
          </cell>
        </row>
        <row r="14">
          <cell r="A14" t="str">
            <v>D</v>
          </cell>
          <cell r="B14">
            <v>2.2864837421168276E-2</v>
          </cell>
          <cell r="D14" t="str">
            <v>D</v>
          </cell>
          <cell r="E14">
            <v>4.9386937037376906E-2</v>
          </cell>
        </row>
      </sheetData>
      <sheetData sheetId="37" refreshError="1"/>
      <sheetData sheetId="38" refreshError="1"/>
      <sheetData sheetId="39" refreshError="1"/>
      <sheetData sheetId="40" refreshError="1"/>
      <sheetData sheetId="41" refreshError="1">
        <row r="2">
          <cell r="A2" t="str">
            <v>A2</v>
          </cell>
          <cell r="B2">
            <v>5.4281138971520333E-3</v>
          </cell>
          <cell r="D2" t="str">
            <v>A</v>
          </cell>
          <cell r="E2">
            <v>5.4281138971520341E-3</v>
          </cell>
        </row>
        <row r="3">
          <cell r="A3" t="str">
            <v>Baa2</v>
          </cell>
          <cell r="B3">
            <v>8.271250134241943E-3</v>
          </cell>
          <cell r="D3" t="str">
            <v>BBB+</v>
          </cell>
          <cell r="E3">
            <v>9.6172450542385648E-4</v>
          </cell>
        </row>
        <row r="4">
          <cell r="A4" t="str">
            <v>Baa3</v>
          </cell>
          <cell r="B4">
            <v>1.5757255043349943E-2</v>
          </cell>
          <cell r="D4" t="str">
            <v>BBB</v>
          </cell>
          <cell r="E4">
            <v>8.0694765601691948E-3</v>
          </cell>
        </row>
        <row r="5">
          <cell r="A5" t="str">
            <v>Ba1</v>
          </cell>
          <cell r="B5">
            <v>2.7692355296492693E-2</v>
          </cell>
          <cell r="D5" t="str">
            <v>BBB-</v>
          </cell>
          <cell r="E5">
            <v>2.956484622908034E-2</v>
          </cell>
        </row>
        <row r="6">
          <cell r="A6" t="str">
            <v>Ba2</v>
          </cell>
          <cell r="B6">
            <v>0.15440978913814124</v>
          </cell>
          <cell r="D6" t="str">
            <v>BB+</v>
          </cell>
          <cell r="E6">
            <v>8.5558206342447804E-2</v>
          </cell>
        </row>
        <row r="7">
          <cell r="A7" t="str">
            <v>Ba3</v>
          </cell>
          <cell r="B7">
            <v>0.34523375103438464</v>
          </cell>
          <cell r="D7" t="str">
            <v>BB</v>
          </cell>
          <cell r="E7">
            <v>0.19004889479452075</v>
          </cell>
        </row>
        <row r="8">
          <cell r="A8" t="str">
            <v>B1</v>
          </cell>
          <cell r="B8">
            <v>0.2504426660956347</v>
          </cell>
          <cell r="D8" t="str">
            <v>BB-</v>
          </cell>
          <cell r="E8">
            <v>0.27387535191146356</v>
          </cell>
        </row>
        <row r="9">
          <cell r="A9" t="str">
            <v>B2</v>
          </cell>
          <cell r="B9">
            <v>9.3370535710470964E-2</v>
          </cell>
          <cell r="D9" t="str">
            <v>B+</v>
          </cell>
          <cell r="E9">
            <v>0.20202036814548255</v>
          </cell>
        </row>
        <row r="10">
          <cell r="A10" t="str">
            <v>B3</v>
          </cell>
          <cell r="B10">
            <v>2.2429970167819897E-2</v>
          </cell>
          <cell r="D10" t="str">
            <v>B</v>
          </cell>
          <cell r="E10">
            <v>7.129751852236367E-2</v>
          </cell>
        </row>
        <row r="11">
          <cell r="A11" t="str">
            <v>Caa1</v>
          </cell>
          <cell r="B11">
            <v>2.1438442235850266E-3</v>
          </cell>
          <cell r="D11" t="str">
            <v>B-</v>
          </cell>
          <cell r="E11">
            <v>7.2034749610489113E-2</v>
          </cell>
        </row>
        <row r="12">
          <cell r="A12" t="str">
            <v>Caa2</v>
          </cell>
          <cell r="B12">
            <v>4.7753534037208667E-2</v>
          </cell>
          <cell r="D12" t="str">
            <v>CCC+</v>
          </cell>
          <cell r="E12">
            <v>1.0610672048442177E-3</v>
          </cell>
        </row>
        <row r="13">
          <cell r="A13" t="str">
            <v>Caa3</v>
          </cell>
          <cell r="B13">
            <v>9.9625702209942997E-3</v>
          </cell>
          <cell r="D13" t="str">
            <v>CCC</v>
          </cell>
          <cell r="E13">
            <v>1.0502382707401984E-2</v>
          </cell>
        </row>
        <row r="14">
          <cell r="A14" t="str">
            <v>Ca</v>
          </cell>
          <cell r="B14">
            <v>1.0478038642771817E-2</v>
          </cell>
          <cell r="D14" t="str">
            <v>CC</v>
          </cell>
          <cell r="E14">
            <v>1.7150753788680213E-2</v>
          </cell>
        </row>
        <row r="15">
          <cell r="A15" t="str">
            <v>D</v>
          </cell>
          <cell r="B15">
            <v>6.6263263577521049E-3</v>
          </cell>
          <cell r="D15" t="str">
            <v>D</v>
          </cell>
          <cell r="E15">
            <v>2.1948507137708972E-2</v>
          </cell>
        </row>
      </sheetData>
      <sheetData sheetId="42" refreshError="1"/>
      <sheetData sheetId="43" refreshError="1"/>
      <sheetData sheetId="44" refreshError="1"/>
      <sheetData sheetId="45" refreshError="1"/>
      <sheetData sheetId="46" refreshError="1">
        <row r="3">
          <cell r="M3">
            <v>36903</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row r="5">
          <cell r="U5">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D7" t="str">
            <v>Wicks Medical Information, L.L.C.</v>
          </cell>
        </row>
        <row r="8">
          <cell r="D8" t="str">
            <v>Acquisitions of Jobson and DesignWrite</v>
          </cell>
        </row>
        <row r="9">
          <cell r="D9" t="str">
            <v>MODEL VERSION: BASE CASE</v>
          </cell>
        </row>
        <row r="10">
          <cell r="D10" t="str">
            <v>CONFIDENTIAL</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row r="2">
          <cell r="K2" t="str">
            <v>(Dollars in Thousands)</v>
          </cell>
        </row>
        <row r="12">
          <cell r="E12">
            <v>19250</v>
          </cell>
        </row>
        <row r="21">
          <cell r="J21">
            <v>0.85</v>
          </cell>
        </row>
      </sheetData>
      <sheetData sheetId="1"/>
      <sheetData sheetId="2"/>
      <sheetData sheetId="3" refreshError="1"/>
      <sheetData sheetId="4" refreshError="1"/>
      <sheetData sheetId="5"/>
      <sheetData sheetId="6" refreshError="1"/>
      <sheetData sheetId="7" refreshError="1">
        <row r="12">
          <cell r="A12" t="str">
            <v>Management / Base Case</v>
          </cell>
        </row>
        <row r="13">
          <cell r="A13" t="str">
            <v>Wicks Case</v>
          </cell>
        </row>
        <row r="14">
          <cell r="A14" t="str">
            <v>Other</v>
          </cell>
        </row>
      </sheetData>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row r="5">
          <cell r="C5" t="str">
            <v>2000 Q1</v>
          </cell>
          <cell r="D5">
            <v>3</v>
          </cell>
        </row>
        <row r="6">
          <cell r="C6" t="str">
            <v>2000 Q2</v>
          </cell>
          <cell r="D6">
            <v>4</v>
          </cell>
        </row>
        <row r="7">
          <cell r="C7" t="str">
            <v>2000 Q3</v>
          </cell>
          <cell r="D7">
            <v>5</v>
          </cell>
        </row>
        <row r="8">
          <cell r="C8" t="str">
            <v>2000 Q4</v>
          </cell>
          <cell r="D8">
            <v>6</v>
          </cell>
        </row>
        <row r="9">
          <cell r="C9" t="str">
            <v>2001 Q1</v>
          </cell>
          <cell r="D9">
            <v>7</v>
          </cell>
        </row>
        <row r="10">
          <cell r="C10" t="str">
            <v>2001 Q2</v>
          </cell>
          <cell r="D10">
            <v>8</v>
          </cell>
        </row>
        <row r="11">
          <cell r="C11" t="str">
            <v>2001 Q3</v>
          </cell>
          <cell r="D11">
            <v>9</v>
          </cell>
        </row>
        <row r="12">
          <cell r="C12" t="str">
            <v>2001 Q4</v>
          </cell>
          <cell r="D12">
            <v>10</v>
          </cell>
        </row>
        <row r="13">
          <cell r="C13" t="str">
            <v>2002 Q1</v>
          </cell>
          <cell r="D13">
            <v>11</v>
          </cell>
        </row>
        <row r="14">
          <cell r="C14" t="str">
            <v>2002 Q2</v>
          </cell>
          <cell r="D14">
            <v>12</v>
          </cell>
        </row>
        <row r="15">
          <cell r="C15" t="str">
            <v>2002 Q3</v>
          </cell>
          <cell r="D15">
            <v>13</v>
          </cell>
        </row>
        <row r="16">
          <cell r="C16" t="str">
            <v>2002 Q4</v>
          </cell>
          <cell r="D16">
            <v>14</v>
          </cell>
        </row>
        <row r="17">
          <cell r="C17" t="str">
            <v>2003 Q1</v>
          </cell>
          <cell r="D17">
            <v>15</v>
          </cell>
        </row>
        <row r="18">
          <cell r="C18" t="str">
            <v>2003 Q2</v>
          </cell>
          <cell r="D18">
            <v>16</v>
          </cell>
        </row>
        <row r="19">
          <cell r="C19" t="str">
            <v>2003 Q3</v>
          </cell>
          <cell r="D19">
            <v>17</v>
          </cell>
        </row>
        <row r="20">
          <cell r="C20" t="str">
            <v>2003 Q4</v>
          </cell>
          <cell r="D20">
            <v>18</v>
          </cell>
        </row>
        <row r="21">
          <cell r="C21" t="str">
            <v>2004 Q1</v>
          </cell>
          <cell r="D21">
            <v>19</v>
          </cell>
        </row>
        <row r="22">
          <cell r="C22" t="str">
            <v>2004 Q2</v>
          </cell>
          <cell r="D22">
            <v>20</v>
          </cell>
        </row>
        <row r="23">
          <cell r="C23" t="str">
            <v>2004 Q3</v>
          </cell>
          <cell r="D23">
            <v>21</v>
          </cell>
        </row>
        <row r="24">
          <cell r="C24" t="str">
            <v>2004 Q4</v>
          </cell>
          <cell r="D24">
            <v>22</v>
          </cell>
        </row>
        <row r="25">
          <cell r="C25" t="str">
            <v>2005 Q1</v>
          </cell>
          <cell r="D25">
            <v>23</v>
          </cell>
        </row>
        <row r="26">
          <cell r="C26" t="str">
            <v>2005 Q2</v>
          </cell>
          <cell r="D26">
            <v>24</v>
          </cell>
        </row>
        <row r="27">
          <cell r="C27" t="str">
            <v>2005 Q3</v>
          </cell>
          <cell r="D27">
            <v>25</v>
          </cell>
        </row>
        <row r="28">
          <cell r="C28" t="str">
            <v>2005 Q4</v>
          </cell>
          <cell r="D28">
            <v>26</v>
          </cell>
        </row>
        <row r="29">
          <cell r="C29" t="str">
            <v>2006 Q1</v>
          </cell>
          <cell r="D29">
            <v>27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row r="7">
          <cell r="D7" t="str">
            <v>Wicks Medical Information, L.L.C.</v>
          </cell>
        </row>
        <row r="8">
          <cell r="D8" t="str">
            <v>Acquisitions of Jobson and DesignWrite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
          <cell r="A1" t="str">
            <v>Crescent Publishing Company, LLC</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row r="13">
          <cell r="O13">
            <v>3194345.706668355</v>
          </cell>
        </row>
        <row r="26">
          <cell r="J26">
            <v>15000000</v>
          </cell>
        </row>
        <row r="28">
          <cell r="J28">
            <v>37164</v>
          </cell>
        </row>
        <row r="30">
          <cell r="J30">
            <v>0.08</v>
          </cell>
        </row>
        <row r="35">
          <cell r="E35">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row r="1">
          <cell r="A1" t="str">
            <v>December 1999</v>
          </cell>
        </row>
        <row r="2">
          <cell r="A2" t="str">
            <v>Preliminary</v>
          </cell>
        </row>
        <row r="4">
          <cell r="A4" t="str">
            <v>Customer</v>
          </cell>
          <cell r="B4" t="str">
            <v>Totals by Client</v>
          </cell>
          <cell r="C4" t="str">
            <v>Consulting</v>
          </cell>
          <cell r="D4" t="str">
            <v>Adjustments</v>
          </cell>
        </row>
        <row r="6">
          <cell r="A6" t="str">
            <v>BOO.Com</v>
          </cell>
          <cell r="C6">
            <v>39352</v>
          </cell>
        </row>
        <row r="7">
          <cell r="A7" t="str">
            <v>Boots Health</v>
          </cell>
          <cell r="C7">
            <v>141068</v>
          </cell>
        </row>
        <row r="8">
          <cell r="A8" t="str">
            <v>Mearsk</v>
          </cell>
          <cell r="C8">
            <v>1121449</v>
          </cell>
        </row>
        <row r="9">
          <cell r="A9" t="str">
            <v>BSkyB Limited</v>
          </cell>
          <cell r="C9">
            <v>512870</v>
          </cell>
        </row>
        <row r="11">
          <cell r="A11" t="str">
            <v>Total TTE</v>
          </cell>
          <cell r="C11">
            <v>1814739</v>
          </cell>
          <cell r="D11">
            <v>0</v>
          </cell>
        </row>
        <row r="13">
          <cell r="A13" t="str">
            <v>Ameritech AcceSS7 Bus. Intel</v>
          </cell>
          <cell r="C13">
            <v>4000</v>
          </cell>
        </row>
        <row r="14">
          <cell r="A14" t="str">
            <v xml:space="preserve">Ameritech-Merger Stipulation </v>
          </cell>
          <cell r="C14">
            <v>19650</v>
          </cell>
        </row>
        <row r="15">
          <cell r="A15" t="str">
            <v>Ameritech-Total</v>
          </cell>
          <cell r="B15">
            <v>23650</v>
          </cell>
        </row>
        <row r="16">
          <cell r="A16" t="str">
            <v xml:space="preserve">Donnelley-Link Maint. </v>
          </cell>
          <cell r="C16">
            <v>82895</v>
          </cell>
        </row>
        <row r="17">
          <cell r="A17" t="str">
            <v xml:space="preserve">Donnelley-Link Support Chg Order </v>
          </cell>
          <cell r="C17">
            <v>1400</v>
          </cell>
        </row>
        <row r="18">
          <cell r="A18" t="str">
            <v>Donnelley-Total</v>
          </cell>
          <cell r="B18">
            <v>84295</v>
          </cell>
        </row>
        <row r="19">
          <cell r="A19" t="str">
            <v>EarthWeb</v>
          </cell>
          <cell r="B19">
            <v>300000</v>
          </cell>
          <cell r="C19">
            <v>300000</v>
          </cell>
        </row>
        <row r="20">
          <cell r="A20" t="str">
            <v>eBay</v>
          </cell>
          <cell r="B20">
            <v>2387.5</v>
          </cell>
          <cell r="C20">
            <v>2387.5</v>
          </cell>
        </row>
        <row r="21">
          <cell r="A21" t="str">
            <v>E*Trade -Cap. Proj. Ph. 2</v>
          </cell>
          <cell r="C21">
            <v>4800</v>
          </cell>
        </row>
        <row r="22">
          <cell r="A22" t="str">
            <v>E*Trade-CIO Support</v>
          </cell>
          <cell r="C22">
            <v>155298.70000000001</v>
          </cell>
        </row>
        <row r="23">
          <cell r="A23" t="str">
            <v>E*Trade-CRM project</v>
          </cell>
          <cell r="C23">
            <v>1800</v>
          </cell>
        </row>
        <row r="24">
          <cell r="A24" t="str">
            <v>E*Trade-Enterprise Bus. Office</v>
          </cell>
          <cell r="C24">
            <v>43400</v>
          </cell>
        </row>
        <row r="25">
          <cell r="A25" t="str">
            <v>E*Trade-International</v>
          </cell>
          <cell r="C25">
            <v>283650</v>
          </cell>
        </row>
        <row r="26">
          <cell r="A26" t="str">
            <v>E*Trade-Inter. Global Trading</v>
          </cell>
          <cell r="C26">
            <v>559800</v>
          </cell>
        </row>
        <row r="27">
          <cell r="A27" t="str">
            <v>E*Trade-Real Time Acct Bal.</v>
          </cell>
          <cell r="C27">
            <v>1200</v>
          </cell>
        </row>
        <row r="28">
          <cell r="A28" t="str">
            <v>E*Trade-Retail Bus. Unit</v>
          </cell>
          <cell r="C28">
            <v>76100</v>
          </cell>
        </row>
        <row r="29">
          <cell r="A29" t="str">
            <v>E*Trade-Retail Projects</v>
          </cell>
          <cell r="C29">
            <v>187800</v>
          </cell>
        </row>
        <row r="30">
          <cell r="A30" t="str">
            <v>E*Trade-Stds/Arch/PO/Support</v>
          </cell>
          <cell r="C30">
            <v>299950</v>
          </cell>
        </row>
        <row r="31">
          <cell r="A31" t="str">
            <v>E*Trade-Trading Div. Products</v>
          </cell>
          <cell r="C31">
            <v>518980</v>
          </cell>
        </row>
        <row r="32">
          <cell r="A32" t="str">
            <v>E*Trade - Retro OT</v>
          </cell>
          <cell r="C32">
            <v>0</v>
          </cell>
        </row>
        <row r="33">
          <cell r="A33" t="str">
            <v>E*Trade-Total</v>
          </cell>
          <cell r="B33">
            <v>2132778.7000000002</v>
          </cell>
        </row>
        <row r="34">
          <cell r="A34" t="str">
            <v>E-Xact</v>
          </cell>
          <cell r="B34">
            <v>72937.5</v>
          </cell>
          <cell r="C34">
            <v>72937.5</v>
          </cell>
        </row>
        <row r="35">
          <cell r="A35" t="str">
            <v>Fixolutions</v>
          </cell>
          <cell r="B35">
            <v>25178.57</v>
          </cell>
          <cell r="C35">
            <v>25178.57</v>
          </cell>
        </row>
        <row r="36">
          <cell r="A36" t="str">
            <v xml:space="preserve">Gartner </v>
          </cell>
          <cell r="B36">
            <v>20925</v>
          </cell>
          <cell r="C36">
            <v>20925</v>
          </cell>
        </row>
        <row r="37">
          <cell r="A37" t="str">
            <v>Hartford-Claims InKownV. 990006</v>
          </cell>
          <cell r="B37" t="str">
            <v xml:space="preserve"> </v>
          </cell>
          <cell r="C37">
            <v>348285</v>
          </cell>
        </row>
        <row r="38">
          <cell r="A38" t="str">
            <v>Hartford-Claims InKownV. Perf. 990007</v>
          </cell>
          <cell r="C38">
            <v>33000</v>
          </cell>
        </row>
        <row r="39">
          <cell r="A39" t="str">
            <v>Hartford-Comm 990014</v>
          </cell>
          <cell r="C39">
            <v>20400</v>
          </cell>
        </row>
        <row r="40">
          <cell r="A40" t="str">
            <v>Hartford-CWS 990015</v>
          </cell>
          <cell r="C40">
            <v>27800</v>
          </cell>
        </row>
        <row r="41">
          <cell r="A41" t="str">
            <v>Hartford-Opt. Read. Impl. 990016</v>
          </cell>
          <cell r="C41">
            <v>8000</v>
          </cell>
        </row>
        <row r="42">
          <cell r="A42" t="str">
            <v>Hartford-Total</v>
          </cell>
          <cell r="B42">
            <v>437485</v>
          </cell>
        </row>
        <row r="43">
          <cell r="A43" t="str">
            <v>Hewlett-Packard</v>
          </cell>
          <cell r="B43">
            <v>60000</v>
          </cell>
          <cell r="C43">
            <v>60000</v>
          </cell>
        </row>
        <row r="44">
          <cell r="A44" t="str">
            <v>Hugeclick</v>
          </cell>
        </row>
        <row r="45">
          <cell r="A45" t="str">
            <v>IAN</v>
          </cell>
          <cell r="B45">
            <v>462500</v>
          </cell>
          <cell r="C45">
            <v>462500</v>
          </cell>
        </row>
        <row r="46">
          <cell r="A46" t="str">
            <v>InfoUSA</v>
          </cell>
          <cell r="B46">
            <v>126082.32</v>
          </cell>
          <cell r="C46">
            <v>126082.32</v>
          </cell>
        </row>
        <row r="47">
          <cell r="A47" t="str">
            <v>MN Market Place</v>
          </cell>
          <cell r="B47">
            <v>12500</v>
          </cell>
          <cell r="C47">
            <v>12500</v>
          </cell>
        </row>
        <row r="48">
          <cell r="A48" t="str">
            <v>Qwest-CMDSS</v>
          </cell>
          <cell r="C48">
            <v>207817.23</v>
          </cell>
        </row>
        <row r="49">
          <cell r="A49" t="str">
            <v>Qwest-Cust. DB Funct. Enhan.</v>
          </cell>
          <cell r="C49">
            <v>5932.4</v>
          </cell>
        </row>
        <row r="50">
          <cell r="A50" t="str">
            <v>Qwest-Web Strategy</v>
          </cell>
          <cell r="C50">
            <v>6800</v>
          </cell>
        </row>
        <row r="51">
          <cell r="A51" t="str">
            <v>Qwest-Total</v>
          </cell>
          <cell r="B51">
            <v>220549.63</v>
          </cell>
        </row>
        <row r="52">
          <cell r="A52" t="str">
            <v>SUN Intranet Portal</v>
          </cell>
          <cell r="B52">
            <v>34200</v>
          </cell>
          <cell r="C52">
            <v>34200</v>
          </cell>
        </row>
        <row r="53">
          <cell r="A53" t="str">
            <v>SUN PTE</v>
          </cell>
          <cell r="B53">
            <v>7250</v>
          </cell>
          <cell r="C53">
            <v>7250</v>
          </cell>
        </row>
        <row r="54">
          <cell r="A54" t="str">
            <v>Universal Studios</v>
          </cell>
          <cell r="B54">
            <v>13937.5</v>
          </cell>
          <cell r="C54">
            <v>13937.5</v>
          </cell>
        </row>
        <row r="55">
          <cell r="A55" t="str">
            <v xml:space="preserve">US West-Architecture Assess. </v>
          </cell>
          <cell r="C55">
            <v>79320.25</v>
          </cell>
        </row>
        <row r="56">
          <cell r="A56" t="str">
            <v xml:space="preserve">US West-C3PO </v>
          </cell>
          <cell r="C56">
            <v>170172.5</v>
          </cell>
        </row>
        <row r="57">
          <cell r="A57" t="str">
            <v>US West-E-COM Arch.</v>
          </cell>
          <cell r="C57">
            <v>23902</v>
          </cell>
        </row>
        <row r="58">
          <cell r="A58" t="str">
            <v>US West-E-COM Arch. Coord.</v>
          </cell>
          <cell r="C58">
            <v>9280</v>
          </cell>
        </row>
        <row r="59">
          <cell r="A59" t="str">
            <v>US West-Tools Inventory</v>
          </cell>
          <cell r="C59">
            <v>23568.75</v>
          </cell>
        </row>
        <row r="60">
          <cell r="A60" t="str">
            <v xml:space="preserve">US West-Total </v>
          </cell>
          <cell r="B60">
            <v>306243.5</v>
          </cell>
        </row>
        <row r="64">
          <cell r="A64" t="str">
            <v>Total Billable Production</v>
          </cell>
          <cell r="B64">
            <v>4342900.22</v>
          </cell>
          <cell r="C64">
            <v>4342900.22</v>
          </cell>
          <cell r="D64">
            <v>0</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row r="2">
          <cell r="E2">
            <v>350.00000000000006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 val="IncStmt"/>
    </sheetNames>
    <sheetDataSet>
      <sheetData sheetId="0" refreshError="1">
        <row r="130">
          <cell r="G1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 val="Fly-by-night - problem 5"/>
    </sheetNames>
    <sheetDataSet>
      <sheetData sheetId="0" refreshError="1"/>
      <sheetData sheetId="1" refreshError="1"/>
      <sheetData sheetId="2" refreshError="1">
        <row r="2">
          <cell r="Q2">
            <v>36.25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e">
            <v>#REF!</v>
          </cell>
        </row>
        <row r="4">
          <cell r="A4" t="str">
            <v>DL - Consultants vs. employees</v>
          </cell>
        </row>
        <row r="6">
          <cell r="C6" t="str">
            <v>Consulant</v>
          </cell>
          <cell r="D6" t="str">
            <v>Employee</v>
          </cell>
          <cell r="G6" t="str">
            <v>%</v>
          </cell>
        </row>
        <row r="7">
          <cell r="A7" t="str">
            <v>Q3 1996</v>
          </cell>
          <cell r="C7" t="str">
            <v>hours</v>
          </cell>
          <cell r="D7" t="str">
            <v>hours</v>
          </cell>
          <cell r="F7" t="str">
            <v>Total</v>
          </cell>
          <cell r="G7" t="str">
            <v xml:space="preserve"> Consultant</v>
          </cell>
        </row>
        <row r="8">
          <cell r="A8" t="str">
            <v>July</v>
          </cell>
          <cell r="C8">
            <v>2442</v>
          </cell>
          <cell r="D8">
            <v>6800</v>
          </cell>
          <cell r="F8">
            <v>9242</v>
          </cell>
          <cell r="G8">
            <v>0.26422852196494268</v>
          </cell>
        </row>
        <row r="9">
          <cell r="A9" t="str">
            <v>August</v>
          </cell>
          <cell r="C9">
            <v>2462</v>
          </cell>
          <cell r="D9">
            <v>7241</v>
          </cell>
          <cell r="F9">
            <v>9703</v>
          </cell>
          <cell r="G9">
            <v>0.25373595795114912</v>
          </cell>
        </row>
        <row r="10">
          <cell r="A10" t="str">
            <v>September</v>
          </cell>
          <cell r="C10">
            <v>2316</v>
          </cell>
          <cell r="D10">
            <v>7298</v>
          </cell>
          <cell r="F10">
            <v>9614</v>
          </cell>
          <cell r="G10">
            <v>0.24089868941127524</v>
          </cell>
        </row>
        <row r="11">
          <cell r="C11">
            <v>7220</v>
          </cell>
          <cell r="D11">
            <v>21339</v>
          </cell>
          <cell r="F11">
            <v>28559</v>
          </cell>
          <cell r="G11">
            <v>0.25280997233796704</v>
          </cell>
        </row>
        <row r="13">
          <cell r="A13" t="str">
            <v>Cost</v>
          </cell>
          <cell r="C13">
            <v>640000</v>
          </cell>
          <cell r="D13">
            <v>1189451</v>
          </cell>
          <cell r="F13">
            <v>1829451</v>
          </cell>
        </row>
        <row r="15">
          <cell r="A15" t="str">
            <v>Cost/hour</v>
          </cell>
          <cell r="C15">
            <v>88.6426592797784</v>
          </cell>
          <cell r="D15">
            <v>55.740709499039319</v>
          </cell>
          <cell r="F15">
            <v>64.058650512973145</v>
          </cell>
        </row>
        <row r="17">
          <cell r="A17" t="str">
            <v>1997 projected</v>
          </cell>
        </row>
        <row r="19">
          <cell r="C19" t="str">
            <v>Employees</v>
          </cell>
          <cell r="D19" t="str">
            <v>Consultants</v>
          </cell>
          <cell r="F19" t="str">
            <v>Total</v>
          </cell>
        </row>
        <row r="21">
          <cell r="A21" t="str">
            <v>Ratio of Employees/Consultants</v>
          </cell>
          <cell r="C21" t="e">
            <v>#REF!</v>
          </cell>
          <cell r="D21" t="e">
            <v>#REF!</v>
          </cell>
          <cell r="F21" t="e">
            <v>#REF!</v>
          </cell>
        </row>
        <row r="22">
          <cell r="A22" t="str">
            <v>Hours worked/FTE</v>
          </cell>
          <cell r="C22">
            <v>2080</v>
          </cell>
          <cell r="D22" t="e">
            <v>#REF!</v>
          </cell>
        </row>
        <row r="23">
          <cell r="A23" t="str">
            <v>Hours billed/FTE</v>
          </cell>
          <cell r="C23" t="e">
            <v>#REF!</v>
          </cell>
          <cell r="D23" t="e">
            <v>#REF!</v>
          </cell>
        </row>
      </sheetData>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 val="Sheet5"/>
      <sheetName val="D"/>
    </sheetNames>
    <sheetDataSet>
      <sheetData sheetId="0"/>
      <sheetData sheetId="1" refreshError="1">
        <row r="2">
          <cell r="A2" t="str">
            <v>JMI / WMI Combination and Refinancing Model</v>
          </cell>
          <cell r="AE2" t="str">
            <v>v TD4.06</v>
          </cell>
        </row>
      </sheetData>
      <sheetData sheetId="2"/>
      <sheetData sheetId="3" refreshError="1">
        <row r="5">
          <cell r="AP5">
            <v>1</v>
          </cell>
        </row>
      </sheetData>
      <sheetData sheetId="4"/>
      <sheetData sheetId="5"/>
      <sheetData sheetId="6"/>
      <sheetData sheetId="7" refreshError="1">
        <row r="2">
          <cell r="AX2">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C5">
            <v>9</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 val="OBS - REFI"/>
      <sheetName val="WHEC"/>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8F2CA-7AED-4C51-A9D9-4E34E2FC65B5}">
  <sheetPr codeName="Sheet5"/>
  <dimension ref="B2:M1150"/>
  <sheetViews>
    <sheetView showGridLines="0" zoomScaleNormal="100" workbookViewId="0">
      <selection activeCell="P1" sqref="P1"/>
    </sheetView>
  </sheetViews>
  <sheetFormatPr defaultColWidth="11.453125" defaultRowHeight="13"/>
  <cols>
    <col min="1" max="1" width="3.1796875" style="27" customWidth="1"/>
    <col min="2" max="2" width="7.1796875" style="27" bestFit="1" customWidth="1"/>
    <col min="3" max="3" width="50.7265625" style="27" customWidth="1"/>
    <col min="4" max="8" width="12.7265625" style="27" customWidth="1"/>
    <col min="9" max="9" width="50.7265625" style="27" customWidth="1"/>
    <col min="10" max="10" width="12.7265625" style="27" customWidth="1"/>
    <col min="11" max="16384" width="11.453125" style="27"/>
  </cols>
  <sheetData>
    <row r="2" spans="2:13">
      <c r="B2" s="50" t="s">
        <v>0</v>
      </c>
      <c r="I2" s="27" t="s">
        <v>1</v>
      </c>
      <c r="J2" s="369">
        <f>Model!$M$203</f>
        <v>0.2664535038635758</v>
      </c>
    </row>
    <row r="3" spans="2:13">
      <c r="B3" s="50"/>
      <c r="G3" s="179"/>
      <c r="I3" s="27" t="s">
        <v>2</v>
      </c>
      <c r="J3" s="369">
        <f>Model!$M$205</f>
        <v>0.26659423407037619</v>
      </c>
    </row>
    <row r="4" spans="2:13" ht="13.5" thickBot="1">
      <c r="B4" s="50"/>
    </row>
    <row r="5" spans="2:13">
      <c r="C5" s="353" t="s">
        <v>3</v>
      </c>
      <c r="D5" s="313" t="s">
        <v>4</v>
      </c>
      <c r="E5" s="313" t="s">
        <v>5</v>
      </c>
      <c r="F5" s="314" t="s">
        <v>6</v>
      </c>
      <c r="G5" s="359" t="s">
        <v>7</v>
      </c>
      <c r="I5" s="320" t="s">
        <v>8</v>
      </c>
      <c r="J5" s="319" t="str">
        <f>D5</f>
        <v>SAR (mn)</v>
      </c>
    </row>
    <row r="6" spans="2:13" ht="14.25" customHeight="1">
      <c r="C6" s="242"/>
      <c r="D6" s="188"/>
      <c r="E6" s="244"/>
      <c r="F6" s="191"/>
      <c r="G6" s="360"/>
      <c r="I6" s="56" t="s">
        <v>9</v>
      </c>
      <c r="J6" s="321">
        <v>11982</v>
      </c>
    </row>
    <row r="7" spans="2:13" ht="13.5" thickBot="1">
      <c r="C7" s="354" t="s">
        <v>10</v>
      </c>
      <c r="D7" s="197">
        <f>SUM(D8:D13)</f>
        <v>1555.181</v>
      </c>
      <c r="E7" s="197">
        <f>SUM(E8:E13)</f>
        <v>414.38342659205972</v>
      </c>
      <c r="F7" s="191"/>
      <c r="G7" s="360"/>
      <c r="I7" s="322" t="s">
        <v>11</v>
      </c>
      <c r="J7" s="323" t="s">
        <v>12</v>
      </c>
      <c r="K7" s="257"/>
    </row>
    <row r="8" spans="2:13">
      <c r="C8" s="355" t="s">
        <v>13</v>
      </c>
      <c r="D8" s="193">
        <v>1058.0260000000001</v>
      </c>
      <c r="E8" s="245">
        <f t="shared" ref="E8:E13" si="0">D8*$J$2</f>
        <v>281.91473487876368</v>
      </c>
      <c r="F8" s="191"/>
      <c r="G8" s="360"/>
      <c r="I8" s="257"/>
      <c r="J8" s="258"/>
      <c r="K8" s="194"/>
    </row>
    <row r="9" spans="2:13">
      <c r="C9" s="355" t="s">
        <v>14</v>
      </c>
      <c r="D9" s="193">
        <v>287.18200000000002</v>
      </c>
      <c r="E9" s="245">
        <f t="shared" si="0"/>
        <v>76.520650146549428</v>
      </c>
      <c r="F9" s="191"/>
      <c r="G9" s="360"/>
      <c r="I9" s="257"/>
      <c r="J9" s="258"/>
      <c r="K9" s="194"/>
    </row>
    <row r="10" spans="2:13">
      <c r="C10" s="355" t="s">
        <v>15</v>
      </c>
      <c r="D10" s="193">
        <v>88.715999999999994</v>
      </c>
      <c r="E10" s="245">
        <f t="shared" si="0"/>
        <v>23.638689048760988</v>
      </c>
      <c r="F10" s="196"/>
      <c r="G10" s="361"/>
      <c r="I10" s="257"/>
      <c r="J10" s="258"/>
      <c r="K10" s="194"/>
      <c r="L10" s="256"/>
      <c r="M10" s="256"/>
    </row>
    <row r="11" spans="2:13">
      <c r="C11" s="355" t="s">
        <v>16</v>
      </c>
      <c r="D11" s="193">
        <v>72.858000000000004</v>
      </c>
      <c r="E11" s="245">
        <f t="shared" si="0"/>
        <v>19.413269384492406</v>
      </c>
      <c r="F11" s="191"/>
      <c r="G11" s="360"/>
      <c r="I11" s="257"/>
      <c r="J11" s="258"/>
      <c r="K11" s="194"/>
      <c r="L11" s="256"/>
      <c r="M11" s="256"/>
    </row>
    <row r="12" spans="2:13">
      <c r="C12" s="355" t="s">
        <v>17</v>
      </c>
      <c r="D12" s="193">
        <v>24.207000000000001</v>
      </c>
      <c r="E12" s="245">
        <f t="shared" si="0"/>
        <v>6.45003996802558</v>
      </c>
      <c r="F12" s="191"/>
      <c r="G12" s="360"/>
      <c r="I12" s="257"/>
      <c r="J12" s="258"/>
      <c r="K12" s="194"/>
      <c r="L12" s="256"/>
      <c r="M12" s="256"/>
    </row>
    <row r="13" spans="2:13">
      <c r="C13" s="355" t="s">
        <v>18</v>
      </c>
      <c r="D13" s="193">
        <v>24.192</v>
      </c>
      <c r="E13" s="245">
        <f t="shared" si="0"/>
        <v>6.4460431654676258</v>
      </c>
      <c r="F13" s="191"/>
      <c r="G13" s="360"/>
      <c r="L13" s="267"/>
      <c r="M13" s="256"/>
    </row>
    <row r="14" spans="2:13">
      <c r="C14" s="356"/>
      <c r="D14" s="193"/>
      <c r="E14" s="245"/>
      <c r="F14" s="196"/>
      <c r="G14" s="361"/>
      <c r="I14" s="242"/>
      <c r="J14" s="260"/>
      <c r="K14" s="260"/>
      <c r="L14" s="256"/>
      <c r="M14" s="256"/>
    </row>
    <row r="15" spans="2:13">
      <c r="C15" s="354" t="s">
        <v>19</v>
      </c>
      <c r="D15" s="197">
        <f>SUM(D16:D21)</f>
        <v>12021.835999999999</v>
      </c>
      <c r="E15" s="197">
        <f>SUM(E16:E21)</f>
        <v>3203.2603250732745</v>
      </c>
      <c r="F15" s="247"/>
      <c r="G15" s="362"/>
      <c r="I15" s="242"/>
      <c r="J15" s="255"/>
      <c r="K15" s="194"/>
      <c r="L15" s="256"/>
      <c r="M15" s="256"/>
    </row>
    <row r="16" spans="2:13">
      <c r="C16" s="355" t="s">
        <v>13</v>
      </c>
      <c r="D16" s="193">
        <v>7132.0259999999998</v>
      </c>
      <c r="E16" s="245">
        <f t="shared" ref="E16:E21" si="1">D16*$J$2</f>
        <v>1900.353317346123</v>
      </c>
      <c r="F16" s="191"/>
      <c r="G16" s="360"/>
      <c r="I16" s="257"/>
      <c r="J16" s="258"/>
      <c r="K16" s="194"/>
      <c r="L16" s="256"/>
      <c r="M16" s="256"/>
    </row>
    <row r="17" spans="3:13">
      <c r="C17" s="355" t="s">
        <v>14</v>
      </c>
      <c r="D17" s="193">
        <v>41.168999999999997</v>
      </c>
      <c r="E17" s="245">
        <f t="shared" si="1"/>
        <v>10.969624300559552</v>
      </c>
      <c r="F17" s="191"/>
      <c r="G17" s="360"/>
      <c r="I17" s="324"/>
      <c r="J17" s="258"/>
      <c r="K17" s="194"/>
      <c r="L17" s="256"/>
      <c r="M17" s="256"/>
    </row>
    <row r="18" spans="3:13">
      <c r="C18" s="355" t="s">
        <v>15</v>
      </c>
      <c r="D18" s="193">
        <v>136.61600000000001</v>
      </c>
      <c r="E18" s="245">
        <f t="shared" si="1"/>
        <v>36.401811883826277</v>
      </c>
      <c r="F18" s="191"/>
      <c r="G18" s="360"/>
      <c r="H18" s="179"/>
      <c r="I18" s="257"/>
      <c r="J18" s="258"/>
      <c r="K18" s="194"/>
      <c r="L18" s="256"/>
      <c r="M18" s="256"/>
    </row>
    <row r="19" spans="3:13">
      <c r="C19" s="355" t="s">
        <v>16</v>
      </c>
      <c r="D19" s="193">
        <v>23.204999999999998</v>
      </c>
      <c r="E19" s="245">
        <f t="shared" si="1"/>
        <v>6.1830535571542757</v>
      </c>
      <c r="F19" s="191"/>
      <c r="G19" s="360"/>
      <c r="I19" s="257"/>
      <c r="J19" s="255"/>
      <c r="K19" s="194"/>
      <c r="L19" s="256"/>
      <c r="M19" s="256"/>
    </row>
    <row r="20" spans="3:13">
      <c r="C20" s="355" t="s">
        <v>17</v>
      </c>
      <c r="D20" s="193">
        <v>18.643000000000001</v>
      </c>
      <c r="E20" s="245">
        <f t="shared" si="1"/>
        <v>4.9674926725286435</v>
      </c>
      <c r="F20" s="191"/>
      <c r="G20" s="360"/>
      <c r="I20" s="257"/>
      <c r="J20" s="255"/>
      <c r="K20" s="194"/>
      <c r="L20" s="256"/>
      <c r="M20" s="256"/>
    </row>
    <row r="21" spans="3:13">
      <c r="C21" s="355" t="s">
        <v>18</v>
      </c>
      <c r="D21" s="193">
        <v>4670.1769999999997</v>
      </c>
      <c r="E21" s="245">
        <f t="shared" si="1"/>
        <v>1244.3850253130827</v>
      </c>
      <c r="F21" s="191"/>
      <c r="G21" s="360"/>
      <c r="I21" s="257"/>
      <c r="J21" s="255"/>
      <c r="K21" s="194"/>
      <c r="L21" s="256"/>
      <c r="M21" s="256"/>
    </row>
    <row r="22" spans="3:13">
      <c r="C22" s="355"/>
      <c r="D22" s="193"/>
      <c r="E22" s="245"/>
      <c r="F22" s="191"/>
      <c r="G22" s="360"/>
      <c r="I22" s="257"/>
      <c r="J22" s="255"/>
      <c r="K22" s="194"/>
      <c r="L22" s="256"/>
      <c r="M22" s="256"/>
    </row>
    <row r="23" spans="3:13">
      <c r="C23" s="354" t="s">
        <v>20</v>
      </c>
      <c r="D23" s="193">
        <v>24.934000000000001</v>
      </c>
      <c r="E23" s="245">
        <f>D23*$J$2</f>
        <v>6.6437516653343991</v>
      </c>
      <c r="F23" s="191"/>
      <c r="G23" s="360"/>
      <c r="I23" s="257"/>
      <c r="J23" s="255"/>
      <c r="K23" s="194"/>
      <c r="L23" s="256"/>
      <c r="M23" s="256"/>
    </row>
    <row r="24" spans="3:13">
      <c r="C24" s="355"/>
      <c r="D24" s="193"/>
      <c r="E24" s="245"/>
      <c r="F24" s="191"/>
      <c r="G24" s="360"/>
      <c r="I24" s="257"/>
      <c r="J24" s="255"/>
      <c r="K24" s="194"/>
      <c r="L24" s="256"/>
      <c r="M24" s="256"/>
    </row>
    <row r="25" spans="3:13">
      <c r="C25" s="354" t="s">
        <v>21</v>
      </c>
      <c r="D25" s="197">
        <f>SUM(D26:D27)</f>
        <v>536.33999999999992</v>
      </c>
      <c r="E25" s="197">
        <f>SUM(E26:E27)</f>
        <v>142.90967226219024</v>
      </c>
      <c r="F25" s="191"/>
      <c r="G25" s="360"/>
      <c r="I25" s="257"/>
      <c r="J25" s="255"/>
      <c r="K25" s="194"/>
      <c r="L25" s="256"/>
      <c r="M25" s="256"/>
    </row>
    <row r="26" spans="3:13">
      <c r="C26" s="355" t="s">
        <v>22</v>
      </c>
      <c r="D26" s="193">
        <v>95.07</v>
      </c>
      <c r="E26" s="245">
        <f>D26*$J$2</f>
        <v>25.33173461231015</v>
      </c>
      <c r="F26" s="191"/>
      <c r="G26" s="360"/>
      <c r="I26" s="257"/>
      <c r="J26" s="255"/>
      <c r="K26" s="194"/>
      <c r="L26" s="256"/>
      <c r="M26" s="256"/>
    </row>
    <row r="27" spans="3:13">
      <c r="C27" s="355" t="s">
        <v>23</v>
      </c>
      <c r="D27" s="193">
        <v>441.27</v>
      </c>
      <c r="E27" s="245">
        <f>D27*$J$2</f>
        <v>117.57793764988008</v>
      </c>
      <c r="F27" s="191"/>
      <c r="G27" s="360"/>
      <c r="I27" s="257"/>
      <c r="J27" s="255"/>
      <c r="K27" s="194"/>
      <c r="L27" s="256"/>
      <c r="M27" s="256"/>
    </row>
    <row r="28" spans="3:13">
      <c r="C28" s="357"/>
      <c r="D28" s="193"/>
      <c r="E28" s="246"/>
      <c r="F28" s="248"/>
      <c r="G28" s="360"/>
      <c r="H28" s="179"/>
      <c r="I28" s="259"/>
      <c r="J28" s="59"/>
      <c r="K28" s="59"/>
      <c r="L28" s="260"/>
      <c r="M28" s="260"/>
    </row>
    <row r="29" spans="3:13">
      <c r="C29" s="358" t="s">
        <v>24</v>
      </c>
      <c r="D29" s="202">
        <f>SUM(D7,D15,D25,D23)</f>
        <v>14138.290999999999</v>
      </c>
      <c r="E29" s="202">
        <f>SUM(E7,E15,E25,E23)</f>
        <v>3767.1971755928589</v>
      </c>
      <c r="F29" s="205">
        <f>+D29/D34</f>
        <v>2.8615825009213527</v>
      </c>
      <c r="G29" s="363">
        <f>+E29/E34</f>
        <v>2.8600719240008305</v>
      </c>
      <c r="I29" s="261"/>
      <c r="J29" s="262"/>
      <c r="K29" s="194"/>
      <c r="L29" s="263"/>
      <c r="M29" s="263"/>
    </row>
    <row r="30" spans="3:13">
      <c r="C30" s="261" t="s">
        <v>25</v>
      </c>
      <c r="D30" s="207">
        <f>Model!$AU$109</f>
        <v>1620.3489999999999</v>
      </c>
      <c r="E30" s="245">
        <f>D30*$J$2</f>
        <v>431.74766853184116</v>
      </c>
      <c r="F30" s="209"/>
      <c r="G30" s="364"/>
      <c r="I30" s="259"/>
      <c r="J30" s="59"/>
      <c r="K30" s="59"/>
      <c r="L30" s="260"/>
      <c r="M30" s="260"/>
    </row>
    <row r="31" spans="3:13">
      <c r="C31" s="358" t="s">
        <v>26</v>
      </c>
      <c r="D31" s="202">
        <f>+D29-D30</f>
        <v>12517.941999999999</v>
      </c>
      <c r="E31" s="202">
        <f>+E29-E30</f>
        <v>3335.4495070610178</v>
      </c>
      <c r="F31" s="205">
        <f>+D31/D34</f>
        <v>2.5336247340466</v>
      </c>
      <c r="G31" s="363">
        <f>+E31/E34</f>
        <v>2.5322872800164324</v>
      </c>
      <c r="I31" s="259"/>
      <c r="J31" s="59"/>
      <c r="K31" s="194"/>
    </row>
    <row r="32" spans="3:13">
      <c r="C32" s="261" t="s">
        <v>27</v>
      </c>
      <c r="D32" s="207">
        <f>Model!$AU$116</f>
        <v>21117.81</v>
      </c>
      <c r="E32" s="245">
        <f>D32*$J$2</f>
        <v>5626.9144684252597</v>
      </c>
      <c r="F32" s="213"/>
      <c r="G32" s="244"/>
      <c r="I32" s="261"/>
      <c r="J32" s="58"/>
      <c r="K32" s="58"/>
      <c r="L32" s="263"/>
      <c r="M32" s="263"/>
    </row>
    <row r="33" spans="3:11">
      <c r="C33" s="358" t="s">
        <v>28</v>
      </c>
      <c r="D33" s="202">
        <f>D29+D32</f>
        <v>35256.101000000002</v>
      </c>
      <c r="E33" s="202">
        <f>E29+E32</f>
        <v>9394.1116440181177</v>
      </c>
      <c r="F33" s="205">
        <f>D33/D34</f>
        <v>7.1358158968658811</v>
      </c>
      <c r="G33" s="363">
        <f>E33/E34</f>
        <v>7.1320490305255131</v>
      </c>
      <c r="I33" s="261"/>
      <c r="J33" s="58"/>
      <c r="K33" s="58"/>
    </row>
    <row r="34" spans="3:11" s="50" customFormat="1">
      <c r="C34" s="259" t="s">
        <v>29</v>
      </c>
      <c r="D34" s="365">
        <f>Model!$AU$82</f>
        <v>4940.7245800000001</v>
      </c>
      <c r="E34" s="366">
        <f>D34*J3</f>
        <v>1317.1686851577811</v>
      </c>
      <c r="F34" s="367"/>
      <c r="G34" s="368"/>
    </row>
    <row r="35" spans="3:11">
      <c r="C35" s="82" t="s">
        <v>30</v>
      </c>
      <c r="D35" s="83">
        <f>D29-Model!$AU$112</f>
        <v>0</v>
      </c>
      <c r="E35" s="83"/>
      <c r="I35" s="264"/>
      <c r="J35" s="265"/>
    </row>
    <row r="36" spans="3:11">
      <c r="C36" s="82"/>
      <c r="D36" s="83"/>
      <c r="E36" s="83"/>
      <c r="I36" s="264"/>
      <c r="J36" s="265"/>
    </row>
    <row r="37" spans="3:11" ht="13.5" thickBot="1">
      <c r="D37" s="105"/>
      <c r="E37" s="105"/>
      <c r="H37" s="179"/>
      <c r="J37" s="255"/>
    </row>
    <row r="38" spans="3:11">
      <c r="C38" s="315" t="s">
        <v>31</v>
      </c>
      <c r="D38" s="316" t="str">
        <f>D5</f>
        <v>SAR (mn)</v>
      </c>
      <c r="E38" s="316" t="str">
        <f>E5</f>
        <v>USD (mn)</v>
      </c>
      <c r="J38" s="266"/>
    </row>
    <row r="39" spans="3:11">
      <c r="C39" s="56" t="s">
        <v>32</v>
      </c>
      <c r="D39" s="98">
        <f>D30</f>
        <v>1620.3489999999999</v>
      </c>
      <c r="E39" s="370">
        <f>D39*$J$2</f>
        <v>431.74766853184116</v>
      </c>
    </row>
    <row r="40" spans="3:11" ht="13.5" thickBot="1">
      <c r="C40" s="95" t="s">
        <v>33</v>
      </c>
      <c r="D40" s="101">
        <f>SUM(D39:D39)</f>
        <v>1620.3489999999999</v>
      </c>
      <c r="E40" s="101">
        <f>SUM(E39:E39)</f>
        <v>431.74766853184116</v>
      </c>
    </row>
    <row r="43" spans="3:11" ht="13.5" thickBot="1"/>
    <row r="44" spans="3:11">
      <c r="C44" s="317" t="s">
        <v>34</v>
      </c>
      <c r="D44" s="316" t="str">
        <f>D5</f>
        <v>SAR (mn)</v>
      </c>
      <c r="E44" s="318" t="str">
        <f>E5</f>
        <v>USD (mn)</v>
      </c>
    </row>
    <row r="45" spans="3:11">
      <c r="C45" s="90"/>
      <c r="D45" s="104"/>
      <c r="E45" s="100"/>
    </row>
    <row r="46" spans="3:11">
      <c r="C46" s="90" t="s">
        <v>35</v>
      </c>
      <c r="D46" s="94">
        <v>1600</v>
      </c>
      <c r="E46" s="100">
        <f>D46*J2</f>
        <v>426.3256061817213</v>
      </c>
      <c r="G46" s="180"/>
    </row>
    <row r="47" spans="3:11">
      <c r="C47" s="90" t="s">
        <v>36</v>
      </c>
      <c r="D47" s="94">
        <v>2400</v>
      </c>
      <c r="E47" s="100">
        <f>D47*J2</f>
        <v>639.48840927258198</v>
      </c>
      <c r="G47" s="180"/>
    </row>
    <row r="48" spans="3:11">
      <c r="C48" s="90" t="s">
        <v>37</v>
      </c>
      <c r="D48" s="94">
        <v>400</v>
      </c>
      <c r="E48" s="100">
        <f>D48*J2</f>
        <v>106.58140154543032</v>
      </c>
      <c r="G48" s="180"/>
    </row>
    <row r="49" spans="2:10">
      <c r="C49" s="90" t="s">
        <v>38</v>
      </c>
      <c r="D49" s="94">
        <v>0</v>
      </c>
      <c r="E49" s="100">
        <f>D49*J2</f>
        <v>0</v>
      </c>
      <c r="G49" s="180"/>
    </row>
    <row r="50" spans="2:10">
      <c r="C50" s="90" t="s">
        <v>39</v>
      </c>
      <c r="D50" s="94">
        <v>3000</v>
      </c>
      <c r="E50" s="100">
        <f>D50*J2</f>
        <v>799.36051159072736</v>
      </c>
      <c r="G50" s="180"/>
    </row>
    <row r="51" spans="2:10">
      <c r="C51" s="90" t="s">
        <v>40</v>
      </c>
      <c r="D51" s="94">
        <v>6300</v>
      </c>
      <c r="E51" s="100">
        <f>D51*J2</f>
        <v>1678.6570743405275</v>
      </c>
      <c r="G51" s="180"/>
    </row>
    <row r="52" spans="2:10" ht="13.5" thickBot="1">
      <c r="C52" s="90"/>
      <c r="D52" s="94"/>
      <c r="E52" s="100"/>
    </row>
    <row r="53" spans="2:10" ht="13.5" thickBot="1">
      <c r="C53" s="91" t="s">
        <v>41</v>
      </c>
      <c r="D53" s="106">
        <f>SUM(D45:D52)</f>
        <v>13700</v>
      </c>
      <c r="E53" s="106">
        <f>SUM(E45:E52)</f>
        <v>3650.4130029309881</v>
      </c>
    </row>
    <row r="54" spans="2:10">
      <c r="C54" s="90" t="s">
        <v>42</v>
      </c>
      <c r="D54" s="104">
        <f>D25</f>
        <v>536.33999999999992</v>
      </c>
      <c r="E54" s="100">
        <f>D54*J2</f>
        <v>142.90967226219021</v>
      </c>
    </row>
    <row r="55" spans="2:10" ht="13.5" thickBot="1">
      <c r="C55" s="90" t="s">
        <v>43</v>
      </c>
      <c r="D55" s="104">
        <f>D23</f>
        <v>24.934000000000001</v>
      </c>
      <c r="E55" s="100">
        <f>D55*J2</f>
        <v>6.6437516653343991</v>
      </c>
    </row>
    <row r="56" spans="2:10" ht="13.5" thickBot="1">
      <c r="C56" s="91" t="s">
        <v>44</v>
      </c>
      <c r="D56" s="106">
        <f>+D53+D54+D55</f>
        <v>14261.273999999999</v>
      </c>
      <c r="E56" s="106">
        <f>+E53+E54+E55</f>
        <v>3799.9664268585129</v>
      </c>
    </row>
    <row r="57" spans="2:10">
      <c r="C57" s="178"/>
      <c r="D57" s="116"/>
      <c r="E57" s="116"/>
    </row>
    <row r="58" spans="2:10">
      <c r="C58" s="178"/>
      <c r="D58" s="116"/>
      <c r="E58" s="116"/>
    </row>
    <row r="59" spans="2:10">
      <c r="C59" s="178"/>
      <c r="D59" s="116"/>
      <c r="E59" s="116"/>
    </row>
    <row r="61" spans="2:10">
      <c r="B61" s="50" t="s">
        <v>45</v>
      </c>
      <c r="I61" s="50" t="s">
        <v>46</v>
      </c>
      <c r="J61" s="165">
        <f>Model!$M$203</f>
        <v>0.2664535038635758</v>
      </c>
    </row>
    <row r="62" spans="2:10">
      <c r="B62" s="50"/>
      <c r="G62" s="179"/>
      <c r="I62" s="50" t="s">
        <v>47</v>
      </c>
      <c r="J62" s="165">
        <f>Model!$M$205</f>
        <v>0.26659423407037619</v>
      </c>
    </row>
    <row r="63" spans="2:10" ht="13.5" thickBot="1">
      <c r="B63" s="50"/>
    </row>
    <row r="64" spans="2:10">
      <c r="C64" s="312" t="s">
        <v>48</v>
      </c>
      <c r="D64" s="313" t="s">
        <v>4</v>
      </c>
      <c r="E64" s="313" t="s">
        <v>5</v>
      </c>
      <c r="F64" s="314" t="s">
        <v>6</v>
      </c>
      <c r="G64" s="314" t="s">
        <v>7</v>
      </c>
      <c r="I64" s="320" t="s">
        <v>8</v>
      </c>
      <c r="J64" s="319" t="str">
        <f>D64</f>
        <v>SAR (mn)</v>
      </c>
    </row>
    <row r="65" spans="3:13" ht="14.25" customHeight="1">
      <c r="C65" s="187"/>
      <c r="D65" s="188"/>
      <c r="E65" s="244"/>
      <c r="F65" s="191"/>
      <c r="G65" s="191"/>
      <c r="I65" s="56" t="s">
        <v>9</v>
      </c>
      <c r="J65" s="321">
        <v>11965.994000000001</v>
      </c>
    </row>
    <row r="66" spans="3:13" ht="13.5" thickBot="1">
      <c r="C66" s="227" t="s">
        <v>10</v>
      </c>
      <c r="D66" s="197">
        <f>SUM(D67:D72)</f>
        <v>1520.33</v>
      </c>
      <c r="E66" s="197">
        <f>SUM(E67:E72)</f>
        <v>405.09725552891018</v>
      </c>
      <c r="F66" s="191"/>
      <c r="G66" s="191"/>
      <c r="I66" s="322" t="s">
        <v>11</v>
      </c>
      <c r="J66" s="323" t="s">
        <v>12</v>
      </c>
      <c r="K66" s="257"/>
    </row>
    <row r="67" spans="3:13">
      <c r="C67" s="252" t="s">
        <v>13</v>
      </c>
      <c r="D67" s="193">
        <v>1062.0840000000001</v>
      </c>
      <c r="E67" s="245">
        <f t="shared" ref="E67:E72" si="2">D67*$J$61</f>
        <v>282.99600319744206</v>
      </c>
      <c r="F67" s="191"/>
      <c r="G67" s="191"/>
      <c r="I67" s="257"/>
      <c r="J67" s="258"/>
      <c r="K67" s="194"/>
    </row>
    <row r="68" spans="3:13">
      <c r="C68" s="252" t="s">
        <v>14</v>
      </c>
      <c r="D68" s="193">
        <v>197.499</v>
      </c>
      <c r="E68" s="245">
        <f t="shared" si="2"/>
        <v>52.624300559552353</v>
      </c>
      <c r="F68" s="191"/>
      <c r="G68" s="191"/>
      <c r="I68" s="257"/>
      <c r="J68" s="258"/>
      <c r="K68" s="194"/>
    </row>
    <row r="69" spans="3:13">
      <c r="C69" s="252" t="s">
        <v>15</v>
      </c>
      <c r="D69" s="193">
        <v>68.408000000000001</v>
      </c>
      <c r="E69" s="245">
        <f t="shared" si="2"/>
        <v>18.227551292299495</v>
      </c>
      <c r="F69" s="196"/>
      <c r="G69" s="196"/>
      <c r="I69" s="257"/>
      <c r="J69" s="258"/>
      <c r="K69" s="194"/>
      <c r="L69" s="256"/>
      <c r="M69" s="256"/>
    </row>
    <row r="70" spans="3:13">
      <c r="C70" s="252" t="s">
        <v>16</v>
      </c>
      <c r="D70" s="193">
        <v>72.137</v>
      </c>
      <c r="E70" s="245">
        <f t="shared" si="2"/>
        <v>19.221156408206767</v>
      </c>
      <c r="F70" s="191"/>
      <c r="G70" s="191"/>
      <c r="I70" s="257"/>
      <c r="J70" s="258"/>
      <c r="K70" s="194"/>
      <c r="L70" s="256"/>
      <c r="M70" s="256"/>
    </row>
    <row r="71" spans="3:13">
      <c r="C71" s="252" t="s">
        <v>17</v>
      </c>
      <c r="D71" s="193">
        <v>23.885999999999999</v>
      </c>
      <c r="E71" s="245">
        <f t="shared" si="2"/>
        <v>6.3645083932853712</v>
      </c>
      <c r="F71" s="191"/>
      <c r="G71" s="191"/>
      <c r="I71" s="257"/>
      <c r="J71" s="258"/>
      <c r="K71" s="194"/>
      <c r="L71" s="256"/>
      <c r="M71" s="256"/>
    </row>
    <row r="72" spans="3:13">
      <c r="C72" s="252" t="s">
        <v>18</v>
      </c>
      <c r="D72" s="193">
        <v>96.316000000000003</v>
      </c>
      <c r="E72" s="245">
        <f t="shared" si="2"/>
        <v>25.663735678124169</v>
      </c>
      <c r="F72" s="191"/>
      <c r="G72" s="191"/>
      <c r="L72" s="267"/>
      <c r="M72" s="256"/>
    </row>
    <row r="73" spans="3:13">
      <c r="C73" s="229"/>
      <c r="D73" s="193"/>
      <c r="E73" s="245"/>
      <c r="F73" s="196"/>
      <c r="G73" s="196"/>
      <c r="I73" s="242"/>
      <c r="J73" s="260"/>
      <c r="K73" s="260"/>
      <c r="L73" s="256"/>
      <c r="M73" s="256"/>
    </row>
    <row r="74" spans="3:13">
      <c r="C74" s="227" t="s">
        <v>19</v>
      </c>
      <c r="D74" s="197">
        <f>SUM(D75:D80)</f>
        <v>10951.81</v>
      </c>
      <c r="E74" s="197">
        <f>SUM(E75:E80)</f>
        <v>2918.1481481481483</v>
      </c>
      <c r="F74" s="247"/>
      <c r="G74" s="199"/>
      <c r="I74" s="242"/>
      <c r="J74" s="255"/>
      <c r="K74" s="194"/>
      <c r="L74" s="256"/>
      <c r="M74" s="256"/>
    </row>
    <row r="75" spans="3:13">
      <c r="C75" s="252" t="s">
        <v>13</v>
      </c>
      <c r="D75" s="193">
        <v>5960.3069999999998</v>
      </c>
      <c r="E75" s="245">
        <f t="shared" ref="E75:E80" si="3">D75*$J$61</f>
        <v>1588.1446842525979</v>
      </c>
      <c r="F75" s="191"/>
      <c r="G75" s="191"/>
      <c r="I75" s="257"/>
      <c r="J75" s="258"/>
      <c r="K75" s="194"/>
      <c r="L75" s="256"/>
      <c r="M75" s="256"/>
    </row>
    <row r="76" spans="3:13">
      <c r="C76" s="252" t="s">
        <v>14</v>
      </c>
      <c r="D76" s="193">
        <v>128.143</v>
      </c>
      <c r="E76" s="245">
        <f t="shared" si="3"/>
        <v>34.144151345590195</v>
      </c>
      <c r="F76" s="191"/>
      <c r="G76" s="191"/>
      <c r="I76" s="324"/>
      <c r="J76" s="258"/>
      <c r="K76" s="194"/>
      <c r="L76" s="256"/>
      <c r="M76" s="256"/>
    </row>
    <row r="77" spans="3:13">
      <c r="C77" s="252" t="s">
        <v>15</v>
      </c>
      <c r="D77" s="193">
        <v>128.58799999999999</v>
      </c>
      <c r="E77" s="245">
        <f t="shared" si="3"/>
        <v>34.262723154809485</v>
      </c>
      <c r="F77" s="191"/>
      <c r="G77" s="191"/>
      <c r="H77" s="179"/>
      <c r="I77" s="257"/>
      <c r="J77" s="258"/>
      <c r="K77" s="194"/>
      <c r="L77" s="256"/>
      <c r="M77" s="256"/>
    </row>
    <row r="78" spans="3:13">
      <c r="C78" s="252" t="s">
        <v>16</v>
      </c>
      <c r="D78" s="193">
        <v>47.277000000000001</v>
      </c>
      <c r="E78" s="245">
        <f t="shared" si="3"/>
        <v>12.597122302158274</v>
      </c>
      <c r="F78" s="191"/>
      <c r="G78" s="191"/>
      <c r="I78" s="257"/>
      <c r="J78" s="255"/>
      <c r="K78" s="194"/>
      <c r="L78" s="256"/>
      <c r="M78" s="256"/>
    </row>
    <row r="79" spans="3:13">
      <c r="C79" s="252" t="s">
        <v>17</v>
      </c>
      <c r="D79" s="193">
        <v>17.986999999999998</v>
      </c>
      <c r="E79" s="245">
        <f t="shared" si="3"/>
        <v>4.7926991739941371</v>
      </c>
      <c r="F79" s="191"/>
      <c r="G79" s="191"/>
      <c r="I79" s="257"/>
      <c r="J79" s="255"/>
      <c r="K79" s="194"/>
      <c r="L79" s="256"/>
      <c r="M79" s="256"/>
    </row>
    <row r="80" spans="3:13">
      <c r="C80" s="252" t="s">
        <v>18</v>
      </c>
      <c r="D80" s="193">
        <v>4669.5079999999998</v>
      </c>
      <c r="E80" s="245">
        <f t="shared" si="3"/>
        <v>1244.2067679189981</v>
      </c>
      <c r="F80" s="191"/>
      <c r="G80" s="191"/>
      <c r="I80" s="257"/>
      <c r="J80" s="255"/>
      <c r="K80" s="194"/>
      <c r="L80" s="256"/>
      <c r="M80" s="256"/>
    </row>
    <row r="81" spans="3:13">
      <c r="C81" s="252"/>
      <c r="D81" s="193"/>
      <c r="E81" s="245"/>
      <c r="F81" s="191"/>
      <c r="G81" s="191"/>
      <c r="I81" s="257"/>
      <c r="J81" s="255"/>
      <c r="K81" s="194"/>
      <c r="L81" s="256"/>
      <c r="M81" s="256"/>
    </row>
    <row r="82" spans="3:13">
      <c r="C82" s="227" t="s">
        <v>20</v>
      </c>
      <c r="D82" s="193">
        <v>16.893000000000001</v>
      </c>
      <c r="E82" s="245">
        <f>D82*$J$61</f>
        <v>4.5011990407673865</v>
      </c>
      <c r="F82" s="191"/>
      <c r="G82" s="191"/>
      <c r="I82" s="257"/>
      <c r="J82" s="255"/>
      <c r="K82" s="194"/>
      <c r="L82" s="256"/>
      <c r="M82" s="256"/>
    </row>
    <row r="83" spans="3:13">
      <c r="C83" s="252"/>
      <c r="D83" s="193"/>
      <c r="E83" s="245"/>
      <c r="F83" s="191"/>
      <c r="G83" s="191"/>
      <c r="I83" s="257"/>
      <c r="J83" s="255"/>
      <c r="K83" s="194"/>
      <c r="L83" s="256"/>
      <c r="M83" s="256"/>
    </row>
    <row r="84" spans="3:13">
      <c r="C84" s="227" t="s">
        <v>21</v>
      </c>
      <c r="D84" s="197">
        <f>SUM(D85:D86)</f>
        <v>550.226</v>
      </c>
      <c r="E84" s="197">
        <f>SUM(E85:E86)</f>
        <v>146.60964561683986</v>
      </c>
      <c r="F84" s="191"/>
      <c r="G84" s="191"/>
      <c r="I84" s="257"/>
      <c r="J84" s="255"/>
      <c r="K84" s="194"/>
      <c r="L84" s="256"/>
      <c r="M84" s="256"/>
    </row>
    <row r="85" spans="3:13">
      <c r="C85" s="252" t="s">
        <v>22</v>
      </c>
      <c r="D85" s="193">
        <v>107.75</v>
      </c>
      <c r="E85" s="245">
        <f>D85*$J$61</f>
        <v>28.710365041300292</v>
      </c>
      <c r="F85" s="191"/>
      <c r="G85" s="191"/>
      <c r="I85" s="257"/>
      <c r="J85" s="255"/>
      <c r="K85" s="194"/>
      <c r="L85" s="256"/>
      <c r="M85" s="256"/>
    </row>
    <row r="86" spans="3:13">
      <c r="C86" s="252" t="s">
        <v>23</v>
      </c>
      <c r="D86" s="193">
        <v>442.476</v>
      </c>
      <c r="E86" s="245">
        <f>D86*$J$61</f>
        <v>117.89928057553956</v>
      </c>
      <c r="F86" s="191"/>
      <c r="G86" s="191"/>
      <c r="I86" s="257"/>
      <c r="J86" s="255"/>
      <c r="K86" s="194"/>
      <c r="L86" s="256"/>
      <c r="M86" s="256"/>
    </row>
    <row r="87" spans="3:13">
      <c r="C87" s="253"/>
      <c r="D87" s="193"/>
      <c r="E87" s="246"/>
      <c r="F87" s="248"/>
      <c r="G87" s="191"/>
      <c r="H87" s="179"/>
      <c r="I87" s="259"/>
      <c r="J87" s="59"/>
      <c r="K87" s="59"/>
      <c r="L87" s="260"/>
      <c r="M87" s="260"/>
    </row>
    <row r="88" spans="3:13">
      <c r="C88" s="201" t="s">
        <v>24</v>
      </c>
      <c r="D88" s="202">
        <f>SUM(D66,D74,D84,D82)</f>
        <v>13039.259</v>
      </c>
      <c r="E88" s="202">
        <f>SUM(E66,E74,E84,E82)</f>
        <v>3474.3562483346659</v>
      </c>
      <c r="F88" s="205">
        <f>+D88/D93</f>
        <v>2.6861405924469772</v>
      </c>
      <c r="G88" s="205">
        <f>+E88/E93</f>
        <v>2.6847226280923162</v>
      </c>
      <c r="I88" s="261"/>
      <c r="J88" s="262"/>
      <c r="K88" s="194"/>
      <c r="L88" s="263"/>
      <c r="M88" s="263"/>
    </row>
    <row r="89" spans="3:13">
      <c r="C89" s="206" t="s">
        <v>25</v>
      </c>
      <c r="D89" s="207">
        <f>Model!$AT$109</f>
        <v>523.03899999999999</v>
      </c>
      <c r="E89" s="245">
        <f>D89*$J$61</f>
        <v>139.36557420730082</v>
      </c>
      <c r="F89" s="209"/>
      <c r="G89" s="209"/>
      <c r="I89" s="259"/>
      <c r="J89" s="59"/>
      <c r="K89" s="59"/>
      <c r="L89" s="260"/>
      <c r="M89" s="260"/>
    </row>
    <row r="90" spans="3:13">
      <c r="C90" s="201" t="s">
        <v>26</v>
      </c>
      <c r="D90" s="202">
        <f>+D88-D89</f>
        <v>12516.22</v>
      </c>
      <c r="E90" s="202">
        <f>+E88-E89</f>
        <v>3334.9906741273653</v>
      </c>
      <c r="F90" s="205">
        <f>+D90/D93</f>
        <v>2.5783924229127364</v>
      </c>
      <c r="G90" s="205">
        <f>+E90/E93</f>
        <v>2.5770313368406605</v>
      </c>
      <c r="I90" s="259"/>
      <c r="J90" s="59"/>
      <c r="K90" s="194"/>
    </row>
    <row r="91" spans="3:13">
      <c r="C91" s="210" t="s">
        <v>27</v>
      </c>
      <c r="D91" s="211">
        <f>Model!$AT$116</f>
        <v>20527.236000000001</v>
      </c>
      <c r="E91" s="245">
        <f>D91*J61</f>
        <v>5469.5539568345321</v>
      </c>
      <c r="F91" s="213"/>
      <c r="G91" s="213"/>
      <c r="I91" s="259"/>
      <c r="J91" s="59"/>
      <c r="K91" s="59"/>
      <c r="L91" s="260"/>
      <c r="M91" s="260"/>
    </row>
    <row r="92" spans="3:13">
      <c r="C92" s="201" t="s">
        <v>28</v>
      </c>
      <c r="D92" s="202">
        <f>D88+D91</f>
        <v>33566.495000000003</v>
      </c>
      <c r="E92" s="202">
        <f>E88+E91</f>
        <v>8943.9102051691989</v>
      </c>
      <c r="F92" s="205">
        <f>D92/D93</f>
        <v>6.9148350198173461</v>
      </c>
      <c r="G92" s="205">
        <f>E92/E93</f>
        <v>6.911184805229162</v>
      </c>
      <c r="I92" s="261"/>
      <c r="J92" s="58"/>
      <c r="K92" s="58"/>
    </row>
    <row r="93" spans="3:13">
      <c r="C93" s="214" t="s">
        <v>29</v>
      </c>
      <c r="D93" s="215">
        <f>Model!$AT$82</f>
        <v>4854.2727199999999</v>
      </c>
      <c r="E93" s="249">
        <f>D93*J62</f>
        <v>1294.1211177571217</v>
      </c>
      <c r="F93" s="218"/>
      <c r="G93" s="218"/>
    </row>
    <row r="95" spans="3:13">
      <c r="C95" s="82" t="s">
        <v>30</v>
      </c>
      <c r="D95" s="83">
        <f>D88-Model!$AT$112</f>
        <v>0</v>
      </c>
      <c r="E95" s="83"/>
      <c r="I95" s="264"/>
      <c r="J95" s="265"/>
    </row>
    <row r="96" spans="3:13" ht="13.5" thickBot="1">
      <c r="D96" s="105"/>
      <c r="E96" s="105"/>
      <c r="H96" s="179"/>
      <c r="J96" s="255"/>
    </row>
    <row r="97" spans="3:10">
      <c r="C97" s="315" t="s">
        <v>49</v>
      </c>
      <c r="D97" s="316" t="str">
        <f>D64</f>
        <v>SAR (mn)</v>
      </c>
      <c r="E97" s="316" t="str">
        <f>E64</f>
        <v>USD (mn)</v>
      </c>
      <c r="J97" s="266"/>
    </row>
    <row r="98" spans="3:10">
      <c r="C98" s="56" t="s">
        <v>32</v>
      </c>
      <c r="D98" s="98">
        <f>D89</f>
        <v>523.03899999999999</v>
      </c>
      <c r="E98" s="99">
        <f>E89</f>
        <v>139.36557420730082</v>
      </c>
    </row>
    <row r="99" spans="3:10" ht="13.5" thickBot="1">
      <c r="C99" s="95" t="s">
        <v>33</v>
      </c>
      <c r="D99" s="101">
        <f>SUM(D98:D98)</f>
        <v>523.03899999999999</v>
      </c>
      <c r="E99" s="101">
        <f>SUM(E98:E98)</f>
        <v>139.36557420730082</v>
      </c>
    </row>
    <row r="101" spans="3:10" ht="13.5" thickBot="1"/>
    <row r="102" spans="3:10" ht="39">
      <c r="C102" s="334" t="s">
        <v>50</v>
      </c>
      <c r="D102" s="333" t="str">
        <f>D97</f>
        <v>SAR (mn)</v>
      </c>
      <c r="E102" s="333" t="str">
        <f>E97</f>
        <v>USD (mn)</v>
      </c>
    </row>
    <row r="103" spans="3:10">
      <c r="C103" s="90" t="s">
        <v>51</v>
      </c>
      <c r="D103" s="94">
        <v>2076.587</v>
      </c>
      <c r="E103" s="100">
        <f>D103*$J$61</f>
        <v>553.31388222755129</v>
      </c>
    </row>
    <row r="104" spans="3:10">
      <c r="C104" s="90" t="s">
        <v>52</v>
      </c>
      <c r="D104" s="94">
        <v>7855.8829999999998</v>
      </c>
      <c r="E104" s="100">
        <f>D104*$J$61</f>
        <v>2093.2275512922993</v>
      </c>
    </row>
    <row r="105" spans="3:10" ht="13.5" thickBot="1">
      <c r="C105" s="90" t="s">
        <v>53</v>
      </c>
      <c r="D105" s="94">
        <v>5349.2240000000002</v>
      </c>
      <c r="E105" s="100">
        <f>D105*$J$61</f>
        <v>1425.3194777511324</v>
      </c>
    </row>
    <row r="106" spans="3:10" ht="13.5" thickBot="1">
      <c r="C106" s="91" t="s">
        <v>41</v>
      </c>
      <c r="D106" s="106">
        <f>SUM(D103:D105)</f>
        <v>15281.694</v>
      </c>
      <c r="E106" s="106">
        <f>SUM(E103:E105)</f>
        <v>4071.8609112709828</v>
      </c>
    </row>
    <row r="108" spans="3:10" ht="13.5" thickBot="1"/>
    <row r="109" spans="3:10" ht="26">
      <c r="C109" s="334" t="s">
        <v>54</v>
      </c>
      <c r="D109" s="333" t="str">
        <f>D102</f>
        <v>SAR (mn)</v>
      </c>
      <c r="E109" s="333" t="str">
        <f>E102</f>
        <v>USD (mn)</v>
      </c>
    </row>
    <row r="110" spans="3:10">
      <c r="C110" s="90" t="s">
        <v>51</v>
      </c>
      <c r="D110" s="94">
        <v>101.238</v>
      </c>
      <c r="E110" s="100">
        <f>D110*$J$61</f>
        <v>26.975219824140687</v>
      </c>
    </row>
    <row r="111" spans="3:10">
      <c r="C111" s="90" t="s">
        <v>52</v>
      </c>
      <c r="D111" s="94">
        <v>222.512</v>
      </c>
      <c r="E111" s="100">
        <f>D111*$J$61</f>
        <v>59.289102051691977</v>
      </c>
    </row>
    <row r="112" spans="3:10" ht="13.5" thickBot="1">
      <c r="C112" s="90" t="s">
        <v>53</v>
      </c>
      <c r="D112" s="94">
        <v>430.92</v>
      </c>
      <c r="E112" s="100">
        <f>D112*$J$61</f>
        <v>114.82014388489209</v>
      </c>
    </row>
    <row r="113" spans="3:7" ht="13.5" thickBot="1">
      <c r="C113" s="91" t="s">
        <v>41</v>
      </c>
      <c r="D113" s="106">
        <f>SUM(D110:D112)</f>
        <v>754.67000000000007</v>
      </c>
      <c r="E113" s="106">
        <f>SUM(E110:E112)</f>
        <v>201.08446576072475</v>
      </c>
    </row>
    <row r="114" spans="3:7">
      <c r="C114" s="178"/>
      <c r="D114" s="116"/>
      <c r="E114" s="116"/>
    </row>
    <row r="115" spans="3:7" ht="13.5" thickBot="1"/>
    <row r="116" spans="3:7">
      <c r="C116" s="317" t="s">
        <v>55</v>
      </c>
      <c r="D116" s="316" t="str">
        <f>D64</f>
        <v>SAR (mn)</v>
      </c>
      <c r="E116" s="318" t="str">
        <f>E64</f>
        <v>USD (mn)</v>
      </c>
    </row>
    <row r="117" spans="3:7">
      <c r="C117" s="90"/>
      <c r="D117" s="104"/>
      <c r="E117" s="100"/>
    </row>
    <row r="118" spans="3:7">
      <c r="C118" s="90" t="s">
        <v>35</v>
      </c>
      <c r="D118" s="94">
        <v>1500</v>
      </c>
      <c r="E118" s="100">
        <f>D118*J61</f>
        <v>399.68025579536368</v>
      </c>
      <c r="G118" s="180"/>
    </row>
    <row r="119" spans="3:7">
      <c r="C119" s="90" t="s">
        <v>36</v>
      </c>
      <c r="D119" s="94">
        <v>2600</v>
      </c>
      <c r="E119" s="100">
        <f>D119*J61</f>
        <v>692.7791100452971</v>
      </c>
      <c r="G119" s="180"/>
    </row>
    <row r="120" spans="3:7">
      <c r="C120" s="90" t="s">
        <v>37</v>
      </c>
      <c r="D120" s="94">
        <v>500</v>
      </c>
      <c r="E120" s="100">
        <f>D120*J61</f>
        <v>133.2267519317879</v>
      </c>
      <c r="G120" s="180"/>
    </row>
    <row r="121" spans="3:7">
      <c r="C121" s="90" t="s">
        <v>38</v>
      </c>
      <c r="D121" s="94">
        <v>100</v>
      </c>
      <c r="E121" s="100">
        <f>D121*J61</f>
        <v>26.645350386357581</v>
      </c>
      <c r="G121" s="180"/>
    </row>
    <row r="122" spans="3:7">
      <c r="C122" s="90" t="s">
        <v>39</v>
      </c>
      <c r="D122" s="94">
        <v>3000</v>
      </c>
      <c r="E122" s="100">
        <f>D122*J61</f>
        <v>799.36051159072736</v>
      </c>
      <c r="G122" s="180"/>
    </row>
    <row r="123" spans="3:7">
      <c r="C123" s="90" t="s">
        <v>40</v>
      </c>
      <c r="D123" s="94">
        <v>4900</v>
      </c>
      <c r="E123" s="100">
        <f>D123*J61</f>
        <v>1305.6221689315214</v>
      </c>
      <c r="G123" s="180"/>
    </row>
    <row r="124" spans="3:7" ht="13.5" thickBot="1">
      <c r="C124" s="90"/>
      <c r="D124" s="94"/>
      <c r="E124" s="100"/>
    </row>
    <row r="125" spans="3:7" ht="13.5" thickBot="1">
      <c r="C125" s="91" t="s">
        <v>41</v>
      </c>
      <c r="D125" s="106">
        <f>SUM(D117:D124)</f>
        <v>12600</v>
      </c>
      <c r="E125" s="106">
        <f>SUM(E117:E124)</f>
        <v>3357.3141486810555</v>
      </c>
    </row>
    <row r="126" spans="3:7">
      <c r="C126" s="90" t="s">
        <v>42</v>
      </c>
      <c r="D126" s="104">
        <f>D84</f>
        <v>550.226</v>
      </c>
      <c r="E126" s="100">
        <f>D126*J61</f>
        <v>146.60964561683986</v>
      </c>
    </row>
    <row r="127" spans="3:7" ht="13.5" thickBot="1">
      <c r="C127" s="90" t="s">
        <v>43</v>
      </c>
      <c r="D127" s="104">
        <f>D82</f>
        <v>16.893000000000001</v>
      </c>
      <c r="E127" s="100">
        <f>D127*J61</f>
        <v>4.5011990407673865</v>
      </c>
    </row>
    <row r="128" spans="3:7" ht="13.5" thickBot="1">
      <c r="C128" s="91" t="s">
        <v>44</v>
      </c>
      <c r="D128" s="106">
        <f>+D125+D126+D127</f>
        <v>13167.119000000001</v>
      </c>
      <c r="E128" s="106">
        <f>+E125+E126+E127</f>
        <v>3508.4249933386627</v>
      </c>
    </row>
    <row r="129" spans="2:13">
      <c r="C129" s="178"/>
      <c r="D129" s="116"/>
      <c r="E129" s="116"/>
    </row>
    <row r="130" spans="2:13">
      <c r="C130" s="178"/>
      <c r="D130" s="116"/>
      <c r="E130" s="116"/>
    </row>
    <row r="131" spans="2:13">
      <c r="C131" s="178"/>
      <c r="D131" s="116"/>
      <c r="E131" s="116"/>
    </row>
    <row r="132" spans="2:13">
      <c r="C132" s="178"/>
      <c r="D132" s="116"/>
      <c r="E132" s="116"/>
    </row>
    <row r="134" spans="2:13">
      <c r="B134" s="50" t="s">
        <v>56</v>
      </c>
      <c r="I134" s="50" t="s">
        <v>57</v>
      </c>
      <c r="J134" s="165">
        <f>Model!$M$203</f>
        <v>0.2664535038635758</v>
      </c>
    </row>
    <row r="135" spans="2:13">
      <c r="B135" s="50"/>
      <c r="G135" s="179"/>
      <c r="I135" s="50" t="s">
        <v>58</v>
      </c>
      <c r="J135" s="165">
        <f>Model!$M$205</f>
        <v>0.26659423407037619</v>
      </c>
    </row>
    <row r="136" spans="2:13" ht="13.5" thickBot="1">
      <c r="B136" s="50"/>
    </row>
    <row r="137" spans="2:13">
      <c r="C137" s="312" t="s">
        <v>59</v>
      </c>
      <c r="D137" s="313" t="s">
        <v>4</v>
      </c>
      <c r="E137" s="313" t="s">
        <v>5</v>
      </c>
      <c r="F137" s="314" t="s">
        <v>6</v>
      </c>
      <c r="G137" s="314" t="s">
        <v>7</v>
      </c>
      <c r="I137" s="320" t="s">
        <v>8</v>
      </c>
      <c r="J137" s="319" t="str">
        <f>D137</f>
        <v>SAR (mn)</v>
      </c>
    </row>
    <row r="138" spans="2:13" ht="14.25" customHeight="1">
      <c r="C138" s="187"/>
      <c r="D138" s="188"/>
      <c r="E138" s="244"/>
      <c r="F138" s="191"/>
      <c r="G138" s="191"/>
      <c r="I138" s="56" t="s">
        <v>9</v>
      </c>
      <c r="J138" s="321">
        <v>11971</v>
      </c>
    </row>
    <row r="139" spans="2:13" ht="13.5" thickBot="1">
      <c r="C139" s="227" t="s">
        <v>10</v>
      </c>
      <c r="D139" s="197">
        <f>SUM(D140:D145)</f>
        <v>11044.215999999999</v>
      </c>
      <c r="E139" s="197">
        <f>SUM(E140:E145)</f>
        <v>2942.7700506261654</v>
      </c>
      <c r="F139" s="191"/>
      <c r="G139" s="191"/>
      <c r="I139" s="322" t="s">
        <v>11</v>
      </c>
      <c r="J139" s="323" t="s">
        <v>60</v>
      </c>
      <c r="K139" s="257"/>
    </row>
    <row r="140" spans="2:13">
      <c r="C140" s="252" t="s">
        <v>13</v>
      </c>
      <c r="D140" s="193">
        <v>5936.7039999999997</v>
      </c>
      <c r="E140" s="245">
        <f t="shared" ref="E140:E145" si="4">D140*$J$134</f>
        <v>1581.8555822009059</v>
      </c>
      <c r="F140" s="191"/>
      <c r="G140" s="191"/>
      <c r="I140" s="257"/>
      <c r="J140" s="258"/>
      <c r="K140" s="194"/>
    </row>
    <row r="141" spans="2:13">
      <c r="C141" s="252" t="s">
        <v>14</v>
      </c>
      <c r="D141" s="193">
        <v>237.48</v>
      </c>
      <c r="E141" s="245">
        <f t="shared" si="4"/>
        <v>63.277378097521982</v>
      </c>
      <c r="F141" s="191"/>
      <c r="G141" s="191"/>
      <c r="I141" s="257"/>
      <c r="J141" s="258"/>
      <c r="K141" s="194"/>
    </row>
    <row r="142" spans="2:13">
      <c r="C142" s="252" t="s">
        <v>15</v>
      </c>
      <c r="D142" s="193">
        <v>127.932</v>
      </c>
      <c r="E142" s="245">
        <f t="shared" si="4"/>
        <v>34.08792965627498</v>
      </c>
      <c r="F142" s="196"/>
      <c r="G142" s="196"/>
      <c r="I142" s="257"/>
      <c r="J142" s="258"/>
      <c r="K142" s="194"/>
      <c r="L142" s="256"/>
      <c r="M142" s="256"/>
    </row>
    <row r="143" spans="2:13">
      <c r="C143" s="252" t="s">
        <v>16</v>
      </c>
      <c r="D143" s="193">
        <v>47.183</v>
      </c>
      <c r="E143" s="245">
        <f t="shared" si="4"/>
        <v>12.572075672795098</v>
      </c>
      <c r="F143" s="191"/>
      <c r="G143" s="191"/>
      <c r="I143" s="257"/>
      <c r="J143" s="258"/>
      <c r="K143" s="194"/>
      <c r="L143" s="256"/>
      <c r="M143" s="256"/>
    </row>
    <row r="144" spans="2:13">
      <c r="C144" s="252" t="s">
        <v>17</v>
      </c>
      <c r="D144" s="193">
        <v>16.431999999999999</v>
      </c>
      <c r="E144" s="245">
        <f t="shared" si="4"/>
        <v>4.3783639754862769</v>
      </c>
      <c r="F144" s="191"/>
      <c r="G144" s="191"/>
      <c r="I144" s="257"/>
      <c r="J144" s="258"/>
      <c r="K144" s="194"/>
      <c r="L144" s="256"/>
      <c r="M144" s="256"/>
    </row>
    <row r="145" spans="3:13">
      <c r="C145" s="252" t="s">
        <v>18</v>
      </c>
      <c r="D145" s="193">
        <v>4678.4849999999997</v>
      </c>
      <c r="E145" s="245">
        <f t="shared" si="4"/>
        <v>1246.5987210231813</v>
      </c>
      <c r="F145" s="191"/>
      <c r="G145" s="191"/>
      <c r="L145" s="267"/>
      <c r="M145" s="256"/>
    </row>
    <row r="146" spans="3:13">
      <c r="C146" s="229"/>
      <c r="D146" s="193"/>
      <c r="E146" s="245"/>
      <c r="F146" s="196"/>
      <c r="G146" s="196"/>
      <c r="I146" s="242"/>
      <c r="J146" s="260"/>
      <c r="K146" s="260"/>
      <c r="L146" s="256"/>
      <c r="M146" s="256"/>
    </row>
    <row r="147" spans="3:13">
      <c r="C147" s="227" t="s">
        <v>19</v>
      </c>
      <c r="D147" s="197">
        <f>SUM(D148:D153)</f>
        <v>1563.421</v>
      </c>
      <c r="E147" s="197">
        <f>SUM(E148:E153)</f>
        <v>416.57900346389556</v>
      </c>
      <c r="F147" s="247"/>
      <c r="G147" s="199"/>
      <c r="I147" s="242"/>
      <c r="J147" s="255"/>
      <c r="K147" s="194"/>
      <c r="L147" s="256"/>
      <c r="M147" s="256"/>
    </row>
    <row r="148" spans="3:13">
      <c r="C148" s="252" t="s">
        <v>13</v>
      </c>
      <c r="D148" s="193">
        <v>1061.5170000000001</v>
      </c>
      <c r="E148" s="245">
        <f t="shared" ref="E148:E153" si="5">D148*$J$134</f>
        <v>282.8449240607514</v>
      </c>
      <c r="F148" s="191"/>
      <c r="G148" s="191"/>
      <c r="I148" s="257"/>
      <c r="J148" s="258"/>
      <c r="K148" s="194"/>
      <c r="L148" s="256"/>
      <c r="M148" s="256"/>
    </row>
    <row r="149" spans="3:13">
      <c r="C149" s="252" t="s">
        <v>14</v>
      </c>
      <c r="D149" s="193">
        <v>237.30199999999999</v>
      </c>
      <c r="E149" s="245">
        <f t="shared" si="5"/>
        <v>63.229949373834266</v>
      </c>
      <c r="F149" s="191"/>
      <c r="G149" s="191"/>
      <c r="I149" s="324"/>
      <c r="J149" s="258"/>
      <c r="K149" s="194"/>
      <c r="L149" s="256"/>
      <c r="M149" s="256"/>
    </row>
    <row r="150" spans="3:13">
      <c r="C150" s="252" t="s">
        <v>15</v>
      </c>
      <c r="D150" s="193">
        <v>135.11500000000001</v>
      </c>
      <c r="E150" s="245">
        <f t="shared" si="5"/>
        <v>36.001865174527047</v>
      </c>
      <c r="F150" s="191"/>
      <c r="G150" s="191"/>
      <c r="H150" s="179"/>
      <c r="I150" s="257"/>
      <c r="J150" s="258"/>
      <c r="K150" s="194"/>
      <c r="L150" s="256"/>
      <c r="M150" s="256"/>
    </row>
    <row r="151" spans="3:13">
      <c r="C151" s="252" t="s">
        <v>16</v>
      </c>
      <c r="D151" s="193">
        <v>71.174000000000007</v>
      </c>
      <c r="E151" s="245">
        <f t="shared" si="5"/>
        <v>18.964561683986148</v>
      </c>
      <c r="F151" s="191"/>
      <c r="G151" s="191"/>
      <c r="I151" s="257"/>
      <c r="J151" s="255"/>
      <c r="K151" s="194"/>
      <c r="L151" s="256"/>
      <c r="M151" s="256"/>
    </row>
    <row r="152" spans="3:13">
      <c r="C152" s="252" t="s">
        <v>17</v>
      </c>
      <c r="D152" s="193">
        <v>23.535</v>
      </c>
      <c r="E152" s="245">
        <f t="shared" si="5"/>
        <v>6.2709832134292567</v>
      </c>
      <c r="F152" s="191"/>
      <c r="G152" s="191"/>
      <c r="I152" s="257"/>
      <c r="J152" s="255"/>
      <c r="K152" s="194"/>
      <c r="L152" s="256"/>
      <c r="M152" s="256"/>
    </row>
    <row r="153" spans="3:13">
      <c r="C153" s="252" t="s">
        <v>18</v>
      </c>
      <c r="D153" s="193">
        <v>34.777999999999999</v>
      </c>
      <c r="E153" s="245">
        <f t="shared" si="5"/>
        <v>9.2667199573674388</v>
      </c>
      <c r="F153" s="191"/>
      <c r="G153" s="191"/>
      <c r="I153" s="257"/>
      <c r="J153" s="255"/>
      <c r="K153" s="194"/>
      <c r="L153" s="256"/>
      <c r="M153" s="256"/>
    </row>
    <row r="154" spans="3:13">
      <c r="C154" s="252"/>
      <c r="D154" s="193"/>
      <c r="E154" s="245"/>
      <c r="F154" s="191"/>
      <c r="G154" s="191"/>
      <c r="I154" s="257"/>
      <c r="J154" s="255"/>
      <c r="K154" s="194"/>
      <c r="L154" s="256"/>
      <c r="M154" s="256"/>
    </row>
    <row r="155" spans="3:13">
      <c r="C155" s="227" t="s">
        <v>20</v>
      </c>
      <c r="D155" s="193">
        <v>37.241999999999997</v>
      </c>
      <c r="E155" s="245">
        <f>D155*$J$134</f>
        <v>9.9232613908872889</v>
      </c>
      <c r="F155" s="191"/>
      <c r="G155" s="191"/>
      <c r="I155" s="257"/>
      <c r="J155" s="255"/>
      <c r="K155" s="194"/>
      <c r="L155" s="256"/>
      <c r="M155" s="256"/>
    </row>
    <row r="156" spans="3:13">
      <c r="C156" s="252"/>
      <c r="D156" s="193"/>
      <c r="E156" s="245"/>
      <c r="F156" s="191"/>
      <c r="G156" s="191"/>
      <c r="I156" s="257"/>
      <c r="J156" s="255"/>
      <c r="K156" s="194"/>
      <c r="L156" s="256"/>
      <c r="M156" s="256"/>
    </row>
    <row r="157" spans="3:13">
      <c r="C157" s="227" t="s">
        <v>21</v>
      </c>
      <c r="D157" s="197">
        <f>SUM(D158:D159)</f>
        <v>466.18700000000001</v>
      </c>
      <c r="E157" s="197">
        <f>SUM(E158:E159)</f>
        <v>124.21715960564882</v>
      </c>
      <c r="F157" s="191"/>
      <c r="G157" s="191"/>
      <c r="I157" s="257"/>
      <c r="J157" s="255"/>
      <c r="K157" s="194"/>
      <c r="L157" s="256"/>
      <c r="M157" s="256"/>
    </row>
    <row r="158" spans="3:13">
      <c r="C158" s="252" t="s">
        <v>22</v>
      </c>
      <c r="D158" s="193">
        <v>88.53</v>
      </c>
      <c r="E158" s="245">
        <f>D158*$J$134</f>
        <v>23.589128697042366</v>
      </c>
      <c r="F158" s="191"/>
      <c r="G158" s="191"/>
      <c r="I158" s="257"/>
      <c r="J158" s="255"/>
      <c r="K158" s="194"/>
      <c r="L158" s="256"/>
      <c r="M158" s="256"/>
    </row>
    <row r="159" spans="3:13">
      <c r="C159" s="252" t="s">
        <v>23</v>
      </c>
      <c r="D159" s="193">
        <v>377.65699999999998</v>
      </c>
      <c r="E159" s="245">
        <f>D159*$J$134</f>
        <v>100.62803090860645</v>
      </c>
      <c r="F159" s="191"/>
      <c r="G159" s="191"/>
      <c r="I159" s="257"/>
      <c r="J159" s="255"/>
      <c r="K159" s="194"/>
      <c r="L159" s="256"/>
      <c r="M159" s="256"/>
    </row>
    <row r="160" spans="3:13">
      <c r="C160" s="253"/>
      <c r="D160" s="193"/>
      <c r="E160" s="246"/>
      <c r="F160" s="248"/>
      <c r="G160" s="191"/>
      <c r="H160" s="179"/>
      <c r="I160" s="259"/>
      <c r="J160" s="59"/>
      <c r="K160" s="59"/>
      <c r="L160" s="260"/>
      <c r="M160" s="260"/>
    </row>
    <row r="161" spans="3:13">
      <c r="C161" s="201" t="s">
        <v>24</v>
      </c>
      <c r="D161" s="202">
        <f>SUM(D139,D147,D157,D155)</f>
        <v>13111.065999999999</v>
      </c>
      <c r="E161" s="202">
        <f>SUM(E139,E147,E157,E155)</f>
        <v>3493.4894750865969</v>
      </c>
      <c r="F161" s="205">
        <f>+D161/D166</f>
        <v>2.7381463149760874</v>
      </c>
      <c r="G161" s="205">
        <f>+E161/E166</f>
        <v>2.736700897754293</v>
      </c>
      <c r="I161" s="261"/>
      <c r="J161" s="262"/>
      <c r="K161" s="194"/>
      <c r="L161" s="263"/>
      <c r="M161" s="263"/>
    </row>
    <row r="162" spans="3:13">
      <c r="C162" s="206" t="s">
        <v>25</v>
      </c>
      <c r="D162" s="207">
        <f>Model!$AS$109</f>
        <v>673.55399999999997</v>
      </c>
      <c r="E162" s="245">
        <f>D162*J134</f>
        <v>179.47082334132693</v>
      </c>
      <c r="F162" s="209"/>
      <c r="G162" s="209"/>
      <c r="I162" s="259"/>
      <c r="J162" s="59"/>
      <c r="K162" s="59"/>
      <c r="L162" s="260"/>
      <c r="M162" s="260"/>
    </row>
    <row r="163" spans="3:13">
      <c r="C163" s="201" t="s">
        <v>26</v>
      </c>
      <c r="D163" s="202">
        <f>+D161-D162</f>
        <v>12437.511999999999</v>
      </c>
      <c r="E163" s="202">
        <f>+E161-E162</f>
        <v>3314.0186517452698</v>
      </c>
      <c r="F163" s="205">
        <f>+D163/D166</f>
        <v>2.5974796900778978</v>
      </c>
      <c r="G163" s="205">
        <f>+E163/E166</f>
        <v>2.5961085281875471</v>
      </c>
      <c r="I163" s="259"/>
      <c r="J163" s="59"/>
      <c r="K163" s="194"/>
    </row>
    <row r="164" spans="3:13">
      <c r="C164" s="210" t="s">
        <v>27</v>
      </c>
      <c r="D164" s="211">
        <f>Model!$AS$116</f>
        <v>20043.786</v>
      </c>
      <c r="E164" s="245">
        <f>D164*J134</f>
        <v>5340.7370103916865</v>
      </c>
      <c r="F164" s="213"/>
      <c r="G164" s="213"/>
      <c r="I164" s="259"/>
      <c r="J164" s="59"/>
      <c r="K164" s="59"/>
      <c r="L164" s="260"/>
      <c r="M164" s="260"/>
    </row>
    <row r="165" spans="3:13">
      <c r="C165" s="201" t="s">
        <v>28</v>
      </c>
      <c r="D165" s="202">
        <f>D161+D164</f>
        <v>33154.851999999999</v>
      </c>
      <c r="E165" s="202">
        <f>E161+E164</f>
        <v>8834.2264854782843</v>
      </c>
      <c r="F165" s="205">
        <f>D165/D166</f>
        <v>6.9241384207338719</v>
      </c>
      <c r="G165" s="205">
        <f>E165/E166</f>
        <v>6.9204832950509694</v>
      </c>
      <c r="I165" s="261"/>
      <c r="J165" s="58"/>
      <c r="K165" s="58"/>
    </row>
    <row r="166" spans="3:13">
      <c r="C166" s="214" t="s">
        <v>29</v>
      </c>
      <c r="D166" s="215">
        <f>Model!$AS$82</f>
        <v>4788.3</v>
      </c>
      <c r="E166" s="249">
        <f>D166*J135</f>
        <v>1276.5331709991824</v>
      </c>
      <c r="F166" s="218"/>
      <c r="G166" s="218"/>
    </row>
    <row r="168" spans="3:13">
      <c r="C168" s="82" t="s">
        <v>30</v>
      </c>
      <c r="D168" s="83">
        <f>D161-Model!$AS$112</f>
        <v>0</v>
      </c>
      <c r="E168" s="83"/>
      <c r="I168" s="264"/>
      <c r="J168" s="265"/>
    </row>
    <row r="169" spans="3:13" ht="13.5" thickBot="1">
      <c r="D169" s="105"/>
      <c r="E169" s="105"/>
      <c r="H169" s="179"/>
      <c r="J169" s="255"/>
    </row>
    <row r="170" spans="3:13">
      <c r="C170" s="315" t="s">
        <v>61</v>
      </c>
      <c r="D170" s="316" t="str">
        <f>D137</f>
        <v>SAR (mn)</v>
      </c>
      <c r="E170" s="316" t="str">
        <f>E137</f>
        <v>USD (mn)</v>
      </c>
      <c r="J170" s="266"/>
    </row>
    <row r="171" spans="3:13">
      <c r="C171" s="56" t="s">
        <v>32</v>
      </c>
      <c r="D171" s="98">
        <f>D162</f>
        <v>673.55399999999997</v>
      </c>
      <c r="E171" s="99">
        <f>E162</f>
        <v>179.47082334132693</v>
      </c>
    </row>
    <row r="172" spans="3:13" ht="13.5" thickBot="1">
      <c r="C172" s="95" t="s">
        <v>33</v>
      </c>
      <c r="D172" s="101">
        <f>SUM(D171:D171)</f>
        <v>673.55399999999997</v>
      </c>
      <c r="E172" s="101">
        <f>SUM(E171:E171)</f>
        <v>179.47082334132693</v>
      </c>
    </row>
    <row r="174" spans="3:13" ht="13.5" thickBot="1"/>
    <row r="175" spans="3:13">
      <c r="C175" s="317" t="s">
        <v>62</v>
      </c>
      <c r="D175" s="316" t="str">
        <f>D137</f>
        <v>SAR (mn)</v>
      </c>
      <c r="E175" s="318" t="str">
        <f>E137</f>
        <v>USD (mn)</v>
      </c>
    </row>
    <row r="176" spans="3:13">
      <c r="C176" s="90"/>
      <c r="D176" s="104"/>
      <c r="E176" s="100"/>
    </row>
    <row r="177" spans="3:7">
      <c r="C177" s="90" t="s">
        <v>35</v>
      </c>
      <c r="D177" s="94">
        <v>1600</v>
      </c>
      <c r="E177" s="100">
        <f>D177*J134</f>
        <v>426.3256061817213</v>
      </c>
      <c r="G177" s="180"/>
    </row>
    <row r="178" spans="3:7">
      <c r="C178" s="90" t="s">
        <v>36</v>
      </c>
      <c r="D178" s="94">
        <v>2600</v>
      </c>
      <c r="E178" s="100">
        <f>D178*J134</f>
        <v>692.7791100452971</v>
      </c>
      <c r="G178" s="180"/>
    </row>
    <row r="179" spans="3:7">
      <c r="C179" s="90" t="s">
        <v>37</v>
      </c>
      <c r="D179" s="94">
        <v>100</v>
      </c>
      <c r="E179" s="100">
        <f>D179*J134</f>
        <v>26.645350386357581</v>
      </c>
      <c r="G179" s="180"/>
    </row>
    <row r="180" spans="3:7">
      <c r="C180" s="90" t="s">
        <v>38</v>
      </c>
      <c r="D180" s="94">
        <v>400</v>
      </c>
      <c r="E180" s="100">
        <f>D180*J134</f>
        <v>106.58140154543032</v>
      </c>
      <c r="G180" s="180"/>
    </row>
    <row r="181" spans="3:7">
      <c r="C181" s="90" t="s">
        <v>39</v>
      </c>
      <c r="D181" s="94">
        <v>3000</v>
      </c>
      <c r="E181" s="100">
        <f>D181*J134</f>
        <v>799.36051159072736</v>
      </c>
      <c r="G181" s="180"/>
    </row>
    <row r="182" spans="3:7">
      <c r="C182" s="90" t="s">
        <v>40</v>
      </c>
      <c r="D182" s="94">
        <v>4900</v>
      </c>
      <c r="E182" s="100">
        <f>D182*J134</f>
        <v>1305.6221689315214</v>
      </c>
      <c r="G182" s="180"/>
    </row>
    <row r="183" spans="3:7" ht="13.5" thickBot="1">
      <c r="C183" s="90"/>
      <c r="D183" s="94"/>
      <c r="E183" s="100"/>
    </row>
    <row r="184" spans="3:7" ht="13.5" thickBot="1">
      <c r="C184" s="91" t="s">
        <v>41</v>
      </c>
      <c r="D184" s="106">
        <f>SUM(D176:D183)</f>
        <v>12600</v>
      </c>
      <c r="E184" s="106">
        <f>SUM(E176:E183)</f>
        <v>3357.3141486810555</v>
      </c>
    </row>
    <row r="185" spans="3:7">
      <c r="C185" s="90" t="s">
        <v>42</v>
      </c>
      <c r="D185" s="104">
        <f>D157</f>
        <v>466.18700000000001</v>
      </c>
      <c r="E185" s="100">
        <f>D185*J134</f>
        <v>124.21715960564882</v>
      </c>
    </row>
    <row r="186" spans="3:7" ht="13.5" thickBot="1">
      <c r="C186" s="90" t="s">
        <v>43</v>
      </c>
      <c r="D186" s="104">
        <f>D155</f>
        <v>37.241999999999997</v>
      </c>
      <c r="E186" s="100">
        <f>D186*J134</f>
        <v>9.9232613908872889</v>
      </c>
    </row>
    <row r="187" spans="3:7" ht="13.5" thickBot="1">
      <c r="C187" s="91" t="s">
        <v>44</v>
      </c>
      <c r="D187" s="106">
        <f>+D184+D185+D186</f>
        <v>13103.429</v>
      </c>
      <c r="E187" s="106">
        <f>+E184+E185+E186</f>
        <v>3491.4545696775913</v>
      </c>
    </row>
    <row r="188" spans="3:7">
      <c r="C188" s="178"/>
      <c r="D188" s="116"/>
      <c r="E188" s="116"/>
    </row>
    <row r="189" spans="3:7">
      <c r="C189" s="178"/>
      <c r="D189" s="116"/>
      <c r="E189" s="116"/>
    </row>
    <row r="190" spans="3:7">
      <c r="C190" s="178"/>
      <c r="D190" s="116"/>
      <c r="E190" s="116"/>
    </row>
    <row r="191" spans="3:7">
      <c r="C191" s="178"/>
      <c r="D191" s="116"/>
      <c r="E191" s="116"/>
    </row>
    <row r="193" spans="2:13">
      <c r="B193" s="50" t="s">
        <v>63</v>
      </c>
      <c r="I193" s="50" t="s">
        <v>64</v>
      </c>
      <c r="J193" s="165">
        <f>Model!$AR$203</f>
        <v>0.2666</v>
      </c>
    </row>
    <row r="194" spans="2:13">
      <c r="B194" s="50"/>
      <c r="G194" s="179"/>
      <c r="I194" s="50" t="s">
        <v>65</v>
      </c>
      <c r="J194" s="165">
        <f>Model!$AR$205</f>
        <v>0.26644999999999996</v>
      </c>
    </row>
    <row r="195" spans="2:13" ht="13.5" thickBot="1">
      <c r="B195" s="50"/>
    </row>
    <row r="196" spans="2:13" ht="16.5" customHeight="1">
      <c r="C196" s="185" t="s">
        <v>66</v>
      </c>
      <c r="D196" s="243" t="s">
        <v>4</v>
      </c>
      <c r="E196" s="243" t="s">
        <v>5</v>
      </c>
      <c r="F196" s="280" t="s">
        <v>6</v>
      </c>
      <c r="G196" s="280" t="s">
        <v>7</v>
      </c>
      <c r="I196" s="268" t="s">
        <v>67</v>
      </c>
      <c r="J196" s="269"/>
      <c r="K196" s="270"/>
    </row>
    <row r="197" spans="2:13" ht="14.25" customHeight="1">
      <c r="C197" s="187"/>
      <c r="D197" s="188"/>
      <c r="E197" s="244"/>
      <c r="F197" s="191"/>
      <c r="G197" s="191"/>
      <c r="I197" s="274" t="str">
        <f>C196</f>
        <v>Amount outstanding as on Jun 2025</v>
      </c>
      <c r="J197" s="278" t="s">
        <v>4</v>
      </c>
      <c r="K197" s="279" t="s">
        <v>5</v>
      </c>
    </row>
    <row r="198" spans="2:13">
      <c r="C198" s="227" t="s">
        <v>10</v>
      </c>
      <c r="D198" s="197">
        <f>SUM(D199:D204)</f>
        <v>1628.2620000000002</v>
      </c>
      <c r="E198" s="197">
        <f>SUM(E199:E204)</f>
        <v>434.09464920000005</v>
      </c>
      <c r="F198" s="191"/>
      <c r="G198" s="191"/>
      <c r="I198" s="56"/>
      <c r="J198" s="257"/>
      <c r="K198" s="271"/>
    </row>
    <row r="199" spans="2:13">
      <c r="C199" s="252" t="s">
        <v>13</v>
      </c>
      <c r="D199" s="193">
        <v>1081.8040000000001</v>
      </c>
      <c r="E199" s="245">
        <f t="shared" ref="E199:E204" si="6">D199*$J$193</f>
        <v>288.40894640000005</v>
      </c>
      <c r="F199" s="191"/>
      <c r="G199" s="191"/>
      <c r="I199" s="56" t="str">
        <f>C198</f>
        <v>Current Liabilities</v>
      </c>
      <c r="J199" s="258">
        <f>D198</f>
        <v>1628.2620000000002</v>
      </c>
      <c r="K199" s="272">
        <f>J199*$J$251</f>
        <v>434.09464920000005</v>
      </c>
    </row>
    <row r="200" spans="2:13">
      <c r="C200" s="252" t="s">
        <v>14</v>
      </c>
      <c r="D200" s="193">
        <v>235.19499999999999</v>
      </c>
      <c r="E200" s="245">
        <f t="shared" si="6"/>
        <v>62.702987</v>
      </c>
      <c r="F200" s="191"/>
      <c r="G200" s="191"/>
      <c r="I200" s="56" t="str">
        <f>C206</f>
        <v>Non-Current Liabilities</v>
      </c>
      <c r="J200" s="258">
        <f>D206</f>
        <v>9542.7170000000006</v>
      </c>
      <c r="K200" s="272">
        <f>J200*$J$251</f>
        <v>2544.0883522000004</v>
      </c>
    </row>
    <row r="201" spans="2:13">
      <c r="C201" s="252" t="s">
        <v>15</v>
      </c>
      <c r="D201" s="193">
        <v>117.40300000000001</v>
      </c>
      <c r="E201" s="245">
        <f t="shared" si="6"/>
        <v>31.299639800000001</v>
      </c>
      <c r="F201" s="196"/>
      <c r="G201" s="196"/>
      <c r="I201" s="56" t="str">
        <f>C214</f>
        <v>Bank Overdraft</v>
      </c>
      <c r="J201" s="258">
        <f>D214</f>
        <v>51.825000000000003</v>
      </c>
      <c r="K201" s="272">
        <f>J201*$J$251</f>
        <v>13.816545000000001</v>
      </c>
      <c r="L201" s="256"/>
      <c r="M201" s="256"/>
    </row>
    <row r="202" spans="2:13">
      <c r="C202" s="252" t="s">
        <v>16</v>
      </c>
      <c r="D202" s="193">
        <v>95.671000000000006</v>
      </c>
      <c r="E202" s="245">
        <f t="shared" si="6"/>
        <v>25.505888600000002</v>
      </c>
      <c r="F202" s="191"/>
      <c r="G202" s="191"/>
      <c r="I202" s="56" t="s">
        <v>68</v>
      </c>
      <c r="J202" s="258">
        <f>D221</f>
        <v>458.72500000000002</v>
      </c>
      <c r="K202" s="272">
        <f>J202*$J$251</f>
        <v>122.29608500000001</v>
      </c>
      <c r="L202" s="256"/>
      <c r="M202" s="256"/>
    </row>
    <row r="203" spans="2:13">
      <c r="C203" s="252" t="s">
        <v>17</v>
      </c>
      <c r="D203" s="193">
        <v>26.414999999999999</v>
      </c>
      <c r="E203" s="245">
        <f t="shared" si="6"/>
        <v>7.0422389999999995</v>
      </c>
      <c r="F203" s="191"/>
      <c r="G203" s="191"/>
      <c r="I203" s="56" t="s">
        <v>69</v>
      </c>
      <c r="J203" s="258">
        <f>SUM(J199:J201)-J202</f>
        <v>10764.079000000002</v>
      </c>
      <c r="K203" s="272">
        <f>J203*$J$251</f>
        <v>2869.7034614000004</v>
      </c>
      <c r="L203" s="256"/>
      <c r="M203" s="256"/>
    </row>
    <row r="204" spans="2:13">
      <c r="C204" s="252" t="s">
        <v>18</v>
      </c>
      <c r="D204" s="193">
        <v>71.774000000000001</v>
      </c>
      <c r="E204" s="245">
        <f t="shared" si="6"/>
        <v>19.134948399999999</v>
      </c>
      <c r="F204" s="191"/>
      <c r="G204" s="191"/>
      <c r="I204" s="238"/>
      <c r="K204" s="273"/>
      <c r="L204" s="267"/>
      <c r="M204" s="256"/>
    </row>
    <row r="205" spans="2:13" ht="13.5" thickBot="1">
      <c r="C205" s="229"/>
      <c r="D205" s="193"/>
      <c r="E205" s="245"/>
      <c r="F205" s="196"/>
      <c r="G205" s="196"/>
      <c r="I205" s="275" t="s">
        <v>70</v>
      </c>
      <c r="J205" s="276">
        <f>J203/D225</f>
        <v>2.2839899084204007</v>
      </c>
      <c r="K205" s="277">
        <f>K203/E225</f>
        <v>2.2852756974474722</v>
      </c>
      <c r="L205" s="256"/>
      <c r="M205" s="256"/>
    </row>
    <row r="206" spans="2:13">
      <c r="C206" s="227" t="s">
        <v>19</v>
      </c>
      <c r="D206" s="197">
        <f>SUM(D207:D212)</f>
        <v>9542.7170000000006</v>
      </c>
      <c r="E206" s="197">
        <f>SUM(E207:E212)</f>
        <v>2544.0883521999999</v>
      </c>
      <c r="F206" s="247"/>
      <c r="G206" s="199"/>
      <c r="I206" s="242"/>
      <c r="J206" s="255"/>
      <c r="K206" s="194"/>
      <c r="L206" s="256"/>
      <c r="M206" s="256"/>
    </row>
    <row r="207" spans="2:13">
      <c r="C207" s="252" t="s">
        <v>13</v>
      </c>
      <c r="D207" s="193">
        <v>6277.2280000000001</v>
      </c>
      <c r="E207" s="245">
        <f t="shared" ref="E207:E212" si="7">D207*$J$193</f>
        <v>1673.5089848</v>
      </c>
      <c r="F207" s="191"/>
      <c r="G207" s="191"/>
      <c r="I207" s="257"/>
      <c r="J207" s="258"/>
      <c r="K207" s="194"/>
      <c r="L207" s="256"/>
      <c r="M207" s="256"/>
    </row>
    <row r="208" spans="2:13">
      <c r="C208" s="252" t="s">
        <v>14</v>
      </c>
      <c r="D208" s="193">
        <v>235.45699999999999</v>
      </c>
      <c r="E208" s="245">
        <f t="shared" si="7"/>
        <v>62.7728362</v>
      </c>
      <c r="F208" s="191"/>
      <c r="G208" s="191"/>
      <c r="I208" s="257"/>
      <c r="J208" s="258"/>
      <c r="K208" s="194"/>
      <c r="L208" s="256"/>
      <c r="M208" s="256"/>
    </row>
    <row r="209" spans="3:13">
      <c r="C209" s="252" t="s">
        <v>15</v>
      </c>
      <c r="D209" s="193">
        <v>120.1</v>
      </c>
      <c r="E209" s="245">
        <f t="shared" si="7"/>
        <v>32.018659999999997</v>
      </c>
      <c r="F209" s="191"/>
      <c r="G209" s="191"/>
      <c r="H209" s="179"/>
      <c r="I209" s="257"/>
      <c r="J209" s="258"/>
      <c r="K209" s="194"/>
      <c r="L209" s="256"/>
      <c r="M209" s="256"/>
    </row>
    <row r="210" spans="3:13">
      <c r="C210" s="252" t="s">
        <v>16</v>
      </c>
      <c r="D210" s="193">
        <v>71.22</v>
      </c>
      <c r="E210" s="245">
        <f t="shared" si="7"/>
        <v>18.987252000000002</v>
      </c>
      <c r="F210" s="191"/>
      <c r="G210" s="191"/>
      <c r="I210" s="257"/>
      <c r="J210" s="255"/>
      <c r="K210" s="194"/>
      <c r="L210" s="256"/>
      <c r="M210" s="256"/>
    </row>
    <row r="211" spans="3:13">
      <c r="C211" s="252" t="s">
        <v>17</v>
      </c>
      <c r="D211" s="193">
        <v>36.579000000000001</v>
      </c>
      <c r="E211" s="245">
        <f t="shared" si="7"/>
        <v>9.7519614000000008</v>
      </c>
      <c r="F211" s="191"/>
      <c r="G211" s="191"/>
      <c r="I211" s="257"/>
      <c r="J211" s="255"/>
      <c r="K211" s="194"/>
      <c r="L211" s="256"/>
      <c r="M211" s="256"/>
    </row>
    <row r="212" spans="3:13">
      <c r="C212" s="252" t="s">
        <v>18</v>
      </c>
      <c r="D212" s="193">
        <v>2802.1329999999998</v>
      </c>
      <c r="E212" s="245">
        <f t="shared" si="7"/>
        <v>747.0486578</v>
      </c>
      <c r="F212" s="191"/>
      <c r="G212" s="191"/>
      <c r="I212" s="257"/>
      <c r="J212" s="255"/>
      <c r="K212" s="194"/>
      <c r="L212" s="256"/>
      <c r="M212" s="256"/>
    </row>
    <row r="213" spans="3:13">
      <c r="C213" s="252"/>
      <c r="D213" s="193"/>
      <c r="E213" s="245"/>
      <c r="F213" s="191"/>
      <c r="G213" s="191"/>
      <c r="I213" s="257"/>
      <c r="J213" s="255"/>
      <c r="K213" s="194"/>
      <c r="L213" s="256"/>
      <c r="M213" s="256"/>
    </row>
    <row r="214" spans="3:13">
      <c r="C214" s="227" t="s">
        <v>20</v>
      </c>
      <c r="D214" s="193">
        <v>51.825000000000003</v>
      </c>
      <c r="E214" s="245">
        <f>D214*$J$193</f>
        <v>13.816545000000001</v>
      </c>
      <c r="F214" s="191"/>
      <c r="G214" s="191"/>
      <c r="I214" s="257"/>
      <c r="J214" s="255"/>
      <c r="K214" s="194"/>
      <c r="L214" s="256"/>
      <c r="M214" s="256"/>
    </row>
    <row r="215" spans="3:13">
      <c r="C215" s="252"/>
      <c r="D215" s="193"/>
      <c r="E215" s="245"/>
      <c r="F215" s="191"/>
      <c r="G215" s="191"/>
      <c r="I215" s="257"/>
      <c r="J215" s="255"/>
      <c r="K215" s="194"/>
      <c r="L215" s="256"/>
      <c r="M215" s="256"/>
    </row>
    <row r="216" spans="3:13">
      <c r="C216" s="227" t="s">
        <v>21</v>
      </c>
      <c r="D216" s="197">
        <f>SUM(D217:D218)</f>
        <v>464.27800000000002</v>
      </c>
      <c r="E216" s="197">
        <f>SUM(E217:E218)</f>
        <v>123.7765148</v>
      </c>
      <c r="F216" s="191"/>
      <c r="G216" s="191"/>
      <c r="I216" s="257"/>
      <c r="J216" s="255"/>
      <c r="K216" s="194"/>
      <c r="L216" s="256"/>
      <c r="M216" s="256"/>
    </row>
    <row r="217" spans="3:13">
      <c r="C217" s="252" t="s">
        <v>22</v>
      </c>
      <c r="D217" s="193">
        <v>83.126999999999995</v>
      </c>
      <c r="E217" s="245">
        <f>D217*$J$193</f>
        <v>22.161658199999998</v>
      </c>
      <c r="F217" s="191"/>
      <c r="G217" s="191"/>
      <c r="I217" s="257"/>
      <c r="J217" s="255"/>
      <c r="K217" s="194"/>
      <c r="L217" s="256"/>
      <c r="M217" s="256"/>
    </row>
    <row r="218" spans="3:13">
      <c r="C218" s="252" t="s">
        <v>23</v>
      </c>
      <c r="D218" s="193">
        <v>381.15100000000001</v>
      </c>
      <c r="E218" s="245">
        <f>D218*$J$193</f>
        <v>101.61485660000001</v>
      </c>
      <c r="F218" s="191"/>
      <c r="G218" s="191"/>
      <c r="I218" s="257"/>
      <c r="J218" s="255"/>
      <c r="K218" s="194"/>
      <c r="L218" s="256"/>
      <c r="M218" s="256"/>
    </row>
    <row r="219" spans="3:13">
      <c r="C219" s="253"/>
      <c r="D219" s="193"/>
      <c r="E219" s="246"/>
      <c r="F219" s="248"/>
      <c r="G219" s="191"/>
      <c r="H219" s="179"/>
      <c r="I219" s="259"/>
      <c r="J219" s="59"/>
      <c r="K219" s="59"/>
      <c r="L219" s="260"/>
      <c r="M219" s="260"/>
    </row>
    <row r="220" spans="3:13">
      <c r="C220" s="201" t="s">
        <v>24</v>
      </c>
      <c r="D220" s="202">
        <f>SUM(D198,D206,D216,D214)</f>
        <v>11687.082000000002</v>
      </c>
      <c r="E220" s="202">
        <f>SUM(E198,E206,E216,E214)</f>
        <v>3115.7760611999997</v>
      </c>
      <c r="F220" s="205">
        <f>+D220/D225</f>
        <v>2.4798384838016996</v>
      </c>
      <c r="G220" s="205">
        <f>+E220/E225</f>
        <v>2.4812345272341267</v>
      </c>
      <c r="I220" s="261"/>
      <c r="J220" s="262"/>
      <c r="K220" s="194"/>
      <c r="L220" s="263"/>
      <c r="M220" s="263"/>
    </row>
    <row r="221" spans="3:13">
      <c r="C221" s="206" t="s">
        <v>25</v>
      </c>
      <c r="D221" s="207">
        <f>Model!$AR$109</f>
        <v>458.72500000000002</v>
      </c>
      <c r="E221" s="245">
        <f>D221*J193</f>
        <v>122.29608500000001</v>
      </c>
      <c r="F221" s="209"/>
      <c r="G221" s="209"/>
      <c r="I221" s="259"/>
      <c r="J221" s="59"/>
      <c r="K221" s="59"/>
      <c r="L221" s="260"/>
      <c r="M221" s="260"/>
    </row>
    <row r="222" spans="3:13">
      <c r="C222" s="201" t="s">
        <v>26</v>
      </c>
      <c r="D222" s="202">
        <f>+D220-D221</f>
        <v>11228.357000000002</v>
      </c>
      <c r="E222" s="202">
        <f>+E220-E221</f>
        <v>2993.4799761999998</v>
      </c>
      <c r="F222" s="205">
        <f>+D222/D225</f>
        <v>2.3825033313246369</v>
      </c>
      <c r="G222" s="205">
        <f>+E222/E225</f>
        <v>2.3838445792124157</v>
      </c>
      <c r="I222" s="259"/>
      <c r="J222" s="59"/>
      <c r="K222" s="194"/>
    </row>
    <row r="223" spans="3:13">
      <c r="C223" s="210" t="s">
        <v>27</v>
      </c>
      <c r="D223" s="211">
        <f>Model!$AR$116</f>
        <v>19364.248</v>
      </c>
      <c r="E223" s="245">
        <f>D223*J193</f>
        <v>5162.5085167999996</v>
      </c>
      <c r="F223" s="213"/>
      <c r="G223" s="213"/>
      <c r="I223" s="259"/>
      <c r="J223" s="59"/>
      <c r="K223" s="59"/>
      <c r="L223" s="260"/>
      <c r="M223" s="260"/>
    </row>
    <row r="224" spans="3:13">
      <c r="C224" s="201" t="s">
        <v>28</v>
      </c>
      <c r="D224" s="202">
        <f>D220+D223</f>
        <v>31051.33</v>
      </c>
      <c r="E224" s="202">
        <f>E220+E223</f>
        <v>8278.2845779999989</v>
      </c>
      <c r="F224" s="205">
        <f>D224/D225</f>
        <v>6.5886662819022082</v>
      </c>
      <c r="G224" s="205">
        <f>E224/E225</f>
        <v>6.5923754203607752</v>
      </c>
      <c r="I224" s="261"/>
      <c r="J224" s="58"/>
      <c r="K224" s="58"/>
    </row>
    <row r="225" spans="3:10">
      <c r="C225" s="214" t="s">
        <v>29</v>
      </c>
      <c r="D225" s="215">
        <f>Model!$AR$82</f>
        <v>4712.84</v>
      </c>
      <c r="E225" s="249">
        <f>D225*J194</f>
        <v>1255.7362179999998</v>
      </c>
      <c r="F225" s="218"/>
      <c r="G225" s="218"/>
    </row>
    <row r="227" spans="3:10">
      <c r="C227" s="82" t="s">
        <v>30</v>
      </c>
      <c r="D227" s="83">
        <f>D220-Model!$AR$112</f>
        <v>0</v>
      </c>
      <c r="E227" s="83"/>
      <c r="I227" s="264"/>
      <c r="J227" s="265"/>
    </row>
    <row r="228" spans="3:10" ht="13.5" thickBot="1">
      <c r="D228" s="105"/>
      <c r="E228" s="105"/>
      <c r="H228" s="179"/>
      <c r="J228" s="255"/>
    </row>
    <row r="229" spans="3:10">
      <c r="C229" s="55" t="s">
        <v>71</v>
      </c>
      <c r="D229" s="250" t="str">
        <f>D196</f>
        <v>SAR (mn)</v>
      </c>
      <c r="E229" s="250" t="str">
        <f>E196</f>
        <v>USD (mn)</v>
      </c>
      <c r="J229" s="266"/>
    </row>
    <row r="230" spans="3:10">
      <c r="C230" s="56"/>
      <c r="D230" s="85"/>
      <c r="E230" s="69"/>
    </row>
    <row r="231" spans="3:10">
      <c r="C231" s="56" t="s">
        <v>32</v>
      </c>
      <c r="D231" s="98">
        <f>D221</f>
        <v>458.72500000000002</v>
      </c>
      <c r="E231" s="99">
        <f>E221</f>
        <v>122.29608500000001</v>
      </c>
    </row>
    <row r="232" spans="3:10">
      <c r="C232" s="56"/>
      <c r="D232" s="98"/>
      <c r="E232" s="99"/>
    </row>
    <row r="233" spans="3:10" ht="13.5" thickBot="1">
      <c r="C233" s="95" t="s">
        <v>33</v>
      </c>
      <c r="D233" s="101">
        <f>SUM(D231:D232)</f>
        <v>458.72500000000002</v>
      </c>
      <c r="E233" s="101">
        <f>SUM(E231:E232)</f>
        <v>122.29608500000001</v>
      </c>
    </row>
    <row r="235" spans="3:10" ht="13.5" thickBot="1"/>
    <row r="236" spans="3:10">
      <c r="C236" s="88" t="s">
        <v>72</v>
      </c>
      <c r="D236" s="250" t="str">
        <f>D196</f>
        <v>SAR (mn)</v>
      </c>
      <c r="E236" s="251" t="str">
        <f>E196</f>
        <v>USD (mn)</v>
      </c>
    </row>
    <row r="237" spans="3:10">
      <c r="C237" s="90"/>
      <c r="D237" s="104"/>
      <c r="E237" s="100"/>
    </row>
    <row r="238" spans="3:10">
      <c r="C238" s="90" t="s">
        <v>35</v>
      </c>
      <c r="D238" s="94">
        <v>1600</v>
      </c>
      <c r="E238" s="100">
        <f>D238*J193</f>
        <v>426.56</v>
      </c>
      <c r="G238" s="180"/>
    </row>
    <row r="239" spans="3:10">
      <c r="C239" s="90" t="s">
        <v>36</v>
      </c>
      <c r="D239" s="94">
        <v>2400</v>
      </c>
      <c r="E239" s="100">
        <f>D239*J193</f>
        <v>639.84</v>
      </c>
      <c r="G239" s="180"/>
    </row>
    <row r="240" spans="3:10">
      <c r="C240" s="90" t="s">
        <v>37</v>
      </c>
      <c r="D240" s="94">
        <v>700</v>
      </c>
      <c r="E240" s="100">
        <f>D240*J193</f>
        <v>186.62</v>
      </c>
      <c r="G240" s="180"/>
    </row>
    <row r="241" spans="2:13">
      <c r="C241" s="90" t="s">
        <v>38</v>
      </c>
      <c r="D241" s="94">
        <v>400</v>
      </c>
      <c r="E241" s="100">
        <f>D241*J193</f>
        <v>106.64</v>
      </c>
      <c r="G241" s="180"/>
    </row>
    <row r="242" spans="2:13">
      <c r="C242" s="90" t="s">
        <v>39</v>
      </c>
      <c r="D242" s="94">
        <v>500</v>
      </c>
      <c r="E242" s="100">
        <f>D242*J193</f>
        <v>133.30000000000001</v>
      </c>
      <c r="G242" s="180"/>
    </row>
    <row r="243" spans="2:13">
      <c r="C243" s="90" t="s">
        <v>40</v>
      </c>
      <c r="D243" s="94">
        <v>5500</v>
      </c>
      <c r="E243" s="100">
        <f>D243*J193</f>
        <v>1466.3</v>
      </c>
      <c r="G243" s="180"/>
    </row>
    <row r="244" spans="2:13" ht="13.5" thickBot="1">
      <c r="C244" s="90"/>
      <c r="D244" s="94"/>
      <c r="E244" s="100"/>
    </row>
    <row r="245" spans="2:13" ht="13.5" thickBot="1">
      <c r="C245" s="91" t="s">
        <v>41</v>
      </c>
      <c r="D245" s="106">
        <f>SUM(D237:D244)</f>
        <v>11100</v>
      </c>
      <c r="E245" s="106">
        <f>SUM(E237:E244)</f>
        <v>2959.26</v>
      </c>
    </row>
    <row r="246" spans="2:13">
      <c r="C246" s="90" t="s">
        <v>42</v>
      </c>
      <c r="D246" s="104">
        <f>D216</f>
        <v>464.27800000000002</v>
      </c>
      <c r="E246" s="100">
        <f>D246*J193</f>
        <v>123.7765148</v>
      </c>
    </row>
    <row r="247" spans="2:13" ht="13.5" thickBot="1">
      <c r="C247" s="90" t="s">
        <v>43</v>
      </c>
      <c r="D247" s="104">
        <f>D214</f>
        <v>51.825000000000003</v>
      </c>
      <c r="E247" s="100">
        <f>D247*J193</f>
        <v>13.816545000000001</v>
      </c>
    </row>
    <row r="248" spans="2:13" ht="13.5" thickBot="1">
      <c r="C248" s="91" t="s">
        <v>44</v>
      </c>
      <c r="D248" s="106">
        <f>+D245+D246+D247</f>
        <v>11616.103000000001</v>
      </c>
      <c r="E248" s="106">
        <f>+E245+E246+E247</f>
        <v>3096.8530598000002</v>
      </c>
    </row>
    <row r="249" spans="2:13">
      <c r="C249" s="178"/>
      <c r="D249" s="116"/>
      <c r="E249" s="116"/>
    </row>
    <row r="251" spans="2:13">
      <c r="B251" s="50" t="s">
        <v>73</v>
      </c>
      <c r="I251" s="50" t="s">
        <v>74</v>
      </c>
      <c r="J251" s="165">
        <f>Model!$AQ$203</f>
        <v>0.2666</v>
      </c>
    </row>
    <row r="252" spans="2:13">
      <c r="B252" s="50"/>
      <c r="I252" s="50" t="s">
        <v>75</v>
      </c>
      <c r="J252" s="165">
        <f>Model!$AQ$205</f>
        <v>0.26645000000000002</v>
      </c>
    </row>
    <row r="253" spans="2:13">
      <c r="B253" s="50"/>
    </row>
    <row r="254" spans="2:13" ht="16.5" customHeight="1">
      <c r="C254" s="185" t="s">
        <v>76</v>
      </c>
      <c r="D254" s="371"/>
      <c r="E254" s="372"/>
      <c r="F254" s="79" t="s">
        <v>6</v>
      </c>
      <c r="G254" s="108" t="s">
        <v>7</v>
      </c>
      <c r="I254" s="233" t="s">
        <v>67</v>
      </c>
      <c r="J254" s="234"/>
      <c r="K254" s="235"/>
      <c r="L254" s="235"/>
      <c r="M254" s="236"/>
    </row>
    <row r="255" spans="2:13" ht="14.25" customHeight="1">
      <c r="C255" s="187"/>
      <c r="D255" s="188" t="s">
        <v>4</v>
      </c>
      <c r="E255" s="189" t="s">
        <v>5</v>
      </c>
      <c r="F255" s="190"/>
      <c r="G255" s="191"/>
      <c r="I255" s="219" t="s">
        <v>76</v>
      </c>
      <c r="J255" s="220"/>
      <c r="K255" s="221"/>
      <c r="L255" s="222" t="s">
        <v>6</v>
      </c>
      <c r="M255" s="223" t="s">
        <v>7</v>
      </c>
    </row>
    <row r="256" spans="2:13">
      <c r="C256" s="187"/>
      <c r="D256" s="188"/>
      <c r="E256" s="189"/>
      <c r="F256" s="190"/>
      <c r="G256" s="191"/>
      <c r="I256" s="224"/>
      <c r="J256" s="188" t="s">
        <v>4</v>
      </c>
      <c r="K256" s="189" t="s">
        <v>5</v>
      </c>
      <c r="L256" s="190"/>
      <c r="M256" s="225"/>
    </row>
    <row r="257" spans="3:13">
      <c r="C257" s="187" t="s">
        <v>77</v>
      </c>
      <c r="D257" s="188"/>
      <c r="E257" s="189"/>
      <c r="F257" s="190"/>
      <c r="G257" s="191"/>
      <c r="I257" s="192"/>
      <c r="J257" s="193"/>
      <c r="K257" s="194"/>
      <c r="L257" s="190"/>
      <c r="M257" s="196"/>
    </row>
    <row r="258" spans="3:13">
      <c r="C258" s="192" t="s">
        <v>78</v>
      </c>
      <c r="D258" s="193">
        <f>388.741+84.501</f>
        <v>473.24199999999996</v>
      </c>
      <c r="E258" s="194">
        <f>D258*J251</f>
        <v>126.16631719999999</v>
      </c>
      <c r="F258" s="190"/>
      <c r="G258" s="191"/>
      <c r="I258" s="192" t="s">
        <v>13</v>
      </c>
      <c r="J258" s="226">
        <f>D259</f>
        <v>6413.9609999999993</v>
      </c>
      <c r="K258" s="194">
        <f>J258*$J$251</f>
        <v>1709.9620025999998</v>
      </c>
      <c r="L258" s="195"/>
      <c r="M258" s="191"/>
    </row>
    <row r="259" spans="3:13">
      <c r="C259" s="192" t="s">
        <v>13</v>
      </c>
      <c r="D259" s="193">
        <f>6026.932+387.029</f>
        <v>6413.9609999999993</v>
      </c>
      <c r="E259" s="194">
        <f>D259*J251</f>
        <v>1709.9620025999998</v>
      </c>
      <c r="F259" s="195"/>
      <c r="G259" s="196"/>
      <c r="I259" s="192" t="s">
        <v>79</v>
      </c>
      <c r="J259" s="226">
        <f>D260</f>
        <v>617.178</v>
      </c>
      <c r="K259" s="194">
        <f>J259*$J$251</f>
        <v>164.53965479999999</v>
      </c>
      <c r="L259" s="190"/>
      <c r="M259" s="191"/>
    </row>
    <row r="260" spans="3:13">
      <c r="C260" s="192" t="s">
        <v>79</v>
      </c>
      <c r="D260" s="193">
        <f>337.586+279.592</f>
        <v>617.178</v>
      </c>
      <c r="E260" s="194">
        <f>D260*J251</f>
        <v>164.53965479999999</v>
      </c>
      <c r="F260" s="190"/>
      <c r="G260" s="191"/>
      <c r="I260" s="192" t="s">
        <v>15</v>
      </c>
      <c r="J260" s="226">
        <f>D261</f>
        <v>122.791</v>
      </c>
      <c r="K260" s="194">
        <f>J260*$J$251</f>
        <v>32.736080600000001</v>
      </c>
      <c r="L260" s="190"/>
      <c r="M260" s="191"/>
    </row>
    <row r="261" spans="3:13">
      <c r="C261" s="192" t="s">
        <v>15</v>
      </c>
      <c r="D261" s="193">
        <f>89.917+32.874</f>
        <v>122.791</v>
      </c>
      <c r="E261" s="194">
        <f>D261*J251</f>
        <v>32.736080600000001</v>
      </c>
      <c r="F261" s="190"/>
      <c r="G261" s="191"/>
      <c r="I261" s="192" t="s">
        <v>80</v>
      </c>
      <c r="J261" s="226">
        <f>D262</f>
        <v>165.47899999999998</v>
      </c>
      <c r="K261" s="194">
        <f>J261*$J$251</f>
        <v>44.116701399999997</v>
      </c>
      <c r="L261" s="190"/>
      <c r="M261" s="191"/>
    </row>
    <row r="262" spans="3:13">
      <c r="C262" s="192" t="s">
        <v>80</v>
      </c>
      <c r="D262" s="193">
        <f>71.122+94.357</f>
        <v>165.47899999999998</v>
      </c>
      <c r="E262" s="194">
        <f>D262*J251</f>
        <v>44.116701399999997</v>
      </c>
      <c r="F262" s="190"/>
      <c r="G262" s="191"/>
      <c r="I262" s="192" t="s">
        <v>81</v>
      </c>
      <c r="J262" s="226">
        <f>D263</f>
        <v>368.411</v>
      </c>
      <c r="K262" s="194">
        <f>J262*$J$251</f>
        <v>98.218372599999995</v>
      </c>
      <c r="L262" s="195"/>
      <c r="M262" s="191"/>
    </row>
    <row r="263" spans="3:13">
      <c r="C263" s="192" t="s">
        <v>81</v>
      </c>
      <c r="D263" s="193">
        <f>38.794+329.617</f>
        <v>368.411</v>
      </c>
      <c r="E263" s="194">
        <f>D263*J251</f>
        <v>98.218372599999995</v>
      </c>
      <c r="F263" s="195"/>
      <c r="G263" s="196"/>
      <c r="I263" s="227"/>
      <c r="J263" s="228"/>
      <c r="K263" s="198"/>
      <c r="L263" s="190"/>
      <c r="M263" s="191"/>
    </row>
    <row r="264" spans="3:13">
      <c r="C264" s="187" t="s">
        <v>82</v>
      </c>
      <c r="D264" s="197">
        <f>SUM(D258:D263)</f>
        <v>8161.0619999999999</v>
      </c>
      <c r="E264" s="198">
        <f>SUM(E258:E263)</f>
        <v>2175.7391291999998</v>
      </c>
      <c r="F264" s="199">
        <f>D264/D275</f>
        <v>1.7425655939325613</v>
      </c>
      <c r="G264" s="199">
        <f>E264/E275</f>
        <v>1.7435465841336864</v>
      </c>
      <c r="I264" s="227"/>
      <c r="J264" s="193"/>
      <c r="K264" s="194"/>
      <c r="L264" s="190"/>
      <c r="M264" s="191"/>
    </row>
    <row r="265" spans="3:13">
      <c r="C265" s="192"/>
      <c r="D265" s="193"/>
      <c r="E265" s="194"/>
      <c r="F265" s="190"/>
      <c r="G265" s="191"/>
      <c r="I265" s="192" t="s">
        <v>83</v>
      </c>
      <c r="J265" s="226">
        <f>D266</f>
        <v>0</v>
      </c>
      <c r="K265" s="194">
        <f>J265*$J$251</f>
        <v>0</v>
      </c>
      <c r="L265" s="190"/>
      <c r="M265" s="191"/>
    </row>
    <row r="266" spans="3:13">
      <c r="C266" s="192" t="s">
        <v>83</v>
      </c>
      <c r="D266" s="193">
        <v>0</v>
      </c>
      <c r="E266" s="194">
        <f>D266*J251</f>
        <v>0</v>
      </c>
      <c r="F266" s="190"/>
      <c r="G266" s="191"/>
      <c r="I266" s="192" t="s">
        <v>18</v>
      </c>
      <c r="J266" s="226">
        <f>D267</f>
        <v>2826.8339999999998</v>
      </c>
      <c r="K266" s="194">
        <f>J266*$J$251</f>
        <v>753.63394440000002</v>
      </c>
      <c r="L266" s="190"/>
      <c r="M266" s="191"/>
    </row>
    <row r="267" spans="3:13">
      <c r="C267" s="192" t="s">
        <v>18</v>
      </c>
      <c r="D267" s="193">
        <f>2801.469+25.365</f>
        <v>2826.8339999999998</v>
      </c>
      <c r="E267" s="194">
        <f>D267*J251</f>
        <v>753.63394440000002</v>
      </c>
      <c r="F267" s="190"/>
      <c r="G267" s="191"/>
      <c r="H267" s="179"/>
      <c r="I267" s="192" t="s">
        <v>43</v>
      </c>
      <c r="J267" s="226">
        <f>D268</f>
        <v>67.308999999999997</v>
      </c>
      <c r="K267" s="194">
        <f>J267*$J$251</f>
        <v>17.944579399999999</v>
      </c>
      <c r="L267" s="190"/>
      <c r="M267" s="191"/>
    </row>
    <row r="268" spans="3:13">
      <c r="C268" s="192" t="s">
        <v>43</v>
      </c>
      <c r="D268" s="200">
        <f>Model!$AQ$102</f>
        <v>67.308999999999997</v>
      </c>
      <c r="E268" s="194">
        <f>D268*J251</f>
        <v>17.944579399999999</v>
      </c>
      <c r="F268" s="190"/>
      <c r="G268" s="191"/>
      <c r="I268" s="229"/>
      <c r="J268" s="193"/>
      <c r="K268" s="194"/>
      <c r="L268" s="190"/>
      <c r="M268" s="191"/>
    </row>
    <row r="269" spans="3:13">
      <c r="C269" s="192"/>
      <c r="D269" s="193"/>
      <c r="E269" s="194"/>
      <c r="F269" s="190"/>
      <c r="G269" s="191"/>
      <c r="H269" s="179"/>
      <c r="I269" s="201" t="s">
        <v>84</v>
      </c>
      <c r="J269" s="202">
        <f>SUM(J257:J267)</f>
        <v>10581.962999999998</v>
      </c>
      <c r="K269" s="203">
        <f>SUM(K257:K267)</f>
        <v>2821.1513357999993</v>
      </c>
      <c r="L269" s="204">
        <f>+J269/J274</f>
        <v>2.2594810136312389</v>
      </c>
      <c r="M269" s="205">
        <f>+K269/K274</f>
        <v>2.2607530051945512</v>
      </c>
    </row>
    <row r="270" spans="3:13">
      <c r="C270" s="201" t="s">
        <v>84</v>
      </c>
      <c r="D270" s="202">
        <f>+D264+D266+D267+D268</f>
        <v>11055.205</v>
      </c>
      <c r="E270" s="203">
        <f>+E264+E266+E267+E268</f>
        <v>2947.3176529999996</v>
      </c>
      <c r="F270" s="204">
        <f>+D270/D275</f>
        <v>2.3605285521505928</v>
      </c>
      <c r="G270" s="205">
        <f>+E270/E275</f>
        <v>2.3618574291737584</v>
      </c>
      <c r="I270" s="206" t="s">
        <v>85</v>
      </c>
      <c r="J270" s="230">
        <f>D271</f>
        <v>566.36800000000005</v>
      </c>
      <c r="K270" s="194">
        <f>J270*$J$251</f>
        <v>150.99370880000001</v>
      </c>
      <c r="L270" s="208"/>
      <c r="M270" s="209"/>
    </row>
    <row r="271" spans="3:13">
      <c r="C271" s="206" t="s">
        <v>25</v>
      </c>
      <c r="D271" s="207">
        <f>Model!$AQ$109</f>
        <v>566.36800000000005</v>
      </c>
      <c r="E271" s="194">
        <f>D271*J251</f>
        <v>150.99370880000001</v>
      </c>
      <c r="F271" s="208"/>
      <c r="G271" s="209"/>
      <c r="I271" s="201" t="s">
        <v>26</v>
      </c>
      <c r="J271" s="202">
        <f>J269-J270</f>
        <v>10015.594999999998</v>
      </c>
      <c r="K271" s="203">
        <f>K269-K270</f>
        <v>2670.1576269999991</v>
      </c>
      <c r="L271" s="204">
        <f>+J271/J274</f>
        <v>2.1385490331727643</v>
      </c>
      <c r="M271" s="205">
        <f>+K271/K274</f>
        <v>2.1397529451824315</v>
      </c>
    </row>
    <row r="272" spans="3:13">
      <c r="C272" s="201" t="s">
        <v>26</v>
      </c>
      <c r="D272" s="202">
        <f>+D270-D271</f>
        <v>10488.837</v>
      </c>
      <c r="E272" s="203">
        <f>+E270-E271</f>
        <v>2796.3239441999995</v>
      </c>
      <c r="F272" s="204">
        <f>+D272/D275</f>
        <v>2.2395965716921187</v>
      </c>
      <c r="G272" s="205">
        <f>+E272/E275</f>
        <v>2.2408573691616387</v>
      </c>
      <c r="I272" s="210" t="s">
        <v>27</v>
      </c>
      <c r="J272" s="211">
        <f>D273</f>
        <v>19703.782999999999</v>
      </c>
      <c r="K272" s="194">
        <f>J272*$J$251</f>
        <v>5253.0285477999996</v>
      </c>
      <c r="L272" s="212"/>
      <c r="M272" s="213"/>
    </row>
    <row r="273" spans="3:13">
      <c r="C273" s="210" t="s">
        <v>27</v>
      </c>
      <c r="D273" s="211">
        <f>Model!$AQ$116</f>
        <v>19703.782999999999</v>
      </c>
      <c r="E273" s="194">
        <f>D273*J251</f>
        <v>5253.0285477999996</v>
      </c>
      <c r="F273" s="212"/>
      <c r="G273" s="213"/>
      <c r="I273" s="201" t="s">
        <v>28</v>
      </c>
      <c r="J273" s="202">
        <f>J269+J272</f>
        <v>30285.745999999999</v>
      </c>
      <c r="K273" s="203">
        <f>K269+K272</f>
        <v>8074.1798835999989</v>
      </c>
      <c r="L273" s="204">
        <f>J273/J274</f>
        <v>6.466670510061153</v>
      </c>
      <c r="M273" s="205">
        <f>K273/K274</f>
        <v>6.4703109700968398</v>
      </c>
    </row>
    <row r="274" spans="3:13">
      <c r="C274" s="201" t="s">
        <v>28</v>
      </c>
      <c r="D274" s="202">
        <f>D270+D273</f>
        <v>30758.987999999998</v>
      </c>
      <c r="E274" s="203">
        <f>E270+E273</f>
        <v>8200.3462007999988</v>
      </c>
      <c r="F274" s="204">
        <f>D274/D275</f>
        <v>6.567718048580506</v>
      </c>
      <c r="G274" s="205">
        <f>E274/E275</f>
        <v>6.5714153940760465</v>
      </c>
      <c r="I274" s="214" t="s">
        <v>29</v>
      </c>
      <c r="J274" s="231">
        <f>D275</f>
        <v>4683.3599999999997</v>
      </c>
      <c r="K274" s="232">
        <f>J274*$J$252</f>
        <v>1247.8812720000001</v>
      </c>
      <c r="L274" s="217"/>
      <c r="M274" s="218"/>
    </row>
    <row r="275" spans="3:13">
      <c r="C275" s="214" t="s">
        <v>29</v>
      </c>
      <c r="D275" s="215">
        <f>Model!$AQ$82</f>
        <v>4683.3599999999997</v>
      </c>
      <c r="E275" s="216">
        <f>D275*J252</f>
        <v>1247.8812720000001</v>
      </c>
      <c r="F275" s="217"/>
      <c r="G275" s="218"/>
    </row>
    <row r="276" spans="3:13" ht="13.5" thickBot="1"/>
    <row r="277" spans="3:13">
      <c r="C277" s="82" t="s">
        <v>30</v>
      </c>
      <c r="D277" s="83">
        <f>D270-Model!$AQ$112</f>
        <v>0</v>
      </c>
      <c r="E277" s="83"/>
      <c r="I277" s="237" t="s">
        <v>67</v>
      </c>
      <c r="J277" s="103" t="s">
        <v>4</v>
      </c>
    </row>
    <row r="278" spans="3:13" ht="13.5" thickBot="1">
      <c r="D278" s="105"/>
      <c r="E278" s="105"/>
      <c r="H278" s="179"/>
      <c r="I278" s="238" t="s">
        <v>9</v>
      </c>
      <c r="J278" s="240">
        <v>10016</v>
      </c>
    </row>
    <row r="279" spans="3:13" ht="13.5" thickBot="1">
      <c r="C279" s="55" t="s">
        <v>86</v>
      </c>
      <c r="D279" s="102" t="s">
        <v>87</v>
      </c>
      <c r="E279" s="103" t="s">
        <v>88</v>
      </c>
      <c r="I279" s="239" t="s">
        <v>11</v>
      </c>
      <c r="J279" s="241" t="s">
        <v>89</v>
      </c>
    </row>
    <row r="280" spans="3:13">
      <c r="C280" s="56"/>
      <c r="D280" s="85"/>
      <c r="E280" s="69"/>
    </row>
    <row r="281" spans="3:13">
      <c r="C281" s="56" t="s">
        <v>32</v>
      </c>
      <c r="D281" s="98">
        <f>D271</f>
        <v>566.36800000000005</v>
      </c>
      <c r="E281" s="99">
        <f>E271</f>
        <v>150.99370880000001</v>
      </c>
    </row>
    <row r="282" spans="3:13">
      <c r="C282" s="56"/>
      <c r="D282" s="98"/>
      <c r="E282" s="99"/>
    </row>
    <row r="283" spans="3:13" ht="13.5" thickBot="1">
      <c r="C283" s="95" t="s">
        <v>33</v>
      </c>
      <c r="D283" s="101">
        <f>SUM(D281:D282)</f>
        <v>566.36800000000005</v>
      </c>
      <c r="E283" s="101">
        <f>SUM(E281:E282)</f>
        <v>150.99370880000001</v>
      </c>
    </row>
    <row r="285" spans="3:13" ht="13.5" thickBot="1"/>
    <row r="286" spans="3:13">
      <c r="C286" s="88" t="s">
        <v>90</v>
      </c>
      <c r="D286" s="102" t="s">
        <v>87</v>
      </c>
      <c r="E286" s="89" t="s">
        <v>88</v>
      </c>
    </row>
    <row r="287" spans="3:13">
      <c r="C287" s="90"/>
      <c r="D287" s="104"/>
      <c r="E287" s="100"/>
    </row>
    <row r="288" spans="3:13">
      <c r="C288" s="90" t="s">
        <v>35</v>
      </c>
      <c r="D288" s="94">
        <v>1100</v>
      </c>
      <c r="E288" s="100">
        <f>D288*J251</f>
        <v>293.26</v>
      </c>
      <c r="G288" s="180"/>
    </row>
    <row r="289" spans="2:13">
      <c r="C289" s="90" t="s">
        <v>36</v>
      </c>
      <c r="D289" s="94">
        <v>2500</v>
      </c>
      <c r="E289" s="100">
        <f>D289*J251</f>
        <v>666.5</v>
      </c>
      <c r="G289" s="180"/>
    </row>
    <row r="290" spans="2:13">
      <c r="C290" s="90" t="s">
        <v>37</v>
      </c>
      <c r="D290" s="94">
        <v>900</v>
      </c>
      <c r="E290" s="100">
        <f>D290*J251</f>
        <v>239.94</v>
      </c>
      <c r="G290" s="180"/>
    </row>
    <row r="291" spans="2:13">
      <c r="C291" s="90" t="s">
        <v>38</v>
      </c>
      <c r="D291" s="94">
        <v>500</v>
      </c>
      <c r="E291" s="100">
        <f>D291*J251</f>
        <v>133.30000000000001</v>
      </c>
      <c r="G291" s="180"/>
    </row>
    <row r="292" spans="2:13">
      <c r="C292" s="90" t="s">
        <v>39</v>
      </c>
      <c r="D292" s="94">
        <v>0</v>
      </c>
      <c r="E292" s="100">
        <f>D292*J251</f>
        <v>0</v>
      </c>
      <c r="G292" s="180"/>
    </row>
    <row r="293" spans="2:13">
      <c r="C293" s="90" t="s">
        <v>40</v>
      </c>
      <c r="D293" s="94">
        <v>5500</v>
      </c>
      <c r="E293" s="100">
        <f>D293*J251</f>
        <v>1466.3</v>
      </c>
      <c r="G293" s="180"/>
    </row>
    <row r="294" spans="2:13" ht="13.5" thickBot="1">
      <c r="C294" s="90"/>
      <c r="D294" s="94"/>
      <c r="E294" s="100"/>
    </row>
    <row r="295" spans="2:13" ht="13.5" thickBot="1">
      <c r="C295" s="91" t="s">
        <v>41</v>
      </c>
      <c r="D295" s="106">
        <f>SUM(D287:D294)</f>
        <v>10500</v>
      </c>
      <c r="E295" s="106">
        <f>SUM(E287:E294)</f>
        <v>2799.3</v>
      </c>
    </row>
    <row r="296" spans="2:13">
      <c r="C296" s="90" t="s">
        <v>42</v>
      </c>
      <c r="D296" s="104">
        <f>D258</f>
        <v>473.24199999999996</v>
      </c>
      <c r="E296" s="100">
        <f>D296*J251</f>
        <v>126.16631719999999</v>
      </c>
    </row>
    <row r="297" spans="2:13" ht="13.5" thickBot="1">
      <c r="C297" s="90" t="s">
        <v>43</v>
      </c>
      <c r="D297" s="104">
        <f>D268</f>
        <v>67.308999999999997</v>
      </c>
      <c r="E297" s="100">
        <f>D297*J251</f>
        <v>17.944579399999999</v>
      </c>
    </row>
    <row r="298" spans="2:13" ht="13.5" thickBot="1">
      <c r="C298" s="91" t="s">
        <v>44</v>
      </c>
      <c r="D298" s="106">
        <f>+D295+D296+D297</f>
        <v>11040.550999999999</v>
      </c>
      <c r="E298" s="106">
        <f>+E295+E296+E297</f>
        <v>2943.4108965999999</v>
      </c>
    </row>
    <row r="299" spans="2:13">
      <c r="C299" s="178"/>
      <c r="D299" s="116"/>
      <c r="E299" s="116"/>
    </row>
    <row r="301" spans="2:13">
      <c r="B301" s="50" t="s">
        <v>91</v>
      </c>
      <c r="I301" s="50" t="s">
        <v>92</v>
      </c>
      <c r="J301" s="165">
        <f>Model!$AP$203</f>
        <v>0.2661</v>
      </c>
    </row>
    <row r="302" spans="2:13">
      <c r="B302" s="50"/>
      <c r="I302" s="50" t="s">
        <v>93</v>
      </c>
      <c r="J302" s="165">
        <f>Model!$AP$205</f>
        <v>0.26649166666666668</v>
      </c>
    </row>
    <row r="303" spans="2:13">
      <c r="B303" s="50"/>
    </row>
    <row r="304" spans="2:13" ht="16.5" customHeight="1">
      <c r="C304" s="185" t="s">
        <v>94</v>
      </c>
      <c r="D304" s="371"/>
      <c r="E304" s="372"/>
      <c r="F304" s="79" t="s">
        <v>6</v>
      </c>
      <c r="G304" s="108" t="s">
        <v>7</v>
      </c>
      <c r="I304" s="142" t="s">
        <v>67</v>
      </c>
      <c r="J304" s="153"/>
      <c r="K304" s="154"/>
      <c r="L304" s="154"/>
      <c r="M304" s="155"/>
    </row>
    <row r="305" spans="3:13" ht="14.25" customHeight="1">
      <c r="C305" s="113"/>
      <c r="D305" s="131" t="s">
        <v>4</v>
      </c>
      <c r="E305" s="132" t="s">
        <v>5</v>
      </c>
      <c r="F305" s="80"/>
      <c r="G305" s="109"/>
      <c r="I305" s="112" t="s">
        <v>94</v>
      </c>
      <c r="J305" s="156"/>
      <c r="K305" s="157"/>
      <c r="L305" s="79" t="s">
        <v>6</v>
      </c>
      <c r="M305" s="108" t="s">
        <v>7</v>
      </c>
    </row>
    <row r="306" spans="3:13">
      <c r="C306" s="113"/>
      <c r="D306" s="131"/>
      <c r="E306" s="132"/>
      <c r="F306" s="80"/>
      <c r="G306" s="109"/>
      <c r="I306" s="139"/>
      <c r="J306" s="131" t="s">
        <v>4</v>
      </c>
      <c r="K306" s="132" t="s">
        <v>5</v>
      </c>
      <c r="L306" s="80"/>
      <c r="M306" s="140"/>
    </row>
    <row r="307" spans="3:13">
      <c r="C307" s="113" t="s">
        <v>77</v>
      </c>
      <c r="D307" s="131"/>
      <c r="E307" s="132"/>
      <c r="F307" s="80"/>
      <c r="G307" s="109"/>
      <c r="I307" s="114"/>
      <c r="J307" s="107"/>
      <c r="K307" s="74"/>
      <c r="L307" s="80"/>
      <c r="M307" s="110"/>
    </row>
    <row r="308" spans="3:13">
      <c r="C308" s="114" t="s">
        <v>78</v>
      </c>
      <c r="D308" s="107">
        <f>397.701+87.249</f>
        <v>484.95000000000005</v>
      </c>
      <c r="E308" s="74">
        <f>D308*J301</f>
        <v>129.04519500000001</v>
      </c>
      <c r="F308" s="80"/>
      <c r="G308" s="109"/>
      <c r="I308" s="114" t="s">
        <v>13</v>
      </c>
      <c r="J308" s="146">
        <f>D309</f>
        <v>5969.4830000000002</v>
      </c>
      <c r="K308" s="74">
        <f>J308*$J$301</f>
        <v>1588.4794263000001</v>
      </c>
      <c r="L308" s="87"/>
      <c r="M308" s="109"/>
    </row>
    <row r="309" spans="3:13">
      <c r="C309" s="114" t="s">
        <v>13</v>
      </c>
      <c r="D309" s="107">
        <f>5551.28+418.203</f>
        <v>5969.4830000000002</v>
      </c>
      <c r="E309" s="74">
        <f>D309*J301</f>
        <v>1588.4794263000001</v>
      </c>
      <c r="F309" s="87"/>
      <c r="G309" s="110"/>
      <c r="I309" s="114" t="s">
        <v>79</v>
      </c>
      <c r="J309" s="146">
        <f>D310</f>
        <v>612.13200000000006</v>
      </c>
      <c r="K309" s="74">
        <f>J309*$J$301</f>
        <v>162.88832520000003</v>
      </c>
      <c r="L309" s="80"/>
      <c r="M309" s="109"/>
    </row>
    <row r="310" spans="3:13">
      <c r="C310" s="114" t="s">
        <v>79</v>
      </c>
      <c r="D310" s="107">
        <f>334.872+277.26</f>
        <v>612.13200000000006</v>
      </c>
      <c r="E310" s="74">
        <f>D310*J301</f>
        <v>162.88832520000003</v>
      </c>
      <c r="F310" s="80"/>
      <c r="G310" s="109"/>
      <c r="I310" s="114" t="s">
        <v>15</v>
      </c>
      <c r="J310" s="146">
        <f>D311</f>
        <v>102.85</v>
      </c>
      <c r="K310" s="74">
        <f>J310*$J$301</f>
        <v>27.368385</v>
      </c>
      <c r="L310" s="80"/>
      <c r="M310" s="109"/>
    </row>
    <row r="311" spans="3:13">
      <c r="C311" s="114" t="s">
        <v>15</v>
      </c>
      <c r="D311" s="107">
        <f>56.084+46.766</f>
        <v>102.85</v>
      </c>
      <c r="E311" s="74">
        <f>D311*J301</f>
        <v>27.368385</v>
      </c>
      <c r="F311" s="80"/>
      <c r="G311" s="109"/>
      <c r="I311" s="114" t="s">
        <v>80</v>
      </c>
      <c r="J311" s="146">
        <f>D312</f>
        <v>214.57499999999999</v>
      </c>
      <c r="K311" s="74">
        <f>J311*$J$301</f>
        <v>57.0984075</v>
      </c>
      <c r="L311" s="80"/>
      <c r="M311" s="109"/>
    </row>
    <row r="312" spans="3:13">
      <c r="C312" s="114" t="s">
        <v>80</v>
      </c>
      <c r="D312" s="107">
        <f>118.415+96.16</f>
        <v>214.57499999999999</v>
      </c>
      <c r="E312" s="74">
        <f>D312*J301</f>
        <v>57.0984075</v>
      </c>
      <c r="F312" s="80"/>
      <c r="G312" s="109"/>
      <c r="I312" s="114" t="s">
        <v>81</v>
      </c>
      <c r="J312" s="146">
        <f>D313</f>
        <v>366.04999999999995</v>
      </c>
      <c r="K312" s="74">
        <f>J312*$J$301</f>
        <v>97.40590499999999</v>
      </c>
      <c r="L312" s="87"/>
      <c r="M312" s="109"/>
    </row>
    <row r="313" spans="3:13">
      <c r="C313" s="114" t="s">
        <v>81</v>
      </c>
      <c r="D313" s="107">
        <f>38.263+327.787</f>
        <v>366.04999999999995</v>
      </c>
      <c r="E313" s="74">
        <f>D313*J301</f>
        <v>97.40590499999999</v>
      </c>
      <c r="F313" s="87"/>
      <c r="G313" s="110"/>
      <c r="I313" s="147"/>
      <c r="J313" s="158"/>
      <c r="K313" s="159"/>
      <c r="L313" s="80"/>
      <c r="M313" s="109"/>
    </row>
    <row r="314" spans="3:13">
      <c r="C314" s="113" t="s">
        <v>82</v>
      </c>
      <c r="D314" s="160">
        <f>SUM(D308:D313)</f>
        <v>7750.0400000000009</v>
      </c>
      <c r="E314" s="159">
        <f>SUM(E308:E313)</f>
        <v>2062.285644</v>
      </c>
      <c r="F314" s="161">
        <f>D314/D325</f>
        <v>1.6791360325947788</v>
      </c>
      <c r="G314" s="161">
        <f>E314/E325</f>
        <v>1.6766681820199651</v>
      </c>
      <c r="I314" s="147"/>
      <c r="J314" s="107"/>
      <c r="K314" s="74"/>
      <c r="L314" s="80"/>
      <c r="M314" s="109"/>
    </row>
    <row r="315" spans="3:13">
      <c r="C315" s="114"/>
      <c r="D315" s="107"/>
      <c r="E315" s="74"/>
      <c r="F315" s="80"/>
      <c r="G315" s="109"/>
      <c r="I315" s="114" t="s">
        <v>83</v>
      </c>
      <c r="J315" s="146">
        <f>D316</f>
        <v>0</v>
      </c>
      <c r="K315" s="74">
        <f>J315*$J$301</f>
        <v>0</v>
      </c>
      <c r="L315" s="80"/>
      <c r="M315" s="109"/>
    </row>
    <row r="316" spans="3:13">
      <c r="C316" s="114" t="s">
        <v>83</v>
      </c>
      <c r="D316" s="107">
        <v>0</v>
      </c>
      <c r="E316" s="74">
        <f>D316*J301</f>
        <v>0</v>
      </c>
      <c r="F316" s="80"/>
      <c r="G316" s="109"/>
      <c r="I316" s="114" t="s">
        <v>18</v>
      </c>
      <c r="J316" s="146">
        <f>D317</f>
        <v>2865.1510000000003</v>
      </c>
      <c r="K316" s="74">
        <f>J316*$J$301</f>
        <v>762.41668110000012</v>
      </c>
      <c r="L316" s="80"/>
      <c r="M316" s="109"/>
    </row>
    <row r="317" spans="3:13">
      <c r="C317" s="114" t="s">
        <v>18</v>
      </c>
      <c r="D317" s="107">
        <f>2801.331+63.82</f>
        <v>2865.1510000000003</v>
      </c>
      <c r="E317" s="74">
        <f>D317*J301</f>
        <v>762.41668110000012</v>
      </c>
      <c r="F317" s="80"/>
      <c r="G317" s="109"/>
      <c r="H317" s="179"/>
      <c r="I317" s="114" t="s">
        <v>43</v>
      </c>
      <c r="J317" s="146">
        <f>D318</f>
        <v>52.597999999999999</v>
      </c>
      <c r="K317" s="74">
        <f>J317*$J$301</f>
        <v>13.9963278</v>
      </c>
      <c r="L317" s="80"/>
      <c r="M317" s="109"/>
    </row>
    <row r="318" spans="3:13">
      <c r="C318" s="114" t="s">
        <v>43</v>
      </c>
      <c r="D318" s="182">
        <f>Model!$AP$102</f>
        <v>52.597999999999999</v>
      </c>
      <c r="E318" s="74">
        <f>D318*J301</f>
        <v>13.9963278</v>
      </c>
      <c r="F318" s="80"/>
      <c r="G318" s="109"/>
      <c r="I318" s="81"/>
      <c r="J318" s="107"/>
      <c r="K318" s="74"/>
      <c r="L318" s="80"/>
      <c r="M318" s="109"/>
    </row>
    <row r="319" spans="3:13">
      <c r="C319" s="114"/>
      <c r="D319" s="107"/>
      <c r="E319" s="74"/>
      <c r="F319" s="80"/>
      <c r="G319" s="109"/>
      <c r="H319" s="179"/>
      <c r="I319" s="133" t="s">
        <v>84</v>
      </c>
      <c r="J319" s="119">
        <f>SUM(J307:J317)</f>
        <v>10182.839</v>
      </c>
      <c r="K319" s="120">
        <f>SUM(K307:K317)</f>
        <v>2709.6534579000004</v>
      </c>
      <c r="L319" s="121">
        <f>+J319/J324</f>
        <v>2.2062301457813613</v>
      </c>
      <c r="M319" s="122">
        <f>+K319/K324</f>
        <v>2.2029876173454594</v>
      </c>
    </row>
    <row r="320" spans="3:13">
      <c r="C320" s="133" t="s">
        <v>84</v>
      </c>
      <c r="D320" s="119">
        <f>+D314+D316+D317+D318</f>
        <v>10667.789000000001</v>
      </c>
      <c r="E320" s="120">
        <f>+E314+E316+E317+E318</f>
        <v>2838.6986529000001</v>
      </c>
      <c r="F320" s="121">
        <f>+D320/D325</f>
        <v>2.3113001865820335</v>
      </c>
      <c r="G320" s="122">
        <f>+E320/E325</f>
        <v>2.3079032351836357</v>
      </c>
      <c r="I320" s="134" t="s">
        <v>85</v>
      </c>
      <c r="J320" s="181">
        <f>D321</f>
        <v>528.21400000000006</v>
      </c>
      <c r="K320" s="74">
        <f>J320*$J$301</f>
        <v>140.55774540000002</v>
      </c>
      <c r="L320" s="124"/>
      <c r="M320" s="125"/>
    </row>
    <row r="321" spans="3:13">
      <c r="C321" s="134" t="s">
        <v>25</v>
      </c>
      <c r="D321" s="123">
        <f>Model!$AP$109</f>
        <v>528.21400000000006</v>
      </c>
      <c r="E321" s="74">
        <f>D321*J301</f>
        <v>140.55774540000002</v>
      </c>
      <c r="F321" s="124"/>
      <c r="G321" s="125"/>
      <c r="I321" s="133" t="s">
        <v>26</v>
      </c>
      <c r="J321" s="119">
        <f>J319-J320</f>
        <v>9654.625</v>
      </c>
      <c r="K321" s="120">
        <f>K319-K320</f>
        <v>2569.0957125000004</v>
      </c>
      <c r="L321" s="121">
        <f>+J321/J324</f>
        <v>2.0917864577073622</v>
      </c>
      <c r="M321" s="122">
        <f>+K321/K324</f>
        <v>2.0887121288192718</v>
      </c>
    </row>
    <row r="322" spans="3:13">
      <c r="C322" s="133" t="s">
        <v>26</v>
      </c>
      <c r="D322" s="119">
        <f>+D320-D321</f>
        <v>10139.575000000001</v>
      </c>
      <c r="E322" s="120">
        <f>+E320-E321</f>
        <v>2698.1409075000001</v>
      </c>
      <c r="F322" s="121">
        <f>+D322/D325</f>
        <v>2.1968564985080339</v>
      </c>
      <c r="G322" s="122">
        <f>+E322/E325</f>
        <v>2.1936277466574481</v>
      </c>
      <c r="I322" s="135" t="s">
        <v>27</v>
      </c>
      <c r="J322" s="126">
        <f>D323</f>
        <v>18791.132000000001</v>
      </c>
      <c r="K322" s="74">
        <f>J322*$J$301</f>
        <v>5000.3202252000001</v>
      </c>
      <c r="L322" s="115"/>
      <c r="M322" s="111"/>
    </row>
    <row r="323" spans="3:13">
      <c r="C323" s="135" t="s">
        <v>27</v>
      </c>
      <c r="D323" s="126">
        <f>Model!$AP$116</f>
        <v>18791.132000000001</v>
      </c>
      <c r="E323" s="74">
        <f>D323*J301</f>
        <v>5000.3202252000001</v>
      </c>
      <c r="F323" s="115"/>
      <c r="G323" s="111"/>
      <c r="I323" s="133" t="s">
        <v>28</v>
      </c>
      <c r="J323" s="119">
        <f>J319+J322</f>
        <v>28973.971000000001</v>
      </c>
      <c r="K323" s="120">
        <f>K319+K322</f>
        <v>7709.9736831000009</v>
      </c>
      <c r="L323" s="121">
        <f>J323/J324</f>
        <v>6.2775467885915655</v>
      </c>
      <c r="M323" s="122">
        <f>K323/K324</f>
        <v>6.2683205870510603</v>
      </c>
    </row>
    <row r="324" spans="3:13">
      <c r="C324" s="133" t="s">
        <v>28</v>
      </c>
      <c r="D324" s="119">
        <f>D320+D323</f>
        <v>29458.921000000002</v>
      </c>
      <c r="E324" s="120">
        <f>E320+E323</f>
        <v>7839.0188780999997</v>
      </c>
      <c r="F324" s="121">
        <f>D324/D325</f>
        <v>6.3826168293922372</v>
      </c>
      <c r="G324" s="122">
        <f>E324/E325</f>
        <v>6.3732362048892357</v>
      </c>
      <c r="I324" s="136" t="s">
        <v>29</v>
      </c>
      <c r="J324" s="183">
        <f>D325</f>
        <v>4615.4926399999995</v>
      </c>
      <c r="K324" s="184">
        <f>J324*$J$302</f>
        <v>1229.9903261213333</v>
      </c>
      <c r="L324" s="129"/>
      <c r="M324" s="130"/>
    </row>
    <row r="325" spans="3:13">
      <c r="C325" s="136" t="s">
        <v>29</v>
      </c>
      <c r="D325" s="127">
        <f>Model!$AP$82</f>
        <v>4615.4926399999995</v>
      </c>
      <c r="E325" s="128">
        <f>D325*J302</f>
        <v>1229.9903261213333</v>
      </c>
      <c r="F325" s="129"/>
      <c r="G325" s="130"/>
    </row>
    <row r="327" spans="3:13">
      <c r="C327" s="82" t="s">
        <v>30</v>
      </c>
      <c r="D327" s="83">
        <f>D320-Model!$AP$112</f>
        <v>0</v>
      </c>
      <c r="E327" s="83"/>
    </row>
    <row r="328" spans="3:13" ht="13.5" thickBot="1">
      <c r="D328" s="105"/>
      <c r="E328" s="105"/>
      <c r="H328" s="179"/>
    </row>
    <row r="329" spans="3:13">
      <c r="C329" s="55" t="s">
        <v>95</v>
      </c>
      <c r="D329" s="102" t="s">
        <v>87</v>
      </c>
      <c r="E329" s="103" t="s">
        <v>88</v>
      </c>
    </row>
    <row r="330" spans="3:13">
      <c r="C330" s="56"/>
      <c r="D330" s="85"/>
      <c r="E330" s="69"/>
    </row>
    <row r="331" spans="3:13">
      <c r="C331" s="56" t="s">
        <v>32</v>
      </c>
      <c r="D331" s="98">
        <f>D321</f>
        <v>528.21400000000006</v>
      </c>
      <c r="E331" s="99">
        <f>E321</f>
        <v>140.55774540000002</v>
      </c>
    </row>
    <row r="332" spans="3:13">
      <c r="C332" s="56"/>
      <c r="D332" s="98"/>
      <c r="E332" s="99"/>
    </row>
    <row r="333" spans="3:13" ht="13.5" thickBot="1">
      <c r="C333" s="95" t="s">
        <v>33</v>
      </c>
      <c r="D333" s="101">
        <f>SUM(D331:D332)</f>
        <v>528.21400000000006</v>
      </c>
      <c r="E333" s="101">
        <f>SUM(E331:E332)</f>
        <v>140.55774540000002</v>
      </c>
    </row>
    <row r="335" spans="3:13" ht="13.5" thickBot="1"/>
    <row r="336" spans="3:13">
      <c r="C336" s="88" t="s">
        <v>96</v>
      </c>
      <c r="D336" s="102" t="s">
        <v>87</v>
      </c>
      <c r="E336" s="89" t="s">
        <v>88</v>
      </c>
    </row>
    <row r="337" spans="2:10">
      <c r="C337" s="90"/>
      <c r="D337" s="104"/>
      <c r="E337" s="100"/>
    </row>
    <row r="338" spans="2:10">
      <c r="C338" s="90" t="s">
        <v>35</v>
      </c>
      <c r="D338" s="94">
        <v>1200</v>
      </c>
      <c r="E338" s="100">
        <f>D338*J301</f>
        <v>319.32</v>
      </c>
      <c r="G338" s="180"/>
    </row>
    <row r="339" spans="2:10">
      <c r="C339" s="90" t="s">
        <v>36</v>
      </c>
      <c r="D339" s="94">
        <v>3000</v>
      </c>
      <c r="E339" s="100">
        <f>D339*J301</f>
        <v>798.3</v>
      </c>
      <c r="G339" s="180"/>
    </row>
    <row r="340" spans="2:10">
      <c r="C340" s="90" t="s">
        <v>37</v>
      </c>
      <c r="D340" s="94">
        <v>1000</v>
      </c>
      <c r="E340" s="100">
        <f>D340*J301</f>
        <v>266.10000000000002</v>
      </c>
      <c r="G340" s="180"/>
    </row>
    <row r="341" spans="2:10">
      <c r="C341" s="90" t="s">
        <v>38</v>
      </c>
      <c r="D341" s="94">
        <v>400</v>
      </c>
      <c r="E341" s="100">
        <f>D341*J301</f>
        <v>106.44</v>
      </c>
      <c r="G341" s="180"/>
    </row>
    <row r="342" spans="2:10">
      <c r="C342" s="90" t="s">
        <v>39</v>
      </c>
      <c r="D342" s="94">
        <v>0</v>
      </c>
      <c r="E342" s="100">
        <f>D342*J301</f>
        <v>0</v>
      </c>
      <c r="G342" s="180"/>
    </row>
    <row r="343" spans="2:10">
      <c r="C343" s="90" t="s">
        <v>40</v>
      </c>
      <c r="D343" s="94">
        <v>4500</v>
      </c>
      <c r="E343" s="100">
        <f>D343*J301</f>
        <v>1197.45</v>
      </c>
      <c r="G343" s="180"/>
    </row>
    <row r="344" spans="2:10" ht="13.5" thickBot="1">
      <c r="C344" s="90"/>
      <c r="D344" s="94"/>
      <c r="E344" s="100"/>
    </row>
    <row r="345" spans="2:10" ht="13.5" thickBot="1">
      <c r="C345" s="91" t="s">
        <v>41</v>
      </c>
      <c r="D345" s="106">
        <f>SUM(D337:D344)</f>
        <v>10100</v>
      </c>
      <c r="E345" s="106">
        <f>SUM(E337:E344)</f>
        <v>2687.6099999999997</v>
      </c>
    </row>
    <row r="346" spans="2:10">
      <c r="C346" s="90" t="s">
        <v>42</v>
      </c>
      <c r="D346" s="104">
        <f>D308</f>
        <v>484.95000000000005</v>
      </c>
      <c r="E346" s="100">
        <f>D346*J301</f>
        <v>129.04519500000001</v>
      </c>
    </row>
    <row r="347" spans="2:10" ht="13.5" thickBot="1">
      <c r="C347" s="90" t="s">
        <v>43</v>
      </c>
      <c r="D347" s="104">
        <f>D318</f>
        <v>52.597999999999999</v>
      </c>
      <c r="E347" s="100">
        <f>D347*J301</f>
        <v>13.9963278</v>
      </c>
    </row>
    <row r="348" spans="2:10" ht="13.5" thickBot="1">
      <c r="C348" s="91" t="s">
        <v>44</v>
      </c>
      <c r="D348" s="106">
        <f>+D345+D346+D347</f>
        <v>10637.548000000001</v>
      </c>
      <c r="E348" s="106">
        <f>+E345+E346+E347</f>
        <v>2830.6515227999998</v>
      </c>
    </row>
    <row r="349" spans="2:10">
      <c r="C349" s="178"/>
      <c r="D349" s="116"/>
      <c r="E349" s="116"/>
    </row>
    <row r="351" spans="2:10">
      <c r="B351" s="50" t="s">
        <v>97</v>
      </c>
      <c r="I351" s="50" t="s">
        <v>98</v>
      </c>
      <c r="J351" s="165">
        <f>Model!AO203</f>
        <v>0.2666</v>
      </c>
    </row>
    <row r="352" spans="2:10">
      <c r="B352" s="50"/>
      <c r="I352" s="50" t="s">
        <v>99</v>
      </c>
      <c r="J352" s="165">
        <f>Model!AO205</f>
        <v>0.26644166666666663</v>
      </c>
    </row>
    <row r="353" spans="2:13">
      <c r="B353" s="50"/>
    </row>
    <row r="354" spans="2:13" ht="16.5" customHeight="1">
      <c r="C354" s="185" t="s">
        <v>100</v>
      </c>
      <c r="D354" s="371"/>
      <c r="E354" s="372"/>
      <c r="F354" s="79" t="s">
        <v>6</v>
      </c>
      <c r="G354" s="108" t="s">
        <v>7</v>
      </c>
      <c r="I354" s="142" t="s">
        <v>67</v>
      </c>
      <c r="J354" s="153"/>
      <c r="K354" s="154"/>
      <c r="L354" s="154"/>
      <c r="M354" s="155"/>
    </row>
    <row r="355" spans="2:13" ht="14.25" customHeight="1">
      <c r="C355" s="113"/>
      <c r="D355" s="131" t="s">
        <v>4</v>
      </c>
      <c r="E355" s="132" t="s">
        <v>5</v>
      </c>
      <c r="F355" s="80"/>
      <c r="G355" s="109"/>
      <c r="I355" s="112" t="s">
        <v>100</v>
      </c>
      <c r="J355" s="156"/>
      <c r="K355" s="157"/>
      <c r="L355" s="79" t="s">
        <v>6</v>
      </c>
      <c r="M355" s="108" t="s">
        <v>7</v>
      </c>
    </row>
    <row r="356" spans="2:13">
      <c r="C356" s="113"/>
      <c r="D356" s="131"/>
      <c r="E356" s="132"/>
      <c r="F356" s="80"/>
      <c r="G356" s="109"/>
      <c r="I356" s="139"/>
      <c r="J356" s="131" t="s">
        <v>4</v>
      </c>
      <c r="K356" s="132" t="s">
        <v>5</v>
      </c>
      <c r="L356" s="80"/>
      <c r="M356" s="140"/>
    </row>
    <row r="357" spans="2:13">
      <c r="C357" s="113" t="s">
        <v>77</v>
      </c>
      <c r="D357" s="131"/>
      <c r="E357" s="132"/>
      <c r="F357" s="80"/>
      <c r="G357" s="109"/>
      <c r="I357" s="114"/>
      <c r="J357" s="107"/>
      <c r="K357" s="74"/>
      <c r="L357" s="80"/>
      <c r="M357" s="110"/>
    </row>
    <row r="358" spans="2:13">
      <c r="C358" s="114" t="s">
        <v>78</v>
      </c>
      <c r="D358" s="107">
        <f>365.55+81.657</f>
        <v>447.20699999999999</v>
      </c>
      <c r="E358" s="74">
        <f>D358*J351</f>
        <v>119.2253862</v>
      </c>
      <c r="F358" s="80"/>
      <c r="G358" s="109"/>
      <c r="I358" s="114" t="s">
        <v>13</v>
      </c>
      <c r="J358" s="146">
        <f>D359</f>
        <v>5402.7169999999996</v>
      </c>
      <c r="K358" s="74">
        <f>J358*$J$351</f>
        <v>1440.3643522</v>
      </c>
      <c r="L358" s="87"/>
      <c r="M358" s="109"/>
    </row>
    <row r="359" spans="2:13">
      <c r="C359" s="114" t="s">
        <v>13</v>
      </c>
      <c r="D359" s="107">
        <f>4945.257+457.46</f>
        <v>5402.7169999999996</v>
      </c>
      <c r="E359" s="74">
        <f>D359*J351</f>
        <v>1440.3643522</v>
      </c>
      <c r="F359" s="87"/>
      <c r="G359" s="110"/>
      <c r="I359" s="114" t="s">
        <v>79</v>
      </c>
      <c r="J359" s="146">
        <f>D360</f>
        <v>755.09699999999998</v>
      </c>
      <c r="K359" s="74">
        <f>J359*$J$351</f>
        <v>201.3088602</v>
      </c>
      <c r="L359" s="80"/>
      <c r="M359" s="109"/>
    </row>
    <row r="360" spans="2:13">
      <c r="C360" s="114" t="s">
        <v>79</v>
      </c>
      <c r="D360" s="107">
        <f>480.55+274.547</f>
        <v>755.09699999999998</v>
      </c>
      <c r="E360" s="74">
        <f>D360*J351</f>
        <v>201.3088602</v>
      </c>
      <c r="F360" s="80"/>
      <c r="G360" s="109"/>
      <c r="I360" s="114" t="s">
        <v>15</v>
      </c>
      <c r="J360" s="146">
        <f>D361</f>
        <v>211.828</v>
      </c>
      <c r="K360" s="74">
        <f>J360*$J$351</f>
        <v>56.4733448</v>
      </c>
      <c r="L360" s="80"/>
      <c r="M360" s="109"/>
    </row>
    <row r="361" spans="2:13">
      <c r="C361" s="114" t="s">
        <v>15</v>
      </c>
      <c r="D361" s="107">
        <f>53+158.828</f>
        <v>211.828</v>
      </c>
      <c r="E361" s="74">
        <f>D361*J351</f>
        <v>56.4733448</v>
      </c>
      <c r="F361" s="80"/>
      <c r="G361" s="109"/>
      <c r="I361" s="114" t="s">
        <v>80</v>
      </c>
      <c r="J361" s="146">
        <f>D362</f>
        <v>212.06299999999999</v>
      </c>
      <c r="K361" s="74">
        <f>J361*$J$351</f>
        <v>56.535995799999995</v>
      </c>
      <c r="L361" s="80"/>
      <c r="M361" s="109"/>
    </row>
    <row r="362" spans="2:13">
      <c r="C362" s="114" t="s">
        <v>80</v>
      </c>
      <c r="D362" s="107">
        <f>141.058+71.005</f>
        <v>212.06299999999999</v>
      </c>
      <c r="E362" s="74">
        <f>D362*J351</f>
        <v>56.535995799999995</v>
      </c>
      <c r="F362" s="80"/>
      <c r="G362" s="109"/>
      <c r="I362" s="114" t="s">
        <v>81</v>
      </c>
      <c r="J362" s="146">
        <f>D363</f>
        <v>363.49899999999997</v>
      </c>
      <c r="K362" s="74">
        <f>J362*$J$351</f>
        <v>96.908833399999992</v>
      </c>
      <c r="L362" s="87"/>
      <c r="M362" s="109"/>
    </row>
    <row r="363" spans="2:13">
      <c r="C363" s="114" t="s">
        <v>81</v>
      </c>
      <c r="D363" s="107">
        <f>37.618+325.881</f>
        <v>363.49899999999997</v>
      </c>
      <c r="E363" s="74">
        <f>D363*J351</f>
        <v>96.908833399999992</v>
      </c>
      <c r="F363" s="87"/>
      <c r="G363" s="110"/>
      <c r="I363" s="147"/>
      <c r="J363" s="158"/>
      <c r="K363" s="159"/>
      <c r="L363" s="80"/>
      <c r="M363" s="109"/>
    </row>
    <row r="364" spans="2:13">
      <c r="C364" s="113" t="s">
        <v>82</v>
      </c>
      <c r="D364" s="160">
        <f>SUM(D358:D363)</f>
        <v>7392.4110000000001</v>
      </c>
      <c r="E364" s="159">
        <f>SUM(E358:E363)</f>
        <v>1970.8167725999999</v>
      </c>
      <c r="F364" s="161">
        <f>D364/D375</f>
        <v>1.6199917164120232</v>
      </c>
      <c r="G364" s="161">
        <f>E364/E375</f>
        <v>1.6209543987568713</v>
      </c>
      <c r="I364" s="147"/>
      <c r="J364" s="107"/>
      <c r="K364" s="74"/>
      <c r="L364" s="80"/>
      <c r="M364" s="109"/>
    </row>
    <row r="365" spans="2:13">
      <c r="C365" s="114"/>
      <c r="D365" s="107"/>
      <c r="E365" s="74"/>
      <c r="F365" s="80"/>
      <c r="G365" s="109"/>
      <c r="I365" s="114" t="s">
        <v>83</v>
      </c>
      <c r="J365" s="146">
        <f>D366</f>
        <v>0</v>
      </c>
      <c r="K365" s="74">
        <f>J365*$J$351</f>
        <v>0</v>
      </c>
      <c r="L365" s="80"/>
      <c r="M365" s="109"/>
    </row>
    <row r="366" spans="2:13">
      <c r="C366" s="114" t="s">
        <v>83</v>
      </c>
      <c r="D366" s="107">
        <v>0</v>
      </c>
      <c r="E366" s="74">
        <f>D366*J351</f>
        <v>0</v>
      </c>
      <c r="F366" s="80"/>
      <c r="G366" s="109"/>
      <c r="I366" s="114" t="s">
        <v>18</v>
      </c>
      <c r="J366" s="146">
        <f>D367</f>
        <v>2826.261</v>
      </c>
      <c r="K366" s="74">
        <f>J366*$J$351</f>
        <v>753.48118260000001</v>
      </c>
      <c r="L366" s="80"/>
      <c r="M366" s="109"/>
    </row>
    <row r="367" spans="2:13">
      <c r="C367" s="114" t="s">
        <v>18</v>
      </c>
      <c r="D367" s="107">
        <f>2801.306+24.955</f>
        <v>2826.261</v>
      </c>
      <c r="E367" s="74">
        <f>D367*J351</f>
        <v>753.48118260000001</v>
      </c>
      <c r="F367" s="80"/>
      <c r="G367" s="109"/>
      <c r="H367" s="179"/>
      <c r="I367" s="114" t="s">
        <v>43</v>
      </c>
      <c r="J367" s="146">
        <f>D368</f>
        <v>69.393000000000001</v>
      </c>
      <c r="K367" s="74">
        <f>J367*$J$351</f>
        <v>18.500173799999999</v>
      </c>
      <c r="L367" s="80"/>
      <c r="M367" s="109"/>
    </row>
    <row r="368" spans="2:13">
      <c r="C368" s="114" t="s">
        <v>43</v>
      </c>
      <c r="D368" s="182">
        <f>Model!$AO$102</f>
        <v>69.393000000000001</v>
      </c>
      <c r="E368" s="74">
        <f>D368*J351</f>
        <v>18.500173799999999</v>
      </c>
      <c r="F368" s="80"/>
      <c r="G368" s="109"/>
      <c r="I368" s="81"/>
      <c r="J368" s="107"/>
      <c r="K368" s="74"/>
      <c r="L368" s="80"/>
      <c r="M368" s="109"/>
    </row>
    <row r="369" spans="3:13">
      <c r="C369" s="114"/>
      <c r="D369" s="107"/>
      <c r="E369" s="74"/>
      <c r="F369" s="80"/>
      <c r="G369" s="109"/>
      <c r="H369" s="179"/>
      <c r="I369" s="133" t="s">
        <v>84</v>
      </c>
      <c r="J369" s="119">
        <f>SUM(J357:J367)</f>
        <v>9840.8580000000002</v>
      </c>
      <c r="K369" s="120">
        <f>SUM(K357:K367)</f>
        <v>2623.5727428</v>
      </c>
      <c r="L369" s="121">
        <f>+J369/J374</f>
        <v>2.1565506087779736</v>
      </c>
      <c r="M369" s="122">
        <f>+K369/K374</f>
        <v>2.1578321419955881</v>
      </c>
    </row>
    <row r="370" spans="3:13">
      <c r="C370" s="133" t="s">
        <v>84</v>
      </c>
      <c r="D370" s="119">
        <f>+D364+D366+D367+D368</f>
        <v>10288.065000000001</v>
      </c>
      <c r="E370" s="120">
        <f>+E364+E366+E367+E368</f>
        <v>2742.7981289999998</v>
      </c>
      <c r="F370" s="121">
        <f>+D370/D375</f>
        <v>2.254552686249244</v>
      </c>
      <c r="G370" s="122">
        <f>+E370/E375</f>
        <v>2.255892457338561</v>
      </c>
      <c r="I370" s="134" t="s">
        <v>85</v>
      </c>
      <c r="J370" s="181">
        <f>D371</f>
        <v>374.95600000000002</v>
      </c>
      <c r="K370" s="74">
        <f>J370*$J$351</f>
        <v>99.963269600000004</v>
      </c>
      <c r="L370" s="124"/>
      <c r="M370" s="125"/>
    </row>
    <row r="371" spans="3:13">
      <c r="C371" s="134" t="s">
        <v>25</v>
      </c>
      <c r="D371" s="123">
        <f>Model!$AO$109</f>
        <v>374.95600000000002</v>
      </c>
      <c r="E371" s="74">
        <f>D371*J351</f>
        <v>99.963269600000004</v>
      </c>
      <c r="F371" s="124"/>
      <c r="G371" s="125"/>
      <c r="I371" s="133" t="s">
        <v>26</v>
      </c>
      <c r="J371" s="119">
        <f>J369-J370</f>
        <v>9465.902</v>
      </c>
      <c r="K371" s="120">
        <f>K369-K370</f>
        <v>2523.6094732000001</v>
      </c>
      <c r="L371" s="121">
        <f>+J371/J374</f>
        <v>2.0743817988972748</v>
      </c>
      <c r="M371" s="122">
        <f>+K371/K374</f>
        <v>2.0756145031846129</v>
      </c>
    </row>
    <row r="372" spans="3:13">
      <c r="C372" s="133" t="s">
        <v>26</v>
      </c>
      <c r="D372" s="119">
        <f>+D370-D371</f>
        <v>9913.1090000000004</v>
      </c>
      <c r="E372" s="120">
        <f>+E370-E371</f>
        <v>2642.8348593999999</v>
      </c>
      <c r="F372" s="121">
        <f>+D372/D375</f>
        <v>2.1723838763685452</v>
      </c>
      <c r="G372" s="122">
        <f>+E372/E375</f>
        <v>2.1736748185275858</v>
      </c>
      <c r="I372" s="135" t="s">
        <v>27</v>
      </c>
      <c r="J372" s="126">
        <f>D373</f>
        <v>17958.767</v>
      </c>
      <c r="K372" s="74">
        <f>J372*$J$351</f>
        <v>4787.8072822000004</v>
      </c>
      <c r="L372" s="115"/>
      <c r="M372" s="111"/>
    </row>
    <row r="373" spans="3:13">
      <c r="C373" s="135" t="s">
        <v>27</v>
      </c>
      <c r="D373" s="126">
        <f>Model!$AO$116</f>
        <v>17958.767</v>
      </c>
      <c r="E373" s="74">
        <f>D373*J351</f>
        <v>4787.8072822000004</v>
      </c>
      <c r="F373" s="115"/>
      <c r="G373" s="111"/>
      <c r="I373" s="133" t="s">
        <v>28</v>
      </c>
      <c r="J373" s="119">
        <f>J369+J372</f>
        <v>27799.625</v>
      </c>
      <c r="K373" s="120">
        <f>K369+K372</f>
        <v>7411.3800250000004</v>
      </c>
      <c r="L373" s="121">
        <f>J373/J374</f>
        <v>6.0920804077804371</v>
      </c>
      <c r="M373" s="122">
        <f>K373/K374</f>
        <v>6.095700635089349</v>
      </c>
    </row>
    <row r="374" spans="3:13">
      <c r="C374" s="133" t="s">
        <v>28</v>
      </c>
      <c r="D374" s="119">
        <f>D370+D373</f>
        <v>28246.832000000002</v>
      </c>
      <c r="E374" s="120">
        <f>E370+E373</f>
        <v>7530.6054112000002</v>
      </c>
      <c r="F374" s="121">
        <f>D374/D375</f>
        <v>6.1900824852517076</v>
      </c>
      <c r="G374" s="122">
        <f>E374/E375</f>
        <v>6.1937609504323223</v>
      </c>
      <c r="I374" s="136" t="s">
        <v>29</v>
      </c>
      <c r="J374" s="183">
        <f>D375</f>
        <v>4563.24</v>
      </c>
      <c r="K374" s="184">
        <f>J374*$J$352</f>
        <v>1215.8372709999999</v>
      </c>
      <c r="L374" s="129"/>
      <c r="M374" s="130"/>
    </row>
    <row r="375" spans="3:13">
      <c r="C375" s="136" t="s">
        <v>29</v>
      </c>
      <c r="D375" s="127">
        <f>Model!$AO$82</f>
        <v>4563.24</v>
      </c>
      <c r="E375" s="128">
        <f>D375*J352</f>
        <v>1215.8372709999999</v>
      </c>
      <c r="F375" s="129"/>
      <c r="G375" s="130"/>
    </row>
    <row r="377" spans="3:13">
      <c r="C377" s="82" t="s">
        <v>30</v>
      </c>
      <c r="D377" s="83">
        <f>D370-Model!$AO$112</f>
        <v>0</v>
      </c>
      <c r="E377" s="83"/>
    </row>
    <row r="378" spans="3:13" ht="13.5" thickBot="1">
      <c r="D378" s="105"/>
      <c r="E378" s="105"/>
      <c r="H378" s="179"/>
    </row>
    <row r="379" spans="3:13">
      <c r="C379" s="55" t="s">
        <v>101</v>
      </c>
      <c r="D379" s="102" t="s">
        <v>87</v>
      </c>
      <c r="E379" s="103" t="s">
        <v>88</v>
      </c>
    </row>
    <row r="380" spans="3:13">
      <c r="C380" s="56"/>
      <c r="D380" s="85"/>
      <c r="E380" s="69"/>
    </row>
    <row r="381" spans="3:13">
      <c r="C381" s="56" t="s">
        <v>32</v>
      </c>
      <c r="D381" s="98">
        <f>D371</f>
        <v>374.95600000000002</v>
      </c>
      <c r="E381" s="99">
        <f>E371</f>
        <v>99.963269600000004</v>
      </c>
    </row>
    <row r="382" spans="3:13">
      <c r="C382" s="56"/>
      <c r="D382" s="98"/>
      <c r="E382" s="99"/>
    </row>
    <row r="383" spans="3:13" ht="13.5" thickBot="1">
      <c r="C383" s="95" t="s">
        <v>33</v>
      </c>
      <c r="D383" s="101">
        <f>SUM(D381:D382)</f>
        <v>374.95600000000002</v>
      </c>
      <c r="E383" s="101">
        <f>SUM(E381:E382)</f>
        <v>99.963269600000004</v>
      </c>
    </row>
    <row r="385" spans="3:7" ht="13.5" thickBot="1"/>
    <row r="386" spans="3:7">
      <c r="C386" s="88" t="s">
        <v>102</v>
      </c>
      <c r="D386" s="102" t="s">
        <v>87</v>
      </c>
      <c r="E386" s="89" t="s">
        <v>88</v>
      </c>
    </row>
    <row r="387" spans="3:7">
      <c r="C387" s="90"/>
      <c r="D387" s="104"/>
      <c r="E387" s="100"/>
    </row>
    <row r="388" spans="3:7">
      <c r="C388" s="90" t="s">
        <v>35</v>
      </c>
      <c r="D388" s="94">
        <v>1300</v>
      </c>
      <c r="E388" s="100">
        <f>D388*J351</f>
        <v>346.58</v>
      </c>
      <c r="G388" s="180"/>
    </row>
    <row r="389" spans="3:7">
      <c r="C389" s="90" t="s">
        <v>36</v>
      </c>
      <c r="D389" s="94">
        <v>2400</v>
      </c>
      <c r="E389" s="100">
        <f>D389*J351</f>
        <v>639.84</v>
      </c>
      <c r="G389" s="180"/>
    </row>
    <row r="390" spans="3:7">
      <c r="C390" s="90" t="s">
        <v>37</v>
      </c>
      <c r="D390" s="94">
        <v>1100</v>
      </c>
      <c r="E390" s="100">
        <f>D390*J351</f>
        <v>293.26</v>
      </c>
      <c r="G390" s="180"/>
    </row>
    <row r="391" spans="3:7">
      <c r="C391" s="90" t="s">
        <v>38</v>
      </c>
      <c r="D391" s="94">
        <v>100</v>
      </c>
      <c r="E391" s="100">
        <f>D391*J351</f>
        <v>26.66</v>
      </c>
      <c r="G391" s="180"/>
    </row>
    <row r="392" spans="3:7">
      <c r="C392" s="90" t="s">
        <v>39</v>
      </c>
      <c r="D392" s="94">
        <v>300</v>
      </c>
      <c r="E392" s="100">
        <f>D392*J351</f>
        <v>79.98</v>
      </c>
      <c r="G392" s="180"/>
    </row>
    <row r="393" spans="3:7">
      <c r="C393" s="90" t="s">
        <v>40</v>
      </c>
      <c r="D393" s="94">
        <v>4500</v>
      </c>
      <c r="E393" s="100">
        <f>D393*J351</f>
        <v>1199.7</v>
      </c>
      <c r="G393" s="180"/>
    </row>
    <row r="394" spans="3:7" ht="13.5" thickBot="1">
      <c r="C394" s="90"/>
      <c r="D394" s="94"/>
      <c r="E394" s="100"/>
    </row>
    <row r="395" spans="3:7" ht="13.5" thickBot="1">
      <c r="C395" s="91" t="s">
        <v>41</v>
      </c>
      <c r="D395" s="106">
        <f>SUM(D387:D394)</f>
        <v>9700</v>
      </c>
      <c r="E395" s="106">
        <f>SUM(E387:E394)</f>
        <v>2586.0200000000004</v>
      </c>
    </row>
    <row r="396" spans="3:7">
      <c r="C396" s="90" t="s">
        <v>42</v>
      </c>
      <c r="D396" s="104">
        <f>D358</f>
        <v>447.20699999999999</v>
      </c>
      <c r="E396" s="100">
        <f>D396*J351</f>
        <v>119.2253862</v>
      </c>
    </row>
    <row r="397" spans="3:7" ht="13.5" thickBot="1">
      <c r="C397" s="90" t="s">
        <v>43</v>
      </c>
      <c r="D397" s="104">
        <f>D368</f>
        <v>69.393000000000001</v>
      </c>
      <c r="E397" s="100">
        <f>D397*J351</f>
        <v>18.500173799999999</v>
      </c>
    </row>
    <row r="398" spans="3:7" ht="13.5" thickBot="1">
      <c r="C398" s="91" t="s">
        <v>44</v>
      </c>
      <c r="D398" s="106">
        <f>+D395+D396+D397</f>
        <v>10216.6</v>
      </c>
      <c r="E398" s="106">
        <f>+E395+E396+E397</f>
        <v>2723.7455600000003</v>
      </c>
    </row>
    <row r="399" spans="3:7">
      <c r="C399" s="178"/>
      <c r="D399" s="116"/>
      <c r="E399" s="116"/>
    </row>
    <row r="401" spans="2:13">
      <c r="B401" s="50" t="s">
        <v>103</v>
      </c>
      <c r="I401" s="50" t="s">
        <v>104</v>
      </c>
      <c r="J401" s="165">
        <f>Model!AM203</f>
        <v>0.2666</v>
      </c>
    </row>
    <row r="402" spans="2:13">
      <c r="B402" s="50"/>
      <c r="I402" s="50" t="s">
        <v>105</v>
      </c>
      <c r="J402" s="165">
        <f>Model!AN205</f>
        <v>0.26646666666666663</v>
      </c>
    </row>
    <row r="403" spans="2:13">
      <c r="B403" s="50"/>
    </row>
    <row r="404" spans="2:13">
      <c r="C404" s="185" t="s">
        <v>106</v>
      </c>
      <c r="D404" s="371"/>
      <c r="E404" s="372"/>
      <c r="F404" s="79" t="s">
        <v>6</v>
      </c>
      <c r="G404" s="108" t="s">
        <v>7</v>
      </c>
      <c r="I404" s="142" t="s">
        <v>67</v>
      </c>
      <c r="J404" s="153"/>
      <c r="K404" s="154"/>
      <c r="L404" s="154"/>
      <c r="M404" s="155"/>
    </row>
    <row r="405" spans="2:13">
      <c r="C405" s="113"/>
      <c r="D405" s="131" t="s">
        <v>4</v>
      </c>
      <c r="E405" s="132" t="s">
        <v>5</v>
      </c>
      <c r="F405" s="80"/>
      <c r="G405" s="109"/>
      <c r="I405" s="112" t="s">
        <v>107</v>
      </c>
      <c r="J405" s="156"/>
      <c r="K405" s="157"/>
      <c r="L405" s="79" t="s">
        <v>6</v>
      </c>
      <c r="M405" s="108" t="s">
        <v>7</v>
      </c>
    </row>
    <row r="406" spans="2:13">
      <c r="C406" s="113"/>
      <c r="D406" s="131"/>
      <c r="E406" s="132"/>
      <c r="F406" s="80"/>
      <c r="G406" s="109"/>
      <c r="I406" s="139"/>
      <c r="J406" s="131" t="s">
        <v>4</v>
      </c>
      <c r="K406" s="132" t="s">
        <v>5</v>
      </c>
      <c r="L406" s="80"/>
      <c r="M406" s="140"/>
    </row>
    <row r="407" spans="2:13">
      <c r="C407" s="113" t="s">
        <v>77</v>
      </c>
      <c r="D407" s="131"/>
      <c r="E407" s="132"/>
      <c r="F407" s="80"/>
      <c r="G407" s="109"/>
      <c r="I407" s="114"/>
      <c r="J407" s="107"/>
      <c r="K407" s="74"/>
      <c r="L407" s="80"/>
      <c r="M407" s="110"/>
    </row>
    <row r="408" spans="2:13">
      <c r="C408" s="114" t="s">
        <v>78</v>
      </c>
      <c r="D408" s="107">
        <f>354.271+76.214</f>
        <v>430.48500000000001</v>
      </c>
      <c r="E408" s="74">
        <f>D408*J401</f>
        <v>114.767301</v>
      </c>
      <c r="F408" s="80"/>
      <c r="G408" s="109"/>
      <c r="I408" s="114" t="s">
        <v>13</v>
      </c>
      <c r="J408" s="146">
        <f>D409</f>
        <v>5760.3370000000004</v>
      </c>
      <c r="K408" s="74">
        <f>J408*$J$401</f>
        <v>1535.7058442000002</v>
      </c>
      <c r="L408" s="87"/>
      <c r="M408" s="109"/>
    </row>
    <row r="409" spans="2:13">
      <c r="C409" s="114" t="s">
        <v>13</v>
      </c>
      <c r="D409" s="107">
        <f>5265.018+495.319</f>
        <v>5760.3370000000004</v>
      </c>
      <c r="E409" s="74">
        <f>D409*J401</f>
        <v>1535.7058442000002</v>
      </c>
      <c r="F409" s="87"/>
      <c r="G409" s="110"/>
      <c r="I409" s="114" t="s">
        <v>79</v>
      </c>
      <c r="J409" s="146">
        <f>D410</f>
        <v>748.57400000000007</v>
      </c>
      <c r="K409" s="74">
        <f>J409*$J$401</f>
        <v>199.56982840000003</v>
      </c>
      <c r="L409" s="80"/>
      <c r="M409" s="109"/>
    </row>
    <row r="410" spans="2:13">
      <c r="C410" s="114" t="s">
        <v>79</v>
      </c>
      <c r="D410" s="107">
        <f>486.439+262.135</f>
        <v>748.57400000000007</v>
      </c>
      <c r="E410" s="74">
        <f>D410*J401</f>
        <v>199.56982840000003</v>
      </c>
      <c r="F410" s="80"/>
      <c r="G410" s="109"/>
      <c r="I410" s="114" t="s">
        <v>15</v>
      </c>
      <c r="J410" s="146">
        <f>D411</f>
        <v>181.55700000000002</v>
      </c>
      <c r="K410" s="74">
        <f>J410*$J$401</f>
        <v>48.403096200000007</v>
      </c>
      <c r="L410" s="80"/>
      <c r="M410" s="109"/>
    </row>
    <row r="411" spans="2:13">
      <c r="C411" s="114" t="s">
        <v>15</v>
      </c>
      <c r="D411" s="107">
        <f>42.389+139.168</f>
        <v>181.55700000000002</v>
      </c>
      <c r="E411" s="74">
        <f>D411*J401</f>
        <v>48.403096200000007</v>
      </c>
      <c r="F411" s="80"/>
      <c r="G411" s="109"/>
      <c r="I411" s="114" t="s">
        <v>80</v>
      </c>
      <c r="J411" s="146">
        <f>D412</f>
        <v>258.29700000000003</v>
      </c>
      <c r="K411" s="74">
        <f>J411*$J$401</f>
        <v>68.861980200000005</v>
      </c>
      <c r="L411" s="80"/>
      <c r="M411" s="109"/>
    </row>
    <row r="412" spans="2:13">
      <c r="C412" s="114" t="s">
        <v>80</v>
      </c>
      <c r="D412" s="107">
        <f>163.07+95.227</f>
        <v>258.29700000000003</v>
      </c>
      <c r="E412" s="74">
        <f>D412*J401</f>
        <v>68.861980200000005</v>
      </c>
      <c r="F412" s="80"/>
      <c r="G412" s="109"/>
      <c r="I412" s="114" t="s">
        <v>81</v>
      </c>
      <c r="J412" s="146">
        <f>D413</f>
        <v>383.58699999999999</v>
      </c>
      <c r="K412" s="74">
        <f>J412*$J$401</f>
        <v>102.26429419999999</v>
      </c>
      <c r="L412" s="87"/>
      <c r="M412" s="109"/>
    </row>
    <row r="413" spans="2:13">
      <c r="C413" s="114" t="s">
        <v>81</v>
      </c>
      <c r="D413" s="107">
        <f>56.714+326.873</f>
        <v>383.58699999999999</v>
      </c>
      <c r="E413" s="74">
        <f>D413*J401</f>
        <v>102.26429419999999</v>
      </c>
      <c r="F413" s="87"/>
      <c r="G413" s="110"/>
      <c r="I413" s="147"/>
      <c r="J413" s="158"/>
      <c r="K413" s="159"/>
      <c r="L413" s="80"/>
      <c r="M413" s="109"/>
    </row>
    <row r="414" spans="2:13">
      <c r="C414" s="113" t="s">
        <v>82</v>
      </c>
      <c r="D414" s="160">
        <f>SUM(D408:D413)</f>
        <v>7762.8369999999995</v>
      </c>
      <c r="E414" s="159">
        <f>SUM(E408:E413)</f>
        <v>2069.5723442000003</v>
      </c>
      <c r="F414" s="161">
        <f>D414/D425</f>
        <v>1.7357284041159291</v>
      </c>
      <c r="G414" s="161">
        <f>E414/E425</f>
        <v>1.7365969197046796</v>
      </c>
      <c r="I414" s="147"/>
      <c r="J414" s="107"/>
      <c r="K414" s="74"/>
      <c r="L414" s="80"/>
      <c r="M414" s="109"/>
    </row>
    <row r="415" spans="2:13">
      <c r="C415" s="114"/>
      <c r="D415" s="107"/>
      <c r="E415" s="74"/>
      <c r="F415" s="80"/>
      <c r="G415" s="109"/>
      <c r="I415" s="114" t="s">
        <v>83</v>
      </c>
      <c r="J415" s="146">
        <f>D416</f>
        <v>0</v>
      </c>
      <c r="K415" s="74">
        <f>J415*$J$401</f>
        <v>0</v>
      </c>
      <c r="L415" s="80"/>
      <c r="M415" s="109"/>
    </row>
    <row r="416" spans="2:13">
      <c r="C416" s="114" t="s">
        <v>83</v>
      </c>
      <c r="D416" s="107">
        <v>0</v>
      </c>
      <c r="E416" s="74">
        <f>D416*J401</f>
        <v>0</v>
      </c>
      <c r="F416" s="80"/>
      <c r="G416" s="109"/>
      <c r="I416" s="114" t="s">
        <v>18</v>
      </c>
      <c r="J416" s="146">
        <f>D417</f>
        <v>2862.7739999999999</v>
      </c>
      <c r="K416" s="74">
        <f>J416*$J$401</f>
        <v>763.21554839999999</v>
      </c>
      <c r="L416" s="80"/>
      <c r="M416" s="109"/>
    </row>
    <row r="417" spans="3:13">
      <c r="C417" s="114" t="s">
        <v>18</v>
      </c>
      <c r="D417" s="107">
        <f>2800.591+62.183</f>
        <v>2862.7739999999999</v>
      </c>
      <c r="E417" s="74">
        <f>D417*J401</f>
        <v>763.21554839999999</v>
      </c>
      <c r="F417" s="80"/>
      <c r="G417" s="109"/>
      <c r="H417" s="179"/>
      <c r="I417" s="114" t="s">
        <v>43</v>
      </c>
      <c r="J417" s="146">
        <f>D418</f>
        <v>54.34</v>
      </c>
      <c r="K417" s="74">
        <f>J417*$J$401</f>
        <v>14.487044000000001</v>
      </c>
      <c r="L417" s="80"/>
      <c r="M417" s="109"/>
    </row>
    <row r="418" spans="3:13">
      <c r="C418" s="114" t="s">
        <v>43</v>
      </c>
      <c r="D418" s="182">
        <f>Model!$AN$102</f>
        <v>54.34</v>
      </c>
      <c r="E418" s="74">
        <f>D418*J401</f>
        <v>14.487044000000001</v>
      </c>
      <c r="F418" s="80"/>
      <c r="G418" s="109"/>
      <c r="I418" s="81"/>
      <c r="J418" s="107"/>
      <c r="K418" s="74"/>
      <c r="L418" s="80"/>
      <c r="M418" s="109"/>
    </row>
    <row r="419" spans="3:13">
      <c r="C419" s="114"/>
      <c r="D419" s="107"/>
      <c r="E419" s="74"/>
      <c r="F419" s="80"/>
      <c r="G419" s="109"/>
      <c r="H419" s="179"/>
      <c r="I419" s="133" t="s">
        <v>84</v>
      </c>
      <c r="J419" s="119">
        <f>SUM(J407:J417)</f>
        <v>10249.465999999999</v>
      </c>
      <c r="K419" s="120">
        <f>SUM(K407:K417)</f>
        <v>2732.5076356000004</v>
      </c>
      <c r="L419" s="121">
        <f>+J419/J424</f>
        <v>2.2917252111850956</v>
      </c>
      <c r="M419" s="122">
        <f>+K419/K424</f>
        <v>2.2928719338326751</v>
      </c>
    </row>
    <row r="420" spans="3:13">
      <c r="C420" s="133" t="s">
        <v>84</v>
      </c>
      <c r="D420" s="119">
        <f>+D414+D416+D417+D418</f>
        <v>10679.950999999999</v>
      </c>
      <c r="E420" s="120">
        <f>+E414+E416+E417+E418</f>
        <v>2847.2749366000003</v>
      </c>
      <c r="F420" s="121">
        <f>+D420/D425</f>
        <v>2.3879793309155302</v>
      </c>
      <c r="G420" s="122">
        <f>+E420/E425</f>
        <v>2.3891742167453613</v>
      </c>
      <c r="I420" s="134" t="s">
        <v>85</v>
      </c>
      <c r="J420" s="181">
        <f>D421</f>
        <v>737.36500000000001</v>
      </c>
      <c r="K420" s="74">
        <f>J420*$J$401</f>
        <v>196.58150900000001</v>
      </c>
      <c r="L420" s="124"/>
      <c r="M420" s="125"/>
    </row>
    <row r="421" spans="3:13">
      <c r="C421" s="134" t="s">
        <v>25</v>
      </c>
      <c r="D421" s="123">
        <f>Model!$AN$109</f>
        <v>737.36500000000001</v>
      </c>
      <c r="E421" s="74">
        <f>D421*J401</f>
        <v>196.58150900000001</v>
      </c>
      <c r="F421" s="124"/>
      <c r="G421" s="125"/>
      <c r="I421" s="133" t="s">
        <v>26</v>
      </c>
      <c r="J421" s="119">
        <f>J419-J420</f>
        <v>9512.1009999999987</v>
      </c>
      <c r="K421" s="120">
        <f>K419-K420</f>
        <v>2535.9261266000003</v>
      </c>
      <c r="L421" s="121">
        <f>+J421/J424</f>
        <v>2.1268543817833008</v>
      </c>
      <c r="M421" s="122">
        <f>+K421/K424</f>
        <v>2.1279186071432132</v>
      </c>
    </row>
    <row r="422" spans="3:13">
      <c r="C422" s="133" t="s">
        <v>26</v>
      </c>
      <c r="D422" s="119">
        <f>+D420-D421</f>
        <v>9942.5859999999993</v>
      </c>
      <c r="E422" s="120">
        <f>+E420-E421</f>
        <v>2650.6934276000002</v>
      </c>
      <c r="F422" s="121">
        <f>+D422/D425</f>
        <v>2.2231085015137353</v>
      </c>
      <c r="G422" s="122">
        <f>+E422/E425</f>
        <v>2.2242208900558995</v>
      </c>
      <c r="I422" s="135" t="s">
        <v>27</v>
      </c>
      <c r="J422" s="126">
        <f>D423</f>
        <v>17958.767</v>
      </c>
      <c r="K422" s="74">
        <f>J422*$J$401</f>
        <v>4787.8072822000004</v>
      </c>
      <c r="L422" s="115"/>
      <c r="M422" s="111"/>
    </row>
    <row r="423" spans="3:13">
      <c r="C423" s="135" t="s">
        <v>27</v>
      </c>
      <c r="D423" s="126">
        <f>Model!$AN$116</f>
        <v>17958.767</v>
      </c>
      <c r="E423" s="74">
        <f>D423*J401</f>
        <v>4787.8072822000004</v>
      </c>
      <c r="F423" s="115"/>
      <c r="G423" s="111"/>
      <c r="I423" s="133" t="s">
        <v>28</v>
      </c>
      <c r="J423" s="119">
        <f>J419+J422</f>
        <v>28208.233</v>
      </c>
      <c r="K423" s="120">
        <f>K419+K422</f>
        <v>7520.3149178000003</v>
      </c>
      <c r="L423" s="121">
        <f>J423/J424</f>
        <v>6.3072084661857888</v>
      </c>
      <c r="M423" s="122">
        <f>K423/K424</f>
        <v>6.3103644373972925</v>
      </c>
    </row>
    <row r="424" spans="3:13">
      <c r="C424" s="133" t="s">
        <v>28</v>
      </c>
      <c r="D424" s="119">
        <f>D420+D423</f>
        <v>28638.718000000001</v>
      </c>
      <c r="E424" s="120">
        <f>E420+E423</f>
        <v>7635.0822188000002</v>
      </c>
      <c r="F424" s="121">
        <f>D424/D425</f>
        <v>6.4034625859162233</v>
      </c>
      <c r="G424" s="122">
        <f>E424/E425</f>
        <v>6.4066667203099783</v>
      </c>
      <c r="I424" s="136" t="s">
        <v>29</v>
      </c>
      <c r="J424" s="183">
        <f>D425</f>
        <v>4472.38</v>
      </c>
      <c r="K424" s="184">
        <f>J424*$J$402</f>
        <v>1191.7401906666664</v>
      </c>
      <c r="L424" s="129"/>
      <c r="M424" s="130"/>
    </row>
    <row r="425" spans="3:13">
      <c r="C425" s="136" t="s">
        <v>29</v>
      </c>
      <c r="D425" s="127">
        <f>Model!$AN$82</f>
        <v>4472.38</v>
      </c>
      <c r="E425" s="128">
        <f>D425*J402</f>
        <v>1191.7401906666664</v>
      </c>
      <c r="F425" s="129"/>
      <c r="G425" s="130"/>
    </row>
    <row r="427" spans="3:13">
      <c r="C427" s="82" t="s">
        <v>30</v>
      </c>
      <c r="D427" s="83">
        <f>D420-Model!$AN$112</f>
        <v>0</v>
      </c>
      <c r="E427" s="83"/>
    </row>
    <row r="428" spans="3:13" ht="13.5" thickBot="1">
      <c r="D428" s="105"/>
      <c r="E428" s="105"/>
      <c r="H428" s="179"/>
    </row>
    <row r="429" spans="3:13">
      <c r="C429" s="55" t="s">
        <v>108</v>
      </c>
      <c r="D429" s="102" t="s">
        <v>87</v>
      </c>
      <c r="E429" s="103" t="s">
        <v>88</v>
      </c>
    </row>
    <row r="430" spans="3:13">
      <c r="C430" s="56"/>
      <c r="D430" s="85"/>
      <c r="E430" s="69"/>
    </row>
    <row r="431" spans="3:13">
      <c r="C431" s="56" t="s">
        <v>32</v>
      </c>
      <c r="D431" s="98">
        <f>D421</f>
        <v>737.36500000000001</v>
      </c>
      <c r="E431" s="99">
        <f>E421</f>
        <v>196.58150900000001</v>
      </c>
    </row>
    <row r="432" spans="3:13">
      <c r="C432" s="56"/>
      <c r="D432" s="98"/>
      <c r="E432" s="99"/>
    </row>
    <row r="433" spans="3:7" ht="13.5" thickBot="1">
      <c r="C433" s="95" t="s">
        <v>33</v>
      </c>
      <c r="D433" s="101">
        <f>SUM(D431:D432)</f>
        <v>737.36500000000001</v>
      </c>
      <c r="E433" s="101">
        <f>SUM(E431:E432)</f>
        <v>196.58150900000001</v>
      </c>
    </row>
    <row r="435" spans="3:7" ht="13.5" thickBot="1"/>
    <row r="436" spans="3:7">
      <c r="C436" s="88" t="s">
        <v>109</v>
      </c>
      <c r="D436" s="102" t="s">
        <v>87</v>
      </c>
      <c r="E436" s="89" t="s">
        <v>88</v>
      </c>
    </row>
    <row r="437" spans="3:7">
      <c r="C437" s="90"/>
      <c r="D437" s="104"/>
      <c r="E437" s="100"/>
    </row>
    <row r="438" spans="3:7">
      <c r="C438" s="90" t="s">
        <v>35</v>
      </c>
      <c r="D438" s="94">
        <v>1400</v>
      </c>
      <c r="E438" s="100">
        <f>D438*J401</f>
        <v>373.24</v>
      </c>
      <c r="G438" s="180"/>
    </row>
    <row r="439" spans="3:7">
      <c r="C439" s="90" t="s">
        <v>36</v>
      </c>
      <c r="D439" s="94">
        <v>2700</v>
      </c>
      <c r="E439" s="100">
        <f>D439*J401</f>
        <v>719.82</v>
      </c>
      <c r="G439" s="180"/>
    </row>
    <row r="440" spans="3:7">
      <c r="C440" s="90" t="s">
        <v>37</v>
      </c>
      <c r="D440" s="94">
        <v>1000</v>
      </c>
      <c r="E440" s="100">
        <f>D440*J401</f>
        <v>266.60000000000002</v>
      </c>
      <c r="G440" s="180"/>
    </row>
    <row r="441" spans="3:7">
      <c r="C441" s="90" t="s">
        <v>38</v>
      </c>
      <c r="D441" s="94">
        <v>200</v>
      </c>
      <c r="E441" s="100">
        <f>D441*J401</f>
        <v>53.32</v>
      </c>
      <c r="G441" s="180"/>
    </row>
    <row r="442" spans="3:7">
      <c r="C442" s="90" t="s">
        <v>39</v>
      </c>
      <c r="D442" s="94">
        <v>400</v>
      </c>
      <c r="E442" s="100">
        <f>D442*J401</f>
        <v>106.64</v>
      </c>
      <c r="G442" s="180"/>
    </row>
    <row r="443" spans="3:7">
      <c r="C443" s="90" t="s">
        <v>40</v>
      </c>
      <c r="D443" s="94">
        <v>4500</v>
      </c>
      <c r="E443" s="100">
        <f>D443*J401</f>
        <v>1199.7</v>
      </c>
      <c r="G443" s="180"/>
    </row>
    <row r="444" spans="3:7" ht="13.5" thickBot="1">
      <c r="C444" s="90"/>
      <c r="D444" s="94"/>
      <c r="E444" s="100"/>
    </row>
    <row r="445" spans="3:7" ht="13.5" thickBot="1">
      <c r="C445" s="91" t="s">
        <v>41</v>
      </c>
      <c r="D445" s="106">
        <f>SUM(D437:D444)</f>
        <v>10200</v>
      </c>
      <c r="E445" s="106">
        <f>SUM(E437:E444)</f>
        <v>2719.3199999999997</v>
      </c>
    </row>
    <row r="446" spans="3:7">
      <c r="C446" s="90" t="s">
        <v>42</v>
      </c>
      <c r="D446" s="104">
        <f>D408</f>
        <v>430.48500000000001</v>
      </c>
      <c r="E446" s="100">
        <f>D446*J401</f>
        <v>114.767301</v>
      </c>
    </row>
    <row r="447" spans="3:7" ht="13.5" thickBot="1">
      <c r="C447" s="90" t="s">
        <v>43</v>
      </c>
      <c r="D447" s="104">
        <f>D418</f>
        <v>54.34</v>
      </c>
      <c r="E447" s="100">
        <f>D447*J401</f>
        <v>14.487044000000001</v>
      </c>
    </row>
    <row r="448" spans="3:7" ht="13.5" thickBot="1">
      <c r="C448" s="91" t="s">
        <v>44</v>
      </c>
      <c r="D448" s="106">
        <f>+D445+D446+D447</f>
        <v>10684.825000000001</v>
      </c>
      <c r="E448" s="106">
        <f>+E445+E446+E447</f>
        <v>2848.5743449999995</v>
      </c>
    </row>
    <row r="449" spans="2:13">
      <c r="C449" s="178"/>
      <c r="D449" s="116"/>
      <c r="E449" s="116"/>
    </row>
    <row r="451" spans="2:13">
      <c r="B451" s="50" t="s">
        <v>110</v>
      </c>
      <c r="I451" s="50" t="s">
        <v>111</v>
      </c>
      <c r="J451" s="165">
        <f>Model!AM203</f>
        <v>0.2666</v>
      </c>
    </row>
    <row r="452" spans="2:13">
      <c r="B452" s="50"/>
      <c r="I452" s="50" t="s">
        <v>112</v>
      </c>
      <c r="J452" s="165">
        <f>Model!AM205</f>
        <v>0.26646666666666668</v>
      </c>
    </row>
    <row r="453" spans="2:13">
      <c r="B453" s="50"/>
    </row>
    <row r="454" spans="2:13">
      <c r="C454" s="112" t="s">
        <v>113</v>
      </c>
      <c r="D454" s="371"/>
      <c r="E454" s="372"/>
      <c r="F454" s="79" t="s">
        <v>6</v>
      </c>
      <c r="G454" s="108" t="s">
        <v>7</v>
      </c>
      <c r="I454" s="142" t="s">
        <v>67</v>
      </c>
      <c r="J454" s="153"/>
      <c r="K454" s="154"/>
      <c r="L454" s="154"/>
      <c r="M454" s="155"/>
    </row>
    <row r="455" spans="2:13">
      <c r="C455" s="113"/>
      <c r="D455" s="131" t="s">
        <v>4</v>
      </c>
      <c r="E455" s="132" t="s">
        <v>5</v>
      </c>
      <c r="F455" s="80"/>
      <c r="G455" s="109"/>
      <c r="I455" s="112" t="s">
        <v>114</v>
      </c>
      <c r="J455" s="156"/>
      <c r="K455" s="157"/>
      <c r="L455" s="79" t="s">
        <v>6</v>
      </c>
      <c r="M455" s="108" t="s">
        <v>7</v>
      </c>
    </row>
    <row r="456" spans="2:13">
      <c r="C456" s="113"/>
      <c r="D456" s="131"/>
      <c r="E456" s="132"/>
      <c r="F456" s="80"/>
      <c r="G456" s="109"/>
      <c r="I456" s="139"/>
      <c r="J456" s="131" t="s">
        <v>4</v>
      </c>
      <c r="K456" s="132" t="s">
        <v>5</v>
      </c>
      <c r="L456" s="80"/>
      <c r="M456" s="140"/>
    </row>
    <row r="457" spans="2:13">
      <c r="C457" s="113" t="s">
        <v>77</v>
      </c>
      <c r="D457" s="131"/>
      <c r="E457" s="132"/>
      <c r="F457" s="80"/>
      <c r="G457" s="109"/>
      <c r="I457" s="114"/>
      <c r="J457" s="107"/>
      <c r="K457" s="74"/>
      <c r="L457" s="80"/>
      <c r="M457" s="110"/>
    </row>
    <row r="458" spans="2:13">
      <c r="C458" s="114" t="s">
        <v>78</v>
      </c>
      <c r="D458" s="107">
        <f>369.403+78.369</f>
        <v>447.77200000000005</v>
      </c>
      <c r="E458" s="74">
        <f>D458*J451</f>
        <v>119.37601520000001</v>
      </c>
      <c r="F458" s="80"/>
      <c r="G458" s="109"/>
      <c r="I458" s="114" t="s">
        <v>13</v>
      </c>
      <c r="J458" s="146">
        <f>D459</f>
        <v>5521.5450000000001</v>
      </c>
      <c r="K458" s="74">
        <f>J458*$J$451</f>
        <v>1472.043897</v>
      </c>
      <c r="L458" s="87"/>
      <c r="M458" s="109"/>
    </row>
    <row r="459" spans="2:13">
      <c r="C459" s="114" t="s">
        <v>13</v>
      </c>
      <c r="D459" s="107">
        <f>5020.816+500.729</f>
        <v>5521.5450000000001</v>
      </c>
      <c r="E459" s="74">
        <f>D459*J451</f>
        <v>1472.043897</v>
      </c>
      <c r="F459" s="87"/>
      <c r="G459" s="110"/>
      <c r="I459" s="114" t="s">
        <v>79</v>
      </c>
      <c r="J459" s="146">
        <f>D460</f>
        <v>884.57</v>
      </c>
      <c r="K459" s="74">
        <f>J459*$J$451</f>
        <v>235.82636200000002</v>
      </c>
      <c r="L459" s="80"/>
      <c r="M459" s="109"/>
    </row>
    <row r="460" spans="2:13">
      <c r="C460" s="114" t="s">
        <v>79</v>
      </c>
      <c r="D460" s="107">
        <f>619.941+264.629</f>
        <v>884.57</v>
      </c>
      <c r="E460" s="74">
        <f>D460*J451</f>
        <v>235.82636200000002</v>
      </c>
      <c r="F460" s="80"/>
      <c r="G460" s="109"/>
      <c r="I460" s="114" t="s">
        <v>15</v>
      </c>
      <c r="J460" s="146">
        <f>D461</f>
        <v>59.344000000000001</v>
      </c>
      <c r="K460" s="74">
        <f>J460*$J$451</f>
        <v>15.8211104</v>
      </c>
      <c r="L460" s="80"/>
      <c r="M460" s="109"/>
    </row>
    <row r="461" spans="2:13">
      <c r="C461" s="114" t="s">
        <v>15</v>
      </c>
      <c r="D461" s="107">
        <f>34.792+24.552</f>
        <v>59.344000000000001</v>
      </c>
      <c r="E461" s="74">
        <f>D461*J451</f>
        <v>15.8211104</v>
      </c>
      <c r="F461" s="80"/>
      <c r="G461" s="109"/>
      <c r="I461" s="114" t="s">
        <v>80</v>
      </c>
      <c r="J461" s="146">
        <f>D462</f>
        <v>255.64499999999998</v>
      </c>
      <c r="K461" s="74">
        <f>J461*$J$451</f>
        <v>68.154956999999996</v>
      </c>
      <c r="L461" s="80"/>
      <c r="M461" s="109"/>
    </row>
    <row r="462" spans="2:13">
      <c r="C462" s="114" t="s">
        <v>80</v>
      </c>
      <c r="D462" s="107">
        <f>185.119+70.526</f>
        <v>255.64499999999998</v>
      </c>
      <c r="E462" s="74">
        <f>D462*J451</f>
        <v>68.154956999999996</v>
      </c>
      <c r="F462" s="80"/>
      <c r="G462" s="109"/>
      <c r="I462" s="114" t="s">
        <v>81</v>
      </c>
      <c r="J462" s="146">
        <f>D463</f>
        <v>82.820999999999998</v>
      </c>
      <c r="K462" s="74">
        <f>J462*$J$451</f>
        <v>22.0800786</v>
      </c>
      <c r="L462" s="87"/>
      <c r="M462" s="109"/>
    </row>
    <row r="463" spans="2:13">
      <c r="C463" s="114" t="s">
        <v>81</v>
      </c>
      <c r="D463" s="107">
        <f>55.425+27.396</f>
        <v>82.820999999999998</v>
      </c>
      <c r="E463" s="74">
        <f>D463*J451</f>
        <v>22.0800786</v>
      </c>
      <c r="F463" s="87"/>
      <c r="G463" s="110"/>
      <c r="I463" s="147"/>
      <c r="J463" s="158"/>
      <c r="K463" s="159"/>
      <c r="L463" s="80"/>
      <c r="M463" s="109"/>
    </row>
    <row r="464" spans="2:13">
      <c r="C464" s="113" t="s">
        <v>82</v>
      </c>
      <c r="D464" s="160">
        <f>SUM(D458:D463)</f>
        <v>7251.6970000000001</v>
      </c>
      <c r="E464" s="159">
        <f>SUM(E458:E463)</f>
        <v>1933.3024201999999</v>
      </c>
      <c r="F464" s="161">
        <f>D464/D475</f>
        <v>1.65075416120338</v>
      </c>
      <c r="G464" s="161">
        <f>E464/E475</f>
        <v>1.6515801577814149</v>
      </c>
      <c r="I464" s="147"/>
      <c r="J464" s="107"/>
      <c r="K464" s="74"/>
      <c r="L464" s="80"/>
      <c r="M464" s="109"/>
    </row>
    <row r="465" spans="3:13">
      <c r="C465" s="114"/>
      <c r="D465" s="107"/>
      <c r="E465" s="74"/>
      <c r="F465" s="80"/>
      <c r="G465" s="109"/>
      <c r="I465" s="114" t="s">
        <v>83</v>
      </c>
      <c r="J465" s="146">
        <f>D466</f>
        <v>0</v>
      </c>
      <c r="K465" s="74">
        <f>J465*$J$451</f>
        <v>0</v>
      </c>
      <c r="L465" s="80"/>
      <c r="M465" s="109"/>
    </row>
    <row r="466" spans="3:13">
      <c r="C466" s="114" t="s">
        <v>83</v>
      </c>
      <c r="D466" s="107">
        <v>0</v>
      </c>
      <c r="E466" s="74">
        <f>D466*J451</f>
        <v>0</v>
      </c>
      <c r="F466" s="80"/>
      <c r="G466" s="109"/>
      <c r="I466" s="114" t="s">
        <v>18</v>
      </c>
      <c r="J466" s="146">
        <f>D467</f>
        <v>2825.6490000000003</v>
      </c>
      <c r="K466" s="74">
        <f>J466*$J$451</f>
        <v>753.31802340000013</v>
      </c>
      <c r="L466" s="80"/>
      <c r="M466" s="109"/>
    </row>
    <row r="467" spans="3:13">
      <c r="C467" s="114" t="s">
        <v>18</v>
      </c>
      <c r="D467" s="107">
        <f>2800.09+25.559</f>
        <v>2825.6490000000003</v>
      </c>
      <c r="E467" s="74">
        <f>D467*J451</f>
        <v>753.31802340000013</v>
      </c>
      <c r="F467" s="80"/>
      <c r="G467" s="109"/>
      <c r="H467" s="179"/>
      <c r="I467" s="114" t="s">
        <v>43</v>
      </c>
      <c r="J467" s="146">
        <f>D468</f>
        <v>39.286000000000001</v>
      </c>
      <c r="K467" s="74">
        <f>J467*$J$451</f>
        <v>10.473647600000001</v>
      </c>
      <c r="L467" s="80"/>
      <c r="M467" s="109"/>
    </row>
    <row r="468" spans="3:13">
      <c r="C468" s="114" t="s">
        <v>43</v>
      </c>
      <c r="D468" s="107">
        <f>Model!$AM$102</f>
        <v>39.286000000000001</v>
      </c>
      <c r="E468" s="74">
        <f>D468*J451</f>
        <v>10.473647600000001</v>
      </c>
      <c r="F468" s="80"/>
      <c r="G468" s="109"/>
      <c r="I468" s="81"/>
      <c r="J468" s="107"/>
      <c r="K468" s="74"/>
      <c r="L468" s="80"/>
      <c r="M468" s="109"/>
    </row>
    <row r="469" spans="3:13">
      <c r="C469" s="114"/>
      <c r="D469" s="107"/>
      <c r="E469" s="74"/>
      <c r="F469" s="80"/>
      <c r="G469" s="109"/>
      <c r="H469" s="179"/>
      <c r="I469" s="133" t="s">
        <v>84</v>
      </c>
      <c r="J469" s="119">
        <f>SUM(J457:J467)</f>
        <v>9668.86</v>
      </c>
      <c r="K469" s="120">
        <f>SUM(K457:K467)</f>
        <v>2577.7180760000001</v>
      </c>
      <c r="L469" s="121">
        <f>+J469/J474</f>
        <v>2.2009897654428907</v>
      </c>
      <c r="M469" s="122">
        <f>+K469/K474</f>
        <v>2.2020910863162668</v>
      </c>
    </row>
    <row r="470" spans="3:13">
      <c r="C470" s="133" t="s">
        <v>84</v>
      </c>
      <c r="D470" s="119">
        <f>+D464+D466+D467+D468</f>
        <v>10116.632000000001</v>
      </c>
      <c r="E470" s="120">
        <f>+E464+E466+E467+E468</f>
        <v>2697.0940911999996</v>
      </c>
      <c r="F470" s="121">
        <f>+D470/D475</f>
        <v>2.3029192162004666</v>
      </c>
      <c r="G470" s="122">
        <f>+E470/E475</f>
        <v>2.3040715400514542</v>
      </c>
      <c r="I470" s="134" t="s">
        <v>85</v>
      </c>
      <c r="J470" s="181">
        <f>D471</f>
        <v>543.55899999999997</v>
      </c>
      <c r="K470" s="74">
        <f>J470*$J$451</f>
        <v>144.91282939999999</v>
      </c>
      <c r="L470" s="124"/>
      <c r="M470" s="125"/>
    </row>
    <row r="471" spans="3:13">
      <c r="C471" s="134" t="s">
        <v>25</v>
      </c>
      <c r="D471" s="123">
        <f>Model!$AM$109</f>
        <v>543.55899999999997</v>
      </c>
      <c r="E471" s="74">
        <f>D471*J451</f>
        <v>144.91282939999999</v>
      </c>
      <c r="F471" s="124"/>
      <c r="G471" s="125"/>
      <c r="I471" s="133" t="s">
        <v>26</v>
      </c>
      <c r="J471" s="119">
        <f>J469-J470</f>
        <v>9125.3010000000013</v>
      </c>
      <c r="K471" s="120">
        <f>K469-K470</f>
        <v>2432.8052465999999</v>
      </c>
      <c r="L471" s="121">
        <f>+J471/J474</f>
        <v>2.0772556545017484</v>
      </c>
      <c r="M471" s="122">
        <f>+K471/K474</f>
        <v>2.0782950618845359</v>
      </c>
    </row>
    <row r="472" spans="3:13">
      <c r="C472" s="133" t="s">
        <v>26</v>
      </c>
      <c r="D472" s="119">
        <f>+D470-D471</f>
        <v>9573.0730000000021</v>
      </c>
      <c r="E472" s="120">
        <f>+E470-E471</f>
        <v>2552.1812617999994</v>
      </c>
      <c r="F472" s="121">
        <f>+D472/D475</f>
        <v>2.1791851052593243</v>
      </c>
      <c r="G472" s="122">
        <f>+E472/E475</f>
        <v>2.1802755156197233</v>
      </c>
      <c r="I472" s="135" t="s">
        <v>27</v>
      </c>
      <c r="J472" s="126">
        <f>D473</f>
        <v>18349.401000000002</v>
      </c>
      <c r="K472" s="74">
        <f>J472*$J$451</f>
        <v>4891.9503066000007</v>
      </c>
      <c r="L472" s="115"/>
      <c r="M472" s="111"/>
    </row>
    <row r="473" spans="3:13">
      <c r="C473" s="135" t="s">
        <v>27</v>
      </c>
      <c r="D473" s="126">
        <f>Model!$AM$116</f>
        <v>18349.401000000002</v>
      </c>
      <c r="E473" s="74">
        <f>D473*J451</f>
        <v>4891.9503066000007</v>
      </c>
      <c r="F473" s="115"/>
      <c r="G473" s="111"/>
      <c r="I473" s="133" t="s">
        <v>28</v>
      </c>
      <c r="J473" s="119">
        <f>J469+J472</f>
        <v>28018.261000000002</v>
      </c>
      <c r="K473" s="120">
        <f>K469+K472</f>
        <v>7469.6683826000008</v>
      </c>
      <c r="L473" s="121">
        <f>J473/J474</f>
        <v>6.3779913771124717</v>
      </c>
      <c r="M473" s="122">
        <f>K473/K474</f>
        <v>6.3811827663429499</v>
      </c>
    </row>
    <row r="474" spans="3:13">
      <c r="C474" s="133" t="s">
        <v>28</v>
      </c>
      <c r="D474" s="119">
        <f>D470+D473</f>
        <v>28466.033000000003</v>
      </c>
      <c r="E474" s="120">
        <f>E470+E473</f>
        <v>7589.0443978000003</v>
      </c>
      <c r="F474" s="121">
        <f>D474/D475</f>
        <v>6.4799208278700471</v>
      </c>
      <c r="G474" s="122">
        <f>E474/E475</f>
        <v>6.4831632200781373</v>
      </c>
      <c r="I474" s="136" t="s">
        <v>29</v>
      </c>
      <c r="J474" s="127">
        <f>D475</f>
        <v>4392.96</v>
      </c>
      <c r="K474" s="74">
        <f>J474*$J$452</f>
        <v>1170.5774080000001</v>
      </c>
      <c r="L474" s="129"/>
      <c r="M474" s="130"/>
    </row>
    <row r="475" spans="3:13">
      <c r="C475" s="136" t="s">
        <v>29</v>
      </c>
      <c r="D475" s="127">
        <f>Model!$AM$82</f>
        <v>4392.96</v>
      </c>
      <c r="E475" s="128">
        <f>D475*J452</f>
        <v>1170.5774080000001</v>
      </c>
      <c r="F475" s="129"/>
      <c r="G475" s="130"/>
    </row>
    <row r="477" spans="3:13">
      <c r="C477" s="82" t="s">
        <v>30</v>
      </c>
      <c r="D477" s="83">
        <f>D470-Model!$AM$112</f>
        <v>0</v>
      </c>
      <c r="E477" s="83"/>
    </row>
    <row r="478" spans="3:13" ht="13.5" thickBot="1">
      <c r="D478" s="105"/>
      <c r="E478" s="105"/>
      <c r="H478" s="179"/>
    </row>
    <row r="479" spans="3:13">
      <c r="C479" s="55" t="s">
        <v>108</v>
      </c>
      <c r="D479" s="102" t="s">
        <v>87</v>
      </c>
      <c r="E479" s="103" t="s">
        <v>88</v>
      </c>
    </row>
    <row r="480" spans="3:13">
      <c r="C480" s="56"/>
      <c r="D480" s="85"/>
      <c r="E480" s="69"/>
    </row>
    <row r="481" spans="3:7">
      <c r="C481" s="56" t="s">
        <v>32</v>
      </c>
      <c r="D481" s="98">
        <f>D471</f>
        <v>543.55899999999997</v>
      </c>
      <c r="E481" s="99">
        <f>E471</f>
        <v>144.91282939999999</v>
      </c>
    </row>
    <row r="482" spans="3:7">
      <c r="C482" s="56"/>
      <c r="D482" s="98"/>
      <c r="E482" s="99"/>
    </row>
    <row r="483" spans="3:7" ht="13.5" thickBot="1">
      <c r="C483" s="95" t="s">
        <v>33</v>
      </c>
      <c r="D483" s="101">
        <f>SUM(D481:D482)</f>
        <v>543.55899999999997</v>
      </c>
      <c r="E483" s="101">
        <f>SUM(E481:E482)</f>
        <v>144.91282939999999</v>
      </c>
    </row>
    <row r="485" spans="3:7" ht="13.5" thickBot="1"/>
    <row r="486" spans="3:7">
      <c r="C486" s="88" t="s">
        <v>109</v>
      </c>
      <c r="D486" s="102" t="s">
        <v>87</v>
      </c>
      <c r="E486" s="89" t="s">
        <v>88</v>
      </c>
    </row>
    <row r="487" spans="3:7">
      <c r="C487" s="90"/>
      <c r="D487" s="104"/>
      <c r="E487" s="100"/>
    </row>
    <row r="488" spans="3:7">
      <c r="C488" s="90" t="s">
        <v>35</v>
      </c>
      <c r="D488" s="94">
        <v>900</v>
      </c>
      <c r="E488" s="100">
        <f>D488*J451</f>
        <v>239.94</v>
      </c>
      <c r="G488" s="180"/>
    </row>
    <row r="489" spans="3:7">
      <c r="C489" s="90" t="s">
        <v>36</v>
      </c>
      <c r="D489" s="94">
        <v>1800</v>
      </c>
      <c r="E489" s="100">
        <f>D489*J451</f>
        <v>479.88</v>
      </c>
      <c r="G489" s="180"/>
    </row>
    <row r="490" spans="3:7">
      <c r="C490" s="90" t="s">
        <v>37</v>
      </c>
      <c r="D490" s="94">
        <v>1400</v>
      </c>
      <c r="E490" s="100">
        <f>D490*J451</f>
        <v>373.24</v>
      </c>
      <c r="G490" s="180"/>
    </row>
    <row r="491" spans="3:7">
      <c r="C491" s="90" t="s">
        <v>38</v>
      </c>
      <c r="D491" s="94">
        <v>700</v>
      </c>
      <c r="E491" s="100">
        <f>D491*J451</f>
        <v>186.62</v>
      </c>
      <c r="G491" s="180"/>
    </row>
    <row r="492" spans="3:7">
      <c r="C492" s="90" t="s">
        <v>39</v>
      </c>
      <c r="D492" s="94">
        <v>400</v>
      </c>
      <c r="E492" s="100">
        <f>D492*J451</f>
        <v>106.64</v>
      </c>
      <c r="G492" s="180"/>
    </row>
    <row r="493" spans="3:7">
      <c r="C493" s="90" t="s">
        <v>40</v>
      </c>
      <c r="D493" s="94">
        <v>4500</v>
      </c>
      <c r="E493" s="100">
        <f>D493*J451</f>
        <v>1199.7</v>
      </c>
      <c r="G493" s="180"/>
    </row>
    <row r="494" spans="3:7" ht="13.5" thickBot="1">
      <c r="C494" s="90"/>
      <c r="D494" s="94"/>
      <c r="E494" s="100"/>
    </row>
    <row r="495" spans="3:7" ht="13.5" thickBot="1">
      <c r="C495" s="91" t="s">
        <v>41</v>
      </c>
      <c r="D495" s="106">
        <f>SUM(D487:D494)</f>
        <v>9700</v>
      </c>
      <c r="E495" s="106">
        <f>SUM(E487:E494)</f>
        <v>2586.02</v>
      </c>
    </row>
    <row r="496" spans="3:7">
      <c r="C496" s="90" t="s">
        <v>42</v>
      </c>
      <c r="D496" s="104">
        <f>D458</f>
        <v>447.77200000000005</v>
      </c>
      <c r="E496" s="100">
        <f>D496*J451</f>
        <v>119.37601520000001</v>
      </c>
    </row>
    <row r="497" spans="2:13" ht="13.5" thickBot="1">
      <c r="C497" s="90" t="s">
        <v>43</v>
      </c>
      <c r="D497" s="104">
        <f>D468</f>
        <v>39.286000000000001</v>
      </c>
      <c r="E497" s="100">
        <f>D497*J451</f>
        <v>10.473647600000001</v>
      </c>
    </row>
    <row r="498" spans="2:13" ht="13.5" thickBot="1">
      <c r="C498" s="91" t="s">
        <v>44</v>
      </c>
      <c r="D498" s="106">
        <f>+D495+D496+D497</f>
        <v>10187.058000000001</v>
      </c>
      <c r="E498" s="106">
        <f>+E495+E496+E497</f>
        <v>2715.8696627999998</v>
      </c>
    </row>
    <row r="499" spans="2:13">
      <c r="C499" s="178"/>
      <c r="D499" s="116"/>
      <c r="E499" s="116"/>
    </row>
    <row r="501" spans="2:13">
      <c r="B501" s="50" t="s">
        <v>115</v>
      </c>
      <c r="I501" s="50" t="s">
        <v>116</v>
      </c>
      <c r="J501" s="165">
        <f>Model!AL203</f>
        <v>0.26669999999999999</v>
      </c>
    </row>
    <row r="502" spans="2:13">
      <c r="B502" s="50"/>
      <c r="I502" s="50" t="s">
        <v>117</v>
      </c>
      <c r="J502" s="165">
        <f>Model!AL205</f>
        <v>0.26637499999999997</v>
      </c>
    </row>
    <row r="503" spans="2:13">
      <c r="B503" s="50"/>
    </row>
    <row r="504" spans="2:13">
      <c r="C504" s="112" t="s">
        <v>118</v>
      </c>
      <c r="D504" s="371"/>
      <c r="E504" s="372"/>
      <c r="F504" s="79" t="s">
        <v>6</v>
      </c>
      <c r="G504" s="108" t="s">
        <v>7</v>
      </c>
      <c r="I504" s="142" t="s">
        <v>67</v>
      </c>
      <c r="J504" s="153"/>
      <c r="K504" s="154"/>
      <c r="L504" s="154"/>
      <c r="M504" s="155"/>
    </row>
    <row r="505" spans="2:13">
      <c r="C505" s="113"/>
      <c r="D505" s="131" t="s">
        <v>4</v>
      </c>
      <c r="E505" s="132" t="s">
        <v>5</v>
      </c>
      <c r="F505" s="80"/>
      <c r="G505" s="109"/>
      <c r="I505" s="112" t="s">
        <v>119</v>
      </c>
      <c r="J505" s="156"/>
      <c r="K505" s="157"/>
      <c r="L505" s="79" t="s">
        <v>6</v>
      </c>
      <c r="M505" s="108" t="s">
        <v>7</v>
      </c>
    </row>
    <row r="506" spans="2:13">
      <c r="C506" s="113"/>
      <c r="D506" s="131"/>
      <c r="E506" s="132"/>
      <c r="F506" s="80"/>
      <c r="G506" s="109"/>
      <c r="I506" s="139"/>
      <c r="J506" s="131" t="s">
        <v>4</v>
      </c>
      <c r="K506" s="132" t="s">
        <v>5</v>
      </c>
      <c r="L506" s="80"/>
      <c r="M506" s="140"/>
    </row>
    <row r="507" spans="2:13">
      <c r="C507" s="113" t="s">
        <v>77</v>
      </c>
      <c r="D507" s="131"/>
      <c r="E507" s="132"/>
      <c r="F507" s="80"/>
      <c r="G507" s="109"/>
      <c r="I507" s="114"/>
      <c r="J507" s="107"/>
      <c r="K507" s="74"/>
      <c r="L507" s="80"/>
      <c r="M507" s="110"/>
    </row>
    <row r="508" spans="2:13">
      <c r="C508" s="114" t="s">
        <v>78</v>
      </c>
      <c r="D508" s="107">
        <f>369.113+81.07</f>
        <v>450.18299999999999</v>
      </c>
      <c r="E508" s="74">
        <f>D508*J501</f>
        <v>120.06380609999999</v>
      </c>
      <c r="F508" s="80"/>
      <c r="G508" s="109"/>
      <c r="I508" s="114" t="s">
        <v>13</v>
      </c>
      <c r="J508" s="146">
        <f>D509</f>
        <v>5282.991</v>
      </c>
      <c r="K508" s="74">
        <f>J508*$J$501</f>
        <v>1408.9736997</v>
      </c>
      <c r="L508" s="87"/>
      <c r="M508" s="109"/>
    </row>
    <row r="509" spans="2:13">
      <c r="C509" s="114" t="s">
        <v>13</v>
      </c>
      <c r="D509" s="107">
        <f>4758.147+524.844</f>
        <v>5282.991</v>
      </c>
      <c r="E509" s="74">
        <f>D509*J501</f>
        <v>1408.9736997</v>
      </c>
      <c r="F509" s="87"/>
      <c r="G509" s="110"/>
      <c r="I509" s="114" t="s">
        <v>79</v>
      </c>
      <c r="J509" s="146">
        <f>D510</f>
        <v>877.173</v>
      </c>
      <c r="K509" s="74">
        <f>J509*$J$501</f>
        <v>233.94203909999999</v>
      </c>
      <c r="L509" s="80"/>
      <c r="M509" s="109"/>
    </row>
    <row r="510" spans="2:13">
      <c r="C510" s="114" t="s">
        <v>79</v>
      </c>
      <c r="D510" s="107">
        <f>614.789+262.384</f>
        <v>877.173</v>
      </c>
      <c r="E510" s="74">
        <f>D510*J501</f>
        <v>233.94203909999999</v>
      </c>
      <c r="F510" s="80"/>
      <c r="G510" s="109"/>
      <c r="I510" s="114" t="s">
        <v>15</v>
      </c>
      <c r="J510" s="146">
        <f>D511</f>
        <v>212.584</v>
      </c>
      <c r="K510" s="74">
        <f>J510*$J$501</f>
        <v>56.6961528</v>
      </c>
      <c r="L510" s="80"/>
      <c r="M510" s="109"/>
    </row>
    <row r="511" spans="2:13">
      <c r="C511" s="114" t="s">
        <v>15</v>
      </c>
      <c r="D511" s="107">
        <f>59.407+153.177</f>
        <v>212.584</v>
      </c>
      <c r="E511" s="74">
        <f>D511*J501</f>
        <v>56.6961528</v>
      </c>
      <c r="F511" s="80"/>
      <c r="G511" s="109"/>
      <c r="I511" s="114" t="s">
        <v>80</v>
      </c>
      <c r="J511" s="146">
        <f>D512</f>
        <v>305.69900000000001</v>
      </c>
      <c r="K511" s="74">
        <f>J511*$J$501</f>
        <v>81.529923300000007</v>
      </c>
      <c r="L511" s="80"/>
      <c r="M511" s="109"/>
    </row>
    <row r="512" spans="2:13">
      <c r="C512" s="114" t="s">
        <v>80</v>
      </c>
      <c r="D512" s="107">
        <f>209.674+96.025</f>
        <v>305.69900000000001</v>
      </c>
      <c r="E512" s="74">
        <f>D512*J501</f>
        <v>81.529923300000007</v>
      </c>
      <c r="F512" s="80"/>
      <c r="G512" s="109"/>
      <c r="I512" s="114" t="s">
        <v>81</v>
      </c>
      <c r="J512" s="146">
        <f>D513</f>
        <v>583.47700000000009</v>
      </c>
      <c r="K512" s="74">
        <f>J512*$J$501</f>
        <v>155.61331590000003</v>
      </c>
      <c r="L512" s="87"/>
      <c r="M512" s="109"/>
    </row>
    <row r="513" spans="3:13">
      <c r="C513" s="114" t="s">
        <v>81</v>
      </c>
      <c r="D513" s="107">
        <f>56.57+526.907</f>
        <v>583.47700000000009</v>
      </c>
      <c r="E513" s="74">
        <f>D513*J501</f>
        <v>155.61331590000003</v>
      </c>
      <c r="F513" s="87"/>
      <c r="G513" s="110"/>
      <c r="I513" s="147"/>
      <c r="J513" s="158"/>
      <c r="K513" s="159"/>
      <c r="L513" s="80"/>
      <c r="M513" s="109"/>
    </row>
    <row r="514" spans="3:13">
      <c r="C514" s="113" t="s">
        <v>82</v>
      </c>
      <c r="D514" s="160">
        <f>SUM(D508:D513)</f>
        <v>7712.1069999999991</v>
      </c>
      <c r="E514" s="159">
        <f>SUM(E508:E513)</f>
        <v>2056.8189368999997</v>
      </c>
      <c r="F514" s="161">
        <f>D514/D525</f>
        <v>1.7128938930816116</v>
      </c>
      <c r="G514" s="161">
        <f>E514/E525</f>
        <v>1.7149837683148412</v>
      </c>
      <c r="I514" s="147"/>
      <c r="J514" s="107"/>
      <c r="K514" s="74"/>
      <c r="L514" s="80"/>
      <c r="M514" s="109"/>
    </row>
    <row r="515" spans="3:13">
      <c r="C515" s="114"/>
      <c r="D515" s="107"/>
      <c r="E515" s="74"/>
      <c r="F515" s="80"/>
      <c r="G515" s="109"/>
      <c r="I515" s="114" t="s">
        <v>83</v>
      </c>
      <c r="J515" s="146">
        <f>D516</f>
        <v>0</v>
      </c>
      <c r="K515" s="74">
        <f>J515*$J$501</f>
        <v>0</v>
      </c>
      <c r="L515" s="80"/>
      <c r="M515" s="109"/>
    </row>
    <row r="516" spans="3:13">
      <c r="C516" s="114" t="s">
        <v>83</v>
      </c>
      <c r="D516" s="107">
        <v>0</v>
      </c>
      <c r="E516" s="74">
        <f>D516*J501</f>
        <v>0</v>
      </c>
      <c r="F516" s="80"/>
      <c r="G516" s="109"/>
      <c r="I516" s="114" t="s">
        <v>18</v>
      </c>
      <c r="J516" s="146">
        <f>D517</f>
        <v>4766.0730000000003</v>
      </c>
      <c r="K516" s="74">
        <f>J516*$J$501</f>
        <v>1271.1116691</v>
      </c>
      <c r="L516" s="80"/>
      <c r="M516" s="109"/>
    </row>
    <row r="517" spans="3:13">
      <c r="C517" s="114" t="s">
        <v>18</v>
      </c>
      <c r="D517" s="107">
        <f>2800.582+1965.491</f>
        <v>4766.0730000000003</v>
      </c>
      <c r="E517" s="74">
        <f>D517*J501</f>
        <v>1271.1116691</v>
      </c>
      <c r="F517" s="80"/>
      <c r="G517" s="109"/>
      <c r="H517" s="179"/>
      <c r="I517" s="114" t="s">
        <v>43</v>
      </c>
      <c r="J517" s="146">
        <f>D518</f>
        <v>0.84399999999999997</v>
      </c>
      <c r="K517" s="74">
        <f>J517*$J$501</f>
        <v>0.22509479999999998</v>
      </c>
      <c r="L517" s="80"/>
      <c r="M517" s="109"/>
    </row>
    <row r="518" spans="3:13">
      <c r="C518" s="114" t="s">
        <v>43</v>
      </c>
      <c r="D518" s="146">
        <f>Model!$AL$102</f>
        <v>0.84399999999999997</v>
      </c>
      <c r="E518" s="74">
        <f>D518*J501</f>
        <v>0.22509479999999998</v>
      </c>
      <c r="F518" s="80"/>
      <c r="G518" s="109"/>
      <c r="I518" s="81"/>
      <c r="J518" s="107"/>
      <c r="K518" s="74"/>
      <c r="L518" s="80"/>
      <c r="M518" s="109"/>
    </row>
    <row r="519" spans="3:13">
      <c r="C519" s="114"/>
      <c r="D519" s="107"/>
      <c r="E519" s="74"/>
      <c r="F519" s="80"/>
      <c r="G519" s="109"/>
      <c r="H519" s="179"/>
      <c r="I519" s="133" t="s">
        <v>84</v>
      </c>
      <c r="J519" s="119">
        <f>SUM(J507:J517)</f>
        <v>12028.840999999999</v>
      </c>
      <c r="K519" s="120">
        <f>SUM(K507:K517)</f>
        <v>3208.0918947</v>
      </c>
      <c r="L519" s="121">
        <f>+J519/J524</f>
        <v>2.6716600651092763</v>
      </c>
      <c r="M519" s="122">
        <f>+K519/K524</f>
        <v>2.674919716056853</v>
      </c>
    </row>
    <row r="520" spans="3:13">
      <c r="C520" s="133" t="s">
        <v>84</v>
      </c>
      <c r="D520" s="119">
        <f>+D514+D516+D517+D518</f>
        <v>12479.023999999999</v>
      </c>
      <c r="E520" s="120">
        <f>+E514+E516+E517+E518</f>
        <v>3328.1557008</v>
      </c>
      <c r="F520" s="121">
        <f>+D520/D525</f>
        <v>2.7716477483026187</v>
      </c>
      <c r="G520" s="122">
        <f>+E520/E525</f>
        <v>2.7750293926693894</v>
      </c>
      <c r="I520" s="134" t="s">
        <v>85</v>
      </c>
      <c r="J520" s="181">
        <f>D521</f>
        <v>2591.8919999999998</v>
      </c>
      <c r="K520" s="74">
        <f>J520*$J$501</f>
        <v>691.2575963999999</v>
      </c>
      <c r="L520" s="124"/>
      <c r="M520" s="125"/>
    </row>
    <row r="521" spans="3:13">
      <c r="C521" s="134" t="s">
        <v>25</v>
      </c>
      <c r="D521" s="123">
        <f>Model!$AL$109</f>
        <v>2591.8919999999998</v>
      </c>
      <c r="E521" s="74">
        <f>D521*J501</f>
        <v>691.2575963999999</v>
      </c>
      <c r="F521" s="124"/>
      <c r="G521" s="125"/>
      <c r="I521" s="133" t="s">
        <v>26</v>
      </c>
      <c r="J521" s="119">
        <f>J519-J520</f>
        <v>9436.9489999999987</v>
      </c>
      <c r="K521" s="120">
        <f>K519-K520</f>
        <v>2516.8342983000002</v>
      </c>
      <c r="L521" s="121">
        <f>+J521/J524</f>
        <v>2.0959891131467212</v>
      </c>
      <c r="M521" s="122">
        <f>+K521/K524</f>
        <v>2.0985463969074827</v>
      </c>
    </row>
    <row r="522" spans="3:13">
      <c r="C522" s="133" t="s">
        <v>26</v>
      </c>
      <c r="D522" s="119">
        <f>+D520-D521</f>
        <v>9887.1319999999996</v>
      </c>
      <c r="E522" s="120">
        <f>+E520-E521</f>
        <v>2636.8981044000002</v>
      </c>
      <c r="F522" s="121">
        <f>+D522/D525</f>
        <v>2.195976796340064</v>
      </c>
      <c r="G522" s="122">
        <f>+E522/E525</f>
        <v>2.1986560735200196</v>
      </c>
      <c r="I522" s="135" t="s">
        <v>27</v>
      </c>
      <c r="J522" s="126">
        <f>D523</f>
        <v>17808.825000000001</v>
      </c>
      <c r="K522" s="74">
        <f>J522*$J$501</f>
        <v>4749.6136274999999</v>
      </c>
      <c r="L522" s="115"/>
      <c r="M522" s="111"/>
    </row>
    <row r="523" spans="3:13">
      <c r="C523" s="135" t="s">
        <v>27</v>
      </c>
      <c r="D523" s="126">
        <f>Model!$AL$116</f>
        <v>17808.825000000001</v>
      </c>
      <c r="E523" s="74">
        <f>D523*J501</f>
        <v>4749.6136274999999</v>
      </c>
      <c r="F523" s="115"/>
      <c r="G523" s="111"/>
      <c r="I523" s="133" t="s">
        <v>28</v>
      </c>
      <c r="J523" s="119">
        <f>J519+J522</f>
        <v>29837.665999999997</v>
      </c>
      <c r="K523" s="120">
        <f>K519+K522</f>
        <v>7957.7055221999999</v>
      </c>
      <c r="L523" s="121">
        <f>J523/J524</f>
        <v>6.627080754352713</v>
      </c>
      <c r="M523" s="122">
        <f>K523/K524</f>
        <v>6.6351663526452143</v>
      </c>
    </row>
    <row r="524" spans="3:13">
      <c r="C524" s="133" t="s">
        <v>28</v>
      </c>
      <c r="D524" s="119">
        <f>D520+D523</f>
        <v>30287.849000000002</v>
      </c>
      <c r="E524" s="120">
        <f>E520+E523</f>
        <v>8077.7693282999999</v>
      </c>
      <c r="F524" s="121">
        <f>D524/D525</f>
        <v>6.7270684375460563</v>
      </c>
      <c r="G524" s="122">
        <f>E524/E525</f>
        <v>6.7352760292577507</v>
      </c>
      <c r="I524" s="136" t="s">
        <v>29</v>
      </c>
      <c r="J524" s="127">
        <f>D525</f>
        <v>4502.3845499999998</v>
      </c>
      <c r="K524" s="128">
        <f>J524*$J$502</f>
        <v>1199.3226845062497</v>
      </c>
      <c r="L524" s="129"/>
      <c r="M524" s="130"/>
    </row>
    <row r="525" spans="3:13">
      <c r="C525" s="136" t="s">
        <v>29</v>
      </c>
      <c r="D525" s="127">
        <f>Model!$AL$82</f>
        <v>4502.3845499999998</v>
      </c>
      <c r="E525" s="128">
        <f>D525*J502</f>
        <v>1199.3226845062497</v>
      </c>
      <c r="F525" s="129"/>
      <c r="G525" s="130"/>
    </row>
    <row r="527" spans="3:13">
      <c r="C527" s="82" t="s">
        <v>30</v>
      </c>
      <c r="D527" s="83">
        <f>D520-Model!$AL$112</f>
        <v>-9.0000000000145519E-3</v>
      </c>
      <c r="E527" s="83"/>
    </row>
    <row r="528" spans="3:13" ht="13.5" thickBot="1">
      <c r="D528" s="105"/>
      <c r="E528" s="105"/>
      <c r="H528" s="179"/>
    </row>
    <row r="529" spans="3:7">
      <c r="C529" s="55" t="s">
        <v>120</v>
      </c>
      <c r="D529" s="102" t="s">
        <v>87</v>
      </c>
      <c r="E529" s="103" t="s">
        <v>88</v>
      </c>
    </row>
    <row r="530" spans="3:7">
      <c r="C530" s="56"/>
      <c r="D530" s="85"/>
      <c r="E530" s="69"/>
    </row>
    <row r="531" spans="3:7">
      <c r="C531" s="56" t="s">
        <v>32</v>
      </c>
      <c r="D531" s="98">
        <f>D521</f>
        <v>2591.8919999999998</v>
      </c>
      <c r="E531" s="99">
        <f>E521</f>
        <v>691.2575963999999</v>
      </c>
    </row>
    <row r="532" spans="3:7">
      <c r="C532" s="56"/>
      <c r="D532" s="98"/>
      <c r="E532" s="99"/>
    </row>
    <row r="533" spans="3:7" ht="13.5" thickBot="1">
      <c r="C533" s="95" t="s">
        <v>33</v>
      </c>
      <c r="D533" s="101">
        <f>SUM(D531:D532)</f>
        <v>2591.8919999999998</v>
      </c>
      <c r="E533" s="101">
        <f>SUM(E531:E532)</f>
        <v>691.2575963999999</v>
      </c>
    </row>
    <row r="535" spans="3:7" ht="13.5" thickBot="1"/>
    <row r="536" spans="3:7">
      <c r="C536" s="88" t="s">
        <v>121</v>
      </c>
      <c r="D536" s="102" t="s">
        <v>87</v>
      </c>
      <c r="E536" s="89" t="s">
        <v>88</v>
      </c>
    </row>
    <row r="537" spans="3:7">
      <c r="C537" s="90"/>
      <c r="D537" s="104"/>
      <c r="E537" s="100"/>
    </row>
    <row r="538" spans="3:7">
      <c r="C538" s="90" t="s">
        <v>35</v>
      </c>
      <c r="D538" s="94">
        <v>3500</v>
      </c>
      <c r="E538" s="100">
        <f>D538*J501</f>
        <v>933.44999999999993</v>
      </c>
      <c r="G538" s="180"/>
    </row>
    <row r="539" spans="3:7">
      <c r="C539" s="90" t="s">
        <v>36</v>
      </c>
      <c r="D539" s="94">
        <v>1500</v>
      </c>
      <c r="E539" s="100">
        <f>D539*J501</f>
        <v>400.05</v>
      </c>
      <c r="G539" s="180"/>
    </row>
    <row r="540" spans="3:7">
      <c r="C540" s="90" t="s">
        <v>37</v>
      </c>
      <c r="D540" s="94">
        <v>1500</v>
      </c>
      <c r="E540" s="100">
        <f>D540*J501</f>
        <v>400.05</v>
      </c>
      <c r="G540" s="180"/>
    </row>
    <row r="541" spans="3:7">
      <c r="C541" s="90" t="s">
        <v>38</v>
      </c>
      <c r="D541" s="94">
        <v>800</v>
      </c>
      <c r="E541" s="100">
        <f>D541*J501</f>
        <v>213.35999999999999</v>
      </c>
      <c r="G541" s="180"/>
    </row>
    <row r="542" spans="3:7">
      <c r="C542" s="90" t="s">
        <v>39</v>
      </c>
      <c r="D542" s="94">
        <v>100</v>
      </c>
      <c r="E542" s="100">
        <f>D542*J501</f>
        <v>26.669999999999998</v>
      </c>
      <c r="G542" s="180"/>
    </row>
    <row r="543" spans="3:7">
      <c r="C543" s="90" t="s">
        <v>40</v>
      </c>
      <c r="D543" s="94">
        <v>4800</v>
      </c>
      <c r="E543" s="100">
        <f>D543*J501</f>
        <v>1280.1599999999999</v>
      </c>
      <c r="G543" s="180"/>
    </row>
    <row r="544" spans="3:7" ht="13.5" thickBot="1">
      <c r="C544" s="90"/>
      <c r="D544" s="94"/>
      <c r="E544" s="100"/>
    </row>
    <row r="545" spans="2:13" ht="13.5" thickBot="1">
      <c r="C545" s="91" t="s">
        <v>41</v>
      </c>
      <c r="D545" s="106">
        <f>SUM(D537:D544)</f>
        <v>12200</v>
      </c>
      <c r="E545" s="106">
        <f>SUM(E537:E544)</f>
        <v>3253.74</v>
      </c>
    </row>
    <row r="546" spans="2:13">
      <c r="C546" s="90" t="s">
        <v>42</v>
      </c>
      <c r="D546" s="104">
        <f>D508</f>
        <v>450.18299999999999</v>
      </c>
      <c r="E546" s="100">
        <f>D546*J501</f>
        <v>120.06380609999999</v>
      </c>
    </row>
    <row r="547" spans="2:13" ht="13.5" thickBot="1">
      <c r="C547" s="90" t="s">
        <v>43</v>
      </c>
      <c r="D547" s="104">
        <f>D518</f>
        <v>0.84399999999999997</v>
      </c>
      <c r="E547" s="100">
        <f>D547*J501</f>
        <v>0.22509479999999998</v>
      </c>
    </row>
    <row r="548" spans="2:13" ht="13.5" thickBot="1">
      <c r="C548" s="91" t="s">
        <v>44</v>
      </c>
      <c r="D548" s="106">
        <f>+D545+D546+D547</f>
        <v>12651.027</v>
      </c>
      <c r="E548" s="106">
        <f>+E545+E546+E547</f>
        <v>3374.0289008999998</v>
      </c>
    </row>
    <row r="549" spans="2:13">
      <c r="C549" s="178"/>
      <c r="D549" s="116"/>
      <c r="E549" s="116"/>
    </row>
    <row r="551" spans="2:13">
      <c r="B551" s="50" t="s">
        <v>122</v>
      </c>
      <c r="I551" s="50" t="s">
        <v>123</v>
      </c>
      <c r="J551" s="165">
        <f>Model!AK203</f>
        <v>0.2666</v>
      </c>
    </row>
    <row r="552" spans="2:13">
      <c r="B552" s="50"/>
      <c r="I552" s="50" t="s">
        <v>124</v>
      </c>
      <c r="J552" s="165">
        <f>Model!AJ205</f>
        <v>0.26624999999999999</v>
      </c>
    </row>
    <row r="553" spans="2:13">
      <c r="B553" s="50"/>
    </row>
    <row r="554" spans="2:13">
      <c r="C554" s="112" t="s">
        <v>125</v>
      </c>
      <c r="D554" s="371"/>
      <c r="E554" s="372"/>
      <c r="F554" s="79" t="s">
        <v>6</v>
      </c>
      <c r="G554" s="108" t="s">
        <v>7</v>
      </c>
      <c r="I554" s="142" t="s">
        <v>67</v>
      </c>
      <c r="J554" s="153"/>
      <c r="K554" s="154"/>
      <c r="L554" s="154"/>
      <c r="M554" s="155"/>
    </row>
    <row r="555" spans="2:13">
      <c r="C555" s="113"/>
      <c r="D555" s="131" t="s">
        <v>4</v>
      </c>
      <c r="E555" s="132" t="s">
        <v>5</v>
      </c>
      <c r="F555" s="80"/>
      <c r="G555" s="109"/>
      <c r="I555" s="112" t="s">
        <v>125</v>
      </c>
      <c r="J555" s="156"/>
      <c r="K555" s="157"/>
      <c r="L555" s="79" t="s">
        <v>6</v>
      </c>
      <c r="M555" s="108" t="s">
        <v>7</v>
      </c>
    </row>
    <row r="556" spans="2:13">
      <c r="C556" s="113"/>
      <c r="D556" s="131"/>
      <c r="E556" s="132"/>
      <c r="F556" s="80"/>
      <c r="G556" s="109"/>
      <c r="I556" s="139"/>
      <c r="J556" s="131" t="s">
        <v>4</v>
      </c>
      <c r="K556" s="132" t="s">
        <v>5</v>
      </c>
      <c r="L556" s="80"/>
      <c r="M556" s="140"/>
    </row>
    <row r="557" spans="2:13">
      <c r="C557" s="113" t="s">
        <v>77</v>
      </c>
      <c r="D557" s="131"/>
      <c r="E557" s="132"/>
      <c r="F557" s="80"/>
      <c r="G557" s="109"/>
      <c r="I557" s="114"/>
      <c r="J557" s="107"/>
      <c r="K557" s="74"/>
      <c r="L557" s="80"/>
      <c r="M557" s="110"/>
    </row>
    <row r="558" spans="2:13">
      <c r="C558" s="114" t="s">
        <v>78</v>
      </c>
      <c r="D558" s="107">
        <f>383.738+75.248</f>
        <v>458.98599999999999</v>
      </c>
      <c r="E558" s="74">
        <f>D558*J551</f>
        <v>122.36566759999999</v>
      </c>
      <c r="F558" s="80"/>
      <c r="G558" s="109"/>
      <c r="I558" s="114" t="s">
        <v>13</v>
      </c>
      <c r="J558" s="146">
        <f>D559</f>
        <v>5340.1940000000004</v>
      </c>
      <c r="K558" s="74">
        <f>J558*$J$551</f>
        <v>1423.6957204</v>
      </c>
      <c r="L558" s="87"/>
      <c r="M558" s="109"/>
    </row>
    <row r="559" spans="2:13">
      <c r="C559" s="114" t="s">
        <v>13</v>
      </c>
      <c r="D559" s="107">
        <f>4834.167+506.027</f>
        <v>5340.1940000000004</v>
      </c>
      <c r="E559" s="74">
        <f>D559*J551</f>
        <v>1423.6957204</v>
      </c>
      <c r="F559" s="87"/>
      <c r="G559" s="110"/>
      <c r="I559" s="114" t="s">
        <v>79</v>
      </c>
      <c r="J559" s="146">
        <f>D560</f>
        <v>1030.8599999999999</v>
      </c>
      <c r="K559" s="74">
        <f>J559*$J$551</f>
        <v>274.82727599999998</v>
      </c>
      <c r="L559" s="80"/>
      <c r="M559" s="109"/>
    </row>
    <row r="560" spans="2:13">
      <c r="C560" s="114" t="s">
        <v>79</v>
      </c>
      <c r="D560" s="107">
        <f>755.554+275.306</f>
        <v>1030.8599999999999</v>
      </c>
      <c r="E560" s="74">
        <f>D560*J551</f>
        <v>274.82727599999998</v>
      </c>
      <c r="F560" s="80"/>
      <c r="G560" s="109"/>
      <c r="I560" s="114" t="s">
        <v>15</v>
      </c>
      <c r="J560" s="146">
        <f>D561</f>
        <v>274.238</v>
      </c>
      <c r="K560" s="74">
        <f>J560*$J$551</f>
        <v>73.111850799999999</v>
      </c>
      <c r="L560" s="80"/>
      <c r="M560" s="109"/>
    </row>
    <row r="561" spans="3:13">
      <c r="C561" s="114" t="s">
        <v>15</v>
      </c>
      <c r="D561" s="107">
        <f>49.305+224.933</f>
        <v>274.238</v>
      </c>
      <c r="E561" s="74">
        <f>D561*J551</f>
        <v>73.111850799999999</v>
      </c>
      <c r="F561" s="80"/>
      <c r="G561" s="109"/>
      <c r="I561" s="114" t="s">
        <v>80</v>
      </c>
      <c r="J561" s="146">
        <f>D562</f>
        <v>302.30500000000001</v>
      </c>
      <c r="K561" s="74">
        <f>J561*$J$551</f>
        <v>80.594513000000006</v>
      </c>
      <c r="L561" s="80"/>
      <c r="M561" s="109"/>
    </row>
    <row r="562" spans="3:13">
      <c r="C562" s="114" t="s">
        <v>80</v>
      </c>
      <c r="D562" s="107">
        <f>208.981+93.324</f>
        <v>302.30500000000001</v>
      </c>
      <c r="E562" s="74">
        <f>D562*J551</f>
        <v>80.594513000000006</v>
      </c>
      <c r="F562" s="80"/>
      <c r="G562" s="109"/>
      <c r="I562" s="114" t="s">
        <v>81</v>
      </c>
      <c r="J562" s="146">
        <f>D563</f>
        <v>582.79</v>
      </c>
      <c r="K562" s="74">
        <f>J562*$J$551</f>
        <v>155.371814</v>
      </c>
      <c r="L562" s="87"/>
      <c r="M562" s="109"/>
    </row>
    <row r="563" spans="3:13">
      <c r="C563" s="114" t="s">
        <v>81</v>
      </c>
      <c r="D563" s="107">
        <f>56.403+526.387</f>
        <v>582.79</v>
      </c>
      <c r="E563" s="74">
        <f>D563*J551</f>
        <v>155.371814</v>
      </c>
      <c r="F563" s="87"/>
      <c r="G563" s="110"/>
      <c r="I563" s="147"/>
      <c r="J563" s="158"/>
      <c r="K563" s="159"/>
      <c r="L563" s="80"/>
      <c r="M563" s="109"/>
    </row>
    <row r="564" spans="3:13">
      <c r="C564" s="113" t="s">
        <v>82</v>
      </c>
      <c r="D564" s="160">
        <f>SUM(D558:D563)</f>
        <v>7989.3730000000005</v>
      </c>
      <c r="E564" s="159">
        <f>SUM(E558:E563)</f>
        <v>2129.9668418000001</v>
      </c>
      <c r="F564" s="161">
        <f>D564/D575</f>
        <v>1.7841358173079123</v>
      </c>
      <c r="G564" s="161">
        <f>E564/E575</f>
        <v>1.7864811601663453</v>
      </c>
      <c r="I564" s="147"/>
      <c r="J564" s="107"/>
      <c r="K564" s="74"/>
      <c r="L564" s="80"/>
      <c r="M564" s="109"/>
    </row>
    <row r="565" spans="3:13">
      <c r="C565" s="114"/>
      <c r="D565" s="107"/>
      <c r="E565" s="74"/>
      <c r="F565" s="80"/>
      <c r="G565" s="109"/>
      <c r="I565" s="114" t="s">
        <v>83</v>
      </c>
      <c r="J565" s="146">
        <f>D566</f>
        <v>0</v>
      </c>
      <c r="K565" s="74">
        <f>J565*$J$551</f>
        <v>0</v>
      </c>
      <c r="L565" s="80"/>
      <c r="M565" s="109"/>
    </row>
    <row r="566" spans="3:13">
      <c r="C566" s="114" t="s">
        <v>83</v>
      </c>
      <c r="D566" s="107">
        <v>0</v>
      </c>
      <c r="E566" s="74">
        <f>D566*J551</f>
        <v>0</v>
      </c>
      <c r="F566" s="80"/>
      <c r="G566" s="109"/>
      <c r="I566" s="114" t="s">
        <v>18</v>
      </c>
      <c r="J566" s="146">
        <f>D567</f>
        <v>4706.9549999999999</v>
      </c>
      <c r="K566" s="74">
        <f>J566*$J$551</f>
        <v>1254.8742030000001</v>
      </c>
      <c r="L566" s="80"/>
      <c r="M566" s="109"/>
    </row>
    <row r="567" spans="3:13">
      <c r="C567" s="114" t="s">
        <v>18</v>
      </c>
      <c r="D567" s="107">
        <f>1905.907+2801.048</f>
        <v>4706.9549999999999</v>
      </c>
      <c r="E567" s="74">
        <f>D567*J551</f>
        <v>1254.8742030000001</v>
      </c>
      <c r="F567" s="80"/>
      <c r="G567" s="109"/>
      <c r="H567" s="179"/>
      <c r="I567" s="114" t="s">
        <v>43</v>
      </c>
      <c r="J567" s="146">
        <f>D568</f>
        <v>63.052999999999997</v>
      </c>
      <c r="K567" s="74">
        <f>J567*$J$551</f>
        <v>16.809929799999999</v>
      </c>
      <c r="L567" s="80"/>
      <c r="M567" s="109"/>
    </row>
    <row r="568" spans="3:13">
      <c r="C568" s="114" t="s">
        <v>43</v>
      </c>
      <c r="D568" s="146">
        <f>Model!$AK$102</f>
        <v>63.052999999999997</v>
      </c>
      <c r="E568" s="74">
        <f>D568*J551</f>
        <v>16.809929799999999</v>
      </c>
      <c r="F568" s="80"/>
      <c r="G568" s="109"/>
      <c r="I568" s="81"/>
      <c r="J568" s="107"/>
      <c r="K568" s="74"/>
      <c r="L568" s="80"/>
      <c r="M568" s="109"/>
    </row>
    <row r="569" spans="3:13">
      <c r="C569" s="114"/>
      <c r="D569" s="107"/>
      <c r="E569" s="74"/>
      <c r="F569" s="80"/>
      <c r="G569" s="109"/>
      <c r="H569" s="179"/>
      <c r="I569" s="133" t="s">
        <v>84</v>
      </c>
      <c r="J569" s="119">
        <f>SUM(J557:J567)</f>
        <v>12300.395</v>
      </c>
      <c r="K569" s="120">
        <f>SUM(K557:K567)</f>
        <v>3279.2853070000006</v>
      </c>
      <c r="L569" s="121">
        <f>+J569/J574</f>
        <v>2.7468457520427645</v>
      </c>
      <c r="M569" s="122">
        <f>+K569/K574</f>
        <v>2.7504566290877035</v>
      </c>
    </row>
    <row r="570" spans="3:13">
      <c r="C570" s="133" t="s">
        <v>84</v>
      </c>
      <c r="D570" s="119">
        <f>+D564+D566+D567+D568</f>
        <v>12759.381000000001</v>
      </c>
      <c r="E570" s="120">
        <f>+E564+E566+E567+E568</f>
        <v>3401.6509746000006</v>
      </c>
      <c r="F570" s="121">
        <f>+D570/D575</f>
        <v>2.8493435778725122</v>
      </c>
      <c r="G570" s="122">
        <f>+E570/E575</f>
        <v>2.8530891938434251</v>
      </c>
      <c r="I570" s="134" t="s">
        <v>85</v>
      </c>
      <c r="J570" s="181">
        <f>D571</f>
        <v>2379.2139999999999</v>
      </c>
      <c r="K570" s="74">
        <f>J570*$J$551</f>
        <v>634.29845239999997</v>
      </c>
      <c r="L570" s="124"/>
      <c r="M570" s="125"/>
    </row>
    <row r="571" spans="3:13">
      <c r="C571" s="134" t="s">
        <v>25</v>
      </c>
      <c r="D571" s="123">
        <f>Model!$AK$109</f>
        <v>2379.2139999999999</v>
      </c>
      <c r="E571" s="74">
        <f>D571*J551</f>
        <v>634.29845239999997</v>
      </c>
      <c r="F571" s="124"/>
      <c r="G571" s="125"/>
      <c r="I571" s="133" t="s">
        <v>26</v>
      </c>
      <c r="J571" s="119">
        <f>J569-J570</f>
        <v>9921.1810000000005</v>
      </c>
      <c r="K571" s="120">
        <f>K569-K570</f>
        <v>2644.9868546000007</v>
      </c>
      <c r="L571" s="121">
        <f>+J571/J574</f>
        <v>2.2155348576283433</v>
      </c>
      <c r="M571" s="122">
        <f>+K571/K574</f>
        <v>2.2184472978167755</v>
      </c>
    </row>
    <row r="572" spans="3:13">
      <c r="C572" s="133" t="s">
        <v>26</v>
      </c>
      <c r="D572" s="119">
        <f>+D570-D571</f>
        <v>10380.167000000001</v>
      </c>
      <c r="E572" s="120">
        <f>+E570-E571</f>
        <v>2767.3525222000007</v>
      </c>
      <c r="F572" s="121">
        <f>+D572/D575</f>
        <v>2.3180326834580911</v>
      </c>
      <c r="G572" s="122">
        <f>+E572/E575</f>
        <v>2.3210798625724967</v>
      </c>
      <c r="I572" s="135" t="s">
        <v>27</v>
      </c>
      <c r="J572" s="126">
        <f>D573</f>
        <v>17505.706999999999</v>
      </c>
      <c r="K572" s="74">
        <f>J572*$J$551</f>
        <v>4667.0214861999993</v>
      </c>
      <c r="L572" s="115"/>
      <c r="M572" s="111"/>
    </row>
    <row r="573" spans="3:13">
      <c r="C573" s="135" t="s">
        <v>27</v>
      </c>
      <c r="D573" s="126">
        <f>Model!$AK$116</f>
        <v>17505.706999999999</v>
      </c>
      <c r="E573" s="74">
        <f>D573*J551</f>
        <v>4667.0214861999993</v>
      </c>
      <c r="F573" s="115"/>
      <c r="G573" s="111"/>
      <c r="I573" s="133" t="s">
        <v>28</v>
      </c>
      <c r="J573" s="119">
        <f>J569+J572</f>
        <v>29806.101999999999</v>
      </c>
      <c r="K573" s="120">
        <f>K569+K572</f>
        <v>7946.3067931999994</v>
      </c>
      <c r="L573" s="121">
        <f>J573/J574</f>
        <v>6.6561085772979922</v>
      </c>
      <c r="M573" s="122">
        <f>K573/K574</f>
        <v>6.6648583913902151</v>
      </c>
    </row>
    <row r="574" spans="3:13">
      <c r="C574" s="133" t="s">
        <v>28</v>
      </c>
      <c r="D574" s="119">
        <f>D570+D573</f>
        <v>30265.088</v>
      </c>
      <c r="E574" s="120">
        <f>E570+E573</f>
        <v>8068.6724608000004</v>
      </c>
      <c r="F574" s="121">
        <f>D574/D575</f>
        <v>6.7586064031277404</v>
      </c>
      <c r="G574" s="122">
        <f>E574/E575</f>
        <v>6.7674909561459371</v>
      </c>
      <c r="I574" s="136" t="s">
        <v>29</v>
      </c>
      <c r="J574" s="127">
        <f>D575</f>
        <v>4478.0071800000005</v>
      </c>
      <c r="K574" s="128">
        <f>J574*$J$602</f>
        <v>1192.2694116750001</v>
      </c>
      <c r="L574" s="129"/>
      <c r="M574" s="130"/>
    </row>
    <row r="575" spans="3:13">
      <c r="C575" s="136" t="s">
        <v>29</v>
      </c>
      <c r="D575" s="127">
        <f>Model!$AK$82</f>
        <v>4478.0071800000005</v>
      </c>
      <c r="E575" s="128">
        <f>D575*J552</f>
        <v>1192.2694116750001</v>
      </c>
      <c r="F575" s="129"/>
      <c r="G575" s="130"/>
    </row>
    <row r="577" spans="3:8">
      <c r="C577" s="82" t="s">
        <v>30</v>
      </c>
      <c r="D577" s="83">
        <f>D570-Model!$AK$112</f>
        <v>0</v>
      </c>
      <c r="E577" s="83"/>
    </row>
    <row r="578" spans="3:8" ht="13.5" thickBot="1">
      <c r="D578" s="105"/>
      <c r="E578" s="105"/>
      <c r="H578" s="179"/>
    </row>
    <row r="579" spans="3:8">
      <c r="C579" s="55" t="s">
        <v>126</v>
      </c>
      <c r="D579" s="102" t="s">
        <v>87</v>
      </c>
      <c r="E579" s="103" t="s">
        <v>88</v>
      </c>
    </row>
    <row r="580" spans="3:8">
      <c r="C580" s="56"/>
      <c r="D580" s="85"/>
      <c r="E580" s="69"/>
    </row>
    <row r="581" spans="3:8">
      <c r="C581" s="56" t="s">
        <v>32</v>
      </c>
      <c r="D581" s="98">
        <f>D571</f>
        <v>2379.2139999999999</v>
      </c>
      <c r="E581" s="99">
        <f>E571</f>
        <v>634.29845239999997</v>
      </c>
    </row>
    <row r="582" spans="3:8">
      <c r="C582" s="56"/>
      <c r="D582" s="98"/>
      <c r="E582" s="99"/>
    </row>
    <row r="583" spans="3:8" ht="13.5" thickBot="1">
      <c r="C583" s="95" t="s">
        <v>33</v>
      </c>
      <c r="D583" s="101">
        <f>SUM(D581:D582)</f>
        <v>2379.2139999999999</v>
      </c>
      <c r="E583" s="101">
        <f>SUM(E581:E582)</f>
        <v>634.29845239999997</v>
      </c>
    </row>
    <row r="585" spans="3:8" ht="13.5" thickBot="1"/>
    <row r="586" spans="3:8">
      <c r="C586" s="88" t="s">
        <v>127</v>
      </c>
      <c r="D586" s="102" t="s">
        <v>87</v>
      </c>
      <c r="E586" s="89" t="s">
        <v>88</v>
      </c>
    </row>
    <row r="587" spans="3:8">
      <c r="C587" s="90"/>
      <c r="D587" s="104"/>
      <c r="E587" s="100"/>
    </row>
    <row r="588" spans="3:8">
      <c r="C588" s="90" t="s">
        <v>35</v>
      </c>
      <c r="D588" s="94">
        <v>3500</v>
      </c>
      <c r="E588" s="100">
        <f>D588*J551</f>
        <v>933.1</v>
      </c>
      <c r="G588" s="180"/>
    </row>
    <row r="589" spans="3:8">
      <c r="C589" s="90" t="s">
        <v>36</v>
      </c>
      <c r="D589" s="94">
        <v>1500</v>
      </c>
      <c r="E589" s="100">
        <f>D589*J551</f>
        <v>399.9</v>
      </c>
      <c r="G589" s="180"/>
    </row>
    <row r="590" spans="3:8">
      <c r="C590" s="90" t="s">
        <v>37</v>
      </c>
      <c r="D590" s="94">
        <v>1500</v>
      </c>
      <c r="E590" s="100">
        <f>D590*J551</f>
        <v>399.9</v>
      </c>
      <c r="G590" s="180"/>
    </row>
    <row r="591" spans="3:8">
      <c r="C591" s="90" t="s">
        <v>38</v>
      </c>
      <c r="D591" s="94">
        <v>800</v>
      </c>
      <c r="E591" s="100">
        <f>D591*J551</f>
        <v>213.28</v>
      </c>
      <c r="G591" s="180"/>
    </row>
    <row r="592" spans="3:8">
      <c r="C592" s="90" t="s">
        <v>39</v>
      </c>
      <c r="D592" s="94">
        <v>100</v>
      </c>
      <c r="E592" s="100">
        <f>D592*J551</f>
        <v>26.66</v>
      </c>
      <c r="G592" s="180"/>
    </row>
    <row r="593" spans="2:13">
      <c r="C593" s="90" t="s">
        <v>40</v>
      </c>
      <c r="D593" s="94">
        <v>4800</v>
      </c>
      <c r="E593" s="100">
        <f>D593*J551</f>
        <v>1279.68</v>
      </c>
      <c r="G593" s="180"/>
    </row>
    <row r="594" spans="2:13" ht="13.5" thickBot="1">
      <c r="C594" s="90"/>
      <c r="D594" s="94"/>
      <c r="E594" s="100"/>
    </row>
    <row r="595" spans="2:13" ht="13.5" thickBot="1">
      <c r="C595" s="91" t="s">
        <v>41</v>
      </c>
      <c r="D595" s="106">
        <f>SUM(D587:D594)</f>
        <v>12200</v>
      </c>
      <c r="E595" s="106">
        <f>SUM(E587:E594)</f>
        <v>3252.5200000000004</v>
      </c>
    </row>
    <row r="596" spans="2:13">
      <c r="C596" s="90" t="s">
        <v>42</v>
      </c>
      <c r="D596" s="104">
        <f>D558</f>
        <v>458.98599999999999</v>
      </c>
      <c r="E596" s="100">
        <f>D596*J551</f>
        <v>122.36566759999999</v>
      </c>
    </row>
    <row r="597" spans="2:13" ht="13.5" thickBot="1">
      <c r="C597" s="90" t="s">
        <v>43</v>
      </c>
      <c r="D597" s="104">
        <f>D568</f>
        <v>63.052999999999997</v>
      </c>
      <c r="E597" s="100">
        <f>D597*J551</f>
        <v>16.809929799999999</v>
      </c>
    </row>
    <row r="598" spans="2:13" ht="13.5" thickBot="1">
      <c r="C598" s="91" t="s">
        <v>44</v>
      </c>
      <c r="D598" s="106">
        <f>+D595+D596+D597</f>
        <v>12722.039000000001</v>
      </c>
      <c r="E598" s="106">
        <f>+E595+E596+E597</f>
        <v>3391.6955974000007</v>
      </c>
    </row>
    <row r="599" spans="2:13">
      <c r="C599" s="178"/>
      <c r="D599" s="116"/>
      <c r="E599" s="116"/>
    </row>
    <row r="601" spans="2:13">
      <c r="B601" s="50" t="s">
        <v>128</v>
      </c>
      <c r="I601" s="50" t="s">
        <v>129</v>
      </c>
      <c r="J601" s="165">
        <f>Model!AJ203</f>
        <v>0.2666</v>
      </c>
    </row>
    <row r="602" spans="2:13">
      <c r="B602" s="50"/>
      <c r="I602" s="50" t="s">
        <v>130</v>
      </c>
      <c r="J602" s="165">
        <f>Model!AJ205</f>
        <v>0.26624999999999999</v>
      </c>
    </row>
    <row r="603" spans="2:13">
      <c r="B603" s="50"/>
    </row>
    <row r="604" spans="2:13">
      <c r="C604" s="112" t="s">
        <v>131</v>
      </c>
      <c r="D604" s="371"/>
      <c r="E604" s="372"/>
      <c r="F604" s="79" t="s">
        <v>6</v>
      </c>
      <c r="G604" s="108" t="s">
        <v>7</v>
      </c>
      <c r="I604" s="142" t="s">
        <v>67</v>
      </c>
      <c r="J604" s="153"/>
      <c r="K604" s="154"/>
      <c r="L604" s="154"/>
      <c r="M604" s="155"/>
    </row>
    <row r="605" spans="2:13">
      <c r="C605" s="113"/>
      <c r="D605" s="131" t="s">
        <v>4</v>
      </c>
      <c r="E605" s="132" t="s">
        <v>5</v>
      </c>
      <c r="F605" s="80"/>
      <c r="G605" s="109"/>
      <c r="I605" s="112" t="s">
        <v>131</v>
      </c>
      <c r="J605" s="156"/>
      <c r="K605" s="157"/>
      <c r="L605" s="79" t="s">
        <v>6</v>
      </c>
      <c r="M605" s="108" t="s">
        <v>7</v>
      </c>
    </row>
    <row r="606" spans="2:13">
      <c r="C606" s="113"/>
      <c r="D606" s="131"/>
      <c r="E606" s="132"/>
      <c r="F606" s="80"/>
      <c r="G606" s="109"/>
      <c r="I606" s="139"/>
      <c r="J606" s="131" t="s">
        <v>4</v>
      </c>
      <c r="K606" s="132" t="s">
        <v>5</v>
      </c>
      <c r="L606" s="80"/>
      <c r="M606" s="140"/>
    </row>
    <row r="607" spans="2:13">
      <c r="C607" s="113" t="s">
        <v>77</v>
      </c>
      <c r="D607" s="131"/>
      <c r="E607" s="132"/>
      <c r="F607" s="80"/>
      <c r="G607" s="109"/>
      <c r="I607" s="114"/>
      <c r="J607" s="107"/>
      <c r="K607" s="74"/>
      <c r="L607" s="80"/>
      <c r="M607" s="110"/>
    </row>
    <row r="608" spans="2:13">
      <c r="C608" s="114" t="s">
        <v>78</v>
      </c>
      <c r="D608" s="107">
        <f>376.249+66.765</f>
        <v>443.01400000000001</v>
      </c>
      <c r="E608" s="74">
        <f t="shared" ref="E608:E613" si="8">D608*$J$601</f>
        <v>118.10753240000001</v>
      </c>
      <c r="F608" s="80"/>
      <c r="G608" s="109"/>
      <c r="I608" s="114" t="s">
        <v>13</v>
      </c>
      <c r="J608" s="146">
        <f>D609</f>
        <v>5896.1439999999993</v>
      </c>
      <c r="K608" s="74">
        <f>J608*$J$601</f>
        <v>1571.9119903999999</v>
      </c>
      <c r="L608" s="87"/>
      <c r="M608" s="109"/>
    </row>
    <row r="609" spans="3:13">
      <c r="C609" s="114" t="s">
        <v>13</v>
      </c>
      <c r="D609" s="107">
        <f>5381.494+514.65</f>
        <v>5896.1439999999993</v>
      </c>
      <c r="E609" s="74">
        <f t="shared" si="8"/>
        <v>1571.9119903999999</v>
      </c>
      <c r="F609" s="87"/>
      <c r="G609" s="110"/>
      <c r="I609" s="114" t="s">
        <v>79</v>
      </c>
      <c r="J609" s="146">
        <f>D610</f>
        <v>1021.588</v>
      </c>
      <c r="K609" s="74">
        <f>J609*$J$601</f>
        <v>272.35536079999997</v>
      </c>
      <c r="L609" s="80"/>
      <c r="M609" s="109"/>
    </row>
    <row r="610" spans="3:13">
      <c r="C610" s="114" t="s">
        <v>79</v>
      </c>
      <c r="D610" s="107">
        <f>749.042+272.546</f>
        <v>1021.588</v>
      </c>
      <c r="E610" s="74">
        <f t="shared" si="8"/>
        <v>272.35536079999997</v>
      </c>
      <c r="F610" s="80"/>
      <c r="G610" s="109"/>
      <c r="I610" s="114" t="s">
        <v>15</v>
      </c>
      <c r="J610" s="146">
        <f>D611</f>
        <v>340.10300000000001</v>
      </c>
      <c r="K610" s="74">
        <f>J610*$J$601</f>
        <v>90.671459800000008</v>
      </c>
      <c r="L610" s="80"/>
      <c r="M610" s="109"/>
    </row>
    <row r="611" spans="3:13">
      <c r="C611" s="114" t="s">
        <v>15</v>
      </c>
      <c r="D611" s="107">
        <f>67.473+272.63</f>
        <v>340.10300000000001</v>
      </c>
      <c r="E611" s="74">
        <f t="shared" si="8"/>
        <v>90.671459800000008</v>
      </c>
      <c r="F611" s="80"/>
      <c r="G611" s="109"/>
      <c r="I611" s="114" t="s">
        <v>80</v>
      </c>
      <c r="J611" s="146">
        <f>D612</f>
        <v>352.52199999999999</v>
      </c>
      <c r="K611" s="74">
        <f>J611*$J$601</f>
        <v>93.982365200000004</v>
      </c>
      <c r="L611" s="80"/>
      <c r="M611" s="109"/>
    </row>
    <row r="612" spans="3:13">
      <c r="C612" s="114" t="s">
        <v>80</v>
      </c>
      <c r="D612" s="107">
        <f>256.346+96.176</f>
        <v>352.52199999999999</v>
      </c>
      <c r="E612" s="74">
        <f t="shared" si="8"/>
        <v>93.982365200000004</v>
      </c>
      <c r="F612" s="80"/>
      <c r="G612" s="109"/>
      <c r="I612" s="114" t="s">
        <v>81</v>
      </c>
      <c r="J612" s="146">
        <f>D613</f>
        <v>604.65100000000007</v>
      </c>
      <c r="K612" s="74">
        <f>J612*$J$601</f>
        <v>161.19995660000001</v>
      </c>
      <c r="L612" s="87"/>
      <c r="M612" s="109"/>
    </row>
    <row r="613" spans="3:13">
      <c r="C613" s="114" t="s">
        <v>81</v>
      </c>
      <c r="D613" s="107">
        <f>75.695+528.956</f>
        <v>604.65100000000007</v>
      </c>
      <c r="E613" s="74">
        <f t="shared" si="8"/>
        <v>161.19995660000001</v>
      </c>
      <c r="F613" s="87"/>
      <c r="G613" s="110"/>
      <c r="I613" s="147"/>
      <c r="J613" s="158"/>
      <c r="K613" s="159"/>
      <c r="L613" s="80"/>
      <c r="M613" s="109"/>
    </row>
    <row r="614" spans="3:13">
      <c r="C614" s="113" t="s">
        <v>82</v>
      </c>
      <c r="D614" s="160">
        <f>SUM(D608:D613)</f>
        <v>8658.021999999999</v>
      </c>
      <c r="E614" s="159">
        <f>SUM(E608:E613)</f>
        <v>2308.2286651999998</v>
      </c>
      <c r="F614" s="161">
        <f>D614/D625</f>
        <v>1.986656448667004</v>
      </c>
      <c r="G614" s="161">
        <f>E614/E625</f>
        <v>1.9892680158295712</v>
      </c>
      <c r="I614" s="147"/>
      <c r="J614" s="107"/>
      <c r="K614" s="74"/>
      <c r="L614" s="80"/>
      <c r="M614" s="109"/>
    </row>
    <row r="615" spans="3:13">
      <c r="C615" s="114"/>
      <c r="D615" s="107"/>
      <c r="E615" s="74"/>
      <c r="F615" s="80"/>
      <c r="G615" s="109"/>
      <c r="I615" s="114" t="s">
        <v>83</v>
      </c>
      <c r="J615" s="146">
        <f>D616</f>
        <v>0</v>
      </c>
      <c r="K615" s="74">
        <f>J615*$J$601</f>
        <v>0</v>
      </c>
      <c r="L615" s="80"/>
      <c r="M615" s="109"/>
    </row>
    <row r="616" spans="3:13">
      <c r="C616" s="114" t="s">
        <v>83</v>
      </c>
      <c r="D616" s="107">
        <v>0</v>
      </c>
      <c r="E616" s="74">
        <f>D616*$J$601</f>
        <v>0</v>
      </c>
      <c r="F616" s="80"/>
      <c r="G616" s="109"/>
      <c r="I616" s="114" t="s">
        <v>18</v>
      </c>
      <c r="J616" s="146">
        <f>D617</f>
        <v>1899.9380000000001</v>
      </c>
      <c r="K616" s="74">
        <f>J616*$J$601</f>
        <v>506.52347080000004</v>
      </c>
      <c r="L616" s="80"/>
      <c r="M616" s="109"/>
    </row>
    <row r="617" spans="3:13">
      <c r="C617" s="114" t="s">
        <v>18</v>
      </c>
      <c r="D617" s="107">
        <f>0+1899.938</f>
        <v>1899.9380000000001</v>
      </c>
      <c r="E617" s="74">
        <f>D617*$J$601</f>
        <v>506.52347080000004</v>
      </c>
      <c r="F617" s="80"/>
      <c r="G617" s="109"/>
      <c r="I617" s="114" t="s">
        <v>43</v>
      </c>
      <c r="J617" s="146">
        <f>D618</f>
        <v>58.578000000000003</v>
      </c>
      <c r="K617" s="74">
        <f>J617*$J$601</f>
        <v>15.616894800000001</v>
      </c>
      <c r="L617" s="80"/>
      <c r="M617" s="109"/>
    </row>
    <row r="618" spans="3:13">
      <c r="C618" s="114" t="s">
        <v>43</v>
      </c>
      <c r="D618" s="107">
        <f>Model!AJ102</f>
        <v>58.578000000000003</v>
      </c>
      <c r="E618" s="74">
        <f>D618*$J$601</f>
        <v>15.616894800000001</v>
      </c>
      <c r="F618" s="80"/>
      <c r="G618" s="109"/>
      <c r="I618" s="81"/>
      <c r="J618" s="107"/>
      <c r="K618" s="74"/>
      <c r="L618" s="80"/>
      <c r="M618" s="109"/>
    </row>
    <row r="619" spans="3:13">
      <c r="C619" s="114"/>
      <c r="D619" s="107"/>
      <c r="E619" s="74"/>
      <c r="F619" s="80"/>
      <c r="G619" s="109"/>
      <c r="I619" s="133" t="s">
        <v>84</v>
      </c>
      <c r="J619" s="119">
        <f>SUM(J607:J617)</f>
        <v>10173.523999999999</v>
      </c>
      <c r="K619" s="120">
        <f>SUM(K607:K617)</f>
        <v>2712.2614983999997</v>
      </c>
      <c r="L619" s="121">
        <f>+J619/J624</f>
        <v>2.3344012131487464</v>
      </c>
      <c r="M619" s="122">
        <f>+K619/K624</f>
        <v>2.3374699095791769</v>
      </c>
    </row>
    <row r="620" spans="3:13">
      <c r="C620" s="133" t="s">
        <v>84</v>
      </c>
      <c r="D620" s="119">
        <f>+D614+D616+D617+D618</f>
        <v>10616.537999999999</v>
      </c>
      <c r="E620" s="120">
        <f>+E614+E616+E617+E618</f>
        <v>2830.3690308</v>
      </c>
      <c r="F620" s="121">
        <f>+D620/D625</f>
        <v>2.4360545261051887</v>
      </c>
      <c r="G620" s="122">
        <f>+E620/E625</f>
        <v>2.4392568513038251</v>
      </c>
      <c r="I620" s="134" t="s">
        <v>25</v>
      </c>
      <c r="J620" s="123">
        <f>D621</f>
        <v>782.93399999999997</v>
      </c>
      <c r="K620" s="74">
        <f>J620*$J$601</f>
        <v>208.73020439999999</v>
      </c>
      <c r="L620" s="124"/>
      <c r="M620" s="125"/>
    </row>
    <row r="621" spans="3:13">
      <c r="C621" s="134" t="s">
        <v>25</v>
      </c>
      <c r="D621" s="123">
        <f>Model!AJ109</f>
        <v>782.93399999999997</v>
      </c>
      <c r="E621" s="74">
        <f>D621*$J$601</f>
        <v>208.73020439999999</v>
      </c>
      <c r="F621" s="124"/>
      <c r="G621" s="125"/>
      <c r="I621" s="133" t="s">
        <v>26</v>
      </c>
      <c r="J621" s="119">
        <f>J619-J620</f>
        <v>9390.59</v>
      </c>
      <c r="K621" s="120">
        <f>K619-K620</f>
        <v>2503.5312939999999</v>
      </c>
      <c r="L621" s="121">
        <f>+J621/J624</f>
        <v>2.1547503783529174</v>
      </c>
      <c r="M621" s="122">
        <f>+K621/K624</f>
        <v>2.1575829140615506</v>
      </c>
    </row>
    <row r="622" spans="3:13">
      <c r="C622" s="133" t="s">
        <v>26</v>
      </c>
      <c r="D622" s="119">
        <f>+D620-D621</f>
        <v>9833.6039999999994</v>
      </c>
      <c r="E622" s="120">
        <f>+E620-E621</f>
        <v>2621.6388264000002</v>
      </c>
      <c r="F622" s="121">
        <f>+D622/D625</f>
        <v>2.2564036913093597</v>
      </c>
      <c r="G622" s="122">
        <f>+E622/E625</f>
        <v>2.2593698557861992</v>
      </c>
      <c r="I622" s="135" t="s">
        <v>27</v>
      </c>
      <c r="J622" s="126">
        <f>D623</f>
        <v>16830.807000000001</v>
      </c>
      <c r="K622" s="74">
        <f>J622*$J$601</f>
        <v>4487.0931461999999</v>
      </c>
      <c r="L622" s="115"/>
      <c r="M622" s="111"/>
    </row>
    <row r="623" spans="3:13">
      <c r="C623" s="135" t="s">
        <v>27</v>
      </c>
      <c r="D623" s="126">
        <f>Model!AJ116</f>
        <v>16830.807000000001</v>
      </c>
      <c r="E623" s="74">
        <f>D623*$J$601</f>
        <v>4487.0931461999999</v>
      </c>
      <c r="F623" s="115"/>
      <c r="G623" s="111"/>
      <c r="I623" s="133" t="s">
        <v>28</v>
      </c>
      <c r="J623" s="119">
        <f>J619+J622</f>
        <v>27004.330999999998</v>
      </c>
      <c r="K623" s="120">
        <f>K619+K622</f>
        <v>7199.3546446</v>
      </c>
      <c r="L623" s="121">
        <f>J623/J624</f>
        <v>6.1963723727068709</v>
      </c>
      <c r="M623" s="122">
        <f>K623/K624</f>
        <v>6.204517838736721</v>
      </c>
    </row>
    <row r="624" spans="3:13">
      <c r="C624" s="133" t="s">
        <v>28</v>
      </c>
      <c r="D624" s="119">
        <f>D620+D623</f>
        <v>27447.345000000001</v>
      </c>
      <c r="E624" s="120">
        <f>E620+E623</f>
        <v>7317.4621769999994</v>
      </c>
      <c r="F624" s="121">
        <f>D624/D625</f>
        <v>6.2980256856633137</v>
      </c>
      <c r="G624" s="122">
        <f>E624/E625</f>
        <v>6.3063047804613692</v>
      </c>
      <c r="I624" s="136" t="s">
        <v>29</v>
      </c>
      <c r="J624" s="127">
        <f>D625</f>
        <v>4358.0871800000004</v>
      </c>
      <c r="K624" s="128">
        <f>J624*$J$602</f>
        <v>1160.340711675</v>
      </c>
      <c r="L624" s="129"/>
      <c r="M624" s="130"/>
    </row>
    <row r="625" spans="3:7">
      <c r="C625" s="136" t="s">
        <v>29</v>
      </c>
      <c r="D625" s="127">
        <f>Model!AJ82</f>
        <v>4358.0871800000004</v>
      </c>
      <c r="E625" s="128">
        <f>D625*$J$602</f>
        <v>1160.340711675</v>
      </c>
      <c r="F625" s="129"/>
      <c r="G625" s="130"/>
    </row>
    <row r="627" spans="3:7">
      <c r="C627" s="82" t="s">
        <v>30</v>
      </c>
      <c r="D627" s="83">
        <f>D620-Model!AJ112</f>
        <v>0</v>
      </c>
      <c r="E627" s="83"/>
    </row>
    <row r="628" spans="3:7" ht="13.5" thickBot="1">
      <c r="D628" s="105"/>
      <c r="E628" s="105"/>
    </row>
    <row r="629" spans="3:7">
      <c r="C629" s="55" t="s">
        <v>132</v>
      </c>
      <c r="D629" s="102" t="s">
        <v>87</v>
      </c>
      <c r="E629" s="103" t="s">
        <v>88</v>
      </c>
    </row>
    <row r="630" spans="3:7">
      <c r="C630" s="56"/>
      <c r="D630" s="85"/>
      <c r="E630" s="69"/>
    </row>
    <row r="631" spans="3:7">
      <c r="C631" s="56" t="s">
        <v>32</v>
      </c>
      <c r="D631" s="98">
        <f>D621</f>
        <v>782.93399999999997</v>
      </c>
      <c r="E631" s="99">
        <f>E621</f>
        <v>208.73020439999999</v>
      </c>
    </row>
    <row r="632" spans="3:7">
      <c r="C632" s="56"/>
      <c r="D632" s="98"/>
      <c r="E632" s="99"/>
    </row>
    <row r="633" spans="3:7" ht="13.5" thickBot="1">
      <c r="C633" s="95" t="s">
        <v>33</v>
      </c>
      <c r="D633" s="101">
        <f>SUM(D631:D632)</f>
        <v>782.93399999999997</v>
      </c>
      <c r="E633" s="101">
        <f>SUM(E631:E632)</f>
        <v>208.73020439999999</v>
      </c>
    </row>
    <row r="635" spans="3:7" ht="13.5" thickBot="1"/>
    <row r="636" spans="3:7">
      <c r="C636" s="88" t="s">
        <v>133</v>
      </c>
      <c r="D636" s="102" t="s">
        <v>87</v>
      </c>
      <c r="E636" s="89" t="s">
        <v>88</v>
      </c>
    </row>
    <row r="637" spans="3:7">
      <c r="C637" s="90"/>
      <c r="D637" s="104"/>
      <c r="E637" s="100"/>
    </row>
    <row r="638" spans="3:7">
      <c r="C638" s="90" t="s">
        <v>35</v>
      </c>
      <c r="D638" s="94">
        <v>3600</v>
      </c>
      <c r="E638" s="100">
        <f t="shared" ref="E638:E643" si="9">D638*$J$601</f>
        <v>959.76</v>
      </c>
    </row>
    <row r="639" spans="3:7">
      <c r="C639" s="90" t="s">
        <v>36</v>
      </c>
      <c r="D639" s="94">
        <v>1900</v>
      </c>
      <c r="E639" s="100">
        <f t="shared" si="9"/>
        <v>506.54</v>
      </c>
    </row>
    <row r="640" spans="3:7">
      <c r="C640" s="90" t="s">
        <v>37</v>
      </c>
      <c r="D640" s="94">
        <v>1400</v>
      </c>
      <c r="E640" s="100">
        <f t="shared" si="9"/>
        <v>373.24</v>
      </c>
    </row>
    <row r="641" spans="2:13">
      <c r="C641" s="90" t="s">
        <v>38</v>
      </c>
      <c r="D641" s="94">
        <v>1000</v>
      </c>
      <c r="E641" s="100">
        <f t="shared" si="9"/>
        <v>266.60000000000002</v>
      </c>
    </row>
    <row r="642" spans="2:13">
      <c r="C642" s="90" t="s">
        <v>39</v>
      </c>
      <c r="D642" s="94">
        <v>200</v>
      </c>
      <c r="E642" s="100">
        <f t="shared" si="9"/>
        <v>53.32</v>
      </c>
    </row>
    <row r="643" spans="2:13">
      <c r="C643" s="90" t="s">
        <v>40</v>
      </c>
      <c r="D643" s="94">
        <v>2100</v>
      </c>
      <c r="E643" s="100">
        <f t="shared" si="9"/>
        <v>559.86</v>
      </c>
    </row>
    <row r="644" spans="2:13" ht="13.5" thickBot="1">
      <c r="C644" s="90"/>
      <c r="D644" s="94"/>
      <c r="E644" s="100"/>
    </row>
    <row r="645" spans="2:13" ht="13.5" thickBot="1">
      <c r="C645" s="91" t="s">
        <v>41</v>
      </c>
      <c r="D645" s="106">
        <f>SUM(D637:D644)</f>
        <v>10200</v>
      </c>
      <c r="E645" s="106">
        <f>SUM(E637:E644)</f>
        <v>2719.32</v>
      </c>
    </row>
    <row r="646" spans="2:13">
      <c r="C646" s="90" t="s">
        <v>42</v>
      </c>
      <c r="D646" s="104">
        <f>D608</f>
        <v>443.01400000000001</v>
      </c>
      <c r="E646" s="100">
        <f>D646*$J$601</f>
        <v>118.10753240000001</v>
      </c>
    </row>
    <row r="647" spans="2:13" ht="13.5" thickBot="1">
      <c r="C647" s="90" t="s">
        <v>43</v>
      </c>
      <c r="D647" s="104">
        <f>D618</f>
        <v>58.578000000000003</v>
      </c>
      <c r="E647" s="100">
        <f>D647*$J$601</f>
        <v>15.616894800000001</v>
      </c>
    </row>
    <row r="648" spans="2:13" ht="13.5" thickBot="1">
      <c r="C648" s="91" t="s">
        <v>44</v>
      </c>
      <c r="D648" s="106">
        <f>+D645+D646+D647</f>
        <v>10701.591999999999</v>
      </c>
      <c r="E648" s="106">
        <f>+E645+E646+E647</f>
        <v>2853.0444272</v>
      </c>
    </row>
    <row r="650" spans="2:13">
      <c r="B650" s="50" t="s">
        <v>134</v>
      </c>
      <c r="I650" s="50" t="s">
        <v>135</v>
      </c>
      <c r="J650" s="165">
        <f>Model!AI203</f>
        <v>0.26640000000000003</v>
      </c>
    </row>
    <row r="651" spans="2:13">
      <c r="B651" s="50"/>
      <c r="I651" s="50" t="s">
        <v>136</v>
      </c>
      <c r="J651" s="165">
        <f>Model!AI205</f>
        <v>0.26624999999999999</v>
      </c>
    </row>
    <row r="652" spans="2:13">
      <c r="B652" s="50"/>
    </row>
    <row r="653" spans="2:13">
      <c r="C653" s="112" t="s">
        <v>137</v>
      </c>
      <c r="D653" s="371"/>
      <c r="E653" s="372"/>
      <c r="F653" s="79" t="s">
        <v>6</v>
      </c>
      <c r="G653" s="108" t="s">
        <v>7</v>
      </c>
      <c r="I653" s="142" t="s">
        <v>67</v>
      </c>
      <c r="J653" s="153"/>
      <c r="K653" s="154"/>
      <c r="L653" s="154"/>
      <c r="M653" s="155"/>
    </row>
    <row r="654" spans="2:13">
      <c r="C654" s="113"/>
      <c r="D654" s="131" t="s">
        <v>4</v>
      </c>
      <c r="E654" s="132" t="s">
        <v>5</v>
      </c>
      <c r="F654" s="80"/>
      <c r="G654" s="109"/>
      <c r="I654" s="112" t="s">
        <v>137</v>
      </c>
      <c r="J654" s="156"/>
      <c r="K654" s="157"/>
      <c r="L654" s="79" t="s">
        <v>6</v>
      </c>
      <c r="M654" s="108" t="s">
        <v>7</v>
      </c>
    </row>
    <row r="655" spans="2:13">
      <c r="C655" s="113"/>
      <c r="D655" s="131"/>
      <c r="E655" s="132"/>
      <c r="F655" s="80"/>
      <c r="G655" s="109"/>
      <c r="I655" s="139"/>
      <c r="J655" s="131" t="s">
        <v>4</v>
      </c>
      <c r="K655" s="132" t="s">
        <v>5</v>
      </c>
      <c r="L655" s="80"/>
      <c r="M655" s="140"/>
    </row>
    <row r="656" spans="2:13">
      <c r="C656" s="113" t="s">
        <v>77</v>
      </c>
      <c r="D656" s="131"/>
      <c r="E656" s="132"/>
      <c r="F656" s="80"/>
      <c r="G656" s="109"/>
      <c r="I656" s="114"/>
      <c r="J656" s="107"/>
      <c r="K656" s="74"/>
      <c r="L656" s="80"/>
      <c r="M656" s="110"/>
    </row>
    <row r="657" spans="3:13">
      <c r="C657" s="114" t="s">
        <v>78</v>
      </c>
      <c r="D657" s="107">
        <f>377.492+66.673</f>
        <v>444.16500000000002</v>
      </c>
      <c r="E657" s="74">
        <f t="shared" ref="E657:E662" si="10">D657*$J$650</f>
        <v>118.32555600000002</v>
      </c>
      <c r="F657" s="80"/>
      <c r="G657" s="109"/>
      <c r="I657" s="114" t="s">
        <v>13</v>
      </c>
      <c r="J657" s="146">
        <f>D658</f>
        <v>5365.5740000000005</v>
      </c>
      <c r="K657" s="74">
        <f>J657*$J$650</f>
        <v>1429.3889136000003</v>
      </c>
      <c r="L657" s="87"/>
      <c r="M657" s="109"/>
    </row>
    <row r="658" spans="3:13">
      <c r="C658" s="114" t="s">
        <v>13</v>
      </c>
      <c r="D658" s="107">
        <f>4855.265+510.309</f>
        <v>5365.5740000000005</v>
      </c>
      <c r="E658" s="74">
        <f t="shared" si="10"/>
        <v>1429.3889136000003</v>
      </c>
      <c r="F658" s="87"/>
      <c r="G658" s="110"/>
      <c r="I658" s="114" t="s">
        <v>79</v>
      </c>
      <c r="J658" s="146">
        <f>D659</f>
        <v>1169.213</v>
      </c>
      <c r="K658" s="74">
        <f>J658*$J$650</f>
        <v>311.47834320000004</v>
      </c>
      <c r="L658" s="80"/>
      <c r="M658" s="109"/>
    </row>
    <row r="659" spans="3:13">
      <c r="C659" s="114" t="s">
        <v>79</v>
      </c>
      <c r="D659" s="107">
        <f>882.994+286.219</f>
        <v>1169.213</v>
      </c>
      <c r="E659" s="74">
        <f t="shared" si="10"/>
        <v>311.47834320000004</v>
      </c>
      <c r="F659" s="80"/>
      <c r="G659" s="109"/>
      <c r="I659" s="114" t="s">
        <v>15</v>
      </c>
      <c r="J659" s="146">
        <f>D660</f>
        <v>185.423</v>
      </c>
      <c r="K659" s="74">
        <f>J659*$J$650</f>
        <v>49.396687200000002</v>
      </c>
      <c r="L659" s="80"/>
      <c r="M659" s="109"/>
    </row>
    <row r="660" spans="3:13">
      <c r="C660" s="114" t="s">
        <v>15</v>
      </c>
      <c r="D660" s="107">
        <f>64.825+120.598</f>
        <v>185.423</v>
      </c>
      <c r="E660" s="74">
        <f t="shared" si="10"/>
        <v>49.396687200000002</v>
      </c>
      <c r="F660" s="80"/>
      <c r="G660" s="109"/>
      <c r="I660" s="114" t="s">
        <v>80</v>
      </c>
      <c r="J660" s="146">
        <f>D661</f>
        <v>349.161</v>
      </c>
      <c r="K660" s="74">
        <f>J660*$J$650</f>
        <v>93.016490400000009</v>
      </c>
      <c r="L660" s="80"/>
      <c r="M660" s="109"/>
    </row>
    <row r="661" spans="3:13">
      <c r="C661" s="114" t="s">
        <v>80</v>
      </c>
      <c r="D661" s="107">
        <f>255.936+93.225</f>
        <v>349.161</v>
      </c>
      <c r="E661" s="74">
        <f t="shared" si="10"/>
        <v>93.016490400000009</v>
      </c>
      <c r="F661" s="80"/>
      <c r="G661" s="109"/>
      <c r="I661" s="114" t="s">
        <v>81</v>
      </c>
      <c r="J661" s="146">
        <f>D662</f>
        <v>603.86699999999996</v>
      </c>
      <c r="K661" s="74">
        <f>J661*$J$650</f>
        <v>160.87016880000002</v>
      </c>
      <c r="L661" s="87"/>
      <c r="M661" s="109"/>
    </row>
    <row r="662" spans="3:13">
      <c r="C662" s="114" t="s">
        <v>81</v>
      </c>
      <c r="D662" s="107">
        <f>75.516+528.351</f>
        <v>603.86699999999996</v>
      </c>
      <c r="E662" s="74">
        <f t="shared" si="10"/>
        <v>160.87016880000002</v>
      </c>
      <c r="F662" s="87"/>
      <c r="G662" s="110"/>
      <c r="I662" s="147"/>
      <c r="J662" s="158"/>
      <c r="K662" s="159"/>
      <c r="L662" s="80"/>
      <c r="M662" s="109"/>
    </row>
    <row r="663" spans="3:13">
      <c r="C663" s="113" t="s">
        <v>82</v>
      </c>
      <c r="D663" s="160">
        <f>SUM(D657:D662)</f>
        <v>8117.4030000000002</v>
      </c>
      <c r="E663" s="159">
        <f>SUM(E657:E662)</f>
        <v>2162.4761592000004</v>
      </c>
      <c r="F663" s="161">
        <f>D663/D674</f>
        <v>1.9162502222156814</v>
      </c>
      <c r="G663" s="161">
        <f>E663/E674</f>
        <v>1.9173297998056624</v>
      </c>
      <c r="I663" s="147"/>
      <c r="J663" s="107"/>
      <c r="K663" s="74"/>
      <c r="L663" s="80"/>
      <c r="M663" s="109"/>
    </row>
    <row r="664" spans="3:13">
      <c r="C664" s="114"/>
      <c r="D664" s="107"/>
      <c r="E664" s="74"/>
      <c r="F664" s="80"/>
      <c r="G664" s="109"/>
      <c r="I664" s="114" t="s">
        <v>83</v>
      </c>
      <c r="J664" s="146">
        <f>D665</f>
        <v>0</v>
      </c>
      <c r="K664" s="74">
        <f>J664*$J$650</f>
        <v>0</v>
      </c>
      <c r="L664" s="80"/>
      <c r="M664" s="109"/>
    </row>
    <row r="665" spans="3:13">
      <c r="C665" s="114" t="s">
        <v>83</v>
      </c>
      <c r="D665" s="107">
        <v>0</v>
      </c>
      <c r="E665" s="74">
        <f>D665*$J$650</f>
        <v>0</v>
      </c>
      <c r="F665" s="80"/>
      <c r="G665" s="109"/>
      <c r="I665" s="114" t="s">
        <v>18</v>
      </c>
      <c r="J665" s="146">
        <f>D666</f>
        <v>1879.24</v>
      </c>
      <c r="K665" s="74">
        <f>J665*$J$650</f>
        <v>500.62953600000003</v>
      </c>
      <c r="L665" s="80"/>
      <c r="M665" s="109"/>
    </row>
    <row r="666" spans="3:13">
      <c r="C666" s="114" t="s">
        <v>18</v>
      </c>
      <c r="D666" s="107">
        <f>0+1879.24</f>
        <v>1879.24</v>
      </c>
      <c r="E666" s="74">
        <f>D666*$J$650</f>
        <v>500.62953600000003</v>
      </c>
      <c r="F666" s="80"/>
      <c r="G666" s="109"/>
      <c r="I666" s="114" t="s">
        <v>43</v>
      </c>
      <c r="J666" s="146">
        <f>D667</f>
        <v>72.057000000000002</v>
      </c>
      <c r="K666" s="74">
        <f>J666*$J$650</f>
        <v>19.195984800000002</v>
      </c>
      <c r="L666" s="80"/>
      <c r="M666" s="109"/>
    </row>
    <row r="667" spans="3:13">
      <c r="C667" s="114" t="s">
        <v>43</v>
      </c>
      <c r="D667" s="107">
        <f>Model!AI102</f>
        <v>72.057000000000002</v>
      </c>
      <c r="E667" s="74">
        <f>D667*$J$650</f>
        <v>19.195984800000002</v>
      </c>
      <c r="F667" s="80"/>
      <c r="G667" s="109"/>
      <c r="I667" s="81"/>
      <c r="J667" s="107"/>
      <c r="K667" s="74"/>
      <c r="L667" s="80"/>
      <c r="M667" s="109"/>
    </row>
    <row r="668" spans="3:13">
      <c r="C668" s="114"/>
      <c r="D668" s="107"/>
      <c r="E668" s="74"/>
      <c r="F668" s="80"/>
      <c r="G668" s="109"/>
      <c r="I668" s="133" t="s">
        <v>84</v>
      </c>
      <c r="J668" s="119">
        <f>SUM(J656:J666)</f>
        <v>9624.5350000000017</v>
      </c>
      <c r="K668" s="120">
        <f>SUM(K656:K666)</f>
        <v>2563.9761240000007</v>
      </c>
      <c r="L668" s="121">
        <f>+J668/J673</f>
        <v>2.2720342124781294</v>
      </c>
      <c r="M668" s="122">
        <f>+K668/K673</f>
        <v>2.2733142317527655</v>
      </c>
    </row>
    <row r="669" spans="3:13">
      <c r="C669" s="133" t="s">
        <v>84</v>
      </c>
      <c r="D669" s="119">
        <f>+D663+D665+D666+D667</f>
        <v>10068.700000000001</v>
      </c>
      <c r="E669" s="120">
        <f>+E663+E665+E666+E667</f>
        <v>2682.3016800000005</v>
      </c>
      <c r="F669" s="121">
        <f>+D669/D674</f>
        <v>2.3768868703972235</v>
      </c>
      <c r="G669" s="122">
        <f>+E669/E674</f>
        <v>2.3782259615918138</v>
      </c>
      <c r="I669" s="134" t="s">
        <v>25</v>
      </c>
      <c r="J669" s="123">
        <f>D670</f>
        <v>454.76499999999999</v>
      </c>
      <c r="K669" s="74">
        <f>J669*$J$650</f>
        <v>121.14939600000001</v>
      </c>
      <c r="L669" s="124"/>
      <c r="M669" s="125"/>
    </row>
    <row r="670" spans="3:13">
      <c r="C670" s="134" t="s">
        <v>25</v>
      </c>
      <c r="D670" s="123">
        <f>Model!AI109</f>
        <v>454.76499999999999</v>
      </c>
      <c r="E670" s="74">
        <f>D670*$J$650</f>
        <v>121.14939600000001</v>
      </c>
      <c r="F670" s="124"/>
      <c r="G670" s="125"/>
      <c r="I670" s="133" t="s">
        <v>26</v>
      </c>
      <c r="J670" s="119">
        <f>J668-J669</f>
        <v>9169.7700000000023</v>
      </c>
      <c r="K670" s="120">
        <f>K668-K669</f>
        <v>2442.8267280000009</v>
      </c>
      <c r="L670" s="121">
        <f>+J670/J673</f>
        <v>2.1646792453407442</v>
      </c>
      <c r="M670" s="122">
        <f>+K670/K673</f>
        <v>2.1658987829437533</v>
      </c>
    </row>
    <row r="671" spans="3:13">
      <c r="C671" s="133" t="s">
        <v>26</v>
      </c>
      <c r="D671" s="119">
        <f>+D669-D670</f>
        <v>9613.9350000000013</v>
      </c>
      <c r="E671" s="120">
        <f>+E669-E670</f>
        <v>2561.1522840000007</v>
      </c>
      <c r="F671" s="121">
        <f>+D671/D674</f>
        <v>2.2695319032598382</v>
      </c>
      <c r="G671" s="122">
        <f>+E671/E674</f>
        <v>2.2708105127828015</v>
      </c>
      <c r="I671" s="135" t="s">
        <v>27</v>
      </c>
      <c r="J671" s="126">
        <f>D672</f>
        <v>17251.499</v>
      </c>
      <c r="K671" s="74">
        <f>J671*$J$650</f>
        <v>4595.7993336</v>
      </c>
      <c r="L671" s="115"/>
      <c r="M671" s="111"/>
    </row>
    <row r="672" spans="3:13">
      <c r="C672" s="135" t="s">
        <v>27</v>
      </c>
      <c r="D672" s="126">
        <f>Model!AI116</f>
        <v>17251.499</v>
      </c>
      <c r="E672" s="74">
        <f>D672*$J$650</f>
        <v>4595.7993336</v>
      </c>
      <c r="F672" s="115"/>
      <c r="G672" s="111"/>
      <c r="I672" s="133" t="s">
        <v>28</v>
      </c>
      <c r="J672" s="119">
        <f>J668+J671</f>
        <v>26876.034</v>
      </c>
      <c r="K672" s="120">
        <f>K668+K671</f>
        <v>7159.7754576000007</v>
      </c>
      <c r="L672" s="121">
        <f>J672/J673</f>
        <v>6.3445422291804663</v>
      </c>
      <c r="M672" s="122">
        <f>K672/K673</f>
        <v>6.3481166191687377</v>
      </c>
    </row>
    <row r="673" spans="3:13">
      <c r="C673" s="133" t="s">
        <v>28</v>
      </c>
      <c r="D673" s="119">
        <f>D669+D672</f>
        <v>27320.199000000001</v>
      </c>
      <c r="E673" s="120">
        <f>E669+E672</f>
        <v>7278.1010136000004</v>
      </c>
      <c r="F673" s="121">
        <f>D673/D674</f>
        <v>6.4493948870995608</v>
      </c>
      <c r="G673" s="122">
        <f>E673/E674</f>
        <v>6.453028349007786</v>
      </c>
      <c r="I673" s="136" t="s">
        <v>29</v>
      </c>
      <c r="J673" s="127">
        <f>D674</f>
        <v>4236.0871800000004</v>
      </c>
      <c r="K673" s="128">
        <f>J673*$J$651</f>
        <v>1127.8582116750001</v>
      </c>
      <c r="L673" s="129"/>
      <c r="M673" s="130"/>
    </row>
    <row r="674" spans="3:13">
      <c r="C674" s="136" t="s">
        <v>29</v>
      </c>
      <c r="D674" s="127">
        <f>Model!AI82</f>
        <v>4236.0871800000004</v>
      </c>
      <c r="E674" s="128">
        <f>D674*$J$651</f>
        <v>1127.8582116750001</v>
      </c>
      <c r="F674" s="129"/>
      <c r="G674" s="130"/>
    </row>
    <row r="676" spans="3:13">
      <c r="C676" s="82" t="s">
        <v>30</v>
      </c>
      <c r="D676" s="83">
        <f>D669-Model!AI112</f>
        <v>0</v>
      </c>
      <c r="E676" s="83"/>
    </row>
    <row r="677" spans="3:13" ht="13.5" thickBot="1">
      <c r="D677" s="105"/>
      <c r="E677" s="105"/>
    </row>
    <row r="678" spans="3:13">
      <c r="C678" s="55" t="s">
        <v>138</v>
      </c>
      <c r="D678" s="102" t="s">
        <v>87</v>
      </c>
      <c r="E678" s="103" t="s">
        <v>88</v>
      </c>
    </row>
    <row r="679" spans="3:13">
      <c r="C679" s="56"/>
      <c r="D679" s="85"/>
      <c r="E679" s="69"/>
    </row>
    <row r="680" spans="3:13">
      <c r="C680" s="56" t="s">
        <v>32</v>
      </c>
      <c r="D680" s="98">
        <f>D670</f>
        <v>454.76499999999999</v>
      </c>
      <c r="E680" s="99">
        <f>E670</f>
        <v>121.14939600000001</v>
      </c>
    </row>
    <row r="681" spans="3:13">
      <c r="C681" s="56"/>
      <c r="D681" s="98"/>
      <c r="E681" s="99"/>
    </row>
    <row r="682" spans="3:13" ht="13.5" thickBot="1">
      <c r="C682" s="95" t="s">
        <v>33</v>
      </c>
      <c r="D682" s="101">
        <f>SUM(D680:D681)</f>
        <v>454.76499999999999</v>
      </c>
      <c r="E682" s="101">
        <f>SUM(E680:E681)</f>
        <v>121.14939600000001</v>
      </c>
    </row>
    <row r="684" spans="3:13" ht="13.5" thickBot="1"/>
    <row r="685" spans="3:13">
      <c r="C685" s="88" t="s">
        <v>139</v>
      </c>
      <c r="D685" s="102" t="s">
        <v>87</v>
      </c>
      <c r="E685" s="89" t="s">
        <v>88</v>
      </c>
    </row>
    <row r="686" spans="3:13">
      <c r="C686" s="90"/>
      <c r="D686" s="104"/>
      <c r="E686" s="100"/>
    </row>
    <row r="687" spans="3:13">
      <c r="C687" s="90" t="s">
        <v>35</v>
      </c>
      <c r="D687" s="94">
        <v>3400</v>
      </c>
      <c r="E687" s="100">
        <f t="shared" ref="E687:E692" si="11">D687*$J$650</f>
        <v>905.7600000000001</v>
      </c>
    </row>
    <row r="688" spans="3:13">
      <c r="C688" s="90" t="s">
        <v>36</v>
      </c>
      <c r="D688" s="94">
        <v>1800</v>
      </c>
      <c r="E688" s="100">
        <f t="shared" si="11"/>
        <v>479.52000000000004</v>
      </c>
    </row>
    <row r="689" spans="2:13">
      <c r="C689" s="90" t="s">
        <v>37</v>
      </c>
      <c r="D689" s="94">
        <v>700</v>
      </c>
      <c r="E689" s="100">
        <f t="shared" si="11"/>
        <v>186.48000000000002</v>
      </c>
    </row>
    <row r="690" spans="2:13">
      <c r="C690" s="90" t="s">
        <v>38</v>
      </c>
      <c r="D690" s="94">
        <v>1400</v>
      </c>
      <c r="E690" s="100">
        <f t="shared" si="11"/>
        <v>372.96000000000004</v>
      </c>
    </row>
    <row r="691" spans="2:13">
      <c r="C691" s="90" t="s">
        <v>39</v>
      </c>
      <c r="D691" s="94">
        <v>700</v>
      </c>
      <c r="E691" s="100">
        <f t="shared" si="11"/>
        <v>186.48000000000002</v>
      </c>
    </row>
    <row r="692" spans="2:13">
      <c r="C692" s="90" t="s">
        <v>40</v>
      </c>
      <c r="D692" s="94">
        <v>1600</v>
      </c>
      <c r="E692" s="100">
        <f t="shared" si="11"/>
        <v>426.24000000000007</v>
      </c>
    </row>
    <row r="693" spans="2:13" ht="13.5" thickBot="1">
      <c r="C693" s="90"/>
      <c r="D693" s="94"/>
      <c r="E693" s="100"/>
    </row>
    <row r="694" spans="2:13" ht="13.5" thickBot="1">
      <c r="C694" s="91" t="s">
        <v>41</v>
      </c>
      <c r="D694" s="106">
        <f>SUM(D686:D693)</f>
        <v>9600</v>
      </c>
      <c r="E694" s="106">
        <f>SUM(E686:E693)</f>
        <v>2557.4400000000005</v>
      </c>
    </row>
    <row r="695" spans="2:13">
      <c r="C695" s="90" t="s">
        <v>42</v>
      </c>
      <c r="D695" s="104">
        <f>D657</f>
        <v>444.16500000000002</v>
      </c>
      <c r="E695" s="100">
        <f>D695*$J$650</f>
        <v>118.32555600000002</v>
      </c>
    </row>
    <row r="696" spans="2:13" ht="13.5" thickBot="1">
      <c r="C696" s="90" t="s">
        <v>43</v>
      </c>
      <c r="D696" s="104">
        <f>D667</f>
        <v>72.057000000000002</v>
      </c>
      <c r="E696" s="100">
        <f>D696*$J$650</f>
        <v>19.195984800000002</v>
      </c>
    </row>
    <row r="697" spans="2:13" ht="13.5" thickBot="1">
      <c r="C697" s="91" t="s">
        <v>44</v>
      </c>
      <c r="D697" s="106">
        <f>+D694+D695+D696</f>
        <v>10116.222000000002</v>
      </c>
      <c r="E697" s="106">
        <f>+E694+E695+E696</f>
        <v>2694.9615408000009</v>
      </c>
    </row>
    <row r="700" spans="2:13">
      <c r="B700" s="50" t="s">
        <v>140</v>
      </c>
      <c r="I700" s="50" t="s">
        <v>141</v>
      </c>
      <c r="J700" s="165">
        <f>Model!AH203</f>
        <v>0.26600000000000001</v>
      </c>
    </row>
    <row r="701" spans="2:13">
      <c r="B701" s="50"/>
      <c r="I701" s="50" t="s">
        <v>142</v>
      </c>
      <c r="J701" s="165">
        <f>Model!AH205</f>
        <v>0.26632500000000003</v>
      </c>
    </row>
    <row r="702" spans="2:13">
      <c r="B702" s="50"/>
    </row>
    <row r="703" spans="2:13">
      <c r="C703" s="112" t="s">
        <v>143</v>
      </c>
      <c r="D703" s="371"/>
      <c r="E703" s="372"/>
      <c r="F703" s="79" t="s">
        <v>6</v>
      </c>
      <c r="G703" s="108" t="s">
        <v>7</v>
      </c>
      <c r="I703" s="142" t="s">
        <v>67</v>
      </c>
      <c r="J703" s="153"/>
      <c r="K703" s="154"/>
      <c r="L703" s="154"/>
      <c r="M703" s="155"/>
    </row>
    <row r="704" spans="2:13">
      <c r="C704" s="113"/>
      <c r="D704" s="131" t="s">
        <v>4</v>
      </c>
      <c r="E704" s="132" t="s">
        <v>5</v>
      </c>
      <c r="F704" s="80"/>
      <c r="G704" s="109"/>
      <c r="I704" s="112" t="s">
        <v>143</v>
      </c>
      <c r="J704" s="156"/>
      <c r="K704" s="157"/>
      <c r="L704" s="79" t="s">
        <v>6</v>
      </c>
      <c r="M704" s="108" t="s">
        <v>7</v>
      </c>
    </row>
    <row r="705" spans="3:13">
      <c r="C705" s="113"/>
      <c r="D705" s="131"/>
      <c r="E705" s="132"/>
      <c r="F705" s="80"/>
      <c r="G705" s="109"/>
      <c r="I705" s="139"/>
      <c r="J705" s="131" t="s">
        <v>4</v>
      </c>
      <c r="K705" s="132" t="s">
        <v>5</v>
      </c>
      <c r="L705" s="80"/>
      <c r="M705" s="140"/>
    </row>
    <row r="706" spans="3:13">
      <c r="C706" s="113" t="s">
        <v>77</v>
      </c>
      <c r="D706" s="131"/>
      <c r="E706" s="132"/>
      <c r="F706" s="80"/>
      <c r="G706" s="109"/>
      <c r="I706" s="114"/>
      <c r="J706" s="107"/>
      <c r="K706" s="74"/>
      <c r="L706" s="80"/>
      <c r="M706" s="110"/>
    </row>
    <row r="707" spans="3:13">
      <c r="C707" s="114" t="s">
        <v>78</v>
      </c>
      <c r="D707" s="107">
        <f>391.738+75.092</f>
        <v>466.83</v>
      </c>
      <c r="E707" s="74">
        <f t="shared" ref="E707:E712" si="12">D707*$J$700</f>
        <v>124.17678000000001</v>
      </c>
      <c r="F707" s="80"/>
      <c r="G707" s="109"/>
      <c r="I707" s="114" t="s">
        <v>13</v>
      </c>
      <c r="J707" s="146">
        <f>D708</f>
        <v>5738.93</v>
      </c>
      <c r="K707" s="74">
        <f>J707*$J$700</f>
        <v>1526.5553800000002</v>
      </c>
      <c r="L707" s="87"/>
      <c r="M707" s="109"/>
    </row>
    <row r="708" spans="3:13">
      <c r="C708" s="114" t="s">
        <v>13</v>
      </c>
      <c r="D708" s="107">
        <f>5232.256+506.674</f>
        <v>5738.93</v>
      </c>
      <c r="E708" s="74">
        <f t="shared" si="12"/>
        <v>1526.5553800000002</v>
      </c>
      <c r="F708" s="87"/>
      <c r="G708" s="110"/>
      <c r="I708" s="114" t="s">
        <v>79</v>
      </c>
      <c r="J708" s="146">
        <f>D709</f>
        <v>1159.2370000000001</v>
      </c>
      <c r="K708" s="74">
        <f>J708*$J$700</f>
        <v>308.35704200000004</v>
      </c>
      <c r="L708" s="80"/>
      <c r="M708" s="109"/>
    </row>
    <row r="709" spans="3:13">
      <c r="C709" s="114" t="s">
        <v>79</v>
      </c>
      <c r="D709" s="107">
        <f>875.524+283.713</f>
        <v>1159.2370000000001</v>
      </c>
      <c r="E709" s="74">
        <f t="shared" si="12"/>
        <v>308.35704200000004</v>
      </c>
      <c r="F709" s="80"/>
      <c r="G709" s="109"/>
      <c r="I709" s="114" t="s">
        <v>15</v>
      </c>
      <c r="J709" s="146">
        <f>D710</f>
        <v>213.25200000000001</v>
      </c>
      <c r="K709" s="74">
        <f>J709*$J$700</f>
        <v>56.725032000000006</v>
      </c>
      <c r="L709" s="80"/>
      <c r="M709" s="109"/>
    </row>
    <row r="710" spans="3:13">
      <c r="C710" s="114" t="s">
        <v>15</v>
      </c>
      <c r="D710" s="107">
        <f>89.007+124.245</f>
        <v>213.25200000000001</v>
      </c>
      <c r="E710" s="74">
        <f t="shared" si="12"/>
        <v>56.725032000000006</v>
      </c>
      <c r="F710" s="80"/>
      <c r="G710" s="109"/>
      <c r="I710" s="114" t="s">
        <v>80</v>
      </c>
      <c r="J710" s="146">
        <f>D711</f>
        <v>400.65300000000002</v>
      </c>
      <c r="K710" s="74">
        <f>J710*$J$700</f>
        <v>106.57369800000001</v>
      </c>
      <c r="L710" s="80"/>
      <c r="M710" s="109"/>
    </row>
    <row r="711" spans="3:13">
      <c r="C711" s="114" t="s">
        <v>80</v>
      </c>
      <c r="D711" s="107">
        <f>304.017+96.636</f>
        <v>400.65300000000002</v>
      </c>
      <c r="E711" s="74">
        <f t="shared" si="12"/>
        <v>106.57369800000001</v>
      </c>
      <c r="F711" s="80"/>
      <c r="G711" s="109"/>
      <c r="I711" s="114" t="s">
        <v>81</v>
      </c>
      <c r="J711" s="146">
        <f>D712</f>
        <v>103.095</v>
      </c>
      <c r="K711" s="74">
        <f>J711*$J$700</f>
        <v>27.423270000000002</v>
      </c>
      <c r="L711" s="87"/>
      <c r="M711" s="109"/>
    </row>
    <row r="712" spans="3:13">
      <c r="C712" s="114" t="s">
        <v>81</v>
      </c>
      <c r="D712" s="107">
        <f>75.337+27.758</f>
        <v>103.095</v>
      </c>
      <c r="E712" s="74">
        <f t="shared" si="12"/>
        <v>27.423270000000002</v>
      </c>
      <c r="F712" s="87"/>
      <c r="G712" s="110"/>
      <c r="I712" s="147"/>
      <c r="J712" s="158"/>
      <c r="K712" s="159"/>
      <c r="L712" s="80"/>
      <c r="M712" s="109"/>
    </row>
    <row r="713" spans="3:13">
      <c r="C713" s="113" t="s">
        <v>82</v>
      </c>
      <c r="D713" s="160">
        <f>SUM(D707:D712)</f>
        <v>8081.9970000000012</v>
      </c>
      <c r="E713" s="159">
        <f>SUM(E707:E712)</f>
        <v>2149.8112020000008</v>
      </c>
      <c r="F713" s="161">
        <f>D713/D724</f>
        <v>2.0556120955068562</v>
      </c>
      <c r="G713" s="161">
        <f>E713/E724</f>
        <v>2.0531036042610489</v>
      </c>
      <c r="I713" s="147"/>
      <c r="J713" s="107"/>
      <c r="K713" s="74"/>
      <c r="L713" s="80"/>
      <c r="M713" s="109"/>
    </row>
    <row r="714" spans="3:13">
      <c r="C714" s="114"/>
      <c r="D714" s="107"/>
      <c r="E714" s="74"/>
      <c r="F714" s="80"/>
      <c r="G714" s="109"/>
      <c r="I714" s="114" t="s">
        <v>83</v>
      </c>
      <c r="J714" s="146">
        <f>D715</f>
        <v>0</v>
      </c>
      <c r="K714" s="74">
        <f>J714*$J$700</f>
        <v>0</v>
      </c>
      <c r="L714" s="80"/>
      <c r="M714" s="109"/>
    </row>
    <row r="715" spans="3:13">
      <c r="C715" s="114" t="s">
        <v>83</v>
      </c>
      <c r="D715" s="107">
        <v>0</v>
      </c>
      <c r="E715" s="74">
        <f>D715*$J$700</f>
        <v>0</v>
      </c>
      <c r="F715" s="80"/>
      <c r="G715" s="109"/>
      <c r="I715" s="114" t="s">
        <v>18</v>
      </c>
      <c r="J715" s="146">
        <f>D716</f>
        <v>1898.8660000000002</v>
      </c>
      <c r="K715" s="74">
        <f>J715*$J$700</f>
        <v>505.09835600000008</v>
      </c>
      <c r="L715" s="80"/>
      <c r="M715" s="109"/>
    </row>
    <row r="716" spans="3:13">
      <c r="C716" s="114" t="s">
        <v>18</v>
      </c>
      <c r="D716" s="107">
        <f>1872.803+26.063</f>
        <v>1898.8660000000002</v>
      </c>
      <c r="E716" s="74">
        <f>D716*$J$700</f>
        <v>505.09835600000008</v>
      </c>
      <c r="F716" s="80"/>
      <c r="G716" s="109"/>
      <c r="I716" s="114" t="s">
        <v>43</v>
      </c>
      <c r="J716" s="146">
        <f>D717</f>
        <v>87.13</v>
      </c>
      <c r="K716" s="74">
        <f>J716*$J$700</f>
        <v>23.176580000000001</v>
      </c>
      <c r="L716" s="80"/>
      <c r="M716" s="109"/>
    </row>
    <row r="717" spans="3:13">
      <c r="C717" s="114" t="s">
        <v>43</v>
      </c>
      <c r="D717" s="107">
        <f>Model!AH102</f>
        <v>87.13</v>
      </c>
      <c r="E717" s="74">
        <f>D717*$J$700</f>
        <v>23.176580000000001</v>
      </c>
      <c r="F717" s="80"/>
      <c r="G717" s="109"/>
      <c r="I717" s="81"/>
      <c r="J717" s="107"/>
      <c r="K717" s="74"/>
      <c r="L717" s="80"/>
      <c r="M717" s="109"/>
    </row>
    <row r="718" spans="3:13">
      <c r="C718" s="114"/>
      <c r="D718" s="107"/>
      <c r="E718" s="74"/>
      <c r="F718" s="80"/>
      <c r="G718" s="109"/>
      <c r="I718" s="133" t="s">
        <v>84</v>
      </c>
      <c r="J718" s="119">
        <f>SUM(J706:J716)</f>
        <v>9601.1630000000005</v>
      </c>
      <c r="K718" s="120">
        <f>SUM(K706:K716)</f>
        <v>2553.9093580000003</v>
      </c>
      <c r="L718" s="121">
        <f>+J718/J723</f>
        <v>2.4420037267686308</v>
      </c>
      <c r="M718" s="122">
        <f>+K718/K723</f>
        <v>2.4390237165885882</v>
      </c>
    </row>
    <row r="719" spans="3:13">
      <c r="C719" s="133" t="s">
        <v>84</v>
      </c>
      <c r="D719" s="119">
        <f>+D713+D715+D716+D717</f>
        <v>10067.993</v>
      </c>
      <c r="E719" s="120">
        <f>+E713+E715+E716+E717</f>
        <v>2678.0861380000006</v>
      </c>
      <c r="F719" s="121">
        <f>+D719/D724</f>
        <v>2.5607394049117267</v>
      </c>
      <c r="G719" s="122">
        <f>+E719/E724</f>
        <v>2.5576144999775439</v>
      </c>
      <c r="I719" s="134" t="s">
        <v>25</v>
      </c>
      <c r="J719" s="123">
        <f>D720</f>
        <v>546.91600000000005</v>
      </c>
      <c r="K719" s="74">
        <f>J719*$J$700</f>
        <v>145.47965600000003</v>
      </c>
      <c r="L719" s="124"/>
      <c r="M719" s="125"/>
    </row>
    <row r="720" spans="3:13">
      <c r="C720" s="134" t="s">
        <v>25</v>
      </c>
      <c r="D720" s="123">
        <f>Model!AH109</f>
        <v>546.91600000000005</v>
      </c>
      <c r="E720" s="74">
        <f>D720*$J$700</f>
        <v>145.47965600000003</v>
      </c>
      <c r="F720" s="124"/>
      <c r="G720" s="125"/>
      <c r="I720" s="133" t="s">
        <v>26</v>
      </c>
      <c r="J720" s="119">
        <f>J718-J719</f>
        <v>9054.2470000000012</v>
      </c>
      <c r="K720" s="120">
        <f>K718-K719</f>
        <v>2408.4297020000004</v>
      </c>
      <c r="L720" s="121">
        <f>+J720/J723</f>
        <v>2.3028986089584875</v>
      </c>
      <c r="M720" s="122">
        <f>+K720/K723</f>
        <v>2.3000883506353422</v>
      </c>
    </row>
    <row r="721" spans="3:13">
      <c r="C721" s="133" t="s">
        <v>26</v>
      </c>
      <c r="D721" s="119">
        <f>+D719-D720</f>
        <v>9521.0770000000011</v>
      </c>
      <c r="E721" s="120">
        <f>+E719-E720</f>
        <v>2532.6064820000006</v>
      </c>
      <c r="F721" s="121">
        <f>+D721/D724</f>
        <v>2.421634287101583</v>
      </c>
      <c r="G721" s="122">
        <f>+E721/E724</f>
        <v>2.4186791340242979</v>
      </c>
      <c r="I721" s="135" t="s">
        <v>27</v>
      </c>
      <c r="J721" s="126">
        <f>D722</f>
        <v>16982.865000000002</v>
      </c>
      <c r="K721" s="74">
        <f>J721*$J$700</f>
        <v>4517.4420900000005</v>
      </c>
      <c r="L721" s="115"/>
      <c r="M721" s="111"/>
    </row>
    <row r="722" spans="3:13">
      <c r="C722" s="135" t="s">
        <v>27</v>
      </c>
      <c r="D722" s="126">
        <f>Model!AH116</f>
        <v>16982.865000000002</v>
      </c>
      <c r="E722" s="74">
        <f>D722*$J$700</f>
        <v>4517.4420900000005</v>
      </c>
      <c r="F722" s="115"/>
      <c r="G722" s="111"/>
      <c r="I722" s="133" t="s">
        <v>28</v>
      </c>
      <c r="J722" s="119">
        <f>J718+J721</f>
        <v>26584.028000000002</v>
      </c>
      <c r="K722" s="120">
        <f>K718+K721</f>
        <v>7071.3514480000013</v>
      </c>
      <c r="L722" s="121">
        <f>J722/J723</f>
        <v>6.7615033146007031</v>
      </c>
      <c r="M722" s="122">
        <f>K722/K723</f>
        <v>6.7532521606450278</v>
      </c>
    </row>
    <row r="723" spans="3:13">
      <c r="C723" s="133" t="s">
        <v>28</v>
      </c>
      <c r="D723" s="119">
        <f>D719+D722</f>
        <v>27050.858</v>
      </c>
      <c r="E723" s="120">
        <f>E719+E722</f>
        <v>7195.528228000001</v>
      </c>
      <c r="F723" s="121">
        <f>D723/D724</f>
        <v>6.8802389927437986</v>
      </c>
      <c r="G723" s="122">
        <f>E723/E724</f>
        <v>6.8718429440339825</v>
      </c>
      <c r="I723" s="136" t="s">
        <v>29</v>
      </c>
      <c r="J723" s="127">
        <f>D724</f>
        <v>3931.67418</v>
      </c>
      <c r="K723" s="128">
        <f>J723*$J$701</f>
        <v>1047.1031259885001</v>
      </c>
      <c r="L723" s="129"/>
      <c r="M723" s="130"/>
    </row>
    <row r="724" spans="3:13">
      <c r="C724" s="136" t="s">
        <v>29</v>
      </c>
      <c r="D724" s="127">
        <f>Model!AH82</f>
        <v>3931.67418</v>
      </c>
      <c r="E724" s="128">
        <f>D724*$J$701</f>
        <v>1047.1031259885001</v>
      </c>
      <c r="F724" s="129"/>
      <c r="G724" s="130"/>
    </row>
    <row r="726" spans="3:13">
      <c r="C726" s="82" t="s">
        <v>30</v>
      </c>
      <c r="D726" s="83">
        <f>D719-Model!AH112</f>
        <v>0</v>
      </c>
      <c r="E726" s="83"/>
    </row>
    <row r="727" spans="3:13" ht="13.5" thickBot="1">
      <c r="D727" s="105"/>
      <c r="E727" s="105"/>
    </row>
    <row r="728" spans="3:13">
      <c r="C728" s="55" t="s">
        <v>144</v>
      </c>
      <c r="D728" s="102" t="s">
        <v>87</v>
      </c>
      <c r="E728" s="103" t="s">
        <v>88</v>
      </c>
    </row>
    <row r="729" spans="3:13">
      <c r="C729" s="56"/>
      <c r="D729" s="85"/>
      <c r="E729" s="69"/>
    </row>
    <row r="730" spans="3:13">
      <c r="C730" s="56" t="s">
        <v>32</v>
      </c>
      <c r="D730" s="98">
        <f>D720</f>
        <v>546.91600000000005</v>
      </c>
      <c r="E730" s="99">
        <f>E720</f>
        <v>145.47965600000003</v>
      </c>
    </row>
    <row r="731" spans="3:13">
      <c r="C731" s="56"/>
      <c r="D731" s="98"/>
      <c r="E731" s="99"/>
    </row>
    <row r="732" spans="3:13" ht="13.5" thickBot="1">
      <c r="C732" s="95" t="s">
        <v>33</v>
      </c>
      <c r="D732" s="101">
        <f>SUM(D730:D731)</f>
        <v>546.91600000000005</v>
      </c>
      <c r="E732" s="101">
        <f>SUM(E730:E731)</f>
        <v>145.47965600000003</v>
      </c>
    </row>
    <row r="734" spans="3:13" ht="13.5" thickBot="1"/>
    <row r="735" spans="3:13">
      <c r="C735" s="88" t="s">
        <v>145</v>
      </c>
      <c r="D735" s="102" t="s">
        <v>87</v>
      </c>
      <c r="E735" s="89" t="s">
        <v>88</v>
      </c>
    </row>
    <row r="736" spans="3:13">
      <c r="C736" s="90"/>
      <c r="D736" s="104"/>
      <c r="E736" s="100"/>
    </row>
    <row r="737" spans="2:13">
      <c r="C737" s="90" t="s">
        <v>35</v>
      </c>
      <c r="D737" s="94">
        <v>1100</v>
      </c>
      <c r="E737" s="100">
        <f t="shared" ref="E737:E742" si="13">D737*$J$700</f>
        <v>292.60000000000002</v>
      </c>
    </row>
    <row r="738" spans="2:13">
      <c r="C738" s="90" t="s">
        <v>36</v>
      </c>
      <c r="D738" s="94">
        <v>3900</v>
      </c>
      <c r="E738" s="100">
        <f t="shared" si="13"/>
        <v>1037.4000000000001</v>
      </c>
    </row>
    <row r="739" spans="2:13">
      <c r="C739" s="90" t="s">
        <v>37</v>
      </c>
      <c r="D739" s="94">
        <v>800</v>
      </c>
      <c r="E739" s="100">
        <f t="shared" si="13"/>
        <v>212.8</v>
      </c>
    </row>
    <row r="740" spans="2:13">
      <c r="C740" s="90" t="s">
        <v>38</v>
      </c>
      <c r="D740" s="94">
        <v>1300</v>
      </c>
      <c r="E740" s="100">
        <f t="shared" si="13"/>
        <v>345.8</v>
      </c>
    </row>
    <row r="741" spans="2:13">
      <c r="C741" s="90" t="s">
        <v>39</v>
      </c>
      <c r="D741" s="94">
        <v>800</v>
      </c>
      <c r="E741" s="100">
        <f t="shared" si="13"/>
        <v>212.8</v>
      </c>
    </row>
    <row r="742" spans="2:13">
      <c r="C742" s="90" t="s">
        <v>40</v>
      </c>
      <c r="D742" s="94">
        <v>1600</v>
      </c>
      <c r="E742" s="100">
        <f t="shared" si="13"/>
        <v>425.6</v>
      </c>
    </row>
    <row r="743" spans="2:13" ht="13.5" thickBot="1">
      <c r="C743" s="90"/>
      <c r="D743" s="94"/>
      <c r="E743" s="100"/>
    </row>
    <row r="744" spans="2:13" ht="13.5" thickBot="1">
      <c r="C744" s="91" t="s">
        <v>41</v>
      </c>
      <c r="D744" s="106">
        <f>SUM(D736:D743)</f>
        <v>9500</v>
      </c>
      <c r="E744" s="106">
        <f>SUM(E736:E743)</f>
        <v>2527</v>
      </c>
    </row>
    <row r="745" spans="2:13">
      <c r="C745" s="90" t="s">
        <v>42</v>
      </c>
      <c r="D745" s="104">
        <f>D707</f>
        <v>466.83</v>
      </c>
      <c r="E745" s="100">
        <f>D745*$J$700</f>
        <v>124.17678000000001</v>
      </c>
    </row>
    <row r="746" spans="2:13" ht="13.5" thickBot="1">
      <c r="C746" s="90" t="s">
        <v>43</v>
      </c>
      <c r="D746" s="104">
        <f>D717</f>
        <v>87.13</v>
      </c>
      <c r="E746" s="100">
        <f>D746*$J$700</f>
        <v>23.176580000000001</v>
      </c>
    </row>
    <row r="747" spans="2:13" ht="13.5" thickBot="1">
      <c r="C747" s="91" t="s">
        <v>44</v>
      </c>
      <c r="D747" s="106">
        <f>+D744+D745+D746</f>
        <v>10053.959999999999</v>
      </c>
      <c r="E747" s="106">
        <f>+E744+E745+E746</f>
        <v>2674.3533599999996</v>
      </c>
    </row>
    <row r="749" spans="2:13">
      <c r="B749" s="50" t="s">
        <v>146</v>
      </c>
      <c r="I749" s="50" t="s">
        <v>147</v>
      </c>
      <c r="J749" s="165">
        <f>Model!AG203</f>
        <v>0.2661</v>
      </c>
    </row>
    <row r="750" spans="2:13">
      <c r="B750" s="50"/>
      <c r="I750" s="50" t="s">
        <v>148</v>
      </c>
      <c r="J750" s="165">
        <f>Model!AG205</f>
        <v>0.26645000000000002</v>
      </c>
    </row>
    <row r="751" spans="2:13">
      <c r="B751" s="50"/>
    </row>
    <row r="752" spans="2:13">
      <c r="C752" s="112" t="s">
        <v>149</v>
      </c>
      <c r="D752" s="371"/>
      <c r="E752" s="372"/>
      <c r="F752" s="79" t="s">
        <v>6</v>
      </c>
      <c r="G752" s="108" t="s">
        <v>7</v>
      </c>
      <c r="I752" s="142" t="s">
        <v>67</v>
      </c>
      <c r="J752" s="153"/>
      <c r="K752" s="154"/>
      <c r="L752" s="154"/>
      <c r="M752" s="155"/>
    </row>
    <row r="753" spans="3:13">
      <c r="C753" s="113"/>
      <c r="D753" s="131" t="s">
        <v>4</v>
      </c>
      <c r="E753" s="132" t="s">
        <v>5</v>
      </c>
      <c r="F753" s="80"/>
      <c r="G753" s="109"/>
      <c r="I753" s="112" t="s">
        <v>149</v>
      </c>
      <c r="J753" s="156"/>
      <c r="K753" s="157"/>
      <c r="L753" s="79" t="s">
        <v>6</v>
      </c>
      <c r="M753" s="108" t="s">
        <v>7</v>
      </c>
    </row>
    <row r="754" spans="3:13">
      <c r="C754" s="113"/>
      <c r="D754" s="131"/>
      <c r="E754" s="132"/>
      <c r="F754" s="80"/>
      <c r="G754" s="109"/>
      <c r="I754" s="139"/>
      <c r="J754" s="131" t="s">
        <v>4</v>
      </c>
      <c r="K754" s="132" t="s">
        <v>5</v>
      </c>
      <c r="L754" s="80"/>
      <c r="M754" s="140"/>
    </row>
    <row r="755" spans="3:13">
      <c r="C755" s="113" t="s">
        <v>77</v>
      </c>
      <c r="D755" s="131"/>
      <c r="E755" s="132"/>
      <c r="F755" s="80"/>
      <c r="G755" s="109"/>
      <c r="I755" s="114"/>
      <c r="J755" s="107"/>
      <c r="K755" s="74"/>
      <c r="L755" s="80"/>
      <c r="M755" s="110"/>
    </row>
    <row r="756" spans="3:13">
      <c r="C756" s="114" t="s">
        <v>78</v>
      </c>
      <c r="D756" s="107">
        <f>361.068+75.522</f>
        <v>436.59</v>
      </c>
      <c r="E756" s="74">
        <f t="shared" ref="E756:E761" si="14">D756*$J$749</f>
        <v>116.176599</v>
      </c>
      <c r="F756" s="80"/>
      <c r="G756" s="109"/>
      <c r="I756" s="114" t="s">
        <v>13</v>
      </c>
      <c r="J756" s="146">
        <f>D757</f>
        <v>5967.9620000000004</v>
      </c>
      <c r="K756" s="74">
        <f>J756*$J$749</f>
        <v>1588.0746882000001</v>
      </c>
      <c r="L756" s="87"/>
      <c r="M756" s="109"/>
    </row>
    <row r="757" spans="3:13">
      <c r="C757" s="114" t="s">
        <v>13</v>
      </c>
      <c r="D757" s="107">
        <v>5967.9620000000004</v>
      </c>
      <c r="E757" s="74">
        <f t="shared" si="14"/>
        <v>1588.0746882000001</v>
      </c>
      <c r="F757" s="87"/>
      <c r="G757" s="110"/>
      <c r="I757" s="114" t="s">
        <v>79</v>
      </c>
      <c r="J757" s="146">
        <f>D758</f>
        <v>1285.4590000000001</v>
      </c>
      <c r="K757" s="74">
        <f>J757*$J$749</f>
        <v>342.06063990000001</v>
      </c>
      <c r="L757" s="80"/>
      <c r="M757" s="109"/>
    </row>
    <row r="758" spans="3:13">
      <c r="C758" s="114" t="s">
        <v>79</v>
      </c>
      <c r="D758" s="107">
        <v>1285.4590000000001</v>
      </c>
      <c r="E758" s="74">
        <f t="shared" si="14"/>
        <v>342.06063990000001</v>
      </c>
      <c r="F758" s="80"/>
      <c r="G758" s="109"/>
      <c r="I758" s="114" t="s">
        <v>15</v>
      </c>
      <c r="J758" s="146">
        <f>D759</f>
        <v>426.49</v>
      </c>
      <c r="K758" s="74">
        <f>J758*$J$749</f>
        <v>113.488989</v>
      </c>
      <c r="L758" s="80"/>
      <c r="M758" s="109"/>
    </row>
    <row r="759" spans="3:13">
      <c r="C759" s="114" t="s">
        <v>15</v>
      </c>
      <c r="D759" s="107">
        <v>426.49</v>
      </c>
      <c r="E759" s="74">
        <f t="shared" si="14"/>
        <v>113.488989</v>
      </c>
      <c r="F759" s="80"/>
      <c r="G759" s="109"/>
      <c r="I759" s="114" t="s">
        <v>80</v>
      </c>
      <c r="J759" s="146">
        <f>D760</f>
        <v>397.16300000000001</v>
      </c>
      <c r="K759" s="74">
        <f>J759*$J$749</f>
        <v>105.68507430000001</v>
      </c>
      <c r="L759" s="80"/>
      <c r="M759" s="109"/>
    </row>
    <row r="760" spans="3:13">
      <c r="C760" s="114" t="s">
        <v>80</v>
      </c>
      <c r="D760" s="107">
        <v>397.16300000000001</v>
      </c>
      <c r="E760" s="74">
        <f t="shared" si="14"/>
        <v>105.68507430000001</v>
      </c>
      <c r="F760" s="80"/>
      <c r="G760" s="109"/>
      <c r="I760" s="114" t="s">
        <v>81</v>
      </c>
      <c r="J760" s="146">
        <f>D761</f>
        <v>102.298</v>
      </c>
      <c r="K760" s="74">
        <f>J760*$J$749</f>
        <v>27.221497800000002</v>
      </c>
      <c r="L760" s="87"/>
      <c r="M760" s="109"/>
    </row>
    <row r="761" spans="3:13" ht="12.75" customHeight="1">
      <c r="C761" s="114" t="s">
        <v>81</v>
      </c>
      <c r="D761" s="107">
        <v>102.298</v>
      </c>
      <c r="E761" s="74">
        <f t="shared" si="14"/>
        <v>27.221497800000002</v>
      </c>
      <c r="F761" s="87"/>
      <c r="G761" s="110"/>
      <c r="I761" s="147"/>
      <c r="J761" s="158"/>
      <c r="K761" s="159"/>
      <c r="L761" s="80"/>
      <c r="M761" s="109"/>
    </row>
    <row r="762" spans="3:13">
      <c r="C762" s="113" t="s">
        <v>82</v>
      </c>
      <c r="D762" s="160">
        <f>SUM(D756:D761)</f>
        <v>8615.9620000000014</v>
      </c>
      <c r="E762" s="159">
        <f>SUM(E756:E761)</f>
        <v>2292.7074882000002</v>
      </c>
      <c r="F762" s="161">
        <f>D762/D773</f>
        <v>2.3589250635524488</v>
      </c>
      <c r="G762" s="161">
        <f>E762/E773</f>
        <v>2.3558264567885403</v>
      </c>
      <c r="I762" s="147"/>
      <c r="J762" s="107"/>
      <c r="K762" s="74"/>
      <c r="L762" s="80"/>
      <c r="M762" s="109"/>
    </row>
    <row r="763" spans="3:13">
      <c r="C763" s="114"/>
      <c r="D763" s="107"/>
      <c r="E763" s="74"/>
      <c r="F763" s="80"/>
      <c r="G763" s="109"/>
      <c r="I763" s="114" t="s">
        <v>83</v>
      </c>
      <c r="J763" s="146">
        <f>D764</f>
        <v>0</v>
      </c>
      <c r="K763" s="74">
        <f>J763*$J$749</f>
        <v>0</v>
      </c>
      <c r="L763" s="80"/>
      <c r="M763" s="109"/>
    </row>
    <row r="764" spans="3:13">
      <c r="C764" s="114" t="s">
        <v>83</v>
      </c>
      <c r="D764" s="107">
        <v>0</v>
      </c>
      <c r="E764" s="74">
        <f>D764*$J$749</f>
        <v>0</v>
      </c>
      <c r="F764" s="80"/>
      <c r="G764" s="109"/>
      <c r="I764" s="114" t="s">
        <v>18</v>
      </c>
      <c r="J764" s="146">
        <f>D765</f>
        <v>1877.3710000000001</v>
      </c>
      <c r="K764" s="74">
        <f>J764*$J$749</f>
        <v>499.56842310000002</v>
      </c>
      <c r="L764" s="80"/>
      <c r="M764" s="109"/>
    </row>
    <row r="765" spans="3:13" ht="12.75" customHeight="1">
      <c r="C765" s="114" t="s">
        <v>18</v>
      </c>
      <c r="D765" s="107">
        <v>1877.3710000000001</v>
      </c>
      <c r="E765" s="74">
        <f>D765*$J$749</f>
        <v>499.56842310000002</v>
      </c>
      <c r="F765" s="80"/>
      <c r="G765" s="109"/>
      <c r="I765" s="114" t="s">
        <v>43</v>
      </c>
      <c r="J765" s="146">
        <f>D766</f>
        <v>67.400000000000006</v>
      </c>
      <c r="K765" s="74">
        <f>J765*$J$749</f>
        <v>17.935140000000001</v>
      </c>
      <c r="L765" s="80"/>
      <c r="M765" s="109"/>
    </row>
    <row r="766" spans="3:13">
      <c r="C766" s="114" t="s">
        <v>43</v>
      </c>
      <c r="D766" s="107">
        <f>Model!AG102</f>
        <v>67.400000000000006</v>
      </c>
      <c r="E766" s="74">
        <f>D766*$J$749</f>
        <v>17.935140000000001</v>
      </c>
      <c r="F766" s="80"/>
      <c r="G766" s="109"/>
      <c r="I766" s="81"/>
      <c r="J766" s="107"/>
      <c r="K766" s="74"/>
      <c r="L766" s="80"/>
      <c r="M766" s="109"/>
    </row>
    <row r="767" spans="3:13">
      <c r="C767" s="114"/>
      <c r="D767" s="107"/>
      <c r="E767" s="74"/>
      <c r="F767" s="80"/>
      <c r="G767" s="109"/>
      <c r="I767" s="133" t="s">
        <v>84</v>
      </c>
      <c r="J767" s="119">
        <f>SUM(J755:J765)</f>
        <v>10124.143</v>
      </c>
      <c r="K767" s="120">
        <f>SUM(K755:K765)</f>
        <v>2694.0344523000003</v>
      </c>
      <c r="L767" s="121">
        <f>+J767/J772</f>
        <v>2.7718430826051783</v>
      </c>
      <c r="M767" s="122">
        <f>+K767/K772</f>
        <v>2.768202080244841</v>
      </c>
    </row>
    <row r="768" spans="3:13">
      <c r="C768" s="133" t="s">
        <v>84</v>
      </c>
      <c r="D768" s="119">
        <f>+D762+D764+D765+D766</f>
        <v>10560.733000000002</v>
      </c>
      <c r="E768" s="120">
        <f>+E762+E764+E765+E766</f>
        <v>2810.2110513000002</v>
      </c>
      <c r="F768" s="121">
        <f>+D768/D773</f>
        <v>2.8913750737509574</v>
      </c>
      <c r="G768" s="122">
        <f>+E768/E773</f>
        <v>2.8875770580789251</v>
      </c>
      <c r="I768" s="134" t="s">
        <v>25</v>
      </c>
      <c r="J768" s="123">
        <f>D769</f>
        <v>525.17499999999995</v>
      </c>
      <c r="K768" s="74">
        <f>J768*$J$749</f>
        <v>139.7490675</v>
      </c>
      <c r="L768" s="124"/>
      <c r="M768" s="125"/>
    </row>
    <row r="769" spans="3:13">
      <c r="C769" s="134" t="s">
        <v>25</v>
      </c>
      <c r="D769" s="123">
        <f>Model!AG109</f>
        <v>525.17499999999995</v>
      </c>
      <c r="E769" s="74">
        <f>D769*$J$749</f>
        <v>139.7490675</v>
      </c>
      <c r="F769" s="124"/>
      <c r="G769" s="125"/>
      <c r="I769" s="133" t="s">
        <v>26</v>
      </c>
      <c r="J769" s="119">
        <f>J767-J768</f>
        <v>9598.9680000000008</v>
      </c>
      <c r="K769" s="120">
        <f>K767-K768</f>
        <v>2554.2853848000004</v>
      </c>
      <c r="L769" s="121">
        <f>+J769/J772</f>
        <v>2.6280578070606535</v>
      </c>
      <c r="M769" s="122">
        <f>+K769/K772</f>
        <v>2.6246056763326697</v>
      </c>
    </row>
    <row r="770" spans="3:13">
      <c r="C770" s="133" t="s">
        <v>26</v>
      </c>
      <c r="D770" s="119">
        <f>+D768-D769</f>
        <v>10035.558000000003</v>
      </c>
      <c r="E770" s="120">
        <f>+E768-E769</f>
        <v>2670.4619838000003</v>
      </c>
      <c r="F770" s="121">
        <f>+D770/D773</f>
        <v>2.7475897982064321</v>
      </c>
      <c r="G770" s="122">
        <f>+E770/E773</f>
        <v>2.7439806541667533</v>
      </c>
      <c r="I770" s="135" t="s">
        <v>27</v>
      </c>
      <c r="J770" s="126">
        <f>D771</f>
        <v>16641.819</v>
      </c>
      <c r="K770" s="74">
        <f>J770*$J$749</f>
        <v>4428.3880358999995</v>
      </c>
      <c r="L770" s="115"/>
      <c r="M770" s="111"/>
    </row>
    <row r="771" spans="3:13">
      <c r="C771" s="135" t="s">
        <v>27</v>
      </c>
      <c r="D771" s="126">
        <f>Model!AG116</f>
        <v>16641.819</v>
      </c>
      <c r="E771" s="74">
        <f>D771*$J$749</f>
        <v>4428.3880358999995</v>
      </c>
      <c r="F771" s="115"/>
      <c r="G771" s="111"/>
      <c r="I771" s="133" t="s">
        <v>28</v>
      </c>
      <c r="J771" s="119">
        <f>J767+J770</f>
        <v>26765.962</v>
      </c>
      <c r="K771" s="120">
        <f>K767+K770</f>
        <v>7122.4224881999999</v>
      </c>
      <c r="L771" s="121">
        <f>J771/J772</f>
        <v>7.3281310446694654</v>
      </c>
      <c r="M771" s="122">
        <f>K771/K772</f>
        <v>7.3185050515539301</v>
      </c>
    </row>
    <row r="772" spans="3:13">
      <c r="C772" s="133" t="s">
        <v>28</v>
      </c>
      <c r="D772" s="119">
        <f>D768+D771</f>
        <v>27202.552000000003</v>
      </c>
      <c r="E772" s="120">
        <f>E768+E771</f>
        <v>7238.5990872000002</v>
      </c>
      <c r="F772" s="121">
        <f>D772/D773</f>
        <v>7.4476630358152454</v>
      </c>
      <c r="G772" s="122">
        <f>E772/E773</f>
        <v>7.4378800293880145</v>
      </c>
      <c r="I772" s="136" t="s">
        <v>29</v>
      </c>
      <c r="J772" s="127">
        <f>D773</f>
        <v>3652.4949999999999</v>
      </c>
      <c r="K772" s="128">
        <f>J772*$J$750</f>
        <v>973.20729275000008</v>
      </c>
      <c r="L772" s="129"/>
      <c r="M772" s="130"/>
    </row>
    <row r="773" spans="3:13">
      <c r="C773" s="136" t="s">
        <v>29</v>
      </c>
      <c r="D773" s="127">
        <f>Model!AG82</f>
        <v>3652.4949999999999</v>
      </c>
      <c r="E773" s="128">
        <f>D773*$J$750</f>
        <v>973.20729275000008</v>
      </c>
      <c r="F773" s="129"/>
      <c r="G773" s="130"/>
    </row>
    <row r="775" spans="3:13">
      <c r="C775" s="82" t="s">
        <v>30</v>
      </c>
      <c r="D775" s="83">
        <f>D768-Model!AG112</f>
        <v>0</v>
      </c>
      <c r="E775" s="84"/>
    </row>
    <row r="776" spans="3:13" ht="13.5" thickBot="1">
      <c r="D776" s="105"/>
      <c r="E776" s="105"/>
    </row>
    <row r="777" spans="3:13">
      <c r="C777" s="55" t="s">
        <v>150</v>
      </c>
      <c r="D777" s="102" t="s">
        <v>87</v>
      </c>
      <c r="E777" s="103" t="s">
        <v>88</v>
      </c>
    </row>
    <row r="778" spans="3:13">
      <c r="C778" s="56"/>
      <c r="D778" s="85"/>
      <c r="E778" s="69"/>
    </row>
    <row r="779" spans="3:13">
      <c r="C779" s="56" t="s">
        <v>32</v>
      </c>
      <c r="D779" s="98">
        <f>D769</f>
        <v>525.17499999999995</v>
      </c>
      <c r="E779" s="99">
        <f>E769</f>
        <v>139.7490675</v>
      </c>
    </row>
    <row r="780" spans="3:13">
      <c r="C780" s="56"/>
      <c r="D780" s="98"/>
      <c r="E780" s="99"/>
    </row>
    <row r="781" spans="3:13" ht="13.5" thickBot="1">
      <c r="C781" s="95" t="s">
        <v>33</v>
      </c>
      <c r="D781" s="101">
        <f>SUM(D779:D780)</f>
        <v>525.17499999999995</v>
      </c>
      <c r="E781" s="101">
        <f>SUM(E779:E780)</f>
        <v>139.7490675</v>
      </c>
    </row>
    <row r="783" spans="3:13" ht="13.5" thickBot="1"/>
    <row r="784" spans="3:13">
      <c r="C784" s="88" t="s">
        <v>151</v>
      </c>
      <c r="D784" s="102" t="s">
        <v>87</v>
      </c>
      <c r="E784" s="89" t="s">
        <v>88</v>
      </c>
    </row>
    <row r="785" spans="2:10">
      <c r="C785" s="90"/>
      <c r="D785" s="104"/>
      <c r="E785" s="100"/>
    </row>
    <row r="786" spans="2:10">
      <c r="C786" s="90" t="s">
        <v>35</v>
      </c>
      <c r="D786" s="94">
        <v>1200</v>
      </c>
      <c r="E786" s="100">
        <f t="shared" ref="E786:E791" si="15">D786*$J$749</f>
        <v>319.32</v>
      </c>
    </row>
    <row r="787" spans="2:10">
      <c r="C787" s="90" t="s">
        <v>36</v>
      </c>
      <c r="D787" s="94">
        <v>4100</v>
      </c>
      <c r="E787" s="100">
        <f t="shared" si="15"/>
        <v>1091.01</v>
      </c>
    </row>
    <row r="788" spans="2:10">
      <c r="C788" s="90" t="s">
        <v>37</v>
      </c>
      <c r="D788" s="94">
        <v>800</v>
      </c>
      <c r="E788" s="100">
        <f t="shared" si="15"/>
        <v>212.88</v>
      </c>
    </row>
    <row r="789" spans="2:10">
      <c r="C789" s="90" t="s">
        <v>38</v>
      </c>
      <c r="D789" s="94">
        <v>1400</v>
      </c>
      <c r="E789" s="100">
        <f t="shared" si="15"/>
        <v>372.54</v>
      </c>
    </row>
    <row r="790" spans="2:10">
      <c r="C790" s="90" t="s">
        <v>39</v>
      </c>
      <c r="D790" s="94">
        <v>800</v>
      </c>
      <c r="E790" s="100">
        <f t="shared" si="15"/>
        <v>212.88</v>
      </c>
    </row>
    <row r="791" spans="2:10">
      <c r="C791" s="90" t="s">
        <v>40</v>
      </c>
      <c r="D791" s="94">
        <v>1700</v>
      </c>
      <c r="E791" s="100">
        <f t="shared" si="15"/>
        <v>452.37</v>
      </c>
    </row>
    <row r="792" spans="2:10" ht="13.5" thickBot="1">
      <c r="C792" s="90"/>
      <c r="D792" s="94"/>
      <c r="E792" s="100"/>
    </row>
    <row r="793" spans="2:10" ht="13.5" thickBot="1">
      <c r="C793" s="91" t="s">
        <v>41</v>
      </c>
      <c r="D793" s="106">
        <f>SUM(D785:D792)</f>
        <v>10000</v>
      </c>
      <c r="E793" s="106">
        <f>SUM(E785:E792)</f>
        <v>2661</v>
      </c>
    </row>
    <row r="794" spans="2:10">
      <c r="C794" s="90" t="s">
        <v>42</v>
      </c>
      <c r="D794" s="104">
        <f>D756</f>
        <v>436.59</v>
      </c>
      <c r="E794" s="100">
        <f>D794*$J$749</f>
        <v>116.176599</v>
      </c>
    </row>
    <row r="795" spans="2:10" ht="13.5" thickBot="1">
      <c r="C795" s="90" t="s">
        <v>43</v>
      </c>
      <c r="D795" s="104">
        <f>D766</f>
        <v>67.400000000000006</v>
      </c>
      <c r="E795" s="100">
        <f>D795*$J$749</f>
        <v>17.935140000000001</v>
      </c>
    </row>
    <row r="796" spans="2:10" ht="13.5" thickBot="1">
      <c r="C796" s="91" t="s">
        <v>44</v>
      </c>
      <c r="D796" s="106">
        <f>+D793+D794+D795</f>
        <v>10503.99</v>
      </c>
      <c r="E796" s="106">
        <f>+E793+E794+E795</f>
        <v>2795.1117389999999</v>
      </c>
    </row>
    <row r="800" spans="2:10">
      <c r="B800" s="50" t="s">
        <v>152</v>
      </c>
      <c r="I800" s="50" t="s">
        <v>153</v>
      </c>
      <c r="J800" s="165">
        <f>Model!AF203</f>
        <v>0.26650000000000001</v>
      </c>
    </row>
    <row r="801" spans="2:13">
      <c r="B801" s="50"/>
      <c r="I801" s="50" t="s">
        <v>154</v>
      </c>
      <c r="J801" s="165">
        <f>Model!AF205</f>
        <v>0.26659174999999996</v>
      </c>
    </row>
    <row r="802" spans="2:13">
      <c r="B802" s="50"/>
    </row>
    <row r="803" spans="2:13">
      <c r="C803" s="112" t="s">
        <v>155</v>
      </c>
      <c r="D803" s="371"/>
      <c r="E803" s="372"/>
      <c r="F803" s="79" t="s">
        <v>6</v>
      </c>
      <c r="G803" s="108" t="s">
        <v>7</v>
      </c>
      <c r="I803" s="142" t="s">
        <v>67</v>
      </c>
      <c r="J803" s="153"/>
      <c r="K803" s="154"/>
      <c r="L803" s="154"/>
      <c r="M803" s="155"/>
    </row>
    <row r="804" spans="2:13">
      <c r="C804" s="113"/>
      <c r="D804" s="131" t="s">
        <v>4</v>
      </c>
      <c r="E804" s="132" t="s">
        <v>5</v>
      </c>
      <c r="F804" s="80"/>
      <c r="G804" s="109"/>
      <c r="I804" s="112" t="s">
        <v>155</v>
      </c>
      <c r="J804" s="156"/>
      <c r="K804" s="157"/>
      <c r="L804" s="79" t="s">
        <v>6</v>
      </c>
      <c r="M804" s="108" t="s">
        <v>7</v>
      </c>
    </row>
    <row r="805" spans="2:13">
      <c r="C805" s="113"/>
      <c r="D805" s="131"/>
      <c r="E805" s="132"/>
      <c r="F805" s="80"/>
      <c r="G805" s="109"/>
      <c r="I805" s="139"/>
      <c r="J805" s="131" t="s">
        <v>4</v>
      </c>
      <c r="K805" s="132" t="s">
        <v>5</v>
      </c>
      <c r="L805" s="80"/>
      <c r="M805" s="140"/>
    </row>
    <row r="806" spans="2:13">
      <c r="C806" s="113" t="s">
        <v>77</v>
      </c>
      <c r="D806" s="131"/>
      <c r="E806" s="132"/>
      <c r="F806" s="80"/>
      <c r="G806" s="109"/>
      <c r="I806" s="114"/>
      <c r="J806" s="107"/>
      <c r="K806" s="74"/>
      <c r="L806" s="80"/>
      <c r="M806" s="110"/>
    </row>
    <row r="807" spans="2:13">
      <c r="C807" s="114" t="s">
        <v>78</v>
      </c>
      <c r="D807" s="107">
        <f>363.738+81.991</f>
        <v>445.72899999999998</v>
      </c>
      <c r="E807" s="74">
        <f t="shared" ref="E807:E812" si="16">D807*$J$800</f>
        <v>118.7867785</v>
      </c>
      <c r="F807" s="80"/>
      <c r="G807" s="109"/>
      <c r="I807" s="114" t="s">
        <v>13</v>
      </c>
      <c r="J807" s="146">
        <f>D808</f>
        <v>4891.08</v>
      </c>
      <c r="K807" s="74">
        <f>J807*$J$800</f>
        <v>1303.47282</v>
      </c>
      <c r="L807" s="87"/>
      <c r="M807" s="109"/>
    </row>
    <row r="808" spans="2:13">
      <c r="C808" s="114" t="s">
        <v>13</v>
      </c>
      <c r="D808" s="107">
        <v>4891.08</v>
      </c>
      <c r="E808" s="74">
        <f t="shared" si="16"/>
        <v>1303.47282</v>
      </c>
      <c r="F808" s="87"/>
      <c r="G808" s="110"/>
      <c r="I808" s="114" t="s">
        <v>79</v>
      </c>
      <c r="J808" s="146">
        <f>D809</f>
        <v>1274.1949999999999</v>
      </c>
      <c r="K808" s="74">
        <f>J808*$J$800</f>
        <v>339.5729675</v>
      </c>
      <c r="L808" s="80"/>
      <c r="M808" s="109"/>
    </row>
    <row r="809" spans="2:13">
      <c r="C809" s="114" t="s">
        <v>79</v>
      </c>
      <c r="D809" s="107">
        <v>1274.1949999999999</v>
      </c>
      <c r="E809" s="74">
        <f t="shared" si="16"/>
        <v>339.5729675</v>
      </c>
      <c r="F809" s="80"/>
      <c r="G809" s="109"/>
      <c r="I809" s="114" t="s">
        <v>15</v>
      </c>
      <c r="J809" s="146">
        <f>D810</f>
        <v>495.51299999999998</v>
      </c>
      <c r="K809" s="74">
        <f>J809*$J$800</f>
        <v>132.0542145</v>
      </c>
      <c r="L809" s="80"/>
      <c r="M809" s="109"/>
    </row>
    <row r="810" spans="2:13">
      <c r="C810" s="114" t="s">
        <v>15</v>
      </c>
      <c r="D810" s="107">
        <v>495.51299999999998</v>
      </c>
      <c r="E810" s="74">
        <f t="shared" si="16"/>
        <v>132.0542145</v>
      </c>
      <c r="F810" s="80"/>
      <c r="G810" s="109"/>
      <c r="I810" s="114" t="s">
        <v>80</v>
      </c>
      <c r="J810" s="146">
        <f>D811</f>
        <v>421.863</v>
      </c>
      <c r="K810" s="74">
        <f>J810*$J$800</f>
        <v>112.4264895</v>
      </c>
      <c r="L810" s="80"/>
      <c r="M810" s="109"/>
    </row>
    <row r="811" spans="2:13">
      <c r="C811" s="114" t="s">
        <v>80</v>
      </c>
      <c r="D811" s="107">
        <v>421.863</v>
      </c>
      <c r="E811" s="74">
        <f t="shared" si="16"/>
        <v>112.4264895</v>
      </c>
      <c r="F811" s="80"/>
      <c r="G811" s="109"/>
      <c r="I811" s="114" t="s">
        <v>81</v>
      </c>
      <c r="J811" s="146">
        <f>D812</f>
        <v>124.035</v>
      </c>
      <c r="K811" s="74">
        <f>J811*$J$800</f>
        <v>33.055327500000004</v>
      </c>
      <c r="L811" s="87"/>
      <c r="M811" s="109"/>
    </row>
    <row r="812" spans="2:13" ht="12.75" customHeight="1">
      <c r="C812" s="114" t="s">
        <v>81</v>
      </c>
      <c r="D812" s="107">
        <v>124.035</v>
      </c>
      <c r="E812" s="74">
        <f t="shared" si="16"/>
        <v>33.055327500000004</v>
      </c>
      <c r="F812" s="87"/>
      <c r="G812" s="110"/>
      <c r="I812" s="147"/>
      <c r="J812" s="158"/>
      <c r="K812" s="159"/>
      <c r="L812" s="80"/>
      <c r="M812" s="109"/>
    </row>
    <row r="813" spans="2:13">
      <c r="C813" s="113" t="s">
        <v>82</v>
      </c>
      <c r="D813" s="160">
        <f>SUM(D807:D812)</f>
        <v>7652.415</v>
      </c>
      <c r="E813" s="159">
        <f>SUM(E807:E812)</f>
        <v>2039.3685975000001</v>
      </c>
      <c r="F813" s="161">
        <f>D813/D824</f>
        <v>2.1320111977452947</v>
      </c>
      <c r="G813" s="161">
        <f>E813/E824</f>
        <v>2.1312774465043316</v>
      </c>
      <c r="I813" s="147"/>
      <c r="J813" s="107"/>
      <c r="K813" s="74"/>
      <c r="L813" s="80"/>
      <c r="M813" s="109"/>
    </row>
    <row r="814" spans="2:13">
      <c r="C814" s="114"/>
      <c r="D814" s="107"/>
      <c r="E814" s="74"/>
      <c r="F814" s="80"/>
      <c r="G814" s="109"/>
      <c r="I814" s="114" t="s">
        <v>83</v>
      </c>
      <c r="J814" s="146">
        <f>D815</f>
        <v>1614.223</v>
      </c>
      <c r="K814" s="74">
        <f>J814*$J$800</f>
        <v>430.19042949999999</v>
      </c>
      <c r="L814" s="80"/>
      <c r="M814" s="109"/>
    </row>
    <row r="815" spans="2:13">
      <c r="C815" s="114" t="s">
        <v>83</v>
      </c>
      <c r="D815" s="107">
        <v>1614.223</v>
      </c>
      <c r="E815" s="74">
        <f>D815*$J$800</f>
        <v>430.19042949999999</v>
      </c>
      <c r="F815" s="80"/>
      <c r="G815" s="109"/>
      <c r="I815" s="114" t="s">
        <v>18</v>
      </c>
      <c r="J815" s="146">
        <f>D816</f>
        <v>1897</v>
      </c>
      <c r="K815" s="74">
        <f>J815*$J$800</f>
        <v>505.5505</v>
      </c>
      <c r="L815" s="80"/>
      <c r="M815" s="109"/>
    </row>
    <row r="816" spans="2:13" ht="12.75" customHeight="1">
      <c r="C816" s="114" t="s">
        <v>18</v>
      </c>
      <c r="D816" s="107">
        <v>1897</v>
      </c>
      <c r="E816" s="74">
        <f>D816*$J$800</f>
        <v>505.5505</v>
      </c>
      <c r="F816" s="80"/>
      <c r="G816" s="109"/>
      <c r="I816" s="114" t="s">
        <v>43</v>
      </c>
      <c r="J816" s="146">
        <f>D817</f>
        <v>64.594999999999999</v>
      </c>
      <c r="K816" s="74">
        <f>J816*$J$800</f>
        <v>17.214567500000001</v>
      </c>
      <c r="L816" s="80"/>
      <c r="M816" s="109"/>
    </row>
    <row r="817" spans="3:13">
      <c r="C817" s="114" t="s">
        <v>43</v>
      </c>
      <c r="D817" s="107">
        <f>Model!AF102</f>
        <v>64.594999999999999</v>
      </c>
      <c r="E817" s="74">
        <f>D817*$J$800</f>
        <v>17.214567500000001</v>
      </c>
      <c r="F817" s="80"/>
      <c r="G817" s="109"/>
      <c r="I817" s="81"/>
      <c r="J817" s="107"/>
      <c r="K817" s="74"/>
      <c r="L817" s="80"/>
      <c r="M817" s="109"/>
    </row>
    <row r="818" spans="3:13">
      <c r="C818" s="114"/>
      <c r="D818" s="107"/>
      <c r="E818" s="74"/>
      <c r="F818" s="80"/>
      <c r="G818" s="109"/>
      <c r="I818" s="133" t="s">
        <v>84</v>
      </c>
      <c r="J818" s="119">
        <f>SUM(J806:J816)</f>
        <v>10782.503999999999</v>
      </c>
      <c r="K818" s="120">
        <f>SUM(K806:K816)</f>
        <v>2873.5373159999999</v>
      </c>
      <c r="L818" s="121">
        <f>+J818/J823</f>
        <v>3.0040737816406229</v>
      </c>
      <c r="M818" s="122">
        <f>+K818/K823</f>
        <v>3.0030399020495802</v>
      </c>
    </row>
    <row r="819" spans="3:13">
      <c r="C819" s="133" t="s">
        <v>84</v>
      </c>
      <c r="D819" s="119">
        <f>+D813+D815+D816+D817</f>
        <v>11228.232999999998</v>
      </c>
      <c r="E819" s="120">
        <f>+E813+E815+E816+E817</f>
        <v>2992.3240945000002</v>
      </c>
      <c r="F819" s="121">
        <f>+D819/D824</f>
        <v>3.1282566989497091</v>
      </c>
      <c r="G819" s="122">
        <f>+E819/E824</f>
        <v>3.1271800806667791</v>
      </c>
      <c r="I819" s="134" t="s">
        <v>25</v>
      </c>
      <c r="J819" s="123">
        <f>D820</f>
        <v>478.88600000000002</v>
      </c>
      <c r="K819" s="74">
        <f>J819*$J$800</f>
        <v>127.62311900000002</v>
      </c>
      <c r="L819" s="124"/>
      <c r="M819" s="125"/>
    </row>
    <row r="820" spans="3:13">
      <c r="C820" s="134" t="s">
        <v>25</v>
      </c>
      <c r="D820" s="123">
        <f>Model!AF109</f>
        <v>478.88600000000002</v>
      </c>
      <c r="E820" s="74">
        <f>D820*$J$800</f>
        <v>127.62311900000002</v>
      </c>
      <c r="F820" s="124"/>
      <c r="G820" s="125"/>
      <c r="I820" s="133" t="s">
        <v>26</v>
      </c>
      <c r="J820" s="119">
        <f>J818-J819</f>
        <v>10303.617999999999</v>
      </c>
      <c r="K820" s="120">
        <f>K818-K819</f>
        <v>2745.9141970000001</v>
      </c>
      <c r="L820" s="121">
        <f>+J820/J823</f>
        <v>2.8706531145122125</v>
      </c>
      <c r="M820" s="122">
        <f>+K820/K823</f>
        <v>2.8696651528695276</v>
      </c>
    </row>
    <row r="821" spans="3:13">
      <c r="C821" s="133" t="s">
        <v>26</v>
      </c>
      <c r="D821" s="119">
        <f>+D819-D820</f>
        <v>10749.346999999998</v>
      </c>
      <c r="E821" s="120">
        <f>+E819-E820</f>
        <v>2864.7009755000004</v>
      </c>
      <c r="F821" s="121">
        <f>+D821/D824</f>
        <v>2.9948360318212988</v>
      </c>
      <c r="G821" s="122">
        <f>+E821/E824</f>
        <v>2.9938053314867266</v>
      </c>
      <c r="I821" s="135" t="s">
        <v>27</v>
      </c>
      <c r="J821" s="126">
        <f>D822</f>
        <v>16205.227999999999</v>
      </c>
      <c r="K821" s="74">
        <f>J821*$J$800</f>
        <v>4318.6932619999998</v>
      </c>
      <c r="L821" s="115"/>
      <c r="M821" s="111"/>
    </row>
    <row r="822" spans="3:13">
      <c r="C822" s="135" t="s">
        <v>27</v>
      </c>
      <c r="D822" s="126">
        <f>Model!AF116</f>
        <v>16205.227999999999</v>
      </c>
      <c r="E822" s="74">
        <f>D822*$J$800</f>
        <v>4318.6932619999998</v>
      </c>
      <c r="F822" s="115"/>
      <c r="G822" s="111"/>
      <c r="I822" s="133" t="s">
        <v>28</v>
      </c>
      <c r="J822" s="119">
        <f>J818+J821</f>
        <v>26987.731999999996</v>
      </c>
      <c r="K822" s="120">
        <f>K818+K821</f>
        <v>7192.2305779999997</v>
      </c>
      <c r="L822" s="121">
        <f>J822/J823</f>
        <v>7.5189527522682713</v>
      </c>
      <c r="M822" s="122">
        <f>K822/K823</f>
        <v>7.5163650356002947</v>
      </c>
    </row>
    <row r="823" spans="3:13">
      <c r="C823" s="133" t="s">
        <v>28</v>
      </c>
      <c r="D823" s="119">
        <f>D819+D822</f>
        <v>27433.460999999996</v>
      </c>
      <c r="E823" s="120">
        <f>E819+E822</f>
        <v>7311.0173565000005</v>
      </c>
      <c r="F823" s="121">
        <f>D823/D824</f>
        <v>7.643135669577358</v>
      </c>
      <c r="G823" s="122">
        <f>E823/E824</f>
        <v>7.6405052142174936</v>
      </c>
      <c r="I823" s="136" t="s">
        <v>29</v>
      </c>
      <c r="J823" s="127">
        <f>D824</f>
        <v>3589.2940000000003</v>
      </c>
      <c r="K823" s="128">
        <f>J823*$J$801</f>
        <v>956.87616872449996</v>
      </c>
      <c r="L823" s="129"/>
      <c r="M823" s="130"/>
    </row>
    <row r="824" spans="3:13">
      <c r="C824" s="136" t="s">
        <v>29</v>
      </c>
      <c r="D824" s="127">
        <f>Model!AF82</f>
        <v>3589.2940000000003</v>
      </c>
      <c r="E824" s="128">
        <f>D824*$J$801</f>
        <v>956.87616872449996</v>
      </c>
      <c r="F824" s="129"/>
      <c r="G824" s="130"/>
    </row>
    <row r="826" spans="3:13">
      <c r="C826" s="82" t="s">
        <v>30</v>
      </c>
      <c r="D826" s="83">
        <f>D819-Model!AF112</f>
        <v>0</v>
      </c>
      <c r="E826" s="84"/>
    </row>
    <row r="827" spans="3:13" ht="13.5" thickBot="1">
      <c r="D827" s="105"/>
      <c r="E827" s="105"/>
    </row>
    <row r="828" spans="3:13">
      <c r="C828" s="55" t="s">
        <v>156</v>
      </c>
      <c r="D828" s="102" t="s">
        <v>87</v>
      </c>
      <c r="E828" s="103" t="s">
        <v>88</v>
      </c>
    </row>
    <row r="829" spans="3:13">
      <c r="C829" s="56"/>
      <c r="D829" s="85"/>
      <c r="E829" s="69"/>
    </row>
    <row r="830" spans="3:13">
      <c r="C830" s="56" t="s">
        <v>32</v>
      </c>
      <c r="D830" s="98">
        <f>D820</f>
        <v>478.88600000000002</v>
      </c>
      <c r="E830" s="99">
        <f>E820</f>
        <v>127.62311900000002</v>
      </c>
    </row>
    <row r="831" spans="3:13">
      <c r="C831" s="56"/>
      <c r="D831" s="98"/>
      <c r="E831" s="99"/>
    </row>
    <row r="832" spans="3:13" ht="13.5" thickBot="1">
      <c r="C832" s="95" t="s">
        <v>33</v>
      </c>
      <c r="D832" s="101">
        <f>SUM(D830:D831)</f>
        <v>478.88600000000002</v>
      </c>
      <c r="E832" s="101">
        <f>SUM(E830:E831)</f>
        <v>127.62311900000002</v>
      </c>
    </row>
    <row r="834" spans="3:5" ht="13.5" thickBot="1"/>
    <row r="835" spans="3:5">
      <c r="C835" s="88" t="s">
        <v>157</v>
      </c>
      <c r="D835" s="102" t="s">
        <v>87</v>
      </c>
      <c r="E835" s="89" t="s">
        <v>88</v>
      </c>
    </row>
    <row r="836" spans="3:5">
      <c r="C836" s="90"/>
      <c r="D836" s="104"/>
      <c r="E836" s="100"/>
    </row>
    <row r="837" spans="3:5">
      <c r="C837" s="90" t="s">
        <v>35</v>
      </c>
      <c r="D837" s="94">
        <v>2800</v>
      </c>
      <c r="E837" s="100">
        <f t="shared" ref="E837:E842" si="17">D837*$J$800</f>
        <v>746.2</v>
      </c>
    </row>
    <row r="838" spans="3:5">
      <c r="C838" s="90" t="s">
        <v>36</v>
      </c>
      <c r="D838" s="94">
        <v>4100</v>
      </c>
      <c r="E838" s="100">
        <f t="shared" si="17"/>
        <v>1092.6500000000001</v>
      </c>
    </row>
    <row r="839" spans="3:5">
      <c r="C839" s="90" t="s">
        <v>37</v>
      </c>
      <c r="D839" s="94">
        <v>800</v>
      </c>
      <c r="E839" s="100">
        <f t="shared" si="17"/>
        <v>213.20000000000002</v>
      </c>
    </row>
    <row r="840" spans="3:5">
      <c r="C840" s="90" t="s">
        <v>38</v>
      </c>
      <c r="D840" s="94">
        <v>1400</v>
      </c>
      <c r="E840" s="100">
        <f t="shared" si="17"/>
        <v>373.1</v>
      </c>
    </row>
    <row r="841" spans="3:5">
      <c r="C841" s="90" t="s">
        <v>39</v>
      </c>
      <c r="D841" s="94">
        <v>1000</v>
      </c>
      <c r="E841" s="100">
        <f t="shared" si="17"/>
        <v>266.5</v>
      </c>
    </row>
    <row r="842" spans="3:5">
      <c r="C842" s="90" t="s">
        <v>40</v>
      </c>
      <c r="D842" s="94">
        <v>600</v>
      </c>
      <c r="E842" s="100">
        <f t="shared" si="17"/>
        <v>159.9</v>
      </c>
    </row>
    <row r="843" spans="3:5" ht="13.5" thickBot="1">
      <c r="C843" s="90"/>
      <c r="D843" s="94"/>
      <c r="E843" s="100"/>
    </row>
    <row r="844" spans="3:5" ht="13.5" thickBot="1">
      <c r="C844" s="91" t="s">
        <v>41</v>
      </c>
      <c r="D844" s="106">
        <f>SUM(D836:D843)</f>
        <v>10700</v>
      </c>
      <c r="E844" s="106">
        <f>SUM(E836:E843)</f>
        <v>2851.55</v>
      </c>
    </row>
    <row r="845" spans="3:5">
      <c r="C845" s="90" t="s">
        <v>42</v>
      </c>
      <c r="D845" s="104">
        <f>D807</f>
        <v>445.72899999999998</v>
      </c>
      <c r="E845" s="100">
        <f>D845*$J$800</f>
        <v>118.7867785</v>
      </c>
    </row>
    <row r="846" spans="3:5" ht="13.5" thickBot="1">
      <c r="C846" s="90" t="s">
        <v>43</v>
      </c>
      <c r="D846" s="104">
        <f>D817</f>
        <v>64.594999999999999</v>
      </c>
      <c r="E846" s="100">
        <f>D846*$J$800</f>
        <v>17.214567500000001</v>
      </c>
    </row>
    <row r="847" spans="3:5" ht="13.5" thickBot="1">
      <c r="C847" s="91" t="s">
        <v>44</v>
      </c>
      <c r="D847" s="106">
        <f>+D844+D845+D846</f>
        <v>11210.323999999999</v>
      </c>
      <c r="E847" s="106">
        <f>+E844+E845+E846</f>
        <v>2987.5513460000002</v>
      </c>
    </row>
    <row r="848" spans="3:5">
      <c r="C848" s="141"/>
      <c r="D848" s="117"/>
      <c r="E848" s="116"/>
    </row>
    <row r="851" spans="2:13">
      <c r="B851" s="50" t="s">
        <v>158</v>
      </c>
      <c r="I851" s="50" t="s">
        <v>159</v>
      </c>
      <c r="J851" s="165">
        <f>Model!AE203</f>
        <v>0.26650000000000001</v>
      </c>
    </row>
    <row r="852" spans="2:13">
      <c r="B852" s="50"/>
      <c r="I852" s="50" t="s">
        <v>160</v>
      </c>
      <c r="J852" s="165">
        <f>Model!AE205</f>
        <v>0.26660849999999997</v>
      </c>
    </row>
    <row r="853" spans="2:13">
      <c r="B853" s="50"/>
    </row>
    <row r="854" spans="2:13">
      <c r="C854" s="112" t="s">
        <v>161</v>
      </c>
      <c r="D854" s="371"/>
      <c r="E854" s="372"/>
      <c r="F854" s="79" t="s">
        <v>6</v>
      </c>
      <c r="G854" s="108" t="s">
        <v>7</v>
      </c>
      <c r="I854" s="142" t="s">
        <v>67</v>
      </c>
      <c r="J854" s="153"/>
      <c r="K854" s="154"/>
      <c r="L854" s="154"/>
      <c r="M854" s="155"/>
    </row>
    <row r="855" spans="2:13">
      <c r="C855" s="113"/>
      <c r="D855" s="131" t="s">
        <v>4</v>
      </c>
      <c r="E855" s="132" t="s">
        <v>5</v>
      </c>
      <c r="F855" s="80"/>
      <c r="G855" s="109"/>
      <c r="I855" s="112" t="s">
        <v>161</v>
      </c>
      <c r="J855" s="156"/>
      <c r="K855" s="157"/>
      <c r="L855" s="79" t="s">
        <v>6</v>
      </c>
      <c r="M855" s="108" t="s">
        <v>7</v>
      </c>
    </row>
    <row r="856" spans="2:13">
      <c r="C856" s="113"/>
      <c r="D856" s="131"/>
      <c r="E856" s="132"/>
      <c r="F856" s="80"/>
      <c r="G856" s="109"/>
      <c r="I856" s="139"/>
      <c r="J856" s="131" t="s">
        <v>4</v>
      </c>
      <c r="K856" s="132" t="s">
        <v>5</v>
      </c>
      <c r="L856" s="80"/>
      <c r="M856" s="140"/>
    </row>
    <row r="857" spans="2:13">
      <c r="C857" s="113" t="s">
        <v>77</v>
      </c>
      <c r="D857" s="131"/>
      <c r="E857" s="132"/>
      <c r="F857" s="80"/>
      <c r="G857" s="109"/>
      <c r="I857" s="114"/>
      <c r="J857" s="107"/>
      <c r="K857" s="74"/>
      <c r="L857" s="80"/>
      <c r="M857" s="110"/>
    </row>
    <row r="858" spans="2:13">
      <c r="C858" s="114" t="s">
        <v>78</v>
      </c>
      <c r="D858" s="107">
        <f>362.447+77.757</f>
        <v>440.20400000000001</v>
      </c>
      <c r="E858" s="74">
        <f t="shared" ref="E858:E863" si="18">D858*$J$851</f>
        <v>117.31436600000001</v>
      </c>
      <c r="F858" s="80"/>
      <c r="G858" s="109"/>
      <c r="I858" s="114" t="s">
        <v>13</v>
      </c>
      <c r="J858" s="146">
        <f>D859</f>
        <v>4094.3789999999999</v>
      </c>
      <c r="K858" s="74">
        <f>J858*$J$851</f>
        <v>1091.1520035000001</v>
      </c>
      <c r="L858" s="87"/>
      <c r="M858" s="109"/>
    </row>
    <row r="859" spans="2:13">
      <c r="C859" s="114" t="s">
        <v>13</v>
      </c>
      <c r="D859" s="107">
        <v>4094.3789999999999</v>
      </c>
      <c r="E859" s="74">
        <f t="shared" si="18"/>
        <v>1091.1520035000001</v>
      </c>
      <c r="F859" s="87"/>
      <c r="G859" s="110"/>
      <c r="I859" s="114" t="s">
        <v>79</v>
      </c>
      <c r="J859" s="146">
        <f>D860</f>
        <v>1429.989</v>
      </c>
      <c r="K859" s="74">
        <f>J859*$J$851</f>
        <v>381.09206850000004</v>
      </c>
      <c r="L859" s="80"/>
      <c r="M859" s="109"/>
    </row>
    <row r="860" spans="2:13">
      <c r="C860" s="114" t="s">
        <v>79</v>
      </c>
      <c r="D860" s="107">
        <v>1429.989</v>
      </c>
      <c r="E860" s="74">
        <f t="shared" si="18"/>
        <v>381.09206850000004</v>
      </c>
      <c r="F860" s="80"/>
      <c r="G860" s="109"/>
      <c r="I860" s="114" t="s">
        <v>15</v>
      </c>
      <c r="J860" s="146">
        <f>D861</f>
        <v>444.93099999999998</v>
      </c>
      <c r="K860" s="74">
        <f>J860*$J$851</f>
        <v>118.5741115</v>
      </c>
      <c r="L860" s="80"/>
      <c r="M860" s="109"/>
    </row>
    <row r="861" spans="2:13">
      <c r="C861" s="114" t="s">
        <v>15</v>
      </c>
      <c r="D861" s="107">
        <v>444.93099999999998</v>
      </c>
      <c r="E861" s="74">
        <f t="shared" si="18"/>
        <v>118.5741115</v>
      </c>
      <c r="F861" s="80"/>
      <c r="G861" s="109"/>
      <c r="I861" s="114" t="s">
        <v>80</v>
      </c>
      <c r="J861" s="146">
        <f>D862</f>
        <v>344.38200000000001</v>
      </c>
      <c r="K861" s="74">
        <f>J861*$J$851</f>
        <v>91.777803000000006</v>
      </c>
      <c r="L861" s="80"/>
      <c r="M861" s="109"/>
    </row>
    <row r="862" spans="2:13" ht="12.75" customHeight="1">
      <c r="C862" s="114" t="s">
        <v>80</v>
      </c>
      <c r="D862" s="107">
        <v>344.38200000000001</v>
      </c>
      <c r="E862" s="74">
        <f t="shared" si="18"/>
        <v>91.777803000000006</v>
      </c>
      <c r="F862" s="80"/>
      <c r="G862" s="109"/>
      <c r="I862" s="114" t="s">
        <v>81</v>
      </c>
      <c r="J862" s="146">
        <f>D863</f>
        <v>123.139</v>
      </c>
      <c r="K862" s="74">
        <f>J862*$J$851</f>
        <v>32.816543500000002</v>
      </c>
      <c r="L862" s="87"/>
      <c r="M862" s="109"/>
    </row>
    <row r="863" spans="2:13">
      <c r="C863" s="114" t="s">
        <v>81</v>
      </c>
      <c r="D863" s="107">
        <v>123.139</v>
      </c>
      <c r="E863" s="74">
        <f t="shared" si="18"/>
        <v>32.816543500000002</v>
      </c>
      <c r="F863" s="87"/>
      <c r="G863" s="110"/>
      <c r="I863" s="147"/>
      <c r="J863" s="158"/>
      <c r="K863" s="159"/>
      <c r="L863" s="80"/>
      <c r="M863" s="109"/>
    </row>
    <row r="864" spans="2:13">
      <c r="C864" s="113" t="s">
        <v>82</v>
      </c>
      <c r="D864" s="160">
        <f>SUM(D858:D863)</f>
        <v>6877.0239999999994</v>
      </c>
      <c r="E864" s="159">
        <f>SUM(E858:E863)</f>
        <v>1832.7268960000004</v>
      </c>
      <c r="F864" s="161">
        <f>D864/D875</f>
        <v>1.9464043016035915</v>
      </c>
      <c r="G864" s="161">
        <f>E864/E875</f>
        <v>1.9456121855730679</v>
      </c>
      <c r="I864" s="147"/>
      <c r="J864" s="107"/>
      <c r="K864" s="74"/>
      <c r="L864" s="80"/>
      <c r="M864" s="109"/>
    </row>
    <row r="865" spans="3:13">
      <c r="C865" s="114"/>
      <c r="D865" s="107"/>
      <c r="E865" s="74"/>
      <c r="F865" s="80"/>
      <c r="G865" s="109"/>
      <c r="I865" s="114" t="s">
        <v>83</v>
      </c>
      <c r="J865" s="146">
        <f>D866</f>
        <v>1601.6769999999999</v>
      </c>
      <c r="K865" s="74">
        <f>J865*$J$851</f>
        <v>426.84692050000001</v>
      </c>
      <c r="L865" s="80"/>
      <c r="M865" s="109"/>
    </row>
    <row r="866" spans="3:13" ht="12.75" customHeight="1">
      <c r="C866" s="114" t="s">
        <v>83</v>
      </c>
      <c r="D866" s="107">
        <v>1601.6769999999999</v>
      </c>
      <c r="E866" s="74">
        <f>D866*$J$851</f>
        <v>426.84692050000001</v>
      </c>
      <c r="F866" s="80"/>
      <c r="G866" s="109"/>
      <c r="I866" s="114" t="s">
        <v>18</v>
      </c>
      <c r="J866" s="146">
        <f>D867</f>
        <v>1876.9570000000001</v>
      </c>
      <c r="K866" s="74">
        <f>J866*$J$851</f>
        <v>500.20904050000007</v>
      </c>
      <c r="L866" s="80"/>
      <c r="M866" s="109"/>
    </row>
    <row r="867" spans="3:13">
      <c r="C867" s="114" t="s">
        <v>18</v>
      </c>
      <c r="D867" s="107">
        <v>1876.9570000000001</v>
      </c>
      <c r="E867" s="74">
        <f>D867*$J$851</f>
        <v>500.20904050000007</v>
      </c>
      <c r="F867" s="80"/>
      <c r="G867" s="109"/>
      <c r="I867" s="114" t="s">
        <v>43</v>
      </c>
      <c r="J867" s="146">
        <f>D868</f>
        <v>109.42700000000001</v>
      </c>
      <c r="K867" s="74">
        <f>J867*$J$851</f>
        <v>29.162295500000003</v>
      </c>
      <c r="L867" s="80"/>
      <c r="M867" s="109"/>
    </row>
    <row r="868" spans="3:13">
      <c r="C868" s="114" t="s">
        <v>43</v>
      </c>
      <c r="D868" s="107">
        <f>Model!AE102</f>
        <v>109.42700000000001</v>
      </c>
      <c r="E868" s="74">
        <f>D868*$J$851</f>
        <v>29.162295500000003</v>
      </c>
      <c r="F868" s="80"/>
      <c r="G868" s="109"/>
      <c r="I868" s="81"/>
      <c r="J868" s="107"/>
      <c r="K868" s="74"/>
      <c r="L868" s="80"/>
      <c r="M868" s="109"/>
    </row>
    <row r="869" spans="3:13">
      <c r="C869" s="114"/>
      <c r="D869" s="107"/>
      <c r="E869" s="74"/>
      <c r="F869" s="80"/>
      <c r="G869" s="109"/>
      <c r="I869" s="133" t="s">
        <v>84</v>
      </c>
      <c r="J869" s="119">
        <f>SUM(J857:J867)</f>
        <v>10024.880999999999</v>
      </c>
      <c r="K869" s="120">
        <f>SUM(K857:K867)</f>
        <v>2671.6307864999999</v>
      </c>
      <c r="L869" s="121">
        <f>+J869/J874</f>
        <v>2.8373423593496421</v>
      </c>
      <c r="M869" s="122">
        <f>+K869/K874</f>
        <v>2.8361876638092172</v>
      </c>
    </row>
    <row r="870" spans="3:13">
      <c r="C870" s="133" t="s">
        <v>84</v>
      </c>
      <c r="D870" s="119">
        <f>+D864+D866+D867+D868</f>
        <v>10465.084999999999</v>
      </c>
      <c r="E870" s="120">
        <f>+E864+E866+E867+E868</f>
        <v>2788.9451524999999</v>
      </c>
      <c r="F870" s="121">
        <f>+D870/D875</f>
        <v>2.9619333102003456</v>
      </c>
      <c r="G870" s="122">
        <f>+E870/E875</f>
        <v>2.9607279106569826</v>
      </c>
      <c r="I870" s="134" t="s">
        <v>25</v>
      </c>
      <c r="J870" s="123">
        <f>D871</f>
        <v>465.49700000000001</v>
      </c>
      <c r="K870" s="74">
        <f>J870*$J$851</f>
        <v>124.0549505</v>
      </c>
      <c r="L870" s="124"/>
      <c r="M870" s="125"/>
    </row>
    <row r="871" spans="3:13">
      <c r="C871" s="134" t="s">
        <v>25</v>
      </c>
      <c r="D871" s="123">
        <f>Model!AE109</f>
        <v>465.49700000000001</v>
      </c>
      <c r="E871" s="74">
        <f>D871*$J$851</f>
        <v>124.0549505</v>
      </c>
      <c r="F871" s="124"/>
      <c r="G871" s="125"/>
      <c r="I871" s="133" t="s">
        <v>26</v>
      </c>
      <c r="J871" s="119">
        <f>J869-J870</f>
        <v>9559.384</v>
      </c>
      <c r="K871" s="120">
        <f>K869-K870</f>
        <v>2547.575836</v>
      </c>
      <c r="L871" s="121">
        <f>+J871/J874</f>
        <v>2.7055927299774654</v>
      </c>
      <c r="M871" s="122">
        <f>+K871/K874</f>
        <v>2.7044916517627704</v>
      </c>
    </row>
    <row r="872" spans="3:13">
      <c r="C872" s="133" t="s">
        <v>26</v>
      </c>
      <c r="D872" s="119">
        <f>+D870-D871</f>
        <v>9999.5879999999997</v>
      </c>
      <c r="E872" s="120">
        <f>+E870-E871</f>
        <v>2664.890202</v>
      </c>
      <c r="F872" s="121">
        <f>+D872/D875</f>
        <v>2.8301836808281684</v>
      </c>
      <c r="G872" s="122">
        <f>+E872/E875</f>
        <v>2.8290318986105358</v>
      </c>
      <c r="I872" s="135" t="s">
        <v>27</v>
      </c>
      <c r="J872" s="126">
        <f>D873</f>
        <v>16695.308000000001</v>
      </c>
      <c r="K872" s="74">
        <f>J872*$J$851</f>
        <v>4449.2995820000006</v>
      </c>
      <c r="L872" s="115"/>
      <c r="M872" s="111"/>
    </row>
    <row r="873" spans="3:13">
      <c r="C873" s="135" t="s">
        <v>27</v>
      </c>
      <c r="D873" s="126">
        <f>Model!AE116</f>
        <v>16695.308000000001</v>
      </c>
      <c r="E873" s="74">
        <f>D873*$J$851</f>
        <v>4449.2995820000006</v>
      </c>
      <c r="F873" s="115"/>
      <c r="G873" s="111"/>
      <c r="I873" s="133" t="s">
        <v>28</v>
      </c>
      <c r="J873" s="119">
        <f>J869+J872</f>
        <v>26720.188999999998</v>
      </c>
      <c r="K873" s="120">
        <f>K869+K872</f>
        <v>7120.9303685000004</v>
      </c>
      <c r="L873" s="121">
        <f>J873/J874</f>
        <v>7.5626158654180884</v>
      </c>
      <c r="M873" s="122">
        <f>K873/K874</f>
        <v>7.5595381547622118</v>
      </c>
    </row>
    <row r="874" spans="3:13">
      <c r="C874" s="133" t="s">
        <v>28</v>
      </c>
      <c r="D874" s="119">
        <f>D870+D873</f>
        <v>27160.393</v>
      </c>
      <c r="E874" s="120">
        <f>E870+E873</f>
        <v>7238.2447345</v>
      </c>
      <c r="F874" s="121">
        <f>D874/D875</f>
        <v>7.6872068162687928</v>
      </c>
      <c r="G874" s="122">
        <f>E874/E875</f>
        <v>7.6840784016099768</v>
      </c>
      <c r="I874" s="136" t="s">
        <v>29</v>
      </c>
      <c r="J874" s="127">
        <f>D875</f>
        <v>3533.194</v>
      </c>
      <c r="K874" s="128">
        <f>J874*$J$852</f>
        <v>941.97955254899989</v>
      </c>
      <c r="L874" s="129"/>
      <c r="M874" s="130"/>
    </row>
    <row r="875" spans="3:13">
      <c r="C875" s="136" t="s">
        <v>29</v>
      </c>
      <c r="D875" s="127">
        <f>Model!AE82</f>
        <v>3533.194</v>
      </c>
      <c r="E875" s="128">
        <f>D875*$J$852</f>
        <v>941.97955254899989</v>
      </c>
      <c r="F875" s="129"/>
      <c r="G875" s="130"/>
    </row>
    <row r="877" spans="3:13">
      <c r="C877" s="82" t="s">
        <v>30</v>
      </c>
      <c r="D877" s="83">
        <f>D870-Model!AE112</f>
        <v>0</v>
      </c>
      <c r="E877" s="84"/>
    </row>
    <row r="878" spans="3:13" ht="13.5" thickBot="1">
      <c r="D878" s="105"/>
      <c r="E878" s="105"/>
    </row>
    <row r="879" spans="3:13">
      <c r="C879" s="55" t="s">
        <v>162</v>
      </c>
      <c r="D879" s="102" t="s">
        <v>87</v>
      </c>
      <c r="E879" s="103" t="s">
        <v>88</v>
      </c>
    </row>
    <row r="880" spans="3:13">
      <c r="C880" s="56"/>
      <c r="D880" s="85"/>
      <c r="E880" s="69"/>
    </row>
    <row r="881" spans="3:5">
      <c r="C881" s="56" t="s">
        <v>32</v>
      </c>
      <c r="D881" s="98">
        <f>D871</f>
        <v>465.49700000000001</v>
      </c>
      <c r="E881" s="99">
        <f>E871</f>
        <v>124.0549505</v>
      </c>
    </row>
    <row r="882" spans="3:5">
      <c r="C882" s="56"/>
      <c r="D882" s="98"/>
      <c r="E882" s="99"/>
    </row>
    <row r="883" spans="3:5" ht="13.5" thickBot="1">
      <c r="C883" s="95" t="s">
        <v>33</v>
      </c>
      <c r="D883" s="101">
        <f>SUM(D881:D882)</f>
        <v>465.49700000000001</v>
      </c>
      <c r="E883" s="101">
        <f>SUM(E881:E882)</f>
        <v>124.0549505</v>
      </c>
    </row>
    <row r="885" spans="3:5" ht="13.5" thickBot="1"/>
    <row r="886" spans="3:5">
      <c r="C886" s="88" t="s">
        <v>163</v>
      </c>
      <c r="D886" s="102" t="s">
        <v>87</v>
      </c>
      <c r="E886" s="89" t="s">
        <v>88</v>
      </c>
    </row>
    <row r="887" spans="3:5">
      <c r="C887" s="90"/>
      <c r="D887" s="104"/>
      <c r="E887" s="100"/>
    </row>
    <row r="888" spans="3:5">
      <c r="C888" s="90" t="s">
        <v>35</v>
      </c>
      <c r="D888" s="94">
        <v>2700</v>
      </c>
      <c r="E888" s="100">
        <f t="shared" ref="E888:E893" si="19">D888*$J$851</f>
        <v>719.55000000000007</v>
      </c>
    </row>
    <row r="889" spans="3:5">
      <c r="C889" s="90" t="s">
        <v>36</v>
      </c>
      <c r="D889" s="94">
        <v>1400</v>
      </c>
      <c r="E889" s="100">
        <f t="shared" si="19"/>
        <v>373.1</v>
      </c>
    </row>
    <row r="890" spans="3:5">
      <c r="C890" s="90" t="s">
        <v>37</v>
      </c>
      <c r="D890" s="94">
        <v>2700</v>
      </c>
      <c r="E890" s="100">
        <f t="shared" si="19"/>
        <v>719.55000000000007</v>
      </c>
    </row>
    <row r="891" spans="3:5">
      <c r="C891" s="90" t="s">
        <v>38</v>
      </c>
      <c r="D891" s="94">
        <v>700</v>
      </c>
      <c r="E891" s="100">
        <f t="shared" si="19"/>
        <v>186.55</v>
      </c>
    </row>
    <row r="892" spans="3:5">
      <c r="C892" s="90" t="s">
        <v>39</v>
      </c>
      <c r="D892" s="94">
        <v>1300</v>
      </c>
      <c r="E892" s="100">
        <f t="shared" si="19"/>
        <v>346.45000000000005</v>
      </c>
    </row>
    <row r="893" spans="3:5">
      <c r="C893" s="90" t="s">
        <v>40</v>
      </c>
      <c r="D893" s="94">
        <v>1100</v>
      </c>
      <c r="E893" s="100">
        <f t="shared" si="19"/>
        <v>293.15000000000003</v>
      </c>
    </row>
    <row r="894" spans="3:5" ht="13.5" thickBot="1">
      <c r="C894" s="90"/>
      <c r="D894" s="94"/>
      <c r="E894" s="100"/>
    </row>
    <row r="895" spans="3:5" ht="13.5" thickBot="1">
      <c r="C895" s="91" t="s">
        <v>41</v>
      </c>
      <c r="D895" s="106">
        <f>SUM(D887:D894)</f>
        <v>9900</v>
      </c>
      <c r="E895" s="106">
        <f>SUM(E887:E894)</f>
        <v>2638.3500000000004</v>
      </c>
    </row>
    <row r="896" spans="3:5">
      <c r="C896" s="90" t="s">
        <v>42</v>
      </c>
      <c r="D896" s="104">
        <f>D858</f>
        <v>440.20400000000001</v>
      </c>
      <c r="E896" s="100">
        <f>D896*$J$851</f>
        <v>117.31436600000001</v>
      </c>
    </row>
    <row r="897" spans="2:13" ht="13.5" thickBot="1">
      <c r="C897" s="90" t="s">
        <v>43</v>
      </c>
      <c r="D897" s="104">
        <f>D868</f>
        <v>109.42700000000001</v>
      </c>
      <c r="E897" s="100">
        <f>D897*$J$851</f>
        <v>29.162295500000003</v>
      </c>
    </row>
    <row r="898" spans="2:13" ht="13.5" thickBot="1">
      <c r="C898" s="91" t="s">
        <v>44</v>
      </c>
      <c r="D898" s="106">
        <f>+D895+D896+D897</f>
        <v>10449.630999999999</v>
      </c>
      <c r="E898" s="106">
        <f>+E895+E896+E897</f>
        <v>2784.8266615000002</v>
      </c>
    </row>
    <row r="899" spans="2:13">
      <c r="C899" s="141" t="s">
        <v>164</v>
      </c>
      <c r="D899" s="117"/>
      <c r="E899" s="116"/>
    </row>
    <row r="904" spans="2:13">
      <c r="B904" s="50" t="s">
        <v>165</v>
      </c>
      <c r="I904" s="50" t="s">
        <v>166</v>
      </c>
      <c r="J904" s="165">
        <f>Model!AD203</f>
        <v>0.26619999999999999</v>
      </c>
    </row>
    <row r="905" spans="2:13">
      <c r="B905" s="50"/>
      <c r="I905" s="50" t="s">
        <v>167</v>
      </c>
      <c r="J905" s="165">
        <f>Model!AD205</f>
        <v>0.26662524999999998</v>
      </c>
    </row>
    <row r="906" spans="2:13">
      <c r="B906" s="50"/>
    </row>
    <row r="907" spans="2:13">
      <c r="C907" s="112" t="s">
        <v>168</v>
      </c>
      <c r="D907" s="371"/>
      <c r="E907" s="372"/>
      <c r="F907" s="79" t="s">
        <v>6</v>
      </c>
      <c r="G907" s="108" t="s">
        <v>7</v>
      </c>
      <c r="I907" s="142" t="s">
        <v>67</v>
      </c>
      <c r="J907" s="153"/>
      <c r="K907" s="154"/>
      <c r="L907" s="154"/>
      <c r="M907" s="155"/>
    </row>
    <row r="908" spans="2:13">
      <c r="C908" s="113"/>
      <c r="D908" s="131" t="s">
        <v>4</v>
      </c>
      <c r="E908" s="132" t="s">
        <v>5</v>
      </c>
      <c r="F908" s="80"/>
      <c r="G908" s="109"/>
      <c r="I908" s="112" t="s">
        <v>168</v>
      </c>
      <c r="J908" s="156"/>
      <c r="K908" s="157"/>
      <c r="L908" s="79" t="s">
        <v>6</v>
      </c>
      <c r="M908" s="108" t="s">
        <v>7</v>
      </c>
    </row>
    <row r="909" spans="2:13">
      <c r="C909" s="113"/>
      <c r="D909" s="131"/>
      <c r="E909" s="132"/>
      <c r="F909" s="80"/>
      <c r="G909" s="109"/>
      <c r="I909" s="139"/>
      <c r="J909" s="131" t="s">
        <v>4</v>
      </c>
      <c r="K909" s="132" t="s">
        <v>5</v>
      </c>
      <c r="L909" s="80"/>
      <c r="M909" s="140"/>
    </row>
    <row r="910" spans="2:13" ht="12.75" customHeight="1">
      <c r="C910" s="113" t="s">
        <v>77</v>
      </c>
      <c r="D910" s="131"/>
      <c r="E910" s="132"/>
      <c r="F910" s="80"/>
      <c r="G910" s="109"/>
      <c r="I910" s="114"/>
      <c r="J910" s="107"/>
      <c r="K910" s="74"/>
      <c r="L910" s="80"/>
      <c r="M910" s="110"/>
    </row>
    <row r="911" spans="2:13">
      <c r="C911" s="114" t="s">
        <v>78</v>
      </c>
      <c r="D911" s="107">
        <f>360.434+80.71</f>
        <v>441.14400000000001</v>
      </c>
      <c r="E911" s="74">
        <f t="shared" ref="E911:E916" si="20">D911*$J$904</f>
        <v>117.4325328</v>
      </c>
      <c r="F911" s="80"/>
      <c r="G911" s="109"/>
      <c r="I911" s="114" t="s">
        <v>13</v>
      </c>
      <c r="J911" s="146">
        <f>D912</f>
        <v>3892.3580000000002</v>
      </c>
      <c r="K911" s="74">
        <f>J911*$J$904</f>
        <v>1036.1456995999999</v>
      </c>
      <c r="L911" s="87"/>
      <c r="M911" s="109"/>
    </row>
    <row r="912" spans="2:13">
      <c r="C912" s="114" t="s">
        <v>13</v>
      </c>
      <c r="D912" s="107">
        <v>3892.3580000000002</v>
      </c>
      <c r="E912" s="74">
        <f t="shared" si="20"/>
        <v>1036.1456995999999</v>
      </c>
      <c r="F912" s="87"/>
      <c r="G912" s="110"/>
      <c r="I912" s="114" t="s">
        <v>79</v>
      </c>
      <c r="J912" s="146">
        <f>D913</f>
        <v>1417.673</v>
      </c>
      <c r="K912" s="74">
        <f>J912*$J$904</f>
        <v>377.38455260000001</v>
      </c>
      <c r="L912" s="80"/>
      <c r="M912" s="109"/>
    </row>
    <row r="913" spans="3:13">
      <c r="C913" s="114" t="s">
        <v>79</v>
      </c>
      <c r="D913" s="107">
        <v>1417.673</v>
      </c>
      <c r="E913" s="74">
        <f t="shared" si="20"/>
        <v>377.38455260000001</v>
      </c>
      <c r="F913" s="80"/>
      <c r="G913" s="109"/>
      <c r="I913" s="114" t="s">
        <v>15</v>
      </c>
      <c r="J913" s="146">
        <f>D914</f>
        <v>397.53399999999999</v>
      </c>
      <c r="K913" s="74">
        <f>J913*$J$904</f>
        <v>105.82355079999999</v>
      </c>
      <c r="L913" s="80"/>
      <c r="M913" s="109"/>
    </row>
    <row r="914" spans="3:13" ht="12.75" customHeight="1">
      <c r="C914" s="114" t="s">
        <v>15</v>
      </c>
      <c r="D914" s="107">
        <v>397.53399999999999</v>
      </c>
      <c r="E914" s="74">
        <f t="shared" si="20"/>
        <v>105.82355079999999</v>
      </c>
      <c r="F914" s="80"/>
      <c r="G914" s="109"/>
      <c r="I914" s="114" t="s">
        <v>80</v>
      </c>
      <c r="J914" s="146">
        <f>D915</f>
        <v>368.68299999999999</v>
      </c>
      <c r="K914" s="74">
        <f>J914*$J$904</f>
        <v>98.1434146</v>
      </c>
      <c r="L914" s="80"/>
      <c r="M914" s="109"/>
    </row>
    <row r="915" spans="3:13">
      <c r="C915" s="114" t="s">
        <v>80</v>
      </c>
      <c r="D915" s="107">
        <v>368.68299999999999</v>
      </c>
      <c r="E915" s="74">
        <f t="shared" si="20"/>
        <v>98.1434146</v>
      </c>
      <c r="F915" s="80"/>
      <c r="G915" s="109"/>
      <c r="I915" s="114" t="s">
        <v>81</v>
      </c>
      <c r="J915" s="146">
        <f>D916</f>
        <v>122.25</v>
      </c>
      <c r="K915" s="74">
        <f>J915*$J$904</f>
        <v>32.542949999999998</v>
      </c>
      <c r="L915" s="87"/>
      <c r="M915" s="109"/>
    </row>
    <row r="916" spans="3:13">
      <c r="C916" s="114" t="s">
        <v>81</v>
      </c>
      <c r="D916" s="107">
        <v>122.25</v>
      </c>
      <c r="E916" s="74">
        <f t="shared" si="20"/>
        <v>32.542949999999998</v>
      </c>
      <c r="F916" s="87"/>
      <c r="G916" s="110"/>
      <c r="I916" s="147"/>
      <c r="J916" s="158"/>
      <c r="K916" s="159"/>
      <c r="L916" s="80"/>
      <c r="M916" s="109"/>
    </row>
    <row r="917" spans="3:13">
      <c r="C917" s="113" t="s">
        <v>82</v>
      </c>
      <c r="D917" s="160">
        <f>SUM(D911:D916)</f>
        <v>6639.6419999999998</v>
      </c>
      <c r="E917" s="159">
        <f>SUM(E911:E916)</f>
        <v>1767.4727003999999</v>
      </c>
      <c r="F917" s="161">
        <f>D917/D928</f>
        <v>1.9011143879742305</v>
      </c>
      <c r="G917" s="161">
        <f>E917/E928</f>
        <v>1.8980822336921959</v>
      </c>
      <c r="I917" s="147"/>
      <c r="J917" s="107"/>
      <c r="K917" s="74"/>
      <c r="L917" s="80"/>
      <c r="M917" s="109"/>
    </row>
    <row r="918" spans="3:13">
      <c r="C918" s="114"/>
      <c r="D918" s="107"/>
      <c r="E918" s="74"/>
      <c r="F918" s="80"/>
      <c r="G918" s="109"/>
      <c r="I918" s="114" t="s">
        <v>83</v>
      </c>
      <c r="J918" s="146">
        <f>D919</f>
        <v>1608.8610000000001</v>
      </c>
      <c r="K918" s="74">
        <f>J918*$J$904</f>
        <v>428.27879820000004</v>
      </c>
      <c r="L918" s="80"/>
      <c r="M918" s="109"/>
    </row>
    <row r="919" spans="3:13">
      <c r="C919" s="114" t="s">
        <v>83</v>
      </c>
      <c r="D919" s="107">
        <v>1608.8610000000001</v>
      </c>
      <c r="E919" s="74">
        <f>D919*$J$904</f>
        <v>428.27879820000004</v>
      </c>
      <c r="F919" s="80"/>
      <c r="G919" s="109"/>
      <c r="I919" s="114" t="s">
        <v>18</v>
      </c>
      <c r="J919" s="146">
        <f>D920</f>
        <v>1896.479</v>
      </c>
      <c r="K919" s="74">
        <f>J919*$J$904</f>
        <v>504.84270980000002</v>
      </c>
      <c r="L919" s="80"/>
      <c r="M919" s="109"/>
    </row>
    <row r="920" spans="3:13">
      <c r="C920" s="114" t="s">
        <v>18</v>
      </c>
      <c r="D920" s="107">
        <v>1896.479</v>
      </c>
      <c r="E920" s="74">
        <f>D920*$J$904</f>
        <v>504.84270980000002</v>
      </c>
      <c r="F920" s="80"/>
      <c r="G920" s="109"/>
      <c r="I920" s="114" t="s">
        <v>43</v>
      </c>
      <c r="J920" s="146">
        <f>D921</f>
        <v>78.394999999999996</v>
      </c>
      <c r="K920" s="74">
        <f>J920*$J$904</f>
        <v>20.868748999999998</v>
      </c>
      <c r="L920" s="80"/>
      <c r="M920" s="109"/>
    </row>
    <row r="921" spans="3:13">
      <c r="C921" s="114" t="s">
        <v>43</v>
      </c>
      <c r="D921" s="107">
        <f>Model!AD102</f>
        <v>78.394999999999996</v>
      </c>
      <c r="E921" s="74">
        <f>D921*$J$904</f>
        <v>20.868748999999998</v>
      </c>
      <c r="F921" s="80"/>
      <c r="G921" s="109"/>
      <c r="I921" s="81"/>
      <c r="J921" s="107"/>
      <c r="K921" s="74"/>
      <c r="L921" s="80"/>
      <c r="M921" s="109"/>
    </row>
    <row r="922" spans="3:13">
      <c r="C922" s="114"/>
      <c r="D922" s="107"/>
      <c r="E922" s="74"/>
      <c r="F922" s="80"/>
      <c r="G922" s="109"/>
      <c r="I922" s="133" t="s">
        <v>84</v>
      </c>
      <c r="J922" s="119">
        <f>SUM(J910:J920)</f>
        <v>9782.2330000000002</v>
      </c>
      <c r="K922" s="120">
        <f>SUM(K910:K920)</f>
        <v>2604.0304246000005</v>
      </c>
      <c r="L922" s="121">
        <f>+J922/J927</f>
        <v>2.8009256979241233</v>
      </c>
      <c r="M922" s="122">
        <f>+K922/K927</f>
        <v>2.7964584028984567</v>
      </c>
    </row>
    <row r="923" spans="3:13">
      <c r="C923" s="133" t="s">
        <v>84</v>
      </c>
      <c r="D923" s="119">
        <f>+D917+D919+D920+D921</f>
        <v>10223.377</v>
      </c>
      <c r="E923" s="120">
        <f>+E917+E919+E920+E921</f>
        <v>2721.4629574000005</v>
      </c>
      <c r="F923" s="121">
        <f>+D923/D928</f>
        <v>2.9272375089477451</v>
      </c>
      <c r="G923" s="122">
        <f>+E923/E928</f>
        <v>2.9225687547668122</v>
      </c>
      <c r="I923" s="134" t="s">
        <v>25</v>
      </c>
      <c r="J923" s="123">
        <f>D924</f>
        <v>580.91300000000001</v>
      </c>
      <c r="K923" s="74">
        <f>J923*$J$904</f>
        <v>154.63904059999999</v>
      </c>
      <c r="L923" s="124"/>
      <c r="M923" s="125"/>
    </row>
    <row r="924" spans="3:13">
      <c r="C924" s="134" t="s">
        <v>25</v>
      </c>
      <c r="D924" s="123">
        <f>Model!AD109</f>
        <v>580.91300000000001</v>
      </c>
      <c r="E924" s="74">
        <f>D924*$J$904</f>
        <v>154.63904059999999</v>
      </c>
      <c r="F924" s="124"/>
      <c r="G924" s="125"/>
      <c r="I924" s="133" t="s">
        <v>26</v>
      </c>
      <c r="J924" s="119">
        <f>J922-J923</f>
        <v>9201.32</v>
      </c>
      <c r="K924" s="120">
        <f>K922-K923</f>
        <v>2449.3913840000005</v>
      </c>
      <c r="L924" s="121">
        <f>+J924/J927</f>
        <v>2.6345941302791696</v>
      </c>
      <c r="M924" s="122">
        <f>+K924/K927</f>
        <v>2.630392123327836</v>
      </c>
    </row>
    <row r="925" spans="3:13">
      <c r="C925" s="133" t="s">
        <v>26</v>
      </c>
      <c r="D925" s="119">
        <f>+D923-D924</f>
        <v>9642.4639999999999</v>
      </c>
      <c r="E925" s="120">
        <f>+E923-E924</f>
        <v>2566.8239168000005</v>
      </c>
      <c r="F925" s="121">
        <f>+D925/D928</f>
        <v>2.7609059413027919</v>
      </c>
      <c r="G925" s="122">
        <f>+E925/E928</f>
        <v>2.7565024751961915</v>
      </c>
      <c r="I925" s="135" t="s">
        <v>27</v>
      </c>
      <c r="J925" s="126">
        <f>D926</f>
        <v>16618.413</v>
      </c>
      <c r="K925" s="74">
        <f>J925*$J$904</f>
        <v>4423.8215405999999</v>
      </c>
      <c r="L925" s="115"/>
      <c r="M925" s="111"/>
    </row>
    <row r="926" spans="3:13">
      <c r="C926" s="135" t="s">
        <v>27</v>
      </c>
      <c r="D926" s="126">
        <f>Model!AD116</f>
        <v>16618.413</v>
      </c>
      <c r="E926" s="74">
        <f>D926*$J$904</f>
        <v>4423.8215405999999</v>
      </c>
      <c r="F926" s="115"/>
      <c r="G926" s="111"/>
      <c r="I926" s="133" t="s">
        <v>28</v>
      </c>
      <c r="J926" s="119">
        <f>J922+J925</f>
        <v>26400.646000000001</v>
      </c>
      <c r="K926" s="120">
        <f>K922+K925</f>
        <v>7027.8519652000004</v>
      </c>
      <c r="L926" s="121">
        <f>J926/J927</f>
        <v>7.5592400858983542</v>
      </c>
      <c r="M926" s="122">
        <f>K926/K927</f>
        <v>7.5471835876989966</v>
      </c>
    </row>
    <row r="927" spans="3:13">
      <c r="C927" s="133" t="s">
        <v>28</v>
      </c>
      <c r="D927" s="119">
        <f>D923+D926</f>
        <v>26841.79</v>
      </c>
      <c r="E927" s="120">
        <f>E923+E926</f>
        <v>7145.2844980000009</v>
      </c>
      <c r="F927" s="121">
        <f>D927/D928</f>
        <v>7.685551896921976</v>
      </c>
      <c r="G927" s="122">
        <f>E927/E928</f>
        <v>7.673293939567353</v>
      </c>
      <c r="I927" s="136" t="s">
        <v>29</v>
      </c>
      <c r="J927" s="127">
        <f>D928</f>
        <v>3492.5</v>
      </c>
      <c r="K927" s="128">
        <f>J927*$J$905</f>
        <v>931.18868562499995</v>
      </c>
      <c r="L927" s="129"/>
      <c r="M927" s="130"/>
    </row>
    <row r="928" spans="3:13">
      <c r="C928" s="136" t="s">
        <v>29</v>
      </c>
      <c r="D928" s="127">
        <f>Model!AD82</f>
        <v>3492.5</v>
      </c>
      <c r="E928" s="128">
        <f>D928*$J$905</f>
        <v>931.18868562499995</v>
      </c>
      <c r="F928" s="129"/>
      <c r="G928" s="130"/>
    </row>
    <row r="930" spans="3:5">
      <c r="C930" s="82" t="s">
        <v>30</v>
      </c>
      <c r="D930" s="83">
        <f>D923-Model!AD112</f>
        <v>0</v>
      </c>
      <c r="E930" s="84"/>
    </row>
    <row r="931" spans="3:5" ht="13.5" thickBot="1">
      <c r="D931" s="105"/>
      <c r="E931" s="105"/>
    </row>
    <row r="932" spans="3:5">
      <c r="C932" s="55" t="s">
        <v>169</v>
      </c>
      <c r="D932" s="102" t="s">
        <v>87</v>
      </c>
      <c r="E932" s="103" t="s">
        <v>88</v>
      </c>
    </row>
    <row r="933" spans="3:5">
      <c r="C933" s="56"/>
      <c r="D933" s="85"/>
      <c r="E933" s="69"/>
    </row>
    <row r="934" spans="3:5">
      <c r="C934" s="56" t="s">
        <v>32</v>
      </c>
      <c r="D934" s="98">
        <f>D924</f>
        <v>580.91300000000001</v>
      </c>
      <c r="E934" s="99">
        <f>E924</f>
        <v>154.63904059999999</v>
      </c>
    </row>
    <row r="935" spans="3:5">
      <c r="C935" s="56"/>
      <c r="D935" s="98"/>
      <c r="E935" s="99"/>
    </row>
    <row r="936" spans="3:5" ht="13.5" thickBot="1">
      <c r="C936" s="95" t="s">
        <v>33</v>
      </c>
      <c r="D936" s="101">
        <f>SUM(D934:D935)</f>
        <v>580.91300000000001</v>
      </c>
      <c r="E936" s="101">
        <f>SUM(E934:E935)</f>
        <v>154.63904059999999</v>
      </c>
    </row>
    <row r="938" spans="3:5" ht="13.5" thickBot="1"/>
    <row r="939" spans="3:5">
      <c r="C939" s="88" t="s">
        <v>170</v>
      </c>
      <c r="D939" s="102" t="s">
        <v>87</v>
      </c>
      <c r="E939" s="89" t="s">
        <v>88</v>
      </c>
    </row>
    <row r="940" spans="3:5">
      <c r="C940" s="90"/>
      <c r="D940" s="104"/>
      <c r="E940" s="100"/>
    </row>
    <row r="941" spans="3:5">
      <c r="C941" s="90" t="s">
        <v>35</v>
      </c>
      <c r="D941" s="94">
        <v>2600</v>
      </c>
      <c r="E941" s="100">
        <f t="shared" ref="E941:E946" si="21">D941*$J$904</f>
        <v>692.12</v>
      </c>
    </row>
    <row r="942" spans="3:5">
      <c r="C942" s="90" t="s">
        <v>36</v>
      </c>
      <c r="D942" s="94">
        <v>1100</v>
      </c>
      <c r="E942" s="100">
        <f t="shared" si="21"/>
        <v>292.82</v>
      </c>
    </row>
    <row r="943" spans="3:5">
      <c r="C943" s="90" t="s">
        <v>37</v>
      </c>
      <c r="D943" s="94">
        <v>2800</v>
      </c>
      <c r="E943" s="100">
        <f t="shared" si="21"/>
        <v>745.36</v>
      </c>
    </row>
    <row r="944" spans="3:5">
      <c r="C944" s="90" t="s">
        <v>38</v>
      </c>
      <c r="D944" s="94">
        <v>700</v>
      </c>
      <c r="E944" s="100">
        <f t="shared" si="21"/>
        <v>186.34</v>
      </c>
    </row>
    <row r="945" spans="2:13">
      <c r="C945" s="90" t="s">
        <v>39</v>
      </c>
      <c r="D945" s="94">
        <v>1200</v>
      </c>
      <c r="E945" s="100">
        <f t="shared" si="21"/>
        <v>319.44</v>
      </c>
    </row>
    <row r="946" spans="2:13">
      <c r="C946" s="90" t="s">
        <v>40</v>
      </c>
      <c r="D946" s="94">
        <v>1300</v>
      </c>
      <c r="E946" s="100">
        <f t="shared" si="21"/>
        <v>346.06</v>
      </c>
    </row>
    <row r="947" spans="2:13" ht="13.5" thickBot="1">
      <c r="C947" s="90"/>
      <c r="D947" s="94"/>
      <c r="E947" s="100"/>
    </row>
    <row r="948" spans="2:13" ht="13.5" thickBot="1">
      <c r="C948" s="91" t="s">
        <v>41</v>
      </c>
      <c r="D948" s="106">
        <f>SUM(D940:D947)</f>
        <v>9700</v>
      </c>
      <c r="E948" s="106">
        <f>SUM(E940:E947)</f>
        <v>2582.14</v>
      </c>
    </row>
    <row r="949" spans="2:13">
      <c r="C949" s="90" t="s">
        <v>42</v>
      </c>
      <c r="D949" s="104">
        <f>D911</f>
        <v>441.14400000000001</v>
      </c>
      <c r="E949" s="100">
        <f>D949*$J$904</f>
        <v>117.4325328</v>
      </c>
    </row>
    <row r="950" spans="2:13" ht="13.5" customHeight="1" thickBot="1">
      <c r="C950" s="90" t="s">
        <v>43</v>
      </c>
      <c r="D950" s="104">
        <f>D921</f>
        <v>78.394999999999996</v>
      </c>
      <c r="E950" s="100">
        <f>D950*$J$904</f>
        <v>20.868748999999998</v>
      </c>
    </row>
    <row r="951" spans="2:13" ht="13.5" thickBot="1">
      <c r="C951" s="91" t="s">
        <v>44</v>
      </c>
      <c r="D951" s="106">
        <f>+D948+D949+D950</f>
        <v>10219.539000000001</v>
      </c>
      <c r="E951" s="106">
        <f>+E948+E949+E950</f>
        <v>2720.4412818000001</v>
      </c>
    </row>
    <row r="952" spans="2:13">
      <c r="C952" s="141" t="s">
        <v>164</v>
      </c>
      <c r="D952" s="117"/>
      <c r="E952" s="116"/>
    </row>
    <row r="953" spans="2:13">
      <c r="B953" s="50"/>
    </row>
    <row r="954" spans="2:13">
      <c r="B954" s="50"/>
    </row>
    <row r="955" spans="2:13">
      <c r="B955" s="50" t="s">
        <v>171</v>
      </c>
      <c r="I955" s="50" t="s">
        <v>172</v>
      </c>
      <c r="J955" s="165">
        <f>Model!AC203</f>
        <v>0.26666699999999999</v>
      </c>
    </row>
    <row r="956" spans="2:13">
      <c r="B956" s="50"/>
      <c r="I956" s="50" t="s">
        <v>173</v>
      </c>
      <c r="J956" s="165">
        <f>Model!AC205</f>
        <v>0.26666699999999999</v>
      </c>
    </row>
    <row r="957" spans="2:13">
      <c r="B957" s="50"/>
    </row>
    <row r="958" spans="2:13">
      <c r="C958" s="112" t="s">
        <v>174</v>
      </c>
      <c r="D958" s="371"/>
      <c r="E958" s="372"/>
      <c r="F958" s="79" t="s">
        <v>6</v>
      </c>
      <c r="G958" s="108" t="s">
        <v>7</v>
      </c>
      <c r="I958" s="142" t="s">
        <v>67</v>
      </c>
      <c r="J958" s="153"/>
      <c r="K958" s="154"/>
      <c r="L958" s="154"/>
      <c r="M958" s="155"/>
    </row>
    <row r="959" spans="2:13">
      <c r="C959" s="113"/>
      <c r="D959" s="131" t="s">
        <v>4</v>
      </c>
      <c r="E959" s="132" t="s">
        <v>5</v>
      </c>
      <c r="F959" s="80"/>
      <c r="G959" s="109"/>
      <c r="I959" s="112" t="s">
        <v>175</v>
      </c>
      <c r="J959" s="156"/>
      <c r="K959" s="157"/>
      <c r="L959" s="79" t="s">
        <v>6</v>
      </c>
      <c r="M959" s="108" t="s">
        <v>7</v>
      </c>
    </row>
    <row r="960" spans="2:13">
      <c r="C960" s="113"/>
      <c r="D960" s="131"/>
      <c r="E960" s="132"/>
      <c r="F960" s="80"/>
      <c r="G960" s="109"/>
      <c r="I960" s="139"/>
      <c r="J960" s="131" t="s">
        <v>4</v>
      </c>
      <c r="K960" s="132" t="s">
        <v>5</v>
      </c>
      <c r="L960" s="80"/>
      <c r="M960" s="140"/>
    </row>
    <row r="961" spans="3:13">
      <c r="C961" s="113" t="s">
        <v>77</v>
      </c>
      <c r="D961" s="131"/>
      <c r="E961" s="132"/>
      <c r="F961" s="80"/>
      <c r="G961" s="109"/>
      <c r="I961" s="114"/>
      <c r="J961" s="107"/>
      <c r="K961" s="74"/>
      <c r="L961" s="80"/>
      <c r="M961" s="110"/>
    </row>
    <row r="962" spans="3:13">
      <c r="C962" s="114" t="s">
        <v>78</v>
      </c>
      <c r="D962" s="107">
        <f>316.591+80.881</f>
        <v>397.47199999999998</v>
      </c>
      <c r="E962" s="74">
        <f t="shared" ref="E962:E967" si="22">D962*$J$955</f>
        <v>105.99266582399999</v>
      </c>
      <c r="F962" s="80"/>
      <c r="G962" s="109"/>
      <c r="I962" s="114" t="s">
        <v>13</v>
      </c>
      <c r="J962" s="146">
        <f>D963</f>
        <v>4430.5649999999996</v>
      </c>
      <c r="K962" s="74">
        <f>J962*$J$955</f>
        <v>1181.4854768549999</v>
      </c>
      <c r="L962" s="87"/>
      <c r="M962" s="109"/>
    </row>
    <row r="963" spans="3:13">
      <c r="C963" s="114" t="s">
        <v>13</v>
      </c>
      <c r="D963" s="107">
        <v>4430.5649999999996</v>
      </c>
      <c r="E963" s="74">
        <f t="shared" si="22"/>
        <v>1181.4854768549999</v>
      </c>
      <c r="F963" s="87"/>
      <c r="G963" s="110"/>
      <c r="I963" s="114" t="s">
        <v>79</v>
      </c>
      <c r="J963" s="146">
        <f>D964</f>
        <v>1647.58</v>
      </c>
      <c r="K963" s="74">
        <f>J963*$J$955</f>
        <v>439.35521585999999</v>
      </c>
      <c r="L963" s="80"/>
      <c r="M963" s="109"/>
    </row>
    <row r="964" spans="3:13">
      <c r="C964" s="114" t="s">
        <v>79</v>
      </c>
      <c r="D964" s="107">
        <v>1647.58</v>
      </c>
      <c r="E964" s="74">
        <f t="shared" si="22"/>
        <v>439.35521585999999</v>
      </c>
      <c r="F964" s="80"/>
      <c r="G964" s="109"/>
      <c r="I964" s="114" t="s">
        <v>15</v>
      </c>
      <c r="J964" s="146">
        <f>D965</f>
        <v>383.67099999999999</v>
      </c>
      <c r="K964" s="74">
        <f>J964*$J$955</f>
        <v>102.31239455699999</v>
      </c>
      <c r="L964" s="80"/>
      <c r="M964" s="109"/>
    </row>
    <row r="965" spans="3:13">
      <c r="C965" s="114" t="s">
        <v>15</v>
      </c>
      <c r="D965" s="107">
        <v>383.67099999999999</v>
      </c>
      <c r="E965" s="74">
        <f t="shared" si="22"/>
        <v>102.31239455699999</v>
      </c>
      <c r="F965" s="80"/>
      <c r="G965" s="109"/>
      <c r="I965" s="114" t="s">
        <v>80</v>
      </c>
      <c r="J965" s="146">
        <f>D966</f>
        <v>224.54400000000001</v>
      </c>
      <c r="K965" s="74">
        <f>J965*$J$955</f>
        <v>59.878474848000003</v>
      </c>
      <c r="L965" s="80"/>
      <c r="M965" s="109"/>
    </row>
    <row r="966" spans="3:13">
      <c r="C966" s="114" t="s">
        <v>80</v>
      </c>
      <c r="D966" s="107">
        <v>224.54400000000001</v>
      </c>
      <c r="E966" s="74">
        <f t="shared" si="22"/>
        <v>59.878474848000003</v>
      </c>
      <c r="F966" s="80"/>
      <c r="G966" s="109"/>
      <c r="I966" s="114" t="s">
        <v>81</v>
      </c>
      <c r="J966" s="146">
        <f>D967</f>
        <v>121.346</v>
      </c>
      <c r="K966" s="74">
        <f>J966*$J$955</f>
        <v>32.358973782</v>
      </c>
      <c r="L966" s="87"/>
      <c r="M966" s="109"/>
    </row>
    <row r="967" spans="3:13">
      <c r="C967" s="114" t="s">
        <v>81</v>
      </c>
      <c r="D967" s="107">
        <v>121.346</v>
      </c>
      <c r="E967" s="74">
        <f t="shared" si="22"/>
        <v>32.358973782</v>
      </c>
      <c r="F967" s="87"/>
      <c r="G967" s="110"/>
      <c r="I967" s="147"/>
      <c r="J967" s="158"/>
      <c r="K967" s="159"/>
      <c r="L967" s="80"/>
      <c r="M967" s="109"/>
    </row>
    <row r="968" spans="3:13">
      <c r="C968" s="113" t="s">
        <v>82</v>
      </c>
      <c r="D968" s="160">
        <f>SUM(D962:D967)</f>
        <v>7205.1779999999999</v>
      </c>
      <c r="E968" s="159">
        <f>SUM(E962:E967)</f>
        <v>1921.3832017259999</v>
      </c>
      <c r="F968" s="161">
        <f>D968/D979</f>
        <v>2.0334654135974937</v>
      </c>
      <c r="G968" s="161">
        <f>E968/E979</f>
        <v>2.0334654135974937</v>
      </c>
      <c r="I968" s="147"/>
      <c r="J968" s="107"/>
      <c r="K968" s="74"/>
      <c r="L968" s="80"/>
      <c r="M968" s="109"/>
    </row>
    <row r="969" spans="3:13">
      <c r="C969" s="114"/>
      <c r="D969" s="107"/>
      <c r="E969" s="74"/>
      <c r="F969" s="80"/>
      <c r="G969" s="109"/>
      <c r="I969" s="114" t="s">
        <v>83</v>
      </c>
      <c r="J969" s="146">
        <f>D970</f>
        <v>1600.5219999999999</v>
      </c>
      <c r="K969" s="74">
        <f>J969*$J$955</f>
        <v>426.80640017399998</v>
      </c>
      <c r="L969" s="80"/>
      <c r="M969" s="109"/>
    </row>
    <row r="970" spans="3:13">
      <c r="C970" s="114" t="s">
        <v>83</v>
      </c>
      <c r="D970" s="107">
        <v>1600.5219999999999</v>
      </c>
      <c r="E970" s="74">
        <f>D970*$J$955</f>
        <v>426.80640017399998</v>
      </c>
      <c r="F970" s="80"/>
      <c r="G970" s="109"/>
      <c r="I970" s="114" t="s">
        <v>18</v>
      </c>
      <c r="J970" s="146">
        <f>D971</f>
        <v>1875.1959999999999</v>
      </c>
      <c r="K970" s="74">
        <f>J970*$J$955</f>
        <v>500.05289173199998</v>
      </c>
      <c r="L970" s="80"/>
      <c r="M970" s="109"/>
    </row>
    <row r="971" spans="3:13">
      <c r="C971" s="114" t="s">
        <v>18</v>
      </c>
      <c r="D971" s="107">
        <v>1875.1959999999999</v>
      </c>
      <c r="E971" s="74">
        <f>D971*$J$955</f>
        <v>500.05289173199998</v>
      </c>
      <c r="F971" s="80"/>
      <c r="G971" s="109"/>
      <c r="I971" s="114" t="s">
        <v>43</v>
      </c>
      <c r="J971" s="146">
        <f>D972</f>
        <v>62.63</v>
      </c>
      <c r="K971" s="74">
        <f>J971*$J$955</f>
        <v>16.701354210000002</v>
      </c>
      <c r="L971" s="80"/>
      <c r="M971" s="109"/>
    </row>
    <row r="972" spans="3:13">
      <c r="C972" s="114" t="s">
        <v>43</v>
      </c>
      <c r="D972" s="107">
        <f>Model!AC102</f>
        <v>62.63</v>
      </c>
      <c r="E972" s="74">
        <f>D972*$J$955</f>
        <v>16.701354210000002</v>
      </c>
      <c r="F972" s="80"/>
      <c r="G972" s="109"/>
      <c r="I972" s="81"/>
      <c r="J972" s="107"/>
      <c r="K972" s="74"/>
      <c r="L972" s="80"/>
      <c r="M972" s="109"/>
    </row>
    <row r="973" spans="3:13">
      <c r="C973" s="114"/>
      <c r="D973" s="107"/>
      <c r="E973" s="74"/>
      <c r="F973" s="80"/>
      <c r="G973" s="109"/>
      <c r="I973" s="133" t="s">
        <v>84</v>
      </c>
      <c r="J973" s="119">
        <f>SUM(J961:J971)</f>
        <v>10346.053999999998</v>
      </c>
      <c r="K973" s="120">
        <f>SUM(K961:K971)</f>
        <v>2758.9511820179996</v>
      </c>
      <c r="L973" s="121">
        <f>+J973/J978</f>
        <v>2.9198921908954922</v>
      </c>
      <c r="M973" s="122">
        <f>+K973/K978</f>
        <v>2.9198921908954922</v>
      </c>
    </row>
    <row r="974" spans="3:13">
      <c r="C974" s="133" t="s">
        <v>84</v>
      </c>
      <c r="D974" s="119">
        <f>+D968+D970+D971+D972</f>
        <v>10743.526</v>
      </c>
      <c r="E974" s="120">
        <f>+E968+E970+E971+E972</f>
        <v>2864.9438478419997</v>
      </c>
      <c r="F974" s="121">
        <f>+D974/D979</f>
        <v>3.0320678463579149</v>
      </c>
      <c r="G974" s="122">
        <f>+E974/E979</f>
        <v>3.0320678463579145</v>
      </c>
      <c r="I974" s="134" t="s">
        <v>25</v>
      </c>
      <c r="J974" s="123">
        <f>D975</f>
        <v>572.74300000000005</v>
      </c>
      <c r="K974" s="74">
        <f>J974*$J$955</f>
        <v>152.73165758100001</v>
      </c>
      <c r="L974" s="124"/>
      <c r="M974" s="125"/>
    </row>
    <row r="975" spans="3:13">
      <c r="C975" s="134" t="s">
        <v>25</v>
      </c>
      <c r="D975" s="123">
        <f>Model!AC109</f>
        <v>572.74300000000005</v>
      </c>
      <c r="E975" s="74">
        <f>D975*$J$955</f>
        <v>152.73165758100001</v>
      </c>
      <c r="F975" s="124"/>
      <c r="G975" s="125"/>
      <c r="I975" s="133" t="s">
        <v>26</v>
      </c>
      <c r="J975" s="119">
        <f>J973-J974</f>
        <v>9773.3109999999979</v>
      </c>
      <c r="K975" s="120">
        <f>K973-K974</f>
        <v>2606.2195244369996</v>
      </c>
      <c r="L975" s="121">
        <f>+J975/J978</f>
        <v>2.7582510653910188</v>
      </c>
      <c r="M975" s="122">
        <f>+K975/K978</f>
        <v>2.7582510653910193</v>
      </c>
    </row>
    <row r="976" spans="3:13">
      <c r="C976" s="133" t="s">
        <v>26</v>
      </c>
      <c r="D976" s="119">
        <f>+D974-D975</f>
        <v>10170.782999999999</v>
      </c>
      <c r="E976" s="120">
        <f>+E974-E975</f>
        <v>2712.2121902609997</v>
      </c>
      <c r="F976" s="121">
        <f>+D976/D979</f>
        <v>2.8704267208534415</v>
      </c>
      <c r="G976" s="122">
        <f>+E976/E979</f>
        <v>2.8704267208534411</v>
      </c>
      <c r="I976" s="135" t="s">
        <v>27</v>
      </c>
      <c r="J976" s="126">
        <f>D977</f>
        <v>16366.518</v>
      </c>
      <c r="K976" s="74">
        <f>J976*$J$955</f>
        <v>4364.4102555059999</v>
      </c>
      <c r="L976" s="115"/>
      <c r="M976" s="111"/>
    </row>
    <row r="977" spans="3:13">
      <c r="C977" s="135" t="s">
        <v>27</v>
      </c>
      <c r="D977" s="126">
        <f>Model!AC116</f>
        <v>16366.518</v>
      </c>
      <c r="E977" s="74">
        <f>D977*$J$955</f>
        <v>4364.4102555059999</v>
      </c>
      <c r="F977" s="115"/>
      <c r="G977" s="111"/>
      <c r="I977" s="133" t="s">
        <v>28</v>
      </c>
      <c r="J977" s="119">
        <f>J973+J976</f>
        <v>26712.572</v>
      </c>
      <c r="K977" s="120">
        <f>K973+K976</f>
        <v>7123.3614375239995</v>
      </c>
      <c r="L977" s="121">
        <f>J977/J978</f>
        <v>7.5388965089041289</v>
      </c>
      <c r="M977" s="122">
        <f>K977/K978</f>
        <v>7.538896508904128</v>
      </c>
    </row>
    <row r="978" spans="3:13">
      <c r="C978" s="133" t="s">
        <v>28</v>
      </c>
      <c r="D978" s="119">
        <f>D974+D977</f>
        <v>27110.044000000002</v>
      </c>
      <c r="E978" s="120">
        <f>E974+E977</f>
        <v>7229.3541033479996</v>
      </c>
      <c r="F978" s="121">
        <f>D978/D979</f>
        <v>7.6510721643665507</v>
      </c>
      <c r="G978" s="122">
        <f>E978/E979</f>
        <v>7.6510721643665498</v>
      </c>
      <c r="I978" s="136" t="s">
        <v>29</v>
      </c>
      <c r="J978" s="127">
        <f>D979</f>
        <v>3543.3</v>
      </c>
      <c r="K978" s="128">
        <f>J978*$J$956</f>
        <v>944.88118110000005</v>
      </c>
      <c r="L978" s="129"/>
      <c r="M978" s="130"/>
    </row>
    <row r="979" spans="3:13">
      <c r="C979" s="136" t="s">
        <v>29</v>
      </c>
      <c r="D979" s="127">
        <f>Model!AC82</f>
        <v>3543.3</v>
      </c>
      <c r="E979" s="128">
        <f>D979*$J$956</f>
        <v>944.88118110000005</v>
      </c>
      <c r="F979" s="129"/>
      <c r="G979" s="130"/>
    </row>
    <row r="981" spans="3:13">
      <c r="C981" s="82" t="s">
        <v>30</v>
      </c>
      <c r="D981" s="83">
        <f>D974-Model!AC112</f>
        <v>0</v>
      </c>
      <c r="E981" s="84"/>
    </row>
    <row r="982" spans="3:13" ht="13.5" thickBot="1">
      <c r="D982" s="105"/>
      <c r="E982" s="105"/>
    </row>
    <row r="983" spans="3:13">
      <c r="C983" s="55" t="s">
        <v>176</v>
      </c>
      <c r="D983" s="102" t="s">
        <v>87</v>
      </c>
      <c r="E983" s="103" t="s">
        <v>88</v>
      </c>
    </row>
    <row r="984" spans="3:13">
      <c r="C984" s="56"/>
      <c r="D984" s="85"/>
      <c r="E984" s="69"/>
    </row>
    <row r="985" spans="3:13">
      <c r="C985" s="56" t="s">
        <v>32</v>
      </c>
      <c r="D985" s="98">
        <f>D975</f>
        <v>572.74300000000005</v>
      </c>
      <c r="E985" s="99">
        <f>E975</f>
        <v>152.73165758100001</v>
      </c>
    </row>
    <row r="986" spans="3:13">
      <c r="C986" s="56"/>
      <c r="D986" s="98"/>
      <c r="E986" s="99"/>
    </row>
    <row r="987" spans="3:13" ht="13.5" thickBot="1">
      <c r="C987" s="95" t="s">
        <v>33</v>
      </c>
      <c r="D987" s="101">
        <f>SUM(D985:D986)</f>
        <v>572.74300000000005</v>
      </c>
      <c r="E987" s="101">
        <f>SUM(E985:E986)</f>
        <v>152.73165758100001</v>
      </c>
    </row>
    <row r="989" spans="3:13" ht="13.5" thickBot="1"/>
    <row r="990" spans="3:13">
      <c r="C990" s="88" t="s">
        <v>177</v>
      </c>
      <c r="D990" s="102" t="s">
        <v>87</v>
      </c>
      <c r="E990" s="89" t="s">
        <v>88</v>
      </c>
    </row>
    <row r="991" spans="3:13">
      <c r="C991" s="90"/>
      <c r="D991" s="104"/>
      <c r="E991" s="100"/>
    </row>
    <row r="992" spans="3:13">
      <c r="C992" s="90" t="s">
        <v>35</v>
      </c>
      <c r="D992" s="94">
        <v>2700</v>
      </c>
      <c r="E992" s="100">
        <f t="shared" ref="E992:E997" si="23">D992*$J$955</f>
        <v>720.0009</v>
      </c>
    </row>
    <row r="993" spans="2:10">
      <c r="C993" s="90" t="s">
        <v>36</v>
      </c>
      <c r="D993" s="94">
        <v>1500</v>
      </c>
      <c r="E993" s="100">
        <f t="shared" si="23"/>
        <v>400.00049999999999</v>
      </c>
    </row>
    <row r="994" spans="2:10">
      <c r="C994" s="90" t="s">
        <v>37</v>
      </c>
      <c r="D994" s="94">
        <v>2700</v>
      </c>
      <c r="E994" s="100">
        <f t="shared" si="23"/>
        <v>720.0009</v>
      </c>
    </row>
    <row r="995" spans="2:10">
      <c r="C995" s="90" t="s">
        <v>38</v>
      </c>
      <c r="D995" s="94">
        <v>800</v>
      </c>
      <c r="E995" s="100">
        <f t="shared" si="23"/>
        <v>213.33359999999999</v>
      </c>
    </row>
    <row r="996" spans="2:10">
      <c r="C996" s="90" t="s">
        <v>39</v>
      </c>
      <c r="D996" s="94">
        <v>1400</v>
      </c>
      <c r="E996" s="100">
        <f t="shared" si="23"/>
        <v>373.3338</v>
      </c>
    </row>
    <row r="997" spans="2:10">
      <c r="C997" s="90" t="s">
        <v>40</v>
      </c>
      <c r="D997" s="94">
        <v>1300</v>
      </c>
      <c r="E997" s="100">
        <f t="shared" si="23"/>
        <v>346.6671</v>
      </c>
    </row>
    <row r="998" spans="2:10" ht="13.5" thickBot="1">
      <c r="C998" s="90"/>
      <c r="D998" s="94"/>
      <c r="E998" s="100"/>
    </row>
    <row r="999" spans="2:10" ht="13.5" thickBot="1">
      <c r="C999" s="91" t="s">
        <v>41</v>
      </c>
      <c r="D999" s="106">
        <f>SUM(D991:D998)</f>
        <v>10400</v>
      </c>
      <c r="E999" s="106">
        <f>SUM(E991:E998)</f>
        <v>2773.3368</v>
      </c>
    </row>
    <row r="1000" spans="2:10">
      <c r="C1000" s="90" t="s">
        <v>42</v>
      </c>
      <c r="D1000" s="104">
        <f>D962</f>
        <v>397.47199999999998</v>
      </c>
      <c r="E1000" s="100">
        <f>D1000*$J$955</f>
        <v>105.99266582399999</v>
      </c>
    </row>
    <row r="1001" spans="2:10" ht="13.5" thickBot="1">
      <c r="C1001" s="90" t="s">
        <v>43</v>
      </c>
      <c r="D1001" s="94">
        <f>D972</f>
        <v>62.63</v>
      </c>
      <c r="E1001" s="100">
        <f>D1001*$J$955</f>
        <v>16.701354210000002</v>
      </c>
    </row>
    <row r="1002" spans="2:10" ht="13.5" thickBot="1">
      <c r="C1002" s="91" t="s">
        <v>44</v>
      </c>
      <c r="D1002" s="106">
        <f>+D999+D1000+D1001</f>
        <v>10860.101999999999</v>
      </c>
      <c r="E1002" s="106">
        <f>+E999+E1000+E1001</f>
        <v>2896.030820034</v>
      </c>
    </row>
    <row r="1003" spans="2:10">
      <c r="C1003" s="141" t="s">
        <v>164</v>
      </c>
      <c r="D1003" s="117"/>
      <c r="E1003" s="116"/>
    </row>
    <row r="1004" spans="2:10">
      <c r="B1004" s="50"/>
    </row>
    <row r="1005" spans="2:10">
      <c r="B1005" s="50"/>
    </row>
    <row r="1006" spans="2:10">
      <c r="B1006" s="50" t="s">
        <v>178</v>
      </c>
      <c r="I1006" s="50" t="s">
        <v>179</v>
      </c>
      <c r="J1006" s="165">
        <f>Model!X203</f>
        <v>0.26666699999999999</v>
      </c>
    </row>
    <row r="1007" spans="2:10">
      <c r="B1007" s="50"/>
      <c r="I1007" s="50" t="s">
        <v>180</v>
      </c>
      <c r="J1007" s="165">
        <f>Model!X205</f>
        <v>0.266573</v>
      </c>
    </row>
    <row r="1008" spans="2:10">
      <c r="B1008" s="50"/>
    </row>
    <row r="1009" spans="3:13">
      <c r="C1009" s="112" t="s">
        <v>181</v>
      </c>
      <c r="D1009" s="371"/>
      <c r="E1009" s="372"/>
      <c r="F1009" s="79" t="s">
        <v>6</v>
      </c>
      <c r="G1009" s="108" t="s">
        <v>7</v>
      </c>
      <c r="I1009" s="142" t="s">
        <v>67</v>
      </c>
      <c r="J1009" s="153"/>
      <c r="K1009" s="154"/>
      <c r="L1009" s="154"/>
      <c r="M1009" s="155"/>
    </row>
    <row r="1010" spans="3:13">
      <c r="C1010" s="113"/>
      <c r="D1010" s="131" t="s">
        <v>4</v>
      </c>
      <c r="E1010" s="132" t="s">
        <v>5</v>
      </c>
      <c r="F1010" s="80"/>
      <c r="G1010" s="109"/>
      <c r="I1010" s="112" t="s">
        <v>181</v>
      </c>
      <c r="J1010" s="156"/>
      <c r="K1010" s="157"/>
      <c r="L1010" s="79" t="s">
        <v>6</v>
      </c>
      <c r="M1010" s="108" t="s">
        <v>7</v>
      </c>
    </row>
    <row r="1011" spans="3:13">
      <c r="C1011" s="113"/>
      <c r="D1011" s="131"/>
      <c r="E1011" s="132"/>
      <c r="F1011" s="80"/>
      <c r="G1011" s="109"/>
      <c r="I1011" s="139"/>
      <c r="J1011" s="131" t="s">
        <v>4</v>
      </c>
      <c r="K1011" s="132" t="s">
        <v>5</v>
      </c>
      <c r="L1011" s="80"/>
      <c r="M1011" s="140"/>
    </row>
    <row r="1012" spans="3:13">
      <c r="C1012" s="113" t="s">
        <v>77</v>
      </c>
      <c r="D1012" s="131"/>
      <c r="E1012" s="132"/>
      <c r="F1012" s="80"/>
      <c r="G1012" s="109"/>
      <c r="I1012" s="114"/>
      <c r="J1012" s="107"/>
      <c r="K1012" s="74"/>
      <c r="L1012" s="80"/>
      <c r="M1012" s="110"/>
    </row>
    <row r="1013" spans="3:13">
      <c r="C1013" s="114" t="s">
        <v>78</v>
      </c>
      <c r="D1013" s="107">
        <f>314.879+83.526</f>
        <v>398.40500000000003</v>
      </c>
      <c r="E1013" s="74">
        <f t="shared" ref="E1013:E1018" si="24">D1013*$J$1006</f>
        <v>106.241466135</v>
      </c>
      <c r="F1013" s="80"/>
      <c r="G1013" s="109"/>
      <c r="I1013" s="114" t="s">
        <v>13</v>
      </c>
      <c r="J1013" s="146">
        <f>D1014</f>
        <v>5028.92</v>
      </c>
      <c r="K1013" s="74">
        <f>J1013*$J$1006</f>
        <v>1341.0470096399999</v>
      </c>
      <c r="L1013" s="87"/>
      <c r="M1013" s="109"/>
    </row>
    <row r="1014" spans="3:13">
      <c r="C1014" s="114" t="s">
        <v>13</v>
      </c>
      <c r="D1014" s="107">
        <v>5028.92</v>
      </c>
      <c r="E1014" s="74">
        <f t="shared" si="24"/>
        <v>1341.0470096399999</v>
      </c>
      <c r="F1014" s="87"/>
      <c r="G1014" s="110"/>
      <c r="I1014" s="114" t="s">
        <v>79</v>
      </c>
      <c r="J1014" s="146">
        <f>D1015</f>
        <v>1633.84</v>
      </c>
      <c r="K1014" s="74">
        <f>J1014*$J$1006</f>
        <v>435.69121127999995</v>
      </c>
      <c r="L1014" s="80"/>
      <c r="M1014" s="109"/>
    </row>
    <row r="1015" spans="3:13">
      <c r="C1015" s="114" t="s">
        <v>79</v>
      </c>
      <c r="D1015" s="107">
        <v>1633.84</v>
      </c>
      <c r="E1015" s="74">
        <f t="shared" si="24"/>
        <v>435.69121127999995</v>
      </c>
      <c r="F1015" s="80"/>
      <c r="G1015" s="109"/>
      <c r="I1015" s="114" t="s">
        <v>15</v>
      </c>
      <c r="J1015" s="146">
        <f>D1016</f>
        <v>443.84399999999999</v>
      </c>
      <c r="K1015" s="74">
        <f>J1015*$J$1006</f>
        <v>118.35854794799999</v>
      </c>
      <c r="L1015" s="80"/>
      <c r="M1015" s="109"/>
    </row>
    <row r="1016" spans="3:13">
      <c r="C1016" s="114" t="s">
        <v>15</v>
      </c>
      <c r="D1016" s="107">
        <v>443.84399999999999</v>
      </c>
      <c r="E1016" s="74">
        <f t="shared" si="24"/>
        <v>118.35854794799999</v>
      </c>
      <c r="F1016" s="80"/>
      <c r="G1016" s="109"/>
      <c r="I1016" s="114" t="s">
        <v>80</v>
      </c>
      <c r="J1016" s="146">
        <f>D1017</f>
        <v>248.827</v>
      </c>
      <c r="K1016" s="74">
        <f>J1016*$J$1006</f>
        <v>66.353949608999997</v>
      </c>
      <c r="L1016" s="80"/>
      <c r="M1016" s="109"/>
    </row>
    <row r="1017" spans="3:13">
      <c r="C1017" s="114" t="s">
        <v>80</v>
      </c>
      <c r="D1017" s="107">
        <v>248.827</v>
      </c>
      <c r="E1017" s="74">
        <f t="shared" si="24"/>
        <v>66.353949608999997</v>
      </c>
      <c r="F1017" s="80"/>
      <c r="G1017" s="109"/>
      <c r="I1017" s="114" t="s">
        <v>81</v>
      </c>
      <c r="J1017" s="146">
        <f>D1018</f>
        <v>142.97</v>
      </c>
      <c r="K1017" s="74">
        <f>J1017*$J$1006</f>
        <v>38.125380989999996</v>
      </c>
      <c r="L1017" s="87"/>
      <c r="M1017" s="109"/>
    </row>
    <row r="1018" spans="3:13">
      <c r="C1018" s="114" t="s">
        <v>81</v>
      </c>
      <c r="D1018" s="107">
        <v>142.97</v>
      </c>
      <c r="E1018" s="74">
        <f t="shared" si="24"/>
        <v>38.125380989999996</v>
      </c>
      <c r="F1018" s="87"/>
      <c r="G1018" s="110"/>
      <c r="I1018" s="147"/>
      <c r="J1018" s="158"/>
      <c r="K1018" s="159"/>
      <c r="L1018" s="80"/>
      <c r="M1018" s="109"/>
    </row>
    <row r="1019" spans="3:13">
      <c r="C1019" s="113" t="s">
        <v>82</v>
      </c>
      <c r="D1019" s="160">
        <f>SUM(D1013:D1018)</f>
        <v>7896.8060000000005</v>
      </c>
      <c r="E1019" s="159">
        <f>SUM(E1013:E1018)</f>
        <v>2105.8175656019998</v>
      </c>
      <c r="F1019" s="161">
        <f>D1019/D1030</f>
        <v>2.0696105461788448</v>
      </c>
      <c r="G1019" s="161">
        <f>E1019/E1030</f>
        <v>2.0703403402365357</v>
      </c>
      <c r="I1019" s="147"/>
      <c r="J1019" s="107"/>
      <c r="K1019" s="74"/>
      <c r="L1019" s="80"/>
      <c r="M1019" s="109"/>
    </row>
    <row r="1020" spans="3:13">
      <c r="C1020" s="114"/>
      <c r="D1020" s="107"/>
      <c r="E1020" s="74"/>
      <c r="F1020" s="80"/>
      <c r="G1020" s="109"/>
      <c r="I1020" s="114" t="s">
        <v>83</v>
      </c>
      <c r="J1020" s="146">
        <f>D1021</f>
        <v>1608.5889999999999</v>
      </c>
      <c r="K1020" s="74">
        <f>J1020*$J$1006</f>
        <v>428.95760286299998</v>
      </c>
      <c r="L1020" s="80"/>
      <c r="M1020" s="109"/>
    </row>
    <row r="1021" spans="3:13">
      <c r="C1021" s="114" t="s">
        <v>83</v>
      </c>
      <c r="D1021" s="107">
        <v>1608.5889999999999</v>
      </c>
      <c r="E1021" s="74">
        <f>D1021*$J$1006</f>
        <v>428.95760286299998</v>
      </c>
      <c r="F1021" s="80"/>
      <c r="G1021" s="109"/>
      <c r="I1021" s="114" t="s">
        <v>18</v>
      </c>
      <c r="J1021" s="146">
        <f>D1022</f>
        <v>1894.8340000000001</v>
      </c>
      <c r="K1021" s="74">
        <f>J1021*$J$1006</f>
        <v>505.289698278</v>
      </c>
      <c r="L1021" s="80"/>
      <c r="M1021" s="109"/>
    </row>
    <row r="1022" spans="3:13">
      <c r="C1022" s="114" t="s">
        <v>18</v>
      </c>
      <c r="D1022" s="107">
        <v>1894.8340000000001</v>
      </c>
      <c r="E1022" s="74">
        <f>D1022*$J$1006</f>
        <v>505.289698278</v>
      </c>
      <c r="F1022" s="80"/>
      <c r="G1022" s="109"/>
      <c r="I1022" s="114" t="s">
        <v>43</v>
      </c>
      <c r="J1022" s="146">
        <f>D1023</f>
        <v>124.045</v>
      </c>
      <c r="K1022" s="74">
        <f>J1022*$J$1006</f>
        <v>33.078708014999997</v>
      </c>
      <c r="L1022" s="80"/>
      <c r="M1022" s="109"/>
    </row>
    <row r="1023" spans="3:13">
      <c r="C1023" s="114" t="s">
        <v>43</v>
      </c>
      <c r="D1023" s="107">
        <f>Model!AB102</f>
        <v>124.045</v>
      </c>
      <c r="E1023" s="74">
        <f>D1023*$J$1006</f>
        <v>33.078708014999997</v>
      </c>
      <c r="F1023" s="80"/>
      <c r="G1023" s="109"/>
      <c r="I1023" s="81"/>
      <c r="J1023" s="107"/>
      <c r="K1023" s="74"/>
      <c r="L1023" s="80"/>
      <c r="M1023" s="109"/>
    </row>
    <row r="1024" spans="3:13">
      <c r="C1024" s="114"/>
      <c r="D1024" s="107"/>
      <c r="E1024" s="74"/>
      <c r="F1024" s="80"/>
      <c r="G1024" s="109"/>
      <c r="I1024" s="133" t="s">
        <v>84</v>
      </c>
      <c r="J1024" s="119">
        <f>SUM(J1012:J1022)</f>
        <v>11125.869000000002</v>
      </c>
      <c r="K1024" s="120">
        <f>SUM(K1012:K1022)</f>
        <v>2966.9021086229995</v>
      </c>
      <c r="L1024" s="121">
        <f>+J1024/J1029</f>
        <v>2.9158897683195311</v>
      </c>
      <c r="M1024" s="122">
        <f>+K1024/K1029</f>
        <v>2.9169179806224341</v>
      </c>
    </row>
    <row r="1025" spans="3:13">
      <c r="C1025" s="133" t="s">
        <v>84</v>
      </c>
      <c r="D1025" s="119">
        <f>+D1019+D1021+D1022+D1023</f>
        <v>11524.274000000001</v>
      </c>
      <c r="E1025" s="120">
        <f>+E1019+E1021+E1022+E1023</f>
        <v>3073.1435747579994</v>
      </c>
      <c r="F1025" s="121">
        <f>+D1025/D1030</f>
        <v>3.0203045392598811</v>
      </c>
      <c r="G1025" s="122">
        <f>+E1025/E1030</f>
        <v>3.0213695707022632</v>
      </c>
      <c r="I1025" s="134" t="s">
        <v>25</v>
      </c>
      <c r="J1025" s="123">
        <f>D1026</f>
        <v>618.91200000000003</v>
      </c>
      <c r="K1025" s="74">
        <f>J1025*$J$1006</f>
        <v>165.043406304</v>
      </c>
      <c r="L1025" s="124"/>
      <c r="M1025" s="125"/>
    </row>
    <row r="1026" spans="3:13">
      <c r="C1026" s="134" t="s">
        <v>25</v>
      </c>
      <c r="D1026" s="123">
        <f>Model!AB109</f>
        <v>618.91200000000003</v>
      </c>
      <c r="E1026" s="74">
        <f>D1026*$J$1006</f>
        <v>165.043406304</v>
      </c>
      <c r="F1026" s="124"/>
      <c r="G1026" s="125"/>
      <c r="I1026" s="133" t="s">
        <v>26</v>
      </c>
      <c r="J1026" s="119">
        <f>J1024-J1025</f>
        <v>10506.957000000002</v>
      </c>
      <c r="K1026" s="120">
        <f>K1024-K1025</f>
        <v>2801.8587023189993</v>
      </c>
      <c r="L1026" s="121">
        <f>+J1026/J1029</f>
        <v>2.7536840863822212</v>
      </c>
      <c r="M1026" s="122">
        <f>+K1026/K1029</f>
        <v>2.7546551010915863</v>
      </c>
    </row>
    <row r="1027" spans="3:13">
      <c r="C1027" s="133" t="s">
        <v>26</v>
      </c>
      <c r="D1027" s="119">
        <f>+D1025-D1026</f>
        <v>10905.362000000001</v>
      </c>
      <c r="E1027" s="120">
        <f>+E1025-E1026</f>
        <v>2908.1001684539992</v>
      </c>
      <c r="F1027" s="121">
        <f>+D1027/D1030</f>
        <v>2.8580988573225707</v>
      </c>
      <c r="G1027" s="122">
        <f>+E1027/E1030</f>
        <v>2.8591066911714154</v>
      </c>
      <c r="I1027" s="135" t="s">
        <v>27</v>
      </c>
      <c r="J1027" s="126">
        <f>D1028</f>
        <v>15973.58</v>
      </c>
      <c r="K1027" s="74">
        <f>J1027*$J$1006</f>
        <v>4259.6266578599998</v>
      </c>
      <c r="L1027" s="115"/>
      <c r="M1027" s="111"/>
    </row>
    <row r="1028" spans="3:13">
      <c r="C1028" s="135" t="s">
        <v>27</v>
      </c>
      <c r="D1028" s="126">
        <f>Model!AB116</f>
        <v>15973.58</v>
      </c>
      <c r="E1028" s="74">
        <f>D1028*$J$1006</f>
        <v>4259.6266578599998</v>
      </c>
      <c r="F1028" s="115"/>
      <c r="G1028" s="111"/>
      <c r="I1028" s="133" t="s">
        <v>28</v>
      </c>
      <c r="J1028" s="119">
        <f>J1024+J1027</f>
        <v>27099.449000000001</v>
      </c>
      <c r="K1028" s="120">
        <f>K1024+K1027</f>
        <v>7226.5287664829993</v>
      </c>
      <c r="L1028" s="121">
        <f>J1028/J1029</f>
        <v>7.102277230317644</v>
      </c>
      <c r="M1028" s="122">
        <f>K1028/K1029</f>
        <v>7.1047816627232123</v>
      </c>
    </row>
    <row r="1029" spans="3:13">
      <c r="C1029" s="133" t="s">
        <v>28</v>
      </c>
      <c r="D1029" s="119">
        <f>D1025+D1028</f>
        <v>27497.853999999999</v>
      </c>
      <c r="E1029" s="120">
        <f>E1025+E1028</f>
        <v>7332.7702326179988</v>
      </c>
      <c r="F1029" s="121">
        <f>D1029/D1030</f>
        <v>7.2066920012579931</v>
      </c>
      <c r="G1029" s="122">
        <f>E1029/E1030</f>
        <v>7.2092332528030409</v>
      </c>
      <c r="I1029" s="136" t="s">
        <v>29</v>
      </c>
      <c r="J1029" s="127">
        <f>D1030</f>
        <v>3815.6</v>
      </c>
      <c r="K1029" s="128">
        <f>J1029*$J$1007</f>
        <v>1017.1359388</v>
      </c>
      <c r="L1029" s="129"/>
      <c r="M1029" s="130"/>
    </row>
    <row r="1030" spans="3:13">
      <c r="C1030" s="136" t="s">
        <v>29</v>
      </c>
      <c r="D1030" s="127">
        <f>Model!AB82</f>
        <v>3815.6</v>
      </c>
      <c r="E1030" s="128">
        <f>D1030*$J$1007</f>
        <v>1017.1359388</v>
      </c>
      <c r="F1030" s="129"/>
      <c r="G1030" s="130"/>
    </row>
    <row r="1032" spans="3:13">
      <c r="C1032" s="82" t="s">
        <v>30</v>
      </c>
      <c r="D1032" s="83">
        <f>D1025-Model!AB112</f>
        <v>0</v>
      </c>
      <c r="E1032" s="84"/>
    </row>
    <row r="1033" spans="3:13" ht="13.5" thickBot="1">
      <c r="D1033" s="105"/>
      <c r="E1033" s="105"/>
    </row>
    <row r="1034" spans="3:13">
      <c r="C1034" s="55" t="s">
        <v>182</v>
      </c>
      <c r="D1034" s="102" t="s">
        <v>87</v>
      </c>
      <c r="E1034" s="103" t="s">
        <v>88</v>
      </c>
    </row>
    <row r="1035" spans="3:13">
      <c r="C1035" s="56"/>
      <c r="D1035" s="85"/>
      <c r="E1035" s="69"/>
    </row>
    <row r="1036" spans="3:13">
      <c r="C1036" s="56" t="s">
        <v>32</v>
      </c>
      <c r="D1036" s="98">
        <f>D1026</f>
        <v>618.91200000000003</v>
      </c>
      <c r="E1036" s="99">
        <f>E1026</f>
        <v>165.043406304</v>
      </c>
    </row>
    <row r="1037" spans="3:13">
      <c r="C1037" s="56"/>
      <c r="D1037" s="98"/>
      <c r="E1037" s="99"/>
    </row>
    <row r="1038" spans="3:13" ht="13.5" thickBot="1">
      <c r="C1038" s="95" t="s">
        <v>33</v>
      </c>
      <c r="D1038" s="101">
        <f>SUM(D1036:D1037)</f>
        <v>618.91200000000003</v>
      </c>
      <c r="E1038" s="101">
        <f>SUM(E1036:E1037)</f>
        <v>165.043406304</v>
      </c>
    </row>
    <row r="1040" spans="3:13" ht="13.5" thickBot="1"/>
    <row r="1041" spans="2:10">
      <c r="C1041" s="88" t="s">
        <v>183</v>
      </c>
      <c r="D1041" s="102" t="s">
        <v>87</v>
      </c>
      <c r="E1041" s="89" t="s">
        <v>88</v>
      </c>
    </row>
    <row r="1042" spans="2:10">
      <c r="C1042" s="90"/>
      <c r="D1042" s="104"/>
      <c r="E1042" s="100"/>
    </row>
    <row r="1043" spans="2:10">
      <c r="C1043" s="90" t="s">
        <v>35</v>
      </c>
      <c r="D1043" s="94">
        <v>1100</v>
      </c>
      <c r="E1043" s="100">
        <f t="shared" ref="E1043:E1049" si="25">D1043*$J$1006</f>
        <v>293.33369999999996</v>
      </c>
    </row>
    <row r="1044" spans="2:10">
      <c r="C1044" s="90" t="s">
        <v>36</v>
      </c>
      <c r="D1044" s="94">
        <v>3700</v>
      </c>
      <c r="E1044" s="100">
        <f t="shared" si="25"/>
        <v>986.66789999999992</v>
      </c>
    </row>
    <row r="1045" spans="2:10">
      <c r="C1045" s="90" t="s">
        <v>37</v>
      </c>
      <c r="D1045" s="94">
        <v>2700</v>
      </c>
      <c r="E1045" s="100">
        <f t="shared" si="25"/>
        <v>720.0009</v>
      </c>
    </row>
    <row r="1046" spans="2:10">
      <c r="C1046" s="90" t="s">
        <v>38</v>
      </c>
      <c r="D1046" s="94">
        <v>800</v>
      </c>
      <c r="E1046" s="100">
        <f t="shared" si="25"/>
        <v>213.33359999999999</v>
      </c>
    </row>
    <row r="1047" spans="2:10">
      <c r="C1047" s="90" t="s">
        <v>39</v>
      </c>
      <c r="D1047" s="94">
        <v>1300</v>
      </c>
      <c r="E1047" s="100">
        <f t="shared" si="25"/>
        <v>346.6671</v>
      </c>
    </row>
    <row r="1048" spans="2:10">
      <c r="C1048" s="90" t="s">
        <v>40</v>
      </c>
      <c r="D1048" s="94">
        <v>1500</v>
      </c>
      <c r="E1048" s="100">
        <f t="shared" si="25"/>
        <v>400.00049999999999</v>
      </c>
    </row>
    <row r="1049" spans="2:10" ht="13.5" thickBot="1">
      <c r="C1049" s="90"/>
      <c r="D1049" s="94"/>
      <c r="E1049" s="100">
        <f t="shared" si="25"/>
        <v>0</v>
      </c>
    </row>
    <row r="1050" spans="2:10" ht="13.5" thickBot="1">
      <c r="C1050" s="91" t="s">
        <v>41</v>
      </c>
      <c r="D1050" s="106">
        <f>SUM(D1042:D1049)</f>
        <v>11100</v>
      </c>
      <c r="E1050" s="106">
        <f>SUM(E1042:E1049)</f>
        <v>2960.0037000000002</v>
      </c>
    </row>
    <row r="1051" spans="2:10">
      <c r="C1051" s="90" t="s">
        <v>42</v>
      </c>
      <c r="D1051" s="104">
        <f>D1013</f>
        <v>398.40500000000003</v>
      </c>
      <c r="E1051" s="100">
        <f>D1051*$J$1006</f>
        <v>106.241466135</v>
      </c>
    </row>
    <row r="1052" spans="2:10" ht="13.5" thickBot="1">
      <c r="C1052" s="90" t="s">
        <v>43</v>
      </c>
      <c r="D1052" s="94">
        <f>D1023</f>
        <v>124.045</v>
      </c>
      <c r="E1052" s="100">
        <f>D1052*$J$1006</f>
        <v>33.078708014999997</v>
      </c>
    </row>
    <row r="1053" spans="2:10" ht="13.5" thickBot="1">
      <c r="C1053" s="91" t="s">
        <v>44</v>
      </c>
      <c r="D1053" s="106">
        <f>+D1050+D1051+D1052</f>
        <v>11622.45</v>
      </c>
      <c r="E1053" s="106">
        <f>+E1050+E1051+E1052</f>
        <v>3099.3238741499999</v>
      </c>
    </row>
    <row r="1054" spans="2:10">
      <c r="C1054" s="141" t="s">
        <v>164</v>
      </c>
      <c r="D1054" s="117"/>
      <c r="E1054" s="116"/>
    </row>
    <row r="1055" spans="2:10">
      <c r="B1055" s="50"/>
    </row>
    <row r="1056" spans="2:10">
      <c r="B1056" s="50" t="s">
        <v>184</v>
      </c>
      <c r="I1056" s="50" t="s">
        <v>185</v>
      </c>
      <c r="J1056" s="165">
        <f>Model!W203</f>
        <v>0.26566099999999998</v>
      </c>
    </row>
    <row r="1057" spans="2:13">
      <c r="B1057" s="50"/>
      <c r="I1057" s="50" t="s">
        <v>186</v>
      </c>
      <c r="J1057" s="165">
        <f>Model!W205</f>
        <v>0.26655625000000005</v>
      </c>
    </row>
    <row r="1058" spans="2:13">
      <c r="B1058" s="50"/>
    </row>
    <row r="1059" spans="2:13">
      <c r="C1059" s="112" t="s">
        <v>187</v>
      </c>
      <c r="D1059" s="371"/>
      <c r="E1059" s="372"/>
      <c r="F1059" s="79" t="s">
        <v>6</v>
      </c>
      <c r="G1059" s="108" t="s">
        <v>7</v>
      </c>
      <c r="I1059" s="142" t="s">
        <v>67</v>
      </c>
      <c r="J1059" s="153"/>
      <c r="K1059" s="154"/>
      <c r="L1059" s="154"/>
      <c r="M1059" s="155"/>
    </row>
    <row r="1060" spans="2:13">
      <c r="C1060" s="113"/>
      <c r="D1060" s="131" t="s">
        <v>4</v>
      </c>
      <c r="E1060" s="132" t="s">
        <v>5</v>
      </c>
      <c r="F1060" s="80"/>
      <c r="G1060" s="109"/>
      <c r="I1060" s="112" t="s">
        <v>187</v>
      </c>
      <c r="J1060" s="156"/>
      <c r="K1060" s="157"/>
      <c r="L1060" s="79" t="s">
        <v>6</v>
      </c>
      <c r="M1060" s="108" t="s">
        <v>7</v>
      </c>
    </row>
    <row r="1061" spans="2:13">
      <c r="C1061" s="113"/>
      <c r="D1061" s="131"/>
      <c r="E1061" s="132"/>
      <c r="F1061" s="80"/>
      <c r="G1061" s="109"/>
      <c r="I1061" s="139"/>
      <c r="J1061" s="131" t="s">
        <v>4</v>
      </c>
      <c r="K1061" s="132" t="s">
        <v>5</v>
      </c>
      <c r="L1061" s="80"/>
      <c r="M1061" s="140"/>
    </row>
    <row r="1062" spans="2:13">
      <c r="C1062" s="113" t="s">
        <v>77</v>
      </c>
      <c r="D1062" s="131"/>
      <c r="E1062" s="132"/>
      <c r="F1062" s="80"/>
      <c r="G1062" s="109"/>
      <c r="I1062" s="114"/>
      <c r="J1062" s="107"/>
      <c r="K1062" s="74"/>
      <c r="L1062" s="80"/>
      <c r="M1062" s="110"/>
    </row>
    <row r="1063" spans="2:13">
      <c r="C1063" s="114" t="s">
        <v>78</v>
      </c>
      <c r="D1063" s="107">
        <f>336.877+86.897</f>
        <v>423.774</v>
      </c>
      <c r="E1063" s="74">
        <f t="shared" ref="E1063:E1068" si="26">D1063*$J$1056</f>
        <v>112.58022461399999</v>
      </c>
      <c r="F1063" s="80"/>
      <c r="G1063" s="109"/>
      <c r="I1063" s="114" t="s">
        <v>13</v>
      </c>
      <c r="J1063" s="146">
        <f>D1064</f>
        <v>5452.2489999999998</v>
      </c>
      <c r="K1063" s="74">
        <f>J1063*$J$1056</f>
        <v>1448.4499215889998</v>
      </c>
      <c r="L1063" s="87"/>
      <c r="M1063" s="109"/>
    </row>
    <row r="1064" spans="2:13">
      <c r="C1064" s="114" t="s">
        <v>13</v>
      </c>
      <c r="D1064" s="107">
        <v>5452.2489999999998</v>
      </c>
      <c r="E1064" s="74">
        <f t="shared" si="26"/>
        <v>1448.4499215889998</v>
      </c>
      <c r="F1064" s="87"/>
      <c r="G1064" s="110"/>
      <c r="I1064" s="114" t="s">
        <v>79</v>
      </c>
      <c r="J1064" s="146">
        <f>D1065</f>
        <v>2677.2269999999999</v>
      </c>
      <c r="K1064" s="74">
        <f>J1064*$J$1056</f>
        <v>711.2348020469999</v>
      </c>
      <c r="L1064" s="80"/>
      <c r="M1064" s="109"/>
    </row>
    <row r="1065" spans="2:13">
      <c r="C1065" s="114" t="s">
        <v>79</v>
      </c>
      <c r="D1065" s="107">
        <v>2677.2269999999999</v>
      </c>
      <c r="E1065" s="74">
        <f t="shared" si="26"/>
        <v>711.2348020469999</v>
      </c>
      <c r="F1065" s="80"/>
      <c r="G1065" s="109"/>
      <c r="I1065" s="114" t="s">
        <v>15</v>
      </c>
      <c r="J1065" s="146">
        <f>D1066</f>
        <v>398.95600000000002</v>
      </c>
      <c r="K1065" s="74">
        <f>J1065*$J$1056</f>
        <v>105.987049916</v>
      </c>
      <c r="L1065" s="80"/>
      <c r="M1065" s="109"/>
    </row>
    <row r="1066" spans="2:13">
      <c r="C1066" s="114" t="s">
        <v>15</v>
      </c>
      <c r="D1066" s="107">
        <v>398.95600000000002</v>
      </c>
      <c r="E1066" s="74">
        <f t="shared" si="26"/>
        <v>105.987049916</v>
      </c>
      <c r="F1066" s="80"/>
      <c r="G1066" s="109"/>
      <c r="I1066" s="114" t="s">
        <v>80</v>
      </c>
      <c r="J1066" s="146">
        <f>D1067</f>
        <v>277.04599999999999</v>
      </c>
      <c r="K1066" s="74">
        <f>J1066*$J$1056</f>
        <v>73.600317405999988</v>
      </c>
      <c r="L1066" s="80"/>
      <c r="M1066" s="109"/>
    </row>
    <row r="1067" spans="2:13">
      <c r="C1067" s="114" t="s">
        <v>80</v>
      </c>
      <c r="D1067" s="107">
        <v>277.04599999999999</v>
      </c>
      <c r="E1067" s="74">
        <f t="shared" si="26"/>
        <v>73.600317405999988</v>
      </c>
      <c r="F1067" s="80"/>
      <c r="G1067" s="109"/>
      <c r="I1067" s="114" t="s">
        <v>81</v>
      </c>
      <c r="J1067" s="146">
        <f>D1068</f>
        <v>162.25299999999999</v>
      </c>
      <c r="K1067" s="74">
        <f>J1067*$J$1056</f>
        <v>43.10429423299999</v>
      </c>
      <c r="L1067" s="87"/>
      <c r="M1067" s="109"/>
    </row>
    <row r="1068" spans="2:13">
      <c r="C1068" s="114" t="s">
        <v>81</v>
      </c>
      <c r="D1068" s="107">
        <v>162.25299999999999</v>
      </c>
      <c r="E1068" s="74">
        <f t="shared" si="26"/>
        <v>43.10429423299999</v>
      </c>
      <c r="F1068" s="87"/>
      <c r="G1068" s="110"/>
      <c r="I1068" s="147"/>
      <c r="J1068" s="158"/>
      <c r="K1068" s="159"/>
      <c r="L1068" s="80"/>
      <c r="M1068" s="109"/>
    </row>
    <row r="1069" spans="2:13">
      <c r="C1069" s="113" t="s">
        <v>82</v>
      </c>
      <c r="D1069" s="160">
        <f>SUM(D1063:D1068)</f>
        <v>9391.505000000001</v>
      </c>
      <c r="E1069" s="159">
        <f>SUM(E1063:E1068)</f>
        <v>2494.956609805</v>
      </c>
      <c r="F1069" s="161">
        <f>D1069/D1080</f>
        <v>2.3130076595325471</v>
      </c>
      <c r="G1069" s="161">
        <f>E1069/E1080</f>
        <v>2.3052392425203903</v>
      </c>
      <c r="I1069" s="147"/>
      <c r="J1069" s="107"/>
      <c r="K1069" s="74"/>
      <c r="L1069" s="80"/>
      <c r="M1069" s="109"/>
    </row>
    <row r="1070" spans="2:13">
      <c r="C1070" s="114"/>
      <c r="D1070" s="107"/>
      <c r="E1070" s="74"/>
      <c r="F1070" s="80"/>
      <c r="G1070" s="109"/>
      <c r="I1070" s="114" t="s">
        <v>83</v>
      </c>
      <c r="J1070" s="146">
        <f>D1071</f>
        <v>1612.2829999999999</v>
      </c>
      <c r="K1070" s="74">
        <f>J1070*$J$1056</f>
        <v>428.32071406299997</v>
      </c>
      <c r="L1070" s="80"/>
      <c r="M1070" s="109"/>
    </row>
    <row r="1071" spans="2:13">
      <c r="C1071" s="114" t="s">
        <v>83</v>
      </c>
      <c r="D1071" s="107">
        <v>1612.2829999999999</v>
      </c>
      <c r="E1071" s="74">
        <f>D1071*$J$1056</f>
        <v>428.32071406299997</v>
      </c>
      <c r="F1071" s="80"/>
      <c r="G1071" s="109"/>
      <c r="I1071" s="114" t="s">
        <v>18</v>
      </c>
      <c r="J1071" s="146">
        <f>D1072</f>
        <v>1871.23</v>
      </c>
      <c r="K1071" s="74">
        <f>J1071*$J$1056</f>
        <v>497.11283302999999</v>
      </c>
      <c r="L1071" s="80"/>
      <c r="M1071" s="109"/>
    </row>
    <row r="1072" spans="2:13">
      <c r="C1072" s="114" t="s">
        <v>18</v>
      </c>
      <c r="D1072" s="107">
        <v>1871.23</v>
      </c>
      <c r="E1072" s="74">
        <f>D1072*$J$1056</f>
        <v>497.11283302999999</v>
      </c>
      <c r="F1072" s="80"/>
      <c r="G1072" s="109"/>
      <c r="I1072" s="114" t="s">
        <v>43</v>
      </c>
      <c r="J1072" s="146">
        <f>D1073</f>
        <v>230.98099999999999</v>
      </c>
      <c r="K1072" s="74">
        <f>J1072*$J$1056</f>
        <v>61.362643440999996</v>
      </c>
      <c r="L1072" s="80"/>
      <c r="M1072" s="109"/>
    </row>
    <row r="1073" spans="3:13">
      <c r="C1073" s="114" t="s">
        <v>43</v>
      </c>
      <c r="D1073" s="107">
        <f>Model!W102</f>
        <v>230.98099999999999</v>
      </c>
      <c r="E1073" s="74">
        <f>D1073*$J$1056</f>
        <v>61.362643440999996</v>
      </c>
      <c r="F1073" s="80"/>
      <c r="G1073" s="109"/>
      <c r="I1073" s="81"/>
      <c r="J1073" s="107"/>
      <c r="K1073" s="74"/>
      <c r="L1073" s="80"/>
      <c r="M1073" s="109"/>
    </row>
    <row r="1074" spans="3:13">
      <c r="C1074" s="114"/>
      <c r="D1074" s="107"/>
      <c r="E1074" s="74"/>
      <c r="F1074" s="80"/>
      <c r="G1074" s="109"/>
      <c r="I1074" s="133" t="s">
        <v>84</v>
      </c>
      <c r="J1074" s="119">
        <f>SUM(J1062:J1072)</f>
        <v>12682.224999999999</v>
      </c>
      <c r="K1074" s="120">
        <f>SUM(K1062:K1072)</f>
        <v>3369.1725757249997</v>
      </c>
      <c r="L1074" s="121">
        <f>+J1074/J1079</f>
        <v>3.1234699406447795</v>
      </c>
      <c r="M1074" s="122">
        <f>+K1074/K1079</f>
        <v>3.1129795227147463</v>
      </c>
    </row>
    <row r="1075" spans="3:13">
      <c r="C1075" s="133" t="s">
        <v>84</v>
      </c>
      <c r="D1075" s="119">
        <f>+D1069+D1071+D1072+D1073</f>
        <v>13105.999</v>
      </c>
      <c r="E1075" s="120">
        <f>+E1069+E1071+E1072+E1073</f>
        <v>3481.7528003389998</v>
      </c>
      <c r="F1075" s="121">
        <f>+D1075/D1080</f>
        <v>3.2278400610792306</v>
      </c>
      <c r="G1075" s="122">
        <f>+E1075/E1080</f>
        <v>3.216999107942017</v>
      </c>
      <c r="I1075" s="134" t="s">
        <v>25</v>
      </c>
      <c r="J1075" s="123">
        <f>D1076</f>
        <v>376.029</v>
      </c>
      <c r="K1075" s="74">
        <f>J1075*$J$1056</f>
        <v>99.896240168999995</v>
      </c>
      <c r="L1075" s="124"/>
      <c r="M1075" s="125"/>
    </row>
    <row r="1076" spans="3:13">
      <c r="C1076" s="134" t="s">
        <v>25</v>
      </c>
      <c r="D1076" s="123">
        <f>Model!W109</f>
        <v>376.029</v>
      </c>
      <c r="E1076" s="74">
        <f>D1076*$J$1056</f>
        <v>99.896240168999995</v>
      </c>
      <c r="F1076" s="124"/>
      <c r="G1076" s="125"/>
      <c r="I1076" s="133" t="s">
        <v>26</v>
      </c>
      <c r="J1076" s="119">
        <f>J1074-J1075</f>
        <v>12306.195999999998</v>
      </c>
      <c r="K1076" s="120">
        <f>K1074-K1075</f>
        <v>3269.2763355559996</v>
      </c>
      <c r="L1076" s="121">
        <f>+J1076/J1079</f>
        <v>3.0308588035366837</v>
      </c>
      <c r="M1076" s="122">
        <f>+K1076/K1079</f>
        <v>3.0206794273492323</v>
      </c>
    </row>
    <row r="1077" spans="3:13">
      <c r="C1077" s="133" t="s">
        <v>26</v>
      </c>
      <c r="D1077" s="119">
        <f>+D1075-D1076</f>
        <v>12729.97</v>
      </c>
      <c r="E1077" s="120">
        <f>+E1075-E1076</f>
        <v>3381.8565601699997</v>
      </c>
      <c r="F1077" s="121">
        <f>+D1077/D1080</f>
        <v>3.1352289239711348</v>
      </c>
      <c r="G1077" s="122">
        <f>+E1077/E1080</f>
        <v>3.1246990125765031</v>
      </c>
      <c r="I1077" s="135" t="s">
        <v>27</v>
      </c>
      <c r="J1077" s="126">
        <f>D1078</f>
        <v>15321.487999999999</v>
      </c>
      <c r="K1077" s="74">
        <f>J1077*$J$1056</f>
        <v>4070.3218235679997</v>
      </c>
      <c r="L1077" s="115"/>
      <c r="M1077" s="111"/>
    </row>
    <row r="1078" spans="3:13">
      <c r="C1078" s="135" t="s">
        <v>27</v>
      </c>
      <c r="D1078" s="126">
        <f>Model!W116</f>
        <v>15321.487999999999</v>
      </c>
      <c r="E1078" s="74">
        <f>D1078*$J$1056</f>
        <v>4070.3218235679997</v>
      </c>
      <c r="F1078" s="115"/>
      <c r="G1078" s="111"/>
      <c r="I1078" s="133" t="s">
        <v>28</v>
      </c>
      <c r="J1078" s="119">
        <f>J1074+J1077</f>
        <v>28003.712999999996</v>
      </c>
      <c r="K1078" s="120">
        <f>K1074+K1077</f>
        <v>7439.4943992929993</v>
      </c>
      <c r="L1078" s="121">
        <f>J1078/J1079</f>
        <v>6.8969566288205293</v>
      </c>
      <c r="M1078" s="122">
        <f>K1078/K1079</f>
        <v>6.8737926609077462</v>
      </c>
    </row>
    <row r="1079" spans="3:13">
      <c r="C1079" s="133" t="s">
        <v>28</v>
      </c>
      <c r="D1079" s="119">
        <f>D1075+D1078</f>
        <v>28427.487000000001</v>
      </c>
      <c r="E1079" s="120">
        <f>E1075+E1078</f>
        <v>7552.0746239069995</v>
      </c>
      <c r="F1079" s="121">
        <f>D1079/D1080</f>
        <v>7.0013267492549813</v>
      </c>
      <c r="G1079" s="122">
        <f>E1079/E1080</f>
        <v>6.9778122461350165</v>
      </c>
      <c r="I1079" s="136" t="s">
        <v>29</v>
      </c>
      <c r="J1079" s="127">
        <f>D1080</f>
        <v>4060.3</v>
      </c>
      <c r="K1079" s="128">
        <f>J1079*$J$1057</f>
        <v>1082.2983418750002</v>
      </c>
      <c r="L1079" s="129"/>
      <c r="M1079" s="130"/>
    </row>
    <row r="1080" spans="3:13">
      <c r="C1080" s="136" t="s">
        <v>29</v>
      </c>
      <c r="D1080" s="127">
        <f>Model!W82</f>
        <v>4060.3</v>
      </c>
      <c r="E1080" s="128">
        <f>D1080*$J$1057</f>
        <v>1082.2983418750002</v>
      </c>
      <c r="F1080" s="129"/>
      <c r="G1080" s="130"/>
    </row>
    <row r="1082" spans="3:13">
      <c r="C1082" s="82" t="s">
        <v>30</v>
      </c>
      <c r="D1082" s="83">
        <f>D1075-Model!W112</f>
        <v>0</v>
      </c>
      <c r="E1082" s="84"/>
    </row>
    <row r="1083" spans="3:13" ht="13.5" thickBot="1">
      <c r="D1083" s="105"/>
      <c r="E1083" s="105"/>
    </row>
    <row r="1084" spans="3:13">
      <c r="C1084" s="55" t="s">
        <v>188</v>
      </c>
      <c r="D1084" s="102" t="s">
        <v>87</v>
      </c>
      <c r="E1084" s="103" t="s">
        <v>88</v>
      </c>
    </row>
    <row r="1085" spans="3:13">
      <c r="C1085" s="56"/>
      <c r="D1085" s="85"/>
      <c r="E1085" s="69"/>
    </row>
    <row r="1086" spans="3:13">
      <c r="C1086" s="56" t="s">
        <v>32</v>
      </c>
      <c r="D1086" s="98">
        <f>D1076</f>
        <v>376.029</v>
      </c>
      <c r="E1086" s="99">
        <f>E1076</f>
        <v>99.896240168999995</v>
      </c>
    </row>
    <row r="1087" spans="3:13">
      <c r="C1087" s="56"/>
      <c r="D1087" s="98"/>
      <c r="E1087" s="99"/>
    </row>
    <row r="1088" spans="3:13" ht="13.5" thickBot="1">
      <c r="C1088" s="95" t="s">
        <v>33</v>
      </c>
      <c r="D1088" s="101">
        <f>SUM(D1086:D1087)</f>
        <v>376.029</v>
      </c>
      <c r="E1088" s="101">
        <f>SUM(E1086:E1087)</f>
        <v>99.896240168999995</v>
      </c>
    </row>
    <row r="1090" spans="2:10" ht="13.5" thickBot="1"/>
    <row r="1091" spans="2:10">
      <c r="C1091" s="88" t="s">
        <v>189</v>
      </c>
      <c r="D1091" s="102" t="s">
        <v>87</v>
      </c>
      <c r="E1091" s="89" t="s">
        <v>88</v>
      </c>
    </row>
    <row r="1092" spans="2:10">
      <c r="C1092" s="90"/>
      <c r="D1092" s="104"/>
      <c r="E1092" s="100"/>
    </row>
    <row r="1093" spans="2:10">
      <c r="C1093" s="90" t="s">
        <v>35</v>
      </c>
      <c r="D1093" s="94">
        <v>1200</v>
      </c>
      <c r="E1093" s="100">
        <f>D1093*$J$1056</f>
        <v>318.79319999999996</v>
      </c>
    </row>
    <row r="1094" spans="2:10">
      <c r="C1094" s="90" t="s">
        <v>36</v>
      </c>
      <c r="D1094" s="94">
        <v>2300</v>
      </c>
      <c r="E1094" s="100">
        <f>D1094*$J$1056</f>
        <v>611.02029999999991</v>
      </c>
    </row>
    <row r="1095" spans="2:10">
      <c r="C1095" s="90" t="s">
        <v>190</v>
      </c>
      <c r="D1095" s="94">
        <f>2500+800+2700</f>
        <v>6000</v>
      </c>
      <c r="E1095" s="100">
        <f>D1095*$J$1056</f>
        <v>1593.9659999999999</v>
      </c>
    </row>
    <row r="1096" spans="2:10">
      <c r="C1096" s="90" t="s">
        <v>40</v>
      </c>
      <c r="D1096" s="94">
        <v>3000</v>
      </c>
      <c r="E1096" s="100">
        <f>D1096*$J$1056</f>
        <v>796.98299999999995</v>
      </c>
    </row>
    <row r="1097" spans="2:10" ht="13.5" thickBot="1">
      <c r="C1097" s="90"/>
      <c r="D1097" s="94"/>
      <c r="E1097" s="100">
        <f>D1097*$J$1056</f>
        <v>0</v>
      </c>
    </row>
    <row r="1098" spans="2:10" ht="13.5" thickBot="1">
      <c r="C1098" s="91" t="s">
        <v>41</v>
      </c>
      <c r="D1098" s="106">
        <f>SUM(D1092:D1097)</f>
        <v>12500</v>
      </c>
      <c r="E1098" s="106">
        <f>SUM(E1092:E1097)</f>
        <v>3320.7624999999998</v>
      </c>
    </row>
    <row r="1099" spans="2:10">
      <c r="C1099" s="90" t="s">
        <v>42</v>
      </c>
      <c r="D1099" s="104">
        <f>D1063</f>
        <v>423.774</v>
      </c>
      <c r="E1099" s="100">
        <f>D1099*$J$1056</f>
        <v>112.58022461399999</v>
      </c>
    </row>
    <row r="1100" spans="2:10" ht="13.5" thickBot="1">
      <c r="C1100" s="90" t="s">
        <v>43</v>
      </c>
      <c r="D1100" s="94">
        <f>D1073</f>
        <v>230.98099999999999</v>
      </c>
      <c r="E1100" s="100">
        <f>D1100*$J$1056</f>
        <v>61.362643440999996</v>
      </c>
    </row>
    <row r="1101" spans="2:10" ht="13.5" thickBot="1">
      <c r="C1101" s="91" t="s">
        <v>44</v>
      </c>
      <c r="D1101" s="106">
        <f>+D1098+D1099+D1100</f>
        <v>13154.754999999999</v>
      </c>
      <c r="E1101" s="106">
        <f>+E1098+E1099+E1100</f>
        <v>3494.7053680549998</v>
      </c>
    </row>
    <row r="1102" spans="2:10">
      <c r="C1102" s="141" t="s">
        <v>164</v>
      </c>
      <c r="D1102" s="117">
        <f>D1101-D1075</f>
        <v>48.755999999999403</v>
      </c>
      <c r="E1102" s="116"/>
    </row>
    <row r="1103" spans="2:10">
      <c r="C1103" s="141"/>
      <c r="D1103" s="117"/>
      <c r="E1103" s="116"/>
    </row>
    <row r="1104" spans="2:10">
      <c r="B1104" s="50" t="s">
        <v>191</v>
      </c>
      <c r="I1104" s="50" t="s">
        <v>192</v>
      </c>
      <c r="J1104" s="165">
        <f>Model!V203</f>
        <v>0.2666</v>
      </c>
    </row>
    <row r="1105" spans="2:13">
      <c r="B1105" s="50"/>
      <c r="I1105" s="50" t="s">
        <v>193</v>
      </c>
      <c r="J1105" s="165">
        <f>Model!V205</f>
        <v>0.2666</v>
      </c>
    </row>
    <row r="1106" spans="2:13">
      <c r="B1106" s="50"/>
    </row>
    <row r="1107" spans="2:13">
      <c r="C1107" s="112" t="s">
        <v>194</v>
      </c>
      <c r="D1107" s="371"/>
      <c r="E1107" s="372"/>
      <c r="F1107" s="79" t="s">
        <v>6</v>
      </c>
      <c r="G1107" s="108" t="s">
        <v>7</v>
      </c>
      <c r="I1107" s="142" t="s">
        <v>67</v>
      </c>
      <c r="J1107" s="153"/>
      <c r="K1107" s="154"/>
      <c r="L1107" s="154"/>
      <c r="M1107" s="155"/>
    </row>
    <row r="1108" spans="2:13">
      <c r="C1108" s="113"/>
      <c r="D1108" s="131" t="s">
        <v>4</v>
      </c>
      <c r="E1108" s="132" t="s">
        <v>5</v>
      </c>
      <c r="F1108" s="80"/>
      <c r="G1108" s="109"/>
      <c r="I1108" s="112" t="s">
        <v>194</v>
      </c>
      <c r="J1108" s="156"/>
      <c r="K1108" s="157"/>
      <c r="L1108" s="79" t="s">
        <v>6</v>
      </c>
      <c r="M1108" s="108" t="s">
        <v>7</v>
      </c>
    </row>
    <row r="1109" spans="2:13">
      <c r="C1109" s="113"/>
      <c r="D1109" s="131"/>
      <c r="E1109" s="132"/>
      <c r="F1109" s="80"/>
      <c r="G1109" s="109"/>
      <c r="I1109" s="139"/>
      <c r="J1109" s="131" t="s">
        <v>4</v>
      </c>
      <c r="K1109" s="132" t="s">
        <v>5</v>
      </c>
      <c r="L1109" s="80"/>
      <c r="M1109" s="140"/>
    </row>
    <row r="1110" spans="2:13">
      <c r="C1110" s="113" t="s">
        <v>77</v>
      </c>
      <c r="D1110" s="131"/>
      <c r="E1110" s="132"/>
      <c r="F1110" s="80"/>
      <c r="G1110" s="109"/>
      <c r="I1110" s="114"/>
      <c r="J1110" s="107"/>
      <c r="K1110" s="74"/>
      <c r="L1110" s="80"/>
      <c r="M1110" s="110"/>
    </row>
    <row r="1111" spans="2:13">
      <c r="C1111" s="114" t="s">
        <v>78</v>
      </c>
      <c r="D1111" s="107">
        <f>335.659+95.75</f>
        <v>431.40899999999999</v>
      </c>
      <c r="E1111" s="74">
        <f t="shared" ref="E1111:E1121" si="27">D1111*$J$1104</f>
        <v>115.0136394</v>
      </c>
      <c r="F1111" s="80"/>
      <c r="G1111" s="109"/>
      <c r="I1111" s="114" t="s">
        <v>13</v>
      </c>
      <c r="J1111" s="146">
        <f>D1112</f>
        <v>5119.5079999999998</v>
      </c>
      <c r="K1111" s="74">
        <f>J1111*$J$1104</f>
        <v>1364.8608328</v>
      </c>
      <c r="L1111" s="87"/>
      <c r="M1111" s="109"/>
    </row>
    <row r="1112" spans="2:13">
      <c r="C1112" s="114" t="s">
        <v>13</v>
      </c>
      <c r="D1112" s="107">
        <v>5119.5079999999998</v>
      </c>
      <c r="E1112" s="74">
        <f t="shared" si="27"/>
        <v>1364.8608328</v>
      </c>
      <c r="F1112" s="87"/>
      <c r="G1112" s="110"/>
      <c r="I1112" s="114" t="s">
        <v>79</v>
      </c>
      <c r="J1112" s="146">
        <f>D1113</f>
        <v>2665.4780000000001</v>
      </c>
      <c r="K1112" s="74">
        <f>J1112*$J$1104</f>
        <v>710.61643479999998</v>
      </c>
      <c r="L1112" s="80"/>
      <c r="M1112" s="109"/>
    </row>
    <row r="1113" spans="2:13">
      <c r="C1113" s="114" t="s">
        <v>79</v>
      </c>
      <c r="D1113" s="107">
        <v>2665.4780000000001</v>
      </c>
      <c r="E1113" s="74">
        <f t="shared" si="27"/>
        <v>710.61643479999998</v>
      </c>
      <c r="F1113" s="80"/>
      <c r="G1113" s="109"/>
      <c r="I1113" s="114" t="s">
        <v>15</v>
      </c>
      <c r="J1113" s="146">
        <f>D1114</f>
        <v>363.29599999999999</v>
      </c>
      <c r="K1113" s="74">
        <f>J1113*$J$1104</f>
        <v>96.854713599999997</v>
      </c>
      <c r="L1113" s="80"/>
      <c r="M1113" s="109"/>
    </row>
    <row r="1114" spans="2:13">
      <c r="C1114" s="114" t="s">
        <v>15</v>
      </c>
      <c r="D1114" s="107">
        <v>363.29599999999999</v>
      </c>
      <c r="E1114" s="74">
        <f t="shared" si="27"/>
        <v>96.854713599999997</v>
      </c>
      <c r="F1114" s="80"/>
      <c r="G1114" s="109"/>
      <c r="I1114" s="114" t="s">
        <v>80</v>
      </c>
      <c r="J1114" s="146">
        <f>D1115</f>
        <v>276.09899999999999</v>
      </c>
      <c r="K1114" s="74">
        <f>J1114*$J$1104</f>
        <v>73.607993399999998</v>
      </c>
      <c r="L1114" s="80"/>
      <c r="M1114" s="109"/>
    </row>
    <row r="1115" spans="2:13">
      <c r="C1115" s="114" t="s">
        <v>80</v>
      </c>
      <c r="D1115" s="107">
        <v>276.09899999999999</v>
      </c>
      <c r="E1115" s="74">
        <f t="shared" si="27"/>
        <v>73.607993399999998</v>
      </c>
      <c r="F1115" s="80"/>
      <c r="G1115" s="109"/>
      <c r="I1115" s="114" t="s">
        <v>81</v>
      </c>
      <c r="J1115" s="146">
        <f>D1116</f>
        <v>159.173</v>
      </c>
      <c r="K1115" s="74">
        <f>J1115*$J$1104</f>
        <v>42.435521800000004</v>
      </c>
      <c r="L1115" s="87"/>
      <c r="M1115" s="109"/>
    </row>
    <row r="1116" spans="2:13">
      <c r="C1116" s="114" t="s">
        <v>81</v>
      </c>
      <c r="D1116" s="107">
        <v>159.173</v>
      </c>
      <c r="E1116" s="74">
        <f t="shared" si="27"/>
        <v>42.435521800000004</v>
      </c>
      <c r="F1116" s="87"/>
      <c r="G1116" s="110"/>
      <c r="I1116" s="147"/>
      <c r="J1116" s="158"/>
      <c r="K1116" s="159"/>
      <c r="L1116" s="80"/>
      <c r="M1116" s="109"/>
    </row>
    <row r="1117" spans="2:13">
      <c r="C1117" s="113" t="s">
        <v>82</v>
      </c>
      <c r="D1117" s="160">
        <f>SUM(D1111:D1116)</f>
        <v>9014.9630000000016</v>
      </c>
      <c r="E1117" s="159">
        <f>SUM(E1111:E1116)</f>
        <v>2403.3891358000005</v>
      </c>
      <c r="F1117" s="161">
        <f>D1117/D1128</f>
        <v>2.2437001916424006</v>
      </c>
      <c r="G1117" s="161">
        <f>E1117/E1128</f>
        <v>2.2437001916424006</v>
      </c>
      <c r="I1117" s="147"/>
      <c r="J1117" s="107"/>
      <c r="K1117" s="74"/>
      <c r="L1117" s="80"/>
      <c r="M1117" s="109"/>
    </row>
    <row r="1118" spans="2:13">
      <c r="C1118" s="114"/>
      <c r="D1118" s="107"/>
      <c r="E1118" s="74"/>
      <c r="F1118" s="80"/>
      <c r="G1118" s="109"/>
      <c r="I1118" s="114" t="s">
        <v>83</v>
      </c>
      <c r="J1118" s="146">
        <f>D1119</f>
        <v>2408.1799999999998</v>
      </c>
      <c r="K1118" s="74">
        <f>J1118*$J$1104</f>
        <v>642.02078799999992</v>
      </c>
      <c r="L1118" s="80"/>
      <c r="M1118" s="109"/>
    </row>
    <row r="1119" spans="2:13">
      <c r="C1119" s="114" t="s">
        <v>83</v>
      </c>
      <c r="D1119" s="107">
        <v>2408.1799999999998</v>
      </c>
      <c r="E1119" s="74">
        <f t="shared" si="27"/>
        <v>642.02078799999992</v>
      </c>
      <c r="F1119" s="80"/>
      <c r="G1119" s="109"/>
      <c r="I1119" s="114" t="s">
        <v>18</v>
      </c>
      <c r="J1119" s="146">
        <f>D1120</f>
        <v>1891.9860000000001</v>
      </c>
      <c r="K1119" s="74">
        <f>J1119*$J$1104</f>
        <v>504.40346760000006</v>
      </c>
      <c r="L1119" s="80"/>
      <c r="M1119" s="109"/>
    </row>
    <row r="1120" spans="2:13">
      <c r="C1120" s="114" t="s">
        <v>18</v>
      </c>
      <c r="D1120" s="107">
        <v>1891.9860000000001</v>
      </c>
      <c r="E1120" s="74">
        <f t="shared" si="27"/>
        <v>504.40346760000006</v>
      </c>
      <c r="F1120" s="80"/>
      <c r="G1120" s="109"/>
      <c r="I1120" s="114" t="s">
        <v>43</v>
      </c>
      <c r="J1120" s="146">
        <f>D1121</f>
        <v>219.11799999999999</v>
      </c>
      <c r="K1120" s="74">
        <f>J1120*$J$1104</f>
        <v>58.4168588</v>
      </c>
      <c r="L1120" s="80"/>
      <c r="M1120" s="109"/>
    </row>
    <row r="1121" spans="3:13">
      <c r="C1121" s="114" t="s">
        <v>43</v>
      </c>
      <c r="D1121" s="107">
        <f>Model!V102</f>
        <v>219.11799999999999</v>
      </c>
      <c r="E1121" s="74">
        <f t="shared" si="27"/>
        <v>58.4168588</v>
      </c>
      <c r="F1121" s="80"/>
      <c r="G1121" s="109"/>
      <c r="I1121" s="81"/>
      <c r="J1121" s="107"/>
      <c r="K1121" s="74"/>
      <c r="L1121" s="80"/>
      <c r="M1121" s="109"/>
    </row>
    <row r="1122" spans="3:13">
      <c r="C1122" s="114"/>
      <c r="D1122" s="107"/>
      <c r="E1122" s="74"/>
      <c r="F1122" s="80"/>
      <c r="G1122" s="109"/>
      <c r="I1122" s="133" t="s">
        <v>84</v>
      </c>
      <c r="J1122" s="119">
        <f>SUM(J1110:J1120)</f>
        <v>13102.838000000002</v>
      </c>
      <c r="K1122" s="120">
        <f>SUM(K1110:K1120)</f>
        <v>3493.2166108000001</v>
      </c>
      <c r="L1122" s="121">
        <f>+J1122/J1127</f>
        <v>3.2611160058737156</v>
      </c>
      <c r="M1122" s="122">
        <f>+K1122/K1127</f>
        <v>3.2611160058737148</v>
      </c>
    </row>
    <row r="1123" spans="3:13">
      <c r="C1123" s="133" t="s">
        <v>84</v>
      </c>
      <c r="D1123" s="119">
        <f>+D1117+D1119+D1120+D1121</f>
        <v>13534.247000000003</v>
      </c>
      <c r="E1123" s="120">
        <f>+E1117+E1119+E1120+E1121</f>
        <v>3608.2302502000002</v>
      </c>
      <c r="F1123" s="121">
        <f>+D1123/D1128</f>
        <v>3.3684877672415947</v>
      </c>
      <c r="G1123" s="122">
        <f>+E1123/E1128</f>
        <v>3.3684877672415938</v>
      </c>
      <c r="I1123" s="134" t="s">
        <v>25</v>
      </c>
      <c r="J1123" s="123">
        <f>D1124</f>
        <v>1147.5909999999999</v>
      </c>
      <c r="K1123" s="74">
        <f>J1123*$J$1104</f>
        <v>305.94776059999998</v>
      </c>
      <c r="L1123" s="124"/>
      <c r="M1123" s="125"/>
    </row>
    <row r="1124" spans="3:13">
      <c r="C1124" s="134" t="s">
        <v>25</v>
      </c>
      <c r="D1124" s="123">
        <f>Model!V109</f>
        <v>1147.5909999999999</v>
      </c>
      <c r="E1124" s="74">
        <f>D1124*$J$1104</f>
        <v>305.94776059999998</v>
      </c>
      <c r="F1124" s="124"/>
      <c r="G1124" s="125"/>
      <c r="I1124" s="133" t="s">
        <v>26</v>
      </c>
      <c r="J1124" s="119">
        <f>J1122-J1123</f>
        <v>11955.247000000001</v>
      </c>
      <c r="K1124" s="120">
        <f>K1122-K1123</f>
        <v>3187.2688502000001</v>
      </c>
      <c r="L1124" s="121">
        <f>+J1124/J1127</f>
        <v>2.9754964035939175</v>
      </c>
      <c r="M1124" s="122">
        <f>+K1124/K1127</f>
        <v>2.9754964035939171</v>
      </c>
    </row>
    <row r="1125" spans="3:13">
      <c r="C1125" s="133" t="s">
        <v>26</v>
      </c>
      <c r="D1125" s="119">
        <f>+D1123-D1124</f>
        <v>12386.656000000003</v>
      </c>
      <c r="E1125" s="120">
        <f>+E1123-E1124</f>
        <v>3302.2824896000002</v>
      </c>
      <c r="F1125" s="121">
        <f>+D1125/D1128</f>
        <v>3.0828681649617966</v>
      </c>
      <c r="G1125" s="122">
        <f>+E1125/E1128</f>
        <v>3.0828681649617957</v>
      </c>
      <c r="I1125" s="135" t="s">
        <v>27</v>
      </c>
      <c r="J1125" s="126">
        <f>D1126</f>
        <v>15259.12</v>
      </c>
      <c r="K1125" s="74">
        <f>J1125*$J$1104</f>
        <v>4068.0813920000001</v>
      </c>
      <c r="L1125" s="115"/>
      <c r="M1125" s="111"/>
    </row>
    <row r="1126" spans="3:13">
      <c r="C1126" s="135" t="s">
        <v>27</v>
      </c>
      <c r="D1126" s="126">
        <f>Model!V116</f>
        <v>15259.12</v>
      </c>
      <c r="E1126" s="74">
        <f>D1126*$J$1104</f>
        <v>4068.0813920000001</v>
      </c>
      <c r="F1126" s="115"/>
      <c r="G1126" s="111"/>
      <c r="I1126" s="133" t="s">
        <v>28</v>
      </c>
      <c r="J1126" s="119">
        <f>J1122+J1125</f>
        <v>28361.958000000002</v>
      </c>
      <c r="K1126" s="120">
        <f>K1122+K1125</f>
        <v>7561.2980028000002</v>
      </c>
      <c r="L1126" s="121">
        <f>J1126/J1127</f>
        <v>7.0589009183902043</v>
      </c>
      <c r="M1126" s="122">
        <f>K1126/K1127</f>
        <v>7.0589009183902034</v>
      </c>
    </row>
    <row r="1127" spans="3:13">
      <c r="C1127" s="133" t="s">
        <v>28</v>
      </c>
      <c r="D1127" s="119">
        <f>D1123+D1126</f>
        <v>28793.367000000006</v>
      </c>
      <c r="E1127" s="120">
        <f>E1123+E1126</f>
        <v>7676.3116422000003</v>
      </c>
      <c r="F1127" s="121">
        <f>D1127/D1128</f>
        <v>7.1662726797580838</v>
      </c>
      <c r="G1127" s="122">
        <f>E1127/E1128</f>
        <v>7.166272679758082</v>
      </c>
      <c r="I1127" s="136" t="s">
        <v>29</v>
      </c>
      <c r="J1127" s="127">
        <f>D1128</f>
        <v>4017.9</v>
      </c>
      <c r="K1127" s="128">
        <f>J1127*$J$1105</f>
        <v>1071.1721400000001</v>
      </c>
      <c r="L1127" s="129"/>
      <c r="M1127" s="130"/>
    </row>
    <row r="1128" spans="3:13">
      <c r="C1128" s="136" t="s">
        <v>29</v>
      </c>
      <c r="D1128" s="127">
        <f>Model!V82</f>
        <v>4017.9</v>
      </c>
      <c r="E1128" s="128">
        <f>D1128*$J$1105</f>
        <v>1071.1721400000001</v>
      </c>
      <c r="F1128" s="129"/>
      <c r="G1128" s="130"/>
    </row>
    <row r="1130" spans="3:13">
      <c r="C1130" s="82" t="s">
        <v>30</v>
      </c>
      <c r="D1130" s="83">
        <f>D1123-Model!V112</f>
        <v>0</v>
      </c>
      <c r="E1130" s="84"/>
    </row>
    <row r="1131" spans="3:13" ht="13.5" thickBot="1">
      <c r="D1131" s="105"/>
      <c r="E1131" s="105"/>
    </row>
    <row r="1132" spans="3:13">
      <c r="C1132" s="55" t="s">
        <v>195</v>
      </c>
      <c r="D1132" s="102" t="s">
        <v>87</v>
      </c>
      <c r="E1132" s="103" t="s">
        <v>88</v>
      </c>
    </row>
    <row r="1133" spans="3:13">
      <c r="C1133" s="56"/>
      <c r="D1133" s="85"/>
      <c r="E1133" s="69"/>
    </row>
    <row r="1134" spans="3:13">
      <c r="C1134" s="56" t="s">
        <v>32</v>
      </c>
      <c r="D1134" s="98">
        <f>D1124</f>
        <v>1147.5909999999999</v>
      </c>
      <c r="E1134" s="99">
        <f>E1124</f>
        <v>305.94776059999998</v>
      </c>
    </row>
    <row r="1135" spans="3:13">
      <c r="C1135" s="56"/>
      <c r="D1135" s="98"/>
      <c r="E1135" s="99"/>
    </row>
    <row r="1136" spans="3:13" ht="13.5" thickBot="1">
      <c r="C1136" s="95" t="s">
        <v>33</v>
      </c>
      <c r="D1136" s="101">
        <f>SUM(D1134:D1135)</f>
        <v>1147.5909999999999</v>
      </c>
      <c r="E1136" s="101">
        <f>SUM(E1134:E1135)</f>
        <v>305.94776059999998</v>
      </c>
    </row>
    <row r="1138" spans="3:5" ht="13.5" thickBot="1"/>
    <row r="1139" spans="3:5">
      <c r="C1139" s="88" t="s">
        <v>196</v>
      </c>
      <c r="D1139" s="102" t="s">
        <v>87</v>
      </c>
      <c r="E1139" s="89" t="s">
        <v>88</v>
      </c>
    </row>
    <row r="1140" spans="3:5">
      <c r="C1140" s="90"/>
      <c r="D1140" s="104"/>
      <c r="E1140" s="100"/>
    </row>
    <row r="1141" spans="3:5">
      <c r="C1141" s="90" t="s">
        <v>35</v>
      </c>
      <c r="D1141" s="94">
        <v>1986</v>
      </c>
      <c r="E1141" s="100">
        <f>D1141*$J$1104</f>
        <v>529.46760000000006</v>
      </c>
    </row>
    <row r="1142" spans="3:5">
      <c r="C1142" s="90" t="s">
        <v>36</v>
      </c>
      <c r="D1142" s="94">
        <v>1749.7</v>
      </c>
      <c r="E1142" s="100">
        <f>D1142*$J$1104</f>
        <v>466.47002000000003</v>
      </c>
    </row>
    <row r="1143" spans="3:5">
      <c r="C1143" s="90" t="s">
        <v>190</v>
      </c>
      <c r="D1143" s="94">
        <v>5811.8</v>
      </c>
      <c r="E1143" s="100">
        <f>D1143*$J$1104</f>
        <v>1549.42588</v>
      </c>
    </row>
    <row r="1144" spans="3:5">
      <c r="C1144" s="90" t="s">
        <v>40</v>
      </c>
      <c r="D1144" s="94">
        <v>3336.2</v>
      </c>
      <c r="E1144" s="100">
        <f>D1144*$J$1104</f>
        <v>889.43092000000001</v>
      </c>
    </row>
    <row r="1145" spans="3:5" ht="13.5" thickBot="1">
      <c r="C1145" s="90"/>
      <c r="D1145" s="94"/>
      <c r="E1145" s="100">
        <f>D1145*$J$1104</f>
        <v>0</v>
      </c>
    </row>
    <row r="1146" spans="3:5" ht="13.5" thickBot="1">
      <c r="C1146" s="91" t="s">
        <v>41</v>
      </c>
      <c r="D1146" s="106">
        <f>SUM(D1140:D1145)</f>
        <v>12883.7</v>
      </c>
      <c r="E1146" s="106">
        <f>SUM(E1140:E1145)</f>
        <v>3434.7944200000002</v>
      </c>
    </row>
    <row r="1147" spans="3:5">
      <c r="C1147" s="90" t="s">
        <v>42</v>
      </c>
      <c r="D1147" s="104">
        <f>D1111</f>
        <v>431.40899999999999</v>
      </c>
      <c r="E1147" s="100">
        <f>D1147*$J$1104</f>
        <v>115.0136394</v>
      </c>
    </row>
    <row r="1148" spans="3:5" ht="13.5" thickBot="1">
      <c r="C1148" s="90" t="s">
        <v>43</v>
      </c>
      <c r="D1148" s="94">
        <f>D1121</f>
        <v>219.11799999999999</v>
      </c>
      <c r="E1148" s="100">
        <f>D1148*$J$1104</f>
        <v>58.4168588</v>
      </c>
    </row>
    <row r="1149" spans="3:5" ht="13.5" thickBot="1">
      <c r="C1149" s="91" t="s">
        <v>44</v>
      </c>
      <c r="D1149" s="106">
        <f>+D1146+D1147+D1148</f>
        <v>13534.227000000001</v>
      </c>
      <c r="E1149" s="106">
        <f>+E1146+E1147+E1148</f>
        <v>3608.2249182000005</v>
      </c>
    </row>
    <row r="1150" spans="3:5">
      <c r="C1150" s="141" t="s">
        <v>164</v>
      </c>
      <c r="D1150" s="117">
        <f>D1149-D1123</f>
        <v>-2.0000000002255547E-2</v>
      </c>
      <c r="E1150" s="116"/>
    </row>
  </sheetData>
  <mergeCells count="18">
    <mergeCell ref="D1107:E1107"/>
    <mergeCell ref="D1059:E1059"/>
    <mergeCell ref="D1009:E1009"/>
    <mergeCell ref="D958:E958"/>
    <mergeCell ref="D907:E907"/>
    <mergeCell ref="D254:E254"/>
    <mergeCell ref="D854:E854"/>
    <mergeCell ref="D404:E404"/>
    <mergeCell ref="D604:E604"/>
    <mergeCell ref="D653:E653"/>
    <mergeCell ref="D703:E703"/>
    <mergeCell ref="D454:E454"/>
    <mergeCell ref="D504:E504"/>
    <mergeCell ref="D304:E304"/>
    <mergeCell ref="D354:E354"/>
    <mergeCell ref="D752:E752"/>
    <mergeCell ref="D554:E554"/>
    <mergeCell ref="D803:E803"/>
  </mergeCells>
  <pageMargins left="0.7" right="0.7" top="0.75" bottom="0.75" header="0.3" footer="0.3"/>
  <pageSetup orientation="portrait" horizontalDpi="90" verticalDpi="90" r:id="rId1"/>
  <headerFooter>
    <oddFooter>&amp;C_x000D_&amp;1#&amp;"Aptos"&amp;10&amp;K000000 Barings-Corporate</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2C2A-32AC-4D7A-AFE8-0C7B735B010E}">
  <sheetPr>
    <pageSetUpPr fitToPage="1"/>
  </sheetPr>
  <dimension ref="A1:AY280"/>
  <sheetViews>
    <sheetView showGridLines="0" tabSelected="1" zoomScaleNormal="100" zoomScaleSheetLayoutView="100" workbookViewId="0">
      <pane xSplit="2" ySplit="6" topLeftCell="J222" activePane="bottomRight" state="frozen"/>
      <selection pane="topRight" activeCell="I27" sqref="I27"/>
      <selection pane="bottomLeft" activeCell="I27" sqref="I27"/>
      <selection pane="bottomRight" activeCell="AR1" sqref="AR1:AR1048576"/>
    </sheetView>
  </sheetViews>
  <sheetFormatPr defaultColWidth="11.453125" defaultRowHeight="13.5" customHeight="1" outlineLevelRow="1" outlineLevelCol="1"/>
  <cols>
    <col min="1" max="1" width="2.7265625" style="1" customWidth="1"/>
    <col min="2" max="2" width="50.7265625" style="1" customWidth="1"/>
    <col min="3" max="7" width="12.7265625" style="1" hidden="1" customWidth="1" outlineLevel="1"/>
    <col min="8" max="8" width="12.7265625" style="1" hidden="1" customWidth="1" outlineLevel="1" collapsed="1"/>
    <col min="9" max="9" width="12.7265625" style="1" hidden="1" customWidth="1" outlineLevel="1"/>
    <col min="10" max="10" width="12.7265625" style="1" customWidth="1" collapsed="1"/>
    <col min="11" max="14" width="12.7265625" style="1" customWidth="1"/>
    <col min="15" max="30" width="12.7265625" style="1" hidden="1" customWidth="1" outlineLevel="1"/>
    <col min="31" max="31" width="12.7265625" style="1" hidden="1" customWidth="1" outlineLevel="1" collapsed="1"/>
    <col min="32" max="38" width="12.7265625" style="1" hidden="1" customWidth="1" outlineLevel="1"/>
    <col min="39" max="39" width="12.7265625" style="1" customWidth="1" collapsed="1"/>
    <col min="40" max="48" width="12.7265625" style="1" customWidth="1"/>
    <col min="49" max="50" width="12.7265625" style="1" hidden="1" customWidth="1" outlineLevel="1"/>
    <col min="51" max="51" width="12.7265625" style="1" customWidth="1" collapsed="1"/>
    <col min="52" max="56" width="12.7265625" style="1" customWidth="1"/>
    <col min="57" max="16384" width="11.453125" style="1"/>
  </cols>
  <sheetData>
    <row r="1" spans="1:50" ht="13"/>
    <row r="2" spans="1:50" s="5" customFormat="1" ht="24.75" customHeight="1">
      <c r="A2" s="2"/>
      <c r="B2" s="9" t="s">
        <v>197</v>
      </c>
      <c r="C2" s="11" t="s">
        <v>198</v>
      </c>
      <c r="D2" s="11" t="s">
        <v>198</v>
      </c>
      <c r="E2" s="11" t="s">
        <v>198</v>
      </c>
      <c r="F2" s="11" t="s">
        <v>198</v>
      </c>
      <c r="G2" s="11" t="s">
        <v>198</v>
      </c>
      <c r="H2" s="11" t="s">
        <v>198</v>
      </c>
      <c r="I2" s="11" t="s">
        <v>198</v>
      </c>
      <c r="J2" s="11" t="s">
        <v>198</v>
      </c>
      <c r="K2" s="11" t="s">
        <v>198</v>
      </c>
      <c r="L2" s="11" t="s">
        <v>198</v>
      </c>
      <c r="M2" s="11" t="s">
        <v>199</v>
      </c>
      <c r="N2" s="137"/>
      <c r="O2" s="11" t="s">
        <v>200</v>
      </c>
      <c r="P2" s="11" t="s">
        <v>200</v>
      </c>
      <c r="Q2" s="11" t="s">
        <v>200</v>
      </c>
      <c r="R2" s="11" t="s">
        <v>200</v>
      </c>
      <c r="S2" s="11" t="s">
        <v>200</v>
      </c>
      <c r="T2" s="11" t="s">
        <v>200</v>
      </c>
      <c r="U2" s="143" t="s">
        <v>200</v>
      </c>
      <c r="V2" s="143" t="s">
        <v>200</v>
      </c>
      <c r="W2" s="11" t="s">
        <v>200</v>
      </c>
      <c r="X2" s="11" t="s">
        <v>200</v>
      </c>
      <c r="Y2" s="143" t="s">
        <v>200</v>
      </c>
      <c r="Z2" s="143" t="s">
        <v>200</v>
      </c>
      <c r="AA2" s="11" t="s">
        <v>200</v>
      </c>
      <c r="AB2" s="11" t="s">
        <v>200</v>
      </c>
      <c r="AC2" s="11" t="s">
        <v>200</v>
      </c>
      <c r="AD2" s="143" t="s">
        <v>200</v>
      </c>
      <c r="AE2" s="11" t="s">
        <v>200</v>
      </c>
      <c r="AF2" s="11" t="s">
        <v>200</v>
      </c>
      <c r="AG2" s="11" t="s">
        <v>200</v>
      </c>
      <c r="AH2" s="143" t="s">
        <v>201</v>
      </c>
      <c r="AI2" s="11" t="s">
        <v>200</v>
      </c>
      <c r="AJ2" s="11" t="s">
        <v>200</v>
      </c>
      <c r="AK2" s="11" t="s">
        <v>200</v>
      </c>
      <c r="AL2" s="11" t="s">
        <v>201</v>
      </c>
      <c r="AM2" s="11" t="s">
        <v>200</v>
      </c>
      <c r="AN2" s="11" t="s">
        <v>200</v>
      </c>
      <c r="AO2" s="11" t="s">
        <v>200</v>
      </c>
      <c r="AP2" s="11" t="s">
        <v>201</v>
      </c>
      <c r="AQ2" s="11" t="s">
        <v>200</v>
      </c>
      <c r="AR2" s="11" t="s">
        <v>200</v>
      </c>
      <c r="AS2" s="11" t="s">
        <v>200</v>
      </c>
      <c r="AT2" s="11" t="s">
        <v>201</v>
      </c>
      <c r="AU2" s="11" t="s">
        <v>200</v>
      </c>
      <c r="AV2" s="14"/>
      <c r="AW2" s="11" t="s">
        <v>200</v>
      </c>
      <c r="AX2" s="11" t="s">
        <v>200</v>
      </c>
    </row>
    <row r="3" spans="1:50" s="5" customFormat="1" ht="13.5" customHeight="1">
      <c r="A3" s="2"/>
      <c r="B3" s="93" t="s">
        <v>87</v>
      </c>
      <c r="C3" s="12">
        <v>42735</v>
      </c>
      <c r="D3" s="12">
        <v>43100</v>
      </c>
      <c r="E3" s="12">
        <v>43465</v>
      </c>
      <c r="F3" s="12">
        <v>43830</v>
      </c>
      <c r="G3" s="12">
        <v>44196</v>
      </c>
      <c r="H3" s="12">
        <v>44561</v>
      </c>
      <c r="I3" s="12">
        <v>44926</v>
      </c>
      <c r="J3" s="12">
        <v>45291</v>
      </c>
      <c r="K3" s="12">
        <v>45657</v>
      </c>
      <c r="L3" s="12">
        <v>46022</v>
      </c>
      <c r="M3" s="336">
        <f>AU3</f>
        <v>46111</v>
      </c>
      <c r="N3" s="137"/>
      <c r="O3" s="12">
        <v>43189</v>
      </c>
      <c r="P3" s="12">
        <v>43281</v>
      </c>
      <c r="Q3" s="12">
        <v>43373</v>
      </c>
      <c r="R3" s="12">
        <v>43464</v>
      </c>
      <c r="S3" s="12">
        <v>43554</v>
      </c>
      <c r="T3" s="12">
        <v>43646</v>
      </c>
      <c r="U3" s="12">
        <v>43738</v>
      </c>
      <c r="V3" s="144">
        <v>43829</v>
      </c>
      <c r="W3" s="12">
        <v>43920</v>
      </c>
      <c r="X3" s="12">
        <v>44012</v>
      </c>
      <c r="Y3" s="12">
        <v>44104</v>
      </c>
      <c r="Z3" s="12">
        <v>44195</v>
      </c>
      <c r="AA3" s="12">
        <v>44285</v>
      </c>
      <c r="AB3" s="12">
        <v>44377</v>
      </c>
      <c r="AC3" s="12">
        <v>44469</v>
      </c>
      <c r="AD3" s="12">
        <v>44560</v>
      </c>
      <c r="AE3" s="12">
        <v>44650</v>
      </c>
      <c r="AF3" s="12">
        <v>44742</v>
      </c>
      <c r="AG3" s="12">
        <v>44834</v>
      </c>
      <c r="AH3" s="13">
        <v>44926</v>
      </c>
      <c r="AI3" s="13">
        <v>45015</v>
      </c>
      <c r="AJ3" s="13">
        <v>45107</v>
      </c>
      <c r="AK3" s="13">
        <v>45199</v>
      </c>
      <c r="AL3" s="13">
        <v>45291</v>
      </c>
      <c r="AM3" s="13">
        <v>45381</v>
      </c>
      <c r="AN3" s="13">
        <v>45473</v>
      </c>
      <c r="AO3" s="13">
        <v>45565</v>
      </c>
      <c r="AP3" s="13">
        <v>45657</v>
      </c>
      <c r="AQ3" s="13">
        <v>45746</v>
      </c>
      <c r="AR3" s="13">
        <v>45838</v>
      </c>
      <c r="AS3" s="13">
        <v>45930</v>
      </c>
      <c r="AT3" s="13">
        <v>46022</v>
      </c>
      <c r="AU3" s="13">
        <v>46111</v>
      </c>
      <c r="AV3" s="177"/>
      <c r="AW3" s="12">
        <v>43554</v>
      </c>
      <c r="AX3" s="12">
        <v>43646</v>
      </c>
    </row>
    <row r="4" spans="1:50" s="5" customFormat="1" ht="13.5" customHeight="1">
      <c r="B4" s="10"/>
      <c r="C4" s="13" t="s">
        <v>202</v>
      </c>
      <c r="D4" s="13" t="s">
        <v>202</v>
      </c>
      <c r="E4" s="13" t="s">
        <v>202</v>
      </c>
      <c r="F4" s="13" t="s">
        <v>202</v>
      </c>
      <c r="G4" s="13" t="s">
        <v>202</v>
      </c>
      <c r="H4" s="13" t="s">
        <v>202</v>
      </c>
      <c r="I4" s="13" t="s">
        <v>202</v>
      </c>
      <c r="J4" s="13" t="s">
        <v>202</v>
      </c>
      <c r="K4" s="13" t="s">
        <v>202</v>
      </c>
      <c r="L4" s="13" t="s">
        <v>202</v>
      </c>
      <c r="M4" s="13" t="s">
        <v>202</v>
      </c>
      <c r="N4" s="137"/>
      <c r="O4" s="13" t="s">
        <v>202</v>
      </c>
      <c r="P4" s="13" t="s">
        <v>202</v>
      </c>
      <c r="Q4" s="13" t="s">
        <v>202</v>
      </c>
      <c r="R4" s="13" t="s">
        <v>202</v>
      </c>
      <c r="S4" s="13" t="s">
        <v>202</v>
      </c>
      <c r="T4" s="13" t="s">
        <v>202</v>
      </c>
      <c r="U4" s="13" t="s">
        <v>202</v>
      </c>
      <c r="V4" s="13" t="s">
        <v>202</v>
      </c>
      <c r="W4" s="13" t="s">
        <v>202</v>
      </c>
      <c r="X4" s="13" t="s">
        <v>202</v>
      </c>
      <c r="Y4" s="13" t="s">
        <v>202</v>
      </c>
      <c r="Z4" s="13" t="s">
        <v>202</v>
      </c>
      <c r="AA4" s="13" t="s">
        <v>202</v>
      </c>
      <c r="AB4" s="13" t="s">
        <v>202</v>
      </c>
      <c r="AC4" s="13" t="s">
        <v>202</v>
      </c>
      <c r="AD4" s="13" t="s">
        <v>202</v>
      </c>
      <c r="AE4" s="13" t="s">
        <v>202</v>
      </c>
      <c r="AF4" s="13" t="s">
        <v>202</v>
      </c>
      <c r="AG4" s="13" t="s">
        <v>202</v>
      </c>
      <c r="AH4" s="13" t="s">
        <v>202</v>
      </c>
      <c r="AI4" s="13" t="s">
        <v>202</v>
      </c>
      <c r="AJ4" s="13" t="s">
        <v>202</v>
      </c>
      <c r="AK4" s="13" t="s">
        <v>202</v>
      </c>
      <c r="AL4" s="13" t="s">
        <v>202</v>
      </c>
      <c r="AM4" s="13" t="s">
        <v>202</v>
      </c>
      <c r="AN4" s="13" t="s">
        <v>202</v>
      </c>
      <c r="AO4" s="13" t="s">
        <v>202</v>
      </c>
      <c r="AP4" s="13" t="s">
        <v>202</v>
      </c>
      <c r="AQ4" s="13" t="s">
        <v>202</v>
      </c>
      <c r="AR4" s="13" t="s">
        <v>202</v>
      </c>
      <c r="AS4" s="13" t="s">
        <v>202</v>
      </c>
      <c r="AT4" s="13" t="s">
        <v>202</v>
      </c>
      <c r="AU4" s="13" t="s">
        <v>202</v>
      </c>
      <c r="AV4" s="137"/>
      <c r="AW4" s="13" t="s">
        <v>203</v>
      </c>
      <c r="AX4" s="13" t="s">
        <v>203</v>
      </c>
    </row>
    <row r="5" spans="1:50" s="5" customFormat="1" ht="13.5" customHeight="1">
      <c r="A5" s="3"/>
      <c r="B5" s="3"/>
      <c r="C5" s="20" t="s">
        <v>204</v>
      </c>
      <c r="D5" s="20" t="s">
        <v>204</v>
      </c>
      <c r="E5" s="20" t="s">
        <v>204</v>
      </c>
      <c r="F5" s="20" t="s">
        <v>204</v>
      </c>
      <c r="G5" s="20" t="s">
        <v>204</v>
      </c>
      <c r="H5" s="20" t="s">
        <v>204</v>
      </c>
      <c r="I5" s="20" t="s">
        <v>204</v>
      </c>
      <c r="J5" s="20" t="s">
        <v>204</v>
      </c>
      <c r="K5" s="20" t="s">
        <v>204</v>
      </c>
      <c r="L5" s="20" t="s">
        <v>204</v>
      </c>
      <c r="M5" s="20" t="s">
        <v>199</v>
      </c>
      <c r="N5" s="20"/>
      <c r="O5" s="20" t="s">
        <v>205</v>
      </c>
      <c r="P5" s="20" t="s">
        <v>206</v>
      </c>
      <c r="Q5" s="20" t="s">
        <v>207</v>
      </c>
      <c r="R5" s="20" t="s">
        <v>208</v>
      </c>
      <c r="S5" s="20" t="s">
        <v>205</v>
      </c>
      <c r="T5" s="20" t="s">
        <v>206</v>
      </c>
      <c r="U5" s="20" t="s">
        <v>207</v>
      </c>
      <c r="V5" s="20" t="s">
        <v>208</v>
      </c>
      <c r="W5" s="20" t="s">
        <v>205</v>
      </c>
      <c r="X5" s="20" t="s">
        <v>206</v>
      </c>
      <c r="Y5" s="20" t="s">
        <v>207</v>
      </c>
      <c r="Z5" s="20" t="s">
        <v>208</v>
      </c>
      <c r="AA5" s="20" t="s">
        <v>205</v>
      </c>
      <c r="AB5" s="20" t="s">
        <v>206</v>
      </c>
      <c r="AC5" s="20" t="s">
        <v>207</v>
      </c>
      <c r="AD5" s="20" t="s">
        <v>208</v>
      </c>
      <c r="AE5" s="20" t="s">
        <v>205</v>
      </c>
      <c r="AF5" s="20" t="s">
        <v>206</v>
      </c>
      <c r="AG5" s="20" t="s">
        <v>207</v>
      </c>
      <c r="AH5" s="20" t="s">
        <v>208</v>
      </c>
      <c r="AI5" s="20" t="s">
        <v>205</v>
      </c>
      <c r="AJ5" s="20" t="s">
        <v>206</v>
      </c>
      <c r="AK5" s="20" t="s">
        <v>207</v>
      </c>
      <c r="AL5" s="20" t="s">
        <v>208</v>
      </c>
      <c r="AM5" s="20" t="s">
        <v>205</v>
      </c>
      <c r="AN5" s="20" t="s">
        <v>206</v>
      </c>
      <c r="AO5" s="20" t="s">
        <v>207</v>
      </c>
      <c r="AP5" s="335" t="s">
        <v>208</v>
      </c>
      <c r="AQ5" s="20" t="s">
        <v>205</v>
      </c>
      <c r="AR5" s="20" t="s">
        <v>206</v>
      </c>
      <c r="AS5" s="20" t="s">
        <v>207</v>
      </c>
      <c r="AT5" s="335" t="s">
        <v>208</v>
      </c>
      <c r="AU5" s="20" t="s">
        <v>205</v>
      </c>
      <c r="AV5" s="20"/>
      <c r="AW5" s="20" t="s">
        <v>205</v>
      </c>
      <c r="AX5" s="20" t="s">
        <v>206</v>
      </c>
    </row>
    <row r="6" spans="1:50" ht="13.5" customHeight="1">
      <c r="A6" s="23"/>
      <c r="B6" s="15" t="s">
        <v>209</v>
      </c>
      <c r="C6" s="16"/>
      <c r="D6" s="16"/>
      <c r="E6" s="16"/>
      <c r="F6" s="16"/>
      <c r="G6" s="16"/>
      <c r="H6" s="16"/>
      <c r="I6" s="171"/>
      <c r="J6" s="171"/>
      <c r="K6" s="171"/>
      <c r="L6" s="171"/>
      <c r="M6" s="13"/>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5"/>
      <c r="AW6" s="16"/>
      <c r="AX6" s="16"/>
    </row>
    <row r="7" spans="1:50" s="5" customFormat="1" ht="16.5" customHeight="1">
      <c r="B7" s="5" t="s">
        <v>210</v>
      </c>
      <c r="C7" s="145">
        <v>14338.579</v>
      </c>
      <c r="D7" s="145">
        <v>13935.531999999999</v>
      </c>
      <c r="E7" s="145">
        <v>13557.837</v>
      </c>
      <c r="F7" s="145">
        <v>14351.277</v>
      </c>
      <c r="G7" s="145">
        <v>15356.948</v>
      </c>
      <c r="H7" s="145">
        <v>15849.72</v>
      </c>
      <c r="I7" s="145">
        <v>18722.258000000002</v>
      </c>
      <c r="J7" s="145">
        <v>19575.584999999999</v>
      </c>
      <c r="K7" s="145">
        <v>20979.511999999999</v>
      </c>
      <c r="L7" s="145">
        <v>22064.876</v>
      </c>
      <c r="M7" s="75">
        <f>SUM(AR7:AU7)</f>
        <v>22457.839</v>
      </c>
      <c r="N7" s="4"/>
      <c r="O7" s="145">
        <v>3232.2049999999999</v>
      </c>
      <c r="P7" s="145">
        <f>6859.293-O7</f>
        <v>3627.0879999999997</v>
      </c>
      <c r="Q7" s="145">
        <f>10176.653-P7-O7</f>
        <v>3317.3600000000006</v>
      </c>
      <c r="R7" s="7">
        <f>E7-Q7-P7-O7</f>
        <v>3381.1839999999993</v>
      </c>
      <c r="S7" s="145">
        <v>3354.0830000000001</v>
      </c>
      <c r="T7" s="145">
        <f>7074.082-S7</f>
        <v>3719.9990000000003</v>
      </c>
      <c r="U7" s="145">
        <f>10647.339-T7-S7</f>
        <v>3573.2570000000001</v>
      </c>
      <c r="V7" s="7">
        <f>F7-U7-T7-S7</f>
        <v>3703.9380000000006</v>
      </c>
      <c r="W7" s="145">
        <v>3592.44</v>
      </c>
      <c r="X7" s="145">
        <v>4081.8440000000001</v>
      </c>
      <c r="Y7" s="145">
        <v>3863.0790000000002</v>
      </c>
      <c r="Z7" s="7">
        <f>G7-Y7-X7-W7</f>
        <v>3819.5850000000005</v>
      </c>
      <c r="AA7" s="145">
        <v>3645.0140000000001</v>
      </c>
      <c r="AB7" s="145">
        <v>4005.5680000000002</v>
      </c>
      <c r="AC7" s="145">
        <v>3941.73</v>
      </c>
      <c r="AD7" s="7">
        <f>H7-AC7-AB7-AA7</f>
        <v>4257.4079999999994</v>
      </c>
      <c r="AE7" s="145">
        <v>4503.4570000000003</v>
      </c>
      <c r="AF7" s="145">
        <v>4610.4470000000001</v>
      </c>
      <c r="AG7" s="145">
        <v>4769.1210000000001</v>
      </c>
      <c r="AH7" s="7">
        <f>I7-AG7-AF7-AE7</f>
        <v>4839.233000000002</v>
      </c>
      <c r="AI7" s="145">
        <v>5066.5640000000003</v>
      </c>
      <c r="AJ7" s="145">
        <v>4792.3490000000002</v>
      </c>
      <c r="AK7" s="145">
        <v>4796.9340000000002</v>
      </c>
      <c r="AL7" s="7">
        <f>J7-AK7-AJ7-AI7</f>
        <v>4919.7379999999976</v>
      </c>
      <c r="AM7" s="145">
        <v>5458.6409999999996</v>
      </c>
      <c r="AN7" s="145">
        <v>5154.6210000000001</v>
      </c>
      <c r="AO7" s="145">
        <v>5208.9210000000003</v>
      </c>
      <c r="AP7" s="7">
        <f>K7-AO7-AN7-AM7</f>
        <v>5157.3289999999979</v>
      </c>
      <c r="AQ7" s="145">
        <v>5767.09</v>
      </c>
      <c r="AR7" s="145">
        <v>5288.402</v>
      </c>
      <c r="AS7" s="145">
        <v>5552.5990000000002</v>
      </c>
      <c r="AT7" s="7">
        <f>L7-AS7-AR7-AQ7</f>
        <v>5456.7850000000017</v>
      </c>
      <c r="AU7" s="145">
        <v>6160.0529999999999</v>
      </c>
      <c r="AV7" s="30"/>
      <c r="AW7" s="145">
        <v>3308.8919999999998</v>
      </c>
      <c r="AX7" s="145">
        <v>3767.424</v>
      </c>
    </row>
    <row r="8" spans="1:50" s="34" customFormat="1" ht="13.5" customHeight="1">
      <c r="B8" s="17" t="s">
        <v>211</v>
      </c>
      <c r="C8" s="25"/>
      <c r="D8" s="25">
        <f t="shared" ref="D8:L8" si="0">D7/C7-1</f>
        <v>-2.8109270800126041E-2</v>
      </c>
      <c r="E8" s="25">
        <f t="shared" si="0"/>
        <v>-2.7103019820125973E-2</v>
      </c>
      <c r="F8" s="25">
        <f t="shared" si="0"/>
        <v>5.852260946934229E-2</v>
      </c>
      <c r="G8" s="25">
        <f t="shared" si="0"/>
        <v>7.0075366812305306E-2</v>
      </c>
      <c r="H8" s="25">
        <f t="shared" si="0"/>
        <v>3.2087886212807337E-2</v>
      </c>
      <c r="I8" s="25">
        <f t="shared" si="0"/>
        <v>0.18123588303137228</v>
      </c>
      <c r="J8" s="25">
        <f t="shared" si="0"/>
        <v>4.5578209636893074E-2</v>
      </c>
      <c r="K8" s="25">
        <f t="shared" si="0"/>
        <v>7.1718265380063873E-2</v>
      </c>
      <c r="L8" s="25">
        <f t="shared" si="0"/>
        <v>5.1734473137411419E-2</v>
      </c>
      <c r="M8" s="78"/>
      <c r="N8" s="292"/>
      <c r="O8" s="25"/>
      <c r="P8" s="25"/>
      <c r="Q8" s="25"/>
      <c r="R8" s="25"/>
      <c r="S8" s="25">
        <f>S7/O7-1</f>
        <v>3.7707385515460823E-2</v>
      </c>
      <c r="T8" s="25">
        <f>T7/P7-1</f>
        <v>2.5615865950867622E-2</v>
      </c>
      <c r="U8" s="25">
        <f>U7/Q7-1</f>
        <v>7.7138748884655106E-2</v>
      </c>
      <c r="V8" s="25">
        <f>V7/R7-1</f>
        <v>9.5455911302076757E-2</v>
      </c>
      <c r="W8" s="25">
        <f>W7/AW7-1</f>
        <v>8.5692733398370358E-2</v>
      </c>
      <c r="X8" s="25">
        <f>X7/AX7-1</f>
        <v>8.3457556144463707E-2</v>
      </c>
      <c r="Y8" s="25">
        <f t="shared" ref="Y8:AL8" si="1">Y7/U7-1</f>
        <v>8.1108635622906489E-2</v>
      </c>
      <c r="Z8" s="25">
        <f t="shared" si="1"/>
        <v>3.1222714851058431E-2</v>
      </c>
      <c r="AA8" s="25">
        <f t="shared" si="1"/>
        <v>1.4634621594236785E-2</v>
      </c>
      <c r="AB8" s="25">
        <f t="shared" si="1"/>
        <v>-1.8686652405138449E-2</v>
      </c>
      <c r="AC8" s="25">
        <f t="shared" si="1"/>
        <v>2.0359666473297455E-2</v>
      </c>
      <c r="AD8" s="25">
        <f t="shared" si="1"/>
        <v>0.11462580358860941</v>
      </c>
      <c r="AE8" s="25">
        <f>AE7/AA7-1</f>
        <v>0.23551157828200386</v>
      </c>
      <c r="AF8" s="25">
        <f t="shared" si="1"/>
        <v>0.15100954471375849</v>
      </c>
      <c r="AG8" s="25">
        <f>AG7/AC7-1</f>
        <v>0.20990554908631487</v>
      </c>
      <c r="AH8" s="25">
        <f t="shared" si="1"/>
        <v>0.13666179046029936</v>
      </c>
      <c r="AI8" s="25">
        <f>AI7/AE7-1</f>
        <v>0.12503883128005877</v>
      </c>
      <c r="AJ8" s="25">
        <f t="shared" si="1"/>
        <v>3.9454308877208577E-2</v>
      </c>
      <c r="AK8" s="25">
        <f>AK7/AG7-1</f>
        <v>5.8318922921016814E-3</v>
      </c>
      <c r="AL8" s="25">
        <f t="shared" si="1"/>
        <v>1.6635900771877488E-2</v>
      </c>
      <c r="AM8" s="25">
        <f t="shared" ref="AM8:AU8" si="2">AM7/AI7-1</f>
        <v>7.7385186489305147E-2</v>
      </c>
      <c r="AN8" s="25">
        <f t="shared" si="2"/>
        <v>7.5593826743419523E-2</v>
      </c>
      <c r="AO8" s="25">
        <f t="shared" si="2"/>
        <v>8.5885484353130481E-2</v>
      </c>
      <c r="AP8" s="25">
        <f t="shared" si="2"/>
        <v>4.8293425381595645E-2</v>
      </c>
      <c r="AQ8" s="25">
        <f t="shared" si="2"/>
        <v>5.6506555386221624E-2</v>
      </c>
      <c r="AR8" s="25">
        <f t="shared" si="2"/>
        <v>2.5953605512412992E-2</v>
      </c>
      <c r="AS8" s="25">
        <f t="shared" si="2"/>
        <v>6.5978731487768671E-2</v>
      </c>
      <c r="AT8" s="25">
        <f t="shared" si="2"/>
        <v>5.8064164609239466E-2</v>
      </c>
      <c r="AU8" s="25">
        <f t="shared" si="2"/>
        <v>6.8138870730299006E-2</v>
      </c>
      <c r="AV8" s="294"/>
      <c r="AW8" s="25">
        <f>AW7/O7-1</f>
        <v>2.3725908474245827E-2</v>
      </c>
      <c r="AX8" s="25">
        <f>AX7/W7-1</f>
        <v>4.8708955473160342E-2</v>
      </c>
    </row>
    <row r="9" spans="1:50" ht="13.5" customHeight="1">
      <c r="B9" s="1" t="s">
        <v>212</v>
      </c>
      <c r="C9" s="4">
        <v>-8816.0920000000006</v>
      </c>
      <c r="D9" s="4">
        <v>-8351.893</v>
      </c>
      <c r="E9" s="4">
        <v>-8230.7630000000008</v>
      </c>
      <c r="F9" s="4">
        <v>-8984.6029999999992</v>
      </c>
      <c r="G9" s="4">
        <v>-9821.44</v>
      </c>
      <c r="H9" s="4">
        <v>-10790.45</v>
      </c>
      <c r="I9" s="4">
        <v>-13098.035</v>
      </c>
      <c r="J9" s="4">
        <v>-13524.295</v>
      </c>
      <c r="K9" s="4">
        <v>-14315.46</v>
      </c>
      <c r="L9" s="4">
        <v>-15177.063</v>
      </c>
      <c r="M9" s="76">
        <f>SUM(AR9:AU9)</f>
        <v>-15472.772000000001</v>
      </c>
      <c r="N9" s="76"/>
      <c r="O9" s="4">
        <v>-1977.7760000000001</v>
      </c>
      <c r="P9" s="4">
        <f>-4201.65-O9</f>
        <v>-2223.8739999999998</v>
      </c>
      <c r="Q9" s="4">
        <f>-6112.52-P9-O9</f>
        <v>-1910.8700000000006</v>
      </c>
      <c r="R9" s="30">
        <f>E9-Q9-P9-O9</f>
        <v>-2118.2430000000004</v>
      </c>
      <c r="S9" s="4">
        <v>-2144.4639999999999</v>
      </c>
      <c r="T9" s="4">
        <f>-4444.682-S9</f>
        <v>-2300.2179999999998</v>
      </c>
      <c r="U9" s="4">
        <f>-6574.174-T9-S9</f>
        <v>-2129.4920000000002</v>
      </c>
      <c r="V9" s="30">
        <f>F9-U9-T9-S9</f>
        <v>-2410.4289999999992</v>
      </c>
      <c r="W9" s="4">
        <v>-2339.2469999999998</v>
      </c>
      <c r="X9" s="4">
        <v>-2546.6590000000001</v>
      </c>
      <c r="Y9" s="4">
        <v>-2348.3789999999999</v>
      </c>
      <c r="Z9" s="30">
        <f>G9-Y9-X9-W9</f>
        <v>-2587.1550000000002</v>
      </c>
      <c r="AA9" s="4">
        <v>-2409.9090000000001</v>
      </c>
      <c r="AB9" s="4">
        <v>-2649.8290000000002</v>
      </c>
      <c r="AC9" s="4">
        <v>-2666.0169999999998</v>
      </c>
      <c r="AD9" s="30">
        <f>H9-AC9-AB9-AA9</f>
        <v>-3064.6950000000011</v>
      </c>
      <c r="AE9" s="4">
        <v>-3171.5410000000002</v>
      </c>
      <c r="AF9" s="4">
        <v>-3140.8409999999999</v>
      </c>
      <c r="AG9" s="4">
        <v>-3280.4059999999999</v>
      </c>
      <c r="AH9" s="30">
        <f>I9-AG9-AF9-AE9</f>
        <v>-3505.2470000000003</v>
      </c>
      <c r="AI9" s="4">
        <v>-3448.7130000000002</v>
      </c>
      <c r="AJ9" s="4">
        <v>-3225.27</v>
      </c>
      <c r="AK9" s="4">
        <v>-3327.482</v>
      </c>
      <c r="AL9" s="30">
        <f>J9-AK9-AJ9-AI9</f>
        <v>-3522.8299999999995</v>
      </c>
      <c r="AM9" s="4">
        <v>-3750.18</v>
      </c>
      <c r="AN9" s="4">
        <v>-3452.2860000000001</v>
      </c>
      <c r="AO9" s="4">
        <v>-3539.0239999999999</v>
      </c>
      <c r="AP9" s="30">
        <f>K9-AO9-AN9-AM9</f>
        <v>-3573.97</v>
      </c>
      <c r="AQ9" s="4">
        <v>-3998.4349999999999</v>
      </c>
      <c r="AR9" s="4">
        <v>-3575.223</v>
      </c>
      <c r="AS9" s="4">
        <v>-3805.2420000000002</v>
      </c>
      <c r="AT9" s="30">
        <f>L9-AS9-AR9-AQ9</f>
        <v>-3798.163</v>
      </c>
      <c r="AU9" s="4">
        <v>-4294.1440000000002</v>
      </c>
      <c r="AV9" s="4"/>
      <c r="AW9" s="4">
        <v>-2144.9859999999999</v>
      </c>
      <c r="AX9" s="4">
        <v>-2301.203</v>
      </c>
    </row>
    <row r="10" spans="1:50" s="5" customFormat="1" ht="12" customHeight="1">
      <c r="B10" s="5" t="s">
        <v>213</v>
      </c>
      <c r="C10" s="7">
        <f t="shared" ref="C10:M10" si="3">C7+C9</f>
        <v>5522.4869999999992</v>
      </c>
      <c r="D10" s="7">
        <f t="shared" si="3"/>
        <v>5583.6389999999992</v>
      </c>
      <c r="E10" s="7">
        <f t="shared" si="3"/>
        <v>5327.0739999999987</v>
      </c>
      <c r="F10" s="7">
        <f t="shared" si="3"/>
        <v>5366.6740000000009</v>
      </c>
      <c r="G10" s="7">
        <f t="shared" si="3"/>
        <v>5535.5079999999998</v>
      </c>
      <c r="H10" s="7">
        <f t="shared" si="3"/>
        <v>5059.2699999999986</v>
      </c>
      <c r="I10" s="7">
        <f t="shared" si="3"/>
        <v>5624.2230000000018</v>
      </c>
      <c r="J10" s="7">
        <f t="shared" si="3"/>
        <v>6051.2899999999991</v>
      </c>
      <c r="K10" s="7">
        <f>K7+K9</f>
        <v>6664.0519999999997</v>
      </c>
      <c r="L10" s="7">
        <f>L7+L9</f>
        <v>6887.8130000000001</v>
      </c>
      <c r="M10" s="7">
        <f t="shared" si="3"/>
        <v>6985.0669999999991</v>
      </c>
      <c r="N10" s="7"/>
      <c r="O10" s="7">
        <f t="shared" ref="O10:T10" si="4">O7+O9</f>
        <v>1254.4289999999999</v>
      </c>
      <c r="P10" s="7">
        <f t="shared" si="4"/>
        <v>1403.2139999999999</v>
      </c>
      <c r="Q10" s="7">
        <f>Q7+Q9</f>
        <v>1406.49</v>
      </c>
      <c r="R10" s="7">
        <f t="shared" si="4"/>
        <v>1262.9409999999989</v>
      </c>
      <c r="S10" s="7">
        <f t="shared" si="4"/>
        <v>1209.6190000000001</v>
      </c>
      <c r="T10" s="7">
        <f t="shared" si="4"/>
        <v>1419.7810000000004</v>
      </c>
      <c r="U10" s="7">
        <f t="shared" ref="U10:AC10" si="5">U7+U9</f>
        <v>1443.7649999999999</v>
      </c>
      <c r="V10" s="7">
        <f t="shared" si="5"/>
        <v>1293.5090000000014</v>
      </c>
      <c r="W10" s="7">
        <f t="shared" si="5"/>
        <v>1253.1930000000002</v>
      </c>
      <c r="X10" s="7">
        <f t="shared" si="5"/>
        <v>1535.1849999999999</v>
      </c>
      <c r="Y10" s="7">
        <f t="shared" si="5"/>
        <v>1514.7000000000003</v>
      </c>
      <c r="Z10" s="7">
        <f t="shared" si="5"/>
        <v>1232.4300000000003</v>
      </c>
      <c r="AA10" s="7">
        <f t="shared" si="5"/>
        <v>1235.105</v>
      </c>
      <c r="AB10" s="7">
        <f t="shared" si="5"/>
        <v>1355.739</v>
      </c>
      <c r="AC10" s="7">
        <f t="shared" si="5"/>
        <v>1275.7130000000002</v>
      </c>
      <c r="AD10" s="7">
        <f t="shared" ref="AD10:AI10" si="6">AD7+AD9</f>
        <v>1192.7129999999984</v>
      </c>
      <c r="AE10" s="7">
        <f t="shared" si="6"/>
        <v>1331.9160000000002</v>
      </c>
      <c r="AF10" s="7">
        <f t="shared" si="6"/>
        <v>1469.6060000000002</v>
      </c>
      <c r="AG10" s="7">
        <f t="shared" si="6"/>
        <v>1488.7150000000001</v>
      </c>
      <c r="AH10" s="7">
        <f t="shared" si="6"/>
        <v>1333.9860000000017</v>
      </c>
      <c r="AI10" s="7">
        <f t="shared" si="6"/>
        <v>1617.8510000000001</v>
      </c>
      <c r="AJ10" s="7">
        <f t="shared" ref="AJ10:AO10" si="7">AJ7+AJ9</f>
        <v>1567.0790000000002</v>
      </c>
      <c r="AK10" s="7">
        <f t="shared" si="7"/>
        <v>1469.4520000000002</v>
      </c>
      <c r="AL10" s="7">
        <f t="shared" si="7"/>
        <v>1396.9079999999981</v>
      </c>
      <c r="AM10" s="7">
        <f t="shared" si="7"/>
        <v>1708.4609999999998</v>
      </c>
      <c r="AN10" s="7">
        <f t="shared" si="7"/>
        <v>1702.335</v>
      </c>
      <c r="AO10" s="7">
        <f t="shared" si="7"/>
        <v>1669.8970000000004</v>
      </c>
      <c r="AP10" s="7">
        <f t="shared" ref="AP10:AU10" si="8">AP7+AP9</f>
        <v>1583.3589999999981</v>
      </c>
      <c r="AQ10" s="7">
        <f t="shared" si="8"/>
        <v>1768.6550000000002</v>
      </c>
      <c r="AR10" s="7">
        <f t="shared" si="8"/>
        <v>1713.1790000000001</v>
      </c>
      <c r="AS10" s="7">
        <f t="shared" si="8"/>
        <v>1747.357</v>
      </c>
      <c r="AT10" s="7">
        <f t="shared" si="8"/>
        <v>1658.6220000000017</v>
      </c>
      <c r="AU10" s="7">
        <f t="shared" si="8"/>
        <v>1865.9089999999997</v>
      </c>
      <c r="AV10" s="7"/>
      <c r="AW10" s="7">
        <f>AW7+AW9</f>
        <v>1163.9059999999999</v>
      </c>
      <c r="AX10" s="7">
        <f>AX7+AX9</f>
        <v>1466.221</v>
      </c>
    </row>
    <row r="11" spans="1:50" s="34" customFormat="1" ht="12" customHeight="1">
      <c r="B11" s="17" t="s">
        <v>214</v>
      </c>
      <c r="C11" s="18">
        <f t="shared" ref="C11:M11" si="9">C10/C7</f>
        <v>0.38514883518094778</v>
      </c>
      <c r="D11" s="18">
        <f t="shared" si="9"/>
        <v>0.40067641479349331</v>
      </c>
      <c r="E11" s="18">
        <f t="shared" si="9"/>
        <v>0.3929147400134696</v>
      </c>
      <c r="F11" s="18">
        <f t="shared" si="9"/>
        <v>0.37395097314336562</v>
      </c>
      <c r="G11" s="18">
        <f t="shared" si="9"/>
        <v>0.3604562573240464</v>
      </c>
      <c r="H11" s="18">
        <f t="shared" si="9"/>
        <v>0.31920248433410803</v>
      </c>
      <c r="I11" s="18">
        <f t="shared" si="9"/>
        <v>0.30040302830994003</v>
      </c>
      <c r="J11" s="18">
        <f t="shared" si="9"/>
        <v>0.30912435056219262</v>
      </c>
      <c r="K11" s="18">
        <f>K10/K7</f>
        <v>0.3176457107295918</v>
      </c>
      <c r="L11" s="18">
        <f>L10/L7</f>
        <v>0.3121618721084134</v>
      </c>
      <c r="M11" s="78">
        <f t="shared" si="9"/>
        <v>0.31103023759320741</v>
      </c>
      <c r="N11" s="292"/>
      <c r="O11" s="18">
        <f t="shared" ref="O11:T11" si="10">O10/O7</f>
        <v>0.38810316796119054</v>
      </c>
      <c r="P11" s="18">
        <f t="shared" si="10"/>
        <v>0.38687067972985495</v>
      </c>
      <c r="Q11" s="18">
        <f>Q10/Q7</f>
        <v>0.42397870595895526</v>
      </c>
      <c r="R11" s="18">
        <f t="shared" si="10"/>
        <v>0.37352034080369456</v>
      </c>
      <c r="S11" s="18">
        <f t="shared" si="10"/>
        <v>0.36064074741143859</v>
      </c>
      <c r="T11" s="18">
        <f t="shared" si="10"/>
        <v>0.38166166173700594</v>
      </c>
      <c r="U11" s="18">
        <f t="shared" ref="U11:AC11" si="11">U10/U7</f>
        <v>0.40404734392180575</v>
      </c>
      <c r="V11" s="18">
        <f t="shared" si="11"/>
        <v>0.34922533800511812</v>
      </c>
      <c r="W11" s="18">
        <f t="shared" si="11"/>
        <v>0.34884173430871501</v>
      </c>
      <c r="X11" s="18">
        <f t="shared" si="11"/>
        <v>0.37610085049796121</v>
      </c>
      <c r="Y11" s="18">
        <f t="shared" si="11"/>
        <v>0.39209656338894444</v>
      </c>
      <c r="Z11" s="18">
        <f t="shared" si="11"/>
        <v>0.32266070790413098</v>
      </c>
      <c r="AA11" s="18">
        <f t="shared" si="11"/>
        <v>0.33884780689456884</v>
      </c>
      <c r="AB11" s="18">
        <f t="shared" si="11"/>
        <v>0.33846360865674979</v>
      </c>
      <c r="AC11" s="18">
        <f t="shared" si="11"/>
        <v>0.32364291821103935</v>
      </c>
      <c r="AD11" s="18">
        <f t="shared" ref="AD11:AI11" si="12">AD10/AD7</f>
        <v>0.28015003495084301</v>
      </c>
      <c r="AE11" s="18">
        <f t="shared" si="12"/>
        <v>0.29575412843955212</v>
      </c>
      <c r="AF11" s="18">
        <f t="shared" si="12"/>
        <v>0.31875564343327234</v>
      </c>
      <c r="AG11" s="18">
        <f t="shared" si="12"/>
        <v>0.31215710400302282</v>
      </c>
      <c r="AH11" s="18">
        <f t="shared" si="12"/>
        <v>0.27566062638438799</v>
      </c>
      <c r="AI11" s="18">
        <f t="shared" si="12"/>
        <v>0.31931916778313668</v>
      </c>
      <c r="AJ11" s="18">
        <f t="shared" ref="AJ11:AO11" si="13">AJ10/AJ7</f>
        <v>0.32699600968126491</v>
      </c>
      <c r="AK11" s="18">
        <f t="shared" si="13"/>
        <v>0.30633150258060671</v>
      </c>
      <c r="AL11" s="18">
        <f t="shared" si="13"/>
        <v>0.28393951059995448</v>
      </c>
      <c r="AM11" s="18">
        <f t="shared" si="13"/>
        <v>0.31298284682945809</v>
      </c>
      <c r="AN11" s="18">
        <f t="shared" si="13"/>
        <v>0.3302541544761487</v>
      </c>
      <c r="AO11" s="18">
        <f t="shared" si="13"/>
        <v>0.32058405186026057</v>
      </c>
      <c r="AP11" s="18">
        <f t="shared" ref="AP11:AU11" si="14">AP10/AP7</f>
        <v>0.30701143944859804</v>
      </c>
      <c r="AQ11" s="18">
        <f t="shared" si="14"/>
        <v>0.30668066563899649</v>
      </c>
      <c r="AR11" s="18">
        <f t="shared" si="14"/>
        <v>0.32395022163594978</v>
      </c>
      <c r="AS11" s="18">
        <f t="shared" si="14"/>
        <v>0.3146917326462797</v>
      </c>
      <c r="AT11" s="18">
        <f t="shared" si="14"/>
        <v>0.30395590077307449</v>
      </c>
      <c r="AU11" s="18">
        <f t="shared" si="14"/>
        <v>0.30290469903424527</v>
      </c>
      <c r="AV11" s="295"/>
      <c r="AW11" s="18">
        <f>AW10/AW7</f>
        <v>0.35175097887752155</v>
      </c>
      <c r="AX11" s="18">
        <f>AX10/AX7</f>
        <v>0.38918396230421637</v>
      </c>
    </row>
    <row r="12" spans="1:50" ht="12" customHeight="1">
      <c r="B12" s="6" t="s">
        <v>215</v>
      </c>
      <c r="C12" s="4">
        <v>-2480.3609999999999</v>
      </c>
      <c r="D12" s="4">
        <v>-2343.0459999999998</v>
      </c>
      <c r="E12" s="4">
        <v>-2180.2440000000001</v>
      </c>
      <c r="F12" s="4">
        <v>-2376.328</v>
      </c>
      <c r="G12" s="4">
        <v>-2490.4789999999998</v>
      </c>
      <c r="H12" s="4">
        <v>-2518.8510000000001</v>
      </c>
      <c r="I12" s="4">
        <v>-2709.538</v>
      </c>
      <c r="J12" s="4">
        <v>-2789.7449999999999</v>
      </c>
      <c r="K12" s="4">
        <v>-2993.9180000000001</v>
      </c>
      <c r="L12" s="4">
        <v>-3231.0610000000001</v>
      </c>
      <c r="M12" s="76">
        <f>SUM(AR12:AU12)</f>
        <v>-3295.3589999999995</v>
      </c>
      <c r="N12" s="76"/>
      <c r="O12" s="4">
        <v>-595.19600000000003</v>
      </c>
      <c r="P12" s="4">
        <f>-1107.697-O12</f>
        <v>-512.50099999999986</v>
      </c>
      <c r="Q12" s="4">
        <f>-1647.242-P12-O12</f>
        <v>-539.54499999999996</v>
      </c>
      <c r="R12" s="30">
        <f>E12-Q12-P12-O12</f>
        <v>-533.00200000000029</v>
      </c>
      <c r="S12" s="4">
        <v>-609.72900000000004</v>
      </c>
      <c r="T12" s="4">
        <f>-1148.217-S12</f>
        <v>-538.48800000000006</v>
      </c>
      <c r="U12" s="4">
        <f>-1742.32-T12-S12</f>
        <v>-594.10299999999984</v>
      </c>
      <c r="V12" s="30">
        <f>F12-U12-T12-S12</f>
        <v>-634.00800000000004</v>
      </c>
      <c r="W12" s="4">
        <v>-611.56899999999996</v>
      </c>
      <c r="X12" s="4">
        <v>-632.95799999999997</v>
      </c>
      <c r="Y12" s="4">
        <v>-642.00300000000004</v>
      </c>
      <c r="Z12" s="30">
        <f>G12-Y12-X12-W12</f>
        <v>-603.94899999999961</v>
      </c>
      <c r="AA12" s="4">
        <v>-604.05200000000002</v>
      </c>
      <c r="AB12" s="4">
        <v>-634.82600000000002</v>
      </c>
      <c r="AC12" s="4">
        <v>-646.44100000000003</v>
      </c>
      <c r="AD12" s="30">
        <f>H12-AC12-AB12-AA12</f>
        <v>-633.53200000000004</v>
      </c>
      <c r="AE12" s="4">
        <v>-647.428</v>
      </c>
      <c r="AF12" s="4">
        <v>-666.30799999999999</v>
      </c>
      <c r="AG12" s="4">
        <v>-709.79200000000003</v>
      </c>
      <c r="AH12" s="30">
        <f>I12-AG12-AF12-AE12</f>
        <v>-686.0100000000001</v>
      </c>
      <c r="AI12" s="4">
        <v>-678.84100000000001</v>
      </c>
      <c r="AJ12" s="4">
        <v>-689.08</v>
      </c>
      <c r="AK12" s="4">
        <v>-725.21100000000001</v>
      </c>
      <c r="AL12" s="30">
        <f>J12-AK12-AJ12-AI12</f>
        <v>-696.61299999999972</v>
      </c>
      <c r="AM12" s="4">
        <v>-695.75400000000002</v>
      </c>
      <c r="AN12" s="4">
        <v>-726.77700000000004</v>
      </c>
      <c r="AO12" s="4">
        <v>-778.43899999999996</v>
      </c>
      <c r="AP12" s="30">
        <f>K12-AO12-AN12-AM12</f>
        <v>-792.94800000000021</v>
      </c>
      <c r="AQ12" s="4">
        <v>-754.09400000000005</v>
      </c>
      <c r="AR12" s="4">
        <v>-766.22400000000005</v>
      </c>
      <c r="AS12" s="4">
        <v>-835.84199999999998</v>
      </c>
      <c r="AT12" s="30">
        <f>L12-AS12-AR12-AQ12</f>
        <v>-874.90099999999984</v>
      </c>
      <c r="AU12" s="4">
        <v>-818.39200000000005</v>
      </c>
      <c r="AV12" s="30"/>
      <c r="AW12" s="4">
        <v>-564.53800000000001</v>
      </c>
      <c r="AX12" s="4">
        <v>-585.91300000000001</v>
      </c>
    </row>
    <row r="13" spans="1:50" ht="12" customHeight="1">
      <c r="B13" s="6" t="s">
        <v>216</v>
      </c>
      <c r="C13" s="4">
        <v>-432.94900000000001</v>
      </c>
      <c r="D13" s="4">
        <v>-397.339</v>
      </c>
      <c r="E13" s="4">
        <v>-375.20400000000001</v>
      </c>
      <c r="F13" s="4">
        <v>-400.27300000000002</v>
      </c>
      <c r="G13" s="4">
        <v>-419.79</v>
      </c>
      <c r="H13" s="4">
        <v>-428.15699999999998</v>
      </c>
      <c r="I13" s="4">
        <v>-458.69400000000002</v>
      </c>
      <c r="J13" s="4">
        <v>-469.02300000000002</v>
      </c>
      <c r="K13" s="4">
        <v>-508.149</v>
      </c>
      <c r="L13" s="4">
        <v>-561.46299999999997</v>
      </c>
      <c r="M13" s="76">
        <f>SUM(AR13:AU13)</f>
        <v>-570.15699999999993</v>
      </c>
      <c r="N13" s="76"/>
      <c r="O13" s="4">
        <v>-96.126999999999995</v>
      </c>
      <c r="P13" s="4">
        <f>-195.1-O13</f>
        <v>-98.972999999999999</v>
      </c>
      <c r="Q13" s="4">
        <f>-274.326-P13-O13</f>
        <v>-79.226000000000013</v>
      </c>
      <c r="R13" s="30">
        <f>E13-Q13-P13-O13</f>
        <v>-100.878</v>
      </c>
      <c r="S13" s="4">
        <v>-94.754000000000005</v>
      </c>
      <c r="T13" s="4">
        <f>-194.58-S13</f>
        <v>-99.826000000000008</v>
      </c>
      <c r="U13" s="4">
        <f>-274.095-T13-S13</f>
        <v>-79.515000000000001</v>
      </c>
      <c r="V13" s="30">
        <f>F13-U13-T13-S13</f>
        <v>-126.17800000000001</v>
      </c>
      <c r="W13" s="4">
        <v>-99.828000000000003</v>
      </c>
      <c r="X13" s="4">
        <v>-105.10899999999999</v>
      </c>
      <c r="Y13" s="4">
        <v>-83.956000000000003</v>
      </c>
      <c r="Z13" s="30">
        <f>G13-Y13-X13-W13</f>
        <v>-130.89700000000002</v>
      </c>
      <c r="AA13" s="4">
        <v>-97.308000000000007</v>
      </c>
      <c r="AB13" s="4">
        <v>-104.96</v>
      </c>
      <c r="AC13" s="4">
        <v>-85.094999999999999</v>
      </c>
      <c r="AD13" s="30">
        <f>H13-AC13-AB13-AA13</f>
        <v>-140.79400000000004</v>
      </c>
      <c r="AE13" s="4">
        <v>-104.78700000000001</v>
      </c>
      <c r="AF13" s="4">
        <v>-110.733</v>
      </c>
      <c r="AG13" s="4">
        <v>-95.831000000000003</v>
      </c>
      <c r="AH13" s="30">
        <f>I13-AG13-AF13-AE13</f>
        <v>-147.34299999999999</v>
      </c>
      <c r="AI13" s="4">
        <v>-113.199</v>
      </c>
      <c r="AJ13" s="4">
        <v>-117.414</v>
      </c>
      <c r="AK13" s="4">
        <v>-95.626000000000005</v>
      </c>
      <c r="AL13" s="30">
        <f>J13-AK13-AJ13-AI13</f>
        <v>-142.78400000000005</v>
      </c>
      <c r="AM13" s="4">
        <v>-121.607</v>
      </c>
      <c r="AN13" s="4">
        <v>-124.30500000000001</v>
      </c>
      <c r="AO13" s="4">
        <v>-103.05200000000001</v>
      </c>
      <c r="AP13" s="30">
        <f>K13-AO13-AN13-AM13</f>
        <v>-159.18499999999997</v>
      </c>
      <c r="AQ13" s="4">
        <v>-129.29300000000001</v>
      </c>
      <c r="AR13" s="4">
        <v>-130.036</v>
      </c>
      <c r="AS13" s="4">
        <v>-121.73699999999999</v>
      </c>
      <c r="AT13" s="30">
        <f>L13-AS13-AR13-AQ13</f>
        <v>-180.39699999999999</v>
      </c>
      <c r="AU13" s="4">
        <v>-137.98699999999999</v>
      </c>
      <c r="AV13" s="30"/>
      <c r="AW13" s="4">
        <v>-94.754000000000005</v>
      </c>
      <c r="AX13" s="4">
        <v>-99.825999999999993</v>
      </c>
    </row>
    <row r="14" spans="1:50" ht="12" customHeight="1">
      <c r="B14" s="6" t="s">
        <v>217</v>
      </c>
      <c r="C14" s="4">
        <v>-91.397999999999996</v>
      </c>
      <c r="D14" s="4">
        <v>-211.071</v>
      </c>
      <c r="E14" s="4">
        <v>-275.07499999999999</v>
      </c>
      <c r="F14" s="4">
        <v>-88.671999999999997</v>
      </c>
      <c r="G14" s="4">
        <v>-78.427999999999997</v>
      </c>
      <c r="H14" s="4">
        <v>-85.563000000000002</v>
      </c>
      <c r="I14" s="4">
        <v>-153.35599999999999</v>
      </c>
      <c r="J14" s="4">
        <v>-64.460999999999999</v>
      </c>
      <c r="K14" s="4">
        <v>-63.165999999999997</v>
      </c>
      <c r="L14" s="4">
        <v>-14.813000000000001</v>
      </c>
      <c r="M14" s="76">
        <f>SUM(AR14:AU14)</f>
        <v>-29.649000000000001</v>
      </c>
      <c r="N14" s="76"/>
      <c r="O14" s="4">
        <v>-44.445999999999998</v>
      </c>
      <c r="P14" s="4">
        <f>-78.251-O14</f>
        <v>-33.805000000000007</v>
      </c>
      <c r="Q14" s="4">
        <f>-116.079-P14-O14</f>
        <v>-37.827999999999989</v>
      </c>
      <c r="R14" s="30">
        <f>E14-Q14-P14-O14</f>
        <v>-158.99600000000001</v>
      </c>
      <c r="S14" s="4">
        <v>-22.437000000000001</v>
      </c>
      <c r="T14" s="4">
        <f>-67.604-S14</f>
        <v>-45.167000000000002</v>
      </c>
      <c r="U14" s="4">
        <f>-81.511-T14-S14</f>
        <v>-13.906999999999993</v>
      </c>
      <c r="V14" s="30">
        <f>F14-U14-T14-S14</f>
        <v>-7.1609999999999978</v>
      </c>
      <c r="W14" s="4">
        <v>-0.49099999999999999</v>
      </c>
      <c r="X14" s="4">
        <v>-31.172000000000001</v>
      </c>
      <c r="Y14" s="4">
        <v>-39.514000000000003</v>
      </c>
      <c r="Z14" s="30">
        <f>G14-Y14-X14-W14</f>
        <v>-7.2509999999999941</v>
      </c>
      <c r="AA14" s="4">
        <v>-31.216999999999999</v>
      </c>
      <c r="AB14" s="4">
        <v>-19.902000000000001</v>
      </c>
      <c r="AC14" s="4">
        <v>-19.247</v>
      </c>
      <c r="AD14" s="30">
        <f>H14-AC14-AB14-AA14</f>
        <v>-15.197000000000003</v>
      </c>
      <c r="AE14" s="4">
        <v>-22.43</v>
      </c>
      <c r="AF14" s="4">
        <v>-33.698999999999998</v>
      </c>
      <c r="AG14" s="4">
        <v>-100.07299999999999</v>
      </c>
      <c r="AH14" s="30">
        <f>I14-AG14-AF14-AE14</f>
        <v>2.8459999999999965</v>
      </c>
      <c r="AI14" s="4">
        <v>-13.311999999999999</v>
      </c>
      <c r="AJ14" s="4">
        <v>-38.781999999999996</v>
      </c>
      <c r="AK14" s="4">
        <v>-2.7789999999999999</v>
      </c>
      <c r="AL14" s="30">
        <f>J14-AK14-AJ14-AI14</f>
        <v>-9.5880000000000063</v>
      </c>
      <c r="AM14" s="4">
        <v>-0.51800000000000002</v>
      </c>
      <c r="AN14" s="4">
        <v>-39.823999999999998</v>
      </c>
      <c r="AO14" s="4">
        <v>-29.638000000000002</v>
      </c>
      <c r="AP14" s="30">
        <f>K14-AO14-AN14-AM14</f>
        <v>6.8140000000000063</v>
      </c>
      <c r="AQ14" s="4">
        <v>-11.372999999999999</v>
      </c>
      <c r="AR14" s="4">
        <v>11.991</v>
      </c>
      <c r="AS14" s="4">
        <v>-30.428000000000001</v>
      </c>
      <c r="AT14" s="30">
        <f>L14-AS14-AR14-AQ14</f>
        <v>14.997</v>
      </c>
      <c r="AU14" s="4">
        <v>-26.209</v>
      </c>
      <c r="AV14" s="30"/>
      <c r="AW14" s="4">
        <v>-16.422000000000001</v>
      </c>
      <c r="AX14" s="4">
        <v>-40.220999999999997</v>
      </c>
    </row>
    <row r="15" spans="1:50" ht="12" customHeight="1">
      <c r="B15" s="6" t="s">
        <v>218</v>
      </c>
      <c r="C15" s="4">
        <v>0</v>
      </c>
      <c r="D15" s="4">
        <v>-48.832999999999998</v>
      </c>
      <c r="E15" s="4">
        <v>24.684000000000001</v>
      </c>
      <c r="F15" s="4">
        <v>-28.193000000000001</v>
      </c>
      <c r="G15" s="4">
        <v>-24.477</v>
      </c>
      <c r="H15" s="4">
        <v>-11.845000000000001</v>
      </c>
      <c r="I15" s="4">
        <v>-26.303000000000001</v>
      </c>
      <c r="J15" s="4">
        <v>-34.173000000000002</v>
      </c>
      <c r="K15" s="4">
        <v>-103.458</v>
      </c>
      <c r="L15" s="4">
        <v>-20.213999999999999</v>
      </c>
      <c r="M15" s="76">
        <f>SUM(AR15:AU15)</f>
        <v>-28.647000000000002</v>
      </c>
      <c r="N15" s="76"/>
      <c r="O15" s="4">
        <v>-33.450000000000003</v>
      </c>
      <c r="P15" s="4">
        <f>-27.245-O15</f>
        <v>6.2050000000000018</v>
      </c>
      <c r="Q15" s="4">
        <f>-3.106-P15-O15</f>
        <v>24.139000000000003</v>
      </c>
      <c r="R15" s="30">
        <f>E15-Q15-P15-O15</f>
        <v>27.79</v>
      </c>
      <c r="S15" s="4">
        <v>-1.8819999999999999</v>
      </c>
      <c r="T15" s="4">
        <f>0.365-S15</f>
        <v>2.2469999999999999</v>
      </c>
      <c r="U15" s="4">
        <f>-0.296-T15-S15</f>
        <v>-0.66099999999999981</v>
      </c>
      <c r="V15" s="30">
        <f>F15-U15-T15-S15</f>
        <v>-27.896999999999998</v>
      </c>
      <c r="W15" s="4">
        <v>-28.54</v>
      </c>
      <c r="X15" s="4">
        <v>-6.7210000000000001</v>
      </c>
      <c r="Y15" s="4">
        <v>0.96</v>
      </c>
      <c r="Z15" s="30">
        <f>G15-Y15-X15-W15</f>
        <v>9.8239999999999981</v>
      </c>
      <c r="AA15" s="4">
        <v>-0.17599999999999999</v>
      </c>
      <c r="AB15" s="4">
        <v>5.5949999999999998</v>
      </c>
      <c r="AC15" s="4">
        <v>-6.29</v>
      </c>
      <c r="AD15" s="30">
        <f>H15-AC15-AB15-AA15</f>
        <v>-10.974</v>
      </c>
      <c r="AE15" s="4">
        <v>-10.164999999999999</v>
      </c>
      <c r="AF15" s="4">
        <v>-12.567</v>
      </c>
      <c r="AG15" s="4">
        <v>-4.1150000000000002</v>
      </c>
      <c r="AH15" s="30">
        <f>I15-AG15-AF15-AE15</f>
        <v>0.54399999999999693</v>
      </c>
      <c r="AI15" s="4">
        <v>-9.9559999999999995</v>
      </c>
      <c r="AJ15" s="4">
        <v>-3.2879999999999998</v>
      </c>
      <c r="AK15" s="4">
        <v>-1.901</v>
      </c>
      <c r="AL15" s="30">
        <f>J15-AK15-AJ15-AI15</f>
        <v>-19.027999999999999</v>
      </c>
      <c r="AM15" s="4">
        <v>-21.716000000000001</v>
      </c>
      <c r="AN15" s="4">
        <v>-18.475000000000001</v>
      </c>
      <c r="AO15" s="4">
        <v>-16.353999999999999</v>
      </c>
      <c r="AP15" s="30">
        <f>K15-AO15-AN15-AM15</f>
        <v>-46.91299999999999</v>
      </c>
      <c r="AQ15" s="4">
        <v>0.24099999999999999</v>
      </c>
      <c r="AR15" s="4">
        <v>-15.667</v>
      </c>
      <c r="AS15" s="4">
        <v>-2.077</v>
      </c>
      <c r="AT15" s="30">
        <f>L15-AS15-AR15-AQ15</f>
        <v>-2.7110000000000007</v>
      </c>
      <c r="AU15" s="4">
        <v>-8.1920000000000002</v>
      </c>
      <c r="AV15" s="30"/>
      <c r="AW15" s="4">
        <v>-1.8819999999999999</v>
      </c>
      <c r="AX15" s="4">
        <v>2.2469999999999999</v>
      </c>
    </row>
    <row r="16" spans="1:50" s="5" customFormat="1" ht="12" customHeight="1">
      <c r="B16" s="14" t="s">
        <v>219</v>
      </c>
      <c r="C16" s="7">
        <f t="shared" ref="C16:M16" si="15">C10+SUM(C12:C15)</f>
        <v>2517.7789999999991</v>
      </c>
      <c r="D16" s="7">
        <f t="shared" si="15"/>
        <v>2583.3499999999995</v>
      </c>
      <c r="E16" s="7">
        <f t="shared" si="15"/>
        <v>2521.2349999999988</v>
      </c>
      <c r="F16" s="7">
        <f t="shared" si="15"/>
        <v>2473.2080000000005</v>
      </c>
      <c r="G16" s="7">
        <f t="shared" si="15"/>
        <v>2522.3340000000003</v>
      </c>
      <c r="H16" s="7">
        <f t="shared" si="15"/>
        <v>2014.8539999999985</v>
      </c>
      <c r="I16" s="7">
        <f t="shared" si="15"/>
        <v>2276.3320000000022</v>
      </c>
      <c r="J16" s="7">
        <f t="shared" si="15"/>
        <v>2693.887999999999</v>
      </c>
      <c r="K16" s="7">
        <f>K10+SUM(K12:K15)</f>
        <v>2995.3609999999994</v>
      </c>
      <c r="L16" s="7">
        <f>L10+SUM(L12:L15)</f>
        <v>3060.2619999999997</v>
      </c>
      <c r="M16" s="7">
        <f t="shared" si="15"/>
        <v>3061.2549999999997</v>
      </c>
      <c r="N16" s="293"/>
      <c r="O16" s="7">
        <f t="shared" ref="O16:V16" si="16">O10+SUM(O12:O15)</f>
        <v>485.20999999999981</v>
      </c>
      <c r="P16" s="7">
        <f t="shared" si="16"/>
        <v>764.14000000000021</v>
      </c>
      <c r="Q16" s="7">
        <f t="shared" si="16"/>
        <v>774.03000000000009</v>
      </c>
      <c r="R16" s="7">
        <f t="shared" si="16"/>
        <v>497.85499999999854</v>
      </c>
      <c r="S16" s="7">
        <f t="shared" si="16"/>
        <v>480.81700000000012</v>
      </c>
      <c r="T16" s="7">
        <f t="shared" si="16"/>
        <v>738.54700000000025</v>
      </c>
      <c r="U16" s="7">
        <f t="shared" si="16"/>
        <v>755.57900000000006</v>
      </c>
      <c r="V16" s="7">
        <f t="shared" si="16"/>
        <v>498.26500000000135</v>
      </c>
      <c r="W16" s="7">
        <f t="shared" ref="W16:AC16" si="17">W10+SUM(W12:W15)</f>
        <v>512.76500000000033</v>
      </c>
      <c r="X16" s="7">
        <f t="shared" si="17"/>
        <v>759.22499999999991</v>
      </c>
      <c r="Y16" s="7">
        <f t="shared" si="17"/>
        <v>750.18700000000024</v>
      </c>
      <c r="Z16" s="7">
        <f t="shared" si="17"/>
        <v>500.15700000000061</v>
      </c>
      <c r="AA16" s="7">
        <f t="shared" si="17"/>
        <v>502.35199999999998</v>
      </c>
      <c r="AB16" s="7">
        <f t="shared" si="17"/>
        <v>601.64599999999996</v>
      </c>
      <c r="AC16" s="7">
        <f t="shared" si="17"/>
        <v>518.64000000000021</v>
      </c>
      <c r="AD16" s="7">
        <f t="shared" ref="AD16:AI16" si="18">AD10+SUM(AD12:AD15)</f>
        <v>392.2159999999983</v>
      </c>
      <c r="AE16" s="7">
        <f t="shared" si="18"/>
        <v>547.10600000000022</v>
      </c>
      <c r="AF16" s="7">
        <f t="shared" si="18"/>
        <v>646.29900000000032</v>
      </c>
      <c r="AG16" s="7">
        <f t="shared" si="18"/>
        <v>578.90400000000011</v>
      </c>
      <c r="AH16" s="7">
        <f t="shared" si="18"/>
        <v>504.02300000000162</v>
      </c>
      <c r="AI16" s="7">
        <f t="shared" si="18"/>
        <v>802.54300000000012</v>
      </c>
      <c r="AJ16" s="7">
        <f t="shared" ref="AJ16:AO16" si="19">AJ10+SUM(AJ12:AJ15)</f>
        <v>718.5150000000001</v>
      </c>
      <c r="AK16" s="7">
        <f t="shared" si="19"/>
        <v>643.93500000000029</v>
      </c>
      <c r="AL16" s="7">
        <f t="shared" si="19"/>
        <v>528.89499999999839</v>
      </c>
      <c r="AM16" s="7">
        <f t="shared" si="19"/>
        <v>868.86599999999976</v>
      </c>
      <c r="AN16" s="7">
        <f t="shared" si="19"/>
        <v>792.95399999999995</v>
      </c>
      <c r="AO16" s="7">
        <f t="shared" si="19"/>
        <v>742.41400000000033</v>
      </c>
      <c r="AP16" s="7">
        <f t="shared" ref="AP16:AU16" si="20">AP10+SUM(AP12:AP15)</f>
        <v>591.12699999999791</v>
      </c>
      <c r="AQ16" s="7">
        <f t="shared" si="20"/>
        <v>874.13600000000008</v>
      </c>
      <c r="AR16" s="7">
        <f t="shared" si="20"/>
        <v>813.24300000000005</v>
      </c>
      <c r="AS16" s="7">
        <f t="shared" si="20"/>
        <v>757.27300000000002</v>
      </c>
      <c r="AT16" s="7">
        <f t="shared" si="20"/>
        <v>615.61000000000195</v>
      </c>
      <c r="AU16" s="7">
        <f t="shared" si="20"/>
        <v>875.12899999999968</v>
      </c>
      <c r="AV16" s="7"/>
      <c r="AW16" s="7">
        <f>AW10+SUM(AW12:AW15)</f>
        <v>486.30999999999995</v>
      </c>
      <c r="AX16" s="7">
        <f>AX10+SUM(AX12:AX15)</f>
        <v>742.50799999999992</v>
      </c>
    </row>
    <row r="17" spans="2:50" s="5" customFormat="1" ht="12" customHeight="1">
      <c r="B17" s="6" t="s">
        <v>220</v>
      </c>
      <c r="C17" s="4">
        <v>44.676000000000002</v>
      </c>
      <c r="D17" s="4">
        <v>7.0940000000000003</v>
      </c>
      <c r="E17" s="4">
        <v>0</v>
      </c>
      <c r="F17" s="4">
        <v>0</v>
      </c>
      <c r="G17" s="4">
        <v>0</v>
      </c>
      <c r="H17" s="4">
        <v>0</v>
      </c>
      <c r="I17" s="4">
        <v>0</v>
      </c>
      <c r="J17" s="4">
        <v>0</v>
      </c>
      <c r="K17" s="4">
        <v>0</v>
      </c>
      <c r="L17" s="4">
        <v>0</v>
      </c>
      <c r="M17" s="76">
        <f>SUM(AR17:AU17)</f>
        <v>0</v>
      </c>
      <c r="N17" s="293"/>
      <c r="O17" s="4">
        <v>-19.143999999999998</v>
      </c>
      <c r="P17" s="4">
        <f>7.024-O17</f>
        <v>26.167999999999999</v>
      </c>
      <c r="Q17" s="4">
        <f>-P17-O17</f>
        <v>-7.0240000000000009</v>
      </c>
      <c r="R17" s="30">
        <f>E17-Q17-P17-O17</f>
        <v>0</v>
      </c>
      <c r="S17" s="4">
        <v>9.3550000000000004</v>
      </c>
      <c r="T17" s="4">
        <f>10.196-S17</f>
        <v>0.8409999999999993</v>
      </c>
      <c r="U17" s="4">
        <f>-T17-S17</f>
        <v>-10.196</v>
      </c>
      <c r="V17" s="30">
        <f>F17-U17-T17-S17</f>
        <v>0</v>
      </c>
      <c r="W17" s="4">
        <v>0</v>
      </c>
      <c r="X17" s="4">
        <v>0</v>
      </c>
      <c r="Y17" s="4">
        <v>0</v>
      </c>
      <c r="Z17" s="30">
        <f>G17-Y17-X17-W17</f>
        <v>0</v>
      </c>
      <c r="AA17" s="4">
        <v>0</v>
      </c>
      <c r="AB17" s="4">
        <v>0</v>
      </c>
      <c r="AC17" s="4">
        <v>0</v>
      </c>
      <c r="AD17" s="30">
        <f>H17-AC17-AB17-AA17</f>
        <v>0</v>
      </c>
      <c r="AE17" s="4">
        <v>0</v>
      </c>
      <c r="AF17" s="4">
        <v>0</v>
      </c>
      <c r="AG17" s="4">
        <v>0</v>
      </c>
      <c r="AH17" s="30">
        <f>I17-AG17-AF17-AE17</f>
        <v>0</v>
      </c>
      <c r="AI17" s="4">
        <v>0</v>
      </c>
      <c r="AJ17" s="4">
        <v>0</v>
      </c>
      <c r="AK17" s="4">
        <v>0</v>
      </c>
      <c r="AL17" s="30">
        <f>J17-AK17-AJ17-AI17</f>
        <v>0</v>
      </c>
      <c r="AM17" s="4">
        <v>0</v>
      </c>
      <c r="AN17" s="4">
        <v>0</v>
      </c>
      <c r="AO17" s="4">
        <v>0</v>
      </c>
      <c r="AP17" s="30">
        <f>K17-AO17-AN17-AM17</f>
        <v>0</v>
      </c>
      <c r="AQ17" s="4">
        <v>0</v>
      </c>
      <c r="AR17" s="4">
        <v>0</v>
      </c>
      <c r="AS17" s="4">
        <v>0</v>
      </c>
      <c r="AT17" s="30">
        <f>L17-AS17-AR17-AQ17</f>
        <v>0</v>
      </c>
      <c r="AU17" s="4">
        <v>0</v>
      </c>
      <c r="AV17" s="30"/>
      <c r="AW17" s="4">
        <v>0</v>
      </c>
      <c r="AX17" s="4">
        <v>0</v>
      </c>
    </row>
    <row r="18" spans="2:50" ht="12" customHeight="1">
      <c r="B18" s="6" t="s">
        <v>221</v>
      </c>
      <c r="C18" s="4">
        <v>-351.33600000000001</v>
      </c>
      <c r="D18" s="4">
        <v>-401.25400000000002</v>
      </c>
      <c r="E18" s="4">
        <v>-436.76600000000002</v>
      </c>
      <c r="F18" s="4">
        <v>-550.73900000000003</v>
      </c>
      <c r="G18" s="4">
        <v>-495.88099999999997</v>
      </c>
      <c r="H18" s="4">
        <v>-346.06299999999999</v>
      </c>
      <c r="I18" s="4">
        <v>-428.11900000000003</v>
      </c>
      <c r="J18" s="4">
        <v>-527.01900000000001</v>
      </c>
      <c r="K18" s="4">
        <v>-530.26</v>
      </c>
      <c r="L18" s="4">
        <v>-463.346</v>
      </c>
      <c r="M18" s="76">
        <f>SUM(AR18:AU18)</f>
        <v>-469.19500000000005</v>
      </c>
      <c r="N18" s="76"/>
      <c r="O18" s="4">
        <v>-102.271</v>
      </c>
      <c r="P18" s="4">
        <f>-197.209-O18</f>
        <v>-94.938000000000002</v>
      </c>
      <c r="Q18" s="4">
        <f>-307.671-P18-O18</f>
        <v>-110.462</v>
      </c>
      <c r="R18" s="30">
        <f>E18-Q18-P18-O18</f>
        <v>-129.09500000000003</v>
      </c>
      <c r="S18" s="4">
        <v>-130.28100000000001</v>
      </c>
      <c r="T18" s="4">
        <f>-266.425-S18</f>
        <v>-136.14400000000001</v>
      </c>
      <c r="U18" s="4">
        <f>-396.887-T18-S18</f>
        <v>-130.46199999999999</v>
      </c>
      <c r="V18" s="30">
        <f>F18-U18-T18-S18</f>
        <v>-153.85200000000003</v>
      </c>
      <c r="W18" s="4">
        <v>-124.875</v>
      </c>
      <c r="X18" s="4">
        <v>-120.30200000000001</v>
      </c>
      <c r="Y18" s="4">
        <v>-117.764</v>
      </c>
      <c r="Z18" s="30">
        <f>G18-Y18-X18-W18</f>
        <v>-132.93999999999994</v>
      </c>
      <c r="AA18" s="4">
        <v>-88.793999999999997</v>
      </c>
      <c r="AB18" s="4">
        <v>-93.319000000000003</v>
      </c>
      <c r="AC18" s="4">
        <v>-84.617000000000004</v>
      </c>
      <c r="AD18" s="30">
        <f>H18-AC18-AB18-AA18</f>
        <v>-79.332999999999956</v>
      </c>
      <c r="AE18" s="4">
        <v>-89.54</v>
      </c>
      <c r="AF18" s="4">
        <v>-96.623999999999995</v>
      </c>
      <c r="AG18" s="4">
        <v>-111.035</v>
      </c>
      <c r="AH18" s="30">
        <f>I18-AG18-AF18-AE18</f>
        <v>-130.92000000000007</v>
      </c>
      <c r="AI18" s="4">
        <v>-120.488</v>
      </c>
      <c r="AJ18" s="4">
        <v>-136.37899999999999</v>
      </c>
      <c r="AK18" s="4">
        <v>-128.52699999999999</v>
      </c>
      <c r="AL18" s="30">
        <f>J18-AK18-AJ18-AI18</f>
        <v>-141.62500000000006</v>
      </c>
      <c r="AM18" s="4">
        <v>-141.57499999999999</v>
      </c>
      <c r="AN18" s="4">
        <v>-142.65799999999999</v>
      </c>
      <c r="AO18" s="4">
        <v>-128.32599999999999</v>
      </c>
      <c r="AP18" s="30">
        <f>K18-AO18-AN18-AM18</f>
        <v>-117.70099999999996</v>
      </c>
      <c r="AQ18" s="4">
        <v>-99.691000000000003</v>
      </c>
      <c r="AR18" s="4">
        <v>-124.962</v>
      </c>
      <c r="AS18" s="4">
        <v>-118.633</v>
      </c>
      <c r="AT18" s="30">
        <f>L18-AS18-AR18-AQ18</f>
        <v>-120.06000000000003</v>
      </c>
      <c r="AU18" s="4">
        <v>-105.54</v>
      </c>
      <c r="AV18" s="30"/>
      <c r="AW18" s="4">
        <v>-126.419</v>
      </c>
      <c r="AX18" s="4">
        <v>-139.26400000000001</v>
      </c>
    </row>
    <row r="19" spans="2:50" ht="12" customHeight="1">
      <c r="B19" s="6" t="s">
        <v>222</v>
      </c>
      <c r="C19" s="4">
        <v>13.323</v>
      </c>
      <c r="D19" s="4">
        <v>13.018000000000001</v>
      </c>
      <c r="E19" s="4">
        <v>-5.4130000000000003</v>
      </c>
      <c r="F19" s="4">
        <v>0</v>
      </c>
      <c r="G19" s="4">
        <v>1.405</v>
      </c>
      <c r="H19" s="4">
        <v>-0.94099999999999995</v>
      </c>
      <c r="I19" s="4">
        <v>0.71599999999999997</v>
      </c>
      <c r="J19" s="4">
        <v>-1.0640000000000001</v>
      </c>
      <c r="K19" s="4">
        <v>-1.774</v>
      </c>
      <c r="L19" s="4">
        <v>-1.222</v>
      </c>
      <c r="M19" s="76">
        <f>SUM(AR19:AU19)</f>
        <v>-0.32300000000000001</v>
      </c>
      <c r="N19" s="76"/>
      <c r="O19" s="4">
        <v>-3.43</v>
      </c>
      <c r="P19" s="4">
        <f>-7.456-O19</f>
        <v>-4.0259999999999998</v>
      </c>
      <c r="Q19" s="4">
        <f>-6.338-P19-O19</f>
        <v>1.1179999999999999</v>
      </c>
      <c r="R19" s="30">
        <f>E19-Q19-P19-O19</f>
        <v>0.92499999999999938</v>
      </c>
      <c r="S19" s="4">
        <v>0</v>
      </c>
      <c r="T19" s="4">
        <f>-S19</f>
        <v>0</v>
      </c>
      <c r="U19" s="4">
        <f>-T19-S19</f>
        <v>0</v>
      </c>
      <c r="V19" s="4">
        <f>F19-U19-T19-S19</f>
        <v>0</v>
      </c>
      <c r="W19" s="4">
        <v>-1.5980000000000001</v>
      </c>
      <c r="X19" s="4">
        <v>2.234</v>
      </c>
      <c r="Y19" s="4">
        <v>0.90700000000000003</v>
      </c>
      <c r="Z19" s="4">
        <f>G19-Y19-X19-W19</f>
        <v>-0.1379999999999999</v>
      </c>
      <c r="AA19" s="4">
        <v>-1.304</v>
      </c>
      <c r="AB19" s="4">
        <v>-0.18099999999999999</v>
      </c>
      <c r="AC19" s="4">
        <v>-0.54300000000000004</v>
      </c>
      <c r="AD19" s="30">
        <f>H19-AC19-AB19-AA19</f>
        <v>1.0870000000000002</v>
      </c>
      <c r="AE19" s="4">
        <v>-1.028</v>
      </c>
      <c r="AF19" s="4">
        <v>0.65</v>
      </c>
      <c r="AG19" s="4">
        <v>0.189</v>
      </c>
      <c r="AH19" s="30">
        <f>I19-AG19-AF19-AE19</f>
        <v>0.90499999999999992</v>
      </c>
      <c r="AI19" s="4">
        <v>-1.0309999999999999</v>
      </c>
      <c r="AJ19" s="4">
        <v>9.7000000000000003E-2</v>
      </c>
      <c r="AK19" s="4">
        <v>1.3580000000000001</v>
      </c>
      <c r="AL19" s="30">
        <f>J19-AK19-AJ19-AI19</f>
        <v>-1.4880000000000002</v>
      </c>
      <c r="AM19" s="4">
        <v>-0.94799999999999995</v>
      </c>
      <c r="AN19" s="4">
        <v>-0.112</v>
      </c>
      <c r="AO19" s="4">
        <v>-0.23799999999999999</v>
      </c>
      <c r="AP19" s="30">
        <f>K19-AO19-AN19-AM19</f>
        <v>-0.47599999999999998</v>
      </c>
      <c r="AQ19" s="4">
        <v>-0.89900000000000002</v>
      </c>
      <c r="AR19" s="4">
        <v>-0.32300000000000001</v>
      </c>
      <c r="AS19" s="4">
        <v>0</v>
      </c>
      <c r="AT19" s="30">
        <f>L19-AS19-AR19-AQ19</f>
        <v>0</v>
      </c>
      <c r="AU19" s="4">
        <v>0</v>
      </c>
      <c r="AV19" s="30"/>
      <c r="AW19" s="4">
        <v>0</v>
      </c>
      <c r="AX19" s="4">
        <v>0</v>
      </c>
    </row>
    <row r="20" spans="2:50" s="5" customFormat="1" ht="12" customHeight="1">
      <c r="B20" s="5" t="s">
        <v>223</v>
      </c>
      <c r="C20" s="7">
        <f t="shared" ref="C20:I20" si="21">+C16+C18+C19+C17</f>
        <v>2224.4419999999991</v>
      </c>
      <c r="D20" s="7">
        <f t="shared" si="21"/>
        <v>2202.2079999999996</v>
      </c>
      <c r="E20" s="7">
        <f t="shared" si="21"/>
        <v>2079.0559999999987</v>
      </c>
      <c r="F20" s="7">
        <f t="shared" si="21"/>
        <v>1922.4690000000005</v>
      </c>
      <c r="G20" s="7">
        <f t="shared" si="21"/>
        <v>2027.8580000000004</v>
      </c>
      <c r="H20" s="7">
        <f t="shared" si="21"/>
        <v>1667.8499999999983</v>
      </c>
      <c r="I20" s="7">
        <f t="shared" si="21"/>
        <v>1848.9290000000019</v>
      </c>
      <c r="J20" s="7">
        <f>+J16+J18+J19+J17</f>
        <v>2165.8049999999989</v>
      </c>
      <c r="K20" s="7">
        <f>+K16+K18+K19+K17</f>
        <v>2463.3269999999998</v>
      </c>
      <c r="L20" s="7">
        <f>+L16+L18+L19+L17</f>
        <v>2595.6939999999995</v>
      </c>
      <c r="M20" s="7">
        <f>+M16+M18+M19+M17</f>
        <v>2591.7369999999996</v>
      </c>
      <c r="N20" s="7"/>
      <c r="O20" s="7">
        <f t="shared" ref="O20:V20" si="22">+O16+O18+O19+O17</f>
        <v>360.36499999999978</v>
      </c>
      <c r="P20" s="7">
        <f t="shared" si="22"/>
        <v>691.34400000000028</v>
      </c>
      <c r="Q20" s="7">
        <f t="shared" si="22"/>
        <v>657.66200000000015</v>
      </c>
      <c r="R20" s="7">
        <f t="shared" si="22"/>
        <v>369.68499999999852</v>
      </c>
      <c r="S20" s="7">
        <f t="shared" si="22"/>
        <v>359.89100000000013</v>
      </c>
      <c r="T20" s="7">
        <f t="shared" si="22"/>
        <v>603.24400000000026</v>
      </c>
      <c r="U20" s="7">
        <f t="shared" si="22"/>
        <v>614.92100000000005</v>
      </c>
      <c r="V20" s="7">
        <f t="shared" si="22"/>
        <v>344.41300000000132</v>
      </c>
      <c r="W20" s="7">
        <f t="shared" ref="W20:AC20" si="23">+W16+W18+W19+W17</f>
        <v>386.29200000000031</v>
      </c>
      <c r="X20" s="7">
        <f t="shared" si="23"/>
        <v>641.15699999999993</v>
      </c>
      <c r="Y20" s="7">
        <f t="shared" si="23"/>
        <v>633.33000000000027</v>
      </c>
      <c r="Z20" s="7">
        <f t="shared" si="23"/>
        <v>367.07900000000069</v>
      </c>
      <c r="AA20" s="7">
        <f t="shared" si="23"/>
        <v>412.25400000000002</v>
      </c>
      <c r="AB20" s="7">
        <f t="shared" si="23"/>
        <v>508.14599999999996</v>
      </c>
      <c r="AC20" s="7">
        <f t="shared" si="23"/>
        <v>433.48000000000019</v>
      </c>
      <c r="AD20" s="7">
        <f t="shared" ref="AD20:AI20" si="24">+AD16+AD18+AD19+AD17</f>
        <v>313.96999999999832</v>
      </c>
      <c r="AE20" s="7">
        <f t="shared" si="24"/>
        <v>456.53800000000018</v>
      </c>
      <c r="AF20" s="7">
        <f t="shared" si="24"/>
        <v>550.32500000000027</v>
      </c>
      <c r="AG20" s="7">
        <f t="shared" si="24"/>
        <v>468.05800000000016</v>
      </c>
      <c r="AH20" s="7">
        <f t="shared" si="24"/>
        <v>374.00800000000152</v>
      </c>
      <c r="AI20" s="7">
        <f t="shared" si="24"/>
        <v>681.02400000000011</v>
      </c>
      <c r="AJ20" s="7">
        <f t="shared" ref="AJ20:AO20" si="25">+AJ16+AJ18+AJ19+AJ17</f>
        <v>582.23300000000006</v>
      </c>
      <c r="AK20" s="7">
        <f t="shared" si="25"/>
        <v>516.7660000000003</v>
      </c>
      <c r="AL20" s="7">
        <f t="shared" si="25"/>
        <v>385.78199999999833</v>
      </c>
      <c r="AM20" s="7">
        <f t="shared" si="25"/>
        <v>726.34299999999973</v>
      </c>
      <c r="AN20" s="7">
        <f t="shared" si="25"/>
        <v>650.18399999999997</v>
      </c>
      <c r="AO20" s="7">
        <f t="shared" si="25"/>
        <v>613.85000000000025</v>
      </c>
      <c r="AP20" s="7">
        <f t="shared" ref="AP20:AU20" si="26">+AP16+AP18+AP19+AP17</f>
        <v>472.94999999999794</v>
      </c>
      <c r="AQ20" s="7">
        <f t="shared" si="26"/>
        <v>773.54600000000005</v>
      </c>
      <c r="AR20" s="7">
        <f t="shared" si="26"/>
        <v>687.95800000000008</v>
      </c>
      <c r="AS20" s="7">
        <f t="shared" si="26"/>
        <v>638.64</v>
      </c>
      <c r="AT20" s="7">
        <f t="shared" si="26"/>
        <v>495.55000000000189</v>
      </c>
      <c r="AU20" s="7">
        <f t="shared" si="26"/>
        <v>769.58899999999971</v>
      </c>
      <c r="AV20" s="7"/>
      <c r="AW20" s="7">
        <f>+AW16+AW18+AW19+AW17</f>
        <v>359.89099999999996</v>
      </c>
      <c r="AX20" s="7">
        <f>+AX16+AX18+AX19+AX17</f>
        <v>603.24399999999991</v>
      </c>
    </row>
    <row r="21" spans="2:50" s="5" customFormat="1" ht="12" customHeight="1">
      <c r="B21" s="1" t="s">
        <v>224</v>
      </c>
      <c r="C21" s="4">
        <v>-74.344999999999999</v>
      </c>
      <c r="D21" s="4">
        <v>-42.244999999999997</v>
      </c>
      <c r="E21" s="4">
        <f>-49.352-21.146</f>
        <v>-70.49799999999999</v>
      </c>
      <c r="F21" s="4">
        <f>-71.426-49.471</f>
        <v>-120.89699999999999</v>
      </c>
      <c r="G21" s="4">
        <f>-72.042-20.26</f>
        <v>-92.302000000000007</v>
      </c>
      <c r="H21" s="4">
        <f>-77.08-11.334</f>
        <v>-88.414000000000001</v>
      </c>
      <c r="I21" s="4">
        <f>-62.6-8.191</f>
        <v>-70.790999999999997</v>
      </c>
      <c r="J21" s="4">
        <f>-85.101-29.175</f>
        <v>-114.276</v>
      </c>
      <c r="K21" s="4">
        <f>-105.326-44.334</f>
        <v>-149.66</v>
      </c>
      <c r="L21" s="4">
        <f>-86.831-52.19</f>
        <v>-139.02100000000002</v>
      </c>
      <c r="M21" s="76">
        <f>SUM(AR21:AU21)</f>
        <v>-134.15300000000002</v>
      </c>
      <c r="N21" s="7"/>
      <c r="O21" s="4">
        <v>-19.963999999999999</v>
      </c>
      <c r="P21" s="4">
        <f>-32.945-15.173-O21</f>
        <v>-28.154000000000003</v>
      </c>
      <c r="Q21" s="4">
        <f>-49.312-15.223-P21-O21</f>
        <v>-16.416999999999994</v>
      </c>
      <c r="R21" s="30">
        <f>E21-Q21-P21-O21</f>
        <v>-5.9629999999999939</v>
      </c>
      <c r="S21" s="4">
        <v>-22.943000000000001</v>
      </c>
      <c r="T21" s="4">
        <f>-35.523-6.809-S21</f>
        <v>-19.388999999999999</v>
      </c>
      <c r="U21" s="4">
        <f>-46.814-17.717-T21-S21</f>
        <v>-22.199000000000009</v>
      </c>
      <c r="V21" s="30">
        <f>F21-U21-T21-S21</f>
        <v>-56.365999999999985</v>
      </c>
      <c r="W21" s="4">
        <f>-12.985-5.913</f>
        <v>-18.898</v>
      </c>
      <c r="X21" s="4">
        <f>-15.514-5.705</f>
        <v>-21.219000000000001</v>
      </c>
      <c r="Y21" s="4">
        <f>-11.693-6.499</f>
        <v>-18.192</v>
      </c>
      <c r="Z21" s="30">
        <f>G21-Y21-X21-W21</f>
        <v>-33.993000000000009</v>
      </c>
      <c r="AA21" s="4">
        <f>-11.953-11.62</f>
        <v>-23.573</v>
      </c>
      <c r="AB21" s="4">
        <f>-16.375-1.743</f>
        <v>-18.117999999999999</v>
      </c>
      <c r="AC21" s="4">
        <f>-11.033-11.599</f>
        <v>-22.631999999999998</v>
      </c>
      <c r="AD21" s="30">
        <f>H21-AC21-AB21-AA21</f>
        <v>-24.091000000000015</v>
      </c>
      <c r="AE21" s="4">
        <f>-22.526-11.479</f>
        <v>-34.004999999999995</v>
      </c>
      <c r="AF21" s="4">
        <f>-22.167-2.064</f>
        <v>-24.231000000000002</v>
      </c>
      <c r="AG21" s="4">
        <f>12.636-5.8</f>
        <v>6.8359999999999994</v>
      </c>
      <c r="AH21" s="30">
        <f>I21-AG21-AF21-AE21</f>
        <v>-19.390999999999998</v>
      </c>
      <c r="AI21" s="4">
        <f>-26.975-18.093</f>
        <v>-45.067999999999998</v>
      </c>
      <c r="AJ21" s="4">
        <f>-23.106-2.059</f>
        <v>-25.165000000000003</v>
      </c>
      <c r="AK21" s="4">
        <f>-15.519-14.48</f>
        <v>-29.999000000000002</v>
      </c>
      <c r="AL21" s="30">
        <f>J21-AK21-AJ21-AI21</f>
        <v>-14.043999999999983</v>
      </c>
      <c r="AM21" s="4">
        <f>-24.869-8.093</f>
        <v>-32.962000000000003</v>
      </c>
      <c r="AN21" s="4">
        <f>-22.949-6.125</f>
        <v>-29.074000000000002</v>
      </c>
      <c r="AO21" s="4">
        <f>-22.909-22.115</f>
        <v>-45.024000000000001</v>
      </c>
      <c r="AP21" s="30">
        <f>K21-AO21-AN21-AM21</f>
        <v>-42.599999999999994</v>
      </c>
      <c r="AQ21" s="4">
        <f>-27.464-14.555</f>
        <v>-42.018999999999998</v>
      </c>
      <c r="AR21" s="4">
        <f>-27.981-12.867</f>
        <v>-40.847999999999999</v>
      </c>
      <c r="AS21" s="4">
        <f>(-20460-4664)/1000</f>
        <v>-25.123999999999999</v>
      </c>
      <c r="AT21" s="30">
        <f>L21-AS21-AR21-AQ21</f>
        <v>-31.030000000000022</v>
      </c>
      <c r="AU21" s="4">
        <f>-26.573-10.578</f>
        <v>-37.150999999999996</v>
      </c>
      <c r="AV21" s="30"/>
      <c r="AW21" s="4">
        <f>-15.334-7.609</f>
        <v>-22.942999999999998</v>
      </c>
      <c r="AX21" s="4">
        <f>-20.189+0.8</f>
        <v>-19.388999999999999</v>
      </c>
    </row>
    <row r="22" spans="2:50" s="5" customFormat="1" ht="12" customHeight="1">
      <c r="B22" s="14" t="s">
        <v>225</v>
      </c>
      <c r="C22" s="75">
        <f t="shared" ref="C22:I22" si="27">C20+C21</f>
        <v>2150.0969999999993</v>
      </c>
      <c r="D22" s="75">
        <f t="shared" si="27"/>
        <v>2159.9629999999997</v>
      </c>
      <c r="E22" s="75">
        <f t="shared" si="27"/>
        <v>2008.5579999999986</v>
      </c>
      <c r="F22" s="75">
        <f t="shared" si="27"/>
        <v>1801.5720000000006</v>
      </c>
      <c r="G22" s="75">
        <f t="shared" si="27"/>
        <v>1935.5560000000005</v>
      </c>
      <c r="H22" s="75">
        <f t="shared" si="27"/>
        <v>1579.4359999999983</v>
      </c>
      <c r="I22" s="75">
        <f t="shared" si="27"/>
        <v>1778.138000000002</v>
      </c>
      <c r="J22" s="75">
        <f>J20+J21</f>
        <v>2051.5289999999991</v>
      </c>
      <c r="K22" s="75">
        <f>K20+K21</f>
        <v>2313.6669999999999</v>
      </c>
      <c r="L22" s="75">
        <f>L20+L21</f>
        <v>2456.6729999999993</v>
      </c>
      <c r="M22" s="75">
        <f>M20+M21</f>
        <v>2457.5839999999998</v>
      </c>
      <c r="N22" s="75"/>
      <c r="O22" s="75">
        <f t="shared" ref="O22:V22" si="28">O20+O21</f>
        <v>340.40099999999978</v>
      </c>
      <c r="P22" s="75">
        <f t="shared" si="28"/>
        <v>663.19000000000028</v>
      </c>
      <c r="Q22" s="75">
        <f t="shared" si="28"/>
        <v>641.24500000000012</v>
      </c>
      <c r="R22" s="75">
        <f t="shared" si="28"/>
        <v>363.7219999999985</v>
      </c>
      <c r="S22" s="75">
        <f t="shared" si="28"/>
        <v>336.94800000000015</v>
      </c>
      <c r="T22" s="75">
        <f t="shared" si="28"/>
        <v>583.85500000000025</v>
      </c>
      <c r="U22" s="75">
        <f t="shared" si="28"/>
        <v>592.72200000000009</v>
      </c>
      <c r="V22" s="75">
        <f t="shared" si="28"/>
        <v>288.04700000000133</v>
      </c>
      <c r="W22" s="75">
        <f t="shared" ref="W22:AC22" si="29">W20+W21</f>
        <v>367.39400000000029</v>
      </c>
      <c r="X22" s="75">
        <f t="shared" si="29"/>
        <v>619.93799999999987</v>
      </c>
      <c r="Y22" s="75">
        <f t="shared" si="29"/>
        <v>615.13800000000026</v>
      </c>
      <c r="Z22" s="75">
        <f t="shared" si="29"/>
        <v>333.08600000000069</v>
      </c>
      <c r="AA22" s="75">
        <f t="shared" si="29"/>
        <v>388.68100000000004</v>
      </c>
      <c r="AB22" s="75">
        <f t="shared" si="29"/>
        <v>490.02799999999996</v>
      </c>
      <c r="AC22" s="75">
        <f t="shared" si="29"/>
        <v>410.84800000000018</v>
      </c>
      <c r="AD22" s="75">
        <f t="shared" ref="AD22:AI22" si="30">AD20+AD21</f>
        <v>289.87899999999831</v>
      </c>
      <c r="AE22" s="75">
        <f t="shared" si="30"/>
        <v>422.53300000000019</v>
      </c>
      <c r="AF22" s="75">
        <f t="shared" si="30"/>
        <v>526.09400000000028</v>
      </c>
      <c r="AG22" s="75">
        <f t="shared" si="30"/>
        <v>474.89400000000018</v>
      </c>
      <c r="AH22" s="75">
        <f t="shared" si="30"/>
        <v>354.6170000000015</v>
      </c>
      <c r="AI22" s="75">
        <f t="shared" si="30"/>
        <v>635.95600000000013</v>
      </c>
      <c r="AJ22" s="75">
        <f t="shared" ref="AJ22:AO22" si="31">AJ20+AJ21</f>
        <v>557.0680000000001</v>
      </c>
      <c r="AK22" s="75">
        <f t="shared" si="31"/>
        <v>486.76700000000028</v>
      </c>
      <c r="AL22" s="75">
        <f t="shared" si="31"/>
        <v>371.73799999999835</v>
      </c>
      <c r="AM22" s="75">
        <f t="shared" si="31"/>
        <v>693.38099999999974</v>
      </c>
      <c r="AN22" s="75">
        <f t="shared" si="31"/>
        <v>621.11</v>
      </c>
      <c r="AO22" s="75">
        <f t="shared" si="31"/>
        <v>568.82600000000025</v>
      </c>
      <c r="AP22" s="75">
        <f t="shared" ref="AP22:AU22" si="32">AP20+AP21</f>
        <v>430.34999999999798</v>
      </c>
      <c r="AQ22" s="75">
        <f t="shared" si="32"/>
        <v>731.52700000000004</v>
      </c>
      <c r="AR22" s="75">
        <f t="shared" si="32"/>
        <v>647.11000000000013</v>
      </c>
      <c r="AS22" s="75">
        <f t="shared" si="32"/>
        <v>613.51599999999996</v>
      </c>
      <c r="AT22" s="75">
        <f t="shared" si="32"/>
        <v>464.52000000000186</v>
      </c>
      <c r="AU22" s="75">
        <f t="shared" si="32"/>
        <v>732.43799999999976</v>
      </c>
      <c r="AV22" s="75"/>
      <c r="AW22" s="75">
        <f>AW20+AW21</f>
        <v>336.94799999999998</v>
      </c>
      <c r="AX22" s="75">
        <f>AX20+AX21</f>
        <v>583.8549999999999</v>
      </c>
    </row>
    <row r="23" spans="2:50" s="34" customFormat="1" ht="12" customHeight="1">
      <c r="B23" s="46"/>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row>
    <row r="24" spans="2:50" s="5" customFormat="1" ht="12" customHeight="1">
      <c r="B24" s="6" t="s">
        <v>226</v>
      </c>
      <c r="C24" s="4">
        <v>2.3109999999999999</v>
      </c>
      <c r="D24" s="4">
        <v>-22.323</v>
      </c>
      <c r="E24" s="4">
        <v>-3.4169999999999998</v>
      </c>
      <c r="F24" s="4">
        <v>-10.180999999999999</v>
      </c>
      <c r="G24" s="4">
        <v>-48.805</v>
      </c>
      <c r="H24" s="4">
        <v>15.893000000000001</v>
      </c>
      <c r="I24" s="4">
        <v>18.326000000000001</v>
      </c>
      <c r="J24" s="4">
        <v>2.4060000000000001</v>
      </c>
      <c r="K24" s="4">
        <v>0.56699999999999995</v>
      </c>
      <c r="L24" s="4">
        <v>0.57999999999999996</v>
      </c>
      <c r="M24" s="76">
        <f>SUM(AR24:AU24)</f>
        <v>0.46299999999999997</v>
      </c>
      <c r="N24" s="76"/>
      <c r="O24" s="4">
        <v>-4.4660000000000002</v>
      </c>
      <c r="P24" s="4">
        <f>-2.663-O24</f>
        <v>1.8030000000000004</v>
      </c>
      <c r="Q24" s="4">
        <f>3.627-P24-O24</f>
        <v>6.2899999999999991</v>
      </c>
      <c r="R24" s="30">
        <f>E24-Q24-P24-O24</f>
        <v>-7.0439999999999996</v>
      </c>
      <c r="S24" s="4">
        <v>0.92</v>
      </c>
      <c r="T24" s="4">
        <f>2.244-S24</f>
        <v>1.3240000000000003</v>
      </c>
      <c r="U24" s="4">
        <v>11.475</v>
      </c>
      <c r="V24" s="30">
        <f>F24-U24-T24-S24</f>
        <v>-23.900000000000002</v>
      </c>
      <c r="W24" s="4">
        <v>-15.611000000000001</v>
      </c>
      <c r="X24" s="4">
        <v>-23.994</v>
      </c>
      <c r="Y24" s="4">
        <v>-6.3819999999999997</v>
      </c>
      <c r="Z24" s="30">
        <f>G24-Y24-X24-W24</f>
        <v>-2.8180000000000014</v>
      </c>
      <c r="AA24" s="4">
        <v>2.7349999999999999</v>
      </c>
      <c r="AB24" s="4">
        <v>8.0489999999999995</v>
      </c>
      <c r="AC24" s="4">
        <v>1.7609999999999999</v>
      </c>
      <c r="AD24" s="30">
        <f>H24-AC24-AB24-AA24</f>
        <v>3.3480000000000021</v>
      </c>
      <c r="AE24" s="4">
        <v>2.0760000000000001</v>
      </c>
      <c r="AF24" s="4">
        <v>5.734</v>
      </c>
      <c r="AG24" s="4">
        <v>11.722</v>
      </c>
      <c r="AH24" s="30">
        <f>I24-AG24-AF24-AE24</f>
        <v>-1.2059999999999991</v>
      </c>
      <c r="AI24" s="4">
        <v>0.89900000000000002</v>
      </c>
      <c r="AJ24" s="4">
        <v>-1.6E-2</v>
      </c>
      <c r="AK24" s="4">
        <v>0.504</v>
      </c>
      <c r="AL24" s="30">
        <f>J24-AK24-AJ24-AI24</f>
        <v>1.0190000000000001</v>
      </c>
      <c r="AM24" s="4">
        <v>1.1539999999999999</v>
      </c>
      <c r="AN24" s="4">
        <v>1.417</v>
      </c>
      <c r="AO24" s="4">
        <v>-1.6279999999999999</v>
      </c>
      <c r="AP24" s="30">
        <f>K24-AO24-AN24-AM24</f>
        <v>-0.37600000000000011</v>
      </c>
      <c r="AQ24" s="4">
        <v>0.33300000000000002</v>
      </c>
      <c r="AR24" s="4">
        <v>0.24399999999999999</v>
      </c>
      <c r="AS24" s="4">
        <v>0.27700000000000002</v>
      </c>
      <c r="AT24" s="30">
        <f>L24-AS24-AR24-AQ24</f>
        <v>-0.27400000000000008</v>
      </c>
      <c r="AU24" s="4">
        <v>0.216</v>
      </c>
      <c r="AV24" s="30"/>
      <c r="AW24" s="4">
        <v>0.92</v>
      </c>
      <c r="AX24" s="4">
        <v>1.3240000000000001</v>
      </c>
    </row>
    <row r="25" spans="2:50" s="5" customFormat="1" ht="12" customHeight="1">
      <c r="B25" s="6" t="s">
        <v>227</v>
      </c>
      <c r="C25" s="4">
        <v>2147.7860000000001</v>
      </c>
      <c r="D25" s="4">
        <v>2182.2860000000001</v>
      </c>
      <c r="E25" s="4">
        <v>2011.9749999999999</v>
      </c>
      <c r="F25" s="4">
        <v>1811.7529999999999</v>
      </c>
      <c r="G25" s="4">
        <v>1984.3610000000001</v>
      </c>
      <c r="H25" s="4">
        <v>1563.5429999999999</v>
      </c>
      <c r="I25" s="4">
        <v>1759.8119999999999</v>
      </c>
      <c r="J25" s="4">
        <v>2049.123</v>
      </c>
      <c r="K25" s="4">
        <v>2313.1</v>
      </c>
      <c r="L25" s="4">
        <v>2456.0929999999998</v>
      </c>
      <c r="M25" s="76">
        <f>SUM(AR25:AU25)</f>
        <v>2457.1210000000001</v>
      </c>
      <c r="N25" s="76"/>
      <c r="O25" s="4">
        <v>344.86700000000002</v>
      </c>
      <c r="P25" s="4">
        <f>1006.254-O25</f>
        <v>661.38699999999994</v>
      </c>
      <c r="Q25" s="4">
        <f>1641.209-P25-O25</f>
        <v>634.95500000000015</v>
      </c>
      <c r="R25" s="30">
        <f>E25-Q25-P25-O25</f>
        <v>370.76599999999979</v>
      </c>
      <c r="S25" s="4">
        <v>336.02800000000002</v>
      </c>
      <c r="T25" s="4">
        <f>918.559-S25</f>
        <v>582.53099999999995</v>
      </c>
      <c r="U25" s="4">
        <v>581.24599999999998</v>
      </c>
      <c r="V25" s="30">
        <f>F25-U25-T25-S25</f>
        <v>311.94800000000009</v>
      </c>
      <c r="W25" s="4">
        <v>383.005</v>
      </c>
      <c r="X25" s="4">
        <v>643.93200000000002</v>
      </c>
      <c r="Y25" s="4">
        <v>621.52</v>
      </c>
      <c r="Z25" s="30">
        <f>G25-Y25-X25-W25</f>
        <v>335.90400000000011</v>
      </c>
      <c r="AA25" s="4">
        <v>385.94600000000003</v>
      </c>
      <c r="AB25" s="4">
        <v>481.97899999999998</v>
      </c>
      <c r="AC25" s="4">
        <v>409.08699999999999</v>
      </c>
      <c r="AD25" s="30">
        <f>H25-AC25-AB25-AA25</f>
        <v>286.53099999999984</v>
      </c>
      <c r="AE25" s="4">
        <v>420.45699999999999</v>
      </c>
      <c r="AF25" s="4">
        <v>520.36</v>
      </c>
      <c r="AG25" s="4">
        <v>463.17200000000003</v>
      </c>
      <c r="AH25" s="30">
        <f>I25-AG25-AF25-AE25</f>
        <v>355.82299999999987</v>
      </c>
      <c r="AI25" s="4">
        <v>635.05700000000002</v>
      </c>
      <c r="AJ25" s="4">
        <v>557.08399999999995</v>
      </c>
      <c r="AK25" s="4">
        <v>486.26299999999998</v>
      </c>
      <c r="AL25" s="30">
        <f>J25-AK25-AJ25-AI25</f>
        <v>370.71900000000016</v>
      </c>
      <c r="AM25" s="4">
        <v>692.22699999999998</v>
      </c>
      <c r="AN25" s="4">
        <v>619.69299999999998</v>
      </c>
      <c r="AO25" s="4">
        <v>570.45399999999995</v>
      </c>
      <c r="AP25" s="30">
        <f>K25-AO25-AN25-AM25</f>
        <v>430.726</v>
      </c>
      <c r="AQ25" s="4">
        <v>731.19399999999996</v>
      </c>
      <c r="AR25" s="4">
        <v>646.86599999999999</v>
      </c>
      <c r="AS25" s="4">
        <v>613.23900000000003</v>
      </c>
      <c r="AT25" s="30">
        <f>L25-AS25-AR25-AQ25</f>
        <v>464.79399999999987</v>
      </c>
      <c r="AU25" s="4">
        <v>732.22199999999998</v>
      </c>
      <c r="AV25" s="30"/>
      <c r="AW25" s="4">
        <v>336.02800000000002</v>
      </c>
      <c r="AX25" s="4">
        <v>582.53099999999995</v>
      </c>
    </row>
    <row r="26" spans="2:50" s="5" customFormat="1" ht="13.5" customHeight="1">
      <c r="B26" s="6"/>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2:50" s="5" customFormat="1" ht="13.5" customHeight="1">
      <c r="B27" s="337" t="s">
        <v>30</v>
      </c>
      <c r="C27" s="338">
        <f t="shared" ref="C27:M27" si="33">C22-C24-C25</f>
        <v>0</v>
      </c>
      <c r="D27" s="338">
        <f t="shared" si="33"/>
        <v>0</v>
      </c>
      <c r="E27" s="338">
        <f t="shared" si="33"/>
        <v>0</v>
      </c>
      <c r="F27" s="338">
        <f t="shared" si="33"/>
        <v>0</v>
      </c>
      <c r="G27" s="338">
        <f t="shared" si="33"/>
        <v>0</v>
      </c>
      <c r="H27" s="338">
        <f t="shared" si="33"/>
        <v>0</v>
      </c>
      <c r="I27" s="338">
        <f t="shared" si="33"/>
        <v>2.0463630789890885E-12</v>
      </c>
      <c r="J27" s="338">
        <f t="shared" si="33"/>
        <v>0</v>
      </c>
      <c r="K27" s="338">
        <f>K22-K24-K25</f>
        <v>0</v>
      </c>
      <c r="L27" s="338">
        <f>L22-L24-L25</f>
        <v>0</v>
      </c>
      <c r="M27" s="338">
        <f t="shared" si="33"/>
        <v>0</v>
      </c>
      <c r="N27" s="338"/>
      <c r="O27" s="338">
        <f t="shared" ref="O27:V27" si="34">O22-O24-O25</f>
        <v>0</v>
      </c>
      <c r="P27" s="338">
        <f t="shared" si="34"/>
        <v>0</v>
      </c>
      <c r="Q27" s="338">
        <f t="shared" si="34"/>
        <v>0</v>
      </c>
      <c r="R27" s="338">
        <f t="shared" si="34"/>
        <v>-1.3073986337985843E-12</v>
      </c>
      <c r="S27" s="338">
        <f t="shared" si="34"/>
        <v>0</v>
      </c>
      <c r="T27" s="338">
        <f t="shared" si="34"/>
        <v>0</v>
      </c>
      <c r="U27" s="338">
        <f t="shared" si="34"/>
        <v>1.00000000009004E-3</v>
      </c>
      <c r="V27" s="338">
        <f t="shared" si="34"/>
        <v>-9.9999999878264134E-4</v>
      </c>
      <c r="W27" s="338">
        <f t="shared" ref="W27:AB27" si="35">W22-W24-W25</f>
        <v>0</v>
      </c>
      <c r="X27" s="338">
        <f t="shared" si="35"/>
        <v>0</v>
      </c>
      <c r="Y27" s="338">
        <f t="shared" si="35"/>
        <v>0</v>
      </c>
      <c r="Z27" s="338">
        <f t="shared" si="35"/>
        <v>5.6843418860808015E-13</v>
      </c>
      <c r="AA27" s="338">
        <f t="shared" si="35"/>
        <v>0</v>
      </c>
      <c r="AB27" s="338">
        <f t="shared" si="35"/>
        <v>0</v>
      </c>
      <c r="AC27" s="338">
        <f t="shared" ref="AC27:AI27" si="36">AC22-AC24-AC25</f>
        <v>0</v>
      </c>
      <c r="AD27" s="338">
        <f t="shared" si="36"/>
        <v>-1.5347723092418164E-12</v>
      </c>
      <c r="AE27" s="338">
        <f t="shared" si="36"/>
        <v>0</v>
      </c>
      <c r="AF27" s="338">
        <f t="shared" si="36"/>
        <v>0</v>
      </c>
      <c r="AG27" s="338">
        <f t="shared" si="36"/>
        <v>0</v>
      </c>
      <c r="AH27" s="338">
        <f t="shared" si="36"/>
        <v>1.6484591469634324E-12</v>
      </c>
      <c r="AI27" s="338">
        <f t="shared" si="36"/>
        <v>0</v>
      </c>
      <c r="AJ27" s="338">
        <f t="shared" ref="AJ27:AO27" si="37">AJ22-AJ24-AJ25</f>
        <v>0</v>
      </c>
      <c r="AK27" s="338">
        <f t="shared" si="37"/>
        <v>0</v>
      </c>
      <c r="AL27" s="338">
        <f t="shared" si="37"/>
        <v>-1.8189894035458565E-12</v>
      </c>
      <c r="AM27" s="338">
        <f t="shared" si="37"/>
        <v>0</v>
      </c>
      <c r="AN27" s="338">
        <f t="shared" si="37"/>
        <v>0</v>
      </c>
      <c r="AO27" s="338">
        <f t="shared" si="37"/>
        <v>0</v>
      </c>
      <c r="AP27" s="338">
        <f t="shared" ref="AP27:AU27" si="38">AP22-AP24-AP25</f>
        <v>-2.0463630789890885E-12</v>
      </c>
      <c r="AQ27" s="338">
        <f t="shared" si="38"/>
        <v>0</v>
      </c>
      <c r="AR27" s="338">
        <f t="shared" si="38"/>
        <v>0</v>
      </c>
      <c r="AS27" s="338">
        <f t="shared" si="38"/>
        <v>0</v>
      </c>
      <c r="AT27" s="338">
        <f t="shared" si="38"/>
        <v>1.9895196601282805E-12</v>
      </c>
      <c r="AU27" s="338">
        <f t="shared" si="38"/>
        <v>0</v>
      </c>
      <c r="AV27" s="166"/>
      <c r="AW27" s="166">
        <f>AW22-AW24-AW25</f>
        <v>0</v>
      </c>
      <c r="AX27" s="166">
        <f>AX22-AX24-AX25</f>
        <v>0</v>
      </c>
    </row>
    <row r="28" spans="2:50" s="5" customFormat="1" ht="13.5" customHeight="1">
      <c r="B28" s="6"/>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2:50" s="5" customFormat="1" ht="13.5" customHeight="1">
      <c r="B29" s="339" t="s">
        <v>228</v>
      </c>
      <c r="C29" s="303"/>
      <c r="D29" s="303"/>
      <c r="E29" s="303"/>
      <c r="F29" s="303"/>
      <c r="G29" s="303"/>
      <c r="H29" s="303"/>
      <c r="I29" s="303"/>
      <c r="J29" s="303"/>
      <c r="K29" s="303"/>
      <c r="L29" s="303"/>
      <c r="M29" s="303"/>
      <c r="N29" s="4"/>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AQ29" s="303"/>
      <c r="AR29" s="303"/>
      <c r="AS29" s="303"/>
      <c r="AT29" s="303"/>
      <c r="AU29" s="303"/>
      <c r="AV29" s="4"/>
      <c r="AW29" s="303"/>
      <c r="AX29" s="303"/>
    </row>
    <row r="30" spans="2:50" s="34" customFormat="1" ht="13.5" customHeight="1">
      <c r="B30" s="340" t="str">
        <f>B9</f>
        <v>Cost of Sales</v>
      </c>
      <c r="C30" s="25">
        <f t="shared" ref="C30:M30" si="39">-C9/C7</f>
        <v>0.61485116481905222</v>
      </c>
      <c r="D30" s="25">
        <f t="shared" si="39"/>
        <v>0.59932358520650664</v>
      </c>
      <c r="E30" s="25">
        <f t="shared" si="39"/>
        <v>0.6070852599865304</v>
      </c>
      <c r="F30" s="25">
        <f t="shared" si="39"/>
        <v>0.62604902685663433</v>
      </c>
      <c r="G30" s="25">
        <f t="shared" si="39"/>
        <v>0.6395437426759536</v>
      </c>
      <c r="H30" s="25">
        <f t="shared" si="39"/>
        <v>0.68079751566589197</v>
      </c>
      <c r="I30" s="25">
        <f t="shared" si="39"/>
        <v>0.69959697169005997</v>
      </c>
      <c r="J30" s="25">
        <f t="shared" si="39"/>
        <v>0.69087564943780744</v>
      </c>
      <c r="K30" s="25">
        <f>-K9/K7</f>
        <v>0.6823542892704082</v>
      </c>
      <c r="L30" s="25">
        <f>-L9/L7</f>
        <v>0.6878381278915866</v>
      </c>
      <c r="M30" s="25">
        <f t="shared" si="39"/>
        <v>0.68896976240679264</v>
      </c>
      <c r="N30" s="294"/>
      <c r="O30" s="25">
        <f t="shared" ref="O30:V30" si="40">-O9/O7</f>
        <v>0.6118968320388094</v>
      </c>
      <c r="P30" s="25">
        <f t="shared" si="40"/>
        <v>0.61312932027014511</v>
      </c>
      <c r="Q30" s="25">
        <f t="shared" si="40"/>
        <v>0.57602129404104474</v>
      </c>
      <c r="R30" s="25">
        <f t="shared" si="40"/>
        <v>0.62647965919630544</v>
      </c>
      <c r="S30" s="25">
        <f t="shared" si="40"/>
        <v>0.63935925258856141</v>
      </c>
      <c r="T30" s="25">
        <f t="shared" si="40"/>
        <v>0.61833833826299411</v>
      </c>
      <c r="U30" s="25">
        <f t="shared" si="40"/>
        <v>0.59595265607819425</v>
      </c>
      <c r="V30" s="25">
        <f t="shared" si="40"/>
        <v>0.65077466199488188</v>
      </c>
      <c r="W30" s="25">
        <f t="shared" ref="W30:AB30" si="41">-W9/W7</f>
        <v>0.65115826569128499</v>
      </c>
      <c r="X30" s="25">
        <f t="shared" si="41"/>
        <v>0.62389914950203884</v>
      </c>
      <c r="Y30" s="25">
        <f t="shared" si="41"/>
        <v>0.6079034366110555</v>
      </c>
      <c r="Z30" s="25">
        <f t="shared" si="41"/>
        <v>0.67733929209586907</v>
      </c>
      <c r="AA30" s="25">
        <f t="shared" si="41"/>
        <v>0.66115219310543116</v>
      </c>
      <c r="AB30" s="25">
        <f t="shared" si="41"/>
        <v>0.66153639134325015</v>
      </c>
      <c r="AC30" s="25">
        <f t="shared" ref="AC30:AH30" si="42">-AC9/AC7</f>
        <v>0.67635708178896059</v>
      </c>
      <c r="AD30" s="25">
        <f t="shared" si="42"/>
        <v>0.71984996504915699</v>
      </c>
      <c r="AE30" s="25">
        <f t="shared" si="42"/>
        <v>0.70424587156044793</v>
      </c>
      <c r="AF30" s="25">
        <f t="shared" si="42"/>
        <v>0.68124435656672766</v>
      </c>
      <c r="AG30" s="25">
        <f t="shared" si="42"/>
        <v>0.68784289599697723</v>
      </c>
      <c r="AH30" s="25">
        <f t="shared" si="42"/>
        <v>0.72433937361561196</v>
      </c>
      <c r="AI30" s="25">
        <f t="shared" ref="AI30:AN30" si="43">-AI9/AI7</f>
        <v>0.68068083221686337</v>
      </c>
      <c r="AJ30" s="25">
        <f t="shared" si="43"/>
        <v>0.67300399031873515</v>
      </c>
      <c r="AK30" s="25">
        <f t="shared" si="43"/>
        <v>0.69366849741939329</v>
      </c>
      <c r="AL30" s="25">
        <f t="shared" si="43"/>
        <v>0.71606048940004552</v>
      </c>
      <c r="AM30" s="25">
        <f t="shared" si="43"/>
        <v>0.68701715317054191</v>
      </c>
      <c r="AN30" s="25">
        <f t="shared" si="43"/>
        <v>0.6697458455238513</v>
      </c>
      <c r="AO30" s="25">
        <f t="shared" ref="AO30:AT30" si="44">-AO9/AO7</f>
        <v>0.67941594813973949</v>
      </c>
      <c r="AP30" s="25">
        <f t="shared" si="44"/>
        <v>0.6929885605514019</v>
      </c>
      <c r="AQ30" s="25">
        <f t="shared" si="44"/>
        <v>0.69331933436100357</v>
      </c>
      <c r="AR30" s="25">
        <f t="shared" si="44"/>
        <v>0.67604977836405022</v>
      </c>
      <c r="AS30" s="25">
        <f t="shared" si="44"/>
        <v>0.6853082673537203</v>
      </c>
      <c r="AT30" s="25">
        <f t="shared" si="44"/>
        <v>0.69604409922692556</v>
      </c>
      <c r="AU30" s="25">
        <f>-AU9/AU7</f>
        <v>0.69709530096575478</v>
      </c>
      <c r="AV30" s="294"/>
      <c r="AW30" s="25">
        <f>-AW9/AW7</f>
        <v>0.64824902112247851</v>
      </c>
      <c r="AX30" s="25">
        <f>-AX9/AX7</f>
        <v>0.61081603769578363</v>
      </c>
    </row>
    <row r="31" spans="2:50" s="34" customFormat="1" ht="13.5" customHeight="1">
      <c r="B31" s="340" t="str">
        <f>B12</f>
        <v>Selling and Distribution Expenses</v>
      </c>
      <c r="C31" s="25">
        <f t="shared" ref="C31:M31" si="45">-C12/C7</f>
        <v>0.17298513332457841</v>
      </c>
      <c r="D31" s="25">
        <f t="shared" si="45"/>
        <v>0.16813466468305624</v>
      </c>
      <c r="E31" s="25">
        <f t="shared" si="45"/>
        <v>0.16081060717871148</v>
      </c>
      <c r="F31" s="25">
        <f t="shared" si="45"/>
        <v>0.16558303487557238</v>
      </c>
      <c r="G31" s="25">
        <f t="shared" si="45"/>
        <v>0.16217278329001308</v>
      </c>
      <c r="H31" s="25">
        <f t="shared" si="45"/>
        <v>0.15892085159864025</v>
      </c>
      <c r="I31" s="25">
        <f t="shared" si="45"/>
        <v>0.14472282136054315</v>
      </c>
      <c r="J31" s="25">
        <f t="shared" si="45"/>
        <v>0.14251144984939149</v>
      </c>
      <c r="K31" s="25">
        <f>-K12/K7</f>
        <v>0.14270675123425181</v>
      </c>
      <c r="L31" s="25">
        <f>-L12/L7</f>
        <v>0.14643458680665145</v>
      </c>
      <c r="M31" s="25">
        <f t="shared" si="45"/>
        <v>0.14673535597080375</v>
      </c>
      <c r="N31" s="294"/>
      <c r="O31" s="25">
        <f t="shared" ref="O31:V31" si="46">-O12/O7</f>
        <v>0.18414549819705125</v>
      </c>
      <c r="P31" s="25">
        <f t="shared" si="46"/>
        <v>0.14129819844459243</v>
      </c>
      <c r="Q31" s="25">
        <f t="shared" si="46"/>
        <v>0.16264288470349914</v>
      </c>
      <c r="R31" s="25">
        <f t="shared" si="46"/>
        <v>0.15763767958206368</v>
      </c>
      <c r="S31" s="25">
        <f t="shared" si="46"/>
        <v>0.1817870935215378</v>
      </c>
      <c r="T31" s="25">
        <f t="shared" si="46"/>
        <v>0.14475487762227893</v>
      </c>
      <c r="U31" s="25">
        <f t="shared" si="46"/>
        <v>0.16626371962610018</v>
      </c>
      <c r="V31" s="25">
        <f t="shared" si="46"/>
        <v>0.17117133170155654</v>
      </c>
      <c r="W31" s="25">
        <f t="shared" ref="W31:AB31" si="47">-W12/W7</f>
        <v>0.17023777710970814</v>
      </c>
      <c r="X31" s="25">
        <f t="shared" si="47"/>
        <v>0.15506668064727608</v>
      </c>
      <c r="Y31" s="25">
        <f t="shared" si="47"/>
        <v>0.16618945664844029</v>
      </c>
      <c r="Z31" s="25">
        <f t="shared" si="47"/>
        <v>0.15811901031132952</v>
      </c>
      <c r="AA31" s="25">
        <f t="shared" si="47"/>
        <v>0.16572007679531547</v>
      </c>
      <c r="AB31" s="25">
        <f t="shared" si="47"/>
        <v>0.158485887644399</v>
      </c>
      <c r="AC31" s="25">
        <f t="shared" ref="AC31:AH31" si="48">-AC12/AC7</f>
        <v>0.16399930994766257</v>
      </c>
      <c r="AD31" s="25">
        <f t="shared" si="48"/>
        <v>0.14880697363278317</v>
      </c>
      <c r="AE31" s="25">
        <f t="shared" si="48"/>
        <v>0.1437624473820889</v>
      </c>
      <c r="AF31" s="25">
        <f t="shared" si="48"/>
        <v>0.14452134467655739</v>
      </c>
      <c r="AG31" s="25">
        <f t="shared" si="48"/>
        <v>0.14883078034715413</v>
      </c>
      <c r="AH31" s="25">
        <f t="shared" si="48"/>
        <v>0.14176006817609316</v>
      </c>
      <c r="AI31" s="25">
        <f t="shared" ref="AI31:AN31" si="49">-AI12/AI7</f>
        <v>0.13398449126469142</v>
      </c>
      <c r="AJ31" s="25">
        <f t="shared" si="49"/>
        <v>0.14378752465648892</v>
      </c>
      <c r="AK31" s="25">
        <f t="shared" si="49"/>
        <v>0.15118219262553956</v>
      </c>
      <c r="AL31" s="25">
        <f t="shared" si="49"/>
        <v>0.14159554838082841</v>
      </c>
      <c r="AM31" s="25">
        <f t="shared" si="49"/>
        <v>0.12745919726173605</v>
      </c>
      <c r="AN31" s="25">
        <f t="shared" si="49"/>
        <v>0.14099523514919915</v>
      </c>
      <c r="AO31" s="25">
        <f t="shared" ref="AO31:AT31" si="50">-AO12/AO7</f>
        <v>0.14944342599935762</v>
      </c>
      <c r="AP31" s="25">
        <f t="shared" si="50"/>
        <v>0.15375168037563641</v>
      </c>
      <c r="AQ31" s="25">
        <f t="shared" si="50"/>
        <v>0.13075814665628593</v>
      </c>
      <c r="AR31" s="25">
        <f t="shared" si="50"/>
        <v>0.14488762389848578</v>
      </c>
      <c r="AS31" s="25">
        <f t="shared" si="50"/>
        <v>0.15053166994411085</v>
      </c>
      <c r="AT31" s="25">
        <f t="shared" si="50"/>
        <v>0.16033268673770354</v>
      </c>
      <c r="AU31" s="25">
        <f>-AU12/AU7</f>
        <v>0.13285470108779909</v>
      </c>
      <c r="AV31" s="294"/>
      <c r="AW31" s="25">
        <f>-AW12/AW7</f>
        <v>0.17061239834965905</v>
      </c>
      <c r="AX31" s="25">
        <f>-AX12/AX7</f>
        <v>0.15552085456800191</v>
      </c>
    </row>
    <row r="32" spans="2:50" s="34" customFormat="1" ht="13.5" customHeight="1">
      <c r="B32" s="340" t="str">
        <f>B13</f>
        <v>General and Administration Expenses</v>
      </c>
      <c r="C32" s="25">
        <f t="shared" ref="C32:M32" si="51">-C13/C7</f>
        <v>3.0194693630379972E-2</v>
      </c>
      <c r="D32" s="25">
        <f t="shared" si="51"/>
        <v>2.8512653840556644E-2</v>
      </c>
      <c r="E32" s="25">
        <f t="shared" si="51"/>
        <v>2.7674325926768408E-2</v>
      </c>
      <c r="F32" s="25">
        <f t="shared" si="51"/>
        <v>2.7891106833210732E-2</v>
      </c>
      <c r="G32" s="25">
        <f t="shared" si="51"/>
        <v>2.7335509633815262E-2</v>
      </c>
      <c r="H32" s="25">
        <f t="shared" si="51"/>
        <v>2.7013537147659392E-2</v>
      </c>
      <c r="I32" s="25">
        <f t="shared" si="51"/>
        <v>2.4499929442271331E-2</v>
      </c>
      <c r="J32" s="25">
        <f t="shared" si="51"/>
        <v>2.3959590479671489E-2</v>
      </c>
      <c r="K32" s="25">
        <f>-K13/K7</f>
        <v>2.4221202094691242E-2</v>
      </c>
      <c r="L32" s="25">
        <f>-L13/L7</f>
        <v>2.544600749172576E-2</v>
      </c>
      <c r="M32" s="25">
        <f t="shared" si="51"/>
        <v>2.5387883491372429E-2</v>
      </c>
      <c r="N32" s="294"/>
      <c r="O32" s="25">
        <f t="shared" ref="O32:V32" si="52">-O13/O7</f>
        <v>2.9740378472281306E-2</v>
      </c>
      <c r="P32" s="25">
        <f t="shared" si="52"/>
        <v>2.7287179136541492E-2</v>
      </c>
      <c r="Q32" s="25">
        <f t="shared" si="52"/>
        <v>2.3882243711867267E-2</v>
      </c>
      <c r="R32" s="25">
        <f t="shared" si="52"/>
        <v>2.9835111014366571E-2</v>
      </c>
      <c r="S32" s="25">
        <f t="shared" si="52"/>
        <v>2.8250344430951767E-2</v>
      </c>
      <c r="T32" s="25">
        <f t="shared" si="52"/>
        <v>2.6834953450256303E-2</v>
      </c>
      <c r="U32" s="25">
        <f t="shared" si="52"/>
        <v>2.2252807452696519E-2</v>
      </c>
      <c r="V32" s="25">
        <f t="shared" si="52"/>
        <v>3.4065904990850278E-2</v>
      </c>
      <c r="W32" s="25">
        <f t="shared" ref="W32:AB32" si="53">-W13/W7</f>
        <v>2.778835554664796E-2</v>
      </c>
      <c r="X32" s="25">
        <f t="shared" si="53"/>
        <v>2.5750371645756182E-2</v>
      </c>
      <c r="Y32" s="25">
        <f t="shared" si="53"/>
        <v>2.1732923401255839E-2</v>
      </c>
      <c r="Z32" s="25">
        <f t="shared" si="53"/>
        <v>3.4269953411169014E-2</v>
      </c>
      <c r="AA32" s="25">
        <f t="shared" si="53"/>
        <v>2.6696193759475274E-2</v>
      </c>
      <c r="AB32" s="25">
        <f t="shared" si="53"/>
        <v>2.6203524693626468E-2</v>
      </c>
      <c r="AC32" s="25">
        <f t="shared" ref="AC32:AH32" si="54">-AC13/AC7</f>
        <v>2.1588236637212595E-2</v>
      </c>
      <c r="AD32" s="25">
        <f t="shared" si="54"/>
        <v>3.3070356423438876E-2</v>
      </c>
      <c r="AE32" s="25">
        <f t="shared" si="54"/>
        <v>2.3268124909375174E-2</v>
      </c>
      <c r="AF32" s="25">
        <f t="shared" si="54"/>
        <v>2.4017844690547359E-2</v>
      </c>
      <c r="AG32" s="25">
        <f t="shared" si="54"/>
        <v>2.0094059261654296E-2</v>
      </c>
      <c r="AH32" s="25">
        <f t="shared" si="54"/>
        <v>3.0447593657920567E-2</v>
      </c>
      <c r="AI32" s="25">
        <f t="shared" ref="AI32:AN32" si="55">-AI13/AI7</f>
        <v>2.2342360621517857E-2</v>
      </c>
      <c r="AJ32" s="25">
        <f t="shared" si="55"/>
        <v>2.4500302461277341E-2</v>
      </c>
      <c r="AK32" s="25">
        <f t="shared" si="55"/>
        <v>1.9934816697498862E-2</v>
      </c>
      <c r="AL32" s="25">
        <f t="shared" si="55"/>
        <v>2.9022683728279864E-2</v>
      </c>
      <c r="AM32" s="25">
        <f t="shared" si="55"/>
        <v>2.2277889313475643E-2</v>
      </c>
      <c r="AN32" s="25">
        <f t="shared" si="55"/>
        <v>2.4115255030389238E-2</v>
      </c>
      <c r="AO32" s="25">
        <f t="shared" ref="AO32:AT32" si="56">-AO13/AO7</f>
        <v>1.9783751759721448E-2</v>
      </c>
      <c r="AP32" s="25">
        <f t="shared" si="56"/>
        <v>3.0865783431694979E-2</v>
      </c>
      <c r="AQ32" s="25">
        <f t="shared" si="56"/>
        <v>2.2419105649469664E-2</v>
      </c>
      <c r="AR32" s="25">
        <f t="shared" si="56"/>
        <v>2.4588902280878042E-2</v>
      </c>
      <c r="AS32" s="25">
        <f t="shared" si="56"/>
        <v>2.1924327688709375E-2</v>
      </c>
      <c r="AT32" s="25">
        <f t="shared" si="56"/>
        <v>3.3059209772787444E-2</v>
      </c>
      <c r="AU32" s="25">
        <f>-AU13/AU7</f>
        <v>2.2400294283182302E-2</v>
      </c>
      <c r="AV32" s="294"/>
      <c r="AW32" s="25">
        <f>-AW13/AW7</f>
        <v>2.8636171866594621E-2</v>
      </c>
      <c r="AX32" s="25">
        <f>-AX13/AX7</f>
        <v>2.6497150307477998E-2</v>
      </c>
    </row>
    <row r="33" spans="1:50" s="34" customFormat="1" ht="13.5" customHeight="1">
      <c r="B33" s="340" t="str">
        <f>B14</f>
        <v>Other Expenses, net</v>
      </c>
      <c r="C33" s="25">
        <f t="shared" ref="C33:F34" si="57">-C14/C$7</f>
        <v>6.3742718159170439E-3</v>
      </c>
      <c r="D33" s="25">
        <f t="shared" si="57"/>
        <v>1.5146246300464166E-2</v>
      </c>
      <c r="E33" s="25">
        <f t="shared" si="57"/>
        <v>2.0289003327005627E-2</v>
      </c>
      <c r="F33" s="25">
        <f t="shared" si="57"/>
        <v>6.1786836112214961E-3</v>
      </c>
      <c r="G33" s="25">
        <f t="shared" ref="G33:M34" si="58">-G14/G$7</f>
        <v>5.1070043344549967E-3</v>
      </c>
      <c r="H33" s="25">
        <f t="shared" si="58"/>
        <v>5.3983918958820732E-3</v>
      </c>
      <c r="I33" s="25">
        <f t="shared" si="58"/>
        <v>8.1911060086876271E-3</v>
      </c>
      <c r="J33" s="25">
        <f t="shared" si="58"/>
        <v>3.2929284105685732E-3</v>
      </c>
      <c r="K33" s="25">
        <f>-K14/K$7</f>
        <v>3.0108421969014341E-3</v>
      </c>
      <c r="L33" s="25">
        <f>-L14/L$7</f>
        <v>6.7133846571356217E-4</v>
      </c>
      <c r="M33" s="25">
        <f t="shared" si="58"/>
        <v>1.3202071668605337E-3</v>
      </c>
      <c r="N33" s="294"/>
      <c r="O33" s="25">
        <f t="shared" ref="O33:V34" si="59">-O14/O$7</f>
        <v>1.3750984235220228E-2</v>
      </c>
      <c r="P33" s="25">
        <f t="shared" si="59"/>
        <v>9.3201488356499784E-3</v>
      </c>
      <c r="Q33" s="25">
        <f t="shared" si="59"/>
        <v>1.1403043383895622E-2</v>
      </c>
      <c r="R33" s="25">
        <f t="shared" si="59"/>
        <v>4.702376445647443E-2</v>
      </c>
      <c r="S33" s="25">
        <f t="shared" si="59"/>
        <v>6.6894587879906368E-3</v>
      </c>
      <c r="T33" s="25">
        <f t="shared" si="59"/>
        <v>1.2141669930556433E-2</v>
      </c>
      <c r="U33" s="25">
        <f t="shared" si="59"/>
        <v>3.8919674683349091E-3</v>
      </c>
      <c r="V33" s="25">
        <f t="shared" si="59"/>
        <v>1.9333476964247232E-3</v>
      </c>
      <c r="W33" s="25">
        <f t="shared" ref="W33:AB34" si="60">-W14/W$7</f>
        <v>1.3667590829631113E-4</v>
      </c>
      <c r="X33" s="25">
        <f t="shared" si="60"/>
        <v>7.6367445693661983E-3</v>
      </c>
      <c r="Y33" s="25">
        <f t="shared" si="60"/>
        <v>1.0228628511091801E-2</v>
      </c>
      <c r="Z33" s="25">
        <f t="shared" si="60"/>
        <v>1.8983737762086701E-3</v>
      </c>
      <c r="AA33" s="25">
        <f t="shared" si="60"/>
        <v>8.5643018106377634E-3</v>
      </c>
      <c r="AB33" s="25">
        <f t="shared" si="60"/>
        <v>4.968583731445827E-3</v>
      </c>
      <c r="AC33" s="25">
        <f t="shared" ref="AC33:AF34" si="61">-AC14/AC$7</f>
        <v>4.8828813744218906E-3</v>
      </c>
      <c r="AD33" s="25">
        <f t="shared" si="61"/>
        <v>3.569542782838761E-3</v>
      </c>
      <c r="AE33" s="25">
        <f t="shared" si="61"/>
        <v>4.9806182228452492E-3</v>
      </c>
      <c r="AF33" s="25">
        <f t="shared" si="61"/>
        <v>7.3092695784161485E-3</v>
      </c>
      <c r="AG33" s="25">
        <f t="shared" ref="AG33:AJ34" si="62">-AG14/AG$7</f>
        <v>2.0983531346761803E-2</v>
      </c>
      <c r="AH33" s="25">
        <f t="shared" si="62"/>
        <v>-5.8810972730595848E-4</v>
      </c>
      <c r="AI33" s="25">
        <f t="shared" si="62"/>
        <v>2.6274216609126024E-3</v>
      </c>
      <c r="AJ33" s="25">
        <f t="shared" si="62"/>
        <v>8.0924824131130679E-3</v>
      </c>
      <c r="AK33" s="25">
        <f t="shared" ref="AK33:AM34" si="63">-AK14/AK$7</f>
        <v>5.7932837933563392E-4</v>
      </c>
      <c r="AL33" s="25">
        <f t="shared" si="63"/>
        <v>1.9488842698533969E-3</v>
      </c>
      <c r="AM33" s="25">
        <f t="shared" si="63"/>
        <v>9.4895414444730845E-5</v>
      </c>
      <c r="AN33" s="25">
        <f t="shared" ref="AN33:AQ34" si="64">-AN14/AN$7</f>
        <v>7.7258832414643088E-3</v>
      </c>
      <c r="AO33" s="25">
        <f t="shared" si="64"/>
        <v>5.6898540023932022E-3</v>
      </c>
      <c r="AP33" s="25">
        <f t="shared" si="64"/>
        <v>-1.3212265496345122E-3</v>
      </c>
      <c r="AQ33" s="25">
        <f t="shared" si="64"/>
        <v>1.9720517626740696E-3</v>
      </c>
      <c r="AR33" s="25">
        <f t="shared" ref="AR33:AU34" si="65">-AR14/AR$7</f>
        <v>-2.2674146178751162E-3</v>
      </c>
      <c r="AS33" s="25">
        <f t="shared" si="65"/>
        <v>5.4799563231560568E-3</v>
      </c>
      <c r="AT33" s="25">
        <f t="shared" si="65"/>
        <v>-2.7483215849625734E-3</v>
      </c>
      <c r="AU33" s="25">
        <f t="shared" si="65"/>
        <v>4.2546711854589562E-3</v>
      </c>
      <c r="AV33" s="294"/>
      <c r="AW33" s="25">
        <f>-AW14/AW$7</f>
        <v>4.9629906325138447E-3</v>
      </c>
      <c r="AX33" s="25">
        <f>-AX14/AX$7</f>
        <v>1.0675995056569156E-2</v>
      </c>
    </row>
    <row r="34" spans="1:50" s="34" customFormat="1" ht="13.5" customHeight="1">
      <c r="B34" s="340" t="str">
        <f>B15</f>
        <v>Impairment (Loss) / Reversal on Financial Assets</v>
      </c>
      <c r="C34" s="25">
        <f t="shared" si="57"/>
        <v>0</v>
      </c>
      <c r="D34" s="25">
        <f t="shared" si="57"/>
        <v>3.5042078049119332E-3</v>
      </c>
      <c r="E34" s="25">
        <f t="shared" si="57"/>
        <v>-1.8206443992504115E-3</v>
      </c>
      <c r="F34" s="25">
        <f t="shared" si="57"/>
        <v>1.9644941701006816E-3</v>
      </c>
      <c r="G34" s="25">
        <f t="shared" si="58"/>
        <v>1.5938713864239171E-3</v>
      </c>
      <c r="H34" s="25">
        <f t="shared" si="58"/>
        <v>7.4733181406359231E-4</v>
      </c>
      <c r="I34" s="25">
        <f t="shared" si="58"/>
        <v>1.4049053271245381E-3</v>
      </c>
      <c r="J34" s="25">
        <f t="shared" si="58"/>
        <v>1.7456949562426871E-3</v>
      </c>
      <c r="K34" s="25">
        <f>-K15/K$7</f>
        <v>4.9313825793469365E-3</v>
      </c>
      <c r="L34" s="25">
        <f>-L15/L$7</f>
        <v>9.1611663713859072E-4</v>
      </c>
      <c r="M34" s="25">
        <f t="shared" si="58"/>
        <v>1.2755902293181459E-3</v>
      </c>
      <c r="N34" s="294"/>
      <c r="O34" s="25">
        <f t="shared" si="59"/>
        <v>1.0348972296002266E-2</v>
      </c>
      <c r="P34" s="25">
        <f t="shared" si="59"/>
        <v>-1.7107387524096472E-3</v>
      </c>
      <c r="Q34" s="25">
        <f t="shared" si="59"/>
        <v>-7.276569320182313E-3</v>
      </c>
      <c r="R34" s="25">
        <f t="shared" si="59"/>
        <v>-8.2190144044216474E-3</v>
      </c>
      <c r="S34" s="25">
        <f t="shared" si="59"/>
        <v>5.6110716401472469E-4</v>
      </c>
      <c r="T34" s="25">
        <f t="shared" si="59"/>
        <v>-6.0403242043882265E-4</v>
      </c>
      <c r="U34" s="25">
        <f t="shared" si="59"/>
        <v>1.8498529492840839E-4</v>
      </c>
      <c r="V34" s="25">
        <f t="shared" si="59"/>
        <v>7.5317135438012174E-3</v>
      </c>
      <c r="W34" s="25">
        <f t="shared" si="60"/>
        <v>7.9444611461847656E-3</v>
      </c>
      <c r="X34" s="25">
        <f t="shared" si="60"/>
        <v>1.646559741136604E-3</v>
      </c>
      <c r="Y34" s="25">
        <f t="shared" si="60"/>
        <v>-2.4850643748160466E-4</v>
      </c>
      <c r="Z34" s="25">
        <f t="shared" si="60"/>
        <v>-2.5720071683180234E-3</v>
      </c>
      <c r="AA34" s="25">
        <f t="shared" si="60"/>
        <v>4.8285136902080481E-5</v>
      </c>
      <c r="AB34" s="25">
        <f t="shared" si="60"/>
        <v>-1.3968056465400161E-3</v>
      </c>
      <c r="AC34" s="25">
        <f t="shared" si="61"/>
        <v>1.5957460302963419E-3</v>
      </c>
      <c r="AD34" s="25">
        <f t="shared" si="61"/>
        <v>2.5776246955894295E-3</v>
      </c>
      <c r="AE34" s="25">
        <f t="shared" si="61"/>
        <v>2.2571548923415942E-3</v>
      </c>
      <c r="AF34" s="25">
        <f t="shared" si="61"/>
        <v>2.7257660699710894E-3</v>
      </c>
      <c r="AG34" s="25">
        <f t="shared" si="62"/>
        <v>8.6284243993809339E-4</v>
      </c>
      <c r="AH34" s="25">
        <f t="shared" si="62"/>
        <v>-1.1241450866283907E-4</v>
      </c>
      <c r="AI34" s="25">
        <f t="shared" si="62"/>
        <v>1.9650398179120996E-3</v>
      </c>
      <c r="AJ34" s="25">
        <f t="shared" si="62"/>
        <v>6.8609360461852835E-4</v>
      </c>
      <c r="AK34" s="25">
        <f t="shared" si="63"/>
        <v>3.9629479997014758E-4</v>
      </c>
      <c r="AL34" s="25">
        <f t="shared" si="63"/>
        <v>3.8676856369180652E-3</v>
      </c>
      <c r="AM34" s="25">
        <f t="shared" si="63"/>
        <v>3.9782795754474427E-3</v>
      </c>
      <c r="AN34" s="25">
        <f t="shared" si="64"/>
        <v>3.5841626377574611E-3</v>
      </c>
      <c r="AO34" s="25">
        <f t="shared" si="64"/>
        <v>3.1396137511012353E-3</v>
      </c>
      <c r="AP34" s="25">
        <f t="shared" si="64"/>
        <v>9.0963752748758151E-3</v>
      </c>
      <c r="AQ34" s="25">
        <f t="shared" si="64"/>
        <v>-4.1788839778813926E-5</v>
      </c>
      <c r="AR34" s="25">
        <f t="shared" si="65"/>
        <v>2.9625206253231125E-3</v>
      </c>
      <c r="AS34" s="25">
        <f t="shared" si="65"/>
        <v>3.7405906675414523E-4</v>
      </c>
      <c r="AT34" s="25">
        <f t="shared" si="65"/>
        <v>4.9681268365896767E-4</v>
      </c>
      <c r="AU34" s="25">
        <f t="shared" si="65"/>
        <v>1.3298586879041464E-3</v>
      </c>
      <c r="AV34" s="294"/>
      <c r="AW34" s="25">
        <f>-AW15/AW$7</f>
        <v>5.6877045246565925E-4</v>
      </c>
      <c r="AX34" s="25">
        <f>-AX15/AX$7</f>
        <v>-5.964287534400163E-4</v>
      </c>
    </row>
    <row r="35" spans="1:50" s="34" customFormat="1" ht="13.5" customHeight="1">
      <c r="B35" s="340" t="str">
        <f>B16</f>
        <v>Operating Profit</v>
      </c>
      <c r="C35" s="25">
        <f t="shared" ref="C35:M35" si="66">C16/C7</f>
        <v>0.17559473641007237</v>
      </c>
      <c r="D35" s="25">
        <f t="shared" si="66"/>
        <v>0.18537864216450434</v>
      </c>
      <c r="E35" s="25">
        <f t="shared" si="66"/>
        <v>0.18596144798023451</v>
      </c>
      <c r="F35" s="25">
        <f t="shared" si="66"/>
        <v>0.17233365365326031</v>
      </c>
      <c r="G35" s="25">
        <f t="shared" si="66"/>
        <v>0.16424708867933915</v>
      </c>
      <c r="H35" s="25">
        <f t="shared" si="66"/>
        <v>0.12712237187786274</v>
      </c>
      <c r="I35" s="25">
        <f t="shared" si="66"/>
        <v>0.12158426617131342</v>
      </c>
      <c r="J35" s="25">
        <f t="shared" si="66"/>
        <v>0.13761468686631839</v>
      </c>
      <c r="K35" s="25">
        <f>K16/K7</f>
        <v>0.1427755326244004</v>
      </c>
      <c r="L35" s="25">
        <f>L16/L7</f>
        <v>0.13869382270718403</v>
      </c>
      <c r="M35" s="25">
        <f t="shared" si="66"/>
        <v>0.13631120073485253</v>
      </c>
      <c r="N35" s="294"/>
      <c r="O35" s="25">
        <f t="shared" ref="O35:V35" si="67">O16/O7</f>
        <v>0.15011733476063549</v>
      </c>
      <c r="P35" s="25">
        <f t="shared" si="67"/>
        <v>0.21067589206548071</v>
      </c>
      <c r="Q35" s="25">
        <f t="shared" si="67"/>
        <v>0.23332710347987554</v>
      </c>
      <c r="R35" s="25">
        <f t="shared" si="67"/>
        <v>0.14724280015521149</v>
      </c>
      <c r="S35" s="25">
        <f t="shared" si="67"/>
        <v>0.14335274350694366</v>
      </c>
      <c r="T35" s="25">
        <f t="shared" si="67"/>
        <v>0.19853419315435306</v>
      </c>
      <c r="U35" s="25">
        <f t="shared" si="67"/>
        <v>0.21145386407974576</v>
      </c>
      <c r="V35" s="25">
        <f t="shared" si="67"/>
        <v>0.13452304007248536</v>
      </c>
      <c r="W35" s="25">
        <f t="shared" ref="W35:AB35" si="68">W16/W7</f>
        <v>0.14273446459787786</v>
      </c>
      <c r="X35" s="25">
        <f t="shared" si="68"/>
        <v>0.18600049389442613</v>
      </c>
      <c r="Y35" s="25">
        <f t="shared" si="68"/>
        <v>0.19419406126563815</v>
      </c>
      <c r="Z35" s="25">
        <f t="shared" si="68"/>
        <v>0.13094537757374181</v>
      </c>
      <c r="AA35" s="25">
        <f t="shared" si="68"/>
        <v>0.13781894939223827</v>
      </c>
      <c r="AB35" s="25">
        <f t="shared" si="68"/>
        <v>0.1502024182338185</v>
      </c>
      <c r="AC35" s="25">
        <f t="shared" ref="AC35:AH35" si="69">AC16/AC7</f>
        <v>0.13157674422144597</v>
      </c>
      <c r="AD35" s="25">
        <f t="shared" si="69"/>
        <v>9.2125537416192754E-2</v>
      </c>
      <c r="AE35" s="25">
        <f t="shared" si="69"/>
        <v>0.12148578303290121</v>
      </c>
      <c r="AF35" s="25">
        <f t="shared" si="69"/>
        <v>0.14018141841778037</v>
      </c>
      <c r="AG35" s="25">
        <f t="shared" si="69"/>
        <v>0.12138589060751449</v>
      </c>
      <c r="AH35" s="25">
        <f t="shared" si="69"/>
        <v>0.10415348878634309</v>
      </c>
      <c r="AI35" s="25">
        <f t="shared" ref="AI35:AN35" si="70">AI16/AI7</f>
        <v>0.1583998544181027</v>
      </c>
      <c r="AJ35" s="25">
        <f t="shared" si="70"/>
        <v>0.14992960654576704</v>
      </c>
      <c r="AK35" s="25">
        <f t="shared" si="70"/>
        <v>0.13423887007826255</v>
      </c>
      <c r="AL35" s="25">
        <f t="shared" si="70"/>
        <v>0.10750470858407474</v>
      </c>
      <c r="AM35" s="25">
        <f t="shared" si="70"/>
        <v>0.15917258526435424</v>
      </c>
      <c r="AN35" s="25">
        <f t="shared" si="70"/>
        <v>0.15383361841733853</v>
      </c>
      <c r="AO35" s="25">
        <f t="shared" ref="AO35:AT35" si="71">AO16/AO7</f>
        <v>0.14252740634768704</v>
      </c>
      <c r="AP35" s="25">
        <f t="shared" si="71"/>
        <v>0.11461882691602536</v>
      </c>
      <c r="AQ35" s="25">
        <f t="shared" si="71"/>
        <v>0.15157315041034561</v>
      </c>
      <c r="AR35" s="25">
        <f t="shared" si="71"/>
        <v>0.15377858944913794</v>
      </c>
      <c r="AS35" s="25">
        <f t="shared" si="71"/>
        <v>0.13638171962354925</v>
      </c>
      <c r="AT35" s="25">
        <f t="shared" si="71"/>
        <v>0.11281551316388712</v>
      </c>
      <c r="AU35" s="25">
        <f>AU16/AU7</f>
        <v>0.14206517378990077</v>
      </c>
      <c r="AV35" s="294"/>
      <c r="AW35" s="25">
        <f>AW16/AW7</f>
        <v>0.14697064757628836</v>
      </c>
      <c r="AX35" s="25">
        <f>AX16/AX7</f>
        <v>0.1970863911256073</v>
      </c>
    </row>
    <row r="36" spans="1:50" s="34" customFormat="1" ht="13.5" customHeight="1">
      <c r="B36" s="340" t="s">
        <v>229</v>
      </c>
      <c r="C36" s="25"/>
      <c r="D36" s="25">
        <f t="shared" ref="D36:M36" si="72">-D18/D105</f>
        <v>3.1342794740212031E-2</v>
      </c>
      <c r="E36" s="25">
        <f t="shared" si="72"/>
        <v>3.0278233427026624E-2</v>
      </c>
      <c r="F36" s="25">
        <f t="shared" si="72"/>
        <v>4.0692252771801787E-2</v>
      </c>
      <c r="G36" s="25">
        <f t="shared" si="72"/>
        <v>4.2462948822693393E-2</v>
      </c>
      <c r="H36" s="25">
        <f t="shared" si="72"/>
        <v>3.3850165165580801E-2</v>
      </c>
      <c r="I36" s="25">
        <f t="shared" si="72"/>
        <v>4.252277489664525E-2</v>
      </c>
      <c r="J36" s="25">
        <f t="shared" si="72"/>
        <v>4.2232358869473303E-2</v>
      </c>
      <c r="K36" s="25">
        <f>-K18/K105</f>
        <v>4.9706644928953866E-2</v>
      </c>
      <c r="L36" s="25">
        <f>-L18/L105</f>
        <v>3.5534687975750767E-2</v>
      </c>
      <c r="M36" s="25">
        <f t="shared" si="72"/>
        <v>3.3186118463681365E-2</v>
      </c>
      <c r="N36" s="294"/>
      <c r="O36" s="25"/>
      <c r="P36" s="25"/>
      <c r="Q36" s="25"/>
      <c r="R36" s="25">
        <f t="shared" ref="R36:AU36" si="73">-(R18+Q18+P18+O18)/R105</f>
        <v>3.1364288303046273E-2</v>
      </c>
      <c r="S36" s="25">
        <f t="shared" si="73"/>
        <v>3.4148637415173211E-2</v>
      </c>
      <c r="T36" s="25">
        <f t="shared" si="73"/>
        <v>3.6254976996616846E-2</v>
      </c>
      <c r="U36" s="25">
        <f t="shared" si="73"/>
        <v>3.6996779974237816E-2</v>
      </c>
      <c r="V36" s="25">
        <f t="shared" si="73"/>
        <v>4.0692252771801787E-2</v>
      </c>
      <c r="W36" s="25">
        <f t="shared" si="73"/>
        <v>4.160941870970692E-2</v>
      </c>
      <c r="X36" s="25">
        <f t="shared" si="73"/>
        <v>4.0137557043487787E-2</v>
      </c>
      <c r="Y36" s="25">
        <f t="shared" si="73"/>
        <v>3.997203466600005E-2</v>
      </c>
      <c r="Z36" s="25">
        <f t="shared" si="73"/>
        <v>4.2462948822693393E-2</v>
      </c>
      <c r="AA36" s="25">
        <f t="shared" si="73"/>
        <v>4.082892847682789E-2</v>
      </c>
      <c r="AB36" s="25">
        <f t="shared" si="73"/>
        <v>3.7556986236182852E-2</v>
      </c>
      <c r="AC36" s="25">
        <f t="shared" si="73"/>
        <v>3.7201008309562432E-2</v>
      </c>
      <c r="AD36" s="25">
        <f t="shared" si="73"/>
        <v>3.3850165165580801E-2</v>
      </c>
      <c r="AE36" s="25">
        <f t="shared" si="73"/>
        <v>3.3139625717325753E-2</v>
      </c>
      <c r="AF36" s="25">
        <f t="shared" si="73"/>
        <v>3.118157594342761E-2</v>
      </c>
      <c r="AG36" s="25">
        <f t="shared" si="73"/>
        <v>3.5653964549619804E-2</v>
      </c>
      <c r="AH36" s="25">
        <f t="shared" si="73"/>
        <v>4.2522774896645257E-2</v>
      </c>
      <c r="AI36" s="25">
        <f t="shared" si="73"/>
        <v>4.5593472841578365E-2</v>
      </c>
      <c r="AJ36" s="25">
        <f t="shared" si="73"/>
        <v>4.6985373197929503E-2</v>
      </c>
      <c r="AK36" s="25">
        <f t="shared" si="73"/>
        <v>4.0465442641770794E-2</v>
      </c>
      <c r="AL36" s="25">
        <f t="shared" si="73"/>
        <v>4.2232358869473303E-2</v>
      </c>
      <c r="AM36" s="25">
        <f t="shared" si="73"/>
        <v>5.4178702951733333E-2</v>
      </c>
      <c r="AN36" s="25">
        <f t="shared" si="73"/>
        <v>5.1908946024190557E-2</v>
      </c>
      <c r="AO36" s="25">
        <f t="shared" si="73"/>
        <v>5.3866689217068511E-2</v>
      </c>
      <c r="AP36" s="25">
        <f t="shared" si="73"/>
        <v>4.9706644928953866E-2</v>
      </c>
      <c r="AQ36" s="25">
        <f t="shared" si="73"/>
        <v>4.4176114328047286E-2</v>
      </c>
      <c r="AR36" s="25">
        <f t="shared" si="73"/>
        <v>4.0273525932307132E-2</v>
      </c>
      <c r="AS36" s="25">
        <f t="shared" si="73"/>
        <v>3.5160146398469809E-2</v>
      </c>
      <c r="AT36" s="25">
        <f t="shared" si="73"/>
        <v>3.5534687975750767E-2</v>
      </c>
      <c r="AU36" s="25">
        <f t="shared" si="73"/>
        <v>3.3186118463681365E-2</v>
      </c>
      <c r="AV36" s="294"/>
      <c r="AW36" s="25">
        <f>-(AW18+R18+Q18+P18)/S105</f>
        <v>3.3864883439715353E-2</v>
      </c>
      <c r="AX36" s="25">
        <f>-(AX18+S18+R18+Q18)/T105</f>
        <v>3.6478533423978776E-2</v>
      </c>
    </row>
    <row r="37" spans="1:50" s="34" customFormat="1" ht="13.5" customHeight="1">
      <c r="B37" s="340" t="str">
        <f>B20</f>
        <v>Profit before Zakat and Income Tax</v>
      </c>
      <c r="C37" s="25">
        <f t="shared" ref="C37:M37" si="74">C20/C7</f>
        <v>0.15513685142718808</v>
      </c>
      <c r="D37" s="25">
        <f t="shared" si="74"/>
        <v>0.15802826903199674</v>
      </c>
      <c r="E37" s="25">
        <f t="shared" si="74"/>
        <v>0.15334717477426515</v>
      </c>
      <c r="F37" s="25">
        <f t="shared" si="74"/>
        <v>0.13395804429111086</v>
      </c>
      <c r="G37" s="25">
        <f t="shared" si="74"/>
        <v>0.13204824291910089</v>
      </c>
      <c r="H37" s="25">
        <f t="shared" si="74"/>
        <v>0.10522898827234793</v>
      </c>
      <c r="I37" s="25">
        <f t="shared" si="74"/>
        <v>9.8755662912027045E-2</v>
      </c>
      <c r="J37" s="25">
        <f t="shared" si="74"/>
        <v>0.11063807288517809</v>
      </c>
      <c r="K37" s="25">
        <f>K20/K7</f>
        <v>0.11741583884315326</v>
      </c>
      <c r="L37" s="25">
        <f>L20/L7</f>
        <v>0.11763918365097541</v>
      </c>
      <c r="M37" s="25">
        <f t="shared" si="74"/>
        <v>0.11540455873781977</v>
      </c>
      <c r="N37" s="294"/>
      <c r="O37" s="25">
        <f t="shared" ref="O37:V37" si="75">O20/O7</f>
        <v>0.11149200004331401</v>
      </c>
      <c r="P37" s="25">
        <f t="shared" si="75"/>
        <v>0.19060579726767046</v>
      </c>
      <c r="Q37" s="25">
        <f t="shared" si="75"/>
        <v>0.19824860732630767</v>
      </c>
      <c r="R37" s="25">
        <f t="shared" si="75"/>
        <v>0.10933596042096455</v>
      </c>
      <c r="S37" s="25">
        <f t="shared" si="75"/>
        <v>0.10729937213837586</v>
      </c>
      <c r="T37" s="25">
        <f t="shared" si="75"/>
        <v>0.16216240918344338</v>
      </c>
      <c r="U37" s="25">
        <f t="shared" si="75"/>
        <v>0.17208977691780916</v>
      </c>
      <c r="V37" s="25">
        <f t="shared" si="75"/>
        <v>9.2985627729190196E-2</v>
      </c>
      <c r="W37" s="25">
        <f t="shared" ref="W37:AB37" si="76">W20/W7</f>
        <v>0.10752914453686083</v>
      </c>
      <c r="X37" s="25">
        <f t="shared" si="76"/>
        <v>0.15707533163932769</v>
      </c>
      <c r="Y37" s="25">
        <f t="shared" si="76"/>
        <v>0.16394435630231746</v>
      </c>
      <c r="Z37" s="25">
        <f t="shared" si="76"/>
        <v>9.6104419720990805E-2</v>
      </c>
      <c r="AA37" s="25">
        <f t="shared" si="76"/>
        <v>0.11310080016153573</v>
      </c>
      <c r="AB37" s="25">
        <f t="shared" si="76"/>
        <v>0.12685991100388258</v>
      </c>
      <c r="AC37" s="25">
        <f t="shared" ref="AC37:AH37" si="77">AC20/AC7</f>
        <v>0.10997201736293459</v>
      </c>
      <c r="AD37" s="25">
        <f t="shared" si="77"/>
        <v>7.3746749195754399E-2</v>
      </c>
      <c r="AE37" s="25">
        <f t="shared" si="77"/>
        <v>0.10137501035315762</v>
      </c>
      <c r="AF37" s="25">
        <f t="shared" si="77"/>
        <v>0.11936478176627999</v>
      </c>
      <c r="AG37" s="25">
        <f t="shared" si="77"/>
        <v>9.814345243075194E-2</v>
      </c>
      <c r="AH37" s="25">
        <f t="shared" si="77"/>
        <v>7.7286627860241763E-2</v>
      </c>
      <c r="AI37" s="25">
        <f t="shared" ref="AI37:AN37" si="78">AI20/AI7</f>
        <v>0.13441535525851447</v>
      </c>
      <c r="AJ37" s="25">
        <f t="shared" si="78"/>
        <v>0.12149219516358263</v>
      </c>
      <c r="AK37" s="25">
        <f t="shared" si="78"/>
        <v>0.10772839484554098</v>
      </c>
      <c r="AL37" s="25">
        <f t="shared" si="78"/>
        <v>7.8415151375946957E-2</v>
      </c>
      <c r="AM37" s="25">
        <f t="shared" si="78"/>
        <v>0.13306297300005621</v>
      </c>
      <c r="AN37" s="25">
        <f t="shared" si="78"/>
        <v>0.1261361407560323</v>
      </c>
      <c r="AO37" s="25">
        <f t="shared" ref="AO37:AT37" si="79">AO20/AO7</f>
        <v>0.11784590321104893</v>
      </c>
      <c r="AP37" s="25">
        <f t="shared" si="79"/>
        <v>9.1704446235638282E-2</v>
      </c>
      <c r="AQ37" s="25">
        <f t="shared" si="79"/>
        <v>0.13413107823876513</v>
      </c>
      <c r="AR37" s="25">
        <f t="shared" si="79"/>
        <v>0.13008806819148772</v>
      </c>
      <c r="AS37" s="25">
        <f t="shared" si="79"/>
        <v>0.11501640943277193</v>
      </c>
      <c r="AT37" s="25">
        <f t="shared" si="79"/>
        <v>9.0813546804574805E-2</v>
      </c>
      <c r="AU37" s="25">
        <f>AU20/AU7</f>
        <v>0.12493220431707321</v>
      </c>
      <c r="AV37" s="294"/>
      <c r="AW37" s="25">
        <f>AW20/AW7</f>
        <v>0.10876480707137011</v>
      </c>
      <c r="AX37" s="25">
        <f>AX20/AX7</f>
        <v>0.16012108008018208</v>
      </c>
    </row>
    <row r="38" spans="1:50" s="34" customFormat="1" ht="13.5" customHeight="1">
      <c r="B38" s="341" t="s">
        <v>230</v>
      </c>
      <c r="C38" s="25">
        <f t="shared" ref="C38:M38" si="80">-C21/C20</f>
        <v>3.3421864899152248E-2</v>
      </c>
      <c r="D38" s="25">
        <f t="shared" si="80"/>
        <v>1.9183019950885657E-2</v>
      </c>
      <c r="E38" s="25">
        <f t="shared" si="80"/>
        <v>3.3908658545031993E-2</v>
      </c>
      <c r="F38" s="25">
        <f t="shared" si="80"/>
        <v>6.2886319623359319E-2</v>
      </c>
      <c r="G38" s="25">
        <f t="shared" si="80"/>
        <v>4.5516993793451012E-2</v>
      </c>
      <c r="H38" s="25">
        <f t="shared" si="80"/>
        <v>5.3010762358725358E-2</v>
      </c>
      <c r="I38" s="25">
        <f t="shared" si="80"/>
        <v>3.828757080450354E-2</v>
      </c>
      <c r="J38" s="25">
        <f t="shared" si="80"/>
        <v>5.2763752969450184E-2</v>
      </c>
      <c r="K38" s="25">
        <f>-K21/K20</f>
        <v>6.0755230629145056E-2</v>
      </c>
      <c r="L38" s="25">
        <f>-L21/L20</f>
        <v>5.3558316195976889E-2</v>
      </c>
      <c r="M38" s="25">
        <f t="shared" si="80"/>
        <v>5.1761810708416803E-2</v>
      </c>
      <c r="N38" s="294"/>
      <c r="O38" s="25">
        <f t="shared" ref="O38:V38" si="81">-O21/O20</f>
        <v>5.5399386732895843E-2</v>
      </c>
      <c r="P38" s="25">
        <f t="shared" si="81"/>
        <v>4.0723576106829584E-2</v>
      </c>
      <c r="Q38" s="25">
        <f t="shared" si="81"/>
        <v>2.496267079442022E-2</v>
      </c>
      <c r="R38" s="25">
        <f t="shared" si="81"/>
        <v>1.6129948469643121E-2</v>
      </c>
      <c r="S38" s="25">
        <f t="shared" si="81"/>
        <v>6.3749857595772036E-2</v>
      </c>
      <c r="T38" s="25">
        <f t="shared" si="81"/>
        <v>3.2141223120329403E-2</v>
      </c>
      <c r="U38" s="25">
        <f t="shared" si="81"/>
        <v>3.6100572268632891E-2</v>
      </c>
      <c r="V38" s="25">
        <f t="shared" si="81"/>
        <v>0.1636581662132375</v>
      </c>
      <c r="W38" s="25">
        <f t="shared" ref="W38:AB38" si="82">-W21/W20</f>
        <v>4.8921541217524525E-2</v>
      </c>
      <c r="X38" s="25">
        <f t="shared" si="82"/>
        <v>3.3094858201657321E-2</v>
      </c>
      <c r="Y38" s="25">
        <f t="shared" si="82"/>
        <v>2.8724361707166867E-2</v>
      </c>
      <c r="Z38" s="25">
        <f t="shared" si="82"/>
        <v>9.2604044361022958E-2</v>
      </c>
      <c r="AA38" s="25">
        <f t="shared" si="82"/>
        <v>5.7180767196922284E-2</v>
      </c>
      <c r="AB38" s="25">
        <f t="shared" si="82"/>
        <v>3.5655106996808003E-2</v>
      </c>
      <c r="AC38" s="25">
        <f t="shared" ref="AC38:AH38" si="83">-AC21/AC20</f>
        <v>5.2210021223585833E-2</v>
      </c>
      <c r="AD38" s="25">
        <f t="shared" si="83"/>
        <v>7.6730260852948193E-2</v>
      </c>
      <c r="AE38" s="25">
        <f t="shared" si="83"/>
        <v>7.4484489790554081E-2</v>
      </c>
      <c r="AF38" s="25">
        <f t="shared" si="83"/>
        <v>4.4030345704810778E-2</v>
      </c>
      <c r="AG38" s="25">
        <f t="shared" si="83"/>
        <v>-1.460502758205179E-2</v>
      </c>
      <c r="AH38" s="25">
        <f t="shared" si="83"/>
        <v>5.1846484567174819E-2</v>
      </c>
      <c r="AI38" s="25">
        <f t="shared" ref="AI38:AN38" si="84">-AI21/AI20</f>
        <v>6.6176816088713453E-2</v>
      </c>
      <c r="AJ38" s="25">
        <f t="shared" si="84"/>
        <v>4.3221528151101023E-2</v>
      </c>
      <c r="AK38" s="25">
        <f t="shared" si="84"/>
        <v>5.8051419791549722E-2</v>
      </c>
      <c r="AL38" s="25">
        <f t="shared" si="84"/>
        <v>3.6403979449533788E-2</v>
      </c>
      <c r="AM38" s="25">
        <f t="shared" si="84"/>
        <v>4.5380763633710262E-2</v>
      </c>
      <c r="AN38" s="25">
        <f t="shared" si="84"/>
        <v>4.4716572539465753E-2</v>
      </c>
      <c r="AO38" s="25">
        <f t="shared" ref="AO38:AT38" si="85">-AO21/AO20</f>
        <v>7.3346908853954521E-2</v>
      </c>
      <c r="AP38" s="25">
        <f t="shared" si="85"/>
        <v>9.0072946400254109E-2</v>
      </c>
      <c r="AQ38" s="25">
        <f t="shared" si="85"/>
        <v>5.4319975799758509E-2</v>
      </c>
      <c r="AR38" s="25">
        <f t="shared" si="85"/>
        <v>5.9375717703697019E-2</v>
      </c>
      <c r="AS38" s="25">
        <f t="shared" si="85"/>
        <v>3.9339847175247397E-2</v>
      </c>
      <c r="AT38" s="25">
        <f t="shared" si="85"/>
        <v>6.2617293915850886E-2</v>
      </c>
      <c r="AU38" s="25">
        <f>-AU21/AU20</f>
        <v>4.8273818882546414E-2</v>
      </c>
      <c r="AV38" s="294"/>
      <c r="AW38" s="25">
        <f>-AW21/AW20</f>
        <v>6.374985759577205E-2</v>
      </c>
      <c r="AX38" s="25">
        <f>-AX21/AX20</f>
        <v>3.2141223120329424E-2</v>
      </c>
    </row>
    <row r="39" spans="1:50" s="34" customFormat="1" ht="13.5" customHeight="1">
      <c r="B39" s="1"/>
      <c r="C39" s="44"/>
      <c r="D39" s="44"/>
      <c r="E39" s="44"/>
      <c r="F39" s="44"/>
      <c r="G39" s="44"/>
      <c r="H39" s="44"/>
      <c r="I39" s="44"/>
      <c r="J39" s="44"/>
      <c r="K39" s="44"/>
      <c r="L39" s="44"/>
      <c r="M39" s="44"/>
      <c r="N39" s="29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294"/>
      <c r="AW39" s="44"/>
      <c r="AX39" s="44"/>
    </row>
    <row r="40" spans="1:50" s="34" customFormat="1" ht="13.5" customHeight="1">
      <c r="B40" s="24" t="s">
        <v>231</v>
      </c>
      <c r="C40" s="25">
        <f t="shared" ref="C40:M40" si="86">-C61/C7</f>
        <v>0.34117355701705171</v>
      </c>
      <c r="D40" s="25">
        <f t="shared" si="86"/>
        <v>0.23204345553510267</v>
      </c>
      <c r="E40" s="25">
        <f t="shared" si="86"/>
        <v>0.17847692076545837</v>
      </c>
      <c r="F40" s="25">
        <f t="shared" si="86"/>
        <v>0.1391828755029953</v>
      </c>
      <c r="G40" s="25">
        <f t="shared" si="86"/>
        <v>8.094805035479706E-2</v>
      </c>
      <c r="H40" s="25">
        <f t="shared" si="86"/>
        <v>0.10214319243494523</v>
      </c>
      <c r="I40" s="25">
        <f t="shared" si="86"/>
        <v>0.1024731632263587</v>
      </c>
      <c r="J40" s="25">
        <f t="shared" si="86"/>
        <v>0.16852901203207973</v>
      </c>
      <c r="K40" s="25">
        <f>-K61/K7</f>
        <v>0.20124519578911082</v>
      </c>
      <c r="L40" s="25">
        <f>-L61/L7</f>
        <v>0.22725357713317759</v>
      </c>
      <c r="M40" s="25">
        <f t="shared" si="86"/>
        <v>0.21541017370371204</v>
      </c>
      <c r="N40" s="294"/>
      <c r="O40" s="25">
        <f t="shared" ref="O40:V40" si="87">-O61/O7</f>
        <v>0.1724902968716403</v>
      </c>
      <c r="P40" s="25">
        <f t="shared" si="87"/>
        <v>0.15154222891752281</v>
      </c>
      <c r="Q40" s="25">
        <f t="shared" si="87"/>
        <v>0.18920798466250269</v>
      </c>
      <c r="R40" s="25">
        <f t="shared" si="87"/>
        <v>0.20256484119172458</v>
      </c>
      <c r="S40" s="25">
        <f t="shared" si="87"/>
        <v>0.17169730146809128</v>
      </c>
      <c r="T40" s="25">
        <f t="shared" si="87"/>
        <v>0.11017502961694338</v>
      </c>
      <c r="U40" s="25">
        <f t="shared" si="87"/>
        <v>0.13958050036703201</v>
      </c>
      <c r="V40" s="25">
        <f t="shared" si="87"/>
        <v>0.13848962914606033</v>
      </c>
      <c r="W40" s="25">
        <f t="shared" ref="W40:AB40" si="88">-W61/W7</f>
        <v>8.7299996659651935E-2</v>
      </c>
      <c r="X40" s="25">
        <f t="shared" si="88"/>
        <v>8.0127755984795102E-2</v>
      </c>
      <c r="Y40" s="25">
        <f t="shared" si="88"/>
        <v>6.6558307505489814E-2</v>
      </c>
      <c r="Z40" s="25">
        <f t="shared" si="88"/>
        <v>9.0404062221419307E-2</v>
      </c>
      <c r="AA40" s="25">
        <f t="shared" si="88"/>
        <v>7.7464723043587758E-2</v>
      </c>
      <c r="AB40" s="25">
        <f t="shared" si="88"/>
        <v>9.8632453624554597E-2</v>
      </c>
      <c r="AC40" s="25">
        <f t="shared" ref="AC40:AH40" si="89">-AC61/AC7</f>
        <v>9.515568037384603E-2</v>
      </c>
      <c r="AD40" s="25">
        <f t="shared" si="89"/>
        <v>0.13304433119870115</v>
      </c>
      <c r="AE40" s="25">
        <f t="shared" si="89"/>
        <v>0.10407782288139976</v>
      </c>
      <c r="AF40" s="25">
        <f t="shared" si="89"/>
        <v>0.10542101449165343</v>
      </c>
      <c r="AG40" s="25">
        <f t="shared" si="89"/>
        <v>9.0869365654593415E-2</v>
      </c>
      <c r="AH40" s="25">
        <f t="shared" si="89"/>
        <v>0.10960703896671224</v>
      </c>
      <c r="AI40" s="25">
        <f t="shared" ref="AI40:AN40" si="90">-AI61/AI7</f>
        <v>0.12858615819320549</v>
      </c>
      <c r="AJ40" s="25">
        <f t="shared" si="90"/>
        <v>0.13349820724659242</v>
      </c>
      <c r="AK40" s="25">
        <f t="shared" si="90"/>
        <v>0.17329235715980243</v>
      </c>
      <c r="AL40" s="25">
        <f t="shared" si="90"/>
        <v>0.2391432226675487</v>
      </c>
      <c r="AM40" s="25">
        <f t="shared" si="90"/>
        <v>0.16398184090142584</v>
      </c>
      <c r="AN40" s="25">
        <f t="shared" si="90"/>
        <v>0.22924420631507145</v>
      </c>
      <c r="AO40" s="25">
        <f t="shared" ref="AO40:AT40" si="91">-AO61/AO7</f>
        <v>0.1571949353810512</v>
      </c>
      <c r="AP40" s="25">
        <f t="shared" si="91"/>
        <v>0.25719224040195998</v>
      </c>
      <c r="AQ40" s="25">
        <f t="shared" si="91"/>
        <v>0.21676616803275134</v>
      </c>
      <c r="AR40" s="25">
        <f t="shared" si="91"/>
        <v>0.21968488779786408</v>
      </c>
      <c r="AS40" s="25">
        <f t="shared" si="91"/>
        <v>0.2093733042850745</v>
      </c>
      <c r="AT40" s="25">
        <f t="shared" si="91"/>
        <v>0.26386672738618033</v>
      </c>
      <c r="AU40" s="25">
        <f>-AU61/AU7</f>
        <v>0.17425742927861171</v>
      </c>
      <c r="AV40" s="294"/>
      <c r="AW40" s="44">
        <f>-AW61/AW7</f>
        <v>0.17404224737464991</v>
      </c>
      <c r="AX40" s="44">
        <f>-AX61/AX7</f>
        <v>0.10878812684741611</v>
      </c>
    </row>
    <row r="41" spans="1:50" s="34" customFormat="1" ht="13.5" customHeight="1">
      <c r="B41" s="24" t="s">
        <v>232</v>
      </c>
      <c r="C41" s="25">
        <f t="shared" ref="C41:M41" si="92">C45/C7</f>
        <v>0.12671137077112035</v>
      </c>
      <c r="D41" s="25">
        <f t="shared" si="92"/>
        <v>0.13774967471640123</v>
      </c>
      <c r="E41" s="25">
        <f t="shared" si="92"/>
        <v>0.15785165436050014</v>
      </c>
      <c r="F41" s="25">
        <f t="shared" si="92"/>
        <v>0.15151787537791933</v>
      </c>
      <c r="G41" s="25">
        <f t="shared" si="92"/>
        <v>0.1377078310091302</v>
      </c>
      <c r="H41" s="25">
        <f t="shared" si="92"/>
        <v>0.13489342398477702</v>
      </c>
      <c r="I41" s="25">
        <f t="shared" si="92"/>
        <v>0.12742485441659868</v>
      </c>
      <c r="J41" s="25">
        <f t="shared" si="92"/>
        <v>0.12435439349577548</v>
      </c>
      <c r="K41" s="25">
        <f>K45/K7</f>
        <v>0.11499857575333497</v>
      </c>
      <c r="L41" s="25">
        <f>L45/L7</f>
        <v>0.11194103243544175</v>
      </c>
      <c r="M41" s="25">
        <f t="shared" si="92"/>
        <v>0.11141512769772731</v>
      </c>
      <c r="N41" s="294"/>
      <c r="O41" s="25">
        <f t="shared" ref="O41:V41" si="93">O45/O7</f>
        <v>0.16142478586599548</v>
      </c>
      <c r="P41" s="25">
        <f t="shared" si="93"/>
        <v>0.15086813443732275</v>
      </c>
      <c r="Q41" s="25">
        <f t="shared" si="93"/>
        <v>0.16411061808184821</v>
      </c>
      <c r="R41" s="25">
        <f t="shared" si="93"/>
        <v>0.15578655287615223</v>
      </c>
      <c r="S41" s="25">
        <f t="shared" si="93"/>
        <v>0.15302125797125474</v>
      </c>
      <c r="T41" s="25">
        <f t="shared" si="93"/>
        <v>0.13662423027533074</v>
      </c>
      <c r="U41" s="25">
        <f t="shared" si="93"/>
        <v>0.14914964134961464</v>
      </c>
      <c r="V41" s="25">
        <f t="shared" si="93"/>
        <v>0.1673994003139361</v>
      </c>
      <c r="W41" s="25">
        <f t="shared" ref="W41:AB41" si="94">W45/W7</f>
        <v>0.14389857589827526</v>
      </c>
      <c r="X41" s="25">
        <f t="shared" si="94"/>
        <v>0.12835105898216589</v>
      </c>
      <c r="Y41" s="25">
        <f t="shared" si="94"/>
        <v>0.13294628455695573</v>
      </c>
      <c r="Z41" s="25">
        <f t="shared" si="94"/>
        <v>0.14670023052242584</v>
      </c>
      <c r="AA41" s="25">
        <f t="shared" si="94"/>
        <v>0.14888063530071491</v>
      </c>
      <c r="AB41" s="25">
        <f t="shared" si="94"/>
        <v>0.12708359962931595</v>
      </c>
      <c r="AC41" s="25">
        <f t="shared" ref="AC41:AH41" si="95">AC45/AC7</f>
        <v>0.13368825363482531</v>
      </c>
      <c r="AD41" s="25">
        <f t="shared" si="95"/>
        <v>0.13138181729352702</v>
      </c>
      <c r="AE41" s="25">
        <f t="shared" si="95"/>
        <v>0.12305924093424228</v>
      </c>
      <c r="AF41" s="25">
        <f t="shared" si="95"/>
        <v>0.11528968883060579</v>
      </c>
      <c r="AG41" s="25">
        <f t="shared" si="95"/>
        <v>0.11492851617729979</v>
      </c>
      <c r="AH41" s="25">
        <f t="shared" si="95"/>
        <v>0.15536429016747066</v>
      </c>
      <c r="AI41" s="25">
        <f t="shared" ref="AI41:AN41" si="96">AI45/AI7</f>
        <v>0.12022526509089788</v>
      </c>
      <c r="AJ41" s="25">
        <f t="shared" si="96"/>
        <v>0.11832840220943842</v>
      </c>
      <c r="AK41" s="25">
        <f t="shared" si="96"/>
        <v>9.5401979681188034E-2</v>
      </c>
      <c r="AL41" s="25">
        <f t="shared" si="96"/>
        <v>0.16270642867567342</v>
      </c>
      <c r="AM41" s="25">
        <f t="shared" si="96"/>
        <v>9.9486850298453416E-2</v>
      </c>
      <c r="AN41" s="25">
        <f t="shared" si="96"/>
        <v>0.11461715614009257</v>
      </c>
      <c r="AO41" s="25">
        <f t="shared" ref="AO41:AT41" si="97">AO45/AO7</f>
        <v>0.11474007764755881</v>
      </c>
      <c r="AP41" s="25">
        <f t="shared" si="97"/>
        <v>0.13205886225214655</v>
      </c>
      <c r="AQ41" s="25">
        <f t="shared" si="97"/>
        <v>0.10179501273605926</v>
      </c>
      <c r="AR41" s="25">
        <f t="shared" si="97"/>
        <v>0.1162165811146732</v>
      </c>
      <c r="AS41" s="25">
        <f t="shared" si="97"/>
        <v>0.10796025428812708</v>
      </c>
      <c r="AT41" s="25">
        <f t="shared" si="97"/>
        <v>0.12257107435971913</v>
      </c>
      <c r="AU41" s="25">
        <f>AU45/AU7</f>
        <v>0.10052494678211374</v>
      </c>
      <c r="AV41" s="294"/>
      <c r="AW41" s="44">
        <f>AW45/AW7</f>
        <v>0.15511113690020709</v>
      </c>
      <c r="AX41" s="44">
        <f>AX45/AX7</f>
        <v>0.13490438028743248</v>
      </c>
    </row>
    <row r="42" spans="1:50" s="34" customFormat="1" ht="13.5" customHeight="1">
      <c r="C42" s="44"/>
      <c r="D42" s="44"/>
      <c r="E42" s="44"/>
      <c r="F42" s="44"/>
      <c r="G42" s="44"/>
      <c r="H42" s="44"/>
      <c r="I42" s="44"/>
      <c r="J42" s="44"/>
      <c r="K42" s="44"/>
      <c r="L42" s="44"/>
      <c r="M42" s="44"/>
      <c r="N42" s="29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294"/>
      <c r="AW42" s="44"/>
      <c r="AX42" s="44"/>
    </row>
    <row r="43" spans="1:50" ht="13.5" customHeight="1">
      <c r="A43" s="23"/>
      <c r="B43" s="15" t="s">
        <v>233</v>
      </c>
      <c r="C43" s="33">
        <f>+C3</f>
        <v>42735</v>
      </c>
      <c r="D43" s="33">
        <f>+D3</f>
        <v>43100</v>
      </c>
      <c r="E43" s="33">
        <f>+E3</f>
        <v>43465</v>
      </c>
      <c r="F43" s="33">
        <f t="shared" ref="F43:M43" si="98">F3</f>
        <v>43830</v>
      </c>
      <c r="G43" s="33">
        <f t="shared" si="98"/>
        <v>44196</v>
      </c>
      <c r="H43" s="33">
        <f t="shared" si="98"/>
        <v>44561</v>
      </c>
      <c r="I43" s="33">
        <f t="shared" si="98"/>
        <v>44926</v>
      </c>
      <c r="J43" s="33">
        <f t="shared" si="98"/>
        <v>45291</v>
      </c>
      <c r="K43" s="33">
        <f>K3</f>
        <v>45657</v>
      </c>
      <c r="L43" s="33">
        <f>L3</f>
        <v>46022</v>
      </c>
      <c r="M43" s="170">
        <f t="shared" si="98"/>
        <v>46111</v>
      </c>
      <c r="N43" s="294"/>
      <c r="O43" s="33">
        <f t="shared" ref="O43:V43" si="99">O3</f>
        <v>43189</v>
      </c>
      <c r="P43" s="33">
        <f t="shared" si="99"/>
        <v>43281</v>
      </c>
      <c r="Q43" s="33">
        <f t="shared" si="99"/>
        <v>43373</v>
      </c>
      <c r="R43" s="33">
        <f t="shared" si="99"/>
        <v>43464</v>
      </c>
      <c r="S43" s="33">
        <f t="shared" si="99"/>
        <v>43554</v>
      </c>
      <c r="T43" s="33">
        <f t="shared" si="99"/>
        <v>43646</v>
      </c>
      <c r="U43" s="33">
        <f t="shared" si="99"/>
        <v>43738</v>
      </c>
      <c r="V43" s="33">
        <f t="shared" si="99"/>
        <v>43829</v>
      </c>
      <c r="W43" s="33">
        <f t="shared" ref="W43:AB43" si="100">W3</f>
        <v>43920</v>
      </c>
      <c r="X43" s="33">
        <f t="shared" si="100"/>
        <v>44012</v>
      </c>
      <c r="Y43" s="33">
        <f t="shared" si="100"/>
        <v>44104</v>
      </c>
      <c r="Z43" s="33">
        <f t="shared" si="100"/>
        <v>44195</v>
      </c>
      <c r="AA43" s="33">
        <f t="shared" si="100"/>
        <v>44285</v>
      </c>
      <c r="AB43" s="33">
        <f t="shared" si="100"/>
        <v>44377</v>
      </c>
      <c r="AC43" s="33">
        <f t="shared" ref="AC43:AH43" si="101">AC3</f>
        <v>44469</v>
      </c>
      <c r="AD43" s="33">
        <f t="shared" si="101"/>
        <v>44560</v>
      </c>
      <c r="AE43" s="33">
        <f t="shared" si="101"/>
        <v>44650</v>
      </c>
      <c r="AF43" s="33">
        <f t="shared" si="101"/>
        <v>44742</v>
      </c>
      <c r="AG43" s="33">
        <f t="shared" si="101"/>
        <v>44834</v>
      </c>
      <c r="AH43" s="33">
        <f t="shared" si="101"/>
        <v>44926</v>
      </c>
      <c r="AI43" s="170">
        <f t="shared" ref="AI43:AN43" si="102">AI3</f>
        <v>45015</v>
      </c>
      <c r="AJ43" s="170">
        <f t="shared" si="102"/>
        <v>45107</v>
      </c>
      <c r="AK43" s="170">
        <f t="shared" si="102"/>
        <v>45199</v>
      </c>
      <c r="AL43" s="33">
        <f t="shared" si="102"/>
        <v>45291</v>
      </c>
      <c r="AM43" s="170">
        <f t="shared" si="102"/>
        <v>45381</v>
      </c>
      <c r="AN43" s="170">
        <f t="shared" si="102"/>
        <v>45473</v>
      </c>
      <c r="AO43" s="170">
        <f t="shared" ref="AO43:AT43" si="103">AO3</f>
        <v>45565</v>
      </c>
      <c r="AP43" s="33">
        <f t="shared" si="103"/>
        <v>45657</v>
      </c>
      <c r="AQ43" s="170">
        <f t="shared" si="103"/>
        <v>45746</v>
      </c>
      <c r="AR43" s="170">
        <f t="shared" si="103"/>
        <v>45838</v>
      </c>
      <c r="AS43" s="170">
        <f t="shared" si="103"/>
        <v>45930</v>
      </c>
      <c r="AT43" s="170">
        <f t="shared" si="103"/>
        <v>46022</v>
      </c>
      <c r="AU43" s="170">
        <f>AU3</f>
        <v>46111</v>
      </c>
      <c r="AV43" s="177"/>
      <c r="AW43" s="33">
        <f>AW3</f>
        <v>43554</v>
      </c>
      <c r="AX43" s="33">
        <f>AX3</f>
        <v>43646</v>
      </c>
    </row>
    <row r="44" spans="1:50" s="5" customFormat="1" ht="13.5" customHeight="1">
      <c r="B44" s="14" t="s">
        <v>234</v>
      </c>
      <c r="C44" s="7">
        <f t="shared" ref="C44:I44" si="104">C16</f>
        <v>2517.7789999999991</v>
      </c>
      <c r="D44" s="7">
        <f t="shared" si="104"/>
        <v>2583.3499999999995</v>
      </c>
      <c r="E44" s="7">
        <f t="shared" si="104"/>
        <v>2521.2349999999988</v>
      </c>
      <c r="F44" s="7">
        <f t="shared" si="104"/>
        <v>2473.2080000000005</v>
      </c>
      <c r="G44" s="7">
        <f t="shared" si="104"/>
        <v>2522.3340000000003</v>
      </c>
      <c r="H44" s="7">
        <f t="shared" si="104"/>
        <v>2014.8539999999985</v>
      </c>
      <c r="I44" s="7">
        <f t="shared" si="104"/>
        <v>2276.3320000000022</v>
      </c>
      <c r="J44" s="7">
        <f>J16</f>
        <v>2693.887999999999</v>
      </c>
      <c r="K44" s="7">
        <f>K16</f>
        <v>2995.3609999999994</v>
      </c>
      <c r="L44" s="7">
        <f>L16</f>
        <v>3060.2619999999997</v>
      </c>
      <c r="M44" s="7">
        <f>M16</f>
        <v>3061.2549999999997</v>
      </c>
      <c r="N44" s="75"/>
      <c r="O44" s="7">
        <f t="shared" ref="O44:V44" si="105">O16</f>
        <v>485.20999999999981</v>
      </c>
      <c r="P44" s="7">
        <f t="shared" si="105"/>
        <v>764.14000000000021</v>
      </c>
      <c r="Q44" s="7">
        <f t="shared" si="105"/>
        <v>774.03000000000009</v>
      </c>
      <c r="R44" s="7">
        <f t="shared" si="105"/>
        <v>497.85499999999854</v>
      </c>
      <c r="S44" s="7">
        <f t="shared" si="105"/>
        <v>480.81700000000012</v>
      </c>
      <c r="T44" s="7">
        <f t="shared" si="105"/>
        <v>738.54700000000025</v>
      </c>
      <c r="U44" s="7">
        <f t="shared" si="105"/>
        <v>755.57900000000006</v>
      </c>
      <c r="V44" s="7">
        <f t="shared" si="105"/>
        <v>498.26500000000135</v>
      </c>
      <c r="W44" s="7">
        <f t="shared" ref="W44:AB44" si="106">W16</f>
        <v>512.76500000000033</v>
      </c>
      <c r="X44" s="7">
        <f t="shared" si="106"/>
        <v>759.22499999999991</v>
      </c>
      <c r="Y44" s="7">
        <f t="shared" si="106"/>
        <v>750.18700000000024</v>
      </c>
      <c r="Z44" s="7">
        <f t="shared" si="106"/>
        <v>500.15700000000061</v>
      </c>
      <c r="AA44" s="7">
        <f t="shared" si="106"/>
        <v>502.35199999999998</v>
      </c>
      <c r="AB44" s="7">
        <f t="shared" si="106"/>
        <v>601.64599999999996</v>
      </c>
      <c r="AC44" s="7">
        <f t="shared" ref="AC44:AH44" si="107">AC16</f>
        <v>518.64000000000021</v>
      </c>
      <c r="AD44" s="7">
        <f t="shared" si="107"/>
        <v>392.2159999999983</v>
      </c>
      <c r="AE44" s="7">
        <f t="shared" si="107"/>
        <v>547.10600000000022</v>
      </c>
      <c r="AF44" s="7">
        <f t="shared" si="107"/>
        <v>646.29900000000032</v>
      </c>
      <c r="AG44" s="7">
        <f t="shared" si="107"/>
        <v>578.90400000000011</v>
      </c>
      <c r="AH44" s="7">
        <f t="shared" si="107"/>
        <v>504.02300000000162</v>
      </c>
      <c r="AI44" s="7">
        <f t="shared" ref="AI44:AN44" si="108">AI16</f>
        <v>802.54300000000012</v>
      </c>
      <c r="AJ44" s="7">
        <f t="shared" si="108"/>
        <v>718.5150000000001</v>
      </c>
      <c r="AK44" s="7">
        <f t="shared" si="108"/>
        <v>643.93500000000029</v>
      </c>
      <c r="AL44" s="7">
        <f t="shared" si="108"/>
        <v>528.89499999999839</v>
      </c>
      <c r="AM44" s="7">
        <f t="shared" si="108"/>
        <v>868.86599999999976</v>
      </c>
      <c r="AN44" s="7">
        <f t="shared" si="108"/>
        <v>792.95399999999995</v>
      </c>
      <c r="AO44" s="7">
        <f t="shared" ref="AO44:AT44" si="109">AO16</f>
        <v>742.41400000000033</v>
      </c>
      <c r="AP44" s="7">
        <f t="shared" si="109"/>
        <v>591.12699999999791</v>
      </c>
      <c r="AQ44" s="7">
        <f t="shared" si="109"/>
        <v>874.13600000000008</v>
      </c>
      <c r="AR44" s="7">
        <f t="shared" si="109"/>
        <v>813.24300000000005</v>
      </c>
      <c r="AS44" s="7">
        <f t="shared" si="109"/>
        <v>757.27300000000002</v>
      </c>
      <c r="AT44" s="7">
        <f t="shared" si="109"/>
        <v>615.61000000000195</v>
      </c>
      <c r="AU44" s="7">
        <f>AU16</f>
        <v>875.12899999999968</v>
      </c>
      <c r="AV44" s="7"/>
      <c r="AW44" s="7">
        <f>AW16</f>
        <v>486.30999999999995</v>
      </c>
      <c r="AX44" s="7">
        <f>AX16</f>
        <v>742.50799999999992</v>
      </c>
    </row>
    <row r="45" spans="1:50" ht="13.5" customHeight="1">
      <c r="B45" s="6" t="s">
        <v>235</v>
      </c>
      <c r="C45" s="57">
        <f>1442.341+32.479+342.041</f>
        <v>1816.8609999999999</v>
      </c>
      <c r="D45" s="57">
        <f>1573.671+50.017+295.927</f>
        <v>1919.6150000000002</v>
      </c>
      <c r="E45" s="57">
        <f>1684.106+94.732+47.451+313.838</f>
        <v>2140.127</v>
      </c>
      <c r="F45" s="57">
        <f>1638.626+101.788+49.938+384.123</f>
        <v>2174.4749999999999</v>
      </c>
      <c r="G45" s="57">
        <f>1600.408+108.505+56.681+349.178</f>
        <v>2114.7719999999999</v>
      </c>
      <c r="H45" s="57">
        <f>1608.569+102.737+66.476+360.241</f>
        <v>2138.0230000000001</v>
      </c>
      <c r="I45" s="57">
        <f>1752.245+105.557+480.494+47.385</f>
        <v>2385.681</v>
      </c>
      <c r="J45" s="57">
        <f>1711.751+110.9+574.264+37.395</f>
        <v>2434.31</v>
      </c>
      <c r="K45" s="57">
        <f>1688.316+117.99+39.97+566.338</f>
        <v>2412.614</v>
      </c>
      <c r="L45" s="57">
        <f>1663.88+125.446+45.389+635.25</f>
        <v>2469.9650000000001</v>
      </c>
      <c r="M45" s="76">
        <f>SUM(AR45:AU45)</f>
        <v>2502.1430000000005</v>
      </c>
      <c r="N45" s="57"/>
      <c r="O45" s="57">
        <f>418.349+21.234+11.123+71.052</f>
        <v>521.75799999999992</v>
      </c>
      <c r="P45" s="57">
        <f>862.864+43.171+22.563+140.372-O45</f>
        <v>547.2120000000001</v>
      </c>
      <c r="Q45" s="57">
        <f>1286.854+66.946+34.678+224.906-P45-O45</f>
        <v>544.4140000000001</v>
      </c>
      <c r="R45" s="30">
        <f>E45-Q45-P45-O45</f>
        <v>526.74299999999982</v>
      </c>
      <c r="S45" s="57">
        <f>386.904+25.479+12.151+88.712</f>
        <v>513.24599999999998</v>
      </c>
      <c r="T45" s="57">
        <f>785.343+48.446+23.87+163.829-S45</f>
        <v>508.24200000000008</v>
      </c>
      <c r="U45" s="57">
        <f>1196.136+72.622+36.182+249.498-T45-S45</f>
        <v>532.94999999999993</v>
      </c>
      <c r="V45" s="30">
        <f>F45-U45-T45-S45</f>
        <v>620.03699999999992</v>
      </c>
      <c r="W45" s="57">
        <f>401.165+25.981+12.711+77.09</f>
        <v>516.947</v>
      </c>
      <c r="X45" s="57">
        <f>806.035+51.168+25.91+157.743-W45</f>
        <v>523.90899999999999</v>
      </c>
      <c r="Y45" s="57">
        <f>1196.136+72.622+36.182+249.498-X45-W45</f>
        <v>513.58199999999999</v>
      </c>
      <c r="Z45" s="30">
        <f>G45-Y45-X45-W45</f>
        <v>560.33399999999995</v>
      </c>
      <c r="AA45" s="57">
        <f>414.202+26.253+16.955+85.262</f>
        <v>542.67200000000003</v>
      </c>
      <c r="AB45" s="57">
        <f>808.738+51.799+35.38+155.797-AA45</f>
        <v>509.04199999999992</v>
      </c>
      <c r="AC45" s="57">
        <f>1209.29+76.739+51.327+241.321-AB45-AA45</f>
        <v>526.96299999999997</v>
      </c>
      <c r="AD45" s="30">
        <f>H45-AC45-AB45-AA45</f>
        <v>559.34600000000023</v>
      </c>
      <c r="AE45" s="57">
        <f>400.25+23.052+16.104+114.786</f>
        <v>554.19200000000001</v>
      </c>
      <c r="AF45" s="57">
        <f>801.961+50.397+21.803+211.568-AE45</f>
        <v>531.53700000000003</v>
      </c>
      <c r="AG45" s="57">
        <f>1207.267+75.034+32.268+319.268-AF45-AE45</f>
        <v>548.10800000000017</v>
      </c>
      <c r="AH45" s="30">
        <f>I45-AG45-AF45-AE45</f>
        <v>751.84399999999982</v>
      </c>
      <c r="AI45" s="57">
        <v>609.12900000000002</v>
      </c>
      <c r="AJ45" s="57">
        <f>1176.2-AI45</f>
        <v>567.07100000000003</v>
      </c>
      <c r="AK45" s="57">
        <f>1207.267+75.034+32.268+319.268-AJ45-AI45</f>
        <v>457.63700000000006</v>
      </c>
      <c r="AL45" s="30">
        <f>J45-AK45-AJ45-AI45</f>
        <v>800.47299999999984</v>
      </c>
      <c r="AM45" s="57">
        <v>543.06299999999999</v>
      </c>
      <c r="AN45" s="57">
        <f>1133.871-AM45</f>
        <v>590.80800000000011</v>
      </c>
      <c r="AO45" s="57">
        <f>1731.543-AN45-AM45</f>
        <v>597.67199999999968</v>
      </c>
      <c r="AP45" s="30">
        <f>K45-AO45-AN45-AM45</f>
        <v>681.07100000000048</v>
      </c>
      <c r="AQ45" s="57">
        <v>587.06100000000004</v>
      </c>
      <c r="AR45" s="57">
        <v>614.6</v>
      </c>
      <c r="AS45" s="57">
        <f>1801.121-AR45-AQ45</f>
        <v>599.46000000000015</v>
      </c>
      <c r="AT45" s="30">
        <f>L45-AS45-AR45-AQ45</f>
        <v>668.84400000000016</v>
      </c>
      <c r="AU45" s="57">
        <v>619.23900000000003</v>
      </c>
      <c r="AV45" s="30"/>
      <c r="AW45" s="57">
        <f>386.904+25.479+12.151+88.712</f>
        <v>513.24599999999998</v>
      </c>
      <c r="AX45" s="57">
        <f>785.343+48.446+23.87+163.829-AW45</f>
        <v>508.24200000000008</v>
      </c>
    </row>
    <row r="46" spans="1:50" s="5" customFormat="1" ht="13.5" customHeight="1">
      <c r="B46" s="5" t="s">
        <v>233</v>
      </c>
      <c r="C46" s="7">
        <f t="shared" ref="C46:I46" si="110">SUM(C44:C45)</f>
        <v>4334.6399999999994</v>
      </c>
      <c r="D46" s="7">
        <f t="shared" si="110"/>
        <v>4502.9650000000001</v>
      </c>
      <c r="E46" s="7">
        <f t="shared" si="110"/>
        <v>4661.3619999999992</v>
      </c>
      <c r="F46" s="7">
        <f t="shared" si="110"/>
        <v>4647.6830000000009</v>
      </c>
      <c r="G46" s="7">
        <f t="shared" si="110"/>
        <v>4637.1059999999998</v>
      </c>
      <c r="H46" s="7">
        <f t="shared" si="110"/>
        <v>4152.8769999999986</v>
      </c>
      <c r="I46" s="7">
        <f t="shared" si="110"/>
        <v>4662.0130000000026</v>
      </c>
      <c r="J46" s="7">
        <f>SUM(J44:J45)</f>
        <v>5128.1979999999985</v>
      </c>
      <c r="K46" s="7">
        <f>SUM(K44:K45)</f>
        <v>5407.9749999999995</v>
      </c>
      <c r="L46" s="7">
        <f>SUM(L44:L45)</f>
        <v>5530.2269999999999</v>
      </c>
      <c r="M46" s="7">
        <f>SUM(M44:M45)</f>
        <v>5563.3980000000001</v>
      </c>
      <c r="N46" s="7"/>
      <c r="O46" s="7">
        <f t="shared" ref="O46:U46" si="111">SUM(O44:O45)</f>
        <v>1006.9679999999997</v>
      </c>
      <c r="P46" s="7">
        <f t="shared" si="111"/>
        <v>1311.3520000000003</v>
      </c>
      <c r="Q46" s="7">
        <f t="shared" si="111"/>
        <v>1318.4440000000002</v>
      </c>
      <c r="R46" s="7">
        <f t="shared" si="111"/>
        <v>1024.5979999999984</v>
      </c>
      <c r="S46" s="7">
        <f t="shared" si="111"/>
        <v>994.0630000000001</v>
      </c>
      <c r="T46" s="7">
        <f t="shared" si="111"/>
        <v>1246.7890000000002</v>
      </c>
      <c r="U46" s="7">
        <f t="shared" si="111"/>
        <v>1288.529</v>
      </c>
      <c r="V46" s="7">
        <f t="shared" ref="V46:AC46" si="112">SUM(V44:V45)</f>
        <v>1118.3020000000013</v>
      </c>
      <c r="W46" s="7">
        <f t="shared" si="112"/>
        <v>1029.7120000000004</v>
      </c>
      <c r="X46" s="7">
        <f t="shared" si="112"/>
        <v>1283.134</v>
      </c>
      <c r="Y46" s="7">
        <f t="shared" si="112"/>
        <v>1263.7690000000002</v>
      </c>
      <c r="Z46" s="7">
        <f t="shared" si="112"/>
        <v>1060.4910000000004</v>
      </c>
      <c r="AA46" s="7">
        <f t="shared" si="112"/>
        <v>1045.0239999999999</v>
      </c>
      <c r="AB46" s="7">
        <f t="shared" si="112"/>
        <v>1110.6879999999999</v>
      </c>
      <c r="AC46" s="7">
        <f t="shared" si="112"/>
        <v>1045.6030000000001</v>
      </c>
      <c r="AD46" s="7">
        <f t="shared" ref="AD46:AI46" si="113">SUM(AD44:AD45)</f>
        <v>951.56199999999853</v>
      </c>
      <c r="AE46" s="7">
        <f t="shared" si="113"/>
        <v>1101.2980000000002</v>
      </c>
      <c r="AF46" s="7">
        <f t="shared" si="113"/>
        <v>1177.8360000000002</v>
      </c>
      <c r="AG46" s="7">
        <f t="shared" si="113"/>
        <v>1127.0120000000002</v>
      </c>
      <c r="AH46" s="7">
        <f t="shared" si="113"/>
        <v>1255.8670000000016</v>
      </c>
      <c r="AI46" s="7">
        <f t="shared" si="113"/>
        <v>1411.672</v>
      </c>
      <c r="AJ46" s="7">
        <f t="shared" ref="AJ46:AO46" si="114">SUM(AJ44:AJ45)</f>
        <v>1285.5860000000002</v>
      </c>
      <c r="AK46" s="7">
        <f t="shared" si="114"/>
        <v>1101.5720000000003</v>
      </c>
      <c r="AL46" s="7">
        <f t="shared" si="114"/>
        <v>1329.3679999999981</v>
      </c>
      <c r="AM46" s="7">
        <f t="shared" si="114"/>
        <v>1411.9289999999996</v>
      </c>
      <c r="AN46" s="7">
        <f t="shared" si="114"/>
        <v>1383.7620000000002</v>
      </c>
      <c r="AO46" s="7">
        <f t="shared" si="114"/>
        <v>1340.086</v>
      </c>
      <c r="AP46" s="7">
        <f t="shared" ref="AP46:AU46" si="115">SUM(AP44:AP45)</f>
        <v>1272.1979999999985</v>
      </c>
      <c r="AQ46" s="7">
        <f t="shared" si="115"/>
        <v>1461.1970000000001</v>
      </c>
      <c r="AR46" s="7">
        <f t="shared" si="115"/>
        <v>1427.8430000000001</v>
      </c>
      <c r="AS46" s="7">
        <f t="shared" si="115"/>
        <v>1356.7330000000002</v>
      </c>
      <c r="AT46" s="7">
        <f t="shared" si="115"/>
        <v>1284.454000000002</v>
      </c>
      <c r="AU46" s="7">
        <f t="shared" si="115"/>
        <v>1494.3679999999997</v>
      </c>
      <c r="AV46" s="7"/>
      <c r="AW46" s="7">
        <f>SUM(AW44:AW45)</f>
        <v>999.55599999999993</v>
      </c>
      <c r="AX46" s="7">
        <f>SUM(AX44:AX45)</f>
        <v>1250.75</v>
      </c>
    </row>
    <row r="47" spans="1:50" s="34" customFormat="1" ht="13.5" customHeight="1">
      <c r="B47" s="17" t="s">
        <v>236</v>
      </c>
      <c r="C47" s="18"/>
      <c r="D47" s="18">
        <f t="shared" ref="D47:L47" si="116">+D46/C46-1</f>
        <v>3.8832521270509401E-2</v>
      </c>
      <c r="E47" s="18">
        <f t="shared" si="116"/>
        <v>3.5176156154888893E-2</v>
      </c>
      <c r="F47" s="18">
        <f t="shared" si="116"/>
        <v>-2.9345500306559025E-3</v>
      </c>
      <c r="G47" s="18">
        <f t="shared" si="116"/>
        <v>-2.2757576194419871E-3</v>
      </c>
      <c r="H47" s="18">
        <f t="shared" si="116"/>
        <v>-0.1044248287617322</v>
      </c>
      <c r="I47" s="18">
        <f t="shared" si="116"/>
        <v>0.12259838179652416</v>
      </c>
      <c r="J47" s="18">
        <f t="shared" si="116"/>
        <v>9.9996503656252234E-2</v>
      </c>
      <c r="K47" s="18">
        <f t="shared" si="116"/>
        <v>5.4556590833661378E-2</v>
      </c>
      <c r="L47" s="18">
        <f t="shared" si="116"/>
        <v>2.260587373277434E-2</v>
      </c>
      <c r="M47" s="78"/>
      <c r="N47" s="292"/>
      <c r="O47" s="18"/>
      <c r="P47" s="18"/>
      <c r="Q47" s="18"/>
      <c r="R47" s="18"/>
      <c r="S47" s="25">
        <f>S46/O46-1</f>
        <v>-1.2815700200999092E-2</v>
      </c>
      <c r="T47" s="25">
        <f>T46/P46-1</f>
        <v>-4.9233920411910881E-2</v>
      </c>
      <c r="U47" s="25">
        <f>U46/Q46-1</f>
        <v>-2.2689625042853656E-2</v>
      </c>
      <c r="V47" s="25">
        <f>V46/R46-1</f>
        <v>9.1454404556716939E-2</v>
      </c>
      <c r="W47" s="25">
        <f>W46/AW46-1</f>
        <v>3.0169395211474326E-2</v>
      </c>
      <c r="X47" s="25">
        <f>X46/AX46-1</f>
        <v>2.5891665000999486E-2</v>
      </c>
      <c r="Y47" s="25">
        <f t="shared" ref="Y47:AU47" si="117">Y46/U46-1</f>
        <v>-1.921571031773428E-2</v>
      </c>
      <c r="Z47" s="25">
        <f t="shared" si="117"/>
        <v>-5.169533811081517E-2</v>
      </c>
      <c r="AA47" s="25">
        <f t="shared" si="117"/>
        <v>1.4870177292290787E-2</v>
      </c>
      <c r="AB47" s="25">
        <f t="shared" si="117"/>
        <v>-0.13439438125714087</v>
      </c>
      <c r="AC47" s="25">
        <f t="shared" si="117"/>
        <v>-0.17263123244833523</v>
      </c>
      <c r="AD47" s="25">
        <f t="shared" si="117"/>
        <v>-0.10271562889265617</v>
      </c>
      <c r="AE47" s="25">
        <f>AE46/AA46-1</f>
        <v>5.3849480968858554E-2</v>
      </c>
      <c r="AF47" s="25">
        <f t="shared" si="117"/>
        <v>6.0456221729234816E-2</v>
      </c>
      <c r="AG47" s="25">
        <f t="shared" si="117"/>
        <v>7.7858422364893931E-2</v>
      </c>
      <c r="AH47" s="25">
        <f t="shared" si="117"/>
        <v>0.31979524192853792</v>
      </c>
      <c r="AI47" s="25">
        <f t="shared" si="117"/>
        <v>0.28182562757764007</v>
      </c>
      <c r="AJ47" s="25">
        <f t="shared" si="117"/>
        <v>9.1481326772148153E-2</v>
      </c>
      <c r="AK47" s="25">
        <f t="shared" si="117"/>
        <v>-2.2572962843341315E-2</v>
      </c>
      <c r="AL47" s="25">
        <f t="shared" si="117"/>
        <v>5.8526101888174864E-2</v>
      </c>
      <c r="AM47" s="25">
        <f t="shared" si="117"/>
        <v>1.8205362152090565E-4</v>
      </c>
      <c r="AN47" s="25">
        <f t="shared" si="117"/>
        <v>7.6366730813807848E-2</v>
      </c>
      <c r="AO47" s="25">
        <f t="shared" si="117"/>
        <v>0.21652148021191486</v>
      </c>
      <c r="AP47" s="25">
        <f t="shared" si="117"/>
        <v>-4.3005398053811761E-2</v>
      </c>
      <c r="AQ47" s="25">
        <f t="shared" si="117"/>
        <v>3.4894105865096892E-2</v>
      </c>
      <c r="AR47" s="25">
        <f t="shared" si="117"/>
        <v>3.1855911637983958E-2</v>
      </c>
      <c r="AS47" s="25">
        <f t="shared" si="117"/>
        <v>1.24223370738894E-2</v>
      </c>
      <c r="AT47" s="25">
        <f t="shared" si="117"/>
        <v>9.6337205372147849E-3</v>
      </c>
      <c r="AU47" s="25">
        <f t="shared" si="117"/>
        <v>2.2701251097558828E-2</v>
      </c>
      <c r="AV47" s="294"/>
      <c r="AW47" s="25">
        <f>AW46/O46-1</f>
        <v>-7.3607105687567564E-3</v>
      </c>
      <c r="AX47" s="25">
        <f>AX46/P46-1</f>
        <v>-4.6213373678463343E-2</v>
      </c>
    </row>
    <row r="48" spans="1:50" s="34" customFormat="1" ht="13.5" customHeight="1">
      <c r="B48" s="17" t="s">
        <v>237</v>
      </c>
      <c r="C48" s="18">
        <f t="shared" ref="C48:M48" si="118">C46/C7</f>
        <v>0.30230610718119277</v>
      </c>
      <c r="D48" s="18">
        <f t="shared" si="118"/>
        <v>0.3231283168809056</v>
      </c>
      <c r="E48" s="18">
        <f t="shared" si="118"/>
        <v>0.3438131023407347</v>
      </c>
      <c r="F48" s="18">
        <f t="shared" si="118"/>
        <v>0.32385152903117964</v>
      </c>
      <c r="G48" s="18">
        <f t="shared" si="118"/>
        <v>0.30195491968846933</v>
      </c>
      <c r="H48" s="18">
        <f t="shared" si="118"/>
        <v>0.26201579586263979</v>
      </c>
      <c r="I48" s="18">
        <f t="shared" si="118"/>
        <v>0.24900912058791211</v>
      </c>
      <c r="J48" s="18">
        <f t="shared" si="118"/>
        <v>0.26196908036209382</v>
      </c>
      <c r="K48" s="18">
        <f>K46/K7</f>
        <v>0.25777410837773534</v>
      </c>
      <c r="L48" s="18">
        <f>L46/L7</f>
        <v>0.25063485514262579</v>
      </c>
      <c r="M48" s="78">
        <f t="shared" si="118"/>
        <v>0.24772632843257983</v>
      </c>
      <c r="N48" s="292"/>
      <c r="O48" s="18">
        <f t="shared" ref="O48:V48" si="119">O46/O7</f>
        <v>0.31154212062663095</v>
      </c>
      <c r="P48" s="18">
        <f t="shared" si="119"/>
        <v>0.36154402650280348</v>
      </c>
      <c r="Q48" s="18">
        <f t="shared" si="119"/>
        <v>0.39743772156172374</v>
      </c>
      <c r="R48" s="18">
        <f t="shared" si="119"/>
        <v>0.30302935303136375</v>
      </c>
      <c r="S48" s="18">
        <f t="shared" si="119"/>
        <v>0.29637400147819837</v>
      </c>
      <c r="T48" s="18">
        <f t="shared" si="119"/>
        <v>0.33515842342968377</v>
      </c>
      <c r="U48" s="18">
        <f t="shared" si="119"/>
        <v>0.36060350542936037</v>
      </c>
      <c r="V48" s="18">
        <f t="shared" si="119"/>
        <v>0.30192244038642146</v>
      </c>
      <c r="W48" s="18">
        <f t="shared" ref="W48:AB48" si="120">W46/W7</f>
        <v>0.28663304049615312</v>
      </c>
      <c r="X48" s="18">
        <f t="shared" si="120"/>
        <v>0.31435155287659206</v>
      </c>
      <c r="Y48" s="18">
        <f t="shared" si="120"/>
        <v>0.32714034582259388</v>
      </c>
      <c r="Z48" s="18">
        <f t="shared" si="120"/>
        <v>0.27764560809616762</v>
      </c>
      <c r="AA48" s="18">
        <f t="shared" si="120"/>
        <v>0.28669958469295315</v>
      </c>
      <c r="AB48" s="18">
        <f t="shared" si="120"/>
        <v>0.27728601786313445</v>
      </c>
      <c r="AC48" s="18">
        <f t="shared" ref="AC48:AH48" si="121">AC46/AC7</f>
        <v>0.26526499785627122</v>
      </c>
      <c r="AD48" s="18">
        <f t="shared" si="121"/>
        <v>0.22350735470971977</v>
      </c>
      <c r="AE48" s="18">
        <f t="shared" si="121"/>
        <v>0.2445450239671435</v>
      </c>
      <c r="AF48" s="18">
        <f t="shared" si="121"/>
        <v>0.25547110724838618</v>
      </c>
      <c r="AG48" s="18">
        <f t="shared" si="121"/>
        <v>0.23631440678481425</v>
      </c>
      <c r="AH48" s="18">
        <f t="shared" si="121"/>
        <v>0.25951777895381378</v>
      </c>
      <c r="AI48" s="18">
        <f t="shared" ref="AI48:AN48" si="122">AI46/AI7</f>
        <v>0.27862511950900054</v>
      </c>
      <c r="AJ48" s="18">
        <f t="shared" si="122"/>
        <v>0.2682580087552055</v>
      </c>
      <c r="AK48" s="18">
        <f t="shared" si="122"/>
        <v>0.22964084975945057</v>
      </c>
      <c r="AL48" s="18">
        <f t="shared" si="122"/>
        <v>0.27021113725974816</v>
      </c>
      <c r="AM48" s="18">
        <f t="shared" si="122"/>
        <v>0.25865943556280763</v>
      </c>
      <c r="AN48" s="18">
        <f t="shared" si="122"/>
        <v>0.2684507745574311</v>
      </c>
      <c r="AO48" s="18">
        <f t="shared" ref="AO48:AT48" si="123">AO46/AO7</f>
        <v>0.25726748399524585</v>
      </c>
      <c r="AP48" s="18">
        <f t="shared" si="123"/>
        <v>0.24667768916817193</v>
      </c>
      <c r="AQ48" s="18">
        <f t="shared" si="123"/>
        <v>0.25336816314640487</v>
      </c>
      <c r="AR48" s="18">
        <f t="shared" si="123"/>
        <v>0.26999517056381117</v>
      </c>
      <c r="AS48" s="18">
        <f t="shared" si="123"/>
        <v>0.24434197391167634</v>
      </c>
      <c r="AT48" s="18">
        <f t="shared" si="123"/>
        <v>0.23538658752360622</v>
      </c>
      <c r="AU48" s="18">
        <f>AU46/AU7</f>
        <v>0.24259012057201451</v>
      </c>
      <c r="AV48" s="295"/>
      <c r="AW48" s="18">
        <f>AW46/AW7</f>
        <v>0.30208178447649547</v>
      </c>
      <c r="AX48" s="18">
        <f>AX46/AX7</f>
        <v>0.33199077141303979</v>
      </c>
    </row>
    <row r="49" spans="1:50" s="34" customFormat="1" ht="13.5" customHeight="1">
      <c r="B49" s="46"/>
      <c r="C49" s="342"/>
      <c r="D49" s="342"/>
      <c r="E49" s="342"/>
      <c r="F49" s="342"/>
      <c r="G49" s="342"/>
      <c r="H49" s="342"/>
      <c r="I49" s="342"/>
      <c r="J49" s="342"/>
      <c r="K49" s="342"/>
      <c r="L49" s="342"/>
      <c r="M49" s="343"/>
      <c r="N49" s="292"/>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295"/>
      <c r="AW49" s="342"/>
      <c r="AX49" s="342"/>
    </row>
    <row r="50" spans="1:50" ht="13.5" customHeight="1">
      <c r="B50" s="163" t="s">
        <v>238</v>
      </c>
      <c r="C50" s="164">
        <f t="shared" ref="C50:M50" si="124">C51-C46</f>
        <v>-618.63999999999942</v>
      </c>
      <c r="D50" s="164">
        <f t="shared" si="124"/>
        <v>-583.86500000000024</v>
      </c>
      <c r="E50" s="164">
        <f t="shared" si="124"/>
        <v>-637.86199999999917</v>
      </c>
      <c r="F50" s="164">
        <f t="shared" si="124"/>
        <v>-629.78300000000081</v>
      </c>
      <c r="G50" s="164">
        <f t="shared" si="124"/>
        <v>-623.70599999999968</v>
      </c>
      <c r="H50" s="164">
        <f t="shared" si="124"/>
        <v>-660.37699999999859</v>
      </c>
      <c r="I50" s="164">
        <f t="shared" si="124"/>
        <v>-730.33882000000267</v>
      </c>
      <c r="J50" s="164">
        <f t="shared" si="124"/>
        <v>-625.81344999999874</v>
      </c>
      <c r="K50" s="164">
        <f>K51-K46</f>
        <v>-792.48235999999997</v>
      </c>
      <c r="L50" s="164">
        <f>L51-L46</f>
        <v>-675.95427999999993</v>
      </c>
      <c r="M50" s="164">
        <f t="shared" si="124"/>
        <v>-622.67342000000008</v>
      </c>
      <c r="N50" s="292"/>
      <c r="O50" s="164">
        <f t="shared" ref="O50:V50" si="125">O51-O46</f>
        <v>-171.46799999999973</v>
      </c>
      <c r="P50" s="164">
        <f t="shared" si="125"/>
        <v>-139.95200000000023</v>
      </c>
      <c r="Q50" s="164">
        <f t="shared" si="125"/>
        <v>-159.14400000000046</v>
      </c>
      <c r="R50" s="164">
        <f t="shared" si="125"/>
        <v>-167.29799999999818</v>
      </c>
      <c r="S50" s="164">
        <f t="shared" si="125"/>
        <v>-147.66300000000012</v>
      </c>
      <c r="T50" s="164">
        <f t="shared" si="125"/>
        <v>-143.68900000000031</v>
      </c>
      <c r="U50" s="164">
        <f t="shared" si="125"/>
        <v>-141.92900000000009</v>
      </c>
      <c r="V50" s="164">
        <f t="shared" si="125"/>
        <v>-196.50200000000098</v>
      </c>
      <c r="W50" s="164">
        <f t="shared" ref="W50:AC50" si="126">W51-W46</f>
        <v>-140.91200000000049</v>
      </c>
      <c r="X50" s="164">
        <f t="shared" si="126"/>
        <v>-146.43399999999997</v>
      </c>
      <c r="Y50" s="164">
        <f t="shared" si="126"/>
        <v>-112.36900000000014</v>
      </c>
      <c r="Z50" s="164">
        <f t="shared" si="126"/>
        <v>-223.99100000000044</v>
      </c>
      <c r="AA50" s="164">
        <f t="shared" si="126"/>
        <v>-147.22399999999993</v>
      </c>
      <c r="AB50" s="164">
        <f t="shared" si="126"/>
        <v>-180.7879999999999</v>
      </c>
      <c r="AC50" s="164">
        <f t="shared" si="126"/>
        <v>-166.50300000000004</v>
      </c>
      <c r="AD50" s="164">
        <f t="shared" ref="AD50:AI50" si="127">AD51-AD46</f>
        <v>-165.86199999999849</v>
      </c>
      <c r="AE50" s="164">
        <f t="shared" si="127"/>
        <v>-162.8040000000002</v>
      </c>
      <c r="AF50" s="164">
        <f t="shared" si="127"/>
        <v>-191.83600000000024</v>
      </c>
      <c r="AG50" s="164">
        <f t="shared" si="127"/>
        <v>-184.71100000000013</v>
      </c>
      <c r="AH50" s="164">
        <f t="shared" si="127"/>
        <v>-190.98782000000165</v>
      </c>
      <c r="AI50" s="164">
        <f t="shared" si="127"/>
        <v>-168.76499999999987</v>
      </c>
      <c r="AJ50" s="164">
        <f t="shared" ref="AJ50:AO50" si="128">AJ51-AJ46</f>
        <v>-177.58600000000024</v>
      </c>
      <c r="AK50" s="164">
        <f t="shared" si="128"/>
        <v>-39.35100000000034</v>
      </c>
      <c r="AL50" s="164">
        <f t="shared" si="128"/>
        <v>-240.11144999999851</v>
      </c>
      <c r="AM50" s="164">
        <f t="shared" si="128"/>
        <v>-278.44654999999921</v>
      </c>
      <c r="AN50" s="164">
        <f t="shared" si="128"/>
        <v>-196.3420000000001</v>
      </c>
      <c r="AO50" s="164">
        <f t="shared" si="128"/>
        <v>-187.00500000000034</v>
      </c>
      <c r="AP50" s="164">
        <f t="shared" ref="AP50:AU50" si="129">AP51-AP46</f>
        <v>-130.68880999999919</v>
      </c>
      <c r="AQ50" s="164">
        <f t="shared" si="129"/>
        <v>-259.8471899999995</v>
      </c>
      <c r="AR50" s="164">
        <f t="shared" si="129"/>
        <v>-210.94299999999953</v>
      </c>
      <c r="AS50" s="164">
        <f t="shared" si="129"/>
        <v>-128.19200000000046</v>
      </c>
      <c r="AT50" s="164">
        <f t="shared" si="129"/>
        <v>-76.972090000002936</v>
      </c>
      <c r="AU50" s="164">
        <f t="shared" si="129"/>
        <v>-206.56632999999897</v>
      </c>
      <c r="AV50" s="30"/>
      <c r="AW50" s="164">
        <f>AW51-AW46</f>
        <v>-153.15599999999995</v>
      </c>
      <c r="AX50" s="164">
        <f>AX51-AX46</f>
        <v>-149.34999999999991</v>
      </c>
    </row>
    <row r="51" spans="1:50" s="5" customFormat="1" ht="13.5" customHeight="1">
      <c r="B51" s="5" t="s">
        <v>239</v>
      </c>
      <c r="C51" s="152">
        <v>3716</v>
      </c>
      <c r="D51" s="152">
        <v>3919.1</v>
      </c>
      <c r="E51" s="152">
        <v>4023.5</v>
      </c>
      <c r="F51" s="152">
        <v>4017.9</v>
      </c>
      <c r="G51" s="152">
        <v>4013.4</v>
      </c>
      <c r="H51" s="152">
        <v>3492.5</v>
      </c>
      <c r="I51" s="152">
        <f>I7*21%</f>
        <v>3931.67418</v>
      </c>
      <c r="J51" s="152">
        <f>J7*23%</f>
        <v>4502.3845499999998</v>
      </c>
      <c r="K51" s="152">
        <f>K7*22%</f>
        <v>4615.4926399999995</v>
      </c>
      <c r="L51" s="152">
        <f>L7*22%</f>
        <v>4854.2727199999999</v>
      </c>
      <c r="M51" s="75">
        <f>SUM(AR51:AU51)</f>
        <v>4940.7245800000001</v>
      </c>
      <c r="N51" s="7"/>
      <c r="O51" s="152">
        <v>835.5</v>
      </c>
      <c r="P51" s="152">
        <f>2006.9-O51</f>
        <v>1171.4000000000001</v>
      </c>
      <c r="Q51" s="152">
        <f>3166.2-P51-O51</f>
        <v>1159.2999999999997</v>
      </c>
      <c r="R51" s="7">
        <f>E51-Q51-P51-O51</f>
        <v>857.30000000000018</v>
      </c>
      <c r="S51" s="152">
        <v>846.4</v>
      </c>
      <c r="T51" s="152">
        <f>1949.5-S51</f>
        <v>1103.0999999999999</v>
      </c>
      <c r="U51" s="152">
        <f>3096.1-T51-S51</f>
        <v>1146.5999999999999</v>
      </c>
      <c r="V51" s="7">
        <f>F51-U51-T51-S51</f>
        <v>921.8000000000003</v>
      </c>
      <c r="W51" s="152">
        <v>888.8</v>
      </c>
      <c r="X51" s="152">
        <v>1136.7</v>
      </c>
      <c r="Y51" s="152">
        <v>1151.4000000000001</v>
      </c>
      <c r="Z51" s="7">
        <f>G51-Y51-X51-W51</f>
        <v>836.5</v>
      </c>
      <c r="AA51" s="152">
        <v>897.8</v>
      </c>
      <c r="AB51" s="152">
        <v>929.9</v>
      </c>
      <c r="AC51" s="152">
        <v>879.1</v>
      </c>
      <c r="AD51" s="7">
        <f>H51-AC51-AB51-AA51</f>
        <v>785.7</v>
      </c>
      <c r="AE51" s="152">
        <f>2866.795-AF51-AG51</f>
        <v>938.49400000000003</v>
      </c>
      <c r="AF51" s="152">
        <v>986</v>
      </c>
      <c r="AG51" s="175">
        <v>942.30100000000004</v>
      </c>
      <c r="AH51" s="7">
        <f>I51-AG51-AF51-AE51</f>
        <v>1064.8791799999999</v>
      </c>
      <c r="AI51" s="175">
        <f>3413.128-AJ51-AK51</f>
        <v>1242.9070000000002</v>
      </c>
      <c r="AJ51" s="152">
        <v>1108</v>
      </c>
      <c r="AK51" s="175">
        <v>1062.221</v>
      </c>
      <c r="AL51" s="7">
        <f>J51-AK51-AJ51-AI51</f>
        <v>1089.2565499999996</v>
      </c>
      <c r="AM51" s="152">
        <f>(22%*19968)-AL51-AK51-AJ51</f>
        <v>1133.4824500000004</v>
      </c>
      <c r="AN51" s="152">
        <f>(22%*20329)-AM51-AL51-AK51</f>
        <v>1187.42</v>
      </c>
      <c r="AO51" s="152">
        <f>(22%*20742)-AN51-AM51-AL51</f>
        <v>1153.0809999999997</v>
      </c>
      <c r="AP51" s="7">
        <f>K51-AO51-AN51-AM51</f>
        <v>1141.5091899999993</v>
      </c>
      <c r="AQ51" s="152">
        <f>(22%*21288)-AP51-AO51-AN51</f>
        <v>1201.3498100000006</v>
      </c>
      <c r="AR51" s="152">
        <f>(22%*21422)-AQ51-AP51-AO51</f>
        <v>1216.9000000000005</v>
      </c>
      <c r="AS51" s="152">
        <f>(22%*21765)-AR51-AQ51-AP51</f>
        <v>1228.5409999999997</v>
      </c>
      <c r="AT51" s="7">
        <f>L51-AS51-AR51-AQ51</f>
        <v>1207.4819099999991</v>
      </c>
      <c r="AU51" s="152">
        <f>(22%*(AR7+AU7+AT7+AS7))-AR51-AT51-AS51</f>
        <v>1287.8016700000007</v>
      </c>
      <c r="AV51" s="7"/>
      <c r="AW51" s="152">
        <v>846.4</v>
      </c>
      <c r="AX51" s="152">
        <v>1101.4000000000001</v>
      </c>
    </row>
    <row r="52" spans="1:50" s="34" customFormat="1" ht="13.5" customHeight="1">
      <c r="B52" s="17" t="s">
        <v>236</v>
      </c>
      <c r="C52" s="18"/>
      <c r="D52" s="18">
        <f t="shared" ref="D52:L52" si="130">+D51/C51-1</f>
        <v>5.4655543595263589E-2</v>
      </c>
      <c r="E52" s="18">
        <f t="shared" si="130"/>
        <v>2.6638769105151727E-2</v>
      </c>
      <c r="F52" s="18">
        <f t="shared" si="130"/>
        <v>-1.3918230396420261E-3</v>
      </c>
      <c r="G52" s="18">
        <f t="shared" si="130"/>
        <v>-1.1199880534608075E-3</v>
      </c>
      <c r="H52" s="18">
        <f t="shared" si="130"/>
        <v>-0.1297902028205512</v>
      </c>
      <c r="I52" s="18">
        <f t="shared" si="130"/>
        <v>0.1257477967072298</v>
      </c>
      <c r="J52" s="18">
        <f t="shared" si="130"/>
        <v>0.14515708674516858</v>
      </c>
      <c r="K52" s="18">
        <f t="shared" si="130"/>
        <v>2.512181905919153E-2</v>
      </c>
      <c r="L52" s="18">
        <f t="shared" si="130"/>
        <v>5.1734473137411419E-2</v>
      </c>
      <c r="M52" s="18"/>
      <c r="N52" s="295"/>
      <c r="O52" s="18"/>
      <c r="P52" s="18"/>
      <c r="Q52" s="18"/>
      <c r="R52" s="18"/>
      <c r="S52" s="25">
        <f>S51/O51-1</f>
        <v>1.3046080191501996E-2</v>
      </c>
      <c r="T52" s="25">
        <f>T51/P51-1</f>
        <v>-5.8306300153662449E-2</v>
      </c>
      <c r="U52" s="25">
        <f>U51/Q51-1</f>
        <v>-1.0954886569481403E-2</v>
      </c>
      <c r="V52" s="25">
        <f>V51/R51-1</f>
        <v>7.5236206695439289E-2</v>
      </c>
      <c r="W52" s="25">
        <f>W51/AW51-1</f>
        <v>5.0094517958412021E-2</v>
      </c>
      <c r="X52" s="25">
        <f>X51/AX51-1</f>
        <v>3.2050118031596186E-2</v>
      </c>
      <c r="Y52" s="25">
        <f t="shared" ref="Y52:AL52" si="131">Y51/U51-1</f>
        <v>4.1862899005757903E-3</v>
      </c>
      <c r="Z52" s="25">
        <f t="shared" si="131"/>
        <v>-9.253634193968352E-2</v>
      </c>
      <c r="AA52" s="25">
        <f t="shared" si="131"/>
        <v>1.0126012601260115E-2</v>
      </c>
      <c r="AB52" s="25">
        <f t="shared" si="131"/>
        <v>-0.181930148675992</v>
      </c>
      <c r="AC52" s="25">
        <f t="shared" si="131"/>
        <v>-0.23649470210178913</v>
      </c>
      <c r="AD52" s="25">
        <f t="shared" si="131"/>
        <v>-6.0729228930065715E-2</v>
      </c>
      <c r="AE52" s="25">
        <f>AE51/AA51-1</f>
        <v>4.5326353308086542E-2</v>
      </c>
      <c r="AF52" s="25">
        <f t="shared" si="131"/>
        <v>6.0329067641681888E-2</v>
      </c>
      <c r="AG52" s="25">
        <f t="shared" si="131"/>
        <v>7.1892844955067758E-2</v>
      </c>
      <c r="AH52" s="25">
        <f t="shared" si="131"/>
        <v>0.35532541682576024</v>
      </c>
      <c r="AI52" s="25">
        <f>AI51/AE51-1</f>
        <v>0.32436328841740081</v>
      </c>
      <c r="AJ52" s="25">
        <f t="shared" si="131"/>
        <v>0.12373225152129819</v>
      </c>
      <c r="AK52" s="25">
        <f t="shared" si="131"/>
        <v>0.12726294464295385</v>
      </c>
      <c r="AL52" s="25">
        <f t="shared" si="131"/>
        <v>2.2892146318420625E-2</v>
      </c>
      <c r="AM52" s="25">
        <f t="shared" ref="AM52:AU52" si="132">AM51/AI51-1</f>
        <v>-8.8039209691473053E-2</v>
      </c>
      <c r="AN52" s="25">
        <f t="shared" si="132"/>
        <v>7.1678700361010872E-2</v>
      </c>
      <c r="AO52" s="25">
        <f t="shared" si="132"/>
        <v>8.5537755325868714E-2</v>
      </c>
      <c r="AP52" s="25">
        <f t="shared" si="132"/>
        <v>4.7970921083742679E-2</v>
      </c>
      <c r="AQ52" s="25">
        <f t="shared" si="132"/>
        <v>5.9875086729397786E-2</v>
      </c>
      <c r="AR52" s="25">
        <f t="shared" si="132"/>
        <v>2.4826935709353348E-2</v>
      </c>
      <c r="AS52" s="25">
        <f t="shared" si="132"/>
        <v>6.5442063480362744E-2</v>
      </c>
      <c r="AT52" s="25">
        <f t="shared" si="132"/>
        <v>5.7794295988103039E-2</v>
      </c>
      <c r="AU52" s="25">
        <f t="shared" si="132"/>
        <v>7.196227050637316E-2</v>
      </c>
      <c r="AV52" s="294"/>
      <c r="AW52" s="25">
        <f>AW51/O51-1</f>
        <v>1.3046080191501996E-2</v>
      </c>
      <c r="AX52" s="25">
        <f>AX51/P51-1</f>
        <v>-5.9757555062318612E-2</v>
      </c>
    </row>
    <row r="53" spans="1:50" s="34" customFormat="1" ht="13.5" customHeight="1">
      <c r="B53" s="17" t="s">
        <v>237</v>
      </c>
      <c r="C53" s="18">
        <f t="shared" ref="C53:M53" si="133">C51/C7</f>
        <v>0.25916096706654124</v>
      </c>
      <c r="D53" s="18">
        <f t="shared" si="133"/>
        <v>0.28123074167530887</v>
      </c>
      <c r="E53" s="18">
        <f t="shared" si="133"/>
        <v>0.2967656271424417</v>
      </c>
      <c r="F53" s="18">
        <f t="shared" si="133"/>
        <v>0.27996811712295711</v>
      </c>
      <c r="G53" s="18">
        <f t="shared" si="133"/>
        <v>0.26134099041033415</v>
      </c>
      <c r="H53" s="18">
        <f t="shared" si="133"/>
        <v>0.22035089578869532</v>
      </c>
      <c r="I53" s="18">
        <f t="shared" si="133"/>
        <v>0.21</v>
      </c>
      <c r="J53" s="18">
        <f t="shared" si="133"/>
        <v>0.23</v>
      </c>
      <c r="K53" s="18">
        <f>K51/K7</f>
        <v>0.22</v>
      </c>
      <c r="L53" s="18">
        <f>L51/L7</f>
        <v>0.22</v>
      </c>
      <c r="M53" s="18">
        <f t="shared" si="133"/>
        <v>0.22</v>
      </c>
      <c r="N53" s="295"/>
      <c r="O53" s="18">
        <f t="shared" ref="O53:AU53" si="134">O51/O7</f>
        <v>0.25849226766247807</v>
      </c>
      <c r="P53" s="18">
        <f t="shared" si="134"/>
        <v>0.3229588033154972</v>
      </c>
      <c r="Q53" s="18">
        <f t="shared" si="134"/>
        <v>0.34946463452866122</v>
      </c>
      <c r="R53" s="18">
        <f t="shared" si="134"/>
        <v>0.25355023565709539</v>
      </c>
      <c r="S53" s="18">
        <f t="shared" si="134"/>
        <v>0.25234915176517692</v>
      </c>
      <c r="T53" s="18">
        <f t="shared" si="134"/>
        <v>0.29653233777751009</v>
      </c>
      <c r="U53" s="18">
        <f t="shared" si="134"/>
        <v>0.3208837203705191</v>
      </c>
      <c r="V53" s="18">
        <f t="shared" si="134"/>
        <v>0.24887025646757591</v>
      </c>
      <c r="W53" s="18">
        <f t="shared" si="134"/>
        <v>0.24740844662680517</v>
      </c>
      <c r="X53" s="18">
        <f t="shared" si="134"/>
        <v>0.27847708045677394</v>
      </c>
      <c r="Y53" s="18">
        <f t="shared" si="134"/>
        <v>0.29805240845449965</v>
      </c>
      <c r="Z53" s="18">
        <f t="shared" si="134"/>
        <v>0.21900284978603693</v>
      </c>
      <c r="AA53" s="18">
        <f t="shared" si="134"/>
        <v>0.24630906767436281</v>
      </c>
      <c r="AB53" s="18">
        <f t="shared" si="134"/>
        <v>0.23215184463227187</v>
      </c>
      <c r="AC53" s="18">
        <f t="shared" si="134"/>
        <v>0.22302390067305472</v>
      </c>
      <c r="AD53" s="18">
        <f t="shared" si="134"/>
        <v>0.1845489086317309</v>
      </c>
      <c r="AE53" s="18">
        <f t="shared" si="134"/>
        <v>0.20839412922117387</v>
      </c>
      <c r="AF53" s="18">
        <f t="shared" si="134"/>
        <v>0.21386212660073958</v>
      </c>
      <c r="AG53" s="18">
        <f t="shared" si="134"/>
        <v>0.19758378954947883</v>
      </c>
      <c r="AH53" s="18">
        <f t="shared" si="134"/>
        <v>0.22005123125916845</v>
      </c>
      <c r="AI53" s="18">
        <f t="shared" si="134"/>
        <v>0.24531556297324975</v>
      </c>
      <c r="AJ53" s="18">
        <f t="shared" si="134"/>
        <v>0.23120185946390798</v>
      </c>
      <c r="AK53" s="18">
        <f t="shared" si="134"/>
        <v>0.22143748486012105</v>
      </c>
      <c r="AL53" s="18">
        <f t="shared" si="134"/>
        <v>0.22140539801103232</v>
      </c>
      <c r="AM53" s="18">
        <f t="shared" si="134"/>
        <v>0.20764920242968909</v>
      </c>
      <c r="AN53" s="18">
        <f t="shared" si="134"/>
        <v>0.23036029225039048</v>
      </c>
      <c r="AO53" s="18">
        <f t="shared" si="134"/>
        <v>0.22136657476663585</v>
      </c>
      <c r="AP53" s="18">
        <f t="shared" si="134"/>
        <v>0.22133728331079902</v>
      </c>
      <c r="AQ53" s="18">
        <f t="shared" si="134"/>
        <v>0.20831126443318912</v>
      </c>
      <c r="AR53" s="18">
        <f t="shared" si="134"/>
        <v>0.23010731786274957</v>
      </c>
      <c r="AS53" s="18">
        <f t="shared" si="134"/>
        <v>0.22125512755378152</v>
      </c>
      <c r="AT53" s="18">
        <f t="shared" si="134"/>
        <v>0.22128082927951143</v>
      </c>
      <c r="AU53" s="18">
        <f t="shared" si="134"/>
        <v>0.20905691395837028</v>
      </c>
      <c r="AV53" s="295"/>
      <c r="AW53" s="18">
        <f>AW51/AW7</f>
        <v>0.25579559562536341</v>
      </c>
      <c r="AX53" s="18">
        <f>AX51/AX7</f>
        <v>0.292348299527741</v>
      </c>
    </row>
    <row r="54" spans="1:50" ht="13.5" customHeight="1">
      <c r="B54" s="5"/>
      <c r="C54" s="41"/>
      <c r="D54" s="41"/>
      <c r="E54" s="41"/>
      <c r="F54" s="41"/>
      <c r="G54" s="41"/>
      <c r="H54" s="41"/>
      <c r="I54" s="41"/>
      <c r="J54" s="41"/>
      <c r="K54" s="41"/>
      <c r="L54" s="41"/>
      <c r="AV54" s="296"/>
      <c r="AW54" s="41"/>
      <c r="AX54" s="41"/>
    </row>
    <row r="55" spans="1:50" ht="13.5" customHeight="1">
      <c r="A55" s="23"/>
      <c r="B55" s="15" t="s">
        <v>240</v>
      </c>
      <c r="C55" s="33">
        <f t="shared" ref="C55:I55" si="135">+C43</f>
        <v>42735</v>
      </c>
      <c r="D55" s="33">
        <f t="shared" si="135"/>
        <v>43100</v>
      </c>
      <c r="E55" s="62">
        <f t="shared" si="135"/>
        <v>43465</v>
      </c>
      <c r="F55" s="62">
        <f t="shared" si="135"/>
        <v>43830</v>
      </c>
      <c r="G55" s="62">
        <f t="shared" si="135"/>
        <v>44196</v>
      </c>
      <c r="H55" s="62">
        <f t="shared" si="135"/>
        <v>44561</v>
      </c>
      <c r="I55" s="62">
        <f t="shared" si="135"/>
        <v>44926</v>
      </c>
      <c r="J55" s="62">
        <f>+J43</f>
        <v>45291</v>
      </c>
      <c r="K55" s="62">
        <f>+K43</f>
        <v>45657</v>
      </c>
      <c r="L55" s="62">
        <f>+L43</f>
        <v>46022</v>
      </c>
      <c r="M55" s="62">
        <f>+M43</f>
        <v>46111</v>
      </c>
      <c r="N55" s="177"/>
      <c r="O55" s="62">
        <f t="shared" ref="O55:V55" si="136">+O43</f>
        <v>43189</v>
      </c>
      <c r="P55" s="62">
        <f t="shared" si="136"/>
        <v>43281</v>
      </c>
      <c r="Q55" s="62">
        <f t="shared" si="136"/>
        <v>43373</v>
      </c>
      <c r="R55" s="62">
        <f t="shared" si="136"/>
        <v>43464</v>
      </c>
      <c r="S55" s="62">
        <f t="shared" si="136"/>
        <v>43554</v>
      </c>
      <c r="T55" s="62">
        <f t="shared" si="136"/>
        <v>43646</v>
      </c>
      <c r="U55" s="62">
        <f t="shared" si="136"/>
        <v>43738</v>
      </c>
      <c r="V55" s="62">
        <f t="shared" si="136"/>
        <v>43829</v>
      </c>
      <c r="W55" s="62">
        <f t="shared" ref="W55:AB55" si="137">+W43</f>
        <v>43920</v>
      </c>
      <c r="X55" s="62">
        <f t="shared" si="137"/>
        <v>44012</v>
      </c>
      <c r="Y55" s="62">
        <f t="shared" si="137"/>
        <v>44104</v>
      </c>
      <c r="Z55" s="62">
        <f t="shared" si="137"/>
        <v>44195</v>
      </c>
      <c r="AA55" s="62">
        <f t="shared" si="137"/>
        <v>44285</v>
      </c>
      <c r="AB55" s="62">
        <f t="shared" si="137"/>
        <v>44377</v>
      </c>
      <c r="AC55" s="62">
        <f>+AC43</f>
        <v>44469</v>
      </c>
      <c r="AD55" s="62">
        <f>+AD43</f>
        <v>44560</v>
      </c>
      <c r="AE55" s="62">
        <v>44651</v>
      </c>
      <c r="AF55" s="62">
        <f t="shared" ref="AF55:AK55" si="138">+AF43</f>
        <v>44742</v>
      </c>
      <c r="AG55" s="62">
        <f t="shared" si="138"/>
        <v>44834</v>
      </c>
      <c r="AH55" s="62">
        <f t="shared" si="138"/>
        <v>44926</v>
      </c>
      <c r="AI55" s="62">
        <f t="shared" si="138"/>
        <v>45015</v>
      </c>
      <c r="AJ55" s="62">
        <f t="shared" si="138"/>
        <v>45107</v>
      </c>
      <c r="AK55" s="62">
        <f t="shared" si="138"/>
        <v>45199</v>
      </c>
      <c r="AL55" s="62">
        <f t="shared" ref="AL55:AQ55" si="139">+AL43</f>
        <v>45291</v>
      </c>
      <c r="AM55" s="62">
        <f t="shared" si="139"/>
        <v>45381</v>
      </c>
      <c r="AN55" s="62">
        <f t="shared" si="139"/>
        <v>45473</v>
      </c>
      <c r="AO55" s="62">
        <f t="shared" si="139"/>
        <v>45565</v>
      </c>
      <c r="AP55" s="62">
        <f t="shared" si="139"/>
        <v>45657</v>
      </c>
      <c r="AQ55" s="62">
        <f t="shared" si="139"/>
        <v>45746</v>
      </c>
      <c r="AR55" s="62">
        <f>+AR43</f>
        <v>45838</v>
      </c>
      <c r="AS55" s="62">
        <f>+AS43</f>
        <v>45930</v>
      </c>
      <c r="AT55" s="62">
        <f>+AT43</f>
        <v>46022</v>
      </c>
      <c r="AU55" s="62">
        <f>+AU43</f>
        <v>46111</v>
      </c>
      <c r="AV55" s="176"/>
      <c r="AW55" s="62">
        <f>+AW43</f>
        <v>43554</v>
      </c>
      <c r="AX55" s="62">
        <f>+AX43</f>
        <v>43646</v>
      </c>
    </row>
    <row r="56" spans="1:50" s="5" customFormat="1" ht="13.5" customHeight="1">
      <c r="B56" s="5" t="s">
        <v>241</v>
      </c>
      <c r="C56" s="7">
        <f t="shared" ref="C56:M56" si="140">C51</f>
        <v>3716</v>
      </c>
      <c r="D56" s="7">
        <f t="shared" si="140"/>
        <v>3919.1</v>
      </c>
      <c r="E56" s="7">
        <f t="shared" si="140"/>
        <v>4023.5</v>
      </c>
      <c r="F56" s="7">
        <f t="shared" si="140"/>
        <v>4017.9</v>
      </c>
      <c r="G56" s="7">
        <f t="shared" si="140"/>
        <v>4013.4</v>
      </c>
      <c r="H56" s="7">
        <f t="shared" si="140"/>
        <v>3492.5</v>
      </c>
      <c r="I56" s="7">
        <f t="shared" si="140"/>
        <v>3931.67418</v>
      </c>
      <c r="J56" s="7">
        <f t="shared" si="140"/>
        <v>4502.3845499999998</v>
      </c>
      <c r="K56" s="7">
        <f>K51</f>
        <v>4615.4926399999995</v>
      </c>
      <c r="L56" s="7">
        <f>L51</f>
        <v>4854.2727199999999</v>
      </c>
      <c r="M56" s="7">
        <f t="shared" si="140"/>
        <v>4940.7245800000001</v>
      </c>
      <c r="N56" s="7"/>
      <c r="O56" s="7">
        <f t="shared" ref="O56:V56" si="141">O51</f>
        <v>835.5</v>
      </c>
      <c r="P56" s="7">
        <f t="shared" si="141"/>
        <v>1171.4000000000001</v>
      </c>
      <c r="Q56" s="7">
        <f t="shared" si="141"/>
        <v>1159.2999999999997</v>
      </c>
      <c r="R56" s="7">
        <f t="shared" si="141"/>
        <v>857.30000000000018</v>
      </c>
      <c r="S56" s="7">
        <f t="shared" si="141"/>
        <v>846.4</v>
      </c>
      <c r="T56" s="7">
        <f t="shared" si="141"/>
        <v>1103.0999999999999</v>
      </c>
      <c r="U56" s="7">
        <f t="shared" si="141"/>
        <v>1146.5999999999999</v>
      </c>
      <c r="V56" s="7">
        <f t="shared" si="141"/>
        <v>921.8000000000003</v>
      </c>
      <c r="W56" s="7">
        <f t="shared" ref="W56:AB56" si="142">W51</f>
        <v>888.8</v>
      </c>
      <c r="X56" s="7">
        <f t="shared" si="142"/>
        <v>1136.7</v>
      </c>
      <c r="Y56" s="7">
        <f t="shared" si="142"/>
        <v>1151.4000000000001</v>
      </c>
      <c r="Z56" s="7">
        <f t="shared" si="142"/>
        <v>836.5</v>
      </c>
      <c r="AA56" s="7">
        <f t="shared" si="142"/>
        <v>897.8</v>
      </c>
      <c r="AB56" s="7">
        <f t="shared" si="142"/>
        <v>929.9</v>
      </c>
      <c r="AC56" s="7">
        <f t="shared" ref="AC56:AH56" si="143">AC51</f>
        <v>879.1</v>
      </c>
      <c r="AD56" s="7">
        <f t="shared" si="143"/>
        <v>785.7</v>
      </c>
      <c r="AE56" s="7">
        <f t="shared" si="143"/>
        <v>938.49400000000003</v>
      </c>
      <c r="AF56" s="7">
        <f t="shared" si="143"/>
        <v>986</v>
      </c>
      <c r="AG56" s="7">
        <f t="shared" si="143"/>
        <v>942.30100000000004</v>
      </c>
      <c r="AH56" s="7">
        <f t="shared" si="143"/>
        <v>1064.8791799999999</v>
      </c>
      <c r="AI56" s="7">
        <f t="shared" ref="AI56:AN56" si="144">AI51</f>
        <v>1242.9070000000002</v>
      </c>
      <c r="AJ56" s="7">
        <f t="shared" si="144"/>
        <v>1108</v>
      </c>
      <c r="AK56" s="7">
        <f t="shared" si="144"/>
        <v>1062.221</v>
      </c>
      <c r="AL56" s="7">
        <f t="shared" si="144"/>
        <v>1089.2565499999996</v>
      </c>
      <c r="AM56" s="7">
        <f t="shared" si="144"/>
        <v>1133.4824500000004</v>
      </c>
      <c r="AN56" s="7">
        <f t="shared" si="144"/>
        <v>1187.42</v>
      </c>
      <c r="AO56" s="7">
        <f t="shared" ref="AO56:AT56" si="145">AO51</f>
        <v>1153.0809999999997</v>
      </c>
      <c r="AP56" s="7">
        <f t="shared" si="145"/>
        <v>1141.5091899999993</v>
      </c>
      <c r="AQ56" s="7">
        <f t="shared" si="145"/>
        <v>1201.3498100000006</v>
      </c>
      <c r="AR56" s="7">
        <f t="shared" si="145"/>
        <v>1216.9000000000005</v>
      </c>
      <c r="AS56" s="7">
        <f t="shared" si="145"/>
        <v>1228.5409999999997</v>
      </c>
      <c r="AT56" s="7">
        <f t="shared" si="145"/>
        <v>1207.4819099999991</v>
      </c>
      <c r="AU56" s="7">
        <f>AU51</f>
        <v>1287.8016700000007</v>
      </c>
      <c r="AV56" s="7"/>
      <c r="AW56" s="7">
        <f>AW51</f>
        <v>846.4</v>
      </c>
      <c r="AX56" s="7">
        <f>AX51</f>
        <v>1101.4000000000001</v>
      </c>
    </row>
    <row r="57" spans="1:50" ht="13.5" customHeight="1">
      <c r="B57" s="6" t="s">
        <v>242</v>
      </c>
      <c r="C57" s="4">
        <f>844.604-1231.787-164.572+524.039</f>
        <v>-27.716000000000008</v>
      </c>
      <c r="D57" s="4">
        <f>1083.062-1197.326-106.17+35.566</f>
        <v>-184.86800000000014</v>
      </c>
      <c r="E57" s="4">
        <f>858.754-1614.754-257.234-314.422</f>
        <v>-1327.6559999999999</v>
      </c>
      <c r="F57" s="4">
        <f>1068.299-1345.618+142.85+79.86</f>
        <v>-54.608999999999966</v>
      </c>
      <c r="G57" s="4">
        <f>1148.049-1650.036-65.165+26.522</f>
        <v>-540.63</v>
      </c>
      <c r="H57" s="4">
        <f>349.458-28.305-67.376+358.167</f>
        <v>611.94399999999996</v>
      </c>
      <c r="I57" s="4">
        <f>-1103.277-9.009-218.589+412.038</f>
        <v>-918.83699999999999</v>
      </c>
      <c r="J57" s="4">
        <f>-1063.947-7.885-458.951+591.073</f>
        <v>-939.70999999999992</v>
      </c>
      <c r="K57" s="4">
        <f>348.415-11.161+11.74-143.111</f>
        <v>205.88300000000004</v>
      </c>
      <c r="L57" s="4">
        <f>-312.092-33.032-112.054+266.588</f>
        <v>-190.58999999999997</v>
      </c>
      <c r="M57" s="76">
        <f>SUM(AR57:AU57)</f>
        <v>-131.69900000000001</v>
      </c>
      <c r="N57" s="76"/>
      <c r="O57" s="4">
        <f>246.641-332.26-400.95+46.956</f>
        <v>-439.61299999999994</v>
      </c>
      <c r="P57" s="4">
        <f>398.156-744.273-682.516+182.41-O57</f>
        <v>-406.61000000000013</v>
      </c>
      <c r="Q57" s="4">
        <f>439.613-1189.837-739.976-104.082-P57-O57</f>
        <v>-748.05899999999963</v>
      </c>
      <c r="R57" s="30">
        <f>E57-Q57-P57-O57</f>
        <v>266.62599999999975</v>
      </c>
      <c r="S57" s="4">
        <f>378.055-339.441-258.234-42.814</f>
        <v>-262.43399999999997</v>
      </c>
      <c r="T57" s="4">
        <f>469.011-645.312-428.393+220.509-S57</f>
        <v>-121.75099999999998</v>
      </c>
      <c r="U57" s="4">
        <f>591.152-979.075-451.512+256.691-T57-S57</f>
        <v>-198.55899999999997</v>
      </c>
      <c r="V57" s="30">
        <f>F57-U57-T57-S57</f>
        <v>528.13499999999999</v>
      </c>
      <c r="W57" s="4">
        <f>463.129-346.071-644.704-80.523</f>
        <v>-608.16899999999998</v>
      </c>
      <c r="X57" s="4">
        <f>383.501-668.343-552.12+361.832-W57</f>
        <v>133.03899999999999</v>
      </c>
      <c r="Y57" s="4">
        <f>643.606-1224.917-536.84+378.496-X57-W57</f>
        <v>-264.52499999999986</v>
      </c>
      <c r="Z57" s="30">
        <f>G57-Y57-X57-W57</f>
        <v>199.02499999999986</v>
      </c>
      <c r="AA57" s="4">
        <f>691.492-532.551-769.634+388.711</f>
        <v>-221.98200000000008</v>
      </c>
      <c r="AB57" s="4">
        <f>1096.214-976.286-721.888+699.45-AA57</f>
        <v>319.47200000000009</v>
      </c>
      <c r="AC57" s="4">
        <f>1685.473-1423.968-415.307+300.447-AB57-AA57</f>
        <v>49.154999999999859</v>
      </c>
      <c r="AD57" s="30">
        <f>H57-AC57-AB57-AA57</f>
        <v>465.29900000000009</v>
      </c>
      <c r="AE57" s="4">
        <f>393.811-458.2-686.828+120.661</f>
        <v>-630.55600000000004</v>
      </c>
      <c r="AF57" s="4">
        <f xml:space="preserve"> 141.046-931.572-628.02+472.534-AE57</f>
        <v>-315.45600000000002</v>
      </c>
      <c r="AG57" s="4">
        <f>-702.574-12.201-596.8+499.708-AF57-AE57</f>
        <v>134.14500000000032</v>
      </c>
      <c r="AH57" s="30">
        <f>I57-AG57-AF57-AE57</f>
        <v>-106.97000000000037</v>
      </c>
      <c r="AI57" s="4">
        <f>-81.974-55.258-1018.115+583.779</f>
        <v>-571.56799999999998</v>
      </c>
      <c r="AJ57" s="4">
        <f>-378.661-AI57</f>
        <v>192.90699999999998</v>
      </c>
      <c r="AK57" s="4">
        <f>-940.838-1.463-941.274+558.751-AJ57-AI57</f>
        <v>-946.16299999999978</v>
      </c>
      <c r="AL57" s="30">
        <f>J57-AK57-AJ57-AI57</f>
        <v>385.11399999999986</v>
      </c>
      <c r="AM57" s="4">
        <f>442.753-16.548-951.753+461.453</f>
        <v>-64.095000000000027</v>
      </c>
      <c r="AN57" s="4">
        <f>412.787-AM57</f>
        <v>476.88200000000001</v>
      </c>
      <c r="AO57" s="4">
        <f>456.993-5.132-738.056+652.548-AN57-AM57</f>
        <v>-46.434000000000026</v>
      </c>
      <c r="AP57" s="30">
        <f>K57-AO57-AN57-AM57</f>
        <v>-160.46999999999991</v>
      </c>
      <c r="AQ57" s="4">
        <f>496.811-25.663-1226.797+396.312</f>
        <v>-359.3370000000001</v>
      </c>
      <c r="AR57" s="4">
        <f>-340.958-AQ57</f>
        <v>18.379000000000076</v>
      </c>
      <c r="AS57" s="4">
        <f>69.232-7.572-1388.94+1004.33-AR57-AQ57</f>
        <v>18.008000000000095</v>
      </c>
      <c r="AT57" s="30">
        <f>L57-AS57-AR57-AQ57</f>
        <v>132.35999999999996</v>
      </c>
      <c r="AU57" s="4">
        <f>426.676-29.366-1410.698+712.942</f>
        <v>-300.44600000000014</v>
      </c>
      <c r="AV57" s="30"/>
      <c r="AW57" s="4">
        <f>378.055-339.441-258.234-42.293</f>
        <v>-261.91299999999995</v>
      </c>
      <c r="AX57" s="4">
        <f>469.011-645.312-428.393+220.509-AW57</f>
        <v>-122.27199999999999</v>
      </c>
    </row>
    <row r="58" spans="1:50" ht="13.5" customHeight="1">
      <c r="B58" s="6" t="s">
        <v>243</v>
      </c>
      <c r="C58" s="4">
        <v>-10.161</v>
      </c>
      <c r="D58" s="4">
        <v>-11.922000000000001</v>
      </c>
      <c r="E58" s="4">
        <v>-22.963999999999999</v>
      </c>
      <c r="F58" s="4">
        <f>-19.277</f>
        <v>-19.277000000000001</v>
      </c>
      <c r="G58" s="4">
        <f>-84.763</f>
        <v>-84.763000000000005</v>
      </c>
      <c r="H58" s="4">
        <v>-34.749000000000002</v>
      </c>
      <c r="I58" s="4">
        <v>-330.92200000000003</v>
      </c>
      <c r="J58" s="4">
        <v>-8.2550000000000008</v>
      </c>
      <c r="K58" s="4">
        <v>-22.948</v>
      </c>
      <c r="L58" s="4">
        <v>-194.322</v>
      </c>
      <c r="M58" s="76">
        <f>SUM(AR58:AU58)</f>
        <v>-103.05600000000001</v>
      </c>
      <c r="N58" s="76"/>
      <c r="O58" s="4">
        <v>-2.4489999999999998</v>
      </c>
      <c r="P58" s="4">
        <f>-6.741-O58</f>
        <v>-4.2919999999999998</v>
      </c>
      <c r="Q58" s="4">
        <f>-10.389-P58-O58</f>
        <v>-3.6479999999999997</v>
      </c>
      <c r="R58" s="30">
        <f>E58-Q58-P58-O58</f>
        <v>-12.574999999999999</v>
      </c>
      <c r="S58" s="4">
        <v>-1.4730000000000001</v>
      </c>
      <c r="T58" s="4">
        <f>-8.875-S58</f>
        <v>-7.4020000000000001</v>
      </c>
      <c r="U58" s="4">
        <f>-15.67-T58-S58</f>
        <v>-6.7950000000000008</v>
      </c>
      <c r="V58" s="30">
        <f>F58-U58-T58-S58</f>
        <v>-3.6069999999999993</v>
      </c>
      <c r="W58" s="4">
        <v>-54.679000000000002</v>
      </c>
      <c r="X58" s="4">
        <f>-54.679-W58</f>
        <v>0</v>
      </c>
      <c r="Y58" s="4">
        <f>-69.317-X58-W58</f>
        <v>-14.637999999999991</v>
      </c>
      <c r="Z58" s="30">
        <f>G58-Y58-X58-W58</f>
        <v>-15.446000000000012</v>
      </c>
      <c r="AA58" s="4">
        <v>-1.3939999999999999</v>
      </c>
      <c r="AB58" s="4">
        <f>-22.054-AA58</f>
        <v>-20.66</v>
      </c>
      <c r="AC58" s="4">
        <f>-23.732-AB58-AA58</f>
        <v>-1.6779999999999993</v>
      </c>
      <c r="AD58" s="30">
        <f>H58-AC58-AB58-AA58</f>
        <v>-11.017000000000005</v>
      </c>
      <c r="AE58" s="4">
        <v>-0.23599999999999999</v>
      </c>
      <c r="AF58" s="4">
        <f>-95.281-AE58</f>
        <v>-95.045000000000002</v>
      </c>
      <c r="AG58" s="4">
        <f>-95.281-AF58-AE58</f>
        <v>-4.2188474935755949E-15</v>
      </c>
      <c r="AH58" s="30">
        <f>I58-AG58-AF58-AE58</f>
        <v>-235.64100000000002</v>
      </c>
      <c r="AI58" s="4">
        <v>0</v>
      </c>
      <c r="AJ58" s="4">
        <f>-7.085-AI58</f>
        <v>-7.085</v>
      </c>
      <c r="AK58" s="4">
        <f>-7.631-AJ58-AI58</f>
        <v>-0.54600000000000026</v>
      </c>
      <c r="AL58" s="30">
        <f>J58-AK58-AJ58-AI58</f>
        <v>-0.62400000000000055</v>
      </c>
      <c r="AM58" s="4">
        <v>0</v>
      </c>
      <c r="AN58" s="4">
        <f>-19.663-AM58</f>
        <v>-19.663</v>
      </c>
      <c r="AO58" s="4">
        <f>-21.331-AN58-AM58</f>
        <v>-1.6679999999999993</v>
      </c>
      <c r="AP58" s="30">
        <f>K58-AO58-AN58-AM58</f>
        <v>-1.6170000000000009</v>
      </c>
      <c r="AQ58" s="4">
        <v>-94.087999999999994</v>
      </c>
      <c r="AR58" s="4">
        <f>-142.633-AQ58</f>
        <v>-48.545000000000016</v>
      </c>
      <c r="AS58" s="4">
        <f>-190.673-AR58-AQ58</f>
        <v>-48.039999999999992</v>
      </c>
      <c r="AT58" s="30">
        <f>L58-AS58-AR58-AQ58</f>
        <v>-3.6490000000000009</v>
      </c>
      <c r="AU58" s="4">
        <v>-2.8220000000000001</v>
      </c>
      <c r="AV58" s="30"/>
      <c r="AW58" s="4">
        <v>-1.4730000000000001</v>
      </c>
      <c r="AX58" s="4">
        <f>-8.875-AW58</f>
        <v>-7.4020000000000001</v>
      </c>
    </row>
    <row r="59" spans="1:50" ht="13.5" customHeight="1">
      <c r="B59" s="6" t="s">
        <v>244</v>
      </c>
      <c r="C59" s="4">
        <v>-360.596</v>
      </c>
      <c r="D59" s="4">
        <v>-467.97699999999998</v>
      </c>
      <c r="E59" s="4">
        <v>-420.625</v>
      </c>
      <c r="F59" s="4">
        <v>-524.60900000000004</v>
      </c>
      <c r="G59" s="4">
        <v>-467.84399999999999</v>
      </c>
      <c r="H59" s="4">
        <v>-342.44600000000003</v>
      </c>
      <c r="I59" s="4">
        <v>-431.81</v>
      </c>
      <c r="J59" s="4">
        <v>-559.19899999999996</v>
      </c>
      <c r="K59" s="4">
        <v>-645.03899999999999</v>
      </c>
      <c r="L59" s="4">
        <f>-681.389</f>
        <v>-681.38900000000001</v>
      </c>
      <c r="M59" s="76">
        <f>SUM(AR59:AU59)</f>
        <v>-702.16499999999996</v>
      </c>
      <c r="N59" s="76"/>
      <c r="O59" s="4">
        <v>-131.238</v>
      </c>
      <c r="P59" s="4">
        <f>-208.485-O59</f>
        <v>-77.247000000000014</v>
      </c>
      <c r="Q59" s="4">
        <f>-317.689-P59-O59</f>
        <v>-109.20400000000001</v>
      </c>
      <c r="R59" s="30">
        <f>E59-Q59-P59-O59</f>
        <v>-102.93599999999998</v>
      </c>
      <c r="S59" s="4">
        <v>-131.45599999999999</v>
      </c>
      <c r="T59" s="4">
        <f>-264.288-S59</f>
        <v>-132.83200000000002</v>
      </c>
      <c r="U59" s="4">
        <f>-392.084-T59-S59</f>
        <v>-127.79599999999996</v>
      </c>
      <c r="V59" s="30">
        <f>F59-U59-T59-S59</f>
        <v>-132.52500000000012</v>
      </c>
      <c r="W59" s="4">
        <v>-106.79900000000001</v>
      </c>
      <c r="X59" s="4">
        <f>-239.447-W59</f>
        <v>-132.648</v>
      </c>
      <c r="Y59" s="4">
        <f>-353.639-X59-W59</f>
        <v>-114.19200000000001</v>
      </c>
      <c r="Z59" s="30">
        <f>G59-Y59-X59-W59</f>
        <v>-114.20499999999998</v>
      </c>
      <c r="AA59" s="4">
        <v>-86.896000000000001</v>
      </c>
      <c r="AB59" s="4">
        <f>-179.055-AA59</f>
        <v>-92.159000000000006</v>
      </c>
      <c r="AC59" s="4">
        <f>-258.206-AB59-AA59</f>
        <v>-79.151000000000025</v>
      </c>
      <c r="AD59" s="30">
        <f>H59-AC59-AB59-AA59</f>
        <v>-84.240000000000023</v>
      </c>
      <c r="AE59" s="4">
        <v>-89.474999999999994</v>
      </c>
      <c r="AF59" s="4">
        <f>-187.442-AE59</f>
        <v>-97.967000000000013</v>
      </c>
      <c r="AG59" s="4">
        <f>-299.451-AF59-AE59</f>
        <v>-112.00900000000001</v>
      </c>
      <c r="AH59" s="30">
        <f>I59-AG59-AF59-AE59</f>
        <v>-132.35899999999998</v>
      </c>
      <c r="AI59" s="4">
        <v>-126.396</v>
      </c>
      <c r="AJ59" s="4">
        <f>-270.274-AI59</f>
        <v>-143.87799999999999</v>
      </c>
      <c r="AK59" s="4">
        <f>-405.494-AJ59-AI59</f>
        <v>-135.22000000000003</v>
      </c>
      <c r="AL59" s="30">
        <f>J59-AK59-AJ59-AI59</f>
        <v>-153.70499999999993</v>
      </c>
      <c r="AM59" s="4">
        <v>-94.65</v>
      </c>
      <c r="AN59" s="4">
        <f>-280.007-AM59</f>
        <v>-185.357</v>
      </c>
      <c r="AO59" s="4">
        <f>-489.049-AN59-AM59</f>
        <v>-209.042</v>
      </c>
      <c r="AP59" s="30">
        <f>K59-AO59-AN59-AM59</f>
        <v>-155.98999999999995</v>
      </c>
      <c r="AQ59" s="4">
        <v>-147.11699999999999</v>
      </c>
      <c r="AR59" s="4">
        <f>-326.216-AQ59</f>
        <v>-179.09900000000002</v>
      </c>
      <c r="AS59" s="4">
        <f>-508.49-AR59-AQ59</f>
        <v>-182.27399999999997</v>
      </c>
      <c r="AT59" s="30">
        <f>L59-AS59-AR59-AQ59</f>
        <v>-172.89899999999997</v>
      </c>
      <c r="AU59" s="4">
        <v>-167.893</v>
      </c>
      <c r="AV59" s="30"/>
      <c r="AW59" s="4">
        <v>-131.45599999999999</v>
      </c>
      <c r="AX59" s="4">
        <f>-264.288-AW59</f>
        <v>-132.83200000000002</v>
      </c>
    </row>
    <row r="60" spans="1:50" s="5" customFormat="1" ht="13.5" customHeight="1">
      <c r="B60" s="5" t="s">
        <v>245</v>
      </c>
      <c r="C60" s="31">
        <f t="shared" ref="C60:M60" si="146">SUM(C56:C59)</f>
        <v>3317.527</v>
      </c>
      <c r="D60" s="31">
        <f t="shared" si="146"/>
        <v>3254.3330000000001</v>
      </c>
      <c r="E60" s="31">
        <f t="shared" si="146"/>
        <v>2252.2550000000001</v>
      </c>
      <c r="F60" s="31">
        <f t="shared" si="146"/>
        <v>3419.4050000000002</v>
      </c>
      <c r="G60" s="31">
        <f t="shared" si="146"/>
        <v>2920.163</v>
      </c>
      <c r="H60" s="31">
        <f t="shared" si="146"/>
        <v>3727.2489999999998</v>
      </c>
      <c r="I60" s="31">
        <f t="shared" si="146"/>
        <v>2250.10518</v>
      </c>
      <c r="J60" s="31">
        <f t="shared" si="146"/>
        <v>2995.2205499999995</v>
      </c>
      <c r="K60" s="31">
        <f>SUM(K56:K59)</f>
        <v>4153.3886399999992</v>
      </c>
      <c r="L60" s="31">
        <f>SUM(L56:L59)</f>
        <v>3787.9717199999996</v>
      </c>
      <c r="M60" s="31">
        <f t="shared" si="146"/>
        <v>4003.8045800000009</v>
      </c>
      <c r="N60" s="31"/>
      <c r="O60" s="31">
        <f t="shared" ref="O60:T60" si="147">SUM(O56:O59)</f>
        <v>262.20000000000005</v>
      </c>
      <c r="P60" s="31">
        <f t="shared" si="147"/>
        <v>683.25099999999998</v>
      </c>
      <c r="Q60" s="31">
        <f>SUM(Q56:Q59)</f>
        <v>298.38900000000007</v>
      </c>
      <c r="R60" s="31">
        <f t="shared" si="147"/>
        <v>1008.415</v>
      </c>
      <c r="S60" s="31">
        <f t="shared" si="147"/>
        <v>451.03700000000003</v>
      </c>
      <c r="T60" s="31">
        <f t="shared" si="147"/>
        <v>841.1149999999999</v>
      </c>
      <c r="U60" s="31">
        <f t="shared" ref="U60:AC60" si="148">SUM(U56:U59)</f>
        <v>813.45</v>
      </c>
      <c r="V60" s="31">
        <f t="shared" si="148"/>
        <v>1313.8030000000003</v>
      </c>
      <c r="W60" s="31">
        <f t="shared" si="148"/>
        <v>119.15299999999996</v>
      </c>
      <c r="X60" s="31">
        <f t="shared" si="148"/>
        <v>1137.0910000000001</v>
      </c>
      <c r="Y60" s="31">
        <f t="shared" si="148"/>
        <v>758.04500000000019</v>
      </c>
      <c r="Z60" s="31">
        <f t="shared" si="148"/>
        <v>905.8739999999998</v>
      </c>
      <c r="AA60" s="31">
        <f t="shared" si="148"/>
        <v>587.52799999999991</v>
      </c>
      <c r="AB60" s="31">
        <f t="shared" si="148"/>
        <v>1136.5529999999999</v>
      </c>
      <c r="AC60" s="31">
        <f t="shared" si="148"/>
        <v>847.42599999999982</v>
      </c>
      <c r="AD60" s="31">
        <f t="shared" ref="AD60:AI60" si="149">SUM(AD56:AD59)</f>
        <v>1155.7420000000002</v>
      </c>
      <c r="AE60" s="31">
        <f t="shared" si="149"/>
        <v>218.227</v>
      </c>
      <c r="AF60" s="31">
        <f t="shared" si="149"/>
        <v>477.53200000000004</v>
      </c>
      <c r="AG60" s="31">
        <f t="shared" si="149"/>
        <v>964.43700000000035</v>
      </c>
      <c r="AH60" s="31">
        <f t="shared" si="149"/>
        <v>589.90917999999965</v>
      </c>
      <c r="AI60" s="31">
        <f t="shared" si="149"/>
        <v>544.94300000000021</v>
      </c>
      <c r="AJ60" s="31">
        <f t="shared" ref="AJ60:AO60" si="150">SUM(AJ56:AJ59)</f>
        <v>1149.944</v>
      </c>
      <c r="AK60" s="31">
        <f t="shared" si="150"/>
        <v>-19.707999999999814</v>
      </c>
      <c r="AL60" s="31">
        <f t="shared" si="150"/>
        <v>1320.0415499999995</v>
      </c>
      <c r="AM60" s="31">
        <f t="shared" si="150"/>
        <v>974.73745000000042</v>
      </c>
      <c r="AN60" s="31">
        <f t="shared" si="150"/>
        <v>1459.2820000000002</v>
      </c>
      <c r="AO60" s="31">
        <f t="shared" si="150"/>
        <v>895.93699999999978</v>
      </c>
      <c r="AP60" s="31">
        <f t="shared" ref="AP60:AU60" si="151">SUM(AP56:AP59)</f>
        <v>823.43218999999954</v>
      </c>
      <c r="AQ60" s="31">
        <f t="shared" si="151"/>
        <v>600.80781000000059</v>
      </c>
      <c r="AR60" s="31">
        <f t="shared" si="151"/>
        <v>1007.6350000000006</v>
      </c>
      <c r="AS60" s="31">
        <f t="shared" si="151"/>
        <v>1016.2349999999998</v>
      </c>
      <c r="AT60" s="31">
        <f t="shared" si="151"/>
        <v>1163.293909999999</v>
      </c>
      <c r="AU60" s="31">
        <f t="shared" si="151"/>
        <v>816.64067000000057</v>
      </c>
      <c r="AV60" s="31"/>
      <c r="AW60" s="31">
        <f>SUM(AW56:AW59)</f>
        <v>451.55800000000011</v>
      </c>
      <c r="AX60" s="31">
        <f>SUM(AX56:AX59)</f>
        <v>838.89400000000012</v>
      </c>
    </row>
    <row r="61" spans="1:50" ht="13.5" customHeight="1">
      <c r="B61" s="6" t="s">
        <v>246</v>
      </c>
      <c r="C61" s="4">
        <f>-4514.597+133.971-93.131-618.673+200.486</f>
        <v>-4891.9440000000004</v>
      </c>
      <c r="D61" s="4">
        <f>-2797.282+30.79-81.536-582.895+197.274</f>
        <v>-3233.6490000000003</v>
      </c>
      <c r="E61" s="4">
        <f>-1918.833+35.74-97.818-639.089+200.239</f>
        <v>-2419.761</v>
      </c>
      <c r="F61" s="4">
        <f>-1516.698+45.937-125.695-629.785+228.789</f>
        <v>-1997.452</v>
      </c>
      <c r="G61" s="4">
        <f>-823.691+110.636-119.968-644.437+234.345</f>
        <v>-1243.115</v>
      </c>
      <c r="H61" s="4">
        <f>-1087.816+40.304-822.094+250.665</f>
        <v>-1618.941</v>
      </c>
      <c r="I61" s="4">
        <f>-1300.535+43.894-889.409+227.521</f>
        <v>-1918.5290000000002</v>
      </c>
      <c r="J61" s="4">
        <f>-2505.89+73.741-1095.263+228.358</f>
        <v>-3299.0539999999996</v>
      </c>
      <c r="K61" s="4">
        <f>-3573.721+137.383-1072.814+287.126</f>
        <v>-4222.0259999999998</v>
      </c>
      <c r="L61" s="4">
        <f>-4345.155+66.119-1041.703+306.417</f>
        <v>-5014.3219999999992</v>
      </c>
      <c r="M61" s="76">
        <f>SUM(AR61:AU61)</f>
        <v>-4837.646999999999</v>
      </c>
      <c r="N61" s="76"/>
      <c r="O61" s="4">
        <f>-439.057+5.58-19.455-153.007+48.415</f>
        <v>-557.52400000000011</v>
      </c>
      <c r="P61" s="4">
        <f>-886.323+18.627-37.611-300.826+98.952-O61</f>
        <v>-549.65699999999993</v>
      </c>
      <c r="Q61" s="4">
        <f>-1355.457+20.373-66.984-480.718+147.934-P61-O61</f>
        <v>-627.67100000000005</v>
      </c>
      <c r="R61" s="30">
        <f>E61-Q61-P61-O61</f>
        <v>-684.90899999999988</v>
      </c>
      <c r="S61" s="4">
        <f>-466.484+12.282-28.294-153.167+59.776</f>
        <v>-575.88700000000006</v>
      </c>
      <c r="T61" s="4">
        <f>-834.549+25.364-57.293-296.731+177.471-S61</f>
        <v>-409.85099999999977</v>
      </c>
      <c r="U61" s="4">
        <f>-1158.216+41.039-89.195-446.975+168.852-T61-S61</f>
        <v>-498.75699999999972</v>
      </c>
      <c r="V61" s="30">
        <f>F61-U61-T61-S61</f>
        <v>-512.95700000000045</v>
      </c>
      <c r="W61" s="4">
        <f>-241.368+45.608-27.78-141.698+51.618</f>
        <v>-313.62</v>
      </c>
      <c r="X61" s="4">
        <f>-465.82+65.763-63.333-288.276+110.977-W61</f>
        <v>-327.06899999999996</v>
      </c>
      <c r="Y61" s="4">
        <f>-602.953+70.415-95.169-440.231+170.129-X61-W61</f>
        <v>-257.12000000000012</v>
      </c>
      <c r="Z61" s="30">
        <f>G61-Y61-X61-W61</f>
        <v>-345.30599999999993</v>
      </c>
      <c r="AA61" s="4">
        <f>-174.414+1.131-29.492-153.999+74.414</f>
        <v>-282.36</v>
      </c>
      <c r="AB61" s="4">
        <f>-399.193+9.662-68.197-341.6+121.889-AA61</f>
        <v>-395.07899999999995</v>
      </c>
      <c r="AC61" s="4">
        <f>-656.356+21.973-89.604-514.966+186.436-AB61-AA61</f>
        <v>-375.07800000000009</v>
      </c>
      <c r="AD61" s="30">
        <f>H61-AC61-AB61-AA61</f>
        <v>-566.42399999999986</v>
      </c>
      <c r="AE61" s="4">
        <f>-334.918+5.504-201.117+61.821</f>
        <v>-468.70999999999992</v>
      </c>
      <c r="AF61" s="4">
        <f>-650.723+12.998-429.235+112.212-AE61</f>
        <v>-486.03800000000012</v>
      </c>
      <c r="AG61" s="4">
        <f>-945.941+38.91-651.868+170.784-AF61-AE61</f>
        <v>-433.36700000000019</v>
      </c>
      <c r="AH61" s="30">
        <f>I61-AG61-AF61-AE61</f>
        <v>-530.41399999999999</v>
      </c>
      <c r="AI61" s="4">
        <f>-513.439+33.712-228.068+56.305</f>
        <v>-651.49</v>
      </c>
      <c r="AJ61" s="4">
        <f>-992.416+39.544-444.092+105.704-AI61</f>
        <v>-639.77</v>
      </c>
      <c r="AK61" s="4">
        <f>-1666.262+46.126-676.448+174.052-AJ61-AI61</f>
        <v>-831.27199999999971</v>
      </c>
      <c r="AL61" s="30">
        <f>J61-AK61-AJ61-AI61</f>
        <v>-1176.5220000000002</v>
      </c>
      <c r="AM61" s="4">
        <f>-777.891+25.674-217.177+74.276</f>
        <v>-895.11800000000005</v>
      </c>
      <c r="AN61" s="4">
        <f>-186.969-1588.02+37.727-494.583+155.06-AM61</f>
        <v>-1181.6669999999999</v>
      </c>
      <c r="AO61" s="4">
        <f>-2484.438+108.312-737.586+218.111-AN61-AM61</f>
        <v>-818.8160000000006</v>
      </c>
      <c r="AP61" s="30">
        <f>K61-AO61-AN61-AM61</f>
        <v>-1326.4249999999993</v>
      </c>
      <c r="AQ61" s="4">
        <f>-1099.195+25.734-253.011+76.362</f>
        <v>-1250.1099999999999</v>
      </c>
      <c r="AR61" s="4">
        <f>(-2096.984+39.85-512.951+158.193)-AQ61</f>
        <v>-1161.7819999999999</v>
      </c>
      <c r="AS61" s="4">
        <f>-3088.156+60.29-779.858+233.266-AR61-AQ61</f>
        <v>-1162.5660000000005</v>
      </c>
      <c r="AT61" s="30">
        <f>L61-AS61-AR61-AQ61</f>
        <v>-1439.8639999999984</v>
      </c>
      <c r="AU61" s="4">
        <f>-925.434+33.941-262.098+80.156</f>
        <v>-1073.4349999999999</v>
      </c>
      <c r="AV61" s="30"/>
      <c r="AW61" s="4">
        <f>-466.484+12.282-28.294-153.167+59.776</f>
        <v>-575.88700000000006</v>
      </c>
      <c r="AX61" s="4">
        <f>-834.549+25.364-57.293-296.731+177.471-AW61</f>
        <v>-409.85099999999977</v>
      </c>
    </row>
    <row r="62" spans="1:50" ht="13.5" customHeight="1">
      <c r="B62" s="6" t="s">
        <v>247</v>
      </c>
      <c r="C62" s="4">
        <v>-18.152999999999999</v>
      </c>
      <c r="D62" s="4">
        <v>-52.927</v>
      </c>
      <c r="E62" s="4">
        <v>-39.796999999999997</v>
      </c>
      <c r="F62" s="4">
        <v>-132.983</v>
      </c>
      <c r="G62" s="4">
        <v>-144.971</v>
      </c>
      <c r="H62" s="4">
        <v>-57.174999999999997</v>
      </c>
      <c r="I62" s="4">
        <v>-33.338999999999999</v>
      </c>
      <c r="J62" s="4">
        <v>-24.516999999999999</v>
      </c>
      <c r="K62" s="4">
        <v>-60.503999999999998</v>
      </c>
      <c r="L62" s="4">
        <f>-39.678</f>
        <v>-39.677999999999997</v>
      </c>
      <c r="M62" s="76">
        <f>SUM(AR62:AU62)</f>
        <v>-63.219999999999992</v>
      </c>
      <c r="N62" s="76"/>
      <c r="O62" s="4">
        <v>-11.516</v>
      </c>
      <c r="P62" s="4">
        <f>-18.713-O62</f>
        <v>-7.197000000000001</v>
      </c>
      <c r="Q62" s="4">
        <f>-26.608-P62-O62</f>
        <v>-7.8950000000000014</v>
      </c>
      <c r="R62" s="30">
        <f>E62-Q62-P62-O62</f>
        <v>-13.188999999999991</v>
      </c>
      <c r="S62" s="4">
        <v>-30.247</v>
      </c>
      <c r="T62" s="4">
        <f>-38.73-S62</f>
        <v>-8.482999999999997</v>
      </c>
      <c r="U62" s="4">
        <f>-98.189-T62-S62</f>
        <v>-59.458999999999989</v>
      </c>
      <c r="V62" s="30">
        <f>F62-U62-T62-S62</f>
        <v>-34.794000000000025</v>
      </c>
      <c r="W62" s="4">
        <v>-31.274000000000001</v>
      </c>
      <c r="X62" s="4">
        <f>-59.125-W62</f>
        <v>-27.850999999999999</v>
      </c>
      <c r="Y62" s="4">
        <f>-90.223-X62-W62</f>
        <v>-31.097999999999999</v>
      </c>
      <c r="Z62" s="30">
        <f>G62-Y62-X62-W62</f>
        <v>-54.748000000000005</v>
      </c>
      <c r="AA62" s="4">
        <v>-16.702000000000002</v>
      </c>
      <c r="AB62" s="4">
        <f>-44.123-AA62</f>
        <v>-27.420999999999996</v>
      </c>
      <c r="AC62" s="4">
        <f>-79.385-AB62-AA62</f>
        <v>-35.262000000000015</v>
      </c>
      <c r="AD62" s="30">
        <f>H62-AC62-AB62-AA62</f>
        <v>22.210000000000015</v>
      </c>
      <c r="AE62" s="4">
        <f>-14.421</f>
        <v>-14.420999999999999</v>
      </c>
      <c r="AF62" s="4">
        <f>-18.63-AE62</f>
        <v>-4.2089999999999996</v>
      </c>
      <c r="AG62" s="4">
        <f>-43.793-AF62-AE62</f>
        <v>-25.163000000000004</v>
      </c>
      <c r="AH62" s="30">
        <f>I62-AG62-AF62-AE62</f>
        <v>10.454000000000004</v>
      </c>
      <c r="AI62" s="4">
        <v>-8.0779999999999994</v>
      </c>
      <c r="AJ62" s="4">
        <f>-13.39-AI62</f>
        <v>-5.3120000000000012</v>
      </c>
      <c r="AK62" s="4">
        <f>-18.627-AJ62-AI62</f>
        <v>-5.2369999999999983</v>
      </c>
      <c r="AL62" s="30">
        <f>J62-AK62-AJ62-AI62</f>
        <v>-5.8900000000000006</v>
      </c>
      <c r="AM62" s="4">
        <v>-12.042</v>
      </c>
      <c r="AN62" s="4">
        <f>-19.34-AM62</f>
        <v>-7.298</v>
      </c>
      <c r="AO62" s="4">
        <f>-36.787-AN62-AM62</f>
        <v>-17.446999999999996</v>
      </c>
      <c r="AP62" s="30">
        <f>K62-AO62-AN62-AM62</f>
        <v>-23.716999999999999</v>
      </c>
      <c r="AQ62" s="4">
        <v>-6.9889999999999999</v>
      </c>
      <c r="AR62" s="4">
        <f>-10.666-AQ62</f>
        <v>-3.6770000000000005</v>
      </c>
      <c r="AS62" s="4">
        <f>-21.135-AR62-AQ62</f>
        <v>-10.469000000000001</v>
      </c>
      <c r="AT62" s="30">
        <f>L62-AS62-AR62-AQ62</f>
        <v>-18.542999999999996</v>
      </c>
      <c r="AU62" s="4">
        <v>-30.530999999999999</v>
      </c>
      <c r="AV62" s="30"/>
      <c r="AW62" s="4">
        <v>-30.247</v>
      </c>
      <c r="AX62" s="4">
        <f>-38.73-AW62</f>
        <v>-8.482999999999997</v>
      </c>
    </row>
    <row r="63" spans="1:50" ht="13.5" customHeight="1">
      <c r="B63" s="6" t="s">
        <v>248</v>
      </c>
      <c r="C63" s="4">
        <v>0</v>
      </c>
      <c r="D63" s="4">
        <v>-25</v>
      </c>
      <c r="E63" s="4">
        <f>-3.872-9.375+105</f>
        <v>91.753</v>
      </c>
      <c r="F63" s="4">
        <f>-87.825-97.593-43.5</f>
        <v>-228.91800000000001</v>
      </c>
      <c r="G63" s="4">
        <v>0</v>
      </c>
      <c r="H63" s="4">
        <v>-219.369</v>
      </c>
      <c r="I63" s="4">
        <v>-68.594999999999999</v>
      </c>
      <c r="J63" s="4">
        <v>0</v>
      </c>
      <c r="K63" s="4">
        <v>0</v>
      </c>
      <c r="L63" s="4">
        <v>-1010.0940000000001</v>
      </c>
      <c r="M63" s="76">
        <f>SUM(AR63:AU63)</f>
        <v>-1010.0940000000001</v>
      </c>
      <c r="N63" s="76"/>
      <c r="O63" s="4">
        <v>0</v>
      </c>
      <c r="P63" s="4">
        <f>-3.872-O63</f>
        <v>-3.8719999999999999</v>
      </c>
      <c r="Q63" s="4">
        <f>-3.872-9.375-P63-O63</f>
        <v>-9.375</v>
      </c>
      <c r="R63" s="30">
        <f>E63-Q63-P63-O63</f>
        <v>105</v>
      </c>
      <c r="S63" s="4">
        <v>0</v>
      </c>
      <c r="T63" s="4">
        <f>-97.593-S63</f>
        <v>-97.593000000000004</v>
      </c>
      <c r="U63" s="4">
        <f>-97.593-43.5-T63-S63</f>
        <v>-43.500000000000014</v>
      </c>
      <c r="V63" s="30">
        <f>F63-U63-T63-S63</f>
        <v>-87.825000000000003</v>
      </c>
      <c r="W63" s="4">
        <v>0</v>
      </c>
      <c r="X63" s="4">
        <v>0</v>
      </c>
      <c r="Y63" s="4">
        <v>0</v>
      </c>
      <c r="Z63" s="30">
        <f>G63-Y63-X63-W63</f>
        <v>0</v>
      </c>
      <c r="AA63" s="4">
        <v>0</v>
      </c>
      <c r="AB63" s="4">
        <v>0</v>
      </c>
      <c r="AC63" s="4">
        <v>-150</v>
      </c>
      <c r="AD63" s="30">
        <f>H63-AC63-AB63-AA63</f>
        <v>-69.369</v>
      </c>
      <c r="AE63" s="4">
        <v>-68.55</v>
      </c>
      <c r="AF63" s="4">
        <f>-68.55-AE63</f>
        <v>0</v>
      </c>
      <c r="AG63" s="4">
        <f>-68.55-AF63-AE63</f>
        <v>0</v>
      </c>
      <c r="AH63" s="30">
        <f>I63-AG63-AF63-AE63</f>
        <v>-4.5000000000001705E-2</v>
      </c>
      <c r="AI63" s="4">
        <v>0</v>
      </c>
      <c r="AJ63" s="4">
        <f>0-AI63</f>
        <v>0</v>
      </c>
      <c r="AK63" s="4">
        <f>0-AJ63-AI63</f>
        <v>0</v>
      </c>
      <c r="AL63" s="30">
        <f>J63-AK63-AJ63-AI63</f>
        <v>0</v>
      </c>
      <c r="AM63" s="4">
        <v>0</v>
      </c>
      <c r="AN63" s="4">
        <v>0</v>
      </c>
      <c r="AO63" s="4">
        <f>0-AN63-AM63</f>
        <v>0</v>
      </c>
      <c r="AP63" s="30">
        <f>K63-AO63-AN63-AM63</f>
        <v>0</v>
      </c>
      <c r="AQ63" s="4">
        <v>0</v>
      </c>
      <c r="AR63" s="4">
        <f>0-AQ63</f>
        <v>0</v>
      </c>
      <c r="AS63" s="4">
        <f>-1010.094-AR63-AQ63</f>
        <v>-1010.0940000000001</v>
      </c>
      <c r="AT63" s="30">
        <f>L63-AS63-AR63-AQ63</f>
        <v>0</v>
      </c>
      <c r="AU63" s="4">
        <v>0</v>
      </c>
      <c r="AV63" s="30"/>
      <c r="AW63" s="4">
        <v>0</v>
      </c>
      <c r="AX63" s="4">
        <f>-97.593-AW63</f>
        <v>-97.593000000000004</v>
      </c>
    </row>
    <row r="64" spans="1:50" s="5" customFormat="1" ht="13.5" customHeight="1">
      <c r="B64" s="14" t="s">
        <v>249</v>
      </c>
      <c r="C64" s="7">
        <f t="shared" ref="C64:M64" si="152">SUM(C60:C63)</f>
        <v>-1592.5700000000004</v>
      </c>
      <c r="D64" s="7">
        <f t="shared" si="152"/>
        <v>-57.243000000000258</v>
      </c>
      <c r="E64" s="7">
        <f t="shared" si="152"/>
        <v>-115.54999999999986</v>
      </c>
      <c r="F64" s="7">
        <f t="shared" si="152"/>
        <v>1060.0520000000001</v>
      </c>
      <c r="G64" s="7">
        <f t="shared" si="152"/>
        <v>1532.077</v>
      </c>
      <c r="H64" s="7">
        <f t="shared" si="152"/>
        <v>1831.7639999999999</v>
      </c>
      <c r="I64" s="7">
        <f t="shared" si="152"/>
        <v>229.6421799999998</v>
      </c>
      <c r="J64" s="7">
        <f t="shared" si="152"/>
        <v>-328.35045000000008</v>
      </c>
      <c r="K64" s="7">
        <f>SUM(K60:K63)</f>
        <v>-129.14136000000062</v>
      </c>
      <c r="L64" s="7">
        <f>SUM(L60:L63)</f>
        <v>-2276.1222799999996</v>
      </c>
      <c r="M64" s="7">
        <f t="shared" si="152"/>
        <v>-1907.1564199999982</v>
      </c>
      <c r="N64" s="7"/>
      <c r="O64" s="7">
        <f t="shared" ref="O64:T64" si="153">SUM(O60:O63)</f>
        <v>-306.84000000000009</v>
      </c>
      <c r="P64" s="7">
        <f t="shared" si="153"/>
        <v>122.52500000000005</v>
      </c>
      <c r="Q64" s="7">
        <f>SUM(Q60:Q63)</f>
        <v>-346.55199999999996</v>
      </c>
      <c r="R64" s="7">
        <f t="shared" si="153"/>
        <v>415.31700000000012</v>
      </c>
      <c r="S64" s="7">
        <f t="shared" si="153"/>
        <v>-155.09700000000004</v>
      </c>
      <c r="T64" s="7">
        <f t="shared" si="153"/>
        <v>325.1880000000001</v>
      </c>
      <c r="U64" s="7">
        <f t="shared" ref="U64:AC64" si="154">SUM(U60:U63)</f>
        <v>211.73400000000032</v>
      </c>
      <c r="V64" s="7">
        <f t="shared" si="154"/>
        <v>678.22699999999986</v>
      </c>
      <c r="W64" s="7">
        <f t="shared" si="154"/>
        <v>-225.74100000000004</v>
      </c>
      <c r="X64" s="7">
        <f t="shared" si="154"/>
        <v>782.17100000000016</v>
      </c>
      <c r="Y64" s="7">
        <f t="shared" si="154"/>
        <v>469.82700000000006</v>
      </c>
      <c r="Z64" s="7">
        <f t="shared" si="154"/>
        <v>505.81999999999988</v>
      </c>
      <c r="AA64" s="7">
        <f t="shared" si="154"/>
        <v>288.46599999999989</v>
      </c>
      <c r="AB64" s="7">
        <f t="shared" si="154"/>
        <v>714.05299999999988</v>
      </c>
      <c r="AC64" s="7">
        <f t="shared" si="154"/>
        <v>287.08599999999973</v>
      </c>
      <c r="AD64" s="7">
        <f t="shared" ref="AD64:AI64" si="155">SUM(AD60:AD63)</f>
        <v>542.15900000000033</v>
      </c>
      <c r="AE64" s="7">
        <f t="shared" si="155"/>
        <v>-333.45399999999995</v>
      </c>
      <c r="AF64" s="7">
        <f t="shared" si="155"/>
        <v>-12.715000000000085</v>
      </c>
      <c r="AG64" s="7">
        <f t="shared" si="155"/>
        <v>505.90700000000015</v>
      </c>
      <c r="AH64" s="7">
        <f t="shared" si="155"/>
        <v>69.90417999999967</v>
      </c>
      <c r="AI64" s="7">
        <f t="shared" si="155"/>
        <v>-114.6249999999998</v>
      </c>
      <c r="AJ64" s="7">
        <f t="shared" ref="AJ64:AO64" si="156">SUM(AJ60:AJ63)</f>
        <v>504.86199999999997</v>
      </c>
      <c r="AK64" s="7">
        <f t="shared" si="156"/>
        <v>-856.21699999999953</v>
      </c>
      <c r="AL64" s="7">
        <f t="shared" si="156"/>
        <v>137.62954999999931</v>
      </c>
      <c r="AM64" s="7">
        <f t="shared" si="156"/>
        <v>67.577450000000368</v>
      </c>
      <c r="AN64" s="7">
        <f t="shared" si="156"/>
        <v>270.31700000000023</v>
      </c>
      <c r="AO64" s="7">
        <f t="shared" si="156"/>
        <v>59.673999999999189</v>
      </c>
      <c r="AP64" s="7">
        <f t="shared" ref="AP64:AU64" si="157">SUM(AP60:AP63)</f>
        <v>-526.70980999999972</v>
      </c>
      <c r="AQ64" s="7">
        <f t="shared" si="157"/>
        <v>-656.29118999999935</v>
      </c>
      <c r="AR64" s="7">
        <f t="shared" si="157"/>
        <v>-157.82399999999936</v>
      </c>
      <c r="AS64" s="7">
        <f t="shared" si="157"/>
        <v>-1166.8940000000007</v>
      </c>
      <c r="AT64" s="7">
        <f t="shared" si="157"/>
        <v>-295.11308999999949</v>
      </c>
      <c r="AU64" s="7">
        <f t="shared" si="157"/>
        <v>-287.32532999999938</v>
      </c>
      <c r="AV64" s="7"/>
      <c r="AW64" s="7">
        <f>SUM(AW60:AW63)</f>
        <v>-154.57599999999996</v>
      </c>
      <c r="AX64" s="7">
        <f>SUM(AX60:AX63)</f>
        <v>322.96700000000033</v>
      </c>
    </row>
    <row r="65" spans="1:50" s="5" customFormat="1" ht="13.5" customHeight="1">
      <c r="B65" s="6" t="s">
        <v>250</v>
      </c>
      <c r="C65" s="4">
        <f>0.5-71.794</f>
        <v>-71.293999999999997</v>
      </c>
      <c r="D65" s="4">
        <v>1.1100000000000001</v>
      </c>
      <c r="E65" s="4">
        <f>0.225+17.861</f>
        <v>18.086000000000002</v>
      </c>
      <c r="F65" s="4">
        <f>-585+0.3</f>
        <v>-584.70000000000005</v>
      </c>
      <c r="G65" s="4">
        <f>585+0.18+15.279</f>
        <v>600.45899999999995</v>
      </c>
      <c r="H65" s="4">
        <f>80.938+0.3</f>
        <v>81.238</v>
      </c>
      <c r="I65" s="4">
        <f>32.883+0.3</f>
        <v>33.183</v>
      </c>
      <c r="J65" s="4">
        <f>19.781-1876.25</f>
        <v>-1856.4690000000001</v>
      </c>
      <c r="K65" s="4">
        <f>1876.25-27.5-187.87</f>
        <v>1660.88</v>
      </c>
      <c r="L65" s="4">
        <f>-1.176+99.242</f>
        <v>98.066000000000003</v>
      </c>
      <c r="M65" s="76">
        <f>SUM(AR65:AU65)</f>
        <v>99.241</v>
      </c>
      <c r="N65" s="76"/>
      <c r="O65" s="4">
        <v>17.861000000000001</v>
      </c>
      <c r="P65" s="4">
        <f>17.861-O65</f>
        <v>0</v>
      </c>
      <c r="Q65" s="4">
        <f>17.861-P65-O65</f>
        <v>0</v>
      </c>
      <c r="R65" s="30">
        <f>E65-Q65-P65-O65</f>
        <v>0.22500000000000142</v>
      </c>
      <c r="S65" s="4">
        <v>0.3</v>
      </c>
      <c r="T65" s="4">
        <f>0.3-S65</f>
        <v>0</v>
      </c>
      <c r="U65" s="4">
        <f>0.3-T65-S65</f>
        <v>0</v>
      </c>
      <c r="V65" s="30">
        <f>F65-U65-T65-S65</f>
        <v>-585</v>
      </c>
      <c r="W65" s="4">
        <v>585</v>
      </c>
      <c r="X65" s="4">
        <f>585-W65</f>
        <v>0</v>
      </c>
      <c r="Y65" s="4">
        <f>0.18+585-X65-W65</f>
        <v>0.17999999999994998</v>
      </c>
      <c r="Z65" s="30">
        <f>G65-Y65-X65-W65</f>
        <v>15.278999999999996</v>
      </c>
      <c r="AA65" s="4">
        <v>0</v>
      </c>
      <c r="AB65" s="4">
        <f>0-AA65</f>
        <v>0</v>
      </c>
      <c r="AC65" s="4">
        <f>81.088+0.3-AB65-AA65</f>
        <v>81.387999999999991</v>
      </c>
      <c r="AD65" s="30">
        <f>H65-AC65-AB65-AA65</f>
        <v>-0.14999999999999147</v>
      </c>
      <c r="AE65" s="4">
        <v>0</v>
      </c>
      <c r="AF65" s="4">
        <f>32.883+0.3-AE65</f>
        <v>33.183</v>
      </c>
      <c r="AG65" s="4">
        <f>32.883+0.3-AF65-AE65</f>
        <v>0</v>
      </c>
      <c r="AH65" s="30">
        <f>I65-AG65-AF65-AE65</f>
        <v>0</v>
      </c>
      <c r="AI65" s="4">
        <v>19.782</v>
      </c>
      <c r="AJ65" s="4">
        <f>19.782-AI65</f>
        <v>0</v>
      </c>
      <c r="AK65" s="4">
        <f>19.782-1876.25-AJ65-AI65</f>
        <v>-1876.25</v>
      </c>
      <c r="AL65" s="30">
        <f>J65-AK65-AJ65-AI65</f>
        <v>-1.0000000000509601E-3</v>
      </c>
      <c r="AM65" s="4">
        <v>1876.25</v>
      </c>
      <c r="AN65" s="4">
        <f>1876.25-27.5-AM65</f>
        <v>-27.5</v>
      </c>
      <c r="AO65" s="4">
        <f>-27.5+1876.25-187.87-AN65-AM65</f>
        <v>-187.86999999999989</v>
      </c>
      <c r="AP65" s="30">
        <f>K65-AO65-AN65-AM65</f>
        <v>0</v>
      </c>
      <c r="AQ65" s="4">
        <v>-1.175</v>
      </c>
      <c r="AR65" s="4">
        <f>88.529-1.175-AQ65</f>
        <v>88.528999999999996</v>
      </c>
      <c r="AS65" s="4">
        <f>-1.175-AR65-AQ65</f>
        <v>-88.528999999999996</v>
      </c>
      <c r="AT65" s="30">
        <f>L65-AS65-AR65-AQ65</f>
        <v>99.241</v>
      </c>
      <c r="AU65" s="4">
        <v>0</v>
      </c>
      <c r="AV65" s="30"/>
      <c r="AW65" s="4">
        <v>0.3</v>
      </c>
      <c r="AX65" s="4">
        <f>0.3-AW65</f>
        <v>0</v>
      </c>
    </row>
    <row r="66" spans="1:50" ht="13.5" customHeight="1">
      <c r="B66" s="6" t="s">
        <v>251</v>
      </c>
      <c r="C66" s="4">
        <f>-75.414+27.119</f>
        <v>-48.295000000000002</v>
      </c>
      <c r="D66" s="4">
        <f>-75.533+1.371</f>
        <v>-74.162000000000006</v>
      </c>
      <c r="E66" s="4">
        <f>-222.707+75.112</f>
        <v>-147.595</v>
      </c>
      <c r="F66" s="4">
        <f>-314.93+105.852</f>
        <v>-209.078</v>
      </c>
      <c r="G66" s="4">
        <f>-250.461+102.246</f>
        <v>-148.21500000000003</v>
      </c>
      <c r="H66" s="4">
        <v>29.146999999999998</v>
      </c>
      <c r="I66" s="4">
        <v>5.5460000000000003</v>
      </c>
      <c r="J66" s="4">
        <v>273.31599999999997</v>
      </c>
      <c r="K66" s="4">
        <v>64.010000000000005</v>
      </c>
      <c r="L66" s="4">
        <v>10.26</v>
      </c>
      <c r="M66" s="76">
        <f>SUM(AR66:AU66)</f>
        <v>10.26</v>
      </c>
      <c r="N66" s="76"/>
      <c r="O66" s="4">
        <v>0</v>
      </c>
      <c r="P66" s="4">
        <f>-61.82-O66</f>
        <v>-61.82</v>
      </c>
      <c r="Q66" s="4">
        <f>-172.982+75.112-P66-O66</f>
        <v>-36.050000000000004</v>
      </c>
      <c r="R66" s="30">
        <f>E66-Q66-P66-O66</f>
        <v>-49.724999999999987</v>
      </c>
      <c r="S66" s="4">
        <f>-68.845+63.856</f>
        <v>-4.9889999999999972</v>
      </c>
      <c r="T66" s="4">
        <f>-112.783+104.186-S66</f>
        <v>-3.607999999999997</v>
      </c>
      <c r="U66" s="4">
        <f>-112.783+104.816-T66-S66</f>
        <v>0.62999999999999545</v>
      </c>
      <c r="V66" s="30">
        <f>F66-U66-T66-S66</f>
        <v>-201.11099999999999</v>
      </c>
      <c r="W66" s="4">
        <f>-253.157+7.832</f>
        <v>-245.32500000000002</v>
      </c>
      <c r="X66" s="4">
        <f>-253.157+45.131-W66</f>
        <v>37.299000000000007</v>
      </c>
      <c r="Y66" s="4">
        <f>-253.157+91.539-X66-W66</f>
        <v>46.408000000000015</v>
      </c>
      <c r="Z66" s="30">
        <f>G66-Y66-X66-W66</f>
        <v>13.402999999999963</v>
      </c>
      <c r="AA66" s="4">
        <f>2.487</f>
        <v>2.4870000000000001</v>
      </c>
      <c r="AB66" s="4">
        <f>0+21.36-AA66</f>
        <v>18.872999999999998</v>
      </c>
      <c r="AC66" s="4">
        <f>27.238-AB66-AA66</f>
        <v>5.8780000000000019</v>
      </c>
      <c r="AD66" s="30">
        <f>H66-AC66-AB66-AA66</f>
        <v>1.9090000000000007</v>
      </c>
      <c r="AE66" s="4">
        <v>0</v>
      </c>
      <c r="AF66" s="4">
        <f>-0.616-AE66</f>
        <v>-0.61599999999999999</v>
      </c>
      <c r="AG66" s="4">
        <f>0-AF66-AE66</f>
        <v>0.61599999999999999</v>
      </c>
      <c r="AH66" s="30">
        <f>I66-AG66-AF66-AE66</f>
        <v>5.5460000000000003</v>
      </c>
      <c r="AI66" s="4">
        <v>0</v>
      </c>
      <c r="AJ66" s="4">
        <f>0-AI66</f>
        <v>0</v>
      </c>
      <c r="AK66" s="4">
        <f>268.138-AJ66-AI66</f>
        <v>268.13799999999998</v>
      </c>
      <c r="AL66" s="30">
        <f>J66-AK66-AJ66-AI66</f>
        <v>5.1779999999999973</v>
      </c>
      <c r="AM66" s="4">
        <v>21.62</v>
      </c>
      <c r="AN66" s="4">
        <f>0-AM66</f>
        <v>-21.62</v>
      </c>
      <c r="AO66" s="4">
        <f>42.78-AN66-AM66</f>
        <v>42.78</v>
      </c>
      <c r="AP66" s="30">
        <f>K66-AO66-AN66-AM66</f>
        <v>21.230000000000008</v>
      </c>
      <c r="AQ66" s="4">
        <v>0</v>
      </c>
      <c r="AR66" s="4">
        <f>0-AQ66</f>
        <v>0</v>
      </c>
      <c r="AS66" s="4">
        <f>10.26-AR66-AQ66</f>
        <v>10.26</v>
      </c>
      <c r="AT66" s="30">
        <f>L66-AS66-AR66-AQ66</f>
        <v>0</v>
      </c>
      <c r="AU66" s="4">
        <v>0</v>
      </c>
      <c r="AV66" s="30"/>
      <c r="AW66" s="4">
        <f>-68.845+63.856</f>
        <v>-4.9889999999999972</v>
      </c>
      <c r="AX66" s="4">
        <f>-112.783+104.186-AW66</f>
        <v>-3.607999999999997</v>
      </c>
    </row>
    <row r="67" spans="1:50" ht="13.5" customHeight="1">
      <c r="B67" s="6" t="s">
        <v>252</v>
      </c>
      <c r="C67" s="4">
        <v>-687.721</v>
      </c>
      <c r="D67" s="4">
        <v>-717.90499999999997</v>
      </c>
      <c r="E67" s="4">
        <v>-747.846</v>
      </c>
      <c r="F67" s="4">
        <v>-849.96900000000005</v>
      </c>
      <c r="G67" s="4">
        <v>-847.89599999999996</v>
      </c>
      <c r="H67" s="4">
        <v>-978.18700000000001</v>
      </c>
      <c r="I67" s="4">
        <v>-979.56600000000003</v>
      </c>
      <c r="J67" s="4">
        <v>-980.57600000000002</v>
      </c>
      <c r="K67" s="4">
        <v>-986.875</v>
      </c>
      <c r="L67" s="4">
        <f>-985.506</f>
        <v>-985.50599999999997</v>
      </c>
      <c r="M67" s="76">
        <f>SUM(AR67:AU67)</f>
        <v>-985.50599999999997</v>
      </c>
      <c r="N67" s="76"/>
      <c r="O67" s="4">
        <v>0</v>
      </c>
      <c r="P67" s="4">
        <f>-745.138-O67</f>
        <v>-745.13800000000003</v>
      </c>
      <c r="Q67" s="4">
        <f>-745.403-P67-O67</f>
        <v>-0.26499999999998636</v>
      </c>
      <c r="R67" s="30">
        <f>E67-Q67-P67-O67</f>
        <v>-2.4429999999999836</v>
      </c>
      <c r="S67" s="4">
        <v>0</v>
      </c>
      <c r="T67" s="4">
        <f>-846.962-S67</f>
        <v>-846.96199999999999</v>
      </c>
      <c r="U67" s="4">
        <f>-846.965-T67-S67</f>
        <v>-3.0000000000427463E-3</v>
      </c>
      <c r="V67" s="30">
        <f>F67-U67-T67-S67</f>
        <v>-3.0040000000000191</v>
      </c>
      <c r="W67" s="4">
        <v>0</v>
      </c>
      <c r="X67" s="4">
        <f>-847.875-W67</f>
        <v>-847.875</v>
      </c>
      <c r="Y67" s="4">
        <f>-847.883-X67-W67</f>
        <v>-8.0000000000381988E-3</v>
      </c>
      <c r="Z67" s="30">
        <f>G67-Y67-X67-W67</f>
        <v>-1.2999999999919964E-2</v>
      </c>
      <c r="AA67" s="4">
        <v>0</v>
      </c>
      <c r="AB67" s="4">
        <f>-978.147-AA67</f>
        <v>-978.14700000000005</v>
      </c>
      <c r="AC67" s="4">
        <f>-978.171-AB67-AA67</f>
        <v>-2.4000000000000909E-2</v>
      </c>
      <c r="AD67" s="30">
        <f>H67-AC67-AB67-AA67</f>
        <v>-1.5999999999962711E-2</v>
      </c>
      <c r="AE67" s="4">
        <v>0</v>
      </c>
      <c r="AF67" s="4">
        <f>-979.564-AE67</f>
        <v>-979.56399999999996</v>
      </c>
      <c r="AG67" s="4">
        <f>-979.566-AF67-AE67</f>
        <v>-2.0000000000663931E-3</v>
      </c>
      <c r="AH67" s="30">
        <f>I67-AG67-AF67-AE67</f>
        <v>0</v>
      </c>
      <c r="AI67" s="4">
        <v>0</v>
      </c>
      <c r="AJ67" s="4">
        <f>-980.576-AI67</f>
        <v>-980.57600000000002</v>
      </c>
      <c r="AK67" s="4">
        <f>-980.576-AJ67-AI67</f>
        <v>0</v>
      </c>
      <c r="AL67" s="30">
        <f>J67-AK67-AJ67-AI67</f>
        <v>0</v>
      </c>
      <c r="AM67" s="4">
        <v>0</v>
      </c>
      <c r="AN67" s="4">
        <f>-986.864-AM67</f>
        <v>-986.86400000000003</v>
      </c>
      <c r="AO67" s="4">
        <f>-986.864-AN67-AM67</f>
        <v>0</v>
      </c>
      <c r="AP67" s="30">
        <f>K67-AO67-AN67-AM67</f>
        <v>-1.0999999999967258E-2</v>
      </c>
      <c r="AQ67" s="4">
        <v>0</v>
      </c>
      <c r="AR67" s="4">
        <f>-985.446-AQ67</f>
        <v>-985.44600000000003</v>
      </c>
      <c r="AS67" s="4">
        <f>-985.504-AR67-AQ67</f>
        <v>-5.7999999999992724E-2</v>
      </c>
      <c r="AT67" s="30">
        <f>L67-AS67-AR67-AQ67</f>
        <v>-1.9999999999527063E-3</v>
      </c>
      <c r="AU67" s="4">
        <v>0</v>
      </c>
      <c r="AV67" s="30"/>
      <c r="AW67" s="4">
        <v>0</v>
      </c>
      <c r="AX67" s="4">
        <f>-846.962-AW67</f>
        <v>-846.96199999999999</v>
      </c>
    </row>
    <row r="68" spans="1:50" ht="13.5" customHeight="1">
      <c r="B68" s="6" t="s">
        <v>253</v>
      </c>
      <c r="C68" s="4">
        <v>351.84699999999998</v>
      </c>
      <c r="D68" s="4">
        <f>1105.031+0</f>
        <v>1105.0309999999999</v>
      </c>
      <c r="E68" s="4">
        <f>9947.9-8833.451-1700-110.392</f>
        <v>-695.94299999999953</v>
      </c>
      <c r="F68" s="4">
        <f>6900.918-7704.4-103.366</f>
        <v>-906.84799999999996</v>
      </c>
      <c r="G68" s="4">
        <f>4813.121-6581.891-125.17</f>
        <v>-1893.9399999999996</v>
      </c>
      <c r="H68" s="4">
        <f>10659.617-12129.264-86.765-14.369</f>
        <v>-1570.780999999999</v>
      </c>
      <c r="I68" s="4">
        <f>16232.882-16311.883-107.318-13.506</f>
        <v>-199.82500000000019</v>
      </c>
      <c r="J68" s="4">
        <f>16099.196-13634.845-100.764-15.208</f>
        <v>2348.3790000000004</v>
      </c>
      <c r="K68" s="4">
        <f>14767.862-16576.34-122.093-5.72</f>
        <v>-1936.2910000000011</v>
      </c>
      <c r="L68" s="4">
        <f>24779.624-22482.609-132.1-5.117</f>
        <v>2159.7979999999993</v>
      </c>
      <c r="M68" s="76">
        <f>SUM(AR68:AU68)</f>
        <v>2906.3489999999993</v>
      </c>
      <c r="N68" s="76"/>
      <c r="O68" s="4">
        <f>-612.854-25.763</f>
        <v>-638.61700000000008</v>
      </c>
      <c r="P68" s="4">
        <f>1932.389-2818.053-52.111-O68</f>
        <v>-299.1579999999999</v>
      </c>
      <c r="Q68" s="4">
        <f>3624.311-2619.381-1700-79.936-P68-O68</f>
        <v>162.76900000000023</v>
      </c>
      <c r="R68" s="30">
        <f>E68-Q68-P68-O68</f>
        <v>79.063000000000216</v>
      </c>
      <c r="S68" s="4">
        <f>-655.782-30.156</f>
        <v>-685.93799999999999</v>
      </c>
      <c r="T68" s="4">
        <f>4691.53-5024.12-50.853-S68</f>
        <v>302.49499999999983</v>
      </c>
      <c r="U68" s="4">
        <f>5312.356-5352.671-111.721-T68-S68</f>
        <v>231.40699999999964</v>
      </c>
      <c r="V68" s="30">
        <f>F68-U68-T68-S68</f>
        <v>-754.81199999999956</v>
      </c>
      <c r="W68" s="4">
        <f>2027.824-2464.731-27.952</f>
        <v>-464.85900000000015</v>
      </c>
      <c r="X68" s="4">
        <f>2999.735-3290.793-54.983-W68</f>
        <v>118.81800000000015</v>
      </c>
      <c r="Y68" s="4">
        <f>4176.732-4717.902-94.175-X68-W68</f>
        <v>-289.30400000000009</v>
      </c>
      <c r="Z68" s="30">
        <f>G68-Y68-X68-W68</f>
        <v>-1258.5949999999996</v>
      </c>
      <c r="AA68" s="4">
        <f>1042.569-1459.202-28.273</f>
        <v>-444.90600000000006</v>
      </c>
      <c r="AB68" s="4">
        <f>4476.415-4602.452-55.124-AA68</f>
        <v>263.74499999999978</v>
      </c>
      <c r="AC68" s="4">
        <f>-847.409-70.26-AB68-AA68</f>
        <v>-736.5079999999997</v>
      </c>
      <c r="AD68" s="30">
        <f>H68-AC68-AB68-AA68</f>
        <v>-653.11199999999906</v>
      </c>
      <c r="AE68" s="4">
        <f>1488.261-1204.632-32.638-1.213</f>
        <v>249.77799999999991</v>
      </c>
      <c r="AF68" s="4">
        <f>5990.699-4955.689+59.951-AE68</f>
        <v>845.18299999999942</v>
      </c>
      <c r="AG68" s="4">
        <f>11803.542-11518.037-81.69-AF68-AE68</f>
        <v>-891.14600000000007</v>
      </c>
      <c r="AH68" s="30">
        <f>I68-AG68-AF68-AE68</f>
        <v>-403.63999999999942</v>
      </c>
      <c r="AI68" s="4">
        <f>3534.562-3482.339-27.912-0.899</f>
        <v>23.411999999999956</v>
      </c>
      <c r="AJ68" s="4">
        <f>8547.134-7936.622-57.741-1.516-AI68</f>
        <v>527.84299999999985</v>
      </c>
      <c r="AK68" s="4">
        <f>14426.795-11744.34-87.882-AJ68-AI68</f>
        <v>2043.318</v>
      </c>
      <c r="AL68" s="30">
        <f>J68-AK68-AJ68-AI68</f>
        <v>-246.19399999999942</v>
      </c>
      <c r="AM68" s="4">
        <f>2795.968-5193.132-34.477-1.197</f>
        <v>-2432.8379999999997</v>
      </c>
      <c r="AN68" s="4">
        <f>6923.759-8658.061-60.034-1.959-AM68</f>
        <v>636.54299999999989</v>
      </c>
      <c r="AO68" s="4">
        <f>10561.906-12762.468-84.451-AN68-AM68</f>
        <v>-488.71799999999985</v>
      </c>
      <c r="AP68" s="30">
        <f>K68-AO68-AN68-AM68</f>
        <v>348.72199999999884</v>
      </c>
      <c r="AQ68" s="4">
        <f>6429.845-6032.876-45.133</f>
        <v>351.83600000000007</v>
      </c>
      <c r="AR68" s="4">
        <f>(12523.157-11428.674-71.584-2.12)-AQ68</f>
        <v>668.94299999999816</v>
      </c>
      <c r="AS68" s="4">
        <f>20070.593-17581.176-99.745-AR68-AQ68</f>
        <v>1368.8930000000032</v>
      </c>
      <c r="AT68" s="30">
        <f>L68-AS68-AR68-AQ68</f>
        <v>-229.87400000000213</v>
      </c>
      <c r="AU68" s="4">
        <f>5172.706-4033.301-41.018</f>
        <v>1098.3870000000002</v>
      </c>
      <c r="AV68" s="325"/>
      <c r="AW68" s="4">
        <f>2727.758-3383.54-30.156</f>
        <v>-685.9380000000001</v>
      </c>
      <c r="AX68" s="4">
        <f>4691.53-5024.12-50.853-AW68</f>
        <v>302.49499999999995</v>
      </c>
    </row>
    <row r="69" spans="1:50" ht="13.5" customHeight="1">
      <c r="B69" s="6" t="s">
        <v>254</v>
      </c>
      <c r="C69" s="4">
        <f>86.864-59.321</f>
        <v>27.543000000000006</v>
      </c>
      <c r="D69" s="4">
        <f>-11.052-2.84-72.087</f>
        <v>-85.978999999999999</v>
      </c>
      <c r="E69" s="4">
        <f>130.253-73.531-5.64</f>
        <v>51.081999999999979</v>
      </c>
      <c r="F69" s="4">
        <f>35.516-5.05</f>
        <v>30.465999999999998</v>
      </c>
      <c r="G69" s="4">
        <f>-23.889-5.767</f>
        <v>-29.655999999999999</v>
      </c>
      <c r="H69" s="4">
        <f>-150-6.407-5.087</f>
        <v>-161.494</v>
      </c>
      <c r="I69" s="4">
        <f>-250-0.616-4.865</f>
        <v>-255.48100000000002</v>
      </c>
      <c r="J69" s="4">
        <f>-255-4.994-0.781</f>
        <v>-260.77500000000003</v>
      </c>
      <c r="K69" s="4">
        <f>-5.477-29.651</f>
        <v>-35.128</v>
      </c>
      <c r="L69" s="4">
        <f>-7.39-0.645</f>
        <v>-8.0350000000000001</v>
      </c>
      <c r="M69" s="76">
        <f>SUM(AR69:AU69)</f>
        <v>-8.1580000000000013</v>
      </c>
      <c r="N69" s="76"/>
      <c r="O69" s="4">
        <f>89.32-34.797</f>
        <v>54.522999999999996</v>
      </c>
      <c r="P69" s="4">
        <f>79.976-34.798-5.64-O69</f>
        <v>-14.984999999999999</v>
      </c>
      <c r="Q69" s="4">
        <f>125.344-73.531-5.64-P69-O69</f>
        <v>6.6349999999999909</v>
      </c>
      <c r="R69" s="30">
        <f>E69-Q69-P69-O69</f>
        <v>4.9089999999999918</v>
      </c>
      <c r="S69" s="4">
        <v>36.024000000000001</v>
      </c>
      <c r="T69" s="4">
        <f>45.429-5.05-S69</f>
        <v>4.355000000000004</v>
      </c>
      <c r="U69" s="4">
        <f>35.516-5.05-T69-S69</f>
        <v>-9.9130000000000074</v>
      </c>
      <c r="V69" s="30">
        <f>F69-U69-T69-S69</f>
        <v>0</v>
      </c>
      <c r="W69" s="4">
        <v>0</v>
      </c>
      <c r="X69" s="4">
        <f>-0.861-5.767-W69</f>
        <v>-6.6280000000000001</v>
      </c>
      <c r="Y69" s="4">
        <f>-22.728-5.767-X69-W69</f>
        <v>-21.867000000000001</v>
      </c>
      <c r="Z69" s="30">
        <f>G69-Y69-X69-W69</f>
        <v>-1.1609999999999978</v>
      </c>
      <c r="AA69" s="4">
        <v>0</v>
      </c>
      <c r="AB69" s="4">
        <f>0-5.185-AA69</f>
        <v>-5.1849999999999996</v>
      </c>
      <c r="AC69" s="4">
        <f>-6.407-5.185-AB69-AA69</f>
        <v>-6.4069999999999991</v>
      </c>
      <c r="AD69" s="30">
        <f>H69-AC69-AB69-AA69</f>
        <v>-149.90199999999999</v>
      </c>
      <c r="AE69" s="4">
        <v>-250</v>
      </c>
      <c r="AF69" s="4">
        <f>-250-2.016-4.865-AE69</f>
        <v>-6.8809999999999718</v>
      </c>
      <c r="AG69" s="4">
        <f>-250-0.616-3.645-4.865-AF69-AE69</f>
        <v>-2.2450000000000614</v>
      </c>
      <c r="AH69" s="30">
        <f>I69-AG69-AF69-AE69</f>
        <v>3.6450000000000102</v>
      </c>
      <c r="AI69" s="4">
        <f>-255</f>
        <v>-255</v>
      </c>
      <c r="AJ69" s="4">
        <f>-255+70-4.994+0.781-AI69</f>
        <v>65.787000000000006</v>
      </c>
      <c r="AK69" s="4">
        <f>-255-0.781-2.856-4.994-AJ69-AI69</f>
        <v>-74.418000000000006</v>
      </c>
      <c r="AL69" s="30">
        <f>J69-AK69-AJ69-AI69</f>
        <v>2.8559999999999661</v>
      </c>
      <c r="AM69" s="4">
        <v>0</v>
      </c>
      <c r="AN69" s="4">
        <f>21.62-0.728-5.477-AM69</f>
        <v>15.414999999999999</v>
      </c>
      <c r="AO69" s="4">
        <f>-0.728-2.989-5.477-AN69-AM69</f>
        <v>-24.608999999999998</v>
      </c>
      <c r="AP69" s="30">
        <f>K69-AO69-AN69-AM69</f>
        <v>-25.934000000000001</v>
      </c>
      <c r="AQ69" s="4">
        <v>-1.095</v>
      </c>
      <c r="AR69" s="4">
        <f>(10.26-7.39)-AQ69</f>
        <v>3.9649999999999999</v>
      </c>
      <c r="AS69" s="4">
        <f>-3.554-7.39-AR69-AQ69</f>
        <v>-13.813999999999998</v>
      </c>
      <c r="AT69" s="30">
        <f>L69-AS69-AR69-AQ69</f>
        <v>2.908999999999998</v>
      </c>
      <c r="AU69" s="4">
        <v>-1.218</v>
      </c>
      <c r="AV69" s="30"/>
      <c r="AW69" s="4">
        <v>36.024000000000001</v>
      </c>
      <c r="AX69" s="4">
        <f>45.429-5.05-AW69</f>
        <v>4.355000000000004</v>
      </c>
    </row>
    <row r="70" spans="1:50" s="5" customFormat="1" ht="13.5" customHeight="1">
      <c r="B70" s="14" t="s">
        <v>255</v>
      </c>
      <c r="C70" s="7">
        <f t="shared" ref="C70:M70" si="158">SUM(C64:C69)</f>
        <v>-2020.4900000000002</v>
      </c>
      <c r="D70" s="7">
        <f t="shared" si="158"/>
        <v>170.85199999999969</v>
      </c>
      <c r="E70" s="7">
        <f t="shared" si="158"/>
        <v>-1637.7659999999996</v>
      </c>
      <c r="F70" s="7">
        <f t="shared" si="158"/>
        <v>-1460.077</v>
      </c>
      <c r="G70" s="7">
        <f t="shared" si="158"/>
        <v>-787.17099999999959</v>
      </c>
      <c r="H70" s="7">
        <f t="shared" si="158"/>
        <v>-768.31299999999919</v>
      </c>
      <c r="I70" s="7">
        <f t="shared" si="158"/>
        <v>-1166.5008200000004</v>
      </c>
      <c r="J70" s="7">
        <f t="shared" si="158"/>
        <v>-804.47544999999991</v>
      </c>
      <c r="K70" s="7">
        <f>SUM(K64:K69)</f>
        <v>-1362.5453600000014</v>
      </c>
      <c r="L70" s="7">
        <f>SUM(L64:L69)</f>
        <v>-1001.5392800000001</v>
      </c>
      <c r="M70" s="7">
        <f t="shared" si="158"/>
        <v>115.02958000000116</v>
      </c>
      <c r="N70" s="7"/>
      <c r="O70" s="7">
        <f t="shared" ref="O70:T70" si="159">SUM(O64:O69)</f>
        <v>-873.07300000000021</v>
      </c>
      <c r="P70" s="7">
        <f t="shared" si="159"/>
        <v>-998.57599999999991</v>
      </c>
      <c r="Q70" s="7">
        <f>SUM(Q64:Q69)</f>
        <v>-213.46299999999974</v>
      </c>
      <c r="R70" s="7">
        <f t="shared" si="159"/>
        <v>447.3460000000004</v>
      </c>
      <c r="S70" s="7">
        <f t="shared" si="159"/>
        <v>-809.7</v>
      </c>
      <c r="T70" s="7">
        <f t="shared" si="159"/>
        <v>-218.53199999999998</v>
      </c>
      <c r="U70" s="7">
        <f t="shared" ref="U70:AC70" si="160">SUM(U64:U69)</f>
        <v>433.8549999999999</v>
      </c>
      <c r="V70" s="7">
        <f t="shared" si="160"/>
        <v>-865.6999999999997</v>
      </c>
      <c r="W70" s="7">
        <f t="shared" si="160"/>
        <v>-350.92500000000018</v>
      </c>
      <c r="X70" s="7">
        <f t="shared" si="160"/>
        <v>83.785000000000295</v>
      </c>
      <c r="Y70" s="7">
        <f t="shared" si="160"/>
        <v>205.23599999999985</v>
      </c>
      <c r="Z70" s="7">
        <f t="shared" si="160"/>
        <v>-725.26699999999948</v>
      </c>
      <c r="AA70" s="7">
        <f t="shared" si="160"/>
        <v>-153.95300000000015</v>
      </c>
      <c r="AB70" s="7">
        <f t="shared" si="160"/>
        <v>13.338999999999661</v>
      </c>
      <c r="AC70" s="7">
        <f t="shared" si="160"/>
        <v>-368.58699999999999</v>
      </c>
      <c r="AD70" s="7">
        <f t="shared" ref="AD70:AI70" si="161">SUM(AD64:AD69)</f>
        <v>-259.11199999999866</v>
      </c>
      <c r="AE70" s="7">
        <f t="shared" si="161"/>
        <v>-333.67600000000004</v>
      </c>
      <c r="AF70" s="7">
        <f t="shared" si="161"/>
        <v>-121.41000000000065</v>
      </c>
      <c r="AG70" s="7">
        <f t="shared" si="161"/>
        <v>-386.87000000000006</v>
      </c>
      <c r="AH70" s="7">
        <f t="shared" si="161"/>
        <v>-324.54481999999973</v>
      </c>
      <c r="AI70" s="7">
        <f t="shared" si="161"/>
        <v>-326.43099999999981</v>
      </c>
      <c r="AJ70" s="7">
        <f t="shared" ref="AJ70:AO70" si="162">SUM(AJ64:AJ69)</f>
        <v>117.9159999999998</v>
      </c>
      <c r="AK70" s="7">
        <f t="shared" si="162"/>
        <v>-495.42899999999975</v>
      </c>
      <c r="AL70" s="7">
        <f t="shared" si="162"/>
        <v>-100.53145000000021</v>
      </c>
      <c r="AM70" s="7">
        <f t="shared" si="162"/>
        <v>-467.39054999999939</v>
      </c>
      <c r="AN70" s="7">
        <f t="shared" si="162"/>
        <v>-113.70899999999992</v>
      </c>
      <c r="AO70" s="7">
        <f t="shared" si="162"/>
        <v>-598.74300000000062</v>
      </c>
      <c r="AP70" s="7">
        <f t="shared" ref="AP70:AU70" si="163">SUM(AP64:AP69)</f>
        <v>-182.70281000000082</v>
      </c>
      <c r="AQ70" s="7">
        <f t="shared" si="163"/>
        <v>-306.72518999999926</v>
      </c>
      <c r="AR70" s="7">
        <f t="shared" si="163"/>
        <v>-381.83300000000116</v>
      </c>
      <c r="AS70" s="7">
        <f t="shared" si="163"/>
        <v>109.85800000000253</v>
      </c>
      <c r="AT70" s="7">
        <f t="shared" si="163"/>
        <v>-422.83909000000159</v>
      </c>
      <c r="AU70" s="7">
        <f t="shared" si="163"/>
        <v>809.84367000000077</v>
      </c>
      <c r="AV70" s="7"/>
      <c r="AW70" s="7">
        <f>SUM(AW64:AW69)</f>
        <v>-809.17900000000009</v>
      </c>
      <c r="AX70" s="7">
        <f>SUM(AX64:AX69)</f>
        <v>-220.75299999999964</v>
      </c>
    </row>
    <row r="71" spans="1:50" ht="13.5" customHeight="1">
      <c r="A71" s="77"/>
      <c r="B71" s="6" t="s">
        <v>256</v>
      </c>
      <c r="C71" s="57">
        <v>-30.98</v>
      </c>
      <c r="D71" s="57">
        <v>9.343</v>
      </c>
      <c r="E71" s="57">
        <v>9.343</v>
      </c>
      <c r="F71" s="57">
        <v>6.8639999999999999</v>
      </c>
      <c r="G71" s="57">
        <v>-0.311</v>
      </c>
      <c r="H71" s="57">
        <v>0.40600000000000003</v>
      </c>
      <c r="I71" s="57">
        <v>-14.93</v>
      </c>
      <c r="J71" s="57">
        <v>-4.3109999999999999</v>
      </c>
      <c r="K71" s="57">
        <v>-5.6310000000000002</v>
      </c>
      <c r="L71" s="57">
        <f>2.935</f>
        <v>2.9350000000000001</v>
      </c>
      <c r="M71" s="76">
        <f>SUM(AR71:AU71)</f>
        <v>-1.5400000000000005</v>
      </c>
      <c r="N71" s="76"/>
      <c r="O71" s="57">
        <v>-0.26500000000000001</v>
      </c>
      <c r="P71" s="57">
        <f>1.093-O71</f>
        <v>1.3580000000000001</v>
      </c>
      <c r="Q71" s="57">
        <f>6.086-P71-O71</f>
        <v>4.9929999999999994</v>
      </c>
      <c r="R71" s="30">
        <f>E71-Q71-P71-O71</f>
        <v>3.2570000000000006</v>
      </c>
      <c r="S71" s="57">
        <v>2.4119999999999999</v>
      </c>
      <c r="T71" s="57">
        <f>4.416-S71</f>
        <v>2.0040000000000004</v>
      </c>
      <c r="U71" s="57">
        <f>5.941-T71-S71</f>
        <v>1.5249999999999995</v>
      </c>
      <c r="V71" s="30">
        <f>F71-U71-T71-S71</f>
        <v>0.92300000000000004</v>
      </c>
      <c r="W71" s="57">
        <v>-0.60199999999999998</v>
      </c>
      <c r="X71" s="57">
        <f>-0.17-W71</f>
        <v>0.43199999999999994</v>
      </c>
      <c r="Y71" s="57">
        <f>-0.445-X71-W71</f>
        <v>-0.27500000000000002</v>
      </c>
      <c r="Z71" s="30">
        <f>G71-Y71-X71-W71</f>
        <v>0.13400000000000006</v>
      </c>
      <c r="AA71" s="57">
        <v>7.8E-2</v>
      </c>
      <c r="AB71" s="57">
        <f>0.541-AA71</f>
        <v>0.46300000000000002</v>
      </c>
      <c r="AC71" s="57">
        <f>0.208-AB71-AA71</f>
        <v>-0.33300000000000002</v>
      </c>
      <c r="AD71" s="30">
        <f>H71-AC71-AB71-AA71</f>
        <v>0.19800000000000006</v>
      </c>
      <c r="AE71" s="57">
        <v>-3.2789999999999999</v>
      </c>
      <c r="AF71" s="57">
        <f>-7.947-AE71</f>
        <v>-4.6680000000000001</v>
      </c>
      <c r="AG71" s="57">
        <f>-8.263-AF71-AE71</f>
        <v>-0.31599999999999984</v>
      </c>
      <c r="AH71" s="30">
        <f>I71-AG71-AF71-AE71</f>
        <v>-6.6670000000000016</v>
      </c>
      <c r="AI71" s="57">
        <v>-3.6419999999999999</v>
      </c>
      <c r="AJ71" s="57">
        <f>-4-AI71</f>
        <v>-0.3580000000000001</v>
      </c>
      <c r="AK71" s="57">
        <f>-4.313-AJ71-AI71</f>
        <v>-0.31299999999999972</v>
      </c>
      <c r="AL71" s="30">
        <f>J71-AK71-AJ71-AI71</f>
        <v>1.9999999999997797E-3</v>
      </c>
      <c r="AM71" s="57">
        <v>6.242</v>
      </c>
      <c r="AN71" s="57">
        <f>-6.545-AM71</f>
        <v>-12.786999999999999</v>
      </c>
      <c r="AO71" s="57">
        <f>-5.712-AN71-AM71</f>
        <v>0.8329999999999993</v>
      </c>
      <c r="AP71" s="30">
        <f>K71-AO71-AN71-AM71</f>
        <v>8.0999999999999517E-2</v>
      </c>
      <c r="AQ71" s="57">
        <v>-0.316</v>
      </c>
      <c r="AR71" s="57">
        <f>0.655-AQ71</f>
        <v>0.97100000000000009</v>
      </c>
      <c r="AS71" s="57">
        <f>-0.284-AR71-AQ71</f>
        <v>-0.93900000000000006</v>
      </c>
      <c r="AT71" s="30">
        <f>L71-AS71-AR71-AQ71</f>
        <v>3.2189999999999999</v>
      </c>
      <c r="AU71" s="57">
        <v>-4.7910000000000004</v>
      </c>
      <c r="AV71" s="30"/>
      <c r="AW71" s="57">
        <v>2.4119999999999999</v>
      </c>
      <c r="AX71" s="57">
        <f>4.416-AW71</f>
        <v>2.0040000000000004</v>
      </c>
    </row>
    <row r="72" spans="1:50" ht="13.5" customHeight="1">
      <c r="B72" s="6" t="s">
        <v>257</v>
      </c>
      <c r="C72" s="4">
        <f>-1226.069-C70</f>
        <v>794.42100000000028</v>
      </c>
      <c r="D72" s="4">
        <f>1062.689-D70</f>
        <v>891.83700000000044</v>
      </c>
      <c r="E72" s="4">
        <f>-641.874-E70</f>
        <v>995.8919999999996</v>
      </c>
      <c r="F72" s="4">
        <f>-672.01-F70</f>
        <v>788.06700000000001</v>
      </c>
      <c r="G72" s="4">
        <f>27.874-G70</f>
        <v>815.04499999999962</v>
      </c>
      <c r="H72" s="4">
        <f>76.997-H70</f>
        <v>845.30999999999915</v>
      </c>
      <c r="I72" s="4">
        <f>-19.067-I70</f>
        <v>1147.4338200000004</v>
      </c>
      <c r="J72" s="4">
        <f>123.731-J70</f>
        <v>928.2064499999999</v>
      </c>
      <c r="K72" s="4">
        <f>-132.491-K70</f>
        <v>1230.0543600000015</v>
      </c>
      <c r="L72" s="4">
        <f>-8.11-L70</f>
        <v>993.42928000000006</v>
      </c>
      <c r="M72" s="76">
        <f>SUM(AR72:AU72)</f>
        <v>940.49142000000018</v>
      </c>
      <c r="N72" s="76"/>
      <c r="O72" s="4">
        <f>-629.846-O70</f>
        <v>243.2270000000002</v>
      </c>
      <c r="P72" s="4">
        <f>-1418.206-P70-O72-O70</f>
        <v>210.21600000000001</v>
      </c>
      <c r="Q72" s="4">
        <f>-1393.736-Q70-P72-P70-O72-O70</f>
        <v>237.93299999999942</v>
      </c>
      <c r="R72" s="30">
        <f>E72-Q72-P72-O72</f>
        <v>304.51599999999996</v>
      </c>
      <c r="S72" s="4">
        <f>-610.103-S70</f>
        <v>199.59700000000009</v>
      </c>
      <c r="T72" s="4">
        <f>-687.806-T70-S72-S70</f>
        <v>140.82899999999995</v>
      </c>
      <c r="U72" s="4">
        <f>-8.195-U70-T72-T70-S72-S70</f>
        <v>245.75600000000009</v>
      </c>
      <c r="V72" s="30">
        <f>F72-U72-T72-S72</f>
        <v>201.88499999999988</v>
      </c>
      <c r="W72" s="4">
        <f>-192.785-W70</f>
        <v>158.14000000000019</v>
      </c>
      <c r="X72" s="4">
        <f>94.573-X70-W72-W70</f>
        <v>203.57299999999969</v>
      </c>
      <c r="Y72" s="4">
        <f>504.393-Y70-X72-X70-W72-W70</f>
        <v>204.58400000000017</v>
      </c>
      <c r="Z72" s="30">
        <f>G72-Y72-X72-W72</f>
        <v>248.74799999999956</v>
      </c>
      <c r="AA72" s="4">
        <f>37.613-AA70</f>
        <v>191.56600000000014</v>
      </c>
      <c r="AB72" s="4">
        <f>128.328-AB70-AA72-AA70</f>
        <v>77.376000000000346</v>
      </c>
      <c r="AC72" s="4">
        <f>143.907-AC70-AB72-AB70-AA72-AA70</f>
        <v>384.16600000000005</v>
      </c>
      <c r="AD72" s="30">
        <f>H72-AC72-AB72-AA72</f>
        <v>192.20199999999863</v>
      </c>
      <c r="AE72" s="4">
        <f>-112.137-AE70</f>
        <v>221.53900000000004</v>
      </c>
      <c r="AF72" s="4">
        <f>-94.08-AF70-AE72-AE70</f>
        <v>139.46700000000067</v>
      </c>
      <c r="AG72" s="4">
        <f>-47.475-AG70-AF72-AF70-AE72-AE70</f>
        <v>433.47500000000002</v>
      </c>
      <c r="AH72" s="30">
        <f>I72-AG72-AF72-AE72</f>
        <v>352.95281999999969</v>
      </c>
      <c r="AI72" s="4">
        <f>-88.509-AI70</f>
        <v>237.9219999999998</v>
      </c>
      <c r="AJ72" s="4">
        <f>240.018-AJ70-AI72-AI70</f>
        <v>210.61100000000022</v>
      </c>
      <c r="AK72" s="4">
        <f>-39.639-AK70-AJ72-AJ70-AI72-AI70</f>
        <v>215.77199999999974</v>
      </c>
      <c r="AL72" s="30">
        <f>J72-AK72-AJ72-AI72</f>
        <v>263.90145000000018</v>
      </c>
      <c r="AM72" s="4">
        <f>-129.019-AM70</f>
        <v>338.37154999999939</v>
      </c>
      <c r="AN72" s="4">
        <f>77.574-AN70-AM72-AM70</f>
        <v>320.30199999999991</v>
      </c>
      <c r="AO72" s="4">
        <f>-285.668-AO70-AN72-AN70-AM72-AM70</f>
        <v>235.50100000000063</v>
      </c>
      <c r="AP72" s="30">
        <f>K72-AO72-AN72-AM72</f>
        <v>335.8798100000015</v>
      </c>
      <c r="AQ72" s="4">
        <f>38.47-AQ70</f>
        <v>345.19518999999923</v>
      </c>
      <c r="AR72" s="4">
        <f>-70.154-AR70-AQ72-AQ70+0.01</f>
        <v>273.21900000000119</v>
      </c>
      <c r="AS72" s="4">
        <f>145.624-AS70-AR72-AR70-AQ72-AQ70</f>
        <v>105.90999999999747</v>
      </c>
      <c r="AT72" s="30">
        <f>L72-AS72-AR72-AQ72</f>
        <v>269.10509000000218</v>
      </c>
      <c r="AU72" s="4">
        <f>1102.101-AU70</f>
        <v>292.25732999999934</v>
      </c>
      <c r="AV72" s="30"/>
      <c r="AW72" s="4">
        <f>-610.103-AW70</f>
        <v>199.07600000000014</v>
      </c>
      <c r="AX72" s="4">
        <f>-687.806-AX70-AW72-AW70</f>
        <v>143.0499999999995</v>
      </c>
    </row>
    <row r="73" spans="1:50" ht="13.5" customHeight="1">
      <c r="B73" s="14" t="s">
        <v>258</v>
      </c>
      <c r="C73" s="7">
        <f t="shared" ref="C73:M73" si="164">SUM(C70:C72)</f>
        <v>-1257.049</v>
      </c>
      <c r="D73" s="7">
        <f t="shared" si="164"/>
        <v>1072.0320000000002</v>
      </c>
      <c r="E73" s="7">
        <f t="shared" si="164"/>
        <v>-632.53099999999995</v>
      </c>
      <c r="F73" s="7">
        <f t="shared" si="164"/>
        <v>-665.14599999999996</v>
      </c>
      <c r="G73" s="7">
        <f t="shared" si="164"/>
        <v>27.562999999999988</v>
      </c>
      <c r="H73" s="7">
        <f t="shared" si="164"/>
        <v>77.402999999999906</v>
      </c>
      <c r="I73" s="7">
        <f t="shared" si="164"/>
        <v>-33.997000000000071</v>
      </c>
      <c r="J73" s="7">
        <f t="shared" si="164"/>
        <v>119.41999999999996</v>
      </c>
      <c r="K73" s="7">
        <f>SUM(K70:K72)</f>
        <v>-138.12200000000007</v>
      </c>
      <c r="L73" s="7">
        <f>SUM(L70:L72)</f>
        <v>-5.1750000000000682</v>
      </c>
      <c r="M73" s="7">
        <f t="shared" si="164"/>
        <v>1053.9810000000014</v>
      </c>
      <c r="N73" s="7"/>
      <c r="O73" s="7">
        <f t="shared" ref="O73:T73" si="165">SUM(O70:O72)</f>
        <v>-630.11099999999999</v>
      </c>
      <c r="P73" s="7">
        <f t="shared" si="165"/>
        <v>-787.00199999999995</v>
      </c>
      <c r="Q73" s="7">
        <f t="shared" si="165"/>
        <v>29.462999999999681</v>
      </c>
      <c r="R73" s="7">
        <f t="shared" si="165"/>
        <v>755.11900000000037</v>
      </c>
      <c r="S73" s="7">
        <f t="shared" si="165"/>
        <v>-607.69099999999992</v>
      </c>
      <c r="T73" s="7">
        <f t="shared" si="165"/>
        <v>-75.699000000000041</v>
      </c>
      <c r="U73" s="7">
        <f t="shared" ref="U73:AC73" si="166">SUM(U70:U72)</f>
        <v>681.13599999999997</v>
      </c>
      <c r="V73" s="7">
        <f t="shared" si="166"/>
        <v>-662.89199999999983</v>
      </c>
      <c r="W73" s="168">
        <f t="shared" si="166"/>
        <v>-193.38699999999997</v>
      </c>
      <c r="X73" s="7">
        <f t="shared" si="166"/>
        <v>287.78999999999996</v>
      </c>
      <c r="Y73" s="7">
        <f t="shared" si="166"/>
        <v>409.54500000000002</v>
      </c>
      <c r="Z73" s="7">
        <f t="shared" si="166"/>
        <v>-476.38499999999988</v>
      </c>
      <c r="AA73" s="168">
        <f t="shared" si="166"/>
        <v>37.691000000000003</v>
      </c>
      <c r="AB73" s="7">
        <f t="shared" si="166"/>
        <v>91.178000000000011</v>
      </c>
      <c r="AC73" s="7">
        <f t="shared" si="166"/>
        <v>15.246000000000038</v>
      </c>
      <c r="AD73" s="7">
        <f t="shared" ref="AD73:AI73" si="167">SUM(AD70:AD72)</f>
        <v>-66.712000000000046</v>
      </c>
      <c r="AE73" s="7">
        <f t="shared" si="167"/>
        <v>-115.416</v>
      </c>
      <c r="AF73" s="7">
        <f t="shared" si="167"/>
        <v>13.38900000000001</v>
      </c>
      <c r="AG73" s="7">
        <f t="shared" si="167"/>
        <v>46.288999999999987</v>
      </c>
      <c r="AH73" s="7">
        <f t="shared" si="167"/>
        <v>21.740999999999929</v>
      </c>
      <c r="AI73" s="7">
        <f t="shared" si="167"/>
        <v>-92.15100000000001</v>
      </c>
      <c r="AJ73" s="7">
        <f t="shared" ref="AJ73:AO73" si="168">SUM(AJ70:AJ72)</f>
        <v>328.16899999999998</v>
      </c>
      <c r="AK73" s="7">
        <f t="shared" si="168"/>
        <v>-279.97000000000003</v>
      </c>
      <c r="AL73" s="7">
        <f t="shared" si="168"/>
        <v>163.37199999999996</v>
      </c>
      <c r="AM73" s="7">
        <f t="shared" si="168"/>
        <v>-122.77699999999999</v>
      </c>
      <c r="AN73" s="7">
        <f t="shared" si="168"/>
        <v>193.80599999999998</v>
      </c>
      <c r="AO73" s="7">
        <f t="shared" si="168"/>
        <v>-362.40899999999999</v>
      </c>
      <c r="AP73" s="7">
        <f t="shared" ref="AP73:AU73" si="169">SUM(AP70:AP72)</f>
        <v>153.25800000000066</v>
      </c>
      <c r="AQ73" s="7">
        <f t="shared" si="169"/>
        <v>38.153999999999996</v>
      </c>
      <c r="AR73" s="7">
        <f t="shared" si="169"/>
        <v>-107.64299999999997</v>
      </c>
      <c r="AS73" s="7">
        <f t="shared" si="169"/>
        <v>214.82900000000001</v>
      </c>
      <c r="AT73" s="7">
        <f t="shared" si="169"/>
        <v>-150.51499999999942</v>
      </c>
      <c r="AU73" s="7">
        <f t="shared" si="169"/>
        <v>1097.31</v>
      </c>
      <c r="AV73" s="7"/>
      <c r="AW73" s="7">
        <f>SUM(AW70:AW72)</f>
        <v>-607.69099999999992</v>
      </c>
      <c r="AX73" s="7">
        <f>SUM(AX70:AX72)</f>
        <v>-75.699000000000154</v>
      </c>
    </row>
    <row r="74" spans="1:50" s="5" customFormat="1" ht="13.5" customHeight="1">
      <c r="B74" s="14" t="s">
        <v>32</v>
      </c>
      <c r="C74" s="7">
        <f>1821.129+C73</f>
        <v>564.07999999999993</v>
      </c>
      <c r="D74" s="7">
        <f>+C74+D73</f>
        <v>1636.1120000000001</v>
      </c>
      <c r="E74" s="7">
        <f>+D74+E73</f>
        <v>1003.5810000000001</v>
      </c>
      <c r="F74" s="7">
        <f>+E74+F73</f>
        <v>338.43500000000017</v>
      </c>
      <c r="G74" s="7">
        <f>+F74+G73</f>
        <v>365.99800000000016</v>
      </c>
      <c r="H74" s="7">
        <f>+G74+H73+G102</f>
        <v>580.91300000000001</v>
      </c>
      <c r="I74" s="7">
        <f>+H74+I73</f>
        <v>546.91599999999994</v>
      </c>
      <c r="J74" s="7">
        <f>+I74+J73</f>
        <v>666.3359999999999</v>
      </c>
      <c r="K74" s="7">
        <f>+J74+K73</f>
        <v>528.21399999999983</v>
      </c>
      <c r="L74" s="7">
        <f>+K74+L73</f>
        <v>523.03899999999976</v>
      </c>
      <c r="M74" s="7">
        <f>+AQ74+M73</f>
        <v>1620.3490000000024</v>
      </c>
      <c r="N74" s="7"/>
      <c r="O74" s="7">
        <f>D74+O73</f>
        <v>1006.0010000000001</v>
      </c>
      <c r="P74" s="7">
        <f>O74+P73</f>
        <v>218.99900000000014</v>
      </c>
      <c r="Q74" s="7">
        <f>P74+Q73</f>
        <v>248.46199999999982</v>
      </c>
      <c r="R74" s="7">
        <f>Q74+R73</f>
        <v>1003.5810000000001</v>
      </c>
      <c r="S74" s="7">
        <f>E74+S73</f>
        <v>395.89000000000021</v>
      </c>
      <c r="T74" s="7">
        <f>S74+T73</f>
        <v>320.19100000000014</v>
      </c>
      <c r="U74" s="7">
        <f>T74+U73</f>
        <v>1001.3270000000001</v>
      </c>
      <c r="V74" s="7">
        <f>U74+V73</f>
        <v>338.43500000000029</v>
      </c>
      <c r="W74" s="7">
        <f>F74+W73</f>
        <v>145.0480000000002</v>
      </c>
      <c r="X74" s="7">
        <f t="shared" ref="X74:AC74" si="170">W74+X73</f>
        <v>432.83800000000019</v>
      </c>
      <c r="Y74" s="7">
        <f t="shared" si="170"/>
        <v>842.38300000000027</v>
      </c>
      <c r="Z74" s="7">
        <f t="shared" si="170"/>
        <v>365.99800000000039</v>
      </c>
      <c r="AA74" s="7">
        <f t="shared" si="170"/>
        <v>403.68900000000042</v>
      </c>
      <c r="AB74" s="7">
        <f t="shared" si="170"/>
        <v>494.86700000000042</v>
      </c>
      <c r="AC74" s="7">
        <f t="shared" si="170"/>
        <v>510.11300000000045</v>
      </c>
      <c r="AD74" s="7">
        <f>AC74+AD73+Z102</f>
        <v>580.91300000000047</v>
      </c>
      <c r="AE74" s="7">
        <f t="shared" ref="AE74:AO74" si="171">AD74+AE73</f>
        <v>465.49700000000047</v>
      </c>
      <c r="AF74" s="7">
        <f t="shared" si="171"/>
        <v>478.88600000000048</v>
      </c>
      <c r="AG74" s="7">
        <f t="shared" si="171"/>
        <v>525.17500000000041</v>
      </c>
      <c r="AH74" s="7">
        <f t="shared" si="171"/>
        <v>546.91600000000039</v>
      </c>
      <c r="AI74" s="7">
        <f t="shared" si="171"/>
        <v>454.76500000000038</v>
      </c>
      <c r="AJ74" s="7">
        <f t="shared" si="171"/>
        <v>782.93400000000042</v>
      </c>
      <c r="AK74" s="7">
        <f t="shared" si="171"/>
        <v>502.9640000000004</v>
      </c>
      <c r="AL74" s="7">
        <f>AK74+AL73</f>
        <v>666.33600000000035</v>
      </c>
      <c r="AM74" s="7">
        <f>AL74+AM73</f>
        <v>543.55900000000042</v>
      </c>
      <c r="AN74" s="7">
        <f t="shared" si="171"/>
        <v>737.36500000000046</v>
      </c>
      <c r="AO74" s="7">
        <f t="shared" si="171"/>
        <v>374.95600000000047</v>
      </c>
      <c r="AP74" s="7">
        <f t="shared" ref="AP74:AU74" si="172">AO74+AP73</f>
        <v>528.21400000000108</v>
      </c>
      <c r="AQ74" s="7">
        <f t="shared" si="172"/>
        <v>566.36800000000108</v>
      </c>
      <c r="AR74" s="7">
        <f t="shared" si="172"/>
        <v>458.7250000000011</v>
      </c>
      <c r="AS74" s="7">
        <f t="shared" si="172"/>
        <v>673.55400000000111</v>
      </c>
      <c r="AT74" s="7">
        <f t="shared" si="172"/>
        <v>523.03900000000169</v>
      </c>
      <c r="AU74" s="7">
        <f t="shared" si="172"/>
        <v>1620.3490000000015</v>
      </c>
      <c r="AV74" s="7"/>
      <c r="AW74" s="7">
        <f>E74+AW73</f>
        <v>395.89000000000021</v>
      </c>
      <c r="AX74" s="7">
        <f>AW74+AX73</f>
        <v>320.19100000000003</v>
      </c>
    </row>
    <row r="75" spans="1:50" ht="11.25" customHeight="1">
      <c r="C75" s="42"/>
      <c r="D75" s="42"/>
      <c r="E75" s="42"/>
      <c r="F75" s="42"/>
      <c r="G75" s="42"/>
      <c r="H75" s="42"/>
      <c r="I75" s="42"/>
      <c r="J75" s="42"/>
      <c r="K75" s="42"/>
      <c r="L75" s="42"/>
      <c r="M75" s="42"/>
      <c r="N75" s="296"/>
      <c r="O75" s="42"/>
      <c r="P75" s="42"/>
      <c r="Q75" s="42"/>
      <c r="R75" s="42"/>
      <c r="S75" s="42"/>
      <c r="T75" s="42"/>
      <c r="U75" s="42"/>
      <c r="V75" s="42"/>
      <c r="W75" s="169"/>
      <c r="X75" s="42"/>
      <c r="Y75" s="42"/>
      <c r="Z75" s="42"/>
      <c r="AA75" s="169"/>
      <c r="AB75" s="42"/>
      <c r="AC75" s="42"/>
      <c r="AD75" s="42"/>
      <c r="AE75" s="169"/>
      <c r="AF75" s="42"/>
      <c r="AG75" s="42"/>
      <c r="AH75" s="42"/>
      <c r="AI75" s="169"/>
      <c r="AJ75" s="42"/>
      <c r="AK75" s="42"/>
      <c r="AM75" s="169"/>
      <c r="AN75" s="169"/>
      <c r="AO75" s="42"/>
      <c r="AQ75" s="169"/>
      <c r="AR75" s="169"/>
      <c r="AS75" s="42"/>
      <c r="AU75" s="169"/>
      <c r="AV75" s="296"/>
      <c r="AW75" s="169"/>
      <c r="AX75" s="42"/>
    </row>
    <row r="76" spans="1:50" ht="11.25" customHeight="1">
      <c r="B76" s="73" t="s">
        <v>30</v>
      </c>
      <c r="C76" s="344">
        <f>C74-(C107-C102)</f>
        <v>0</v>
      </c>
      <c r="D76" s="344">
        <f>D74-(D107-D102)</f>
        <v>0</v>
      </c>
      <c r="E76" s="344">
        <f>E74-(E107-E102)</f>
        <v>0</v>
      </c>
      <c r="F76" s="344">
        <f>F74-(F107-F102)</f>
        <v>0</v>
      </c>
      <c r="G76" s="344">
        <f>G74-(G107-G102)</f>
        <v>0</v>
      </c>
      <c r="H76" s="344">
        <f t="shared" ref="H76:M76" si="173">H74-H107</f>
        <v>0</v>
      </c>
      <c r="I76" s="344">
        <f t="shared" si="173"/>
        <v>0</v>
      </c>
      <c r="J76" s="344">
        <f t="shared" si="173"/>
        <v>0</v>
      </c>
      <c r="K76" s="344">
        <f t="shared" si="173"/>
        <v>0</v>
      </c>
      <c r="L76" s="344">
        <f t="shared" si="173"/>
        <v>0</v>
      </c>
      <c r="M76" s="344">
        <f t="shared" si="173"/>
        <v>2.5011104298755527E-12</v>
      </c>
      <c r="N76" s="345"/>
      <c r="O76" s="344">
        <f t="shared" ref="O76:V76" si="174">O74-(O107-O102)</f>
        <v>0</v>
      </c>
      <c r="P76" s="344">
        <f t="shared" si="174"/>
        <v>0</v>
      </c>
      <c r="Q76" s="344">
        <f t="shared" si="174"/>
        <v>0</v>
      </c>
      <c r="R76" s="344">
        <f t="shared" si="174"/>
        <v>0</v>
      </c>
      <c r="S76" s="344">
        <f t="shared" si="174"/>
        <v>0</v>
      </c>
      <c r="T76" s="344">
        <f t="shared" si="174"/>
        <v>0</v>
      </c>
      <c r="U76" s="344">
        <f t="shared" si="174"/>
        <v>0</v>
      </c>
      <c r="V76" s="344">
        <f t="shared" si="174"/>
        <v>0</v>
      </c>
      <c r="W76" s="344">
        <f t="shared" ref="W76:AB76" si="175">W74-(W107-W102)</f>
        <v>0</v>
      </c>
      <c r="X76" s="344">
        <f t="shared" si="175"/>
        <v>0</v>
      </c>
      <c r="Y76" s="344">
        <f t="shared" si="175"/>
        <v>0</v>
      </c>
      <c r="Z76" s="344">
        <f t="shared" si="175"/>
        <v>0</v>
      </c>
      <c r="AA76" s="344">
        <f>AA74-(AA107-AA102)</f>
        <v>4.5474735088646412E-13</v>
      </c>
      <c r="AB76" s="344">
        <f t="shared" si="175"/>
        <v>0</v>
      </c>
      <c r="AC76" s="344">
        <f>AC74-(AC107-AC102)</f>
        <v>0</v>
      </c>
      <c r="AD76" s="344">
        <f t="shared" ref="AD76:AI76" si="176">AD74-AD107</f>
        <v>0</v>
      </c>
      <c r="AE76" s="344">
        <f t="shared" si="176"/>
        <v>4.5474735088646412E-13</v>
      </c>
      <c r="AF76" s="344">
        <f t="shared" si="176"/>
        <v>4.5474735088646412E-13</v>
      </c>
      <c r="AG76" s="344">
        <f t="shared" si="176"/>
        <v>0</v>
      </c>
      <c r="AH76" s="344">
        <f t="shared" si="176"/>
        <v>0</v>
      </c>
      <c r="AI76" s="344">
        <f t="shared" si="176"/>
        <v>0</v>
      </c>
      <c r="AJ76" s="344">
        <f t="shared" ref="AJ76:AO76" si="177">AJ74-AJ107</f>
        <v>0</v>
      </c>
      <c r="AK76" s="344">
        <f t="shared" si="177"/>
        <v>0</v>
      </c>
      <c r="AL76" s="344">
        <f t="shared" si="177"/>
        <v>0</v>
      </c>
      <c r="AM76" s="344">
        <f t="shared" si="177"/>
        <v>0</v>
      </c>
      <c r="AN76" s="344">
        <f t="shared" si="177"/>
        <v>0</v>
      </c>
      <c r="AO76" s="344">
        <f t="shared" si="177"/>
        <v>4.5474735088646412E-13</v>
      </c>
      <c r="AP76" s="344">
        <f t="shared" ref="AP76:AU76" si="178">AP74-AP107</f>
        <v>1.0231815394945443E-12</v>
      </c>
      <c r="AQ76" s="344">
        <f t="shared" si="178"/>
        <v>1.0231815394945443E-12</v>
      </c>
      <c r="AR76" s="344">
        <f t="shared" si="178"/>
        <v>1.0800249583553523E-12</v>
      </c>
      <c r="AS76" s="344">
        <f t="shared" si="178"/>
        <v>1.1368683772161603E-12</v>
      </c>
      <c r="AT76" s="344">
        <f t="shared" si="178"/>
        <v>1.7053025658242404E-12</v>
      </c>
      <c r="AU76" s="344">
        <f t="shared" si="178"/>
        <v>0</v>
      </c>
      <c r="AV76" s="326"/>
      <c r="AW76" s="162">
        <f>AW74-(S107-S102)</f>
        <v>0</v>
      </c>
      <c r="AX76" s="162">
        <f>AX74-(T107-T102)</f>
        <v>0</v>
      </c>
    </row>
    <row r="77" spans="1:50" ht="11.25" customHeight="1">
      <c r="C77" s="42"/>
      <c r="D77" s="42"/>
      <c r="E77" s="42"/>
      <c r="F77" s="42"/>
      <c r="G77" s="42"/>
      <c r="H77" s="42"/>
      <c r="I77" s="42"/>
      <c r="J77" s="42"/>
      <c r="K77" s="42"/>
      <c r="L77" s="42"/>
      <c r="M77" s="42"/>
      <c r="N77" s="296"/>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296"/>
      <c r="AW77" s="42"/>
      <c r="AX77" s="42"/>
    </row>
    <row r="78" spans="1:50" ht="13.5" customHeight="1">
      <c r="A78" s="23"/>
      <c r="B78" s="15" t="s">
        <v>259</v>
      </c>
      <c r="C78" s="33">
        <f t="shared" ref="C78:M78" si="179">+C55</f>
        <v>42735</v>
      </c>
      <c r="D78" s="33">
        <f t="shared" si="179"/>
        <v>43100</v>
      </c>
      <c r="E78" s="62">
        <f t="shared" si="179"/>
        <v>43465</v>
      </c>
      <c r="F78" s="62">
        <f t="shared" si="179"/>
        <v>43830</v>
      </c>
      <c r="G78" s="62">
        <f t="shared" si="179"/>
        <v>44196</v>
      </c>
      <c r="H78" s="62">
        <f t="shared" si="179"/>
        <v>44561</v>
      </c>
      <c r="I78" s="62">
        <f t="shared" si="179"/>
        <v>44926</v>
      </c>
      <c r="J78" s="62">
        <f t="shared" si="179"/>
        <v>45291</v>
      </c>
      <c r="K78" s="62">
        <f>+K55</f>
        <v>45657</v>
      </c>
      <c r="L78" s="62">
        <f>+L55</f>
        <v>46022</v>
      </c>
      <c r="M78" s="62">
        <f t="shared" si="179"/>
        <v>46111</v>
      </c>
      <c r="N78" s="177"/>
      <c r="O78" s="62">
        <f t="shared" ref="O78:V78" si="180">+O55</f>
        <v>43189</v>
      </c>
      <c r="P78" s="62">
        <f t="shared" si="180"/>
        <v>43281</v>
      </c>
      <c r="Q78" s="62">
        <f t="shared" si="180"/>
        <v>43373</v>
      </c>
      <c r="R78" s="62">
        <f t="shared" si="180"/>
        <v>43464</v>
      </c>
      <c r="S78" s="62">
        <f t="shared" si="180"/>
        <v>43554</v>
      </c>
      <c r="T78" s="62">
        <f t="shared" si="180"/>
        <v>43646</v>
      </c>
      <c r="U78" s="62">
        <f t="shared" si="180"/>
        <v>43738</v>
      </c>
      <c r="V78" s="62">
        <f t="shared" si="180"/>
        <v>43829</v>
      </c>
      <c r="W78" s="62">
        <f t="shared" ref="W78:AB78" si="181">+W55</f>
        <v>43920</v>
      </c>
      <c r="X78" s="62">
        <f t="shared" si="181"/>
        <v>44012</v>
      </c>
      <c r="Y78" s="62">
        <f t="shared" si="181"/>
        <v>44104</v>
      </c>
      <c r="Z78" s="62">
        <f t="shared" si="181"/>
        <v>44195</v>
      </c>
      <c r="AA78" s="62">
        <f t="shared" si="181"/>
        <v>44285</v>
      </c>
      <c r="AB78" s="62">
        <f t="shared" si="181"/>
        <v>44377</v>
      </c>
      <c r="AC78" s="62">
        <f>+AC55</f>
        <v>44469</v>
      </c>
      <c r="AD78" s="62">
        <f>+AD55</f>
        <v>44560</v>
      </c>
      <c r="AE78" s="62">
        <v>44651</v>
      </c>
      <c r="AF78" s="62">
        <f t="shared" ref="AF78:AK78" si="182">+AF55</f>
        <v>44742</v>
      </c>
      <c r="AG78" s="62">
        <f t="shared" si="182"/>
        <v>44834</v>
      </c>
      <c r="AH78" s="62">
        <f t="shared" si="182"/>
        <v>44926</v>
      </c>
      <c r="AI78" s="62">
        <f t="shared" si="182"/>
        <v>45015</v>
      </c>
      <c r="AJ78" s="62">
        <f t="shared" si="182"/>
        <v>45107</v>
      </c>
      <c r="AK78" s="62">
        <f t="shared" si="182"/>
        <v>45199</v>
      </c>
      <c r="AL78" s="62">
        <f t="shared" ref="AL78:AQ78" si="183">+AL55</f>
        <v>45291</v>
      </c>
      <c r="AM78" s="62">
        <f t="shared" si="183"/>
        <v>45381</v>
      </c>
      <c r="AN78" s="62">
        <f t="shared" si="183"/>
        <v>45473</v>
      </c>
      <c r="AO78" s="62">
        <f t="shared" si="183"/>
        <v>45565</v>
      </c>
      <c r="AP78" s="62">
        <f t="shared" si="183"/>
        <v>45657</v>
      </c>
      <c r="AQ78" s="62">
        <f t="shared" si="183"/>
        <v>45746</v>
      </c>
      <c r="AR78" s="62">
        <f>+AR55</f>
        <v>45838</v>
      </c>
      <c r="AS78" s="62">
        <f>+AS55</f>
        <v>45930</v>
      </c>
      <c r="AT78" s="62">
        <f>+AT55</f>
        <v>46022</v>
      </c>
      <c r="AU78" s="62">
        <f>+AU55</f>
        <v>46111</v>
      </c>
      <c r="AV78" s="176"/>
      <c r="AW78" s="62">
        <f>+AW55</f>
        <v>43554</v>
      </c>
      <c r="AX78" s="62">
        <f>+AX55</f>
        <v>43646</v>
      </c>
    </row>
    <row r="79" spans="1:50" ht="13.5" customHeight="1">
      <c r="B79" s="1" t="str">
        <f t="shared" ref="B79:G79" si="184">+B7</f>
        <v>Revenue</v>
      </c>
      <c r="C79" s="30">
        <f t="shared" si="184"/>
        <v>14338.579</v>
      </c>
      <c r="D79" s="30">
        <f t="shared" si="184"/>
        <v>13935.531999999999</v>
      </c>
      <c r="E79" s="30">
        <f t="shared" si="184"/>
        <v>13557.837</v>
      </c>
      <c r="F79" s="30">
        <f t="shared" si="184"/>
        <v>14351.277</v>
      </c>
      <c r="G79" s="30">
        <f t="shared" si="184"/>
        <v>15356.948</v>
      </c>
      <c r="H79" s="30">
        <f t="shared" ref="H79:M79" si="185">+H7</f>
        <v>15849.72</v>
      </c>
      <c r="I79" s="30">
        <f t="shared" si="185"/>
        <v>18722.258000000002</v>
      </c>
      <c r="J79" s="30">
        <f t="shared" si="185"/>
        <v>19575.584999999999</v>
      </c>
      <c r="K79" s="30">
        <f t="shared" si="185"/>
        <v>20979.511999999999</v>
      </c>
      <c r="L79" s="30">
        <f t="shared" si="185"/>
        <v>22064.876</v>
      </c>
      <c r="M79" s="30">
        <f t="shared" si="185"/>
        <v>22457.839</v>
      </c>
      <c r="N79" s="30"/>
      <c r="O79" s="30"/>
      <c r="P79" s="30"/>
      <c r="Q79" s="30"/>
      <c r="R79" s="30">
        <f t="shared" ref="R79:AU79" si="186">+R7+Q7+P7+O7</f>
        <v>13557.837</v>
      </c>
      <c r="S79" s="30">
        <f t="shared" si="186"/>
        <v>13679.715</v>
      </c>
      <c r="T79" s="30">
        <f t="shared" si="186"/>
        <v>13772.626</v>
      </c>
      <c r="U79" s="30">
        <f t="shared" si="186"/>
        <v>14028.522999999999</v>
      </c>
      <c r="V79" s="30">
        <f t="shared" si="186"/>
        <v>14351.277000000002</v>
      </c>
      <c r="W79" s="30">
        <f t="shared" si="186"/>
        <v>14589.634</v>
      </c>
      <c r="X79" s="30">
        <f t="shared" si="186"/>
        <v>14951.478999999999</v>
      </c>
      <c r="Y79" s="30">
        <f t="shared" si="186"/>
        <v>15241.301000000001</v>
      </c>
      <c r="Z79" s="30">
        <f t="shared" si="186"/>
        <v>15356.948000000002</v>
      </c>
      <c r="AA79" s="30">
        <f t="shared" si="186"/>
        <v>15409.522000000001</v>
      </c>
      <c r="AB79" s="30">
        <f t="shared" si="186"/>
        <v>15333.246000000001</v>
      </c>
      <c r="AC79" s="30">
        <f t="shared" si="186"/>
        <v>15411.897000000003</v>
      </c>
      <c r="AD79" s="30">
        <f t="shared" si="186"/>
        <v>15849.719999999998</v>
      </c>
      <c r="AE79" s="30">
        <f t="shared" si="186"/>
        <v>16708.163</v>
      </c>
      <c r="AF79" s="30">
        <f t="shared" si="186"/>
        <v>17313.042000000001</v>
      </c>
      <c r="AG79" s="30">
        <f>+AG7+AF7+AE7+AD7</f>
        <v>18140.432999999997</v>
      </c>
      <c r="AH79" s="30">
        <f t="shared" si="186"/>
        <v>18722.258000000002</v>
      </c>
      <c r="AI79" s="30">
        <f t="shared" si="186"/>
        <v>19285.365000000002</v>
      </c>
      <c r="AJ79" s="30">
        <f t="shared" si="186"/>
        <v>19467.267000000003</v>
      </c>
      <c r="AK79" s="30">
        <f>+AK7+AJ7+AI7+AH7</f>
        <v>19495.080000000002</v>
      </c>
      <c r="AL79" s="30">
        <f t="shared" si="186"/>
        <v>19575.584999999999</v>
      </c>
      <c r="AM79" s="30">
        <f t="shared" si="186"/>
        <v>19967.661999999997</v>
      </c>
      <c r="AN79" s="30">
        <f t="shared" si="186"/>
        <v>20329.933999999997</v>
      </c>
      <c r="AO79" s="30">
        <f>+AO7+AN7+AM7+AL7</f>
        <v>20741.920999999998</v>
      </c>
      <c r="AP79" s="30">
        <f t="shared" si="186"/>
        <v>20979.511999999999</v>
      </c>
      <c r="AQ79" s="30">
        <f t="shared" si="186"/>
        <v>21287.960999999999</v>
      </c>
      <c r="AR79" s="30">
        <f t="shared" si="186"/>
        <v>21421.741999999998</v>
      </c>
      <c r="AS79" s="30">
        <f>+AS7+AR7+AQ7+AP7</f>
        <v>21765.42</v>
      </c>
      <c r="AT79" s="30">
        <f t="shared" si="186"/>
        <v>22064.876000000004</v>
      </c>
      <c r="AU79" s="30">
        <f t="shared" si="186"/>
        <v>22457.839</v>
      </c>
      <c r="AV79" s="30"/>
      <c r="AW79" s="30">
        <f>+AW7+R7+Q7+P7</f>
        <v>13634.523999999999</v>
      </c>
      <c r="AX79" s="30">
        <f>+AX7+S7+R7+Q78</f>
        <v>53875.690999999999</v>
      </c>
    </row>
    <row r="80" spans="1:50" ht="13.5" customHeight="1">
      <c r="B80" s="1" t="s">
        <v>234</v>
      </c>
      <c r="C80" s="30">
        <f t="shared" ref="C80:M80" si="187">C16</f>
        <v>2517.7789999999991</v>
      </c>
      <c r="D80" s="30">
        <f t="shared" si="187"/>
        <v>2583.3499999999995</v>
      </c>
      <c r="E80" s="30">
        <f t="shared" si="187"/>
        <v>2521.2349999999988</v>
      </c>
      <c r="F80" s="30">
        <f t="shared" si="187"/>
        <v>2473.2080000000005</v>
      </c>
      <c r="G80" s="30">
        <f t="shared" si="187"/>
        <v>2522.3340000000003</v>
      </c>
      <c r="H80" s="30">
        <f t="shared" si="187"/>
        <v>2014.8539999999985</v>
      </c>
      <c r="I80" s="30">
        <f t="shared" si="187"/>
        <v>2276.3320000000022</v>
      </c>
      <c r="J80" s="30">
        <f t="shared" si="187"/>
        <v>2693.887999999999</v>
      </c>
      <c r="K80" s="30">
        <f>K16</f>
        <v>2995.3609999999994</v>
      </c>
      <c r="L80" s="30">
        <f>L16</f>
        <v>3060.2619999999997</v>
      </c>
      <c r="M80" s="30">
        <f t="shared" si="187"/>
        <v>3061.2549999999997</v>
      </c>
      <c r="N80" s="30"/>
      <c r="O80" s="30"/>
      <c r="P80" s="30"/>
      <c r="Q80" s="30"/>
      <c r="R80" s="30">
        <f t="shared" ref="R80:AU80" si="188">R16+Q16+P16+O16</f>
        <v>2521.2349999999988</v>
      </c>
      <c r="S80" s="30">
        <f t="shared" si="188"/>
        <v>2516.8419999999992</v>
      </c>
      <c r="T80" s="30">
        <f t="shared" si="188"/>
        <v>2491.2489999999993</v>
      </c>
      <c r="U80" s="30">
        <f t="shared" si="188"/>
        <v>2472.7979999999989</v>
      </c>
      <c r="V80" s="30">
        <f t="shared" si="188"/>
        <v>2473.2080000000019</v>
      </c>
      <c r="W80" s="30">
        <f t="shared" si="188"/>
        <v>2505.1560000000018</v>
      </c>
      <c r="X80" s="30">
        <f t="shared" si="188"/>
        <v>2525.8340000000017</v>
      </c>
      <c r="Y80" s="30">
        <f t="shared" si="188"/>
        <v>2520.4420000000018</v>
      </c>
      <c r="Z80" s="30">
        <f t="shared" si="188"/>
        <v>2522.3340000000012</v>
      </c>
      <c r="AA80" s="30">
        <f t="shared" si="188"/>
        <v>2511.9210000000007</v>
      </c>
      <c r="AB80" s="30">
        <f t="shared" si="188"/>
        <v>2354.342000000001</v>
      </c>
      <c r="AC80" s="30">
        <f t="shared" si="188"/>
        <v>2122.7950000000005</v>
      </c>
      <c r="AD80" s="30">
        <f t="shared" si="188"/>
        <v>2014.8539999999985</v>
      </c>
      <c r="AE80" s="30">
        <f t="shared" si="188"/>
        <v>2059.6079999999984</v>
      </c>
      <c r="AF80" s="30">
        <f t="shared" si="188"/>
        <v>2104.2609999999991</v>
      </c>
      <c r="AG80" s="30">
        <f t="shared" si="188"/>
        <v>2164.5249999999987</v>
      </c>
      <c r="AH80" s="30">
        <f t="shared" si="188"/>
        <v>2276.3320000000022</v>
      </c>
      <c r="AI80" s="30">
        <f t="shared" si="188"/>
        <v>2531.7690000000021</v>
      </c>
      <c r="AJ80" s="30">
        <f t="shared" si="188"/>
        <v>2603.9850000000019</v>
      </c>
      <c r="AK80" s="30">
        <f t="shared" si="188"/>
        <v>2669.0160000000019</v>
      </c>
      <c r="AL80" s="30">
        <f t="shared" si="188"/>
        <v>2693.887999999999</v>
      </c>
      <c r="AM80" s="30">
        <f t="shared" si="188"/>
        <v>2760.2109999999984</v>
      </c>
      <c r="AN80" s="30">
        <f t="shared" si="188"/>
        <v>2834.6499999999987</v>
      </c>
      <c r="AO80" s="30">
        <f t="shared" si="188"/>
        <v>2933.128999999999</v>
      </c>
      <c r="AP80" s="30">
        <f t="shared" si="188"/>
        <v>2995.3609999999981</v>
      </c>
      <c r="AQ80" s="30">
        <f t="shared" si="188"/>
        <v>3000.6309999999985</v>
      </c>
      <c r="AR80" s="30">
        <f t="shared" si="188"/>
        <v>3020.9199999999983</v>
      </c>
      <c r="AS80" s="30">
        <f t="shared" si="188"/>
        <v>3035.7789999999977</v>
      </c>
      <c r="AT80" s="30">
        <f t="shared" si="188"/>
        <v>3060.262000000002</v>
      </c>
      <c r="AU80" s="30">
        <f t="shared" si="188"/>
        <v>3061.2550000000015</v>
      </c>
      <c r="AV80" s="30"/>
      <c r="AW80" s="30">
        <f>AW16+R16+Q16+P16</f>
        <v>2522.3349999999987</v>
      </c>
      <c r="AX80" s="30">
        <f>AX16+S16+R16+Q16</f>
        <v>2495.2099999999987</v>
      </c>
    </row>
    <row r="81" spans="1:50" ht="13.5" customHeight="1">
      <c r="B81" s="1" t="s">
        <v>260</v>
      </c>
      <c r="C81" s="30">
        <f t="shared" ref="C81:I81" si="189">C46</f>
        <v>4334.6399999999994</v>
      </c>
      <c r="D81" s="30">
        <f t="shared" si="189"/>
        <v>4502.9650000000001</v>
      </c>
      <c r="E81" s="30">
        <f t="shared" si="189"/>
        <v>4661.3619999999992</v>
      </c>
      <c r="F81" s="30">
        <f t="shared" si="189"/>
        <v>4647.6830000000009</v>
      </c>
      <c r="G81" s="30">
        <f t="shared" si="189"/>
        <v>4637.1059999999998</v>
      </c>
      <c r="H81" s="30">
        <f t="shared" si="189"/>
        <v>4152.8769999999986</v>
      </c>
      <c r="I81" s="30">
        <f t="shared" si="189"/>
        <v>4662.0130000000026</v>
      </c>
      <c r="J81" s="30">
        <f>J46</f>
        <v>5128.1979999999985</v>
      </c>
      <c r="K81" s="30">
        <f>K46</f>
        <v>5407.9749999999995</v>
      </c>
      <c r="L81" s="30">
        <f>L46</f>
        <v>5530.2269999999999</v>
      </c>
      <c r="M81" s="30">
        <f>M46</f>
        <v>5563.3980000000001</v>
      </c>
      <c r="N81" s="30"/>
      <c r="O81" s="30"/>
      <c r="P81" s="30"/>
      <c r="Q81" s="30"/>
      <c r="R81" s="30">
        <f t="shared" ref="R81:AU81" si="190">R46+Q46+P46+O46</f>
        <v>4661.3619999999983</v>
      </c>
      <c r="S81" s="30">
        <f t="shared" si="190"/>
        <v>4648.4569999999985</v>
      </c>
      <c r="T81" s="30">
        <f t="shared" si="190"/>
        <v>4583.8939999999993</v>
      </c>
      <c r="U81" s="30">
        <f t="shared" si="190"/>
        <v>4553.9789999999985</v>
      </c>
      <c r="V81" s="30">
        <f t="shared" si="190"/>
        <v>4647.6830000000009</v>
      </c>
      <c r="W81" s="30">
        <f t="shared" si="190"/>
        <v>4683.3320000000022</v>
      </c>
      <c r="X81" s="30">
        <f t="shared" si="190"/>
        <v>4719.6770000000015</v>
      </c>
      <c r="Y81" s="30">
        <f t="shared" si="190"/>
        <v>4694.9170000000022</v>
      </c>
      <c r="Z81" s="30">
        <f t="shared" si="190"/>
        <v>4637.1060000000016</v>
      </c>
      <c r="AA81" s="30">
        <f t="shared" si="190"/>
        <v>4652.4180000000006</v>
      </c>
      <c r="AB81" s="30">
        <f t="shared" si="190"/>
        <v>4479.9719999999998</v>
      </c>
      <c r="AC81" s="30">
        <f t="shared" si="190"/>
        <v>4261.8060000000005</v>
      </c>
      <c r="AD81" s="30">
        <f t="shared" si="190"/>
        <v>4152.8769999999986</v>
      </c>
      <c r="AE81" s="30">
        <f t="shared" si="190"/>
        <v>4209.1509999999989</v>
      </c>
      <c r="AF81" s="30">
        <f t="shared" si="190"/>
        <v>4276.2989999999991</v>
      </c>
      <c r="AG81" s="30">
        <f t="shared" si="190"/>
        <v>4357.7079999999987</v>
      </c>
      <c r="AH81" s="30">
        <f t="shared" si="190"/>
        <v>4662.0130000000026</v>
      </c>
      <c r="AI81" s="30">
        <f t="shared" si="190"/>
        <v>4972.3870000000024</v>
      </c>
      <c r="AJ81" s="30">
        <f t="shared" si="190"/>
        <v>5080.1370000000024</v>
      </c>
      <c r="AK81" s="30">
        <f t="shared" si="190"/>
        <v>5054.6970000000019</v>
      </c>
      <c r="AL81" s="30">
        <f t="shared" si="190"/>
        <v>5128.1979999999985</v>
      </c>
      <c r="AM81" s="30">
        <f t="shared" si="190"/>
        <v>5128.4549999999981</v>
      </c>
      <c r="AN81" s="30">
        <f t="shared" si="190"/>
        <v>5226.6309999999976</v>
      </c>
      <c r="AO81" s="30">
        <f t="shared" si="190"/>
        <v>5465.1449999999986</v>
      </c>
      <c r="AP81" s="30">
        <f t="shared" si="190"/>
        <v>5407.9749999999985</v>
      </c>
      <c r="AQ81" s="30">
        <f t="shared" si="190"/>
        <v>5457.2429999999986</v>
      </c>
      <c r="AR81" s="30">
        <f t="shared" si="190"/>
        <v>5501.3239999999987</v>
      </c>
      <c r="AS81" s="30">
        <f t="shared" si="190"/>
        <v>5517.9709999999986</v>
      </c>
      <c r="AT81" s="30">
        <f t="shared" si="190"/>
        <v>5530.2270000000026</v>
      </c>
      <c r="AU81" s="30">
        <f t="shared" si="190"/>
        <v>5563.398000000002</v>
      </c>
      <c r="AV81" s="30"/>
      <c r="AW81" s="30">
        <f>AW46+R46+Q46+P46</f>
        <v>4653.9499999999989</v>
      </c>
      <c r="AX81" s="30">
        <f>AX46+S46+R46+Q46</f>
        <v>4587.8549999999987</v>
      </c>
    </row>
    <row r="82" spans="1:50" ht="13.5" customHeight="1">
      <c r="B82" s="1" t="s">
        <v>261</v>
      </c>
      <c r="C82" s="30">
        <f t="shared" ref="C82:M82" si="191">C51</f>
        <v>3716</v>
      </c>
      <c r="D82" s="30">
        <f t="shared" si="191"/>
        <v>3919.1</v>
      </c>
      <c r="E82" s="30">
        <f t="shared" si="191"/>
        <v>4023.5</v>
      </c>
      <c r="F82" s="30">
        <f t="shared" si="191"/>
        <v>4017.9</v>
      </c>
      <c r="G82" s="30">
        <f t="shared" si="191"/>
        <v>4013.4</v>
      </c>
      <c r="H82" s="30">
        <f t="shared" si="191"/>
        <v>3492.5</v>
      </c>
      <c r="I82" s="30">
        <f t="shared" si="191"/>
        <v>3931.67418</v>
      </c>
      <c r="J82" s="30">
        <f t="shared" si="191"/>
        <v>4502.3845499999998</v>
      </c>
      <c r="K82" s="30">
        <f>K51</f>
        <v>4615.4926399999995</v>
      </c>
      <c r="L82" s="30">
        <f>L51</f>
        <v>4854.2727199999999</v>
      </c>
      <c r="M82" s="30">
        <f t="shared" si="191"/>
        <v>4940.7245800000001</v>
      </c>
      <c r="N82" s="30"/>
      <c r="O82" s="30"/>
      <c r="P82" s="30"/>
      <c r="Q82" s="30"/>
      <c r="R82" s="30">
        <f t="shared" ref="R82:AU82" si="192">R51+Q51+P51+O51</f>
        <v>4023.5</v>
      </c>
      <c r="S82" s="30">
        <f t="shared" si="192"/>
        <v>4034.4</v>
      </c>
      <c r="T82" s="30">
        <f t="shared" si="192"/>
        <v>3966.1</v>
      </c>
      <c r="U82" s="30">
        <f t="shared" si="192"/>
        <v>3953.4</v>
      </c>
      <c r="V82" s="30">
        <f t="shared" si="192"/>
        <v>4017.9</v>
      </c>
      <c r="W82" s="30">
        <f t="shared" si="192"/>
        <v>4060.3</v>
      </c>
      <c r="X82" s="30">
        <f t="shared" si="192"/>
        <v>4093.9</v>
      </c>
      <c r="Y82" s="30">
        <f t="shared" si="192"/>
        <v>4098.7000000000007</v>
      </c>
      <c r="Z82" s="30">
        <f t="shared" si="192"/>
        <v>4013.4000000000005</v>
      </c>
      <c r="AA82" s="30">
        <f t="shared" si="192"/>
        <v>4022.3999999999996</v>
      </c>
      <c r="AB82" s="30">
        <f t="shared" si="192"/>
        <v>3815.6</v>
      </c>
      <c r="AC82" s="30">
        <f t="shared" si="192"/>
        <v>3543.3</v>
      </c>
      <c r="AD82" s="30">
        <f t="shared" si="192"/>
        <v>3492.5</v>
      </c>
      <c r="AE82" s="30">
        <f t="shared" si="192"/>
        <v>3533.194</v>
      </c>
      <c r="AF82" s="30">
        <f t="shared" si="192"/>
        <v>3589.2940000000003</v>
      </c>
      <c r="AG82" s="30">
        <f t="shared" si="192"/>
        <v>3652.4949999999999</v>
      </c>
      <c r="AH82" s="30">
        <f t="shared" si="192"/>
        <v>3931.67418</v>
      </c>
      <c r="AI82" s="30">
        <f t="shared" si="192"/>
        <v>4236.0871800000004</v>
      </c>
      <c r="AJ82" s="30">
        <f t="shared" si="192"/>
        <v>4358.0871800000004</v>
      </c>
      <c r="AK82" s="30">
        <f t="shared" si="192"/>
        <v>4478.0071800000005</v>
      </c>
      <c r="AL82" s="30">
        <f t="shared" si="192"/>
        <v>4502.3845499999998</v>
      </c>
      <c r="AM82" s="30">
        <f t="shared" si="192"/>
        <v>4392.96</v>
      </c>
      <c r="AN82" s="30">
        <f t="shared" si="192"/>
        <v>4472.38</v>
      </c>
      <c r="AO82" s="30">
        <f t="shared" si="192"/>
        <v>4563.24</v>
      </c>
      <c r="AP82" s="30">
        <f t="shared" si="192"/>
        <v>4615.4926399999995</v>
      </c>
      <c r="AQ82" s="30">
        <f t="shared" si="192"/>
        <v>4683.3599999999997</v>
      </c>
      <c r="AR82" s="30">
        <f t="shared" si="192"/>
        <v>4712.84</v>
      </c>
      <c r="AS82" s="30">
        <f t="shared" si="192"/>
        <v>4788.3</v>
      </c>
      <c r="AT82" s="30">
        <f t="shared" si="192"/>
        <v>4854.2727199999999</v>
      </c>
      <c r="AU82" s="30">
        <f t="shared" si="192"/>
        <v>4940.7245800000001</v>
      </c>
      <c r="AV82" s="30"/>
      <c r="AW82" s="30">
        <f>AW51+R51+Q51+P51</f>
        <v>4034.4</v>
      </c>
      <c r="AX82" s="30">
        <f>AX51+S51+R51+Q51</f>
        <v>3964.4</v>
      </c>
    </row>
    <row r="83" spans="1:50" ht="13.5" customHeight="1">
      <c r="B83" s="1" t="s">
        <v>244</v>
      </c>
      <c r="C83" s="30">
        <f t="shared" ref="C83:H83" si="193">-C59</f>
        <v>360.596</v>
      </c>
      <c r="D83" s="30">
        <f t="shared" si="193"/>
        <v>467.97699999999998</v>
      </c>
      <c r="E83" s="30">
        <f t="shared" si="193"/>
        <v>420.625</v>
      </c>
      <c r="F83" s="30">
        <f t="shared" si="193"/>
        <v>524.60900000000004</v>
      </c>
      <c r="G83" s="30">
        <f t="shared" si="193"/>
        <v>467.84399999999999</v>
      </c>
      <c r="H83" s="30">
        <f t="shared" si="193"/>
        <v>342.44600000000003</v>
      </c>
      <c r="I83" s="30">
        <f>-I59</f>
        <v>431.81</v>
      </c>
      <c r="J83" s="30">
        <f>-J59</f>
        <v>559.19899999999996</v>
      </c>
      <c r="K83" s="30">
        <f>-K59</f>
        <v>645.03899999999999</v>
      </c>
      <c r="L83" s="30">
        <f>-L59</f>
        <v>681.38900000000001</v>
      </c>
      <c r="M83" s="30">
        <f>-M59</f>
        <v>702.16499999999996</v>
      </c>
      <c r="N83" s="30"/>
      <c r="O83" s="30"/>
      <c r="P83" s="30"/>
      <c r="Q83" s="30"/>
      <c r="R83" s="30">
        <f t="shared" ref="R83:AE83" si="194">-R59-Q59-P59-O59</f>
        <v>420.625</v>
      </c>
      <c r="S83" s="30">
        <f t="shared" si="194"/>
        <v>420.84300000000002</v>
      </c>
      <c r="T83" s="30">
        <f t="shared" si="194"/>
        <v>476.428</v>
      </c>
      <c r="U83" s="30">
        <f t="shared" si="194"/>
        <v>495.01999999999992</v>
      </c>
      <c r="V83" s="30">
        <f t="shared" si="194"/>
        <v>524.60900000000015</v>
      </c>
      <c r="W83" s="30">
        <f t="shared" si="194"/>
        <v>499.95200000000011</v>
      </c>
      <c r="X83" s="30">
        <f t="shared" si="194"/>
        <v>499.76800000000003</v>
      </c>
      <c r="Y83" s="30">
        <f t="shared" si="194"/>
        <v>486.1640000000001</v>
      </c>
      <c r="Z83" s="30">
        <f t="shared" si="194"/>
        <v>467.84399999999994</v>
      </c>
      <c r="AA83" s="30">
        <f t="shared" si="194"/>
        <v>447.94100000000003</v>
      </c>
      <c r="AB83" s="30">
        <f t="shared" si="194"/>
        <v>407.452</v>
      </c>
      <c r="AC83" s="30">
        <f t="shared" si="194"/>
        <v>372.411</v>
      </c>
      <c r="AD83" s="30">
        <f t="shared" si="194"/>
        <v>342.44600000000008</v>
      </c>
      <c r="AE83" s="30">
        <f t="shared" si="194"/>
        <v>345.02500000000003</v>
      </c>
      <c r="AF83" s="30">
        <f t="shared" ref="AF83:AU83" si="195">-AF59-AE59-AD59-AC59</f>
        <v>350.83300000000003</v>
      </c>
      <c r="AG83" s="30">
        <f t="shared" si="195"/>
        <v>383.69100000000003</v>
      </c>
      <c r="AH83" s="30">
        <f t="shared" si="195"/>
        <v>431.81000000000006</v>
      </c>
      <c r="AI83" s="30">
        <f t="shared" si="195"/>
        <v>468.73099999999999</v>
      </c>
      <c r="AJ83" s="30">
        <f t="shared" si="195"/>
        <v>514.64200000000005</v>
      </c>
      <c r="AK83" s="30">
        <f t="shared" si="195"/>
        <v>537.85300000000007</v>
      </c>
      <c r="AL83" s="30">
        <f t="shared" si="195"/>
        <v>559.19899999999996</v>
      </c>
      <c r="AM83" s="30">
        <f t="shared" si="195"/>
        <v>527.45299999999997</v>
      </c>
      <c r="AN83" s="30">
        <f t="shared" si="195"/>
        <v>568.93200000000002</v>
      </c>
      <c r="AO83" s="30">
        <f t="shared" si="195"/>
        <v>642.75399999999991</v>
      </c>
      <c r="AP83" s="30">
        <f t="shared" si="195"/>
        <v>645.03899999999987</v>
      </c>
      <c r="AQ83" s="30">
        <f t="shared" si="195"/>
        <v>697.50599999999997</v>
      </c>
      <c r="AR83" s="30">
        <f t="shared" si="195"/>
        <v>691.24799999999993</v>
      </c>
      <c r="AS83" s="30">
        <f t="shared" si="195"/>
        <v>664.48</v>
      </c>
      <c r="AT83" s="30">
        <f t="shared" si="195"/>
        <v>681.3889999999999</v>
      </c>
      <c r="AU83" s="30">
        <f t="shared" si="195"/>
        <v>702.16499999999996</v>
      </c>
      <c r="AV83" s="30"/>
      <c r="AW83" s="30">
        <f>-AW59-R59-Q59-P59</f>
        <v>420.84300000000002</v>
      </c>
      <c r="AX83" s="30">
        <f>-AX59-S59-R59-Q59</f>
        <v>476.428</v>
      </c>
    </row>
    <row r="84" spans="1:50" ht="13.5" customHeight="1">
      <c r="B84" s="1" t="s">
        <v>262</v>
      </c>
      <c r="C84" s="30">
        <f t="shared" ref="C84:M84" si="196">C22</f>
        <v>2150.0969999999993</v>
      </c>
      <c r="D84" s="30">
        <f t="shared" si="196"/>
        <v>2159.9629999999997</v>
      </c>
      <c r="E84" s="30">
        <f t="shared" si="196"/>
        <v>2008.5579999999986</v>
      </c>
      <c r="F84" s="30">
        <f t="shared" si="196"/>
        <v>1801.5720000000006</v>
      </c>
      <c r="G84" s="30">
        <f t="shared" si="196"/>
        <v>1935.5560000000005</v>
      </c>
      <c r="H84" s="30">
        <f t="shared" si="196"/>
        <v>1579.4359999999983</v>
      </c>
      <c r="I84" s="30">
        <f t="shared" si="196"/>
        <v>1778.138000000002</v>
      </c>
      <c r="J84" s="30">
        <f t="shared" si="196"/>
        <v>2051.5289999999991</v>
      </c>
      <c r="K84" s="30">
        <f>K22</f>
        <v>2313.6669999999999</v>
      </c>
      <c r="L84" s="30">
        <f>L22</f>
        <v>2456.6729999999993</v>
      </c>
      <c r="M84" s="30">
        <f t="shared" si="196"/>
        <v>2457.5839999999998</v>
      </c>
      <c r="N84" s="30"/>
      <c r="O84" s="30"/>
      <c r="P84" s="30"/>
      <c r="Q84" s="30"/>
      <c r="R84" s="30">
        <f>SUM(O22:R22)</f>
        <v>2008.5579999999986</v>
      </c>
      <c r="S84" s="30">
        <f t="shared" ref="S84:AU84" si="197">SUM(P22:S22)</f>
        <v>2005.1049999999989</v>
      </c>
      <c r="T84" s="30">
        <f t="shared" si="197"/>
        <v>1925.7699999999991</v>
      </c>
      <c r="U84" s="30">
        <f t="shared" si="197"/>
        <v>1877.2469999999989</v>
      </c>
      <c r="V84" s="30">
        <f t="shared" si="197"/>
        <v>1801.5720000000019</v>
      </c>
      <c r="W84" s="30">
        <f t="shared" si="197"/>
        <v>1832.0180000000018</v>
      </c>
      <c r="X84" s="30">
        <f t="shared" si="197"/>
        <v>1868.1010000000015</v>
      </c>
      <c r="Y84" s="30">
        <f t="shared" si="197"/>
        <v>1890.5170000000016</v>
      </c>
      <c r="Z84" s="30">
        <f t="shared" si="197"/>
        <v>1935.5560000000009</v>
      </c>
      <c r="AA84" s="30">
        <f t="shared" si="197"/>
        <v>1956.8430000000008</v>
      </c>
      <c r="AB84" s="30">
        <f t="shared" si="197"/>
        <v>1826.9330000000011</v>
      </c>
      <c r="AC84" s="30">
        <f t="shared" si="197"/>
        <v>1622.6430000000009</v>
      </c>
      <c r="AD84" s="30">
        <f t="shared" si="197"/>
        <v>1579.4359999999986</v>
      </c>
      <c r="AE84" s="30">
        <f t="shared" si="197"/>
        <v>1613.2879999999986</v>
      </c>
      <c r="AF84" s="30">
        <f t="shared" si="197"/>
        <v>1649.3539999999989</v>
      </c>
      <c r="AG84" s="30">
        <f t="shared" si="197"/>
        <v>1713.399999999999</v>
      </c>
      <c r="AH84" s="30">
        <f t="shared" si="197"/>
        <v>1778.1380000000022</v>
      </c>
      <c r="AI84" s="30">
        <f t="shared" si="197"/>
        <v>1991.5610000000022</v>
      </c>
      <c r="AJ84" s="30">
        <f t="shared" si="197"/>
        <v>2022.5350000000021</v>
      </c>
      <c r="AK84" s="30">
        <f t="shared" si="197"/>
        <v>2034.4080000000022</v>
      </c>
      <c r="AL84" s="30">
        <f t="shared" si="197"/>
        <v>2051.5289999999991</v>
      </c>
      <c r="AM84" s="30">
        <f t="shared" si="197"/>
        <v>2108.9539999999988</v>
      </c>
      <c r="AN84" s="30">
        <f t="shared" si="197"/>
        <v>2172.9959999999983</v>
      </c>
      <c r="AO84" s="30">
        <f t="shared" si="197"/>
        <v>2255.0549999999985</v>
      </c>
      <c r="AP84" s="30">
        <f t="shared" si="197"/>
        <v>2313.6669999999981</v>
      </c>
      <c r="AQ84" s="30">
        <f t="shared" si="197"/>
        <v>2351.8129999999983</v>
      </c>
      <c r="AR84" s="30">
        <f t="shared" si="197"/>
        <v>2377.8129999999983</v>
      </c>
      <c r="AS84" s="30">
        <f t="shared" si="197"/>
        <v>2422.5029999999983</v>
      </c>
      <c r="AT84" s="30">
        <f t="shared" si="197"/>
        <v>2456.673000000002</v>
      </c>
      <c r="AU84" s="30">
        <f t="shared" si="197"/>
        <v>2457.5840000000017</v>
      </c>
      <c r="AV84" s="30"/>
      <c r="AW84" s="30">
        <f>SUM(P22:R22)+AW22</f>
        <v>2005.1049999999987</v>
      </c>
      <c r="AX84" s="30">
        <f>SUM(Q22:S22)+AX22</f>
        <v>1925.7699999999986</v>
      </c>
    </row>
    <row r="85" spans="1:50" ht="13.5" customHeight="1">
      <c r="B85" s="1" t="s">
        <v>263</v>
      </c>
      <c r="C85" s="30">
        <f t="shared" ref="C85:M85" si="198">-C61</f>
        <v>4891.9440000000004</v>
      </c>
      <c r="D85" s="30">
        <f t="shared" si="198"/>
        <v>3233.6490000000003</v>
      </c>
      <c r="E85" s="30">
        <f t="shared" si="198"/>
        <v>2419.761</v>
      </c>
      <c r="F85" s="30">
        <f t="shared" si="198"/>
        <v>1997.452</v>
      </c>
      <c r="G85" s="30">
        <f t="shared" si="198"/>
        <v>1243.115</v>
      </c>
      <c r="H85" s="30">
        <f t="shared" si="198"/>
        <v>1618.941</v>
      </c>
      <c r="I85" s="30">
        <f t="shared" si="198"/>
        <v>1918.5290000000002</v>
      </c>
      <c r="J85" s="30">
        <f t="shared" si="198"/>
        <v>3299.0539999999996</v>
      </c>
      <c r="K85" s="30">
        <f>-K61</f>
        <v>4222.0259999999998</v>
      </c>
      <c r="L85" s="30">
        <f>-L61</f>
        <v>5014.3219999999992</v>
      </c>
      <c r="M85" s="30">
        <f t="shared" si="198"/>
        <v>4837.646999999999</v>
      </c>
      <c r="N85" s="30"/>
      <c r="O85" s="30"/>
      <c r="P85" s="30"/>
      <c r="Q85" s="30"/>
      <c r="R85" s="30">
        <f t="shared" ref="R85:AU85" si="199">-R61-Q61-P61-O61</f>
        <v>2419.761</v>
      </c>
      <c r="S85" s="30">
        <f t="shared" si="199"/>
        <v>2438.1239999999998</v>
      </c>
      <c r="T85" s="30">
        <f t="shared" si="199"/>
        <v>2298.3179999999998</v>
      </c>
      <c r="U85" s="30">
        <f t="shared" si="199"/>
        <v>2169.4039999999995</v>
      </c>
      <c r="V85" s="30">
        <f t="shared" si="199"/>
        <v>1997.4520000000002</v>
      </c>
      <c r="W85" s="30">
        <f t="shared" si="199"/>
        <v>1735.1849999999999</v>
      </c>
      <c r="X85" s="30">
        <f t="shared" si="199"/>
        <v>1652.4030000000002</v>
      </c>
      <c r="Y85" s="30">
        <f t="shared" si="199"/>
        <v>1410.7660000000005</v>
      </c>
      <c r="Z85" s="30">
        <f t="shared" si="199"/>
        <v>1243.115</v>
      </c>
      <c r="AA85" s="30">
        <f t="shared" si="199"/>
        <v>1211.855</v>
      </c>
      <c r="AB85" s="30">
        <f t="shared" si="199"/>
        <v>1279.865</v>
      </c>
      <c r="AC85" s="30">
        <f t="shared" si="199"/>
        <v>1397.8229999999999</v>
      </c>
      <c r="AD85" s="30">
        <f t="shared" si="199"/>
        <v>1618.9409999999998</v>
      </c>
      <c r="AE85" s="30">
        <f t="shared" si="199"/>
        <v>1805.2909999999999</v>
      </c>
      <c r="AF85" s="30">
        <f t="shared" si="199"/>
        <v>1896.25</v>
      </c>
      <c r="AG85" s="30">
        <f t="shared" si="199"/>
        <v>1954.5390000000002</v>
      </c>
      <c r="AH85" s="30">
        <f t="shared" si="199"/>
        <v>1918.5290000000005</v>
      </c>
      <c r="AI85" s="30">
        <f t="shared" si="199"/>
        <v>2101.3090000000002</v>
      </c>
      <c r="AJ85" s="30">
        <f t="shared" si="199"/>
        <v>2255.0410000000002</v>
      </c>
      <c r="AK85" s="30">
        <f t="shared" si="199"/>
        <v>2652.9459999999999</v>
      </c>
      <c r="AL85" s="30">
        <f t="shared" si="199"/>
        <v>3299.0540000000001</v>
      </c>
      <c r="AM85" s="30">
        <f t="shared" si="199"/>
        <v>3542.6820000000002</v>
      </c>
      <c r="AN85" s="30">
        <f t="shared" si="199"/>
        <v>4084.5789999999997</v>
      </c>
      <c r="AO85" s="30">
        <f t="shared" si="199"/>
        <v>4072.1230000000005</v>
      </c>
      <c r="AP85" s="30">
        <f t="shared" si="199"/>
        <v>4222.0259999999998</v>
      </c>
      <c r="AQ85" s="30">
        <f t="shared" si="199"/>
        <v>4577.018</v>
      </c>
      <c r="AR85" s="30">
        <f t="shared" si="199"/>
        <v>4557.1329999999998</v>
      </c>
      <c r="AS85" s="30">
        <f t="shared" si="199"/>
        <v>4900.8829999999998</v>
      </c>
      <c r="AT85" s="30">
        <f t="shared" si="199"/>
        <v>5014.3219999999983</v>
      </c>
      <c r="AU85" s="30">
        <f t="shared" si="199"/>
        <v>4837.646999999999</v>
      </c>
      <c r="AV85" s="30"/>
      <c r="AW85" s="30">
        <f>-AW61-R61-Q61-P61</f>
        <v>2438.1239999999998</v>
      </c>
      <c r="AX85" s="30">
        <f>-AX61-S61-R61-Q61</f>
        <v>2298.3179999999998</v>
      </c>
    </row>
    <row r="86" spans="1:50" ht="13.5" customHeight="1">
      <c r="B86" s="1" t="s">
        <v>249</v>
      </c>
      <c r="C86" s="30">
        <f t="shared" ref="C86:M86" si="200">+C64</f>
        <v>-1592.5700000000004</v>
      </c>
      <c r="D86" s="30">
        <f t="shared" si="200"/>
        <v>-57.243000000000258</v>
      </c>
      <c r="E86" s="30">
        <f t="shared" si="200"/>
        <v>-115.54999999999986</v>
      </c>
      <c r="F86" s="30">
        <f t="shared" si="200"/>
        <v>1060.0520000000001</v>
      </c>
      <c r="G86" s="30">
        <f t="shared" si="200"/>
        <v>1532.077</v>
      </c>
      <c r="H86" s="30">
        <f t="shared" si="200"/>
        <v>1831.7639999999999</v>
      </c>
      <c r="I86" s="30">
        <f t="shared" si="200"/>
        <v>229.6421799999998</v>
      </c>
      <c r="J86" s="30">
        <f t="shared" si="200"/>
        <v>-328.35045000000008</v>
      </c>
      <c r="K86" s="30">
        <f>+K64</f>
        <v>-129.14136000000062</v>
      </c>
      <c r="L86" s="30">
        <f>+L64</f>
        <v>-2276.1222799999996</v>
      </c>
      <c r="M86" s="30">
        <f t="shared" si="200"/>
        <v>-1907.1564199999982</v>
      </c>
      <c r="N86" s="30"/>
      <c r="O86" s="30"/>
      <c r="P86" s="30"/>
      <c r="Q86" s="30"/>
      <c r="R86" s="30">
        <f t="shared" ref="R86:AU86" si="201">+R64+Q64+P64+O64</f>
        <v>-115.5499999999999</v>
      </c>
      <c r="S86" s="30">
        <f t="shared" si="201"/>
        <v>36.193000000000168</v>
      </c>
      <c r="T86" s="30">
        <f t="shared" si="201"/>
        <v>238.85600000000017</v>
      </c>
      <c r="U86" s="30">
        <f t="shared" si="201"/>
        <v>797.14200000000051</v>
      </c>
      <c r="V86" s="30">
        <f t="shared" si="201"/>
        <v>1060.0520000000004</v>
      </c>
      <c r="W86" s="30">
        <f t="shared" si="201"/>
        <v>989.40800000000024</v>
      </c>
      <c r="X86" s="30">
        <f t="shared" si="201"/>
        <v>1446.3910000000003</v>
      </c>
      <c r="Y86" s="30">
        <f t="shared" si="201"/>
        <v>1704.4840000000002</v>
      </c>
      <c r="Z86" s="30">
        <f t="shared" si="201"/>
        <v>1532.0770000000002</v>
      </c>
      <c r="AA86" s="30">
        <f t="shared" si="201"/>
        <v>2046.2840000000001</v>
      </c>
      <c r="AB86" s="30">
        <f t="shared" si="201"/>
        <v>1978.1659999999997</v>
      </c>
      <c r="AC86" s="30">
        <f t="shared" si="201"/>
        <v>1795.4249999999995</v>
      </c>
      <c r="AD86" s="30">
        <f t="shared" si="201"/>
        <v>1831.7639999999999</v>
      </c>
      <c r="AE86" s="30">
        <f t="shared" si="201"/>
        <v>1209.8440000000001</v>
      </c>
      <c r="AF86" s="30">
        <f t="shared" si="201"/>
        <v>483.07600000000002</v>
      </c>
      <c r="AG86" s="30">
        <f t="shared" si="201"/>
        <v>701.89700000000039</v>
      </c>
      <c r="AH86" s="30">
        <f t="shared" si="201"/>
        <v>229.64217999999983</v>
      </c>
      <c r="AI86" s="30">
        <f t="shared" si="201"/>
        <v>448.47117999999995</v>
      </c>
      <c r="AJ86" s="30">
        <f t="shared" si="201"/>
        <v>966.04818</v>
      </c>
      <c r="AK86" s="30">
        <f t="shared" si="201"/>
        <v>-396.07581999999968</v>
      </c>
      <c r="AL86" s="30">
        <f t="shared" si="201"/>
        <v>-328.35045000000002</v>
      </c>
      <c r="AM86" s="30">
        <f t="shared" si="201"/>
        <v>-146.14799999999991</v>
      </c>
      <c r="AN86" s="30">
        <f t="shared" si="201"/>
        <v>-380.69299999999964</v>
      </c>
      <c r="AO86" s="30">
        <f t="shared" si="201"/>
        <v>535.19799999999907</v>
      </c>
      <c r="AP86" s="30">
        <f t="shared" si="201"/>
        <v>-129.14135999999993</v>
      </c>
      <c r="AQ86" s="30">
        <f t="shared" si="201"/>
        <v>-853.00999999999954</v>
      </c>
      <c r="AR86" s="30">
        <f t="shared" si="201"/>
        <v>-1281.1509999999992</v>
      </c>
      <c r="AS86" s="30">
        <f t="shared" si="201"/>
        <v>-2507.7189999999991</v>
      </c>
      <c r="AT86" s="30">
        <f t="shared" si="201"/>
        <v>-2276.1222799999987</v>
      </c>
      <c r="AU86" s="30">
        <f t="shared" si="201"/>
        <v>-1907.1564199999989</v>
      </c>
      <c r="AV86" s="30"/>
      <c r="AW86" s="30">
        <f>+AW64+R64+Q64+P64</f>
        <v>36.71400000000024</v>
      </c>
      <c r="AX86" s="30">
        <f>+AX64+S64+R64+Q64</f>
        <v>236.63500000000039</v>
      </c>
    </row>
    <row r="87" spans="1:50" ht="13.5" customHeight="1">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row>
    <row r="88" spans="1:50" ht="13.5" customHeight="1">
      <c r="A88" s="23"/>
      <c r="B88" s="15" t="s">
        <v>264</v>
      </c>
      <c r="C88" s="33">
        <f>+C78</f>
        <v>42735</v>
      </c>
      <c r="D88" s="33">
        <f>+D78</f>
        <v>43100</v>
      </c>
      <c r="E88" s="62">
        <f>+E78</f>
        <v>43465</v>
      </c>
      <c r="F88" s="62">
        <f t="shared" ref="F88:K88" si="202">F3</f>
        <v>43830</v>
      </c>
      <c r="G88" s="62">
        <f t="shared" si="202"/>
        <v>44196</v>
      </c>
      <c r="H88" s="62">
        <f t="shared" si="202"/>
        <v>44561</v>
      </c>
      <c r="I88" s="62">
        <f t="shared" si="202"/>
        <v>44926</v>
      </c>
      <c r="J88" s="62">
        <f t="shared" si="202"/>
        <v>45291</v>
      </c>
      <c r="K88" s="62">
        <f t="shared" si="202"/>
        <v>45657</v>
      </c>
      <c r="L88" s="62">
        <f>L3</f>
        <v>46022</v>
      </c>
      <c r="M88" s="62">
        <f>+M78</f>
        <v>46111</v>
      </c>
      <c r="N88" s="177"/>
      <c r="O88" s="62">
        <f t="shared" ref="O88:V88" si="203">O3</f>
        <v>43189</v>
      </c>
      <c r="P88" s="62">
        <f t="shared" si="203"/>
        <v>43281</v>
      </c>
      <c r="Q88" s="62">
        <f t="shared" si="203"/>
        <v>43373</v>
      </c>
      <c r="R88" s="62">
        <f t="shared" si="203"/>
        <v>43464</v>
      </c>
      <c r="S88" s="62">
        <f t="shared" si="203"/>
        <v>43554</v>
      </c>
      <c r="T88" s="62">
        <f t="shared" si="203"/>
        <v>43646</v>
      </c>
      <c r="U88" s="62">
        <f t="shared" si="203"/>
        <v>43738</v>
      </c>
      <c r="V88" s="62">
        <f t="shared" si="203"/>
        <v>43829</v>
      </c>
      <c r="W88" s="62">
        <f t="shared" ref="W88:AB88" si="204">W3</f>
        <v>43920</v>
      </c>
      <c r="X88" s="62">
        <f t="shared" si="204"/>
        <v>44012</v>
      </c>
      <c r="Y88" s="62">
        <f t="shared" si="204"/>
        <v>44104</v>
      </c>
      <c r="Z88" s="62">
        <f t="shared" si="204"/>
        <v>44195</v>
      </c>
      <c r="AA88" s="62">
        <f t="shared" si="204"/>
        <v>44285</v>
      </c>
      <c r="AB88" s="62">
        <f t="shared" si="204"/>
        <v>44377</v>
      </c>
      <c r="AC88" s="62">
        <f t="shared" ref="AC88:AH88" si="205">AC3</f>
        <v>44469</v>
      </c>
      <c r="AD88" s="62">
        <f t="shared" si="205"/>
        <v>44560</v>
      </c>
      <c r="AE88" s="62">
        <f t="shared" si="205"/>
        <v>44650</v>
      </c>
      <c r="AF88" s="62">
        <f t="shared" si="205"/>
        <v>44742</v>
      </c>
      <c r="AG88" s="62">
        <f t="shared" si="205"/>
        <v>44834</v>
      </c>
      <c r="AH88" s="62">
        <f t="shared" si="205"/>
        <v>44926</v>
      </c>
      <c r="AI88" s="62">
        <f t="shared" ref="AI88:AN88" si="206">AI3</f>
        <v>45015</v>
      </c>
      <c r="AJ88" s="62">
        <f t="shared" si="206"/>
        <v>45107</v>
      </c>
      <c r="AK88" s="62">
        <f t="shared" si="206"/>
        <v>45199</v>
      </c>
      <c r="AL88" s="62">
        <f t="shared" si="206"/>
        <v>45291</v>
      </c>
      <c r="AM88" s="62">
        <f t="shared" si="206"/>
        <v>45381</v>
      </c>
      <c r="AN88" s="62">
        <f t="shared" si="206"/>
        <v>45473</v>
      </c>
      <c r="AO88" s="62">
        <f t="shared" ref="AO88:AT88" si="207">AO3</f>
        <v>45565</v>
      </c>
      <c r="AP88" s="62">
        <f t="shared" si="207"/>
        <v>45657</v>
      </c>
      <c r="AQ88" s="62">
        <f t="shared" si="207"/>
        <v>45746</v>
      </c>
      <c r="AR88" s="62">
        <f t="shared" si="207"/>
        <v>45838</v>
      </c>
      <c r="AS88" s="62">
        <f t="shared" si="207"/>
        <v>45930</v>
      </c>
      <c r="AT88" s="62">
        <f t="shared" si="207"/>
        <v>46022</v>
      </c>
      <c r="AU88" s="62">
        <f>AU3</f>
        <v>46111</v>
      </c>
      <c r="AV88" s="176"/>
      <c r="AW88"/>
      <c r="AX88"/>
    </row>
    <row r="89" spans="1:50" ht="13.5" customHeight="1">
      <c r="C89" s="70"/>
      <c r="D89" s="70"/>
      <c r="E89" s="70"/>
      <c r="F89" s="70"/>
      <c r="G89" s="70"/>
      <c r="H89" s="70"/>
      <c r="I89" s="70"/>
      <c r="J89" s="70"/>
      <c r="K89" s="70"/>
      <c r="L89" s="70"/>
      <c r="AV89" s="297"/>
      <c r="AW89"/>
      <c r="AX89"/>
    </row>
    <row r="90" spans="1:50" s="5" customFormat="1" ht="13.5" customHeight="1">
      <c r="B90" s="1" t="s">
        <v>265</v>
      </c>
      <c r="C90" s="4">
        <f>21144.593+1271.425</f>
        <v>22416.018</v>
      </c>
      <c r="D90" s="4">
        <f>22401.692+1283.342</f>
        <v>23685.034</v>
      </c>
      <c r="E90" s="4">
        <f>22606.542+547.933+1366.566</f>
        <v>24521.041000000001</v>
      </c>
      <c r="F90" s="4">
        <f>22576.888+461.375+1381.268</f>
        <v>24419.530999999999</v>
      </c>
      <c r="G90" s="4">
        <f>21112.904+470.269+1392.079</f>
        <v>22975.252</v>
      </c>
      <c r="H90" s="4">
        <f>20873.448+464.704+1469.084</f>
        <v>22807.236000000001</v>
      </c>
      <c r="I90" s="4">
        <f>20114.537+498.783+1564.899</f>
        <v>22178.219000000001</v>
      </c>
      <c r="J90" s="4">
        <f>20807.81+473.831+1741.819</f>
        <v>23023.46</v>
      </c>
      <c r="K90" s="4">
        <f>22750.342+504.066+1838.353</f>
        <v>25092.760999999999</v>
      </c>
      <c r="L90" s="4">
        <f>26058.632+1810.686+551.614</f>
        <v>28420.932000000004</v>
      </c>
      <c r="M90" s="30">
        <f>AU90</f>
        <v>28924.556</v>
      </c>
      <c r="N90" s="30"/>
      <c r="O90" s="4">
        <f>22413.54+1296.401</f>
        <v>23709.941000000003</v>
      </c>
      <c r="P90" s="4">
        <f>22467.992+1322.537</f>
        <v>23790.528999999999</v>
      </c>
      <c r="Q90" s="4">
        <f>22477.992+1356.208</f>
        <v>23834.199999999997</v>
      </c>
      <c r="R90" s="30">
        <f>E90</f>
        <v>24521.041000000001</v>
      </c>
      <c r="S90" s="4">
        <f>22712.626+436.244+1369.281</f>
        <v>24518.150999999998</v>
      </c>
      <c r="T90" s="4">
        <f>22739.257+464.696+1357.945</f>
        <v>24561.898000000001</v>
      </c>
      <c r="U90" s="4">
        <f>22668.783+463.194+1363.984</f>
        <v>24495.960999999999</v>
      </c>
      <c r="V90" s="30">
        <f>F90</f>
        <v>24419.530999999999</v>
      </c>
      <c r="W90" s="4">
        <f>22882.735+1386.439</f>
        <v>24269.173999999999</v>
      </c>
      <c r="X90" s="4">
        <f>22672.336+1388.643</f>
        <v>24060.978999999999</v>
      </c>
      <c r="Y90" s="4">
        <f>21814.487+1358.767</f>
        <v>23173.254000000001</v>
      </c>
      <c r="Z90" s="30">
        <f>G90</f>
        <v>22975.252</v>
      </c>
      <c r="AA90" s="4">
        <f>20876.075+461.004+1392.36</f>
        <v>22729.439000000002</v>
      </c>
      <c r="AB90" s="4">
        <f>21112.904+470.269+1392.079</f>
        <v>22975.252</v>
      </c>
      <c r="AC90" s="4">
        <f>20696.092+417.598+1475.861</f>
        <v>22589.551000000003</v>
      </c>
      <c r="AD90" s="30">
        <f>H90</f>
        <v>22807.236000000001</v>
      </c>
      <c r="AE90" s="4">
        <f>20700.515+472.59+1461.352</f>
        <v>22634.456999999999</v>
      </c>
      <c r="AF90" s="4">
        <f>20589.98+477.926+1495.291</f>
        <v>22563.197</v>
      </c>
      <c r="AG90" s="4">
        <f>20451.199+474.98+1530.212</f>
        <v>22456.391</v>
      </c>
      <c r="AH90" s="30">
        <f>I90</f>
        <v>22178.219000000001</v>
      </c>
      <c r="AI90" s="4">
        <f>20028.469+477.591</f>
        <v>20506.060000000001</v>
      </c>
      <c r="AJ90" s="4">
        <f>20158.85+476.035+1538.05</f>
        <v>22172.934999999998</v>
      </c>
      <c r="AK90" s="4">
        <f>20439.359+492.817+1542.98</f>
        <v>22475.155999999999</v>
      </c>
      <c r="AL90" s="30">
        <f>J90</f>
        <v>23023.46</v>
      </c>
      <c r="AM90" s="4">
        <f>21058.725+479.082+1763.533</f>
        <v>23301.339999999997</v>
      </c>
      <c r="AN90" s="4">
        <f>21653.932+459.687+1788.561</f>
        <v>23902.180000000004</v>
      </c>
      <c r="AO90" s="4">
        <f>22093.639+472.176+1800.689</f>
        <v>24366.503999999997</v>
      </c>
      <c r="AP90" s="30">
        <f>K90</f>
        <v>25092.760999999999</v>
      </c>
      <c r="AQ90" s="4">
        <f>23499.685+506.944+1829.56</f>
        <v>25836.189000000002</v>
      </c>
      <c r="AR90" s="4">
        <f>(24139475+489573+1815226)/1000</f>
        <v>26444.274000000001</v>
      </c>
      <c r="AS90" s="4">
        <f>25205.426+492.208+1821.045</f>
        <v>27518.678999999996</v>
      </c>
      <c r="AT90" s="30">
        <f>L90</f>
        <v>28420.932000000004</v>
      </c>
      <c r="AU90" s="4">
        <f>26561.364+547.305+1815.887</f>
        <v>28924.556</v>
      </c>
      <c r="AV90" s="30"/>
      <c r="AW90"/>
      <c r="AX90"/>
    </row>
    <row r="91" spans="1:50" s="5" customFormat="1" ht="13.5" customHeight="1">
      <c r="B91" s="6" t="s">
        <v>266</v>
      </c>
      <c r="C91" s="4">
        <v>3002.3310000000001</v>
      </c>
      <c r="D91" s="4">
        <v>3121.9029999999998</v>
      </c>
      <c r="E91" s="4">
        <v>3874.1930000000002</v>
      </c>
      <c r="F91" s="4">
        <v>4198.0050000000001</v>
      </c>
      <c r="G91" s="4">
        <v>4705.3639999999996</v>
      </c>
      <c r="H91" s="4">
        <v>4353.5959999999995</v>
      </c>
      <c r="I91" s="4">
        <v>5237.1360000000004</v>
      </c>
      <c r="J91" s="4">
        <v>6148.1890000000003</v>
      </c>
      <c r="K91" s="4">
        <v>5684.42</v>
      </c>
      <c r="L91" s="4">
        <v>6005.7380000000003</v>
      </c>
      <c r="M91" s="30">
        <f>AU91</f>
        <v>5578.4080000000004</v>
      </c>
      <c r="N91" s="30"/>
      <c r="O91" s="4">
        <v>3157.93</v>
      </c>
      <c r="P91" s="4">
        <v>3446.3119999999999</v>
      </c>
      <c r="Q91" s="4">
        <v>3812.0039999999999</v>
      </c>
      <c r="R91" s="30">
        <f>E91</f>
        <v>3874.1930000000002</v>
      </c>
      <c r="S91" s="4">
        <v>3813.5349999999999</v>
      </c>
      <c r="T91" s="4">
        <v>4093.4630000000002</v>
      </c>
      <c r="U91" s="4">
        <v>4289.1099999999997</v>
      </c>
      <c r="V91" s="30">
        <f>F91</f>
        <v>4198.0050000000001</v>
      </c>
      <c r="W91" s="4">
        <v>4050.1469999999999</v>
      </c>
      <c r="X91" s="4">
        <v>4465.0010000000002</v>
      </c>
      <c r="Y91" s="4">
        <v>4757.5050000000001</v>
      </c>
      <c r="Z91" s="30">
        <f>G91</f>
        <v>4705.3639999999996</v>
      </c>
      <c r="AA91" s="4">
        <v>4512.6530000000002</v>
      </c>
      <c r="AB91" s="4">
        <v>4705.3639999999996</v>
      </c>
      <c r="AC91" s="4">
        <v>4393.8940000000002</v>
      </c>
      <c r="AD91" s="30">
        <f>H91</f>
        <v>4353.5959999999995</v>
      </c>
      <c r="AE91" s="4">
        <v>4360.1369999999997</v>
      </c>
      <c r="AF91" s="4">
        <v>5116.2730000000001</v>
      </c>
      <c r="AG91" s="4">
        <v>5068.3530000000001</v>
      </c>
      <c r="AH91" s="30">
        <f>I91</f>
        <v>5237.1360000000004</v>
      </c>
      <c r="AI91" s="4">
        <v>5264.616</v>
      </c>
      <c r="AJ91" s="4">
        <v>5787.0020000000004</v>
      </c>
      <c r="AK91" s="4">
        <v>6111.9669999999996</v>
      </c>
      <c r="AL91" s="30">
        <f>J91</f>
        <v>6148.1890000000003</v>
      </c>
      <c r="AM91" s="4">
        <v>5717.0780000000004</v>
      </c>
      <c r="AN91" s="4">
        <v>5580.143</v>
      </c>
      <c r="AO91" s="4">
        <v>5631.2479999999996</v>
      </c>
      <c r="AP91" s="30">
        <f>K91</f>
        <v>5684.42</v>
      </c>
      <c r="AQ91" s="4">
        <v>5189.2370000000001</v>
      </c>
      <c r="AR91" s="4">
        <v>5643.3789999999999</v>
      </c>
      <c r="AS91" s="4">
        <v>5680.1549999999997</v>
      </c>
      <c r="AT91" s="30">
        <f>L91</f>
        <v>6005.7380000000003</v>
      </c>
      <c r="AU91" s="4">
        <v>5578.4080000000004</v>
      </c>
      <c r="AV91" s="30"/>
      <c r="AW91"/>
      <c r="AX91"/>
    </row>
    <row r="92" spans="1:50" s="5" customFormat="1" ht="13.5" customHeight="1">
      <c r="B92" s="6" t="s">
        <v>267</v>
      </c>
      <c r="C92" s="4">
        <v>1548.684</v>
      </c>
      <c r="D92" s="4">
        <v>1702.375</v>
      </c>
      <c r="E92" s="4">
        <v>1913.202</v>
      </c>
      <c r="F92" s="4">
        <v>1868.895</v>
      </c>
      <c r="G92" s="4">
        <v>1936.3409999999999</v>
      </c>
      <c r="H92" s="4">
        <v>1991.2049999999999</v>
      </c>
      <c r="I92" s="4">
        <v>2156.1419999999998</v>
      </c>
      <c r="J92" s="4">
        <v>2564.6460000000002</v>
      </c>
      <c r="K92" s="4">
        <v>2421.5259999999998</v>
      </c>
      <c r="L92" s="4">
        <v>2696.3420000000001</v>
      </c>
      <c r="M92" s="30">
        <f>AU92</f>
        <v>4068.7860000000001</v>
      </c>
      <c r="N92" s="30"/>
      <c r="O92" s="4">
        <v>2066.5949999999998</v>
      </c>
      <c r="P92" s="4">
        <v>2360.607</v>
      </c>
      <c r="Q92" s="4">
        <v>2439.6550000000002</v>
      </c>
      <c r="R92" s="30">
        <f>E92</f>
        <v>1913.202</v>
      </c>
      <c r="S92" s="4">
        <v>2188.2849999999999</v>
      </c>
      <c r="T92" s="4">
        <v>2382.1260000000002</v>
      </c>
      <c r="U92" s="4">
        <v>2390.011</v>
      </c>
      <c r="V92" s="30">
        <f>F92</f>
        <v>1868.895</v>
      </c>
      <c r="W92" s="4">
        <v>2516.0410000000002</v>
      </c>
      <c r="X92" s="4">
        <v>2417.6280000000002</v>
      </c>
      <c r="Y92" s="4">
        <v>2419.424</v>
      </c>
      <c r="Z92" s="30">
        <f>G92</f>
        <v>1936.3409999999999</v>
      </c>
      <c r="AA92" s="4">
        <v>2689.08</v>
      </c>
      <c r="AB92" s="4">
        <v>1936.3409999999999</v>
      </c>
      <c r="AC92" s="4">
        <v>2404.5770000000002</v>
      </c>
      <c r="AD92" s="30">
        <f>H92</f>
        <v>1991.2049999999999</v>
      </c>
      <c r="AE92" s="4">
        <v>2695.2339999999999</v>
      </c>
      <c r="AF92" s="4">
        <v>2636.0410000000002</v>
      </c>
      <c r="AG92" s="4">
        <f>2595.315</f>
        <v>2595.3150000000001</v>
      </c>
      <c r="AH92" s="30">
        <f>I92</f>
        <v>2156.1419999999998</v>
      </c>
      <c r="AI92" s="4">
        <v>3110.0390000000002</v>
      </c>
      <c r="AJ92" s="4">
        <v>2945.4859999999999</v>
      </c>
      <c r="AK92" s="4">
        <v>3028.0419999999999</v>
      </c>
      <c r="AL92" s="30">
        <f>J92</f>
        <v>2564.6460000000002</v>
      </c>
      <c r="AM92" s="4">
        <v>3397.4490000000001</v>
      </c>
      <c r="AN92" s="4">
        <v>3097.404</v>
      </c>
      <c r="AO92" s="4">
        <v>3185.9740000000002</v>
      </c>
      <c r="AP92" s="30">
        <f>K92</f>
        <v>2421.5259999999998</v>
      </c>
      <c r="AQ92" s="4">
        <v>3620.808</v>
      </c>
      <c r="AR92" s="4">
        <v>3367.7289999999998</v>
      </c>
      <c r="AS92" s="4">
        <v>3786.5050000000001</v>
      </c>
      <c r="AT92" s="30">
        <f>L92</f>
        <v>2696.3420000000001</v>
      </c>
      <c r="AU92" s="4">
        <v>4068.7860000000001</v>
      </c>
      <c r="AV92" s="30"/>
      <c r="AW92"/>
      <c r="AX92"/>
    </row>
    <row r="93" spans="1:50" s="5" customFormat="1" ht="13.5" customHeight="1">
      <c r="B93" s="6" t="s">
        <v>268</v>
      </c>
      <c r="C93" s="4">
        <v>3114.5239999999999</v>
      </c>
      <c r="D93" s="4">
        <v>3227.49</v>
      </c>
      <c r="E93" s="4">
        <v>2808.0419999999999</v>
      </c>
      <c r="F93" s="4">
        <v>3019.16</v>
      </c>
      <c r="G93" s="4">
        <v>3014.8339999999998</v>
      </c>
      <c r="H93" s="4">
        <v>3339.4960000000001</v>
      </c>
      <c r="I93" s="4">
        <v>3655.5529999999999</v>
      </c>
      <c r="J93" s="4">
        <v>4245.8680000000004</v>
      </c>
      <c r="K93" s="4">
        <v>4048.9209999999998</v>
      </c>
      <c r="L93" s="4">
        <v>4414.7929999999997</v>
      </c>
      <c r="M93" s="30">
        <f>AU93</f>
        <v>5103.942</v>
      </c>
      <c r="N93" s="30"/>
      <c r="O93" s="4">
        <v>3239.9279999999999</v>
      </c>
      <c r="P93" s="4">
        <v>3400.335</v>
      </c>
      <c r="Q93" s="4">
        <v>3153.7289999999998</v>
      </c>
      <c r="R93" s="30">
        <f>E93</f>
        <v>2808.0419999999999</v>
      </c>
      <c r="S93" s="4">
        <v>2848.6280000000002</v>
      </c>
      <c r="T93" s="4">
        <v>3122.4009999999998</v>
      </c>
      <c r="U93" s="4">
        <v>3108.3960000000002</v>
      </c>
      <c r="V93" s="30">
        <f>F93</f>
        <v>3019.16</v>
      </c>
      <c r="W93" s="4">
        <v>2937.5030000000002</v>
      </c>
      <c r="X93" s="4">
        <v>3358.0230000000001</v>
      </c>
      <c r="Y93" s="4">
        <v>3376.433</v>
      </c>
      <c r="Z93" s="30">
        <f>G93</f>
        <v>3014.8339999999998</v>
      </c>
      <c r="AA93" s="4">
        <v>3379.14</v>
      </c>
      <c r="AB93" s="4">
        <v>3014.8339999999998</v>
      </c>
      <c r="AC93" s="4">
        <v>3345.944</v>
      </c>
      <c r="AD93" s="30">
        <f>H93</f>
        <v>3339.4960000000001</v>
      </c>
      <c r="AE93" s="4">
        <v>3448.9549999999999</v>
      </c>
      <c r="AF93" s="4">
        <v>3769.7779999999998</v>
      </c>
      <c r="AG93" s="4">
        <v>3669.2719999999999</v>
      </c>
      <c r="AH93" s="30">
        <f>I93</f>
        <v>3655.5529999999999</v>
      </c>
      <c r="AI93" s="4">
        <v>4091.6289999999999</v>
      </c>
      <c r="AJ93" s="4">
        <v>4620.1779999999999</v>
      </c>
      <c r="AK93" s="4">
        <v>3991.07</v>
      </c>
      <c r="AL93" s="30">
        <f>J93</f>
        <v>4245.8680000000004</v>
      </c>
      <c r="AM93" s="4">
        <v>4625.6989999999996</v>
      </c>
      <c r="AN93" s="4">
        <v>4728.3329999999996</v>
      </c>
      <c r="AO93" s="4">
        <v>4783.5730000000003</v>
      </c>
      <c r="AP93" s="30">
        <f>K93</f>
        <v>4048.9209999999998</v>
      </c>
      <c r="AQ93" s="4">
        <v>4409.9530000000004</v>
      </c>
      <c r="AR93" s="4">
        <v>4771.5640000000003</v>
      </c>
      <c r="AS93" s="4">
        <v>4897.1589999999997</v>
      </c>
      <c r="AT93" s="30">
        <f>L93</f>
        <v>4414.7929999999997</v>
      </c>
      <c r="AU93" s="4">
        <v>5103.942</v>
      </c>
      <c r="AV93" s="30"/>
      <c r="AW93"/>
      <c r="AX93"/>
    </row>
    <row r="94" spans="1:50" s="5" customFormat="1" ht="13.5" customHeight="1">
      <c r="B94" s="5" t="s">
        <v>269</v>
      </c>
      <c r="C94" s="59">
        <f t="shared" ref="C94:M94" si="208">C91+C92-C93</f>
        <v>1436.4910000000004</v>
      </c>
      <c r="D94" s="59">
        <f t="shared" si="208"/>
        <v>1596.7880000000005</v>
      </c>
      <c r="E94" s="59">
        <f t="shared" si="208"/>
        <v>2979.3530000000005</v>
      </c>
      <c r="F94" s="59">
        <f t="shared" si="208"/>
        <v>3047.74</v>
      </c>
      <c r="G94" s="59">
        <f t="shared" si="208"/>
        <v>3626.8710000000001</v>
      </c>
      <c r="H94" s="59">
        <f t="shared" si="208"/>
        <v>3005.3049999999994</v>
      </c>
      <c r="I94" s="59">
        <f t="shared" si="208"/>
        <v>3737.7250000000004</v>
      </c>
      <c r="J94" s="59">
        <f t="shared" si="208"/>
        <v>4466.9670000000006</v>
      </c>
      <c r="K94" s="59">
        <f>K91+K92-K93</f>
        <v>4057.0250000000001</v>
      </c>
      <c r="L94" s="59">
        <f>L91+L92-L93</f>
        <v>4287.2870000000003</v>
      </c>
      <c r="M94" s="59">
        <f t="shared" si="208"/>
        <v>4543.2519999999995</v>
      </c>
      <c r="N94" s="59"/>
      <c r="O94" s="59">
        <f t="shared" ref="O94:T94" si="209">O91+O92-O93</f>
        <v>1984.5969999999998</v>
      </c>
      <c r="P94" s="59">
        <f t="shared" si="209"/>
        <v>2406.5839999999998</v>
      </c>
      <c r="Q94" s="59">
        <f t="shared" si="209"/>
        <v>3097.93</v>
      </c>
      <c r="R94" s="59">
        <f t="shared" si="209"/>
        <v>2979.3530000000005</v>
      </c>
      <c r="S94" s="59">
        <f t="shared" si="209"/>
        <v>3153.1919999999996</v>
      </c>
      <c r="T94" s="59">
        <f t="shared" si="209"/>
        <v>3353.1880000000001</v>
      </c>
      <c r="U94" s="59">
        <f t="shared" ref="U94:AC94" si="210">U91+U92-U93</f>
        <v>3570.724999999999</v>
      </c>
      <c r="V94" s="59">
        <f t="shared" si="210"/>
        <v>3047.74</v>
      </c>
      <c r="W94" s="59">
        <f t="shared" si="210"/>
        <v>3628.6849999999999</v>
      </c>
      <c r="X94" s="59">
        <f t="shared" si="210"/>
        <v>3524.6060000000007</v>
      </c>
      <c r="Y94" s="59">
        <f t="shared" si="210"/>
        <v>3800.4960000000001</v>
      </c>
      <c r="Z94" s="59">
        <f t="shared" si="210"/>
        <v>3626.8710000000001</v>
      </c>
      <c r="AA94" s="59">
        <f t="shared" si="210"/>
        <v>3822.5930000000003</v>
      </c>
      <c r="AB94" s="59">
        <f t="shared" si="210"/>
        <v>3626.8710000000001</v>
      </c>
      <c r="AC94" s="59">
        <f t="shared" si="210"/>
        <v>3452.5270000000005</v>
      </c>
      <c r="AD94" s="59">
        <f t="shared" ref="AD94:AI94" si="211">AD91+AD92-AD93</f>
        <v>3005.3049999999994</v>
      </c>
      <c r="AE94" s="59">
        <f t="shared" si="211"/>
        <v>3606.4159999999993</v>
      </c>
      <c r="AF94" s="59">
        <f t="shared" si="211"/>
        <v>3982.5360000000005</v>
      </c>
      <c r="AG94" s="59">
        <f t="shared" si="211"/>
        <v>3994.3959999999997</v>
      </c>
      <c r="AH94" s="59">
        <f t="shared" si="211"/>
        <v>3737.7250000000004</v>
      </c>
      <c r="AI94" s="59">
        <f t="shared" si="211"/>
        <v>4283.0260000000007</v>
      </c>
      <c r="AJ94" s="59">
        <f t="shared" ref="AJ94:AO94" si="212">AJ91+AJ92-AJ93</f>
        <v>4112.3100000000013</v>
      </c>
      <c r="AK94" s="59">
        <f t="shared" si="212"/>
        <v>5148.9390000000003</v>
      </c>
      <c r="AL94" s="59">
        <f t="shared" si="212"/>
        <v>4466.9670000000006</v>
      </c>
      <c r="AM94" s="59">
        <f t="shared" si="212"/>
        <v>4488.8280000000004</v>
      </c>
      <c r="AN94" s="59">
        <f t="shared" si="212"/>
        <v>3949.2140000000009</v>
      </c>
      <c r="AO94" s="59">
        <f t="shared" si="212"/>
        <v>4033.6489999999994</v>
      </c>
      <c r="AP94" s="59">
        <f t="shared" ref="AP94:AU94" si="213">AP91+AP92-AP93</f>
        <v>4057.0250000000001</v>
      </c>
      <c r="AQ94" s="59">
        <f t="shared" si="213"/>
        <v>4400.0919999999996</v>
      </c>
      <c r="AR94" s="59">
        <f t="shared" si="213"/>
        <v>4239.5439999999999</v>
      </c>
      <c r="AS94" s="59">
        <f t="shared" si="213"/>
        <v>4569.5010000000002</v>
      </c>
      <c r="AT94" s="59">
        <f t="shared" si="213"/>
        <v>4287.2870000000003</v>
      </c>
      <c r="AU94" s="59">
        <f t="shared" si="213"/>
        <v>4543.2519999999995</v>
      </c>
      <c r="AV94" s="59"/>
      <c r="AW94"/>
      <c r="AX94"/>
    </row>
    <row r="95" spans="1:50" s="34" customFormat="1" ht="13.5" customHeight="1">
      <c r="B95" s="19" t="s">
        <v>270</v>
      </c>
      <c r="C95" s="32">
        <f t="shared" ref="C95:M95" si="214">+C94/C79</f>
        <v>0.10018363744412891</v>
      </c>
      <c r="D95" s="32">
        <f t="shared" si="214"/>
        <v>0.11458392833513643</v>
      </c>
      <c r="E95" s="32">
        <f t="shared" si="214"/>
        <v>0.21975135119267186</v>
      </c>
      <c r="F95" s="32">
        <f t="shared" si="214"/>
        <v>0.2123671642600167</v>
      </c>
      <c r="G95" s="32">
        <f t="shared" si="214"/>
        <v>0.2361713408158965</v>
      </c>
      <c r="H95" s="32">
        <f t="shared" si="214"/>
        <v>0.18961249788639797</v>
      </c>
      <c r="I95" s="32">
        <f t="shared" si="214"/>
        <v>0.19964071641358644</v>
      </c>
      <c r="J95" s="32">
        <f t="shared" si="214"/>
        <v>0.22819072839968771</v>
      </c>
      <c r="K95" s="32">
        <f>+K94/K79</f>
        <v>0.19338033220219805</v>
      </c>
      <c r="L95" s="32">
        <f>+L94/L79</f>
        <v>0.19430369787711474</v>
      </c>
      <c r="M95" s="32">
        <f t="shared" si="214"/>
        <v>0.20230138794743338</v>
      </c>
      <c r="N95" s="138"/>
      <c r="O95" s="32"/>
      <c r="P95" s="32"/>
      <c r="Q95" s="32"/>
      <c r="R95" s="32">
        <f t="shared" ref="R95:W95" si="215">+R94/R79</f>
        <v>0.21975135119267186</v>
      </c>
      <c r="S95" s="32">
        <f t="shared" si="215"/>
        <v>0.23050129333834801</v>
      </c>
      <c r="T95" s="32">
        <f t="shared" si="215"/>
        <v>0.24346758562963955</v>
      </c>
      <c r="U95" s="32">
        <f t="shared" si="215"/>
        <v>0.25453321065945428</v>
      </c>
      <c r="V95" s="32">
        <f t="shared" si="215"/>
        <v>0.21236716426001667</v>
      </c>
      <c r="W95" s="32">
        <f t="shared" si="215"/>
        <v>0.24871665731984777</v>
      </c>
      <c r="X95" s="32">
        <f t="shared" ref="X95:AC95" si="216">+X94/X79</f>
        <v>0.23573627732748051</v>
      </c>
      <c r="Y95" s="32">
        <f t="shared" si="216"/>
        <v>0.24935509114346602</v>
      </c>
      <c r="Z95" s="32">
        <f t="shared" si="216"/>
        <v>0.23617134081589647</v>
      </c>
      <c r="AA95" s="32">
        <f t="shared" si="216"/>
        <v>0.24806694198561124</v>
      </c>
      <c r="AB95" s="32">
        <f t="shared" si="216"/>
        <v>0.23653641244652304</v>
      </c>
      <c r="AC95" s="32">
        <f t="shared" si="216"/>
        <v>0.22401700452578938</v>
      </c>
      <c r="AD95" s="32">
        <f t="shared" ref="AD95:AI95" si="217">+AD94/AD79</f>
        <v>0.18961249788639797</v>
      </c>
      <c r="AE95" s="32">
        <f t="shared" si="217"/>
        <v>0.21584754709419576</v>
      </c>
      <c r="AF95" s="32">
        <f t="shared" si="217"/>
        <v>0.23003097895794397</v>
      </c>
      <c r="AG95" s="32">
        <f t="shared" si="217"/>
        <v>0.22019297995808593</v>
      </c>
      <c r="AH95" s="32">
        <f t="shared" si="217"/>
        <v>0.19964071641358644</v>
      </c>
      <c r="AI95" s="32">
        <f t="shared" si="217"/>
        <v>0.22208685186928018</v>
      </c>
      <c r="AJ95" s="32">
        <f t="shared" ref="AJ95:AO95" si="218">+AJ94/AJ79</f>
        <v>0.21124228686029736</v>
      </c>
      <c r="AK95" s="32">
        <f t="shared" si="218"/>
        <v>0.26411479203983773</v>
      </c>
      <c r="AL95" s="32">
        <f t="shared" si="218"/>
        <v>0.22819072839968771</v>
      </c>
      <c r="AM95" s="32">
        <f t="shared" si="218"/>
        <v>0.22480488702182566</v>
      </c>
      <c r="AN95" s="32">
        <f t="shared" si="218"/>
        <v>0.19425611514528288</v>
      </c>
      <c r="AO95" s="32">
        <f t="shared" si="218"/>
        <v>0.19446843906116507</v>
      </c>
      <c r="AP95" s="32">
        <f t="shared" ref="AP95:AU95" si="219">+AP94/AP79</f>
        <v>0.19338033220219805</v>
      </c>
      <c r="AQ95" s="32">
        <f t="shared" si="219"/>
        <v>0.20669391493154277</v>
      </c>
      <c r="AR95" s="32">
        <f t="shared" si="219"/>
        <v>0.19790846141270865</v>
      </c>
      <c r="AS95" s="32">
        <f t="shared" si="219"/>
        <v>0.20994315754072287</v>
      </c>
      <c r="AT95" s="32">
        <f t="shared" si="219"/>
        <v>0.19430369787711471</v>
      </c>
      <c r="AU95" s="32">
        <f t="shared" si="219"/>
        <v>0.20230138794743338</v>
      </c>
      <c r="AV95" s="138"/>
      <c r="AW95"/>
      <c r="AX95"/>
    </row>
    <row r="96" spans="1:50" ht="13.5" customHeight="1">
      <c r="C96" s="29"/>
      <c r="D96" s="29"/>
      <c r="E96" s="29"/>
      <c r="F96" s="29"/>
      <c r="G96" s="29"/>
      <c r="H96" s="29"/>
      <c r="I96" s="29"/>
      <c r="J96" s="29"/>
      <c r="K96" s="29"/>
      <c r="L96" s="29"/>
      <c r="M96" s="30"/>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c r="AX96"/>
    </row>
    <row r="97" spans="2:50" s="34" customFormat="1" ht="13.5" customHeight="1">
      <c r="B97" s="34" t="s">
        <v>271</v>
      </c>
      <c r="C97" s="346">
        <f>366/(-C9/C91)</f>
        <v>124.64175124306779</v>
      </c>
      <c r="D97" s="346">
        <f t="shared" ref="D97:I97" si="220">365/(-D9/D91)</f>
        <v>136.43548773912693</v>
      </c>
      <c r="E97" s="346">
        <f t="shared" si="220"/>
        <v>171.80429627241119</v>
      </c>
      <c r="F97" s="346">
        <f t="shared" si="220"/>
        <v>170.54418820731425</v>
      </c>
      <c r="G97" s="346">
        <f>366/(-G9/G91)</f>
        <v>175.34732422129542</v>
      </c>
      <c r="H97" s="346">
        <f t="shared" si="220"/>
        <v>147.26564137732902</v>
      </c>
      <c r="I97" s="346">
        <f t="shared" si="220"/>
        <v>145.94209284064365</v>
      </c>
      <c r="J97" s="346">
        <f>365/(-J9/J91)</f>
        <v>165.93020079789741</v>
      </c>
      <c r="K97" s="346">
        <f>365/(-K9/K91)</f>
        <v>144.93514703683991</v>
      </c>
      <c r="L97" s="346">
        <f>365/(-L9/L91)</f>
        <v>144.43468871414714</v>
      </c>
      <c r="M97" s="346">
        <f>365/(-M9/M91)</f>
        <v>131.5936743590612</v>
      </c>
      <c r="N97" s="166"/>
      <c r="O97" s="346">
        <f>90/(-O9/O91)</f>
        <v>143.70368535162729</v>
      </c>
      <c r="P97" s="346">
        <f>91/(-P9/P91)</f>
        <v>141.02165500383566</v>
      </c>
      <c r="Q97" s="346">
        <f>92/(-Q9/Q91)</f>
        <v>183.53125435011273</v>
      </c>
      <c r="R97" s="346">
        <f>92/(-R9/R91)</f>
        <v>168.26481003359856</v>
      </c>
      <c r="S97" s="346">
        <f>90/(-S9/S91)</f>
        <v>160.04845499854508</v>
      </c>
      <c r="T97" s="346">
        <f>91/(-T9/T91)</f>
        <v>161.94340405996303</v>
      </c>
      <c r="U97" s="346">
        <f>92/(-U9/U91)</f>
        <v>185.30152731261725</v>
      </c>
      <c r="V97" s="346">
        <f>92/(-V9/V91)</f>
        <v>160.22727074724048</v>
      </c>
      <c r="W97" s="346">
        <f>91/(-W9/W91)</f>
        <v>157.55641751384098</v>
      </c>
      <c r="X97" s="346">
        <f>91/(-X9/X91)</f>
        <v>159.54829091762974</v>
      </c>
      <c r="Y97" s="346">
        <f>92/(-Y9/Y91)</f>
        <v>186.37982199636431</v>
      </c>
      <c r="Z97" s="346">
        <f>92/(-Z9/Z91)</f>
        <v>167.32414099657728</v>
      </c>
      <c r="AA97" s="346">
        <f>90/(-AA9/AA91)</f>
        <v>168.52867473419121</v>
      </c>
      <c r="AB97" s="346">
        <f>91/(-AB9/AB91)</f>
        <v>161.59085133418043</v>
      </c>
      <c r="AC97" s="346">
        <f>92/(-AC9/AC91)</f>
        <v>151.6262829531845</v>
      </c>
      <c r="AD97" s="346">
        <f>92/(-AD9/AD91)</f>
        <v>130.69190637241221</v>
      </c>
      <c r="AE97" s="346">
        <f>90/(-AE9/AE91)</f>
        <v>123.72923131058371</v>
      </c>
      <c r="AF97" s="346">
        <f>91/(-AF9/AF91)</f>
        <v>148.23445153702465</v>
      </c>
      <c r="AG97" s="346">
        <f>92/(-AG9/AG91)</f>
        <v>142.14352613670383</v>
      </c>
      <c r="AH97" s="346">
        <f>92/(-AH9/AH91)</f>
        <v>137.45579469863321</v>
      </c>
      <c r="AI97" s="346">
        <f>90/(-AI9/AI91)</f>
        <v>137.3890607887638</v>
      </c>
      <c r="AJ97" s="346">
        <f>91/(-AJ9/AJ91)</f>
        <v>163.2784796311627</v>
      </c>
      <c r="AK97" s="346">
        <f>92/(-AK9/AK91)</f>
        <v>168.98692885491189</v>
      </c>
      <c r="AL97" s="346">
        <f>92/(-AL9/AL91)</f>
        <v>160.56221503734218</v>
      </c>
      <c r="AM97" s="346">
        <f>90/(-AM9/AM91)</f>
        <v>137.20328624226039</v>
      </c>
      <c r="AN97" s="346">
        <f>90/(-AN9/AN91)</f>
        <v>145.4725564452076</v>
      </c>
      <c r="AO97" s="346">
        <f>92/(-AO9/AO91)</f>
        <v>146.38917848536772</v>
      </c>
      <c r="AP97" s="346">
        <f>92/(-AP9/AP91)</f>
        <v>146.32653323894718</v>
      </c>
      <c r="AQ97" s="346">
        <f>90/(-AQ9/AQ91)</f>
        <v>116.80353188184878</v>
      </c>
      <c r="AR97" s="346">
        <f>90/(-AR9/AR91)</f>
        <v>142.06221821687765</v>
      </c>
      <c r="AS97" s="346">
        <f>92/(-AS9/AS91)</f>
        <v>137.3300988478525</v>
      </c>
      <c r="AT97" s="346">
        <f>92/(-AT9/AT91)</f>
        <v>145.47240231659359</v>
      </c>
      <c r="AU97" s="346">
        <f>90/(-AU9/AU91)</f>
        <v>116.91660084058663</v>
      </c>
      <c r="AV97" s="166"/>
      <c r="AW97" s="347"/>
      <c r="AX97" s="347"/>
    </row>
    <row r="98" spans="2:50" s="34" customFormat="1" ht="13.5" customHeight="1">
      <c r="B98" s="34" t="s">
        <v>272</v>
      </c>
      <c r="C98" s="346">
        <f>366/(C7/C92)</f>
        <v>39.530998434363688</v>
      </c>
      <c r="D98" s="346">
        <f t="shared" ref="D98:I98" si="221">365/(D7/D92)</f>
        <v>44.588672682176757</v>
      </c>
      <c r="E98" s="346">
        <f t="shared" si="221"/>
        <v>51.506647409907643</v>
      </c>
      <c r="F98" s="346">
        <f t="shared" si="221"/>
        <v>47.532123796370179</v>
      </c>
      <c r="G98" s="346">
        <f>366/(G7/G92)</f>
        <v>46.148545010375756</v>
      </c>
      <c r="H98" s="346">
        <f t="shared" si="221"/>
        <v>45.855057691870897</v>
      </c>
      <c r="I98" s="346">
        <f t="shared" si="221"/>
        <v>42.035091600596459</v>
      </c>
      <c r="J98" s="346">
        <f>365/(J7/J92)</f>
        <v>47.819556350423248</v>
      </c>
      <c r="K98" s="346">
        <f>365/(K7/K92)</f>
        <v>42.129530467629564</v>
      </c>
      <c r="L98" s="346">
        <f>365/(L7/L92)</f>
        <v>44.603234117427178</v>
      </c>
      <c r="M98" s="346">
        <f>365/(M7/M92)</f>
        <v>66.128664026846039</v>
      </c>
      <c r="N98" s="166"/>
      <c r="O98" s="346">
        <f>90/(O7/O92)</f>
        <v>57.543859377731295</v>
      </c>
      <c r="P98" s="346">
        <f>91/(P7/P92)</f>
        <v>59.225261973241345</v>
      </c>
      <c r="Q98" s="346">
        <f>92/(Q7/Q92)</f>
        <v>67.658698483131161</v>
      </c>
      <c r="R98" s="346">
        <f>92/(R7/R92)</f>
        <v>52.057085328689602</v>
      </c>
      <c r="S98" s="346">
        <f>90/(S7/S92)</f>
        <v>58.71818020007256</v>
      </c>
      <c r="T98" s="346">
        <f>91/(T7/T92)</f>
        <v>58.272452761412033</v>
      </c>
      <c r="U98" s="346">
        <f>92/(U7/U92)</f>
        <v>61.535179809344804</v>
      </c>
      <c r="V98" s="346">
        <f>92/(V7/V92)</f>
        <v>46.420415244531625</v>
      </c>
      <c r="W98" s="346">
        <f>91/(W7/W92)</f>
        <v>63.733766186769998</v>
      </c>
      <c r="X98" s="346">
        <f>91/(X7/X92)</f>
        <v>53.898225409888283</v>
      </c>
      <c r="Y98" s="346">
        <f>92/(Y7/Y92)</f>
        <v>57.619067070593168</v>
      </c>
      <c r="Z98" s="346">
        <f>92/(Z7/Z92)</f>
        <v>46.639457427966647</v>
      </c>
      <c r="AA98" s="346">
        <f>90/(AA7/AA92)</f>
        <v>66.396782015103369</v>
      </c>
      <c r="AB98" s="346">
        <f>91/(AB7/AB92)</f>
        <v>43.990522942064644</v>
      </c>
      <c r="AC98" s="346">
        <f>92/(AC7/AC92)</f>
        <v>56.122840478673076</v>
      </c>
      <c r="AD98" s="346">
        <f>92/(AD7/AD92)</f>
        <v>43.028730156940568</v>
      </c>
      <c r="AE98" s="346">
        <f>90/(AE7/AE92)</f>
        <v>53.863301015197877</v>
      </c>
      <c r="AF98" s="346">
        <f>91/(AF7/AF92)</f>
        <v>52.029603854029773</v>
      </c>
      <c r="AG98" s="346">
        <f>92/(AG7/AG92)</f>
        <v>50.065615865061922</v>
      </c>
      <c r="AH98" s="346">
        <f>92/(AH7/AH92)</f>
        <v>40.991013245280797</v>
      </c>
      <c r="AI98" s="346">
        <f>90/(AI7/AI92)</f>
        <v>55.24523325867392</v>
      </c>
      <c r="AJ98" s="346">
        <f>91/(AJ7/AJ92)</f>
        <v>55.930656552767751</v>
      </c>
      <c r="AK98" s="346">
        <f>92/(AK7/AK92)</f>
        <v>58.074566796207741</v>
      </c>
      <c r="AL98" s="346">
        <f>92/(AL7/AL92)</f>
        <v>47.959349054766768</v>
      </c>
      <c r="AM98" s="346">
        <f>90/(AM7/AM92)</f>
        <v>56.01584899977852</v>
      </c>
      <c r="AN98" s="346">
        <f>90/(AN7/AN92)</f>
        <v>54.080864529128327</v>
      </c>
      <c r="AO98" s="346">
        <f>92/(AO7/AO92)</f>
        <v>56.270695600873964</v>
      </c>
      <c r="AP98" s="346">
        <f>92/(AP7/AP92)</f>
        <v>43.196854806043994</v>
      </c>
      <c r="AQ98" s="346">
        <f>90/(AQ7/AQ92)</f>
        <v>56.50557213429996</v>
      </c>
      <c r="AR98" s="346">
        <f>90/(AR7/AR92)</f>
        <v>57.313269679574276</v>
      </c>
      <c r="AS98" s="346">
        <f>92/(AS7/AS92)</f>
        <v>62.737910661295729</v>
      </c>
      <c r="AT98" s="346">
        <f>92/(AT7/AT92)</f>
        <v>45.459636764138573</v>
      </c>
      <c r="AU98" s="346">
        <f>90/(AU7/AU92)</f>
        <v>59.446037233770554</v>
      </c>
      <c r="AV98" s="166"/>
      <c r="AW98" s="347"/>
      <c r="AX98" s="347"/>
    </row>
    <row r="99" spans="2:50" s="34" customFormat="1" ht="13.5" customHeight="1">
      <c r="B99" s="34" t="s">
        <v>273</v>
      </c>
      <c r="C99" s="346">
        <f>366/(-C9/C93)</f>
        <v>129.29944288240185</v>
      </c>
      <c r="D99" s="346">
        <f t="shared" ref="D99:I99" si="222">365/(-D9/D93)</f>
        <v>141.0499212573724</v>
      </c>
      <c r="E99" s="346">
        <f t="shared" si="222"/>
        <v>124.52494744411908</v>
      </c>
      <c r="F99" s="346">
        <f t="shared" si="222"/>
        <v>122.65354406866949</v>
      </c>
      <c r="G99" s="346">
        <f>366/(-G9/G93)</f>
        <v>112.34902865567574</v>
      </c>
      <c r="H99" s="346">
        <f t="shared" si="222"/>
        <v>112.9624844190928</v>
      </c>
      <c r="I99" s="346">
        <f t="shared" si="222"/>
        <v>101.86847454599105</v>
      </c>
      <c r="J99" s="346">
        <f>365/(-J9/J93)</f>
        <v>114.58947176174433</v>
      </c>
      <c r="K99" s="346">
        <f>365/(-K9/K93)</f>
        <v>103.23497568363155</v>
      </c>
      <c r="L99" s="346">
        <f>365/(-L9/L93)</f>
        <v>106.1733383461609</v>
      </c>
      <c r="M99" s="346">
        <f>365/(-M9/M93)</f>
        <v>120.40110395215542</v>
      </c>
      <c r="N99" s="166"/>
      <c r="O99" s="346">
        <f>90/(-O9/O93)</f>
        <v>147.4350583685918</v>
      </c>
      <c r="P99" s="346">
        <f>91/(-P9/P93)</f>
        <v>139.14029526852693</v>
      </c>
      <c r="Q99" s="346">
        <f>92/(-Q9/Q93)</f>
        <v>151.83820354079549</v>
      </c>
      <c r="R99" s="346">
        <f>92/(-R9/R93)</f>
        <v>121.95950322979938</v>
      </c>
      <c r="S99" s="346">
        <f>90/(-S9/S93)</f>
        <v>119.55272739481755</v>
      </c>
      <c r="T99" s="346">
        <f>91/(-T9/T93)</f>
        <v>123.52676615868585</v>
      </c>
      <c r="U99" s="346">
        <f>92/(-U9/U93)</f>
        <v>134.29138592678441</v>
      </c>
      <c r="V99" s="346">
        <f>92/(-V9/V93)</f>
        <v>115.23372810400143</v>
      </c>
      <c r="W99" s="346">
        <f>91/(-W9/W93)</f>
        <v>114.27300024324069</v>
      </c>
      <c r="X99" s="346">
        <f>91/(-X9/X93)</f>
        <v>119.99254434928272</v>
      </c>
      <c r="Y99" s="346">
        <f>92/(-Y9/Y93)</f>
        <v>132.27500160749182</v>
      </c>
      <c r="Z99" s="346">
        <f>92/(-Z9/Z93)</f>
        <v>107.20839223007511</v>
      </c>
      <c r="AA99" s="346">
        <f>90/(-AA9/AA93)</f>
        <v>126.19671531165699</v>
      </c>
      <c r="AB99" s="346">
        <f>91/(-AB9/AB93)</f>
        <v>103.53494282083861</v>
      </c>
      <c r="AC99" s="346">
        <f>92/(-AC9/AC93)</f>
        <v>115.46319772154492</v>
      </c>
      <c r="AD99" s="346">
        <f>92/(-AD9/AD93)</f>
        <v>100.24933378362282</v>
      </c>
      <c r="AE99" s="346">
        <f>90/(-AE9/AE93)</f>
        <v>97.872280383573781</v>
      </c>
      <c r="AF99" s="346">
        <f>91/(-AF9/AF93)</f>
        <v>109.22227454366521</v>
      </c>
      <c r="AG99" s="346">
        <f>92/(-AG9/AG93)</f>
        <v>102.90586713961626</v>
      </c>
      <c r="AH99" s="346">
        <f>92/(-AH9/AH93)</f>
        <v>95.944986473135842</v>
      </c>
      <c r="AI99" s="346">
        <f>90/(-AI9/AI93)</f>
        <v>106.7779806553923</v>
      </c>
      <c r="AJ99" s="346">
        <f>91/(-AJ9/AJ93)</f>
        <v>130.35689973242552</v>
      </c>
      <c r="AK99" s="346">
        <f>92/(-AK9/AK93)</f>
        <v>110.34723553726211</v>
      </c>
      <c r="AL99" s="346">
        <f>92/(-AL9/AL93)</f>
        <v>110.88240306798798</v>
      </c>
      <c r="AM99" s="346">
        <f>90/(-AM9/AM93)</f>
        <v>111.01144745052237</v>
      </c>
      <c r="AN99" s="346">
        <f>90/(-AN9/AN93)</f>
        <v>123.26614017494494</v>
      </c>
      <c r="AO99" s="346">
        <f>92/(-AO9/AO93)</f>
        <v>124.35313125878776</v>
      </c>
      <c r="AP99" s="346">
        <f>92/(-AP9/AP93)</f>
        <v>104.22603771156446</v>
      </c>
      <c r="AQ99" s="346">
        <f>90/(-AQ9/AQ93)</f>
        <v>99.262779062308141</v>
      </c>
      <c r="AR99" s="346">
        <f>90/(-AR9/AR93)</f>
        <v>120.11579697266437</v>
      </c>
      <c r="AS99" s="346">
        <f>92/(-AS9/AS93)</f>
        <v>118.39946789192382</v>
      </c>
      <c r="AT99" s="346">
        <f>92/(-AT9/AT93)</f>
        <v>106.93615729498707</v>
      </c>
      <c r="AU99" s="346">
        <f>90/(-AU9/AU93)</f>
        <v>106.97237447090734</v>
      </c>
      <c r="AV99" s="166"/>
      <c r="AW99" s="347"/>
      <c r="AX99" s="347"/>
    </row>
    <row r="100" spans="2:50" ht="13.5" customHeight="1">
      <c r="C100" s="29"/>
      <c r="D100" s="29"/>
      <c r="E100" s="29"/>
      <c r="F100" s="29"/>
      <c r="G100" s="29"/>
      <c r="H100" s="29"/>
      <c r="I100" s="29"/>
      <c r="J100" s="29"/>
      <c r="K100" s="29"/>
      <c r="L100" s="29"/>
      <c r="M100" s="30"/>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c r="AX100"/>
    </row>
    <row r="101" spans="2:50" ht="13.5" customHeight="1">
      <c r="B101" s="5" t="s">
        <v>274</v>
      </c>
      <c r="C101" s="29"/>
      <c r="D101" s="29"/>
      <c r="E101" s="29"/>
      <c r="F101" s="29"/>
      <c r="G101" s="29"/>
      <c r="H101" s="29"/>
      <c r="I101" s="29"/>
      <c r="J101" s="29"/>
      <c r="K101" s="29"/>
      <c r="L101" s="29"/>
      <c r="AV101" s="29"/>
      <c r="AW101"/>
      <c r="AX101"/>
    </row>
    <row r="102" spans="2:50" ht="13.5" customHeight="1">
      <c r="B102" s="1" t="s">
        <v>275</v>
      </c>
      <c r="C102" s="4">
        <v>165.62</v>
      </c>
      <c r="D102" s="4">
        <v>255.58500000000001</v>
      </c>
      <c r="E102" s="4">
        <v>179.321</v>
      </c>
      <c r="F102" s="4">
        <v>219.11799999999999</v>
      </c>
      <c r="G102" s="4">
        <v>137.512</v>
      </c>
      <c r="H102" s="4">
        <v>78.394999999999996</v>
      </c>
      <c r="I102" s="4">
        <f>87.13</f>
        <v>87.13</v>
      </c>
      <c r="J102" s="4">
        <v>0.84399999999999997</v>
      </c>
      <c r="K102" s="4">
        <v>52.597999999999999</v>
      </c>
      <c r="L102" s="4">
        <v>16.893000000000001</v>
      </c>
      <c r="M102" s="30">
        <f>AU102</f>
        <v>24.934000000000001</v>
      </c>
      <c r="N102" s="30"/>
      <c r="O102" s="4">
        <v>280.45999999999998</v>
      </c>
      <c r="P102" s="4">
        <v>175.13900000000001</v>
      </c>
      <c r="Q102" s="4">
        <v>156.37100000000001</v>
      </c>
      <c r="R102" s="30">
        <f>E102</f>
        <v>179.321</v>
      </c>
      <c r="S102" s="4">
        <v>215.923</v>
      </c>
      <c r="T102" s="4">
        <v>197.31200000000001</v>
      </c>
      <c r="U102" s="4">
        <v>180.64699999999999</v>
      </c>
      <c r="V102" s="30">
        <f>F102</f>
        <v>219.11799999999999</v>
      </c>
      <c r="W102" s="4">
        <v>230.98099999999999</v>
      </c>
      <c r="X102" s="4">
        <v>158.339</v>
      </c>
      <c r="Y102" s="4">
        <v>136.512</v>
      </c>
      <c r="Z102" s="30">
        <f>G102</f>
        <v>137.512</v>
      </c>
      <c r="AA102" s="4">
        <v>128.89500000000001</v>
      </c>
      <c r="AB102" s="4">
        <v>124.045</v>
      </c>
      <c r="AC102" s="4">
        <v>62.63</v>
      </c>
      <c r="AD102" s="30">
        <f>H102</f>
        <v>78.394999999999996</v>
      </c>
      <c r="AE102" s="4">
        <v>109.42700000000001</v>
      </c>
      <c r="AF102" s="4">
        <v>64.594999999999999</v>
      </c>
      <c r="AG102" s="4">
        <v>67.400000000000006</v>
      </c>
      <c r="AH102" s="30">
        <f>I102</f>
        <v>87.13</v>
      </c>
      <c r="AI102" s="4">
        <v>72.057000000000002</v>
      </c>
      <c r="AJ102" s="4">
        <v>58.578000000000003</v>
      </c>
      <c r="AK102" s="4">
        <v>63.052999999999997</v>
      </c>
      <c r="AL102" s="30">
        <f>J102</f>
        <v>0.84399999999999997</v>
      </c>
      <c r="AM102" s="4">
        <v>39.286000000000001</v>
      </c>
      <c r="AN102" s="4">
        <v>54.34</v>
      </c>
      <c r="AO102" s="4">
        <v>69.393000000000001</v>
      </c>
      <c r="AP102" s="30">
        <f>K102</f>
        <v>52.597999999999999</v>
      </c>
      <c r="AQ102" s="4">
        <v>67.308999999999997</v>
      </c>
      <c r="AR102" s="4">
        <v>51.825000000000003</v>
      </c>
      <c r="AS102" s="4">
        <v>37.241999999999997</v>
      </c>
      <c r="AT102" s="30">
        <f>L102</f>
        <v>16.893000000000001</v>
      </c>
      <c r="AU102" s="4">
        <v>24.934000000000001</v>
      </c>
      <c r="AV102" s="30"/>
      <c r="AW102"/>
      <c r="AX102"/>
    </row>
    <row r="103" spans="2:50" ht="13.5" customHeight="1">
      <c r="B103" s="1" t="s">
        <v>276</v>
      </c>
      <c r="C103" s="4">
        <f>1318.796+10128.343</f>
        <v>11447.139000000001</v>
      </c>
      <c r="D103" s="4">
        <f>2003.403+10543.125</f>
        <v>12546.528</v>
      </c>
      <c r="E103" s="4">
        <f>11651.97+2094.292</f>
        <v>13746.261999999999</v>
      </c>
      <c r="F103" s="4">
        <f>1986.393+10897.327</f>
        <v>12883.72</v>
      </c>
      <c r="G103" s="4">
        <f>1026.013+10088.955</f>
        <v>11114.968000000001</v>
      </c>
      <c r="H103" s="4">
        <f>7072.24+2631.598</f>
        <v>9703.8379999999997</v>
      </c>
      <c r="I103" s="4">
        <f>8448.944+1065.089</f>
        <v>9514.0329999999994</v>
      </c>
      <c r="J103" s="4">
        <f>8499.169+3528.828</f>
        <v>12027.996999999999</v>
      </c>
      <c r="K103" s="4">
        <f>8900.245+1229.996</f>
        <v>10130.241000000002</v>
      </c>
      <c r="L103" s="4">
        <f>1520.33+10951.81</f>
        <v>12472.14</v>
      </c>
      <c r="M103" s="30">
        <f>AU103</f>
        <v>13577.017</v>
      </c>
      <c r="N103" s="30"/>
      <c r="O103" s="4">
        <f>10828.844+1101.162</f>
        <v>11930.005999999999</v>
      </c>
      <c r="P103" s="4">
        <f>9453.925+2187.052</f>
        <v>11640.976999999999</v>
      </c>
      <c r="Q103" s="4">
        <f>11372.963+2150.107</f>
        <v>13523.07</v>
      </c>
      <c r="R103" s="30">
        <f>E103</f>
        <v>13746.261999999999</v>
      </c>
      <c r="S103" s="4">
        <f>11309.68+1704.225</f>
        <v>13013.905000000001</v>
      </c>
      <c r="T103" s="4">
        <f>10857.672+2487.299</f>
        <v>13344.971000000001</v>
      </c>
      <c r="U103" s="4">
        <f>11200.547+2441.781</f>
        <v>13642.328000000001</v>
      </c>
      <c r="V103" s="30">
        <f>F103</f>
        <v>12883.72</v>
      </c>
      <c r="W103" s="4">
        <f>1158.406+11292.838</f>
        <v>12451.243999999999</v>
      </c>
      <c r="X103" s="4">
        <f>1349.94+11239.869</f>
        <v>12589.809000000001</v>
      </c>
      <c r="Y103" s="4">
        <f>1307.724+11031.188</f>
        <v>12338.912</v>
      </c>
      <c r="Z103" s="30">
        <f>G103</f>
        <v>11114.968000000001</v>
      </c>
      <c r="AA103" s="4">
        <f>979.678+9732.705</f>
        <v>10712.383</v>
      </c>
      <c r="AB103" s="4">
        <f>983.324+10018.5</f>
        <v>11001.824000000001</v>
      </c>
      <c r="AC103" s="4">
        <f>2715.122+7568.302</f>
        <v>10283.423999999999</v>
      </c>
      <c r="AD103" s="30">
        <f>H103</f>
        <v>9703.8379999999997</v>
      </c>
      <c r="AE103" s="4">
        <f>2739.143+7176.311</f>
        <v>9915.4539999999997</v>
      </c>
      <c r="AF103" s="4">
        <f>2851.249+7866.66</f>
        <v>10717.909</v>
      </c>
      <c r="AG103" s="4">
        <f>1192.786+8863.957</f>
        <v>10056.743</v>
      </c>
      <c r="AH103" s="30">
        <f>I103</f>
        <v>9514.0329999999994</v>
      </c>
      <c r="AI103" s="4">
        <f>6134.536+3417.942</f>
        <v>9552.4779999999992</v>
      </c>
      <c r="AJ103" s="4">
        <f>3584.896+6530.05</f>
        <v>10114.946</v>
      </c>
      <c r="AK103" s="4">
        <f>8705.458+3531.884</f>
        <v>12237.342000000001</v>
      </c>
      <c r="AL103" s="30">
        <f>J103</f>
        <v>12027.996999999999</v>
      </c>
      <c r="AM103" s="4">
        <f>8716.183+913.391</f>
        <v>9629.5740000000005</v>
      </c>
      <c r="AN103" s="4">
        <f>8814.221+1380.905</f>
        <v>10195.126</v>
      </c>
      <c r="AO103" s="4">
        <f>8458.789+1312.676</f>
        <v>9771.4650000000001</v>
      </c>
      <c r="AP103" s="30">
        <f>K103</f>
        <v>10130.241000000002</v>
      </c>
      <c r="AQ103" s="4">
        <f>1148.834+9365.82</f>
        <v>10514.654</v>
      </c>
      <c r="AR103" s="4">
        <f>1628.262+9542.717</f>
        <v>11170.979000000001</v>
      </c>
      <c r="AS103" s="4">
        <f>11044.216+1563.421</f>
        <v>12607.637000000001</v>
      </c>
      <c r="AT103" s="30">
        <f>L103</f>
        <v>12472.14</v>
      </c>
      <c r="AU103" s="4">
        <f>1555.181+12021.836</f>
        <v>13577.017</v>
      </c>
      <c r="AV103" s="30"/>
      <c r="AW103"/>
      <c r="AX103"/>
    </row>
    <row r="104" spans="2:50" ht="13.5" customHeight="1">
      <c r="B104" s="1" t="s">
        <v>78</v>
      </c>
      <c r="C104" s="4"/>
      <c r="D104" s="4"/>
      <c r="E104" s="4">
        <f>409.703+89.796</f>
        <v>499.49899999999997</v>
      </c>
      <c r="F104" s="4">
        <f>335.659+95.75</f>
        <v>431.40899999999999</v>
      </c>
      <c r="G104" s="4">
        <f>330.98+94.509</f>
        <v>425.48900000000003</v>
      </c>
      <c r="H104" s="4">
        <f>360.434+80.71</f>
        <v>441.14400000000001</v>
      </c>
      <c r="I104" s="4">
        <f>391.738+75.092</f>
        <v>466.83</v>
      </c>
      <c r="J104" s="4">
        <f>369.113+81.079</f>
        <v>450.19200000000001</v>
      </c>
      <c r="K104" s="4">
        <f>397.701+87.249</f>
        <v>484.95000000000005</v>
      </c>
      <c r="L104" s="4">
        <f>107.75+442.476</f>
        <v>550.226</v>
      </c>
      <c r="M104" s="30">
        <f>AU104</f>
        <v>536.33999999999992</v>
      </c>
      <c r="N104" s="30"/>
      <c r="O104" s="4"/>
      <c r="P104" s="4"/>
      <c r="Q104" s="4"/>
      <c r="R104" s="30">
        <f>E104</f>
        <v>499.49899999999997</v>
      </c>
      <c r="S104" s="4">
        <f>302.787+77.767</f>
        <v>380.55399999999997</v>
      </c>
      <c r="T104" s="4">
        <f>337.618+76.307</f>
        <v>413.92500000000001</v>
      </c>
      <c r="U104" s="4">
        <f>323.864+70.128</f>
        <v>393.99199999999996</v>
      </c>
      <c r="V104" s="30">
        <f>F104</f>
        <v>431.40899999999999</v>
      </c>
      <c r="W104" s="4">
        <f>336.877+86.897</f>
        <v>423.774</v>
      </c>
      <c r="X104" s="4">
        <f>354.261+89.5</f>
        <v>443.76100000000002</v>
      </c>
      <c r="Y104" s="4">
        <f>357.431+96.009</f>
        <v>453.44</v>
      </c>
      <c r="Z104" s="30">
        <f>G104</f>
        <v>425.48900000000003</v>
      </c>
      <c r="AA104" s="4">
        <f>328.562+91.783</f>
        <v>420.34500000000003</v>
      </c>
      <c r="AB104" s="4">
        <f>314.879+83.526</f>
        <v>398.40500000000003</v>
      </c>
      <c r="AC104" s="4">
        <f>316.591+80.881</f>
        <v>397.47199999999998</v>
      </c>
      <c r="AD104" s="30">
        <f>H104</f>
        <v>441.14400000000001</v>
      </c>
      <c r="AE104" s="4">
        <f>77.757+362.447</f>
        <v>440.20400000000001</v>
      </c>
      <c r="AF104" s="4">
        <f>363.738+81.991</f>
        <v>445.72899999999998</v>
      </c>
      <c r="AG104" s="4">
        <f>361.068+75.522</f>
        <v>436.59</v>
      </c>
      <c r="AH104" s="30">
        <f>I104</f>
        <v>466.83</v>
      </c>
      <c r="AI104" s="4">
        <f>377.492+66.673</f>
        <v>444.16500000000002</v>
      </c>
      <c r="AJ104" s="4">
        <f>376.249+66.765</f>
        <v>443.01400000000001</v>
      </c>
      <c r="AK104" s="4">
        <f>383.738+75.248</f>
        <v>458.98599999999999</v>
      </c>
      <c r="AL104" s="30">
        <f>J104</f>
        <v>450.19200000000001</v>
      </c>
      <c r="AM104" s="4">
        <f>369.403+78.369</f>
        <v>447.77200000000005</v>
      </c>
      <c r="AN104" s="4">
        <f>354.271+76.214</f>
        <v>430.48500000000001</v>
      </c>
      <c r="AO104" s="4">
        <f>365.55+81.657</f>
        <v>447.20699999999999</v>
      </c>
      <c r="AP104" s="30">
        <f>K104</f>
        <v>484.95000000000005</v>
      </c>
      <c r="AQ104" s="4">
        <f>388.741+84.501</f>
        <v>473.24199999999996</v>
      </c>
      <c r="AR104" s="4">
        <f>83.127+381.151</f>
        <v>464.27800000000002</v>
      </c>
      <c r="AS104" s="4">
        <f>88.53+377.657</f>
        <v>466.18700000000001</v>
      </c>
      <c r="AT104" s="30">
        <f>L104</f>
        <v>550.226</v>
      </c>
      <c r="AU104" s="4">
        <f>95.07+441.27</f>
        <v>536.33999999999992</v>
      </c>
      <c r="AV104" s="30"/>
      <c r="AW104" s="281"/>
      <c r="AX104"/>
    </row>
    <row r="105" spans="2:50" ht="13.5" customHeight="1">
      <c r="B105" s="5" t="s">
        <v>277</v>
      </c>
      <c r="C105" s="7">
        <f t="shared" ref="C105:M105" si="223">SUM(C102:C104)</f>
        <v>11612.759000000002</v>
      </c>
      <c r="D105" s="7">
        <f t="shared" si="223"/>
        <v>12802.112999999999</v>
      </c>
      <c r="E105" s="7">
        <f t="shared" si="223"/>
        <v>14425.081999999999</v>
      </c>
      <c r="F105" s="7">
        <f t="shared" si="223"/>
        <v>13534.246999999999</v>
      </c>
      <c r="G105" s="7">
        <f t="shared" si="223"/>
        <v>11677.969000000001</v>
      </c>
      <c r="H105" s="7">
        <f t="shared" si="223"/>
        <v>10223.377</v>
      </c>
      <c r="I105" s="7">
        <f t="shared" si="223"/>
        <v>10067.992999999999</v>
      </c>
      <c r="J105" s="7">
        <f t="shared" si="223"/>
        <v>12479.032999999999</v>
      </c>
      <c r="K105" s="7">
        <f>SUM(K102:K104)</f>
        <v>10667.789000000002</v>
      </c>
      <c r="L105" s="7">
        <f>SUM(L102:L104)</f>
        <v>13039.259</v>
      </c>
      <c r="M105" s="7">
        <f t="shared" si="223"/>
        <v>14138.290999999999</v>
      </c>
      <c r="N105" s="7"/>
      <c r="O105" s="7">
        <f>SUM(O102:O103)</f>
        <v>12210.465999999999</v>
      </c>
      <c r="P105" s="7">
        <f>SUM(P102:P103)</f>
        <v>11816.115999999998</v>
      </c>
      <c r="Q105" s="7">
        <f>SUM(Q102:Q103)</f>
        <v>13679.440999999999</v>
      </c>
      <c r="R105" s="7">
        <f>SUM(R102:R103)</f>
        <v>13925.582999999999</v>
      </c>
      <c r="S105" s="7">
        <f t="shared" ref="S105:AC105" si="224">SUM(S102:S104)</f>
        <v>13610.382000000001</v>
      </c>
      <c r="T105" s="7">
        <f t="shared" si="224"/>
        <v>13956.208000000001</v>
      </c>
      <c r="U105" s="7">
        <f t="shared" si="224"/>
        <v>14216.967000000002</v>
      </c>
      <c r="V105" s="7">
        <f t="shared" si="224"/>
        <v>13534.246999999999</v>
      </c>
      <c r="W105" s="7">
        <f t="shared" si="224"/>
        <v>13105.998999999998</v>
      </c>
      <c r="X105" s="7">
        <f t="shared" si="224"/>
        <v>13191.909000000001</v>
      </c>
      <c r="Y105" s="7">
        <f t="shared" si="224"/>
        <v>12928.864000000001</v>
      </c>
      <c r="Z105" s="7">
        <f t="shared" si="224"/>
        <v>11677.969000000001</v>
      </c>
      <c r="AA105" s="7">
        <f t="shared" si="224"/>
        <v>11261.623</v>
      </c>
      <c r="AB105" s="7">
        <f t="shared" si="224"/>
        <v>11524.274000000001</v>
      </c>
      <c r="AC105" s="7">
        <f t="shared" si="224"/>
        <v>10743.525999999998</v>
      </c>
      <c r="AD105" s="7">
        <f t="shared" ref="AD105:AI105" si="225">SUM(AD102:AD104)</f>
        <v>10223.377</v>
      </c>
      <c r="AE105" s="7">
        <f t="shared" si="225"/>
        <v>10465.084999999999</v>
      </c>
      <c r="AF105" s="7">
        <f t="shared" si="225"/>
        <v>11228.232999999998</v>
      </c>
      <c r="AG105" s="7">
        <f t="shared" si="225"/>
        <v>10560.733</v>
      </c>
      <c r="AH105" s="7">
        <f t="shared" si="225"/>
        <v>10067.992999999999</v>
      </c>
      <c r="AI105" s="7">
        <f t="shared" si="225"/>
        <v>10068.700000000001</v>
      </c>
      <c r="AJ105" s="7">
        <f t="shared" ref="AJ105:AO105" si="226">SUM(AJ102:AJ104)</f>
        <v>10616.537999999999</v>
      </c>
      <c r="AK105" s="7">
        <f t="shared" si="226"/>
        <v>12759.381000000001</v>
      </c>
      <c r="AL105" s="7">
        <f t="shared" si="226"/>
        <v>12479.032999999999</v>
      </c>
      <c r="AM105" s="7">
        <f t="shared" si="226"/>
        <v>10116.632000000001</v>
      </c>
      <c r="AN105" s="7">
        <f t="shared" si="226"/>
        <v>10679.951000000001</v>
      </c>
      <c r="AO105" s="7">
        <f t="shared" si="226"/>
        <v>10288.065000000001</v>
      </c>
      <c r="AP105" s="7">
        <f t="shared" ref="AP105:AU105" si="227">SUM(AP102:AP104)</f>
        <v>10667.789000000002</v>
      </c>
      <c r="AQ105" s="7">
        <f t="shared" si="227"/>
        <v>11055.205</v>
      </c>
      <c r="AR105" s="7">
        <f t="shared" si="227"/>
        <v>11687.082000000002</v>
      </c>
      <c r="AS105" s="7">
        <f t="shared" si="227"/>
        <v>13111.066000000001</v>
      </c>
      <c r="AT105" s="7">
        <f t="shared" si="227"/>
        <v>13039.259</v>
      </c>
      <c r="AU105" s="7">
        <f t="shared" si="227"/>
        <v>14138.290999999999</v>
      </c>
      <c r="AV105" s="7"/>
      <c r="AW105"/>
      <c r="AX105"/>
    </row>
    <row r="106" spans="2:50" ht="13.5" customHeight="1">
      <c r="B106" s="5"/>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c r="AX106"/>
    </row>
    <row r="107" spans="2:50" ht="13.5" customHeight="1">
      <c r="B107" s="6" t="s">
        <v>278</v>
      </c>
      <c r="C107" s="4">
        <v>729.7</v>
      </c>
      <c r="D107" s="4">
        <v>1891.6969999999999</v>
      </c>
      <c r="E107" s="4">
        <v>1182.902</v>
      </c>
      <c r="F107" s="4">
        <v>557.553</v>
      </c>
      <c r="G107" s="4">
        <v>503.51</v>
      </c>
      <c r="H107" s="4">
        <v>580.91300000000001</v>
      </c>
      <c r="I107" s="4">
        <v>546.91600000000005</v>
      </c>
      <c r="J107" s="4">
        <v>666.33600000000001</v>
      </c>
      <c r="K107" s="4">
        <v>528.21400000000006</v>
      </c>
      <c r="L107" s="4">
        <v>523.03899999999999</v>
      </c>
      <c r="M107" s="30">
        <f>AU107</f>
        <v>1620.3489999999999</v>
      </c>
      <c r="N107" s="30"/>
      <c r="O107" s="4">
        <v>1286.461</v>
      </c>
      <c r="P107" s="4">
        <v>394.13799999999998</v>
      </c>
      <c r="Q107" s="4">
        <v>404.83300000000003</v>
      </c>
      <c r="R107" s="30">
        <f>E107</f>
        <v>1182.902</v>
      </c>
      <c r="S107" s="4">
        <v>611.81299999999999</v>
      </c>
      <c r="T107" s="4">
        <v>517.50300000000004</v>
      </c>
      <c r="U107" s="4">
        <v>1181.9739999999999</v>
      </c>
      <c r="V107" s="30">
        <f>F107</f>
        <v>557.553</v>
      </c>
      <c r="W107" s="4">
        <v>376.029</v>
      </c>
      <c r="X107" s="4">
        <v>591.17700000000002</v>
      </c>
      <c r="Y107" s="4">
        <v>978.89499999999998</v>
      </c>
      <c r="Z107" s="30">
        <f>G107</f>
        <v>503.51</v>
      </c>
      <c r="AA107" s="4">
        <v>532.58399999999995</v>
      </c>
      <c r="AB107" s="4">
        <v>618.91200000000003</v>
      </c>
      <c r="AC107" s="4">
        <v>572.74300000000005</v>
      </c>
      <c r="AD107" s="30">
        <f>H107</f>
        <v>580.91300000000001</v>
      </c>
      <c r="AE107" s="4">
        <v>465.49700000000001</v>
      </c>
      <c r="AF107" s="4">
        <v>478.88600000000002</v>
      </c>
      <c r="AG107" s="4">
        <v>525.17499999999995</v>
      </c>
      <c r="AH107" s="30">
        <f>I107</f>
        <v>546.91600000000005</v>
      </c>
      <c r="AI107" s="4">
        <v>454.76499999999999</v>
      </c>
      <c r="AJ107" s="4">
        <v>782.93399999999997</v>
      </c>
      <c r="AK107" s="4">
        <v>502.964</v>
      </c>
      <c r="AL107" s="30">
        <f>J107</f>
        <v>666.33600000000001</v>
      </c>
      <c r="AM107" s="4">
        <v>543.55899999999997</v>
      </c>
      <c r="AN107" s="4">
        <v>737.36500000000001</v>
      </c>
      <c r="AO107" s="4">
        <v>374.95600000000002</v>
      </c>
      <c r="AP107" s="30">
        <f>K107</f>
        <v>528.21400000000006</v>
      </c>
      <c r="AQ107" s="4">
        <v>566.36800000000005</v>
      </c>
      <c r="AR107" s="4">
        <v>458.72500000000002</v>
      </c>
      <c r="AS107" s="4">
        <v>673.55399999999997</v>
      </c>
      <c r="AT107" s="30">
        <f>L107</f>
        <v>523.03899999999999</v>
      </c>
      <c r="AU107" s="4">
        <v>1620.3489999999999</v>
      </c>
      <c r="AV107" s="30"/>
      <c r="AW107"/>
      <c r="AX107"/>
    </row>
    <row r="108" spans="2:50" ht="13.5" customHeight="1">
      <c r="B108" s="6" t="s">
        <v>279</v>
      </c>
      <c r="C108" s="4">
        <v>0</v>
      </c>
      <c r="D108" s="4">
        <v>0</v>
      </c>
      <c r="E108" s="4">
        <v>0</v>
      </c>
      <c r="F108" s="4">
        <v>590.03800000000001</v>
      </c>
      <c r="G108" s="4">
        <v>0</v>
      </c>
      <c r="H108" s="4">
        <v>0</v>
      </c>
      <c r="I108" s="4">
        <v>0</v>
      </c>
      <c r="J108" s="4">
        <v>1925.556</v>
      </c>
      <c r="K108" s="4">
        <v>0</v>
      </c>
      <c r="L108" s="4">
        <v>0</v>
      </c>
      <c r="M108" s="30">
        <f>AU108</f>
        <v>0</v>
      </c>
      <c r="N108" s="30"/>
      <c r="O108" s="4">
        <v>0</v>
      </c>
      <c r="P108" s="4">
        <v>0</v>
      </c>
      <c r="Q108" s="4">
        <v>0</v>
      </c>
      <c r="R108" s="30">
        <f>E108</f>
        <v>0</v>
      </c>
      <c r="S108" s="4">
        <v>0</v>
      </c>
      <c r="T108" s="4">
        <v>0</v>
      </c>
      <c r="U108" s="4">
        <v>0</v>
      </c>
      <c r="V108" s="30">
        <f>F108</f>
        <v>590.03800000000001</v>
      </c>
      <c r="W108" s="4">
        <v>0</v>
      </c>
      <c r="X108" s="4">
        <v>0</v>
      </c>
      <c r="Y108" s="4">
        <v>0</v>
      </c>
      <c r="Z108" s="30">
        <f>G108</f>
        <v>0</v>
      </c>
      <c r="AA108" s="4">
        <v>0</v>
      </c>
      <c r="AB108" s="4">
        <v>0</v>
      </c>
      <c r="AC108" s="4">
        <v>0</v>
      </c>
      <c r="AD108" s="30">
        <f>H108</f>
        <v>0</v>
      </c>
      <c r="AE108" s="4">
        <v>0</v>
      </c>
      <c r="AF108" s="4">
        <v>0</v>
      </c>
      <c r="AG108" s="4">
        <v>0</v>
      </c>
      <c r="AH108" s="30">
        <f>I108</f>
        <v>0</v>
      </c>
      <c r="AI108" s="4">
        <v>0</v>
      </c>
      <c r="AJ108" s="4">
        <v>0</v>
      </c>
      <c r="AK108" s="4">
        <v>1876.25</v>
      </c>
      <c r="AL108" s="30">
        <f>J108</f>
        <v>1925.556</v>
      </c>
      <c r="AM108" s="4">
        <v>0</v>
      </c>
      <c r="AN108" s="4">
        <v>0</v>
      </c>
      <c r="AO108" s="4">
        <v>0</v>
      </c>
      <c r="AP108" s="30">
        <f>K108</f>
        <v>0</v>
      </c>
      <c r="AQ108" s="4">
        <v>0</v>
      </c>
      <c r="AR108" s="4">
        <v>0</v>
      </c>
      <c r="AS108" s="4">
        <v>0</v>
      </c>
      <c r="AT108" s="30">
        <f>L108</f>
        <v>0</v>
      </c>
      <c r="AU108" s="4">
        <v>0</v>
      </c>
      <c r="AV108" s="30"/>
      <c r="AW108"/>
      <c r="AX108"/>
    </row>
    <row r="109" spans="2:50" ht="13.5" customHeight="1">
      <c r="B109" s="14" t="s">
        <v>85</v>
      </c>
      <c r="C109" s="7">
        <f t="shared" ref="C109:M109" si="228">SUM(C107:C108)</f>
        <v>729.7</v>
      </c>
      <c r="D109" s="7">
        <f t="shared" si="228"/>
        <v>1891.6969999999999</v>
      </c>
      <c r="E109" s="7">
        <f t="shared" si="228"/>
        <v>1182.902</v>
      </c>
      <c r="F109" s="7">
        <f t="shared" si="228"/>
        <v>1147.5909999999999</v>
      </c>
      <c r="G109" s="7">
        <f t="shared" si="228"/>
        <v>503.51</v>
      </c>
      <c r="H109" s="7">
        <f t="shared" si="228"/>
        <v>580.91300000000001</v>
      </c>
      <c r="I109" s="7">
        <f t="shared" si="228"/>
        <v>546.91600000000005</v>
      </c>
      <c r="J109" s="7">
        <f t="shared" si="228"/>
        <v>2591.8919999999998</v>
      </c>
      <c r="K109" s="7">
        <f>SUM(K107:K108)</f>
        <v>528.21400000000006</v>
      </c>
      <c r="L109" s="7">
        <f>SUM(L107:L108)</f>
        <v>523.03899999999999</v>
      </c>
      <c r="M109" s="7">
        <f t="shared" si="228"/>
        <v>1620.3489999999999</v>
      </c>
      <c r="N109" s="30"/>
      <c r="O109" s="7">
        <f t="shared" ref="O109:Z109" si="229">SUM(O107:O108)</f>
        <v>1286.461</v>
      </c>
      <c r="P109" s="7">
        <f t="shared" si="229"/>
        <v>394.13799999999998</v>
      </c>
      <c r="Q109" s="7">
        <f t="shared" si="229"/>
        <v>404.83300000000003</v>
      </c>
      <c r="R109" s="7">
        <f t="shared" si="229"/>
        <v>1182.902</v>
      </c>
      <c r="S109" s="7">
        <f t="shared" si="229"/>
        <v>611.81299999999999</v>
      </c>
      <c r="T109" s="7">
        <f t="shared" si="229"/>
        <v>517.50300000000004</v>
      </c>
      <c r="U109" s="7">
        <f t="shared" si="229"/>
        <v>1181.9739999999999</v>
      </c>
      <c r="V109" s="7">
        <f t="shared" si="229"/>
        <v>1147.5909999999999</v>
      </c>
      <c r="W109" s="7">
        <f t="shared" si="229"/>
        <v>376.029</v>
      </c>
      <c r="X109" s="7">
        <f t="shared" si="229"/>
        <v>591.17700000000002</v>
      </c>
      <c r="Y109" s="7">
        <f t="shared" si="229"/>
        <v>978.89499999999998</v>
      </c>
      <c r="Z109" s="7">
        <f t="shared" si="229"/>
        <v>503.51</v>
      </c>
      <c r="AA109" s="7">
        <f t="shared" ref="AA109:AL109" si="230">SUM(AA107:AA108)</f>
        <v>532.58399999999995</v>
      </c>
      <c r="AB109" s="7">
        <f t="shared" si="230"/>
        <v>618.91200000000003</v>
      </c>
      <c r="AC109" s="7">
        <f t="shared" si="230"/>
        <v>572.74300000000005</v>
      </c>
      <c r="AD109" s="7">
        <f t="shared" si="230"/>
        <v>580.91300000000001</v>
      </c>
      <c r="AE109" s="7">
        <f t="shared" si="230"/>
        <v>465.49700000000001</v>
      </c>
      <c r="AF109" s="7">
        <f t="shared" si="230"/>
        <v>478.88600000000002</v>
      </c>
      <c r="AG109" s="7">
        <f t="shared" si="230"/>
        <v>525.17499999999995</v>
      </c>
      <c r="AH109" s="7">
        <f t="shared" si="230"/>
        <v>546.91600000000005</v>
      </c>
      <c r="AI109" s="7">
        <f t="shared" si="230"/>
        <v>454.76499999999999</v>
      </c>
      <c r="AJ109" s="7">
        <f t="shared" si="230"/>
        <v>782.93399999999997</v>
      </c>
      <c r="AK109" s="7">
        <f t="shared" si="230"/>
        <v>2379.2139999999999</v>
      </c>
      <c r="AL109" s="7">
        <f t="shared" si="230"/>
        <v>2591.8919999999998</v>
      </c>
      <c r="AM109" s="7">
        <f t="shared" ref="AM109:AR109" si="231">SUM(AM107:AM108)</f>
        <v>543.55899999999997</v>
      </c>
      <c r="AN109" s="7">
        <f t="shared" si="231"/>
        <v>737.36500000000001</v>
      </c>
      <c r="AO109" s="7">
        <f t="shared" si="231"/>
        <v>374.95600000000002</v>
      </c>
      <c r="AP109" s="7">
        <f t="shared" si="231"/>
        <v>528.21400000000006</v>
      </c>
      <c r="AQ109" s="7">
        <f t="shared" si="231"/>
        <v>566.36800000000005</v>
      </c>
      <c r="AR109" s="7">
        <f t="shared" si="231"/>
        <v>458.72500000000002</v>
      </c>
      <c r="AS109" s="7">
        <f>SUM(AS107:AS108)</f>
        <v>673.55399999999997</v>
      </c>
      <c r="AT109" s="7">
        <f>SUM(AT107:AT108)</f>
        <v>523.03899999999999</v>
      </c>
      <c r="AU109" s="7">
        <f>SUM(AU107:AU108)</f>
        <v>1620.3489999999999</v>
      </c>
      <c r="AV109" s="30"/>
      <c r="AW109"/>
      <c r="AX109"/>
    </row>
    <row r="110" spans="2:50" ht="13.5" customHeight="1">
      <c r="B110" s="6"/>
      <c r="C110" s="4"/>
      <c r="D110" s="4"/>
      <c r="E110" s="4"/>
      <c r="F110" s="4"/>
      <c r="G110" s="4"/>
      <c r="H110" s="4"/>
      <c r="I110" s="4"/>
      <c r="J110" s="4"/>
      <c r="K110" s="4"/>
      <c r="L110" s="4"/>
      <c r="M110" s="30"/>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c r="AX110"/>
    </row>
    <row r="111" spans="2:50" ht="13.5" customHeight="1">
      <c r="B111" s="5" t="s">
        <v>280</v>
      </c>
      <c r="C111" s="7">
        <f t="shared" ref="C111:J111" si="232">C105-C109</f>
        <v>10883.059000000001</v>
      </c>
      <c r="D111" s="7">
        <f t="shared" si="232"/>
        <v>10910.415999999999</v>
      </c>
      <c r="E111" s="7">
        <f t="shared" si="232"/>
        <v>13242.179999999998</v>
      </c>
      <c r="F111" s="7">
        <f t="shared" si="232"/>
        <v>12386.655999999999</v>
      </c>
      <c r="G111" s="7">
        <f t="shared" si="232"/>
        <v>11174.459000000001</v>
      </c>
      <c r="H111" s="7">
        <f t="shared" si="232"/>
        <v>9642.4639999999999</v>
      </c>
      <c r="I111" s="7">
        <f t="shared" si="232"/>
        <v>9521.0769999999993</v>
      </c>
      <c r="J111" s="7">
        <f t="shared" si="232"/>
        <v>9887.1409999999996</v>
      </c>
      <c r="K111" s="7">
        <f>K105-K109</f>
        <v>10139.575000000003</v>
      </c>
      <c r="L111" s="7">
        <f>L105-L109</f>
        <v>12516.22</v>
      </c>
      <c r="M111" s="7">
        <f t="shared" ref="M111:AL111" si="233">M105-M109</f>
        <v>12517.941999999999</v>
      </c>
      <c r="N111" s="7"/>
      <c r="O111" s="7">
        <f t="shared" si="233"/>
        <v>10924.004999999999</v>
      </c>
      <c r="P111" s="7">
        <f t="shared" si="233"/>
        <v>11421.977999999997</v>
      </c>
      <c r="Q111" s="7">
        <f t="shared" si="233"/>
        <v>13274.607999999998</v>
      </c>
      <c r="R111" s="7">
        <f t="shared" si="233"/>
        <v>12742.680999999999</v>
      </c>
      <c r="S111" s="7">
        <f t="shared" si="233"/>
        <v>12998.569000000001</v>
      </c>
      <c r="T111" s="7">
        <f t="shared" si="233"/>
        <v>13438.705</v>
      </c>
      <c r="U111" s="7">
        <f t="shared" si="233"/>
        <v>13034.993000000002</v>
      </c>
      <c r="V111" s="7">
        <f t="shared" si="233"/>
        <v>12386.655999999999</v>
      </c>
      <c r="W111" s="7">
        <f t="shared" si="233"/>
        <v>12729.969999999998</v>
      </c>
      <c r="X111" s="7">
        <f t="shared" si="233"/>
        <v>12600.732000000002</v>
      </c>
      <c r="Y111" s="7">
        <f t="shared" si="233"/>
        <v>11949.969000000001</v>
      </c>
      <c r="Z111" s="7">
        <f t="shared" si="233"/>
        <v>11174.459000000001</v>
      </c>
      <c r="AA111" s="7">
        <f t="shared" si="233"/>
        <v>10729.038999999999</v>
      </c>
      <c r="AB111" s="7">
        <f t="shared" si="233"/>
        <v>10905.362000000001</v>
      </c>
      <c r="AC111" s="7">
        <f t="shared" si="233"/>
        <v>10170.782999999998</v>
      </c>
      <c r="AD111" s="7">
        <f t="shared" si="233"/>
        <v>9642.4639999999999</v>
      </c>
      <c r="AE111" s="7">
        <f t="shared" si="233"/>
        <v>9999.5879999999997</v>
      </c>
      <c r="AF111" s="7">
        <f t="shared" si="233"/>
        <v>10749.346999999998</v>
      </c>
      <c r="AG111" s="7">
        <f t="shared" si="233"/>
        <v>10035.558000000001</v>
      </c>
      <c r="AH111" s="7">
        <f t="shared" si="233"/>
        <v>9521.0769999999993</v>
      </c>
      <c r="AI111" s="7">
        <f t="shared" si="233"/>
        <v>9613.9350000000013</v>
      </c>
      <c r="AJ111" s="7">
        <f t="shared" si="233"/>
        <v>9833.6039999999994</v>
      </c>
      <c r="AK111" s="7">
        <f t="shared" si="233"/>
        <v>10380.167000000001</v>
      </c>
      <c r="AL111" s="7">
        <f t="shared" si="233"/>
        <v>9887.1409999999996</v>
      </c>
      <c r="AM111" s="7">
        <f t="shared" ref="AM111:AR111" si="234">AM105-AM109</f>
        <v>9573.0730000000021</v>
      </c>
      <c r="AN111" s="7">
        <f t="shared" si="234"/>
        <v>9942.5860000000011</v>
      </c>
      <c r="AO111" s="7">
        <f t="shared" si="234"/>
        <v>9913.1090000000004</v>
      </c>
      <c r="AP111" s="7">
        <f t="shared" si="234"/>
        <v>10139.575000000003</v>
      </c>
      <c r="AQ111" s="7">
        <f t="shared" si="234"/>
        <v>10488.837</v>
      </c>
      <c r="AR111" s="7">
        <f t="shared" si="234"/>
        <v>11228.357000000002</v>
      </c>
      <c r="AS111" s="7">
        <f>AS105-AS109</f>
        <v>12437.512000000001</v>
      </c>
      <c r="AT111" s="7">
        <f>AT105-AT109</f>
        <v>12516.22</v>
      </c>
      <c r="AU111" s="7">
        <f>AU105-AU109</f>
        <v>12517.941999999999</v>
      </c>
      <c r="AV111" s="7"/>
      <c r="AW111"/>
      <c r="AX111"/>
    </row>
    <row r="112" spans="2:50" ht="13.5" customHeight="1">
      <c r="B112" s="1" t="s">
        <v>281</v>
      </c>
      <c r="C112" s="30">
        <f t="shared" ref="C112:J112" si="235">C105</f>
        <v>11612.759000000002</v>
      </c>
      <c r="D112" s="30">
        <f t="shared" si="235"/>
        <v>12802.112999999999</v>
      </c>
      <c r="E112" s="30">
        <f t="shared" si="235"/>
        <v>14425.081999999999</v>
      </c>
      <c r="F112" s="30">
        <f t="shared" si="235"/>
        <v>13534.246999999999</v>
      </c>
      <c r="G112" s="30">
        <f t="shared" si="235"/>
        <v>11677.969000000001</v>
      </c>
      <c r="H112" s="30">
        <f t="shared" si="235"/>
        <v>10223.377</v>
      </c>
      <c r="I112" s="30">
        <f t="shared" si="235"/>
        <v>10067.992999999999</v>
      </c>
      <c r="J112" s="30">
        <f t="shared" si="235"/>
        <v>12479.032999999999</v>
      </c>
      <c r="K112" s="30">
        <f>K105</f>
        <v>10667.789000000002</v>
      </c>
      <c r="L112" s="30">
        <f>L105</f>
        <v>13039.259</v>
      </c>
      <c r="M112" s="30">
        <f>M105</f>
        <v>14138.290999999999</v>
      </c>
      <c r="N112" s="30"/>
      <c r="O112" s="30">
        <f t="shared" ref="O112:U112" si="236">O105</f>
        <v>12210.465999999999</v>
      </c>
      <c r="P112" s="30">
        <f t="shared" si="236"/>
        <v>11816.115999999998</v>
      </c>
      <c r="Q112" s="30">
        <f t="shared" si="236"/>
        <v>13679.440999999999</v>
      </c>
      <c r="R112" s="30">
        <f>E112</f>
        <v>14425.081999999999</v>
      </c>
      <c r="S112" s="30">
        <f t="shared" si="236"/>
        <v>13610.382000000001</v>
      </c>
      <c r="T112" s="30">
        <f t="shared" si="236"/>
        <v>13956.208000000001</v>
      </c>
      <c r="U112" s="30">
        <f t="shared" si="236"/>
        <v>14216.967000000002</v>
      </c>
      <c r="V112" s="30">
        <f>F112</f>
        <v>13534.246999999999</v>
      </c>
      <c r="W112" s="30">
        <f>W105</f>
        <v>13105.998999999998</v>
      </c>
      <c r="X112" s="30">
        <f>X105</f>
        <v>13191.909000000001</v>
      </c>
      <c r="Y112" s="30">
        <f>Y105</f>
        <v>12928.864000000001</v>
      </c>
      <c r="Z112" s="30">
        <f>G112</f>
        <v>11677.969000000001</v>
      </c>
      <c r="AA112" s="30">
        <f>AA105</f>
        <v>11261.623</v>
      </c>
      <c r="AB112" s="30">
        <f>AB105</f>
        <v>11524.274000000001</v>
      </c>
      <c r="AC112" s="30">
        <f>AC105</f>
        <v>10743.525999999998</v>
      </c>
      <c r="AD112" s="30">
        <f>H112</f>
        <v>10223.377</v>
      </c>
      <c r="AE112" s="30">
        <f>AE105</f>
        <v>10465.084999999999</v>
      </c>
      <c r="AF112" s="30">
        <f>AF105</f>
        <v>11228.232999999998</v>
      </c>
      <c r="AG112" s="30">
        <f>AG105</f>
        <v>10560.733</v>
      </c>
      <c r="AH112" s="30">
        <f>I112</f>
        <v>10067.992999999999</v>
      </c>
      <c r="AI112" s="30">
        <f>AI105</f>
        <v>10068.700000000001</v>
      </c>
      <c r="AJ112" s="30">
        <f>AJ105</f>
        <v>10616.537999999999</v>
      </c>
      <c r="AK112" s="30">
        <f>AK105</f>
        <v>12759.381000000001</v>
      </c>
      <c r="AL112" s="30">
        <f>J112</f>
        <v>12479.032999999999</v>
      </c>
      <c r="AM112" s="30">
        <f>AM105</f>
        <v>10116.632000000001</v>
      </c>
      <c r="AN112" s="30">
        <f>AN105</f>
        <v>10679.951000000001</v>
      </c>
      <c r="AO112" s="30">
        <f>AO105</f>
        <v>10288.065000000001</v>
      </c>
      <c r="AP112" s="30">
        <f>K112</f>
        <v>10667.789000000002</v>
      </c>
      <c r="AQ112" s="30">
        <f>AQ105</f>
        <v>11055.205</v>
      </c>
      <c r="AR112" s="30">
        <f>AR105</f>
        <v>11687.082000000002</v>
      </c>
      <c r="AS112" s="30">
        <f>AS105</f>
        <v>13111.066000000001</v>
      </c>
      <c r="AT112" s="30">
        <f>AT105</f>
        <v>13039.259</v>
      </c>
      <c r="AU112" s="30">
        <f>AU105</f>
        <v>14138.290999999999</v>
      </c>
      <c r="AV112" s="30"/>
      <c r="AW112"/>
      <c r="AX112"/>
    </row>
    <row r="113" spans="1:50" ht="13.5" customHeight="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c r="AX113"/>
    </row>
    <row r="114" spans="1:50" s="5" customFormat="1" ht="13.5" customHeight="1">
      <c r="B114" s="5" t="s">
        <v>282</v>
      </c>
      <c r="C114" s="145">
        <v>10883</v>
      </c>
      <c r="D114" s="145">
        <v>10910</v>
      </c>
      <c r="E114" s="145">
        <v>12743</v>
      </c>
      <c r="F114" s="145">
        <v>11955</v>
      </c>
      <c r="G114" s="145">
        <v>10749</v>
      </c>
      <c r="H114" s="145">
        <v>9201.32</v>
      </c>
      <c r="I114" s="145">
        <v>9054.2469999999994</v>
      </c>
      <c r="J114" s="145">
        <v>9437</v>
      </c>
      <c r="K114" s="145">
        <v>9655</v>
      </c>
      <c r="L114" s="145">
        <v>11965.994000000001</v>
      </c>
      <c r="M114" s="7">
        <f>AU114</f>
        <v>11982</v>
      </c>
      <c r="N114" s="7"/>
      <c r="O114" s="7">
        <f>O102+O103-O107</f>
        <v>10924.004999999999</v>
      </c>
      <c r="P114" s="7">
        <f>P102+P103-P107</f>
        <v>11421.977999999997</v>
      </c>
      <c r="Q114" s="7">
        <f>Q102+Q103-Q107</f>
        <v>13274.607999999998</v>
      </c>
      <c r="R114" s="7">
        <f>E114</f>
        <v>12743</v>
      </c>
      <c r="S114" s="7">
        <f>S102+S103-S107</f>
        <v>12618.015000000001</v>
      </c>
      <c r="T114" s="7">
        <f>T102+T103-T107</f>
        <v>13024.78</v>
      </c>
      <c r="U114" s="7">
        <f>U102+U103-U107</f>
        <v>12641.001000000002</v>
      </c>
      <c r="V114" s="7">
        <f>F114</f>
        <v>11955</v>
      </c>
      <c r="W114" s="7">
        <f>W102+W103-W107</f>
        <v>12306.195999999998</v>
      </c>
      <c r="X114" s="7">
        <f>X102+X103-X107</f>
        <v>12156.971000000001</v>
      </c>
      <c r="Y114" s="7">
        <f>Y102+Y103-Y107</f>
        <v>11496.529</v>
      </c>
      <c r="Z114" s="7">
        <f>G114</f>
        <v>10749</v>
      </c>
      <c r="AA114" s="7">
        <f>AA102+AA103-AA109</f>
        <v>10308.694</v>
      </c>
      <c r="AB114" s="7">
        <f>AB102+AB103-AB109</f>
        <v>10506.957</v>
      </c>
      <c r="AC114" s="7">
        <f>AC102+AC103-AC109</f>
        <v>9773.3109999999979</v>
      </c>
      <c r="AD114" s="7">
        <f>H114</f>
        <v>9201.32</v>
      </c>
      <c r="AE114" s="7">
        <f>AE102+AE103-AE109</f>
        <v>9559.384</v>
      </c>
      <c r="AF114" s="7">
        <f>AF102+AF103-AF109</f>
        <v>10303.617999999999</v>
      </c>
      <c r="AG114" s="7">
        <f>AG102+AG103-AG109</f>
        <v>9598.9680000000008</v>
      </c>
      <c r="AH114" s="7">
        <f>I114</f>
        <v>9054.2469999999994</v>
      </c>
      <c r="AI114" s="7">
        <f>AI102+AI103-AI109</f>
        <v>9169.77</v>
      </c>
      <c r="AJ114" s="7">
        <f>AJ102+AJ103-AJ109</f>
        <v>9390.59</v>
      </c>
      <c r="AK114" s="7">
        <f>AK102+AK103-AK109</f>
        <v>9921.1810000000005</v>
      </c>
      <c r="AL114" s="7">
        <f>J114</f>
        <v>9437</v>
      </c>
      <c r="AM114" s="7">
        <f>AM102+AM103-AM109</f>
        <v>9125.3010000000013</v>
      </c>
      <c r="AN114" s="7">
        <f>AN102+AN103-AN109</f>
        <v>9512.1010000000006</v>
      </c>
      <c r="AO114" s="7">
        <f>AO102+AO103-AO109</f>
        <v>9465.902</v>
      </c>
      <c r="AP114" s="7">
        <f>K114</f>
        <v>9655</v>
      </c>
      <c r="AQ114" s="7">
        <f>AQ102+AQ103-AQ109</f>
        <v>10015.594999999999</v>
      </c>
      <c r="AR114" s="7">
        <f>AR102+AR103-AR109</f>
        <v>10764.079000000002</v>
      </c>
      <c r="AS114" s="145">
        <v>11971</v>
      </c>
      <c r="AT114" s="7">
        <f>L114</f>
        <v>11965.994000000001</v>
      </c>
      <c r="AU114" s="145">
        <v>11982</v>
      </c>
      <c r="AV114" s="7"/>
      <c r="AW114" s="254"/>
      <c r="AX114" s="254"/>
    </row>
    <row r="115" spans="1:50" ht="13.5" customHeight="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c r="AX115"/>
    </row>
    <row r="116" spans="1:50" ht="13.5" customHeight="1" outlineLevel="1">
      <c r="B116" s="1" t="s">
        <v>283</v>
      </c>
      <c r="C116" s="4">
        <v>13478.468999999999</v>
      </c>
      <c r="D116" s="4">
        <v>14881.24</v>
      </c>
      <c r="E116" s="4">
        <v>14462.644</v>
      </c>
      <c r="F116" s="4">
        <v>15259.12</v>
      </c>
      <c r="G116" s="4">
        <v>16233.679</v>
      </c>
      <c r="H116" s="4">
        <v>16618.413</v>
      </c>
      <c r="I116" s="4">
        <v>16982.865000000002</v>
      </c>
      <c r="J116" s="4">
        <v>17808.825000000001</v>
      </c>
      <c r="K116" s="4">
        <v>18791.132000000001</v>
      </c>
      <c r="L116" s="4">
        <v>20527.236000000001</v>
      </c>
      <c r="M116" s="30">
        <f>AU116</f>
        <v>21117.81</v>
      </c>
      <c r="N116" s="30"/>
      <c r="O116" s="4">
        <v>15295.625</v>
      </c>
      <c r="P116" s="4">
        <v>15101.39</v>
      </c>
      <c r="Q116" s="4">
        <v>13959.541999999999</v>
      </c>
      <c r="R116" s="30">
        <f>E116</f>
        <v>14462.644</v>
      </c>
      <c r="S116" s="4">
        <v>14876.287</v>
      </c>
      <c r="T116" s="4">
        <v>14639.370999999999</v>
      </c>
      <c r="U116" s="4">
        <v>15202.181</v>
      </c>
      <c r="V116" s="30">
        <f>F116</f>
        <v>15259.12</v>
      </c>
      <c r="W116" s="4">
        <v>15321.487999999999</v>
      </c>
      <c r="X116" s="4">
        <v>15160.884</v>
      </c>
      <c r="Y116" s="4">
        <v>15886.263000000001</v>
      </c>
      <c r="Z116" s="30">
        <f>G116</f>
        <v>16233.679</v>
      </c>
      <c r="AA116" s="4">
        <v>16621.091</v>
      </c>
      <c r="AB116" s="4">
        <v>15973.58</v>
      </c>
      <c r="AC116" s="4">
        <v>16366.518</v>
      </c>
      <c r="AD116" s="30">
        <f>H116</f>
        <v>16618.413</v>
      </c>
      <c r="AE116" s="4">
        <v>16695.308000000001</v>
      </c>
      <c r="AF116" s="4">
        <v>16205.227999999999</v>
      </c>
      <c r="AG116" s="4">
        <v>16641.819</v>
      </c>
      <c r="AH116" s="30">
        <f>I116</f>
        <v>16982.865000000002</v>
      </c>
      <c r="AI116" s="4">
        <v>17251.499</v>
      </c>
      <c r="AJ116" s="4">
        <v>16830.807000000001</v>
      </c>
      <c r="AK116" s="4">
        <v>17505.706999999999</v>
      </c>
      <c r="AL116" s="30">
        <f>J116</f>
        <v>17808.825000000001</v>
      </c>
      <c r="AM116" s="4">
        <v>18349.401000000002</v>
      </c>
      <c r="AN116" s="4">
        <v>17958.767</v>
      </c>
      <c r="AO116" s="4">
        <v>17958.767</v>
      </c>
      <c r="AP116" s="30">
        <f>K116</f>
        <v>18791.132000000001</v>
      </c>
      <c r="AQ116" s="4">
        <v>19703.782999999999</v>
      </c>
      <c r="AR116" s="4">
        <v>19364.248</v>
      </c>
      <c r="AS116" s="4">
        <v>20043.786</v>
      </c>
      <c r="AT116" s="30">
        <f>L116</f>
        <v>20527.236000000001</v>
      </c>
      <c r="AU116" s="4">
        <v>21117.81</v>
      </c>
      <c r="AV116" s="30"/>
      <c r="AW116"/>
      <c r="AX116"/>
    </row>
    <row r="117" spans="1:50" s="5" customFormat="1" ht="13.5" customHeight="1" outlineLevel="1">
      <c r="B117" s="5" t="s">
        <v>284</v>
      </c>
      <c r="C117" s="59">
        <f t="shared" ref="C117:M117" si="237">C112+C116</f>
        <v>25091.228000000003</v>
      </c>
      <c r="D117" s="59">
        <f t="shared" si="237"/>
        <v>27683.352999999999</v>
      </c>
      <c r="E117" s="59">
        <f t="shared" si="237"/>
        <v>28887.725999999999</v>
      </c>
      <c r="F117" s="59">
        <f t="shared" si="237"/>
        <v>28793.366999999998</v>
      </c>
      <c r="G117" s="59">
        <f t="shared" si="237"/>
        <v>27911.648000000001</v>
      </c>
      <c r="H117" s="59">
        <f t="shared" si="237"/>
        <v>26841.79</v>
      </c>
      <c r="I117" s="59">
        <f t="shared" si="237"/>
        <v>27050.858</v>
      </c>
      <c r="J117" s="59">
        <f t="shared" si="237"/>
        <v>30287.858</v>
      </c>
      <c r="K117" s="59">
        <f>K112+K116</f>
        <v>29458.921000000002</v>
      </c>
      <c r="L117" s="59">
        <f>L112+L116</f>
        <v>33566.495000000003</v>
      </c>
      <c r="M117" s="59">
        <f t="shared" si="237"/>
        <v>35256.101000000002</v>
      </c>
      <c r="N117" s="59"/>
      <c r="O117" s="59">
        <f t="shared" ref="O117:U117" si="238">O112+O116</f>
        <v>27506.091</v>
      </c>
      <c r="P117" s="59">
        <f t="shared" si="238"/>
        <v>26917.505999999998</v>
      </c>
      <c r="Q117" s="59">
        <f t="shared" si="238"/>
        <v>27638.983</v>
      </c>
      <c r="R117" s="59">
        <f t="shared" si="238"/>
        <v>28887.725999999999</v>
      </c>
      <c r="S117" s="59">
        <f t="shared" si="238"/>
        <v>28486.669000000002</v>
      </c>
      <c r="T117" s="59">
        <f t="shared" si="238"/>
        <v>28595.578999999998</v>
      </c>
      <c r="U117" s="59">
        <f t="shared" si="238"/>
        <v>29419.148000000001</v>
      </c>
      <c r="V117" s="59">
        <f t="shared" ref="V117:AC117" si="239">V112+V116</f>
        <v>28793.366999999998</v>
      </c>
      <c r="W117" s="59">
        <f t="shared" si="239"/>
        <v>28427.486999999997</v>
      </c>
      <c r="X117" s="59">
        <f t="shared" si="239"/>
        <v>28352.793000000001</v>
      </c>
      <c r="Y117" s="59">
        <f t="shared" si="239"/>
        <v>28815.127</v>
      </c>
      <c r="Z117" s="59">
        <f t="shared" si="239"/>
        <v>27911.648000000001</v>
      </c>
      <c r="AA117" s="59">
        <f t="shared" si="239"/>
        <v>27882.714</v>
      </c>
      <c r="AB117" s="59">
        <f t="shared" si="239"/>
        <v>27497.853999999999</v>
      </c>
      <c r="AC117" s="59">
        <f t="shared" si="239"/>
        <v>27110.043999999998</v>
      </c>
      <c r="AD117" s="59">
        <f t="shared" ref="AD117:AI117" si="240">AD112+AD116</f>
        <v>26841.79</v>
      </c>
      <c r="AE117" s="59">
        <f t="shared" si="240"/>
        <v>27160.393</v>
      </c>
      <c r="AF117" s="59">
        <f t="shared" si="240"/>
        <v>27433.460999999996</v>
      </c>
      <c r="AG117" s="59">
        <f t="shared" si="240"/>
        <v>27202.552</v>
      </c>
      <c r="AH117" s="59">
        <f t="shared" si="240"/>
        <v>27050.858</v>
      </c>
      <c r="AI117" s="59">
        <f t="shared" si="240"/>
        <v>27320.199000000001</v>
      </c>
      <c r="AJ117" s="59">
        <f t="shared" ref="AJ117:AO117" si="241">AJ112+AJ116</f>
        <v>27447.345000000001</v>
      </c>
      <c r="AK117" s="59">
        <f t="shared" si="241"/>
        <v>30265.088</v>
      </c>
      <c r="AL117" s="59">
        <f t="shared" si="241"/>
        <v>30287.858</v>
      </c>
      <c r="AM117" s="59">
        <f t="shared" si="241"/>
        <v>28466.033000000003</v>
      </c>
      <c r="AN117" s="59">
        <f t="shared" si="241"/>
        <v>28638.718000000001</v>
      </c>
      <c r="AO117" s="59">
        <f t="shared" si="241"/>
        <v>28246.832000000002</v>
      </c>
      <c r="AP117" s="59">
        <f t="shared" ref="AP117:AU117" si="242">AP112+AP116</f>
        <v>29458.921000000002</v>
      </c>
      <c r="AQ117" s="59">
        <f t="shared" si="242"/>
        <v>30758.987999999998</v>
      </c>
      <c r="AR117" s="59">
        <f t="shared" si="242"/>
        <v>31051.33</v>
      </c>
      <c r="AS117" s="59">
        <f t="shared" si="242"/>
        <v>33154.851999999999</v>
      </c>
      <c r="AT117" s="59">
        <f t="shared" si="242"/>
        <v>33566.495000000003</v>
      </c>
      <c r="AU117" s="59">
        <f t="shared" si="242"/>
        <v>35256.101000000002</v>
      </c>
      <c r="AV117" s="59"/>
      <c r="AW117"/>
      <c r="AX117"/>
    </row>
    <row r="118" spans="1:50" ht="13.5" customHeight="1">
      <c r="AW118"/>
      <c r="AX118"/>
    </row>
    <row r="119" spans="1:50" ht="13.5" customHeight="1">
      <c r="A119" s="23"/>
      <c r="B119" s="15" t="s">
        <v>285</v>
      </c>
      <c r="C119" s="33">
        <f t="shared" ref="C119:M119" si="243">+C88</f>
        <v>42735</v>
      </c>
      <c r="D119" s="33">
        <f t="shared" si="243"/>
        <v>43100</v>
      </c>
      <c r="E119" s="62">
        <f t="shared" si="243"/>
        <v>43465</v>
      </c>
      <c r="F119" s="62">
        <f t="shared" si="243"/>
        <v>43830</v>
      </c>
      <c r="G119" s="62">
        <f t="shared" si="243"/>
        <v>44196</v>
      </c>
      <c r="H119" s="62">
        <f t="shared" si="243"/>
        <v>44561</v>
      </c>
      <c r="I119" s="62">
        <f t="shared" si="243"/>
        <v>44926</v>
      </c>
      <c r="J119" s="62">
        <f t="shared" si="243"/>
        <v>45291</v>
      </c>
      <c r="K119" s="62">
        <f>+K88</f>
        <v>45657</v>
      </c>
      <c r="L119" s="62">
        <f>+L88</f>
        <v>46022</v>
      </c>
      <c r="M119" s="62">
        <f t="shared" si="243"/>
        <v>46111</v>
      </c>
      <c r="N119" s="177"/>
      <c r="O119" s="62">
        <f t="shared" ref="O119:U119" si="244">+O88</f>
        <v>43189</v>
      </c>
      <c r="P119" s="62">
        <f t="shared" si="244"/>
        <v>43281</v>
      </c>
      <c r="Q119" s="62">
        <f t="shared" si="244"/>
        <v>43373</v>
      </c>
      <c r="R119" s="62">
        <f t="shared" si="244"/>
        <v>43464</v>
      </c>
      <c r="S119" s="62">
        <f t="shared" si="244"/>
        <v>43554</v>
      </c>
      <c r="T119" s="62">
        <f t="shared" si="244"/>
        <v>43646</v>
      </c>
      <c r="U119" s="62">
        <f t="shared" si="244"/>
        <v>43738</v>
      </c>
      <c r="V119" s="62">
        <f t="shared" ref="V119:AB119" si="245">+V88</f>
        <v>43829</v>
      </c>
      <c r="W119" s="62">
        <f t="shared" si="245"/>
        <v>43920</v>
      </c>
      <c r="X119" s="62">
        <f t="shared" si="245"/>
        <v>44012</v>
      </c>
      <c r="Y119" s="62">
        <f t="shared" si="245"/>
        <v>44104</v>
      </c>
      <c r="Z119" s="62">
        <f t="shared" si="245"/>
        <v>44195</v>
      </c>
      <c r="AA119" s="62">
        <f t="shared" si="245"/>
        <v>44285</v>
      </c>
      <c r="AB119" s="62">
        <f t="shared" si="245"/>
        <v>44377</v>
      </c>
      <c r="AC119" s="62">
        <f t="shared" ref="AC119:AH119" si="246">+AC88</f>
        <v>44469</v>
      </c>
      <c r="AD119" s="62">
        <f t="shared" si="246"/>
        <v>44560</v>
      </c>
      <c r="AE119" s="62">
        <f t="shared" si="246"/>
        <v>44650</v>
      </c>
      <c r="AF119" s="62">
        <f t="shared" si="246"/>
        <v>44742</v>
      </c>
      <c r="AG119" s="62">
        <f t="shared" si="246"/>
        <v>44834</v>
      </c>
      <c r="AH119" s="62">
        <f t="shared" si="246"/>
        <v>44926</v>
      </c>
      <c r="AI119" s="62">
        <f t="shared" ref="AI119:AN119" si="247">+AI88</f>
        <v>45015</v>
      </c>
      <c r="AJ119" s="62">
        <f t="shared" si="247"/>
        <v>45107</v>
      </c>
      <c r="AK119" s="62">
        <f t="shared" si="247"/>
        <v>45199</v>
      </c>
      <c r="AL119" s="62">
        <f t="shared" si="247"/>
        <v>45291</v>
      </c>
      <c r="AM119" s="62">
        <f t="shared" si="247"/>
        <v>45381</v>
      </c>
      <c r="AN119" s="62">
        <f t="shared" si="247"/>
        <v>45473</v>
      </c>
      <c r="AO119" s="62">
        <f t="shared" ref="AO119:AT119" si="248">+AO88</f>
        <v>45565</v>
      </c>
      <c r="AP119" s="62">
        <f t="shared" si="248"/>
        <v>45657</v>
      </c>
      <c r="AQ119" s="62">
        <f t="shared" si="248"/>
        <v>45746</v>
      </c>
      <c r="AR119" s="62">
        <f t="shared" si="248"/>
        <v>45838</v>
      </c>
      <c r="AS119" s="62">
        <f t="shared" si="248"/>
        <v>45930</v>
      </c>
      <c r="AT119" s="62">
        <f t="shared" si="248"/>
        <v>46022</v>
      </c>
      <c r="AU119" s="62">
        <f>+AU88</f>
        <v>46111</v>
      </c>
      <c r="AV119" s="176"/>
      <c r="AW119"/>
      <c r="AX119"/>
    </row>
    <row r="120" spans="1:50" ht="13.5" customHeight="1">
      <c r="B120" s="5"/>
      <c r="AW120"/>
      <c r="AX120"/>
    </row>
    <row r="121" spans="1:50" s="5" customFormat="1" ht="13.5" customHeight="1">
      <c r="B121" s="5" t="s">
        <v>286</v>
      </c>
      <c r="C121" s="327">
        <f>+C111/C$82</f>
        <v>2.9287026372443492</v>
      </c>
      <c r="D121" s="327">
        <f t="shared" ref="D121:F122" si="249">+D111/D$82</f>
        <v>2.7839085504324972</v>
      </c>
      <c r="E121" s="327">
        <f>+E111/E$82</f>
        <v>3.2912091462656887</v>
      </c>
      <c r="F121" s="327">
        <f t="shared" si="249"/>
        <v>3.0828681649617957</v>
      </c>
      <c r="G121" s="327">
        <f t="shared" ref="G121:M122" si="250">+G111/G$82</f>
        <v>2.7842873872527036</v>
      </c>
      <c r="H121" s="327">
        <f t="shared" si="250"/>
        <v>2.7609059413027919</v>
      </c>
      <c r="I121" s="327">
        <f t="shared" si="250"/>
        <v>2.4216342871015826</v>
      </c>
      <c r="J121" s="327">
        <f t="shared" si="250"/>
        <v>2.195978795280825</v>
      </c>
      <c r="K121" s="327">
        <f>+K111/K$82</f>
        <v>2.1968564985080343</v>
      </c>
      <c r="L121" s="327">
        <f>+L111/L$82</f>
        <v>2.5783924229127364</v>
      </c>
      <c r="M121" s="327">
        <f t="shared" si="250"/>
        <v>2.5336247340466</v>
      </c>
      <c r="N121" s="327"/>
      <c r="O121" s="328"/>
      <c r="P121" s="328"/>
      <c r="Q121" s="328"/>
      <c r="R121" s="327">
        <f t="shared" ref="R121:U122" si="251">+R111/R$82</f>
        <v>3.1670637504660117</v>
      </c>
      <c r="S121" s="327">
        <f t="shared" si="251"/>
        <v>3.2219336208605993</v>
      </c>
      <c r="T121" s="327">
        <f t="shared" si="251"/>
        <v>3.3883928796550769</v>
      </c>
      <c r="U121" s="327">
        <f t="shared" si="251"/>
        <v>3.2971601659331213</v>
      </c>
      <c r="V121" s="327">
        <f t="shared" ref="V121:AB122" si="252">+V111/V$82</f>
        <v>3.0828681649617957</v>
      </c>
      <c r="W121" s="327">
        <f t="shared" si="252"/>
        <v>3.1352289239711344</v>
      </c>
      <c r="X121" s="327">
        <f t="shared" si="252"/>
        <v>3.0779286255160119</v>
      </c>
      <c r="Y121" s="327">
        <f t="shared" si="252"/>
        <v>2.9155510283748503</v>
      </c>
      <c r="Z121" s="327">
        <f t="shared" si="252"/>
        <v>2.7842873872527032</v>
      </c>
      <c r="AA121" s="327">
        <f t="shared" si="252"/>
        <v>2.6673227426412094</v>
      </c>
      <c r="AB121" s="327">
        <f t="shared" si="252"/>
        <v>2.8580988573225707</v>
      </c>
      <c r="AC121" s="327">
        <f t="shared" ref="AC121:AF122" si="253">+AC111/AC$82</f>
        <v>2.8704267208534411</v>
      </c>
      <c r="AD121" s="327">
        <f t="shared" si="253"/>
        <v>2.7609059413027919</v>
      </c>
      <c r="AE121" s="327">
        <f t="shared" si="253"/>
        <v>2.8301836808281684</v>
      </c>
      <c r="AF121" s="327">
        <f t="shared" si="253"/>
        <v>2.9948360318212988</v>
      </c>
      <c r="AG121" s="327">
        <f t="shared" ref="AG121:AJ122" si="254">+AG111/AG$82</f>
        <v>2.7475897982064317</v>
      </c>
      <c r="AH121" s="327">
        <f t="shared" si="254"/>
        <v>2.4216342871015826</v>
      </c>
      <c r="AI121" s="327">
        <f t="shared" si="254"/>
        <v>2.2695319032598382</v>
      </c>
      <c r="AJ121" s="327">
        <f t="shared" si="254"/>
        <v>2.2564036913093597</v>
      </c>
      <c r="AK121" s="327">
        <f t="shared" ref="AK121:AM122" si="255">+AK111/AK$82</f>
        <v>2.3180326834580911</v>
      </c>
      <c r="AL121" s="327">
        <f t="shared" si="255"/>
        <v>2.195978795280825</v>
      </c>
      <c r="AM121" s="327">
        <f t="shared" si="255"/>
        <v>2.1791851052593243</v>
      </c>
      <c r="AN121" s="327">
        <f t="shared" ref="AN121:AQ122" si="256">+AN111/AN$82</f>
        <v>2.2231085015137357</v>
      </c>
      <c r="AO121" s="327">
        <f t="shared" si="256"/>
        <v>2.1723838763685452</v>
      </c>
      <c r="AP121" s="327">
        <f t="shared" si="256"/>
        <v>2.1968564985080343</v>
      </c>
      <c r="AQ121" s="327">
        <f t="shared" si="256"/>
        <v>2.2395965716921187</v>
      </c>
      <c r="AR121" s="327">
        <f t="shared" ref="AR121:AU122" si="257">+AR111/AR$82</f>
        <v>2.3825033313246369</v>
      </c>
      <c r="AS121" s="327">
        <f t="shared" si="257"/>
        <v>2.5974796900778983</v>
      </c>
      <c r="AT121" s="327">
        <f t="shared" si="257"/>
        <v>2.5783924229127364</v>
      </c>
      <c r="AU121" s="327">
        <f t="shared" si="257"/>
        <v>2.5336247340466</v>
      </c>
      <c r="AV121" s="298"/>
      <c r="AW121"/>
      <c r="AX121"/>
    </row>
    <row r="122" spans="1:50" ht="13.5" customHeight="1">
      <c r="B122" s="1" t="s">
        <v>287</v>
      </c>
      <c r="C122" s="26">
        <f>+C112/C$82</f>
        <v>3.1250696986006465</v>
      </c>
      <c r="D122" s="26">
        <f t="shared" si="249"/>
        <v>3.266595136638514</v>
      </c>
      <c r="E122" s="26">
        <f>+E112/E$82</f>
        <v>3.5852074064868891</v>
      </c>
      <c r="F122" s="26">
        <f t="shared" si="249"/>
        <v>3.3684877672415938</v>
      </c>
      <c r="G122" s="26">
        <f t="shared" si="250"/>
        <v>2.9097446055713361</v>
      </c>
      <c r="H122" s="26">
        <f t="shared" si="250"/>
        <v>2.9272375089477451</v>
      </c>
      <c r="I122" s="26">
        <f t="shared" si="250"/>
        <v>2.5607394049117262</v>
      </c>
      <c r="J122" s="26">
        <f t="shared" si="250"/>
        <v>2.7716497472433801</v>
      </c>
      <c r="K122" s="26">
        <f>+K112/K$82</f>
        <v>2.311300186582034</v>
      </c>
      <c r="L122" s="26">
        <f>+L112/L$82</f>
        <v>2.6861405924469772</v>
      </c>
      <c r="M122" s="26">
        <f t="shared" si="250"/>
        <v>2.8615825009213527</v>
      </c>
      <c r="N122" s="26"/>
      <c r="O122" s="282"/>
      <c r="P122" s="282"/>
      <c r="Q122" s="282"/>
      <c r="R122" s="26">
        <f t="shared" si="251"/>
        <v>3.5852074064868891</v>
      </c>
      <c r="S122" s="26">
        <f t="shared" si="251"/>
        <v>3.3735826888756697</v>
      </c>
      <c r="T122" s="26">
        <f t="shared" si="251"/>
        <v>3.5188744610574623</v>
      </c>
      <c r="U122" s="26">
        <f t="shared" si="251"/>
        <v>3.59613674305661</v>
      </c>
      <c r="V122" s="26">
        <f t="shared" si="252"/>
        <v>3.3684877672415938</v>
      </c>
      <c r="W122" s="26">
        <f t="shared" si="252"/>
        <v>3.2278400610792302</v>
      </c>
      <c r="X122" s="26">
        <f t="shared" si="252"/>
        <v>3.2223329832189358</v>
      </c>
      <c r="Y122" s="26">
        <f t="shared" si="252"/>
        <v>3.1543816332007708</v>
      </c>
      <c r="Z122" s="26">
        <f t="shared" si="252"/>
        <v>2.9097446055713361</v>
      </c>
      <c r="AA122" s="26">
        <f t="shared" si="252"/>
        <v>2.7997272772474147</v>
      </c>
      <c r="AB122" s="26">
        <f t="shared" si="252"/>
        <v>3.0203045392598811</v>
      </c>
      <c r="AC122" s="26">
        <f t="shared" si="253"/>
        <v>3.032067846357914</v>
      </c>
      <c r="AD122" s="26">
        <f t="shared" si="253"/>
        <v>2.9272375089477451</v>
      </c>
      <c r="AE122" s="26">
        <f t="shared" si="253"/>
        <v>2.9619333102003456</v>
      </c>
      <c r="AF122" s="26">
        <f t="shared" si="253"/>
        <v>3.1282566989497091</v>
      </c>
      <c r="AG122" s="26">
        <f t="shared" si="254"/>
        <v>2.8913750737509565</v>
      </c>
      <c r="AH122" s="26">
        <f t="shared" si="254"/>
        <v>2.5607394049117262</v>
      </c>
      <c r="AI122" s="26">
        <f t="shared" si="254"/>
        <v>2.3768868703972235</v>
      </c>
      <c r="AJ122" s="26">
        <f t="shared" si="254"/>
        <v>2.4360545261051887</v>
      </c>
      <c r="AK122" s="26">
        <f t="shared" si="255"/>
        <v>2.8493435778725122</v>
      </c>
      <c r="AL122" s="26">
        <f t="shared" si="255"/>
        <v>2.7716497472433801</v>
      </c>
      <c r="AM122" s="26">
        <f t="shared" si="255"/>
        <v>2.3029192162004666</v>
      </c>
      <c r="AN122" s="26">
        <f t="shared" si="256"/>
        <v>2.3879793309155306</v>
      </c>
      <c r="AO122" s="26">
        <f t="shared" si="256"/>
        <v>2.254552686249244</v>
      </c>
      <c r="AP122" s="26">
        <f t="shared" si="256"/>
        <v>2.311300186582034</v>
      </c>
      <c r="AQ122" s="26">
        <f t="shared" si="256"/>
        <v>2.3605285521505928</v>
      </c>
      <c r="AR122" s="26">
        <f t="shared" si="257"/>
        <v>2.4798384838016996</v>
      </c>
      <c r="AS122" s="26">
        <f t="shared" si="257"/>
        <v>2.7381463149760874</v>
      </c>
      <c r="AT122" s="26">
        <f t="shared" si="257"/>
        <v>2.6861405924469772</v>
      </c>
      <c r="AU122" s="26">
        <f t="shared" si="257"/>
        <v>2.8615825009213527</v>
      </c>
      <c r="AV122" s="26"/>
      <c r="AW122"/>
      <c r="AX122"/>
    </row>
    <row r="123" spans="1:50" ht="13.5" customHeight="1">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c r="AX123"/>
    </row>
    <row r="124" spans="1:50" s="5" customFormat="1" ht="13.5" customHeight="1">
      <c r="B124" s="5" t="s">
        <v>288</v>
      </c>
      <c r="C124" s="327">
        <f>+(C111-C104)/C$82</f>
        <v>2.9287026372443492</v>
      </c>
      <c r="D124" s="327">
        <f t="shared" ref="D124:M124" si="258">+(D111-D104)/D$82</f>
        <v>2.7839085504324972</v>
      </c>
      <c r="E124" s="327">
        <f t="shared" si="258"/>
        <v>3.1670637504660117</v>
      </c>
      <c r="F124" s="327">
        <f t="shared" si="258"/>
        <v>2.9754964035939171</v>
      </c>
      <c r="G124" s="327">
        <f t="shared" si="258"/>
        <v>2.6782702945133803</v>
      </c>
      <c r="H124" s="327">
        <f t="shared" si="258"/>
        <v>2.6345941302791696</v>
      </c>
      <c r="I124" s="327">
        <f t="shared" si="258"/>
        <v>2.3028986089584866</v>
      </c>
      <c r="J124" s="327">
        <f t="shared" si="258"/>
        <v>2.0959891131467216</v>
      </c>
      <c r="K124" s="327">
        <f t="shared" si="258"/>
        <v>2.0917864577073626</v>
      </c>
      <c r="L124" s="327">
        <f>+(L111-L104)/L$82</f>
        <v>2.4650436203757415</v>
      </c>
      <c r="M124" s="327">
        <f t="shared" si="258"/>
        <v>2.4250698062590645</v>
      </c>
      <c r="N124" s="327"/>
      <c r="O124" s="328"/>
      <c r="P124" s="328"/>
      <c r="Q124" s="328"/>
      <c r="R124" s="327">
        <f t="shared" ref="R124:AS124" si="259">+(R111-R104)/R$82</f>
        <v>3.0429183546663352</v>
      </c>
      <c r="S124" s="327">
        <f t="shared" si="259"/>
        <v>3.1276063355145749</v>
      </c>
      <c r="T124" s="327">
        <f t="shared" si="259"/>
        <v>3.2840271299261241</v>
      </c>
      <c r="U124" s="327">
        <f t="shared" si="259"/>
        <v>3.1975011382607379</v>
      </c>
      <c r="V124" s="327">
        <f t="shared" si="259"/>
        <v>2.9754964035939171</v>
      </c>
      <c r="W124" s="327">
        <f t="shared" si="259"/>
        <v>3.0308588035366837</v>
      </c>
      <c r="X124" s="327">
        <f t="shared" si="259"/>
        <v>2.9695329636776671</v>
      </c>
      <c r="Y124" s="327">
        <f t="shared" si="259"/>
        <v>2.804920828555395</v>
      </c>
      <c r="Z124" s="327">
        <f t="shared" si="259"/>
        <v>2.6782702945133803</v>
      </c>
      <c r="AA124" s="327">
        <f t="shared" si="259"/>
        <v>2.5628216984884649</v>
      </c>
      <c r="AB124" s="327">
        <f t="shared" si="259"/>
        <v>2.7536840863822207</v>
      </c>
      <c r="AC124" s="327">
        <f t="shared" si="259"/>
        <v>2.7582510653910188</v>
      </c>
      <c r="AD124" s="327">
        <f t="shared" si="259"/>
        <v>2.6345941302791696</v>
      </c>
      <c r="AE124" s="327">
        <f t="shared" si="259"/>
        <v>2.7055927299774654</v>
      </c>
      <c r="AF124" s="327">
        <f t="shared" si="259"/>
        <v>2.8706531145122125</v>
      </c>
      <c r="AG124" s="327">
        <f t="shared" si="259"/>
        <v>2.6280578070606535</v>
      </c>
      <c r="AH124" s="327">
        <f t="shared" si="259"/>
        <v>2.3028986089584866</v>
      </c>
      <c r="AI124" s="327">
        <f t="shared" si="259"/>
        <v>2.1646792453407437</v>
      </c>
      <c r="AJ124" s="327">
        <f t="shared" si="259"/>
        <v>2.1547503783529174</v>
      </c>
      <c r="AK124" s="327">
        <f t="shared" si="259"/>
        <v>2.2155348576283433</v>
      </c>
      <c r="AL124" s="327">
        <f t="shared" si="259"/>
        <v>2.0959891131467216</v>
      </c>
      <c r="AM124" s="327">
        <f t="shared" si="259"/>
        <v>2.0772556545017484</v>
      </c>
      <c r="AN124" s="327">
        <f t="shared" si="259"/>
        <v>2.1268543817833012</v>
      </c>
      <c r="AO124" s="327">
        <f t="shared" si="259"/>
        <v>2.0743817988972748</v>
      </c>
      <c r="AP124" s="327">
        <f t="shared" si="259"/>
        <v>2.0917864577073626</v>
      </c>
      <c r="AQ124" s="327">
        <f t="shared" si="259"/>
        <v>2.1385490331727648</v>
      </c>
      <c r="AR124" s="327">
        <f t="shared" si="259"/>
        <v>2.2839899084204007</v>
      </c>
      <c r="AS124" s="327">
        <f t="shared" si="259"/>
        <v>2.5001200843723241</v>
      </c>
      <c r="AT124" s="327">
        <f>+(AT111-AT104)/AT$82</f>
        <v>2.4650436203757415</v>
      </c>
      <c r="AU124" s="327">
        <f>+(AU111-AU104)/AU$82</f>
        <v>2.4250698062590645</v>
      </c>
      <c r="AV124" s="298"/>
      <c r="AW124" s="254"/>
      <c r="AX124" s="254"/>
    </row>
    <row r="125" spans="1:50" ht="13.5" customHeight="1">
      <c r="B125" s="1" t="s">
        <v>289</v>
      </c>
      <c r="C125" s="26">
        <f>(C112-C104)/C$82</f>
        <v>3.1250696986006465</v>
      </c>
      <c r="D125" s="26">
        <f t="shared" ref="D125:M125" si="260">(D112-D104)/D$82</f>
        <v>3.266595136638514</v>
      </c>
      <c r="E125" s="26">
        <f t="shared" si="260"/>
        <v>3.4610620106872121</v>
      </c>
      <c r="F125" s="26">
        <f t="shared" si="260"/>
        <v>3.2611160058737152</v>
      </c>
      <c r="G125" s="26">
        <f t="shared" si="260"/>
        <v>2.8037275128320132</v>
      </c>
      <c r="H125" s="26">
        <f t="shared" si="260"/>
        <v>2.8009256979241233</v>
      </c>
      <c r="I125" s="26">
        <f t="shared" si="260"/>
        <v>2.4420037267686303</v>
      </c>
      <c r="J125" s="26">
        <f t="shared" si="260"/>
        <v>2.6716600651092768</v>
      </c>
      <c r="K125" s="26">
        <f t="shared" si="260"/>
        <v>2.2062301457813618</v>
      </c>
      <c r="L125" s="26">
        <f>(L112-L104)/L$82</f>
        <v>2.5727917899099824</v>
      </c>
      <c r="M125" s="26">
        <f t="shared" si="260"/>
        <v>2.7530275731338172</v>
      </c>
      <c r="N125" s="26"/>
      <c r="O125" s="282"/>
      <c r="P125" s="282"/>
      <c r="Q125" s="282"/>
      <c r="R125" s="26">
        <f t="shared" ref="R125:AS125" si="261">(R112-R104)/R$82</f>
        <v>3.4610620106872121</v>
      </c>
      <c r="S125" s="26">
        <f t="shared" si="261"/>
        <v>3.2792554035296453</v>
      </c>
      <c r="T125" s="26">
        <f t="shared" si="261"/>
        <v>3.4145087113285095</v>
      </c>
      <c r="U125" s="26">
        <f t="shared" si="261"/>
        <v>3.4964777153842266</v>
      </c>
      <c r="V125" s="26">
        <f t="shared" si="261"/>
        <v>3.2611160058737152</v>
      </c>
      <c r="W125" s="26">
        <f t="shared" si="261"/>
        <v>3.1234699406447795</v>
      </c>
      <c r="X125" s="26">
        <f t="shared" si="261"/>
        <v>3.113937321380591</v>
      </c>
      <c r="Y125" s="26">
        <f t="shared" si="261"/>
        <v>3.0437514333813156</v>
      </c>
      <c r="Z125" s="26">
        <f t="shared" si="261"/>
        <v>2.8037275128320127</v>
      </c>
      <c r="AA125" s="26">
        <f t="shared" si="261"/>
        <v>2.6952262330946701</v>
      </c>
      <c r="AB125" s="26">
        <f t="shared" si="261"/>
        <v>2.9158897683195306</v>
      </c>
      <c r="AC125" s="26">
        <f t="shared" si="261"/>
        <v>2.9198921908954922</v>
      </c>
      <c r="AD125" s="26">
        <f t="shared" si="261"/>
        <v>2.8009256979241233</v>
      </c>
      <c r="AE125" s="26">
        <f t="shared" si="261"/>
        <v>2.8373423593496421</v>
      </c>
      <c r="AF125" s="26">
        <f t="shared" si="261"/>
        <v>3.0040737816406229</v>
      </c>
      <c r="AG125" s="26">
        <f t="shared" si="261"/>
        <v>2.7718430826051783</v>
      </c>
      <c r="AH125" s="26">
        <f t="shared" si="261"/>
        <v>2.4420037267686303</v>
      </c>
      <c r="AI125" s="26">
        <f t="shared" si="261"/>
        <v>2.272034212478129</v>
      </c>
      <c r="AJ125" s="26">
        <f t="shared" si="261"/>
        <v>2.3344012131487464</v>
      </c>
      <c r="AK125" s="26">
        <f t="shared" si="261"/>
        <v>2.7468457520427645</v>
      </c>
      <c r="AL125" s="26">
        <f t="shared" si="261"/>
        <v>2.6716600651092768</v>
      </c>
      <c r="AM125" s="26">
        <f t="shared" si="261"/>
        <v>2.2009897654428907</v>
      </c>
      <c r="AN125" s="26">
        <f t="shared" si="261"/>
        <v>2.2917252111850961</v>
      </c>
      <c r="AO125" s="26">
        <f t="shared" si="261"/>
        <v>2.1565506087779736</v>
      </c>
      <c r="AP125" s="26">
        <f t="shared" si="261"/>
        <v>2.2062301457813618</v>
      </c>
      <c r="AQ125" s="26">
        <f t="shared" si="261"/>
        <v>2.2594810136312393</v>
      </c>
      <c r="AR125" s="26">
        <f t="shared" si="261"/>
        <v>2.3813250608974634</v>
      </c>
      <c r="AS125" s="26">
        <f t="shared" si="261"/>
        <v>2.6407867092705137</v>
      </c>
      <c r="AT125" s="26">
        <f>(AT112-AT104)/AT$82</f>
        <v>2.5727917899099824</v>
      </c>
      <c r="AU125" s="26">
        <f>(AU112-AU104)/AU$82</f>
        <v>2.7530275731338172</v>
      </c>
      <c r="AV125" s="26"/>
      <c r="AW125"/>
      <c r="AX125"/>
    </row>
    <row r="126" spans="1:50" ht="13.5" customHeight="1">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c r="AX126"/>
    </row>
    <row r="127" spans="1:50" ht="13.5" customHeight="1">
      <c r="B127" s="1" t="s">
        <v>290</v>
      </c>
      <c r="C127" s="327">
        <f t="shared" ref="C127:M127" si="262">C114/C82</f>
        <v>2.9286867599569431</v>
      </c>
      <c r="D127" s="327">
        <f t="shared" si="262"/>
        <v>2.7838024036130746</v>
      </c>
      <c r="E127" s="327">
        <f t="shared" si="262"/>
        <v>3.1671430346713061</v>
      </c>
      <c r="F127" s="327">
        <f t="shared" si="262"/>
        <v>2.975434928694094</v>
      </c>
      <c r="G127" s="327">
        <f t="shared" si="262"/>
        <v>2.6782777694722677</v>
      </c>
      <c r="H127" s="327">
        <f t="shared" si="262"/>
        <v>2.6345941302791696</v>
      </c>
      <c r="I127" s="327">
        <f t="shared" si="262"/>
        <v>2.3028986089584866</v>
      </c>
      <c r="J127" s="327">
        <f t="shared" si="262"/>
        <v>2.096000440477702</v>
      </c>
      <c r="K127" s="327">
        <f t="shared" si="262"/>
        <v>2.0918677058057233</v>
      </c>
      <c r="L127" s="327">
        <f>L114/L82</f>
        <v>2.465043620375742</v>
      </c>
      <c r="M127" s="327">
        <f t="shared" si="262"/>
        <v>2.4251503612451919</v>
      </c>
      <c r="N127" s="327"/>
      <c r="O127" s="328"/>
      <c r="P127" s="328"/>
      <c r="Q127" s="328"/>
      <c r="R127" s="327">
        <f t="shared" ref="R127:W127" si="263">R114/R82</f>
        <v>3.1671430346713061</v>
      </c>
      <c r="S127" s="327">
        <f t="shared" si="263"/>
        <v>3.1276063355145749</v>
      </c>
      <c r="T127" s="327">
        <f t="shared" si="263"/>
        <v>3.2840271299261241</v>
      </c>
      <c r="U127" s="327">
        <f t="shared" si="263"/>
        <v>3.1975011382607379</v>
      </c>
      <c r="V127" s="327">
        <f t="shared" si="263"/>
        <v>2.975434928694094</v>
      </c>
      <c r="W127" s="327">
        <f t="shared" si="263"/>
        <v>3.0308588035366837</v>
      </c>
      <c r="X127" s="327">
        <f t="shared" ref="X127:AC127" si="264">X114/X82</f>
        <v>2.9695329636776671</v>
      </c>
      <c r="Y127" s="327">
        <f t="shared" si="264"/>
        <v>2.804920828555395</v>
      </c>
      <c r="Z127" s="327">
        <f t="shared" si="264"/>
        <v>2.6782777694722677</v>
      </c>
      <c r="AA127" s="327">
        <f t="shared" si="264"/>
        <v>2.5628216984884649</v>
      </c>
      <c r="AB127" s="327">
        <f t="shared" si="264"/>
        <v>2.7536840863822207</v>
      </c>
      <c r="AC127" s="327">
        <f t="shared" si="264"/>
        <v>2.7582510653910188</v>
      </c>
      <c r="AD127" s="327">
        <f t="shared" ref="AD127:AI127" si="265">AD114/AD82</f>
        <v>2.6345941302791696</v>
      </c>
      <c r="AE127" s="327">
        <f t="shared" si="265"/>
        <v>2.7055927299774654</v>
      </c>
      <c r="AF127" s="327">
        <f t="shared" si="265"/>
        <v>2.8706531145122125</v>
      </c>
      <c r="AG127" s="327">
        <f t="shared" si="265"/>
        <v>2.6280578070606535</v>
      </c>
      <c r="AH127" s="327">
        <f t="shared" si="265"/>
        <v>2.3028986089584866</v>
      </c>
      <c r="AI127" s="327">
        <f t="shared" si="265"/>
        <v>2.1646792453407437</v>
      </c>
      <c r="AJ127" s="327">
        <f t="shared" ref="AJ127:AO127" si="266">AJ114/AJ82</f>
        <v>2.1547503783529174</v>
      </c>
      <c r="AK127" s="327">
        <f t="shared" si="266"/>
        <v>2.2155348576283433</v>
      </c>
      <c r="AL127" s="327">
        <f t="shared" si="266"/>
        <v>2.096000440477702</v>
      </c>
      <c r="AM127" s="327">
        <f t="shared" si="266"/>
        <v>2.0772556545017484</v>
      </c>
      <c r="AN127" s="327">
        <f t="shared" si="266"/>
        <v>2.1268543817833012</v>
      </c>
      <c r="AO127" s="327">
        <f t="shared" si="266"/>
        <v>2.0743817988972748</v>
      </c>
      <c r="AP127" s="327">
        <f t="shared" ref="AP127:AU127" si="267">AP114/AP82</f>
        <v>2.0918677058057233</v>
      </c>
      <c r="AQ127" s="327">
        <f t="shared" si="267"/>
        <v>2.1385490331727648</v>
      </c>
      <c r="AR127" s="327">
        <f t="shared" si="267"/>
        <v>2.2839899084204007</v>
      </c>
      <c r="AS127" s="327">
        <f t="shared" si="267"/>
        <v>2.5000522105966625</v>
      </c>
      <c r="AT127" s="327">
        <f t="shared" si="267"/>
        <v>2.465043620375742</v>
      </c>
      <c r="AU127" s="327">
        <f t="shared" si="267"/>
        <v>2.4251503612451919</v>
      </c>
      <c r="AV127" s="26"/>
      <c r="AW127"/>
      <c r="AX127"/>
    </row>
    <row r="128" spans="1:50" ht="13.5" customHeight="1">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c r="AX128"/>
    </row>
    <row r="129" spans="2:50" s="5" customFormat="1" ht="13.5" customHeight="1">
      <c r="B129" s="5" t="s">
        <v>291</v>
      </c>
      <c r="C129" s="327">
        <f t="shared" ref="C129:M129" si="268">+(C82-C85)/C83</f>
        <v>-3.2611121587593885</v>
      </c>
      <c r="D129" s="327">
        <f t="shared" si="268"/>
        <v>1.4647108725428806</v>
      </c>
      <c r="E129" s="327">
        <f t="shared" si="268"/>
        <v>3.812752451708767</v>
      </c>
      <c r="F129" s="327">
        <f t="shared" si="268"/>
        <v>3.8513407127975312</v>
      </c>
      <c r="G129" s="327">
        <f t="shared" si="268"/>
        <v>5.9213861885585795</v>
      </c>
      <c r="H129" s="327">
        <f t="shared" si="268"/>
        <v>5.4711078535009898</v>
      </c>
      <c r="I129" s="327">
        <f t="shared" si="268"/>
        <v>4.6621087515342392</v>
      </c>
      <c r="J129" s="327">
        <f t="shared" si="268"/>
        <v>2.1518825140960556</v>
      </c>
      <c r="K129" s="327">
        <f>+(K82-K85)/K83</f>
        <v>0.60998891539891331</v>
      </c>
      <c r="L129" s="327">
        <f>+(L82-L85)/L83</f>
        <v>-0.23488679740940824</v>
      </c>
      <c r="M129" s="327">
        <f t="shared" si="268"/>
        <v>0.14679965535166384</v>
      </c>
      <c r="N129" s="327"/>
      <c r="O129" s="328"/>
      <c r="P129" s="328"/>
      <c r="Q129" s="328"/>
      <c r="R129" s="327">
        <f t="shared" ref="R129:W129" si="269">+(R82-R85)/R83</f>
        <v>3.812752451708767</v>
      </c>
      <c r="S129" s="327">
        <f t="shared" si="269"/>
        <v>3.7930439617624629</v>
      </c>
      <c r="T129" s="327">
        <f t="shared" si="269"/>
        <v>3.5005961026639913</v>
      </c>
      <c r="U129" s="327">
        <f t="shared" si="269"/>
        <v>3.6038867116480158</v>
      </c>
      <c r="V129" s="327">
        <f t="shared" si="269"/>
        <v>3.8513407127975299</v>
      </c>
      <c r="W129" s="327">
        <f t="shared" si="269"/>
        <v>4.6506764649406334</v>
      </c>
      <c r="X129" s="327">
        <f t="shared" ref="X129:AC129" si="270">+(X82-X85)/X83</f>
        <v>4.8852607609931002</v>
      </c>
      <c r="Y129" s="327">
        <f t="shared" si="270"/>
        <v>5.52886268831094</v>
      </c>
      <c r="Z129" s="327">
        <f t="shared" si="270"/>
        <v>5.9213861885585821</v>
      </c>
      <c r="AA129" s="327">
        <f t="shared" si="270"/>
        <v>6.274364257792878</v>
      </c>
      <c r="AB129" s="327">
        <f t="shared" si="270"/>
        <v>6.2233956392409402</v>
      </c>
      <c r="AC129" s="327">
        <f t="shared" si="270"/>
        <v>5.7610462634025321</v>
      </c>
      <c r="AD129" s="327">
        <f t="shared" ref="AD129:AI129" si="271">+(AD82-AD85)/AD83</f>
        <v>5.4711078535009889</v>
      </c>
      <c r="AE129" s="327">
        <f t="shared" si="271"/>
        <v>5.0080515904644587</v>
      </c>
      <c r="AF129" s="327">
        <f t="shared" si="271"/>
        <v>4.8257832073949718</v>
      </c>
      <c r="AG129" s="327">
        <f t="shared" si="271"/>
        <v>4.4253214174948061</v>
      </c>
      <c r="AH129" s="327">
        <f t="shared" si="271"/>
        <v>4.6621087515342374</v>
      </c>
      <c r="AI129" s="327">
        <f t="shared" si="271"/>
        <v>4.5543780547904884</v>
      </c>
      <c r="AJ129" s="327">
        <f t="shared" ref="AJ129:AO129" si="272">+(AJ82-AJ85)/AJ83</f>
        <v>4.0864254763505503</v>
      </c>
      <c r="AK129" s="327">
        <f t="shared" si="272"/>
        <v>3.3932341736496783</v>
      </c>
      <c r="AL129" s="327">
        <f t="shared" si="272"/>
        <v>2.1518825140960547</v>
      </c>
      <c r="AM129" s="327">
        <f t="shared" si="272"/>
        <v>1.612045054251279</v>
      </c>
      <c r="AN129" s="327">
        <f t="shared" si="272"/>
        <v>0.68162979055493522</v>
      </c>
      <c r="AO129" s="327">
        <f t="shared" si="272"/>
        <v>0.76408237054922934</v>
      </c>
      <c r="AP129" s="327">
        <f t="shared" ref="AP129:AU129" si="273">+(AP82-AP85)/AP83</f>
        <v>0.60998891539891342</v>
      </c>
      <c r="AQ129" s="327">
        <f t="shared" si="273"/>
        <v>0.15246033725874708</v>
      </c>
      <c r="AR129" s="327">
        <f t="shared" si="273"/>
        <v>0.22525490128000422</v>
      </c>
      <c r="AS129" s="327">
        <f t="shared" si="273"/>
        <v>-0.16943023115819833</v>
      </c>
      <c r="AT129" s="327">
        <f t="shared" si="273"/>
        <v>-0.23488679740940693</v>
      </c>
      <c r="AU129" s="327">
        <f t="shared" si="273"/>
        <v>0.14679965535166384</v>
      </c>
      <c r="AV129" s="298"/>
      <c r="AW129"/>
      <c r="AX129"/>
    </row>
    <row r="130" spans="2:50" ht="13.5" customHeight="1">
      <c r="B130" s="1" t="s">
        <v>292</v>
      </c>
      <c r="C130" s="26">
        <f t="shared" ref="C130:M130" si="274">+C82/C83</f>
        <v>10.305161454924624</v>
      </c>
      <c r="D130" s="26">
        <f t="shared" si="274"/>
        <v>8.3745568692478471</v>
      </c>
      <c r="E130" s="26">
        <f t="shared" si="274"/>
        <v>9.565527488855869</v>
      </c>
      <c r="F130" s="26">
        <f t="shared" si="274"/>
        <v>7.6588468745294112</v>
      </c>
      <c r="G130" s="26">
        <f t="shared" si="274"/>
        <v>8.5785005258162972</v>
      </c>
      <c r="H130" s="26">
        <f t="shared" si="274"/>
        <v>10.198688260338855</v>
      </c>
      <c r="I130" s="26">
        <f t="shared" si="274"/>
        <v>9.1051021977258522</v>
      </c>
      <c r="J130" s="26">
        <f t="shared" si="274"/>
        <v>8.0514889153950566</v>
      </c>
      <c r="K130" s="26">
        <f>+K82/K83</f>
        <v>7.1553698923630966</v>
      </c>
      <c r="L130" s="26">
        <f>+L82/L83</f>
        <v>7.1240843629703443</v>
      </c>
      <c r="M130" s="26">
        <f t="shared" si="274"/>
        <v>7.0364153439718589</v>
      </c>
      <c r="N130" s="26"/>
      <c r="O130" s="282"/>
      <c r="P130" s="282"/>
      <c r="Q130" s="282"/>
      <c r="R130" s="26">
        <f t="shared" ref="R130:W130" si="275">+R82/R83</f>
        <v>9.565527488855869</v>
      </c>
      <c r="S130" s="26">
        <f t="shared" si="275"/>
        <v>9.5864728651777504</v>
      </c>
      <c r="T130" s="26">
        <f t="shared" si="275"/>
        <v>8.3246576607588132</v>
      </c>
      <c r="U130" s="26">
        <f t="shared" si="275"/>
        <v>7.9863439861015735</v>
      </c>
      <c r="V130" s="26">
        <f t="shared" si="275"/>
        <v>7.6588468745294094</v>
      </c>
      <c r="W130" s="26">
        <f t="shared" si="275"/>
        <v>8.1213796524466328</v>
      </c>
      <c r="X130" s="26">
        <f t="shared" ref="X130:AC130" si="276">+X82/X83</f>
        <v>8.191600902818907</v>
      </c>
      <c r="Y130" s="26">
        <f t="shared" si="276"/>
        <v>8.4306941690458359</v>
      </c>
      <c r="Z130" s="26">
        <f t="shared" si="276"/>
        <v>8.5785005258163007</v>
      </c>
      <c r="AA130" s="26">
        <f t="shared" si="276"/>
        <v>8.9797540301066423</v>
      </c>
      <c r="AB130" s="26">
        <f t="shared" si="276"/>
        <v>9.3645386450428507</v>
      </c>
      <c r="AC130" s="26">
        <f t="shared" si="276"/>
        <v>9.5144880253268571</v>
      </c>
      <c r="AD130" s="26">
        <f t="shared" ref="AD130:AI130" si="277">+AD82/AD83</f>
        <v>10.198688260338853</v>
      </c>
      <c r="AE130" s="26">
        <f t="shared" si="277"/>
        <v>10.240399971016592</v>
      </c>
      <c r="AF130" s="26">
        <f t="shared" si="277"/>
        <v>10.23077646629593</v>
      </c>
      <c r="AG130" s="26">
        <f t="shared" si="277"/>
        <v>9.5193658438691546</v>
      </c>
      <c r="AH130" s="26">
        <f t="shared" si="277"/>
        <v>9.1051021977258504</v>
      </c>
      <c r="AI130" s="26">
        <f t="shared" si="277"/>
        <v>9.0373522980131469</v>
      </c>
      <c r="AJ130" s="26">
        <f t="shared" ref="AJ130:AO130" si="278">+AJ82/AJ83</f>
        <v>8.468191830437469</v>
      </c>
      <c r="AK130" s="26">
        <f t="shared" si="278"/>
        <v>8.3257082883241331</v>
      </c>
      <c r="AL130" s="26">
        <f t="shared" si="278"/>
        <v>8.0514889153950566</v>
      </c>
      <c r="AM130" s="26">
        <f t="shared" si="278"/>
        <v>8.3286283327614026</v>
      </c>
      <c r="AN130" s="26">
        <f t="shared" si="278"/>
        <v>7.8610097516047608</v>
      </c>
      <c r="AO130" s="26">
        <f t="shared" si="278"/>
        <v>7.0995124106578889</v>
      </c>
      <c r="AP130" s="26">
        <f t="shared" ref="AP130:AU130" si="279">+AP82/AP83</f>
        <v>7.1553698923630984</v>
      </c>
      <c r="AQ130" s="26">
        <f t="shared" si="279"/>
        <v>6.7144368650592252</v>
      </c>
      <c r="AR130" s="26">
        <f t="shared" si="279"/>
        <v>6.8178714441126784</v>
      </c>
      <c r="AS130" s="26">
        <f t="shared" si="279"/>
        <v>7.2060859619552131</v>
      </c>
      <c r="AT130" s="26">
        <f t="shared" si="279"/>
        <v>7.1240843629703452</v>
      </c>
      <c r="AU130" s="26">
        <f t="shared" si="279"/>
        <v>7.0364153439718589</v>
      </c>
      <c r="AV130" s="26"/>
      <c r="AW130"/>
      <c r="AX130"/>
    </row>
    <row r="131" spans="2:50" ht="13.5" customHeight="1">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c r="AX131"/>
    </row>
    <row r="132" spans="2:50" s="5" customFormat="1" ht="13.5" customHeight="1">
      <c r="B132" s="5" t="s">
        <v>293</v>
      </c>
      <c r="C132" s="60">
        <f t="shared" ref="C132:M132" si="280">C111/C116</f>
        <v>0.80744029607517009</v>
      </c>
      <c r="D132" s="60">
        <f t="shared" si="280"/>
        <v>0.73316578457171577</v>
      </c>
      <c r="E132" s="60">
        <f t="shared" si="280"/>
        <v>0.91561266390848028</v>
      </c>
      <c r="F132" s="60">
        <f t="shared" si="280"/>
        <v>0.81175428202936983</v>
      </c>
      <c r="G132" s="60">
        <f t="shared" si="280"/>
        <v>0.68835037331956617</v>
      </c>
      <c r="H132" s="60">
        <f t="shared" si="280"/>
        <v>0.58022772691953195</v>
      </c>
      <c r="I132" s="60">
        <f t="shared" si="280"/>
        <v>0.56062843342392454</v>
      </c>
      <c r="J132" s="60">
        <f t="shared" si="280"/>
        <v>0.55518210774714216</v>
      </c>
      <c r="K132" s="60">
        <f>K111/K116</f>
        <v>0.53959362320481818</v>
      </c>
      <c r="L132" s="60">
        <f>L111/L116</f>
        <v>0.60973722911355421</v>
      </c>
      <c r="M132" s="60">
        <f t="shared" si="280"/>
        <v>0.59276705302301702</v>
      </c>
      <c r="N132" s="173"/>
      <c r="O132" s="60">
        <f t="shared" ref="O132:U132" si="281">O111/O116</f>
        <v>0.71419147632084334</v>
      </c>
      <c r="P132" s="60">
        <f t="shared" si="281"/>
        <v>0.75635275958040937</v>
      </c>
      <c r="Q132" s="60">
        <f t="shared" si="281"/>
        <v>0.95093435013842131</v>
      </c>
      <c r="R132" s="60">
        <f t="shared" si="281"/>
        <v>0.88107547969790301</v>
      </c>
      <c r="S132" s="60">
        <f t="shared" si="281"/>
        <v>0.87377777801678613</v>
      </c>
      <c r="T132" s="60">
        <f t="shared" si="281"/>
        <v>0.91798377129727782</v>
      </c>
      <c r="U132" s="60">
        <f t="shared" si="281"/>
        <v>0.85744229725984722</v>
      </c>
      <c r="V132" s="60">
        <f t="shared" ref="V132:AB132" si="282">V111/V116</f>
        <v>0.81175428202936983</v>
      </c>
      <c r="W132" s="60">
        <f t="shared" si="282"/>
        <v>0.83085729010132681</v>
      </c>
      <c r="X132" s="60">
        <f t="shared" si="282"/>
        <v>0.83113438503981707</v>
      </c>
      <c r="Y132" s="60">
        <f t="shared" si="282"/>
        <v>0.75222026728375324</v>
      </c>
      <c r="Z132" s="60">
        <f t="shared" si="282"/>
        <v>0.68835037331956617</v>
      </c>
      <c r="AA132" s="60">
        <f t="shared" si="282"/>
        <v>0.64550750609571894</v>
      </c>
      <c r="AB132" s="60">
        <f t="shared" si="282"/>
        <v>0.68271245393956781</v>
      </c>
      <c r="AC132" s="60">
        <f t="shared" ref="AC132:AH132" si="283">AC111/AC116</f>
        <v>0.62143841469517203</v>
      </c>
      <c r="AD132" s="60">
        <f t="shared" si="283"/>
        <v>0.58022772691953195</v>
      </c>
      <c r="AE132" s="60">
        <f t="shared" si="283"/>
        <v>0.59894600327229652</v>
      </c>
      <c r="AF132" s="60">
        <f t="shared" si="283"/>
        <v>0.66332587236662133</v>
      </c>
      <c r="AG132" s="60">
        <f t="shared" si="283"/>
        <v>0.60303251705838168</v>
      </c>
      <c r="AH132" s="60">
        <f t="shared" si="283"/>
        <v>0.56062843342392454</v>
      </c>
      <c r="AI132" s="60">
        <f t="shared" ref="AI132:AN132" si="284">AI111/AI116</f>
        <v>0.5572811382941274</v>
      </c>
      <c r="AJ132" s="60">
        <f t="shared" si="284"/>
        <v>0.58426218065479563</v>
      </c>
      <c r="AK132" s="60">
        <f t="shared" si="284"/>
        <v>0.59295902759025965</v>
      </c>
      <c r="AL132" s="60">
        <f t="shared" si="284"/>
        <v>0.55518210774714216</v>
      </c>
      <c r="AM132" s="60">
        <f t="shared" si="284"/>
        <v>0.52171038171763762</v>
      </c>
      <c r="AN132" s="60">
        <f t="shared" si="284"/>
        <v>0.55363411084959235</v>
      </c>
      <c r="AO132" s="60">
        <f t="shared" ref="AO132:AT132" si="285">AO111/AO116</f>
        <v>0.5519927398133736</v>
      </c>
      <c r="AP132" s="60">
        <f t="shared" si="285"/>
        <v>0.53959362320481818</v>
      </c>
      <c r="AQ132" s="60">
        <f t="shared" si="285"/>
        <v>0.53232605129684996</v>
      </c>
      <c r="AR132" s="60">
        <f t="shared" si="285"/>
        <v>0.57984988624396894</v>
      </c>
      <c r="AS132" s="60">
        <f t="shared" si="285"/>
        <v>0.62051710190879106</v>
      </c>
      <c r="AT132" s="60">
        <f t="shared" si="285"/>
        <v>0.60973722911355421</v>
      </c>
      <c r="AU132" s="60">
        <f>AU111/AU116</f>
        <v>0.59276705302301702</v>
      </c>
      <c r="AV132" s="173"/>
      <c r="AW132"/>
      <c r="AX132"/>
    </row>
    <row r="133" spans="2:50" s="5" customFormat="1" ht="13.5" customHeight="1">
      <c r="C133" s="60"/>
      <c r="D133" s="60"/>
      <c r="E133" s="60"/>
      <c r="F133" s="60"/>
      <c r="G133" s="60"/>
      <c r="H133" s="60"/>
      <c r="I133" s="60"/>
      <c r="J133" s="60"/>
      <c r="K133" s="60"/>
      <c r="L133" s="60"/>
      <c r="M133" s="60"/>
      <c r="N133" s="173"/>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173"/>
      <c r="AW133"/>
      <c r="AX133"/>
    </row>
    <row r="134" spans="2:50" ht="13.5" customHeight="1">
      <c r="B134" s="96" t="s">
        <v>294</v>
      </c>
      <c r="C134" s="62">
        <f t="shared" ref="C134:M134" si="286">+C223</f>
        <v>42735</v>
      </c>
      <c r="D134" s="62">
        <f t="shared" si="286"/>
        <v>43100</v>
      </c>
      <c r="E134" s="62">
        <f t="shared" si="286"/>
        <v>43465</v>
      </c>
      <c r="F134" s="62">
        <f t="shared" si="286"/>
        <v>43830</v>
      </c>
      <c r="G134" s="62">
        <f t="shared" si="286"/>
        <v>44196</v>
      </c>
      <c r="H134" s="62">
        <f t="shared" si="286"/>
        <v>44561</v>
      </c>
      <c r="I134" s="62">
        <f t="shared" si="286"/>
        <v>44926</v>
      </c>
      <c r="J134" s="62">
        <f t="shared" si="286"/>
        <v>45291</v>
      </c>
      <c r="K134" s="62">
        <f>+K223</f>
        <v>45657</v>
      </c>
      <c r="L134" s="62">
        <f>+L223</f>
        <v>46022</v>
      </c>
      <c r="M134" s="62">
        <f t="shared" si="286"/>
        <v>46111</v>
      </c>
      <c r="N134" s="176"/>
      <c r="O134" s="62">
        <f t="shared" ref="O134:U134" si="287">+O223</f>
        <v>43189</v>
      </c>
      <c r="P134" s="62">
        <f t="shared" si="287"/>
        <v>43281</v>
      </c>
      <c r="Q134" s="62">
        <f t="shared" si="287"/>
        <v>43373</v>
      </c>
      <c r="R134" s="62">
        <f t="shared" si="287"/>
        <v>43464</v>
      </c>
      <c r="S134" s="62">
        <f t="shared" si="287"/>
        <v>43554</v>
      </c>
      <c r="T134" s="62">
        <f t="shared" si="287"/>
        <v>43646</v>
      </c>
      <c r="U134" s="62">
        <f t="shared" si="287"/>
        <v>43738</v>
      </c>
      <c r="V134" s="62">
        <f t="shared" ref="V134:AB134" si="288">+V223</f>
        <v>43829</v>
      </c>
      <c r="W134" s="62">
        <f t="shared" si="288"/>
        <v>43920</v>
      </c>
      <c r="X134" s="62">
        <f t="shared" si="288"/>
        <v>44012</v>
      </c>
      <c r="Y134" s="62">
        <f t="shared" si="288"/>
        <v>44104</v>
      </c>
      <c r="Z134" s="62">
        <f t="shared" si="288"/>
        <v>44195</v>
      </c>
      <c r="AA134" s="62">
        <f t="shared" si="288"/>
        <v>44285</v>
      </c>
      <c r="AB134" s="62">
        <f t="shared" si="288"/>
        <v>44377</v>
      </c>
      <c r="AC134" s="62">
        <f>+AC223</f>
        <v>44469</v>
      </c>
      <c r="AD134" s="62">
        <f>+AD223</f>
        <v>44560</v>
      </c>
      <c r="AE134" s="62">
        <v>44651</v>
      </c>
      <c r="AF134" s="62">
        <f t="shared" ref="AF134:AK134" si="289">+AF223</f>
        <v>44742</v>
      </c>
      <c r="AG134" s="62">
        <f t="shared" si="289"/>
        <v>44834</v>
      </c>
      <c r="AH134" s="62">
        <f t="shared" si="289"/>
        <v>44926</v>
      </c>
      <c r="AI134" s="62">
        <f t="shared" si="289"/>
        <v>45015</v>
      </c>
      <c r="AJ134" s="62">
        <f t="shared" si="289"/>
        <v>45107</v>
      </c>
      <c r="AK134" s="62">
        <f t="shared" si="289"/>
        <v>45199</v>
      </c>
      <c r="AL134" s="62">
        <f t="shared" ref="AL134:AQ134" si="290">+AL223</f>
        <v>45291</v>
      </c>
      <c r="AM134" s="62">
        <f t="shared" si="290"/>
        <v>45381</v>
      </c>
      <c r="AN134" s="62">
        <f t="shared" si="290"/>
        <v>45473</v>
      </c>
      <c r="AO134" s="62">
        <f t="shared" si="290"/>
        <v>45565</v>
      </c>
      <c r="AP134" s="62">
        <f t="shared" si="290"/>
        <v>45657</v>
      </c>
      <c r="AQ134" s="62">
        <f t="shared" si="290"/>
        <v>45746</v>
      </c>
      <c r="AR134" s="62">
        <f>+AR223</f>
        <v>45838</v>
      </c>
      <c r="AS134" s="62">
        <f>+AS223</f>
        <v>45930</v>
      </c>
      <c r="AT134" s="62">
        <f>+AT223</f>
        <v>46022</v>
      </c>
      <c r="AU134" s="62">
        <f>+AU223</f>
        <v>46111</v>
      </c>
      <c r="AV134" s="176"/>
      <c r="AW134"/>
      <c r="AX134"/>
    </row>
    <row r="135" spans="2:50" ht="13.5" customHeight="1">
      <c r="B135" s="1" t="str">
        <f t="shared" ref="B135:G135" si="291">B79</f>
        <v>Revenue</v>
      </c>
      <c r="C135" s="21">
        <f t="shared" si="291"/>
        <v>14338.579</v>
      </c>
      <c r="D135" s="21">
        <f t="shared" si="291"/>
        <v>13935.531999999999</v>
      </c>
      <c r="E135" s="21">
        <f t="shared" si="291"/>
        <v>13557.837</v>
      </c>
      <c r="F135" s="21">
        <f t="shared" si="291"/>
        <v>14351.277</v>
      </c>
      <c r="G135" s="21">
        <f t="shared" si="291"/>
        <v>15356.948</v>
      </c>
      <c r="H135" s="21">
        <f t="shared" ref="H135:M135" si="292">H79</f>
        <v>15849.72</v>
      </c>
      <c r="I135" s="21">
        <f t="shared" si="292"/>
        <v>18722.258000000002</v>
      </c>
      <c r="J135" s="21">
        <f t="shared" si="292"/>
        <v>19575.584999999999</v>
      </c>
      <c r="K135" s="21">
        <f t="shared" si="292"/>
        <v>20979.511999999999</v>
      </c>
      <c r="L135" s="21">
        <f t="shared" si="292"/>
        <v>22064.876</v>
      </c>
      <c r="M135" s="21">
        <f t="shared" si="292"/>
        <v>22457.839</v>
      </c>
      <c r="N135" s="21"/>
      <c r="O135" s="21"/>
      <c r="P135" s="21"/>
      <c r="Q135" s="21"/>
      <c r="R135" s="21">
        <f t="shared" ref="R135:W135" si="293">R79</f>
        <v>13557.837</v>
      </c>
      <c r="S135" s="21">
        <f t="shared" si="293"/>
        <v>13679.715</v>
      </c>
      <c r="T135" s="21">
        <f t="shared" si="293"/>
        <v>13772.626</v>
      </c>
      <c r="U135" s="21">
        <f t="shared" si="293"/>
        <v>14028.522999999999</v>
      </c>
      <c r="V135" s="21">
        <f t="shared" si="293"/>
        <v>14351.277000000002</v>
      </c>
      <c r="W135" s="21">
        <f t="shared" si="293"/>
        <v>14589.634</v>
      </c>
      <c r="X135" s="21">
        <f t="shared" ref="X135:AE135" si="294">X79</f>
        <v>14951.478999999999</v>
      </c>
      <c r="Y135" s="21">
        <f t="shared" si="294"/>
        <v>15241.301000000001</v>
      </c>
      <c r="Z135" s="21">
        <f t="shared" si="294"/>
        <v>15356.948000000002</v>
      </c>
      <c r="AA135" s="21">
        <f t="shared" si="294"/>
        <v>15409.522000000001</v>
      </c>
      <c r="AB135" s="21">
        <f t="shared" si="294"/>
        <v>15333.246000000001</v>
      </c>
      <c r="AC135" s="21">
        <f t="shared" si="294"/>
        <v>15411.897000000003</v>
      </c>
      <c r="AD135" s="21">
        <f>AD79</f>
        <v>15849.719999999998</v>
      </c>
      <c r="AE135" s="21">
        <f t="shared" si="294"/>
        <v>16708.163</v>
      </c>
      <c r="AF135" s="21">
        <f t="shared" ref="AF135:AK135" si="295">AF79</f>
        <v>17313.042000000001</v>
      </c>
      <c r="AG135" s="21">
        <f t="shared" si="295"/>
        <v>18140.432999999997</v>
      </c>
      <c r="AH135" s="21">
        <f t="shared" si="295"/>
        <v>18722.258000000002</v>
      </c>
      <c r="AI135" s="21">
        <f t="shared" si="295"/>
        <v>19285.365000000002</v>
      </c>
      <c r="AJ135" s="21">
        <f t="shared" si="295"/>
        <v>19467.267000000003</v>
      </c>
      <c r="AK135" s="21">
        <f t="shared" si="295"/>
        <v>19495.080000000002</v>
      </c>
      <c r="AL135" s="21">
        <f t="shared" ref="AL135:AQ135" si="296">AL79</f>
        <v>19575.584999999999</v>
      </c>
      <c r="AM135" s="21">
        <f t="shared" si="296"/>
        <v>19967.661999999997</v>
      </c>
      <c r="AN135" s="21">
        <f t="shared" si="296"/>
        <v>20329.933999999997</v>
      </c>
      <c r="AO135" s="21">
        <f t="shared" si="296"/>
        <v>20741.920999999998</v>
      </c>
      <c r="AP135" s="21">
        <f t="shared" si="296"/>
        <v>20979.511999999999</v>
      </c>
      <c r="AQ135" s="21">
        <f t="shared" si="296"/>
        <v>21287.960999999999</v>
      </c>
      <c r="AR135" s="21">
        <f>AR79</f>
        <v>21421.741999999998</v>
      </c>
      <c r="AS135" s="21">
        <f>AS79</f>
        <v>21765.42</v>
      </c>
      <c r="AT135" s="21">
        <f>AT79</f>
        <v>22064.876000000004</v>
      </c>
      <c r="AU135" s="21">
        <f>AU79</f>
        <v>22457.839</v>
      </c>
      <c r="AV135" s="21"/>
      <c r="AW135"/>
      <c r="AX135"/>
    </row>
    <row r="136" spans="2:50" ht="13.5" customHeight="1">
      <c r="B136" s="1" t="str">
        <f t="shared" ref="B136:G136" si="297">B82</f>
        <v>Adjusted EBITDA</v>
      </c>
      <c r="C136" s="21">
        <f t="shared" si="297"/>
        <v>3716</v>
      </c>
      <c r="D136" s="21">
        <f t="shared" si="297"/>
        <v>3919.1</v>
      </c>
      <c r="E136" s="21">
        <f t="shared" si="297"/>
        <v>4023.5</v>
      </c>
      <c r="F136" s="21">
        <f t="shared" si="297"/>
        <v>4017.9</v>
      </c>
      <c r="G136" s="21">
        <f t="shared" si="297"/>
        <v>4013.4</v>
      </c>
      <c r="H136" s="21">
        <f t="shared" ref="H136:M136" si="298">H82</f>
        <v>3492.5</v>
      </c>
      <c r="I136" s="21">
        <f t="shared" si="298"/>
        <v>3931.67418</v>
      </c>
      <c r="J136" s="21">
        <f t="shared" si="298"/>
        <v>4502.3845499999998</v>
      </c>
      <c r="K136" s="21">
        <f t="shared" si="298"/>
        <v>4615.4926399999995</v>
      </c>
      <c r="L136" s="21">
        <f t="shared" si="298"/>
        <v>4854.2727199999999</v>
      </c>
      <c r="M136" s="21">
        <f t="shared" si="298"/>
        <v>4940.7245800000001</v>
      </c>
      <c r="N136" s="21"/>
      <c r="O136" s="21"/>
      <c r="P136" s="21"/>
      <c r="Q136" s="21"/>
      <c r="R136" s="21">
        <f t="shared" ref="R136:W136" si="299">R82</f>
        <v>4023.5</v>
      </c>
      <c r="S136" s="21">
        <f t="shared" si="299"/>
        <v>4034.4</v>
      </c>
      <c r="T136" s="21">
        <f t="shared" si="299"/>
        <v>3966.1</v>
      </c>
      <c r="U136" s="21">
        <f t="shared" si="299"/>
        <v>3953.4</v>
      </c>
      <c r="V136" s="21">
        <f t="shared" si="299"/>
        <v>4017.9</v>
      </c>
      <c r="W136" s="21">
        <f t="shared" si="299"/>
        <v>4060.3</v>
      </c>
      <c r="X136" s="21">
        <f t="shared" ref="X136:AE136" si="300">X82</f>
        <v>4093.9</v>
      </c>
      <c r="Y136" s="21">
        <f t="shared" si="300"/>
        <v>4098.7000000000007</v>
      </c>
      <c r="Z136" s="21">
        <f t="shared" si="300"/>
        <v>4013.4000000000005</v>
      </c>
      <c r="AA136" s="21">
        <f t="shared" si="300"/>
        <v>4022.3999999999996</v>
      </c>
      <c r="AB136" s="21">
        <f t="shared" si="300"/>
        <v>3815.6</v>
      </c>
      <c r="AC136" s="21">
        <f t="shared" si="300"/>
        <v>3543.3</v>
      </c>
      <c r="AD136" s="21">
        <f>AD82</f>
        <v>3492.5</v>
      </c>
      <c r="AE136" s="21">
        <f t="shared" si="300"/>
        <v>3533.194</v>
      </c>
      <c r="AF136" s="21">
        <f t="shared" ref="AF136:AK136" si="301">AF82</f>
        <v>3589.2940000000003</v>
      </c>
      <c r="AG136" s="21">
        <f t="shared" si="301"/>
        <v>3652.4949999999999</v>
      </c>
      <c r="AH136" s="21">
        <f t="shared" si="301"/>
        <v>3931.67418</v>
      </c>
      <c r="AI136" s="21">
        <f t="shared" si="301"/>
        <v>4236.0871800000004</v>
      </c>
      <c r="AJ136" s="21">
        <f t="shared" si="301"/>
        <v>4358.0871800000004</v>
      </c>
      <c r="AK136" s="21">
        <f t="shared" si="301"/>
        <v>4478.0071800000005</v>
      </c>
      <c r="AL136" s="21">
        <f t="shared" ref="AL136:AQ136" si="302">AL82</f>
        <v>4502.3845499999998</v>
      </c>
      <c r="AM136" s="21">
        <f t="shared" si="302"/>
        <v>4392.96</v>
      </c>
      <c r="AN136" s="21">
        <f t="shared" si="302"/>
        <v>4472.38</v>
      </c>
      <c r="AO136" s="21">
        <f t="shared" si="302"/>
        <v>4563.24</v>
      </c>
      <c r="AP136" s="21">
        <f t="shared" si="302"/>
        <v>4615.4926399999995</v>
      </c>
      <c r="AQ136" s="21">
        <f t="shared" si="302"/>
        <v>4683.3599999999997</v>
      </c>
      <c r="AR136" s="21">
        <f>AR82</f>
        <v>4712.84</v>
      </c>
      <c r="AS136" s="21">
        <f>AS82</f>
        <v>4788.3</v>
      </c>
      <c r="AT136" s="21">
        <f>AT82</f>
        <v>4854.2727199999999</v>
      </c>
      <c r="AU136" s="21">
        <f>AU82</f>
        <v>4940.7245800000001</v>
      </c>
      <c r="AV136" s="21"/>
      <c r="AW136"/>
      <c r="AX136"/>
    </row>
    <row r="137" spans="2:50" ht="13.5" customHeight="1">
      <c r="B137" s="1" t="s">
        <v>295</v>
      </c>
      <c r="C137" s="41">
        <f t="shared" ref="C137:M137" si="303">C136/C135</f>
        <v>0.25916096706654124</v>
      </c>
      <c r="D137" s="41">
        <f t="shared" si="303"/>
        <v>0.28123074167530887</v>
      </c>
      <c r="E137" s="41">
        <f t="shared" si="303"/>
        <v>0.2967656271424417</v>
      </c>
      <c r="F137" s="41">
        <f t="shared" si="303"/>
        <v>0.27996811712295711</v>
      </c>
      <c r="G137" s="41">
        <f t="shared" si="303"/>
        <v>0.26134099041033415</v>
      </c>
      <c r="H137" s="41">
        <f t="shared" si="303"/>
        <v>0.22035089578869532</v>
      </c>
      <c r="I137" s="41">
        <f t="shared" si="303"/>
        <v>0.21</v>
      </c>
      <c r="J137" s="41">
        <f t="shared" si="303"/>
        <v>0.23</v>
      </c>
      <c r="K137" s="41">
        <f>K136/K135</f>
        <v>0.22</v>
      </c>
      <c r="L137" s="41">
        <f>L136/L135</f>
        <v>0.22</v>
      </c>
      <c r="M137" s="41">
        <f t="shared" si="303"/>
        <v>0.22</v>
      </c>
      <c r="N137" s="296"/>
      <c r="O137" s="41"/>
      <c r="P137" s="41"/>
      <c r="Q137" s="41"/>
      <c r="R137" s="41">
        <f t="shared" ref="R137:W137" si="304">R136/R135</f>
        <v>0.2967656271424417</v>
      </c>
      <c r="S137" s="41">
        <f t="shared" si="304"/>
        <v>0.29491842483560515</v>
      </c>
      <c r="T137" s="41">
        <f t="shared" si="304"/>
        <v>0.28796977424639281</v>
      </c>
      <c r="U137" s="41">
        <f t="shared" si="304"/>
        <v>0.28181156348391062</v>
      </c>
      <c r="V137" s="41">
        <f t="shared" si="304"/>
        <v>0.27996811712295705</v>
      </c>
      <c r="W137" s="41">
        <f t="shared" si="304"/>
        <v>0.27830033296243073</v>
      </c>
      <c r="X137" s="41">
        <f t="shared" ref="X137:AE137" si="305">X136/X135</f>
        <v>0.27381237668862057</v>
      </c>
      <c r="Y137" s="41">
        <f t="shared" si="305"/>
        <v>0.26892061248577143</v>
      </c>
      <c r="Z137" s="41">
        <f t="shared" si="305"/>
        <v>0.26134099041033415</v>
      </c>
      <c r="AA137" s="41">
        <f t="shared" si="305"/>
        <v>0.26103340518933676</v>
      </c>
      <c r="AB137" s="41">
        <f t="shared" si="305"/>
        <v>0.2488448955948401</v>
      </c>
      <c r="AC137" s="41">
        <f t="shared" si="305"/>
        <v>0.22990680511295913</v>
      </c>
      <c r="AD137" s="41">
        <f>AD136/AD135</f>
        <v>0.22035089578869535</v>
      </c>
      <c r="AE137" s="41">
        <f t="shared" si="305"/>
        <v>0.21146513832789396</v>
      </c>
      <c r="AF137" s="41">
        <f t="shared" ref="AF137:AK137" si="306">AF136/AF135</f>
        <v>0.20731735070012539</v>
      </c>
      <c r="AG137" s="41">
        <f t="shared" si="306"/>
        <v>0.20134552466305519</v>
      </c>
      <c r="AH137" s="41">
        <f t="shared" si="306"/>
        <v>0.21</v>
      </c>
      <c r="AI137" s="41">
        <f t="shared" si="306"/>
        <v>0.21965294304774632</v>
      </c>
      <c r="AJ137" s="41">
        <f t="shared" si="306"/>
        <v>0.22386743758124855</v>
      </c>
      <c r="AK137" s="41">
        <f t="shared" si="306"/>
        <v>0.22969934875876374</v>
      </c>
      <c r="AL137" s="41">
        <f t="shared" ref="AL137:AQ137" si="307">AL136/AL135</f>
        <v>0.23</v>
      </c>
      <c r="AM137" s="41">
        <f t="shared" si="307"/>
        <v>0.2200037240213702</v>
      </c>
      <c r="AN137" s="41">
        <f t="shared" si="307"/>
        <v>0.21998989273649391</v>
      </c>
      <c r="AO137" s="41">
        <f t="shared" si="307"/>
        <v>0.22000083791660377</v>
      </c>
      <c r="AP137" s="41">
        <f t="shared" si="307"/>
        <v>0.22</v>
      </c>
      <c r="AQ137" s="41">
        <f t="shared" si="307"/>
        <v>0.2200004030447068</v>
      </c>
      <c r="AR137" s="41">
        <f>AR136/AR135</f>
        <v>0.22000264964445937</v>
      </c>
      <c r="AS137" s="41">
        <f>AS136/AS135</f>
        <v>0.21999575473388525</v>
      </c>
      <c r="AT137" s="41">
        <f>AT136/AT135</f>
        <v>0.21999999999999995</v>
      </c>
      <c r="AU137" s="41">
        <f>AU136/AU135</f>
        <v>0.22</v>
      </c>
      <c r="AV137" s="296"/>
      <c r="AW137"/>
      <c r="AX137"/>
    </row>
    <row r="138" spans="2:50" ht="13.5" customHeight="1">
      <c r="B138" s="1" t="str">
        <f t="shared" ref="B138:G138" si="308">B83</f>
        <v>Cash interest paid</v>
      </c>
      <c r="C138" s="21">
        <f t="shared" si="308"/>
        <v>360.596</v>
      </c>
      <c r="D138" s="21">
        <f t="shared" si="308"/>
        <v>467.97699999999998</v>
      </c>
      <c r="E138" s="21">
        <f t="shared" si="308"/>
        <v>420.625</v>
      </c>
      <c r="F138" s="21">
        <f t="shared" si="308"/>
        <v>524.60900000000004</v>
      </c>
      <c r="G138" s="21">
        <f t="shared" si="308"/>
        <v>467.84399999999999</v>
      </c>
      <c r="H138" s="21">
        <f t="shared" ref="H138:M138" si="309">H83</f>
        <v>342.44600000000003</v>
      </c>
      <c r="I138" s="21">
        <f t="shared" si="309"/>
        <v>431.81</v>
      </c>
      <c r="J138" s="21">
        <f t="shared" si="309"/>
        <v>559.19899999999996</v>
      </c>
      <c r="K138" s="21">
        <f t="shared" si="309"/>
        <v>645.03899999999999</v>
      </c>
      <c r="L138" s="21">
        <f t="shared" si="309"/>
        <v>681.38900000000001</v>
      </c>
      <c r="M138" s="21">
        <f t="shared" si="309"/>
        <v>702.16499999999996</v>
      </c>
      <c r="N138" s="21"/>
      <c r="O138" s="21"/>
      <c r="P138" s="21"/>
      <c r="Q138" s="21"/>
      <c r="R138" s="21">
        <f t="shared" ref="R138:W138" si="310">R83</f>
        <v>420.625</v>
      </c>
      <c r="S138" s="21">
        <f t="shared" si="310"/>
        <v>420.84300000000002</v>
      </c>
      <c r="T138" s="21">
        <f t="shared" si="310"/>
        <v>476.428</v>
      </c>
      <c r="U138" s="21">
        <f t="shared" si="310"/>
        <v>495.01999999999992</v>
      </c>
      <c r="V138" s="21">
        <f t="shared" si="310"/>
        <v>524.60900000000015</v>
      </c>
      <c r="W138" s="21">
        <f t="shared" si="310"/>
        <v>499.95200000000011</v>
      </c>
      <c r="X138" s="21">
        <f t="shared" ref="X138:AE138" si="311">X83</f>
        <v>499.76800000000003</v>
      </c>
      <c r="Y138" s="21">
        <f t="shared" si="311"/>
        <v>486.1640000000001</v>
      </c>
      <c r="Z138" s="21">
        <f t="shared" si="311"/>
        <v>467.84399999999994</v>
      </c>
      <c r="AA138" s="21">
        <f t="shared" si="311"/>
        <v>447.94100000000003</v>
      </c>
      <c r="AB138" s="21">
        <f t="shared" si="311"/>
        <v>407.452</v>
      </c>
      <c r="AC138" s="21">
        <f t="shared" si="311"/>
        <v>372.411</v>
      </c>
      <c r="AD138" s="21">
        <f>AD83</f>
        <v>342.44600000000008</v>
      </c>
      <c r="AE138" s="21">
        <f t="shared" si="311"/>
        <v>345.02500000000003</v>
      </c>
      <c r="AF138" s="21">
        <f t="shared" ref="AF138:AK138" si="312">AF83</f>
        <v>350.83300000000003</v>
      </c>
      <c r="AG138" s="21">
        <f t="shared" si="312"/>
        <v>383.69100000000003</v>
      </c>
      <c r="AH138" s="21">
        <f t="shared" si="312"/>
        <v>431.81000000000006</v>
      </c>
      <c r="AI138" s="21">
        <f t="shared" si="312"/>
        <v>468.73099999999999</v>
      </c>
      <c r="AJ138" s="21">
        <f t="shared" si="312"/>
        <v>514.64200000000005</v>
      </c>
      <c r="AK138" s="21">
        <f t="shared" si="312"/>
        <v>537.85300000000007</v>
      </c>
      <c r="AL138" s="21">
        <f t="shared" ref="AL138:AQ138" si="313">AL83</f>
        <v>559.19899999999996</v>
      </c>
      <c r="AM138" s="21">
        <f t="shared" si="313"/>
        <v>527.45299999999997</v>
      </c>
      <c r="AN138" s="21">
        <f t="shared" si="313"/>
        <v>568.93200000000002</v>
      </c>
      <c r="AO138" s="21">
        <f t="shared" si="313"/>
        <v>642.75399999999991</v>
      </c>
      <c r="AP138" s="21">
        <f t="shared" si="313"/>
        <v>645.03899999999987</v>
      </c>
      <c r="AQ138" s="21">
        <f t="shared" si="313"/>
        <v>697.50599999999997</v>
      </c>
      <c r="AR138" s="21">
        <f>AR83</f>
        <v>691.24799999999993</v>
      </c>
      <c r="AS138" s="21">
        <f>AS83</f>
        <v>664.48</v>
      </c>
      <c r="AT138" s="21">
        <f>AT83</f>
        <v>681.3889999999999</v>
      </c>
      <c r="AU138" s="21">
        <f>AU83</f>
        <v>702.16499999999996</v>
      </c>
      <c r="AV138" s="21"/>
      <c r="AW138"/>
      <c r="AX138"/>
    </row>
    <row r="139" spans="2:50" ht="13.5" customHeight="1">
      <c r="B139" s="1" t="str">
        <f t="shared" ref="B139:I139" si="314">B85</f>
        <v>Capex</v>
      </c>
      <c r="C139" s="21">
        <f t="shared" si="314"/>
        <v>4891.9440000000004</v>
      </c>
      <c r="D139" s="21">
        <f t="shared" si="314"/>
        <v>3233.6490000000003</v>
      </c>
      <c r="E139" s="21">
        <f t="shared" si="314"/>
        <v>2419.761</v>
      </c>
      <c r="F139" s="21">
        <f t="shared" si="314"/>
        <v>1997.452</v>
      </c>
      <c r="G139" s="21">
        <f t="shared" si="314"/>
        <v>1243.115</v>
      </c>
      <c r="H139" s="21">
        <f t="shared" si="314"/>
        <v>1618.941</v>
      </c>
      <c r="I139" s="21">
        <f t="shared" si="314"/>
        <v>1918.5290000000002</v>
      </c>
      <c r="J139" s="21">
        <f t="shared" ref="J139:M140" si="315">J85</f>
        <v>3299.0539999999996</v>
      </c>
      <c r="K139" s="21">
        <f t="shared" si="315"/>
        <v>4222.0259999999998</v>
      </c>
      <c r="L139" s="21">
        <f>L85</f>
        <v>5014.3219999999992</v>
      </c>
      <c r="M139" s="21">
        <f t="shared" si="315"/>
        <v>4837.646999999999</v>
      </c>
      <c r="N139" s="21"/>
      <c r="O139" s="21"/>
      <c r="P139" s="21"/>
      <c r="Q139" s="21"/>
      <c r="R139" s="21">
        <f t="shared" ref="R139:AI139" si="316">R85</f>
        <v>2419.761</v>
      </c>
      <c r="S139" s="21">
        <f t="shared" si="316"/>
        <v>2438.1239999999998</v>
      </c>
      <c r="T139" s="21">
        <f t="shared" si="316"/>
        <v>2298.3179999999998</v>
      </c>
      <c r="U139" s="21">
        <f t="shared" si="316"/>
        <v>2169.4039999999995</v>
      </c>
      <c r="V139" s="21">
        <f t="shared" si="316"/>
        <v>1997.4520000000002</v>
      </c>
      <c r="W139" s="21">
        <f t="shared" si="316"/>
        <v>1735.1849999999999</v>
      </c>
      <c r="X139" s="21">
        <f t="shared" si="316"/>
        <v>1652.4030000000002</v>
      </c>
      <c r="Y139" s="21">
        <f t="shared" si="316"/>
        <v>1410.7660000000005</v>
      </c>
      <c r="Z139" s="21">
        <f t="shared" si="316"/>
        <v>1243.115</v>
      </c>
      <c r="AA139" s="21">
        <f t="shared" si="316"/>
        <v>1211.855</v>
      </c>
      <c r="AB139" s="21">
        <f t="shared" si="316"/>
        <v>1279.865</v>
      </c>
      <c r="AC139" s="21">
        <f t="shared" si="316"/>
        <v>1397.8229999999999</v>
      </c>
      <c r="AD139" s="21">
        <f t="shared" si="316"/>
        <v>1618.9409999999998</v>
      </c>
      <c r="AE139" s="21">
        <f t="shared" si="316"/>
        <v>1805.2909999999999</v>
      </c>
      <c r="AF139" s="21">
        <f t="shared" si="316"/>
        <v>1896.25</v>
      </c>
      <c r="AG139" s="21">
        <f t="shared" si="316"/>
        <v>1954.5390000000002</v>
      </c>
      <c r="AH139" s="21">
        <f t="shared" si="316"/>
        <v>1918.5290000000005</v>
      </c>
      <c r="AI139" s="21">
        <f t="shared" si="316"/>
        <v>2101.3090000000002</v>
      </c>
      <c r="AJ139" s="21">
        <f t="shared" ref="AJ139:AS139" si="317">AJ85</f>
        <v>2255.0410000000002</v>
      </c>
      <c r="AK139" s="21">
        <f t="shared" si="317"/>
        <v>2652.9459999999999</v>
      </c>
      <c r="AL139" s="21">
        <f t="shared" si="317"/>
        <v>3299.0540000000001</v>
      </c>
      <c r="AM139" s="21">
        <f t="shared" si="317"/>
        <v>3542.6820000000002</v>
      </c>
      <c r="AN139" s="21">
        <f t="shared" si="317"/>
        <v>4084.5789999999997</v>
      </c>
      <c r="AO139" s="21">
        <f t="shared" si="317"/>
        <v>4072.1230000000005</v>
      </c>
      <c r="AP139" s="21">
        <f t="shared" si="317"/>
        <v>4222.0259999999998</v>
      </c>
      <c r="AQ139" s="21">
        <f t="shared" si="317"/>
        <v>4577.018</v>
      </c>
      <c r="AR139" s="21">
        <f t="shared" si="317"/>
        <v>4557.1329999999998</v>
      </c>
      <c r="AS139" s="21">
        <f t="shared" si="317"/>
        <v>4900.8829999999998</v>
      </c>
      <c r="AT139" s="21">
        <f>AT85</f>
        <v>5014.3219999999983</v>
      </c>
      <c r="AU139" s="21">
        <f>AU85</f>
        <v>4837.646999999999</v>
      </c>
      <c r="AV139" s="21"/>
      <c r="AW139"/>
      <c r="AX139"/>
    </row>
    <row r="140" spans="2:50" ht="13.5" customHeight="1">
      <c r="B140" s="1" t="str">
        <f t="shared" ref="B140:I140" si="318">B86</f>
        <v xml:space="preserve">Free cash flow </v>
      </c>
      <c r="C140" s="21">
        <f t="shared" si="318"/>
        <v>-1592.5700000000004</v>
      </c>
      <c r="D140" s="21">
        <f t="shared" si="318"/>
        <v>-57.243000000000258</v>
      </c>
      <c r="E140" s="21">
        <f t="shared" si="318"/>
        <v>-115.54999999999986</v>
      </c>
      <c r="F140" s="21">
        <f t="shared" si="318"/>
        <v>1060.0520000000001</v>
      </c>
      <c r="G140" s="21">
        <f t="shared" si="318"/>
        <v>1532.077</v>
      </c>
      <c r="H140" s="21">
        <f t="shared" si="318"/>
        <v>1831.7639999999999</v>
      </c>
      <c r="I140" s="21">
        <f t="shared" si="318"/>
        <v>229.6421799999998</v>
      </c>
      <c r="J140" s="21">
        <f t="shared" si="315"/>
        <v>-328.35045000000008</v>
      </c>
      <c r="K140" s="21">
        <f t="shared" si="315"/>
        <v>-129.14136000000062</v>
      </c>
      <c r="L140" s="21">
        <f>L86</f>
        <v>-2276.1222799999996</v>
      </c>
      <c r="M140" s="21">
        <f t="shared" si="315"/>
        <v>-1907.1564199999982</v>
      </c>
      <c r="N140" s="21"/>
      <c r="O140" s="21"/>
      <c r="P140" s="21"/>
      <c r="Q140" s="21"/>
      <c r="R140" s="21">
        <f t="shared" ref="R140:AI140" si="319">R86</f>
        <v>-115.5499999999999</v>
      </c>
      <c r="S140" s="21">
        <f t="shared" si="319"/>
        <v>36.193000000000168</v>
      </c>
      <c r="T140" s="21">
        <f t="shared" si="319"/>
        <v>238.85600000000017</v>
      </c>
      <c r="U140" s="21">
        <f t="shared" si="319"/>
        <v>797.14200000000051</v>
      </c>
      <c r="V140" s="21">
        <f t="shared" si="319"/>
        <v>1060.0520000000004</v>
      </c>
      <c r="W140" s="21">
        <f t="shared" si="319"/>
        <v>989.40800000000024</v>
      </c>
      <c r="X140" s="21">
        <f t="shared" si="319"/>
        <v>1446.3910000000003</v>
      </c>
      <c r="Y140" s="21">
        <f t="shared" si="319"/>
        <v>1704.4840000000002</v>
      </c>
      <c r="Z140" s="21">
        <f t="shared" si="319"/>
        <v>1532.0770000000002</v>
      </c>
      <c r="AA140" s="21">
        <f t="shared" si="319"/>
        <v>2046.2840000000001</v>
      </c>
      <c r="AB140" s="21">
        <f t="shared" si="319"/>
        <v>1978.1659999999997</v>
      </c>
      <c r="AC140" s="21">
        <f t="shared" si="319"/>
        <v>1795.4249999999995</v>
      </c>
      <c r="AD140" s="21">
        <f t="shared" si="319"/>
        <v>1831.7639999999999</v>
      </c>
      <c r="AE140" s="21">
        <f t="shared" si="319"/>
        <v>1209.8440000000001</v>
      </c>
      <c r="AF140" s="21">
        <f t="shared" si="319"/>
        <v>483.07600000000002</v>
      </c>
      <c r="AG140" s="21">
        <f t="shared" si="319"/>
        <v>701.89700000000039</v>
      </c>
      <c r="AH140" s="21">
        <f t="shared" si="319"/>
        <v>229.64217999999983</v>
      </c>
      <c r="AI140" s="21">
        <f t="shared" si="319"/>
        <v>448.47117999999995</v>
      </c>
      <c r="AJ140" s="21">
        <f t="shared" ref="AJ140:AS140" si="320">AJ86</f>
        <v>966.04818</v>
      </c>
      <c r="AK140" s="21">
        <f t="shared" si="320"/>
        <v>-396.07581999999968</v>
      </c>
      <c r="AL140" s="21">
        <f t="shared" si="320"/>
        <v>-328.35045000000002</v>
      </c>
      <c r="AM140" s="21">
        <f t="shared" si="320"/>
        <v>-146.14799999999991</v>
      </c>
      <c r="AN140" s="21">
        <f t="shared" si="320"/>
        <v>-380.69299999999964</v>
      </c>
      <c r="AO140" s="21">
        <f t="shared" si="320"/>
        <v>535.19799999999907</v>
      </c>
      <c r="AP140" s="21">
        <f t="shared" si="320"/>
        <v>-129.14135999999993</v>
      </c>
      <c r="AQ140" s="21">
        <f t="shared" si="320"/>
        <v>-853.00999999999954</v>
      </c>
      <c r="AR140" s="21">
        <f t="shared" si="320"/>
        <v>-1281.1509999999992</v>
      </c>
      <c r="AS140" s="21">
        <f t="shared" si="320"/>
        <v>-2507.7189999999991</v>
      </c>
      <c r="AT140" s="21">
        <f>AT86</f>
        <v>-2276.1222799999987</v>
      </c>
      <c r="AU140" s="21">
        <f>AU86</f>
        <v>-1907.1564199999989</v>
      </c>
      <c r="AV140" s="21"/>
      <c r="AW140"/>
      <c r="AX140"/>
    </row>
    <row r="141" spans="2:50" ht="13.5" customHeight="1">
      <c r="B141" s="1" t="s">
        <v>296</v>
      </c>
      <c r="C141" s="21">
        <f>C107</f>
        <v>729.7</v>
      </c>
      <c r="D141" s="21">
        <f>D107</f>
        <v>1891.6969999999999</v>
      </c>
      <c r="E141" s="21">
        <f>E107</f>
        <v>1182.902</v>
      </c>
      <c r="F141" s="21">
        <f t="shared" ref="F141:M141" si="321">F109</f>
        <v>1147.5909999999999</v>
      </c>
      <c r="G141" s="21">
        <f t="shared" si="321"/>
        <v>503.51</v>
      </c>
      <c r="H141" s="21">
        <f t="shared" si="321"/>
        <v>580.91300000000001</v>
      </c>
      <c r="I141" s="21">
        <f t="shared" si="321"/>
        <v>546.91600000000005</v>
      </c>
      <c r="J141" s="21">
        <f t="shared" si="321"/>
        <v>2591.8919999999998</v>
      </c>
      <c r="K141" s="21">
        <f>K109</f>
        <v>528.21400000000006</v>
      </c>
      <c r="L141" s="21">
        <f>L109</f>
        <v>523.03899999999999</v>
      </c>
      <c r="M141" s="21">
        <f t="shared" si="321"/>
        <v>1620.3489999999999</v>
      </c>
      <c r="N141" s="21"/>
      <c r="O141" s="21">
        <f t="shared" ref="O141:U141" si="322">O107</f>
        <v>1286.461</v>
      </c>
      <c r="P141" s="21">
        <f t="shared" si="322"/>
        <v>394.13799999999998</v>
      </c>
      <c r="Q141" s="21">
        <f t="shared" si="322"/>
        <v>404.83300000000003</v>
      </c>
      <c r="R141" s="21">
        <f t="shared" si="322"/>
        <v>1182.902</v>
      </c>
      <c r="S141" s="21">
        <f t="shared" si="322"/>
        <v>611.81299999999999</v>
      </c>
      <c r="T141" s="21">
        <f t="shared" si="322"/>
        <v>517.50300000000004</v>
      </c>
      <c r="U141" s="21">
        <f t="shared" si="322"/>
        <v>1181.9739999999999</v>
      </c>
      <c r="V141" s="21">
        <f>V107</f>
        <v>557.553</v>
      </c>
      <c r="W141" s="21">
        <f>W107</f>
        <v>376.029</v>
      </c>
      <c r="X141" s="21">
        <f>X107</f>
        <v>591.17700000000002</v>
      </c>
      <c r="Y141" s="21">
        <f>Y107</f>
        <v>978.89499999999998</v>
      </c>
      <c r="Z141" s="21">
        <f>Z107</f>
        <v>503.51</v>
      </c>
      <c r="AA141" s="21">
        <f t="shared" ref="AA141:AL141" si="323">AA109</f>
        <v>532.58399999999995</v>
      </c>
      <c r="AB141" s="21">
        <f t="shared" si="323"/>
        <v>618.91200000000003</v>
      </c>
      <c r="AC141" s="21">
        <f t="shared" si="323"/>
        <v>572.74300000000005</v>
      </c>
      <c r="AD141" s="21">
        <f t="shared" si="323"/>
        <v>580.91300000000001</v>
      </c>
      <c r="AE141" s="21">
        <f t="shared" si="323"/>
        <v>465.49700000000001</v>
      </c>
      <c r="AF141" s="21">
        <f t="shared" si="323"/>
        <v>478.88600000000002</v>
      </c>
      <c r="AG141" s="21">
        <f t="shared" si="323"/>
        <v>525.17499999999995</v>
      </c>
      <c r="AH141" s="21">
        <f t="shared" si="323"/>
        <v>546.91600000000005</v>
      </c>
      <c r="AI141" s="21">
        <f t="shared" si="323"/>
        <v>454.76499999999999</v>
      </c>
      <c r="AJ141" s="21">
        <f t="shared" si="323"/>
        <v>782.93399999999997</v>
      </c>
      <c r="AK141" s="21">
        <f t="shared" si="323"/>
        <v>2379.2139999999999</v>
      </c>
      <c r="AL141" s="21">
        <f t="shared" si="323"/>
        <v>2591.8919999999998</v>
      </c>
      <c r="AM141" s="21">
        <f t="shared" ref="AM141:AR141" si="324">AM109</f>
        <v>543.55899999999997</v>
      </c>
      <c r="AN141" s="21">
        <f t="shared" si="324"/>
        <v>737.36500000000001</v>
      </c>
      <c r="AO141" s="21">
        <f t="shared" si="324"/>
        <v>374.95600000000002</v>
      </c>
      <c r="AP141" s="21">
        <f t="shared" si="324"/>
        <v>528.21400000000006</v>
      </c>
      <c r="AQ141" s="21">
        <f t="shared" si="324"/>
        <v>566.36800000000005</v>
      </c>
      <c r="AR141" s="21">
        <f t="shared" si="324"/>
        <v>458.72500000000002</v>
      </c>
      <c r="AS141" s="21">
        <f>AS109</f>
        <v>673.55399999999997</v>
      </c>
      <c r="AT141" s="21">
        <f>AT109</f>
        <v>523.03899999999999</v>
      </c>
      <c r="AU141" s="21">
        <f>AU109</f>
        <v>1620.3489999999999</v>
      </c>
      <c r="AV141" s="21"/>
      <c r="AW141"/>
      <c r="AX141"/>
    </row>
    <row r="142" spans="2:50" ht="13.5" customHeight="1">
      <c r="B142" s="1" t="s">
        <v>277</v>
      </c>
      <c r="C142" s="21">
        <f t="shared" ref="C142:M142" si="325">C112</f>
        <v>11612.759000000002</v>
      </c>
      <c r="D142" s="21">
        <f t="shared" si="325"/>
        <v>12802.112999999999</v>
      </c>
      <c r="E142" s="21">
        <f t="shared" si="325"/>
        <v>14425.081999999999</v>
      </c>
      <c r="F142" s="21">
        <f t="shared" si="325"/>
        <v>13534.246999999999</v>
      </c>
      <c r="G142" s="21">
        <f t="shared" si="325"/>
        <v>11677.969000000001</v>
      </c>
      <c r="H142" s="21">
        <f t="shared" si="325"/>
        <v>10223.377</v>
      </c>
      <c r="I142" s="21">
        <f t="shared" si="325"/>
        <v>10067.992999999999</v>
      </c>
      <c r="J142" s="21">
        <f t="shared" si="325"/>
        <v>12479.032999999999</v>
      </c>
      <c r="K142" s="21">
        <f>K112</f>
        <v>10667.789000000002</v>
      </c>
      <c r="L142" s="21">
        <f>L112</f>
        <v>13039.259</v>
      </c>
      <c r="M142" s="21">
        <f t="shared" si="325"/>
        <v>14138.290999999999</v>
      </c>
      <c r="N142" s="21"/>
      <c r="O142" s="21">
        <f t="shared" ref="O142:U142" si="326">O112</f>
        <v>12210.465999999999</v>
      </c>
      <c r="P142" s="21">
        <f t="shared" si="326"/>
        <v>11816.115999999998</v>
      </c>
      <c r="Q142" s="21">
        <f t="shared" si="326"/>
        <v>13679.440999999999</v>
      </c>
      <c r="R142" s="21">
        <f t="shared" si="326"/>
        <v>14425.081999999999</v>
      </c>
      <c r="S142" s="21">
        <f t="shared" si="326"/>
        <v>13610.382000000001</v>
      </c>
      <c r="T142" s="21">
        <f t="shared" si="326"/>
        <v>13956.208000000001</v>
      </c>
      <c r="U142" s="21">
        <f t="shared" si="326"/>
        <v>14216.967000000002</v>
      </c>
      <c r="V142" s="21">
        <f t="shared" ref="V142:AB142" si="327">V112</f>
        <v>13534.246999999999</v>
      </c>
      <c r="W142" s="21">
        <f t="shared" si="327"/>
        <v>13105.998999999998</v>
      </c>
      <c r="X142" s="21">
        <f t="shared" si="327"/>
        <v>13191.909000000001</v>
      </c>
      <c r="Y142" s="21">
        <f t="shared" si="327"/>
        <v>12928.864000000001</v>
      </c>
      <c r="Z142" s="21">
        <f t="shared" si="327"/>
        <v>11677.969000000001</v>
      </c>
      <c r="AA142" s="21">
        <f t="shared" si="327"/>
        <v>11261.623</v>
      </c>
      <c r="AB142" s="21">
        <f t="shared" si="327"/>
        <v>11524.274000000001</v>
      </c>
      <c r="AC142" s="21">
        <f t="shared" ref="AC142:AH142" si="328">AC112</f>
        <v>10743.525999999998</v>
      </c>
      <c r="AD142" s="21">
        <f t="shared" si="328"/>
        <v>10223.377</v>
      </c>
      <c r="AE142" s="21">
        <f t="shared" si="328"/>
        <v>10465.084999999999</v>
      </c>
      <c r="AF142" s="21">
        <f t="shared" si="328"/>
        <v>11228.232999999998</v>
      </c>
      <c r="AG142" s="21">
        <f t="shared" si="328"/>
        <v>10560.733</v>
      </c>
      <c r="AH142" s="21">
        <f t="shared" si="328"/>
        <v>10067.992999999999</v>
      </c>
      <c r="AI142" s="21">
        <f t="shared" ref="AI142:AN142" si="329">AI112</f>
        <v>10068.700000000001</v>
      </c>
      <c r="AJ142" s="21">
        <f t="shared" si="329"/>
        <v>10616.537999999999</v>
      </c>
      <c r="AK142" s="21">
        <f t="shared" si="329"/>
        <v>12759.381000000001</v>
      </c>
      <c r="AL142" s="21">
        <f t="shared" si="329"/>
        <v>12479.032999999999</v>
      </c>
      <c r="AM142" s="21">
        <f t="shared" si="329"/>
        <v>10116.632000000001</v>
      </c>
      <c r="AN142" s="21">
        <f t="shared" si="329"/>
        <v>10679.951000000001</v>
      </c>
      <c r="AO142" s="21">
        <f t="shared" ref="AO142:AT142" si="330">AO112</f>
        <v>10288.065000000001</v>
      </c>
      <c r="AP142" s="21">
        <f t="shared" si="330"/>
        <v>10667.789000000002</v>
      </c>
      <c r="AQ142" s="21">
        <f t="shared" si="330"/>
        <v>11055.205</v>
      </c>
      <c r="AR142" s="21">
        <f t="shared" si="330"/>
        <v>11687.082000000002</v>
      </c>
      <c r="AS142" s="21">
        <f t="shared" si="330"/>
        <v>13111.066000000001</v>
      </c>
      <c r="AT142" s="21">
        <f t="shared" si="330"/>
        <v>13039.259</v>
      </c>
      <c r="AU142" s="21">
        <f>AU112</f>
        <v>14138.290999999999</v>
      </c>
      <c r="AV142" s="21"/>
      <c r="AW142"/>
      <c r="AX142"/>
    </row>
    <row r="143" spans="2:50" ht="13.5" customHeight="1">
      <c r="B143" s="1" t="s">
        <v>297</v>
      </c>
      <c r="C143" s="21">
        <f t="shared" ref="C143:M143" si="331">C111</f>
        <v>10883.059000000001</v>
      </c>
      <c r="D143" s="21">
        <f t="shared" si="331"/>
        <v>10910.415999999999</v>
      </c>
      <c r="E143" s="21">
        <f t="shared" si="331"/>
        <v>13242.179999999998</v>
      </c>
      <c r="F143" s="21">
        <f t="shared" si="331"/>
        <v>12386.655999999999</v>
      </c>
      <c r="G143" s="21">
        <f t="shared" si="331"/>
        <v>11174.459000000001</v>
      </c>
      <c r="H143" s="21">
        <f t="shared" si="331"/>
        <v>9642.4639999999999</v>
      </c>
      <c r="I143" s="21">
        <f t="shared" si="331"/>
        <v>9521.0769999999993</v>
      </c>
      <c r="J143" s="21">
        <f t="shared" si="331"/>
        <v>9887.1409999999996</v>
      </c>
      <c r="K143" s="21">
        <f>K111</f>
        <v>10139.575000000003</v>
      </c>
      <c r="L143" s="21">
        <f>L111</f>
        <v>12516.22</v>
      </c>
      <c r="M143" s="21">
        <f t="shared" si="331"/>
        <v>12517.941999999999</v>
      </c>
      <c r="N143" s="21"/>
      <c r="O143" s="21">
        <f t="shared" ref="O143:U143" si="332">O111</f>
        <v>10924.004999999999</v>
      </c>
      <c r="P143" s="21">
        <f t="shared" si="332"/>
        <v>11421.977999999997</v>
      </c>
      <c r="Q143" s="21">
        <f t="shared" si="332"/>
        <v>13274.607999999998</v>
      </c>
      <c r="R143" s="21">
        <f t="shared" si="332"/>
        <v>12742.680999999999</v>
      </c>
      <c r="S143" s="21">
        <f t="shared" si="332"/>
        <v>12998.569000000001</v>
      </c>
      <c r="T143" s="21">
        <f t="shared" si="332"/>
        <v>13438.705</v>
      </c>
      <c r="U143" s="21">
        <f t="shared" si="332"/>
        <v>13034.993000000002</v>
      </c>
      <c r="V143" s="21">
        <f t="shared" ref="V143:AB143" si="333">V111</f>
        <v>12386.655999999999</v>
      </c>
      <c r="W143" s="21">
        <f t="shared" si="333"/>
        <v>12729.969999999998</v>
      </c>
      <c r="X143" s="21">
        <f t="shared" si="333"/>
        <v>12600.732000000002</v>
      </c>
      <c r="Y143" s="21">
        <f t="shared" si="333"/>
        <v>11949.969000000001</v>
      </c>
      <c r="Z143" s="21">
        <f t="shared" si="333"/>
        <v>11174.459000000001</v>
      </c>
      <c r="AA143" s="21">
        <f t="shared" si="333"/>
        <v>10729.038999999999</v>
      </c>
      <c r="AB143" s="21">
        <f t="shared" si="333"/>
        <v>10905.362000000001</v>
      </c>
      <c r="AC143" s="21">
        <f t="shared" ref="AC143:AH143" si="334">AC111</f>
        <v>10170.782999999998</v>
      </c>
      <c r="AD143" s="21">
        <f t="shared" si="334"/>
        <v>9642.4639999999999</v>
      </c>
      <c r="AE143" s="21">
        <f t="shared" si="334"/>
        <v>9999.5879999999997</v>
      </c>
      <c r="AF143" s="21">
        <f t="shared" si="334"/>
        <v>10749.346999999998</v>
      </c>
      <c r="AG143" s="21">
        <f t="shared" si="334"/>
        <v>10035.558000000001</v>
      </c>
      <c r="AH143" s="21">
        <f t="shared" si="334"/>
        <v>9521.0769999999993</v>
      </c>
      <c r="AI143" s="21">
        <f t="shared" ref="AI143:AN143" si="335">AI111</f>
        <v>9613.9350000000013</v>
      </c>
      <c r="AJ143" s="21">
        <f t="shared" si="335"/>
        <v>9833.6039999999994</v>
      </c>
      <c r="AK143" s="21">
        <f t="shared" si="335"/>
        <v>10380.167000000001</v>
      </c>
      <c r="AL143" s="21">
        <f t="shared" si="335"/>
        <v>9887.1409999999996</v>
      </c>
      <c r="AM143" s="21">
        <f t="shared" si="335"/>
        <v>9573.0730000000021</v>
      </c>
      <c r="AN143" s="21">
        <f t="shared" si="335"/>
        <v>9942.5860000000011</v>
      </c>
      <c r="AO143" s="21">
        <f t="shared" ref="AO143:AT143" si="336">AO111</f>
        <v>9913.1090000000004</v>
      </c>
      <c r="AP143" s="21">
        <f t="shared" si="336"/>
        <v>10139.575000000003</v>
      </c>
      <c r="AQ143" s="21">
        <f t="shared" si="336"/>
        <v>10488.837</v>
      </c>
      <c r="AR143" s="21">
        <f t="shared" si="336"/>
        <v>11228.357000000002</v>
      </c>
      <c r="AS143" s="21">
        <f t="shared" si="336"/>
        <v>12437.512000000001</v>
      </c>
      <c r="AT143" s="21">
        <f t="shared" si="336"/>
        <v>12516.22</v>
      </c>
      <c r="AU143" s="21">
        <f>AU111</f>
        <v>12517.941999999999</v>
      </c>
      <c r="AV143" s="21"/>
      <c r="AW143"/>
      <c r="AX143"/>
    </row>
    <row r="144" spans="2:50" ht="13.5" customHeight="1">
      <c r="B144" s="1" t="s">
        <v>282</v>
      </c>
      <c r="C144" s="21">
        <f t="shared" ref="C144:M144" si="337">+C114</f>
        <v>10883</v>
      </c>
      <c r="D144" s="21">
        <f t="shared" si="337"/>
        <v>10910</v>
      </c>
      <c r="E144" s="21">
        <f t="shared" si="337"/>
        <v>12743</v>
      </c>
      <c r="F144" s="21">
        <f t="shared" si="337"/>
        <v>11955</v>
      </c>
      <c r="G144" s="21">
        <f t="shared" si="337"/>
        <v>10749</v>
      </c>
      <c r="H144" s="21">
        <f t="shared" si="337"/>
        <v>9201.32</v>
      </c>
      <c r="I144" s="21">
        <f t="shared" si="337"/>
        <v>9054.2469999999994</v>
      </c>
      <c r="J144" s="21">
        <f t="shared" si="337"/>
        <v>9437</v>
      </c>
      <c r="K144" s="21">
        <f>+K114</f>
        <v>9655</v>
      </c>
      <c r="L144" s="21">
        <f>+L114</f>
        <v>11965.994000000001</v>
      </c>
      <c r="M144" s="21">
        <f t="shared" si="337"/>
        <v>11982</v>
      </c>
      <c r="N144" s="21"/>
      <c r="O144" s="21">
        <f t="shared" ref="O144:U144" si="338">+O114</f>
        <v>10924.004999999999</v>
      </c>
      <c r="P144" s="21">
        <f t="shared" si="338"/>
        <v>11421.977999999997</v>
      </c>
      <c r="Q144" s="21">
        <f t="shared" si="338"/>
        <v>13274.607999999998</v>
      </c>
      <c r="R144" s="21">
        <f t="shared" si="338"/>
        <v>12743</v>
      </c>
      <c r="S144" s="21">
        <f t="shared" si="338"/>
        <v>12618.015000000001</v>
      </c>
      <c r="T144" s="21">
        <f t="shared" si="338"/>
        <v>13024.78</v>
      </c>
      <c r="U144" s="21">
        <f t="shared" si="338"/>
        <v>12641.001000000002</v>
      </c>
      <c r="V144" s="21">
        <f t="shared" ref="V144:AB144" si="339">+V114</f>
        <v>11955</v>
      </c>
      <c r="W144" s="21">
        <f t="shared" si="339"/>
        <v>12306.195999999998</v>
      </c>
      <c r="X144" s="21">
        <f t="shared" si="339"/>
        <v>12156.971000000001</v>
      </c>
      <c r="Y144" s="21">
        <f t="shared" si="339"/>
        <v>11496.529</v>
      </c>
      <c r="Z144" s="21">
        <f t="shared" si="339"/>
        <v>10749</v>
      </c>
      <c r="AA144" s="21">
        <f t="shared" si="339"/>
        <v>10308.694</v>
      </c>
      <c r="AB144" s="21">
        <f t="shared" si="339"/>
        <v>10506.957</v>
      </c>
      <c r="AC144" s="21">
        <f t="shared" ref="AC144:AH144" si="340">+AC114</f>
        <v>9773.3109999999979</v>
      </c>
      <c r="AD144" s="21">
        <f t="shared" si="340"/>
        <v>9201.32</v>
      </c>
      <c r="AE144" s="21">
        <f t="shared" si="340"/>
        <v>9559.384</v>
      </c>
      <c r="AF144" s="21">
        <f t="shared" si="340"/>
        <v>10303.617999999999</v>
      </c>
      <c r="AG144" s="21">
        <f t="shared" si="340"/>
        <v>9598.9680000000008</v>
      </c>
      <c r="AH144" s="21">
        <f t="shared" si="340"/>
        <v>9054.2469999999994</v>
      </c>
      <c r="AI144" s="21">
        <f t="shared" ref="AI144:AN144" si="341">+AI114</f>
        <v>9169.77</v>
      </c>
      <c r="AJ144" s="21">
        <f t="shared" si="341"/>
        <v>9390.59</v>
      </c>
      <c r="AK144" s="21">
        <f t="shared" si="341"/>
        <v>9921.1810000000005</v>
      </c>
      <c r="AL144" s="21">
        <f t="shared" si="341"/>
        <v>9437</v>
      </c>
      <c r="AM144" s="21">
        <f t="shared" si="341"/>
        <v>9125.3010000000013</v>
      </c>
      <c r="AN144" s="21">
        <f t="shared" si="341"/>
        <v>9512.1010000000006</v>
      </c>
      <c r="AO144" s="21">
        <f t="shared" ref="AO144:AT144" si="342">+AO114</f>
        <v>9465.902</v>
      </c>
      <c r="AP144" s="21">
        <f t="shared" si="342"/>
        <v>9655</v>
      </c>
      <c r="AQ144" s="21">
        <f t="shared" si="342"/>
        <v>10015.594999999999</v>
      </c>
      <c r="AR144" s="21">
        <f t="shared" si="342"/>
        <v>10764.079000000002</v>
      </c>
      <c r="AS144" s="21">
        <f t="shared" si="342"/>
        <v>11971</v>
      </c>
      <c r="AT144" s="21">
        <f t="shared" si="342"/>
        <v>11965.994000000001</v>
      </c>
      <c r="AU144" s="21">
        <f>+AU114</f>
        <v>11982</v>
      </c>
      <c r="AV144" s="21"/>
      <c r="AW144"/>
      <c r="AX144"/>
    </row>
    <row r="145" spans="1:50" ht="13.5" customHeight="1">
      <c r="B145" s="1" t="s">
        <v>298</v>
      </c>
      <c r="C145" s="37">
        <f t="shared" ref="C145:M145" si="343">C122</f>
        <v>3.1250696986006465</v>
      </c>
      <c r="D145" s="37">
        <f t="shared" si="343"/>
        <v>3.266595136638514</v>
      </c>
      <c r="E145" s="37">
        <f t="shared" si="343"/>
        <v>3.5852074064868891</v>
      </c>
      <c r="F145" s="37">
        <f t="shared" si="343"/>
        <v>3.3684877672415938</v>
      </c>
      <c r="G145" s="37">
        <f t="shared" si="343"/>
        <v>2.9097446055713361</v>
      </c>
      <c r="H145" s="37">
        <f t="shared" si="343"/>
        <v>2.9272375089477451</v>
      </c>
      <c r="I145" s="37">
        <f t="shared" si="343"/>
        <v>2.5607394049117262</v>
      </c>
      <c r="J145" s="37">
        <f t="shared" si="343"/>
        <v>2.7716497472433801</v>
      </c>
      <c r="K145" s="37">
        <f>K122</f>
        <v>2.311300186582034</v>
      </c>
      <c r="L145" s="37">
        <f>L122</f>
        <v>2.6861405924469772</v>
      </c>
      <c r="M145" s="37">
        <f t="shared" si="343"/>
        <v>2.8615825009213527</v>
      </c>
      <c r="N145" s="37"/>
      <c r="O145" s="37"/>
      <c r="P145" s="37"/>
      <c r="Q145" s="37"/>
      <c r="R145" s="37">
        <f t="shared" ref="R145:W145" si="344">R122</f>
        <v>3.5852074064868891</v>
      </c>
      <c r="S145" s="37">
        <f t="shared" si="344"/>
        <v>3.3735826888756697</v>
      </c>
      <c r="T145" s="37">
        <f t="shared" si="344"/>
        <v>3.5188744610574623</v>
      </c>
      <c r="U145" s="37">
        <f t="shared" si="344"/>
        <v>3.59613674305661</v>
      </c>
      <c r="V145" s="37">
        <f t="shared" si="344"/>
        <v>3.3684877672415938</v>
      </c>
      <c r="W145" s="37">
        <f t="shared" si="344"/>
        <v>3.2278400610792302</v>
      </c>
      <c r="X145" s="37">
        <f t="shared" ref="X145:AC145" si="345">X122</f>
        <v>3.2223329832189358</v>
      </c>
      <c r="Y145" s="37">
        <f t="shared" si="345"/>
        <v>3.1543816332007708</v>
      </c>
      <c r="Z145" s="37">
        <f t="shared" si="345"/>
        <v>2.9097446055713361</v>
      </c>
      <c r="AA145" s="37">
        <f t="shared" si="345"/>
        <v>2.7997272772474147</v>
      </c>
      <c r="AB145" s="37">
        <f t="shared" si="345"/>
        <v>3.0203045392598811</v>
      </c>
      <c r="AC145" s="37">
        <f t="shared" si="345"/>
        <v>3.032067846357914</v>
      </c>
      <c r="AD145" s="37">
        <f t="shared" ref="AD145:AI145" si="346">AD122</f>
        <v>2.9272375089477451</v>
      </c>
      <c r="AE145" s="37">
        <f t="shared" si="346"/>
        <v>2.9619333102003456</v>
      </c>
      <c r="AF145" s="37">
        <f t="shared" si="346"/>
        <v>3.1282566989497091</v>
      </c>
      <c r="AG145" s="37">
        <f t="shared" si="346"/>
        <v>2.8913750737509565</v>
      </c>
      <c r="AH145" s="37">
        <f t="shared" si="346"/>
        <v>2.5607394049117262</v>
      </c>
      <c r="AI145" s="37">
        <f t="shared" si="346"/>
        <v>2.3768868703972235</v>
      </c>
      <c r="AJ145" s="37">
        <f t="shared" ref="AJ145:AO145" si="347">AJ122</f>
        <v>2.4360545261051887</v>
      </c>
      <c r="AK145" s="37">
        <f t="shared" si="347"/>
        <v>2.8493435778725122</v>
      </c>
      <c r="AL145" s="37">
        <f t="shared" si="347"/>
        <v>2.7716497472433801</v>
      </c>
      <c r="AM145" s="37">
        <f t="shared" si="347"/>
        <v>2.3029192162004666</v>
      </c>
      <c r="AN145" s="37">
        <f t="shared" si="347"/>
        <v>2.3879793309155306</v>
      </c>
      <c r="AO145" s="37">
        <f t="shared" si="347"/>
        <v>2.254552686249244</v>
      </c>
      <c r="AP145" s="37">
        <f t="shared" ref="AP145:AU145" si="348">AP122</f>
        <v>2.311300186582034</v>
      </c>
      <c r="AQ145" s="37">
        <f t="shared" si="348"/>
        <v>2.3605285521505928</v>
      </c>
      <c r="AR145" s="37">
        <f t="shared" si="348"/>
        <v>2.4798384838016996</v>
      </c>
      <c r="AS145" s="37">
        <f t="shared" si="348"/>
        <v>2.7381463149760874</v>
      </c>
      <c r="AT145" s="37">
        <f t="shared" si="348"/>
        <v>2.6861405924469772</v>
      </c>
      <c r="AU145" s="37">
        <f t="shared" si="348"/>
        <v>2.8615825009213527</v>
      </c>
      <c r="AV145" s="37"/>
      <c r="AW145"/>
      <c r="AX145"/>
    </row>
    <row r="146" spans="1:50" s="5" customFormat="1" ht="13.5" customHeight="1">
      <c r="B146" s="5" t="s">
        <v>299</v>
      </c>
      <c r="C146" s="36">
        <f t="shared" ref="C146:M146" si="349">C121</f>
        <v>2.9287026372443492</v>
      </c>
      <c r="D146" s="36">
        <f t="shared" si="349"/>
        <v>2.7839085504324972</v>
      </c>
      <c r="E146" s="36">
        <f t="shared" si="349"/>
        <v>3.2912091462656887</v>
      </c>
      <c r="F146" s="36">
        <f t="shared" si="349"/>
        <v>3.0828681649617957</v>
      </c>
      <c r="G146" s="36">
        <f t="shared" si="349"/>
        <v>2.7842873872527036</v>
      </c>
      <c r="H146" s="36">
        <f t="shared" si="349"/>
        <v>2.7609059413027919</v>
      </c>
      <c r="I146" s="36">
        <f t="shared" si="349"/>
        <v>2.4216342871015826</v>
      </c>
      <c r="J146" s="36">
        <f t="shared" si="349"/>
        <v>2.195978795280825</v>
      </c>
      <c r="K146" s="36">
        <f>K121</f>
        <v>2.1968564985080343</v>
      </c>
      <c r="L146" s="36">
        <f>L121</f>
        <v>2.5783924229127364</v>
      </c>
      <c r="M146" s="36">
        <f t="shared" si="349"/>
        <v>2.5336247340466</v>
      </c>
      <c r="N146" s="36"/>
      <c r="O146" s="36"/>
      <c r="P146" s="36"/>
      <c r="Q146" s="36"/>
      <c r="R146" s="36">
        <f t="shared" ref="R146:W146" si="350">R121</f>
        <v>3.1670637504660117</v>
      </c>
      <c r="S146" s="36">
        <f t="shared" si="350"/>
        <v>3.2219336208605993</v>
      </c>
      <c r="T146" s="36">
        <f t="shared" si="350"/>
        <v>3.3883928796550769</v>
      </c>
      <c r="U146" s="36">
        <f t="shared" si="350"/>
        <v>3.2971601659331213</v>
      </c>
      <c r="V146" s="36">
        <f t="shared" si="350"/>
        <v>3.0828681649617957</v>
      </c>
      <c r="W146" s="36">
        <f t="shared" si="350"/>
        <v>3.1352289239711344</v>
      </c>
      <c r="X146" s="36">
        <f t="shared" ref="X146:AC146" si="351">X121</f>
        <v>3.0779286255160119</v>
      </c>
      <c r="Y146" s="36">
        <f t="shared" si="351"/>
        <v>2.9155510283748503</v>
      </c>
      <c r="Z146" s="36">
        <f t="shared" si="351"/>
        <v>2.7842873872527032</v>
      </c>
      <c r="AA146" s="36">
        <f t="shared" si="351"/>
        <v>2.6673227426412094</v>
      </c>
      <c r="AB146" s="36">
        <f t="shared" si="351"/>
        <v>2.8580988573225707</v>
      </c>
      <c r="AC146" s="36">
        <f t="shared" si="351"/>
        <v>2.8704267208534411</v>
      </c>
      <c r="AD146" s="36">
        <f t="shared" ref="AD146:AI146" si="352">AD121</f>
        <v>2.7609059413027919</v>
      </c>
      <c r="AE146" s="36">
        <f t="shared" si="352"/>
        <v>2.8301836808281684</v>
      </c>
      <c r="AF146" s="36">
        <f t="shared" si="352"/>
        <v>2.9948360318212988</v>
      </c>
      <c r="AG146" s="36">
        <f t="shared" si="352"/>
        <v>2.7475897982064317</v>
      </c>
      <c r="AH146" s="36">
        <f t="shared" si="352"/>
        <v>2.4216342871015826</v>
      </c>
      <c r="AI146" s="36">
        <f t="shared" si="352"/>
        <v>2.2695319032598382</v>
      </c>
      <c r="AJ146" s="36">
        <f t="shared" ref="AJ146:AO146" si="353">AJ121</f>
        <v>2.2564036913093597</v>
      </c>
      <c r="AK146" s="36">
        <f t="shared" si="353"/>
        <v>2.3180326834580911</v>
      </c>
      <c r="AL146" s="36">
        <f t="shared" si="353"/>
        <v>2.195978795280825</v>
      </c>
      <c r="AM146" s="36">
        <f t="shared" si="353"/>
        <v>2.1791851052593243</v>
      </c>
      <c r="AN146" s="36">
        <f t="shared" si="353"/>
        <v>2.2231085015137357</v>
      </c>
      <c r="AO146" s="36">
        <f t="shared" si="353"/>
        <v>2.1723838763685452</v>
      </c>
      <c r="AP146" s="36">
        <f t="shared" ref="AP146:AU146" si="354">AP121</f>
        <v>2.1968564985080343</v>
      </c>
      <c r="AQ146" s="36">
        <f t="shared" si="354"/>
        <v>2.2395965716921187</v>
      </c>
      <c r="AR146" s="36">
        <f t="shared" si="354"/>
        <v>2.3825033313246369</v>
      </c>
      <c r="AS146" s="36">
        <f t="shared" si="354"/>
        <v>2.5974796900778983</v>
      </c>
      <c r="AT146" s="36">
        <f t="shared" si="354"/>
        <v>2.5783924229127364</v>
      </c>
      <c r="AU146" s="36">
        <f t="shared" si="354"/>
        <v>2.5336247340466</v>
      </c>
      <c r="AV146" s="36"/>
      <c r="AW146"/>
      <c r="AX146"/>
    </row>
    <row r="147" spans="1:50" s="5" customFormat="1" ht="13.5" customHeight="1">
      <c r="B147" s="5" t="s">
        <v>300</v>
      </c>
      <c r="C147" s="36">
        <f t="shared" ref="C147:M147" si="355">+C127</f>
        <v>2.9286867599569431</v>
      </c>
      <c r="D147" s="36">
        <f t="shared" si="355"/>
        <v>2.7838024036130746</v>
      </c>
      <c r="E147" s="36">
        <f t="shared" si="355"/>
        <v>3.1671430346713061</v>
      </c>
      <c r="F147" s="36">
        <f t="shared" si="355"/>
        <v>2.975434928694094</v>
      </c>
      <c r="G147" s="36">
        <f t="shared" si="355"/>
        <v>2.6782777694722677</v>
      </c>
      <c r="H147" s="36">
        <f t="shared" si="355"/>
        <v>2.6345941302791696</v>
      </c>
      <c r="I147" s="36">
        <f t="shared" si="355"/>
        <v>2.3028986089584866</v>
      </c>
      <c r="J147" s="36">
        <f t="shared" si="355"/>
        <v>2.096000440477702</v>
      </c>
      <c r="K147" s="36">
        <f>+K127</f>
        <v>2.0918677058057233</v>
      </c>
      <c r="L147" s="36">
        <f>+L127</f>
        <v>2.465043620375742</v>
      </c>
      <c r="M147" s="36">
        <f t="shared" si="355"/>
        <v>2.4251503612451919</v>
      </c>
      <c r="N147" s="36"/>
      <c r="O147" s="36"/>
      <c r="P147" s="36"/>
      <c r="Q147" s="36"/>
      <c r="R147" s="36">
        <f t="shared" ref="R147:W147" si="356">+R127</f>
        <v>3.1671430346713061</v>
      </c>
      <c r="S147" s="36">
        <f t="shared" si="356"/>
        <v>3.1276063355145749</v>
      </c>
      <c r="T147" s="36">
        <f t="shared" si="356"/>
        <v>3.2840271299261241</v>
      </c>
      <c r="U147" s="36">
        <f t="shared" si="356"/>
        <v>3.1975011382607379</v>
      </c>
      <c r="V147" s="36">
        <f t="shared" si="356"/>
        <v>2.975434928694094</v>
      </c>
      <c r="W147" s="36">
        <f t="shared" si="356"/>
        <v>3.0308588035366837</v>
      </c>
      <c r="X147" s="36">
        <f t="shared" ref="X147:AC147" si="357">+X127</f>
        <v>2.9695329636776671</v>
      </c>
      <c r="Y147" s="36">
        <f t="shared" si="357"/>
        <v>2.804920828555395</v>
      </c>
      <c r="Z147" s="36">
        <f t="shared" si="357"/>
        <v>2.6782777694722677</v>
      </c>
      <c r="AA147" s="36">
        <f t="shared" si="357"/>
        <v>2.5628216984884649</v>
      </c>
      <c r="AB147" s="36">
        <f t="shared" si="357"/>
        <v>2.7536840863822207</v>
      </c>
      <c r="AC147" s="36">
        <f t="shared" si="357"/>
        <v>2.7582510653910188</v>
      </c>
      <c r="AD147" s="36">
        <f t="shared" ref="AD147:AI147" si="358">+AD127</f>
        <v>2.6345941302791696</v>
      </c>
      <c r="AE147" s="36">
        <f t="shared" si="358"/>
        <v>2.7055927299774654</v>
      </c>
      <c r="AF147" s="36">
        <f t="shared" si="358"/>
        <v>2.8706531145122125</v>
      </c>
      <c r="AG147" s="36">
        <f t="shared" si="358"/>
        <v>2.6280578070606535</v>
      </c>
      <c r="AH147" s="36">
        <f t="shared" si="358"/>
        <v>2.3028986089584866</v>
      </c>
      <c r="AI147" s="36">
        <f t="shared" si="358"/>
        <v>2.1646792453407437</v>
      </c>
      <c r="AJ147" s="36">
        <f t="shared" ref="AJ147:AO147" si="359">+AJ127</f>
        <v>2.1547503783529174</v>
      </c>
      <c r="AK147" s="36">
        <f t="shared" si="359"/>
        <v>2.2155348576283433</v>
      </c>
      <c r="AL147" s="36">
        <f t="shared" si="359"/>
        <v>2.096000440477702</v>
      </c>
      <c r="AM147" s="36">
        <f t="shared" si="359"/>
        <v>2.0772556545017484</v>
      </c>
      <c r="AN147" s="36">
        <f t="shared" si="359"/>
        <v>2.1268543817833012</v>
      </c>
      <c r="AO147" s="36">
        <f t="shared" si="359"/>
        <v>2.0743817988972748</v>
      </c>
      <c r="AP147" s="36">
        <f t="shared" ref="AP147:AU147" si="360">+AP127</f>
        <v>2.0918677058057233</v>
      </c>
      <c r="AQ147" s="36">
        <f t="shared" si="360"/>
        <v>2.1385490331727648</v>
      </c>
      <c r="AR147" s="36">
        <f t="shared" si="360"/>
        <v>2.2839899084204007</v>
      </c>
      <c r="AS147" s="36">
        <f t="shared" si="360"/>
        <v>2.5000522105966625</v>
      </c>
      <c r="AT147" s="36">
        <f t="shared" si="360"/>
        <v>2.465043620375742</v>
      </c>
      <c r="AU147" s="36">
        <f t="shared" si="360"/>
        <v>2.4251503612451919</v>
      </c>
      <c r="AV147" s="36"/>
      <c r="AW147"/>
      <c r="AX147"/>
    </row>
    <row r="148" spans="1:50" s="5" customFormat="1" ht="13.5" customHeight="1">
      <c r="C148" s="36"/>
      <c r="D148" s="36"/>
      <c r="E148" s="36"/>
      <c r="F148" s="36"/>
      <c r="G148" s="36"/>
      <c r="H148" s="36"/>
      <c r="I148" s="36"/>
      <c r="J148" s="36"/>
      <c r="K148" s="36"/>
      <c r="L148" s="36"/>
      <c r="AV148" s="36"/>
      <c r="AW148"/>
      <c r="AX148"/>
    </row>
    <row r="149" spans="1:50" ht="13.5" customHeight="1">
      <c r="A149" s="23"/>
      <c r="B149" s="15" t="s">
        <v>301</v>
      </c>
      <c r="C149" s="33"/>
      <c r="D149" s="33"/>
      <c r="E149" s="33"/>
      <c r="F149" s="33"/>
      <c r="G149" s="33"/>
      <c r="H149" s="33"/>
      <c r="I149" s="33"/>
      <c r="J149" s="33"/>
      <c r="K149" s="33"/>
      <c r="L149" s="33"/>
      <c r="M149" s="33"/>
      <c r="N149" s="177"/>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177"/>
      <c r="AW149"/>
      <c r="AX149"/>
    </row>
    <row r="150" spans="1:50" s="5" customFormat="1" ht="13.5" customHeight="1">
      <c r="A150" s="52"/>
      <c r="B150" s="53" t="s">
        <v>302</v>
      </c>
      <c r="C150" s="62">
        <f t="shared" ref="C150:M150" si="361">+C78</f>
        <v>42735</v>
      </c>
      <c r="D150" s="62">
        <f t="shared" si="361"/>
        <v>43100</v>
      </c>
      <c r="E150" s="62">
        <f t="shared" si="361"/>
        <v>43465</v>
      </c>
      <c r="F150" s="62">
        <f t="shared" si="361"/>
        <v>43830</v>
      </c>
      <c r="G150" s="62">
        <f t="shared" si="361"/>
        <v>44196</v>
      </c>
      <c r="H150" s="62">
        <f t="shared" si="361"/>
        <v>44561</v>
      </c>
      <c r="I150" s="62">
        <f t="shared" si="361"/>
        <v>44926</v>
      </c>
      <c r="J150" s="62">
        <f t="shared" si="361"/>
        <v>45291</v>
      </c>
      <c r="K150" s="62">
        <f>+K78</f>
        <v>45657</v>
      </c>
      <c r="L150" s="62">
        <f>+L78</f>
        <v>46022</v>
      </c>
      <c r="M150" s="62">
        <f t="shared" si="361"/>
        <v>46111</v>
      </c>
      <c r="N150" s="176"/>
      <c r="O150" s="62">
        <f t="shared" ref="O150:U150" si="362">+O78</f>
        <v>43189</v>
      </c>
      <c r="P150" s="62">
        <f t="shared" si="362"/>
        <v>43281</v>
      </c>
      <c r="Q150" s="62">
        <f t="shared" si="362"/>
        <v>43373</v>
      </c>
      <c r="R150" s="62">
        <f t="shared" si="362"/>
        <v>43464</v>
      </c>
      <c r="S150" s="62">
        <f t="shared" si="362"/>
        <v>43554</v>
      </c>
      <c r="T150" s="62">
        <f t="shared" si="362"/>
        <v>43646</v>
      </c>
      <c r="U150" s="62">
        <f t="shared" si="362"/>
        <v>43738</v>
      </c>
      <c r="V150" s="62">
        <f t="shared" ref="V150:AB150" si="363">+V78</f>
        <v>43829</v>
      </c>
      <c r="W150" s="62">
        <f t="shared" si="363"/>
        <v>43920</v>
      </c>
      <c r="X150" s="62">
        <f t="shared" si="363"/>
        <v>44012</v>
      </c>
      <c r="Y150" s="62">
        <f t="shared" si="363"/>
        <v>44104</v>
      </c>
      <c r="Z150" s="62">
        <f t="shared" si="363"/>
        <v>44195</v>
      </c>
      <c r="AA150" s="62">
        <f t="shared" si="363"/>
        <v>44285</v>
      </c>
      <c r="AB150" s="62">
        <f t="shared" si="363"/>
        <v>44377</v>
      </c>
      <c r="AC150" s="62">
        <f t="shared" ref="AC150:AH150" si="364">+AC78</f>
        <v>44469</v>
      </c>
      <c r="AD150" s="62">
        <f t="shared" si="364"/>
        <v>44560</v>
      </c>
      <c r="AE150" s="62">
        <f t="shared" si="364"/>
        <v>44651</v>
      </c>
      <c r="AF150" s="62">
        <f t="shared" si="364"/>
        <v>44742</v>
      </c>
      <c r="AG150" s="62">
        <f t="shared" si="364"/>
        <v>44834</v>
      </c>
      <c r="AH150" s="62">
        <f t="shared" si="364"/>
        <v>44926</v>
      </c>
      <c r="AI150" s="62">
        <f t="shared" ref="AI150:AN150" si="365">+AI78</f>
        <v>45015</v>
      </c>
      <c r="AJ150" s="62">
        <f t="shared" si="365"/>
        <v>45107</v>
      </c>
      <c r="AK150" s="62">
        <f t="shared" si="365"/>
        <v>45199</v>
      </c>
      <c r="AL150" s="62">
        <f t="shared" si="365"/>
        <v>45291</v>
      </c>
      <c r="AM150" s="62">
        <f t="shared" si="365"/>
        <v>45381</v>
      </c>
      <c r="AN150" s="62">
        <f t="shared" si="365"/>
        <v>45473</v>
      </c>
      <c r="AO150" s="62">
        <f t="shared" ref="AO150:AT150" si="366">+AO78</f>
        <v>45565</v>
      </c>
      <c r="AP150" s="62">
        <f t="shared" si="366"/>
        <v>45657</v>
      </c>
      <c r="AQ150" s="62">
        <f t="shared" si="366"/>
        <v>45746</v>
      </c>
      <c r="AR150" s="62">
        <f t="shared" si="366"/>
        <v>45838</v>
      </c>
      <c r="AS150" s="62">
        <f t="shared" si="366"/>
        <v>45930</v>
      </c>
      <c r="AT150" s="62">
        <f t="shared" si="366"/>
        <v>46022</v>
      </c>
      <c r="AU150" s="62">
        <f>+AU78</f>
        <v>46111</v>
      </c>
      <c r="AV150" s="176"/>
      <c r="AW150"/>
      <c r="AX150"/>
    </row>
    <row r="151" spans="1:50" s="5" customFormat="1" ht="13.5" customHeight="1">
      <c r="B151" s="10"/>
      <c r="C151" s="13"/>
      <c r="D151" s="13"/>
      <c r="E151" s="13"/>
      <c r="F151" s="13"/>
      <c r="G151" s="13"/>
      <c r="H151" s="13"/>
      <c r="I151" s="13"/>
      <c r="J151" s="13"/>
      <c r="K151" s="13"/>
      <c r="L151" s="13"/>
      <c r="M151" s="13"/>
      <c r="N151" s="137"/>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7"/>
      <c r="AW151"/>
      <c r="AX151"/>
    </row>
    <row r="152" spans="1:50" s="5" customFormat="1" ht="13.5" customHeight="1">
      <c r="A152" s="3"/>
      <c r="B152" s="3"/>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c r="AX152"/>
    </row>
    <row r="153" spans="1:50" s="5" customFormat="1" ht="13.5" customHeight="1">
      <c r="B153" s="5" t="str">
        <f t="shared" ref="B153:G153" si="367">+B7</f>
        <v>Revenue</v>
      </c>
      <c r="C153" s="40">
        <f t="shared" si="367"/>
        <v>14338.579</v>
      </c>
      <c r="D153" s="40">
        <f t="shared" si="367"/>
        <v>13935.531999999999</v>
      </c>
      <c r="E153" s="40">
        <f t="shared" si="367"/>
        <v>13557.837</v>
      </c>
      <c r="F153" s="40">
        <f t="shared" si="367"/>
        <v>14351.277</v>
      </c>
      <c r="G153" s="40">
        <f t="shared" si="367"/>
        <v>15356.948</v>
      </c>
      <c r="H153" s="40">
        <f t="shared" ref="H153:M153" si="368">+H7</f>
        <v>15849.72</v>
      </c>
      <c r="I153" s="40">
        <f t="shared" si="368"/>
        <v>18722.258000000002</v>
      </c>
      <c r="J153" s="40">
        <f t="shared" si="368"/>
        <v>19575.584999999999</v>
      </c>
      <c r="K153" s="40">
        <f t="shared" si="368"/>
        <v>20979.511999999999</v>
      </c>
      <c r="L153" s="40">
        <f t="shared" si="368"/>
        <v>22064.876</v>
      </c>
      <c r="M153" s="40">
        <f t="shared" si="368"/>
        <v>22457.839</v>
      </c>
      <c r="N153" s="40"/>
      <c r="O153" s="40">
        <f t="shared" ref="O153:V153" si="369">+O7</f>
        <v>3232.2049999999999</v>
      </c>
      <c r="P153" s="40">
        <f t="shared" si="369"/>
        <v>3627.0879999999997</v>
      </c>
      <c r="Q153" s="40">
        <f t="shared" si="369"/>
        <v>3317.3600000000006</v>
      </c>
      <c r="R153" s="40">
        <f t="shared" si="369"/>
        <v>3381.1839999999993</v>
      </c>
      <c r="S153" s="40">
        <f t="shared" si="369"/>
        <v>3354.0830000000001</v>
      </c>
      <c r="T153" s="40">
        <f t="shared" si="369"/>
        <v>3719.9990000000003</v>
      </c>
      <c r="U153" s="40">
        <f t="shared" si="369"/>
        <v>3573.2570000000001</v>
      </c>
      <c r="V153" s="40">
        <f t="shared" si="369"/>
        <v>3703.9380000000006</v>
      </c>
      <c r="W153" s="40">
        <f t="shared" ref="W153:AB153" si="370">+W7</f>
        <v>3592.44</v>
      </c>
      <c r="X153" s="40">
        <f t="shared" si="370"/>
        <v>4081.8440000000001</v>
      </c>
      <c r="Y153" s="40">
        <f t="shared" si="370"/>
        <v>3863.0790000000002</v>
      </c>
      <c r="Z153" s="40">
        <f t="shared" si="370"/>
        <v>3819.5850000000005</v>
      </c>
      <c r="AA153" s="40">
        <f t="shared" si="370"/>
        <v>3645.0140000000001</v>
      </c>
      <c r="AB153" s="40">
        <f t="shared" si="370"/>
        <v>4005.5680000000002</v>
      </c>
      <c r="AC153" s="40">
        <f t="shared" ref="AC153:AH153" si="371">+AC7</f>
        <v>3941.73</v>
      </c>
      <c r="AD153" s="40">
        <f t="shared" si="371"/>
        <v>4257.4079999999994</v>
      </c>
      <c r="AE153" s="40">
        <f t="shared" si="371"/>
        <v>4503.4570000000003</v>
      </c>
      <c r="AF153" s="40">
        <f t="shared" si="371"/>
        <v>4610.4470000000001</v>
      </c>
      <c r="AG153" s="40">
        <f t="shared" si="371"/>
        <v>4769.1210000000001</v>
      </c>
      <c r="AH153" s="40">
        <f t="shared" si="371"/>
        <v>4839.233000000002</v>
      </c>
      <c r="AI153" s="40">
        <f t="shared" ref="AI153:AN153" si="372">+AI7</f>
        <v>5066.5640000000003</v>
      </c>
      <c r="AJ153" s="40">
        <f t="shared" si="372"/>
        <v>4792.3490000000002</v>
      </c>
      <c r="AK153" s="40">
        <f t="shared" si="372"/>
        <v>4796.9340000000002</v>
      </c>
      <c r="AL153" s="40">
        <f t="shared" si="372"/>
        <v>4919.7379999999976</v>
      </c>
      <c r="AM153" s="40">
        <f t="shared" si="372"/>
        <v>5458.6409999999996</v>
      </c>
      <c r="AN153" s="40">
        <f t="shared" si="372"/>
        <v>5154.6210000000001</v>
      </c>
      <c r="AO153" s="40">
        <f t="shared" ref="AO153:AT153" si="373">+AO7</f>
        <v>5208.9210000000003</v>
      </c>
      <c r="AP153" s="40">
        <f t="shared" si="373"/>
        <v>5157.3289999999979</v>
      </c>
      <c r="AQ153" s="40">
        <f t="shared" si="373"/>
        <v>5767.09</v>
      </c>
      <c r="AR153" s="40">
        <f t="shared" si="373"/>
        <v>5288.402</v>
      </c>
      <c r="AS153" s="40">
        <f t="shared" si="373"/>
        <v>5552.5990000000002</v>
      </c>
      <c r="AT153" s="40">
        <f t="shared" si="373"/>
        <v>5456.7850000000017</v>
      </c>
      <c r="AU153" s="40">
        <f>+AU7</f>
        <v>6160.0529999999999</v>
      </c>
      <c r="AV153" s="40"/>
      <c r="AW153"/>
      <c r="AX153"/>
    </row>
    <row r="154" spans="1:50" s="34" customFormat="1" ht="13.5" customHeight="1">
      <c r="B154" s="24" t="s">
        <v>211</v>
      </c>
      <c r="C154" s="49"/>
      <c r="D154" s="49">
        <f t="shared" ref="D154:L154" si="374">+D153/C153-1</f>
        <v>-2.8109270800126041E-2</v>
      </c>
      <c r="E154" s="49">
        <f t="shared" si="374"/>
        <v>-2.7103019820125973E-2</v>
      </c>
      <c r="F154" s="49">
        <f t="shared" si="374"/>
        <v>5.852260946934229E-2</v>
      </c>
      <c r="G154" s="49">
        <f t="shared" si="374"/>
        <v>7.0075366812305306E-2</v>
      </c>
      <c r="H154" s="49">
        <f t="shared" si="374"/>
        <v>3.2087886212807337E-2</v>
      </c>
      <c r="I154" s="49">
        <f t="shared" si="374"/>
        <v>0.18123588303137228</v>
      </c>
      <c r="J154" s="49">
        <f t="shared" si="374"/>
        <v>4.5578209636893074E-2</v>
      </c>
      <c r="K154" s="49">
        <f t="shared" si="374"/>
        <v>7.1718265380063873E-2</v>
      </c>
      <c r="L154" s="49">
        <f t="shared" si="374"/>
        <v>5.1734473137411419E-2</v>
      </c>
      <c r="M154" s="49"/>
      <c r="N154" s="299"/>
      <c r="O154" s="49"/>
      <c r="P154" s="49"/>
      <c r="Q154" s="49"/>
      <c r="R154" s="49"/>
      <c r="S154" s="49">
        <f t="shared" ref="S154:AU154" si="375">+S153/O153-1</f>
        <v>3.7707385515460823E-2</v>
      </c>
      <c r="T154" s="49">
        <f t="shared" si="375"/>
        <v>2.5615865950867622E-2</v>
      </c>
      <c r="U154" s="49">
        <f t="shared" si="375"/>
        <v>7.7138748884655106E-2</v>
      </c>
      <c r="V154" s="49">
        <f t="shared" si="375"/>
        <v>9.5455911302076757E-2</v>
      </c>
      <c r="W154" s="49">
        <f t="shared" si="375"/>
        <v>7.1064729167405805E-2</v>
      </c>
      <c r="X154" s="49">
        <f t="shared" si="375"/>
        <v>9.7270187438222466E-2</v>
      </c>
      <c r="Y154" s="49">
        <f t="shared" si="375"/>
        <v>8.1108635622906489E-2</v>
      </c>
      <c r="Z154" s="49">
        <f t="shared" si="375"/>
        <v>3.1222714851058431E-2</v>
      </c>
      <c r="AA154" s="49">
        <f t="shared" si="375"/>
        <v>1.4634621594236785E-2</v>
      </c>
      <c r="AB154" s="49">
        <f t="shared" si="375"/>
        <v>-1.8686652405138449E-2</v>
      </c>
      <c r="AC154" s="49">
        <f t="shared" si="375"/>
        <v>2.0359666473297455E-2</v>
      </c>
      <c r="AD154" s="49">
        <f t="shared" si="375"/>
        <v>0.11462580358860941</v>
      </c>
      <c r="AE154" s="49">
        <f>AE153/AA153-1</f>
        <v>0.23551157828200386</v>
      </c>
      <c r="AF154" s="49">
        <f t="shared" si="375"/>
        <v>0.15100954471375849</v>
      </c>
      <c r="AG154" s="49">
        <f t="shared" si="375"/>
        <v>0.20990554908631487</v>
      </c>
      <c r="AH154" s="49">
        <f t="shared" si="375"/>
        <v>0.13666179046029936</v>
      </c>
      <c r="AI154" s="49">
        <f t="shared" si="375"/>
        <v>0.12503883128005877</v>
      </c>
      <c r="AJ154" s="49">
        <f t="shared" si="375"/>
        <v>3.9454308877208577E-2</v>
      </c>
      <c r="AK154" s="49">
        <f>+AK153/AG153-1</f>
        <v>5.8318922921016814E-3</v>
      </c>
      <c r="AL154" s="49">
        <f t="shared" si="375"/>
        <v>1.6635900771877488E-2</v>
      </c>
      <c r="AM154" s="49">
        <f t="shared" si="375"/>
        <v>7.7385186489305147E-2</v>
      </c>
      <c r="AN154" s="49">
        <f t="shared" si="375"/>
        <v>7.5593826743419523E-2</v>
      </c>
      <c r="AO154" s="49">
        <f>+AO153/AK153-1</f>
        <v>8.5885484353130481E-2</v>
      </c>
      <c r="AP154" s="49">
        <f t="shared" si="375"/>
        <v>4.8293425381595645E-2</v>
      </c>
      <c r="AQ154" s="49">
        <f t="shared" si="375"/>
        <v>5.6506555386221624E-2</v>
      </c>
      <c r="AR154" s="49">
        <f t="shared" si="375"/>
        <v>2.5953605512412992E-2</v>
      </c>
      <c r="AS154" s="49">
        <f>+AS153/AO153-1</f>
        <v>6.5978731487768671E-2</v>
      </c>
      <c r="AT154" s="49">
        <f t="shared" si="375"/>
        <v>5.8064164609239466E-2</v>
      </c>
      <c r="AU154" s="49">
        <f t="shared" si="375"/>
        <v>6.8138870730299006E-2</v>
      </c>
      <c r="AV154" s="299"/>
      <c r="AW154"/>
      <c r="AX154"/>
    </row>
    <row r="155" spans="1:50" s="5" customFormat="1" ht="13.5" customHeight="1" thickBot="1">
      <c r="B155" s="22"/>
      <c r="C155" s="45"/>
      <c r="D155" s="45"/>
      <c r="E155" s="45"/>
      <c r="F155" s="45"/>
      <c r="G155" s="45"/>
      <c r="H155" s="45"/>
      <c r="I155" s="45"/>
      <c r="J155" s="45"/>
      <c r="K155" s="45"/>
      <c r="L155" s="45"/>
      <c r="M155" s="45"/>
      <c r="N155" s="7"/>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7"/>
      <c r="AW155"/>
      <c r="AX155"/>
    </row>
    <row r="156" spans="1:50" s="5" customFormat="1" ht="13.5" customHeight="1" thickTop="1" thickBot="1">
      <c r="B156" s="22" t="str">
        <f t="shared" ref="B156:M156" si="376">+B51</f>
        <v>Adj. EBITDA</v>
      </c>
      <c r="C156" s="45">
        <f t="shared" si="376"/>
        <v>3716</v>
      </c>
      <c r="D156" s="45">
        <f t="shared" si="376"/>
        <v>3919.1</v>
      </c>
      <c r="E156" s="45">
        <f t="shared" si="376"/>
        <v>4023.5</v>
      </c>
      <c r="F156" s="45">
        <f t="shared" si="376"/>
        <v>4017.9</v>
      </c>
      <c r="G156" s="45">
        <f t="shared" si="376"/>
        <v>4013.4</v>
      </c>
      <c r="H156" s="45">
        <f t="shared" si="376"/>
        <v>3492.5</v>
      </c>
      <c r="I156" s="45">
        <f t="shared" si="376"/>
        <v>3931.67418</v>
      </c>
      <c r="J156" s="45">
        <f t="shared" si="376"/>
        <v>4502.3845499999998</v>
      </c>
      <c r="K156" s="45">
        <f t="shared" si="376"/>
        <v>4615.4926399999995</v>
      </c>
      <c r="L156" s="45">
        <f t="shared" si="376"/>
        <v>4854.2727199999999</v>
      </c>
      <c r="M156" s="45">
        <f t="shared" si="376"/>
        <v>4940.7245800000001</v>
      </c>
      <c r="N156" s="7"/>
      <c r="O156" s="45">
        <f t="shared" ref="O156:AU156" si="377">+O51</f>
        <v>835.5</v>
      </c>
      <c r="P156" s="45">
        <f t="shared" si="377"/>
        <v>1171.4000000000001</v>
      </c>
      <c r="Q156" s="45">
        <f t="shared" si="377"/>
        <v>1159.2999999999997</v>
      </c>
      <c r="R156" s="45">
        <f t="shared" si="377"/>
        <v>857.30000000000018</v>
      </c>
      <c r="S156" s="45">
        <f t="shared" si="377"/>
        <v>846.4</v>
      </c>
      <c r="T156" s="45">
        <f t="shared" si="377"/>
        <v>1103.0999999999999</v>
      </c>
      <c r="U156" s="45">
        <f t="shared" si="377"/>
        <v>1146.5999999999999</v>
      </c>
      <c r="V156" s="45">
        <f t="shared" si="377"/>
        <v>921.8000000000003</v>
      </c>
      <c r="W156" s="45">
        <f t="shared" si="377"/>
        <v>888.8</v>
      </c>
      <c r="X156" s="45">
        <f t="shared" si="377"/>
        <v>1136.7</v>
      </c>
      <c r="Y156" s="45">
        <f t="shared" si="377"/>
        <v>1151.4000000000001</v>
      </c>
      <c r="Z156" s="45">
        <f t="shared" si="377"/>
        <v>836.5</v>
      </c>
      <c r="AA156" s="45">
        <f t="shared" si="377"/>
        <v>897.8</v>
      </c>
      <c r="AB156" s="45">
        <f t="shared" si="377"/>
        <v>929.9</v>
      </c>
      <c r="AC156" s="45">
        <f t="shared" si="377"/>
        <v>879.1</v>
      </c>
      <c r="AD156" s="45">
        <f t="shared" si="377"/>
        <v>785.7</v>
      </c>
      <c r="AE156" s="45">
        <f t="shared" si="377"/>
        <v>938.49400000000003</v>
      </c>
      <c r="AF156" s="45">
        <f t="shared" si="377"/>
        <v>986</v>
      </c>
      <c r="AG156" s="45">
        <f t="shared" si="377"/>
        <v>942.30100000000004</v>
      </c>
      <c r="AH156" s="45">
        <f t="shared" si="377"/>
        <v>1064.8791799999999</v>
      </c>
      <c r="AI156" s="45">
        <f t="shared" si="377"/>
        <v>1242.9070000000002</v>
      </c>
      <c r="AJ156" s="45">
        <f t="shared" si="377"/>
        <v>1108</v>
      </c>
      <c r="AK156" s="45">
        <f t="shared" si="377"/>
        <v>1062.221</v>
      </c>
      <c r="AL156" s="45">
        <f t="shared" si="377"/>
        <v>1089.2565499999996</v>
      </c>
      <c r="AM156" s="45">
        <f t="shared" si="377"/>
        <v>1133.4824500000004</v>
      </c>
      <c r="AN156" s="45">
        <f t="shared" si="377"/>
        <v>1187.42</v>
      </c>
      <c r="AO156" s="45">
        <f t="shared" si="377"/>
        <v>1153.0809999999997</v>
      </c>
      <c r="AP156" s="45">
        <f t="shared" si="377"/>
        <v>1141.5091899999993</v>
      </c>
      <c r="AQ156" s="45">
        <f t="shared" si="377"/>
        <v>1201.3498100000006</v>
      </c>
      <c r="AR156" s="45">
        <f t="shared" si="377"/>
        <v>1216.9000000000005</v>
      </c>
      <c r="AS156" s="45">
        <f t="shared" si="377"/>
        <v>1228.5409999999997</v>
      </c>
      <c r="AT156" s="45">
        <f t="shared" si="377"/>
        <v>1207.4819099999991</v>
      </c>
      <c r="AU156" s="45">
        <f t="shared" si="377"/>
        <v>1287.8016700000007</v>
      </c>
      <c r="AV156" s="7"/>
      <c r="AW156"/>
      <c r="AX156"/>
    </row>
    <row r="157" spans="1:50" s="34" customFormat="1" ht="13.5" customHeight="1" thickTop="1">
      <c r="B157" s="24" t="s">
        <v>236</v>
      </c>
      <c r="C157" s="49"/>
      <c r="D157" s="49">
        <f t="shared" ref="D157:L157" si="378">+D156/C156-1</f>
        <v>5.4655543595263589E-2</v>
      </c>
      <c r="E157" s="49">
        <f t="shared" si="378"/>
        <v>2.6638769105151727E-2</v>
      </c>
      <c r="F157" s="49">
        <f t="shared" si="378"/>
        <v>-1.3918230396420261E-3</v>
      </c>
      <c r="G157" s="49">
        <f t="shared" si="378"/>
        <v>-1.1199880534608075E-3</v>
      </c>
      <c r="H157" s="49">
        <f t="shared" si="378"/>
        <v>-0.1297902028205512</v>
      </c>
      <c r="I157" s="49">
        <f t="shared" si="378"/>
        <v>0.1257477967072298</v>
      </c>
      <c r="J157" s="49">
        <f t="shared" si="378"/>
        <v>0.14515708674516858</v>
      </c>
      <c r="K157" s="49">
        <f t="shared" si="378"/>
        <v>2.512181905919153E-2</v>
      </c>
      <c r="L157" s="49">
        <f t="shared" si="378"/>
        <v>5.1734473137411419E-2</v>
      </c>
      <c r="M157" s="49"/>
      <c r="N157" s="299"/>
      <c r="O157" s="49"/>
      <c r="P157" s="49"/>
      <c r="Q157" s="49"/>
      <c r="R157" s="49"/>
      <c r="S157" s="49">
        <f t="shared" ref="S157:AU157" si="379">+S156/O156-1</f>
        <v>1.3046080191501996E-2</v>
      </c>
      <c r="T157" s="49">
        <f t="shared" si="379"/>
        <v>-5.8306300153662449E-2</v>
      </c>
      <c r="U157" s="49">
        <f t="shared" si="379"/>
        <v>-1.0954886569481403E-2</v>
      </c>
      <c r="V157" s="49">
        <f t="shared" si="379"/>
        <v>7.5236206695439289E-2</v>
      </c>
      <c r="W157" s="49">
        <f t="shared" si="379"/>
        <v>5.0094517958412021E-2</v>
      </c>
      <c r="X157" s="49">
        <f t="shared" si="379"/>
        <v>3.0459613815610576E-2</v>
      </c>
      <c r="Y157" s="49">
        <f t="shared" si="379"/>
        <v>4.1862899005757903E-3</v>
      </c>
      <c r="Z157" s="49">
        <f t="shared" si="379"/>
        <v>-9.253634193968352E-2</v>
      </c>
      <c r="AA157" s="49">
        <f t="shared" si="379"/>
        <v>1.0126012601260115E-2</v>
      </c>
      <c r="AB157" s="49">
        <f t="shared" si="379"/>
        <v>-0.181930148675992</v>
      </c>
      <c r="AC157" s="49">
        <f t="shared" si="379"/>
        <v>-0.23649470210178913</v>
      </c>
      <c r="AD157" s="49">
        <f t="shared" si="379"/>
        <v>-6.0729228930065715E-2</v>
      </c>
      <c r="AE157" s="49">
        <f>AE156/AA156-1</f>
        <v>4.5326353308086542E-2</v>
      </c>
      <c r="AF157" s="49">
        <f t="shared" si="379"/>
        <v>6.0329067641681888E-2</v>
      </c>
      <c r="AG157" s="49">
        <f t="shared" si="379"/>
        <v>7.1892844955067758E-2</v>
      </c>
      <c r="AH157" s="49">
        <f t="shared" si="379"/>
        <v>0.35532541682576024</v>
      </c>
      <c r="AI157" s="49">
        <f t="shared" si="379"/>
        <v>0.32436328841740081</v>
      </c>
      <c r="AJ157" s="49">
        <f t="shared" si="379"/>
        <v>0.12373225152129819</v>
      </c>
      <c r="AK157" s="49">
        <f t="shared" si="379"/>
        <v>0.12726294464295385</v>
      </c>
      <c r="AL157" s="49">
        <f t="shared" si="379"/>
        <v>2.2892146318420625E-2</v>
      </c>
      <c r="AM157" s="49">
        <f t="shared" si="379"/>
        <v>-8.8039209691473053E-2</v>
      </c>
      <c r="AN157" s="49">
        <f t="shared" si="379"/>
        <v>7.1678700361010872E-2</v>
      </c>
      <c r="AO157" s="49">
        <f t="shared" si="379"/>
        <v>8.5537755325868714E-2</v>
      </c>
      <c r="AP157" s="49">
        <f t="shared" si="379"/>
        <v>4.7970921083742679E-2</v>
      </c>
      <c r="AQ157" s="49">
        <f t="shared" si="379"/>
        <v>5.9875086729397786E-2</v>
      </c>
      <c r="AR157" s="49">
        <f t="shared" si="379"/>
        <v>2.4826935709353348E-2</v>
      </c>
      <c r="AS157" s="49">
        <f t="shared" si="379"/>
        <v>6.5442063480362744E-2</v>
      </c>
      <c r="AT157" s="49">
        <f t="shared" si="379"/>
        <v>5.7794295988103039E-2</v>
      </c>
      <c r="AU157" s="49">
        <f t="shared" si="379"/>
        <v>7.196227050637316E-2</v>
      </c>
      <c r="AV157" s="299"/>
      <c r="AW157"/>
      <c r="AX157"/>
    </row>
    <row r="158" spans="1:50" s="34" customFormat="1" ht="13.5" customHeight="1">
      <c r="B158" s="24" t="s">
        <v>237</v>
      </c>
      <c r="C158" s="49">
        <f t="shared" ref="C158:M158" si="380">C156/C153</f>
        <v>0.25916096706654124</v>
      </c>
      <c r="D158" s="49">
        <f t="shared" si="380"/>
        <v>0.28123074167530887</v>
      </c>
      <c r="E158" s="49">
        <f t="shared" si="380"/>
        <v>0.2967656271424417</v>
      </c>
      <c r="F158" s="49">
        <f t="shared" si="380"/>
        <v>0.27996811712295711</v>
      </c>
      <c r="G158" s="49">
        <f t="shared" si="380"/>
        <v>0.26134099041033415</v>
      </c>
      <c r="H158" s="49">
        <f t="shared" si="380"/>
        <v>0.22035089578869532</v>
      </c>
      <c r="I158" s="49">
        <f t="shared" si="380"/>
        <v>0.21</v>
      </c>
      <c r="J158" s="49">
        <f t="shared" si="380"/>
        <v>0.23</v>
      </c>
      <c r="K158" s="49">
        <f t="shared" si="380"/>
        <v>0.22</v>
      </c>
      <c r="L158" s="49">
        <f t="shared" si="380"/>
        <v>0.22</v>
      </c>
      <c r="M158" s="49">
        <f t="shared" si="380"/>
        <v>0.22</v>
      </c>
      <c r="N158" s="299"/>
      <c r="O158" s="49">
        <f t="shared" ref="O158:AU158" si="381">O156/O153</f>
        <v>0.25849226766247807</v>
      </c>
      <c r="P158" s="49">
        <f t="shared" si="381"/>
        <v>0.3229588033154972</v>
      </c>
      <c r="Q158" s="49">
        <f t="shared" si="381"/>
        <v>0.34946463452866122</v>
      </c>
      <c r="R158" s="49">
        <f t="shared" si="381"/>
        <v>0.25355023565709539</v>
      </c>
      <c r="S158" s="49">
        <f t="shared" si="381"/>
        <v>0.25234915176517692</v>
      </c>
      <c r="T158" s="49">
        <f t="shared" si="381"/>
        <v>0.29653233777751009</v>
      </c>
      <c r="U158" s="49">
        <f t="shared" si="381"/>
        <v>0.3208837203705191</v>
      </c>
      <c r="V158" s="49">
        <f t="shared" si="381"/>
        <v>0.24887025646757591</v>
      </c>
      <c r="W158" s="49">
        <f t="shared" si="381"/>
        <v>0.24740844662680517</v>
      </c>
      <c r="X158" s="49">
        <f t="shared" si="381"/>
        <v>0.27847708045677394</v>
      </c>
      <c r="Y158" s="49">
        <f t="shared" si="381"/>
        <v>0.29805240845449965</v>
      </c>
      <c r="Z158" s="49">
        <f t="shared" si="381"/>
        <v>0.21900284978603693</v>
      </c>
      <c r="AA158" s="49">
        <f t="shared" si="381"/>
        <v>0.24630906767436281</v>
      </c>
      <c r="AB158" s="49">
        <f t="shared" si="381"/>
        <v>0.23215184463227187</v>
      </c>
      <c r="AC158" s="49">
        <f t="shared" si="381"/>
        <v>0.22302390067305472</v>
      </c>
      <c r="AD158" s="49">
        <f t="shared" si="381"/>
        <v>0.1845489086317309</v>
      </c>
      <c r="AE158" s="49">
        <f t="shared" si="381"/>
        <v>0.20839412922117387</v>
      </c>
      <c r="AF158" s="49">
        <f t="shared" si="381"/>
        <v>0.21386212660073958</v>
      </c>
      <c r="AG158" s="49">
        <f t="shared" si="381"/>
        <v>0.19758378954947883</v>
      </c>
      <c r="AH158" s="49">
        <f t="shared" si="381"/>
        <v>0.22005123125916845</v>
      </c>
      <c r="AI158" s="49">
        <f t="shared" si="381"/>
        <v>0.24531556297324975</v>
      </c>
      <c r="AJ158" s="49">
        <f t="shared" si="381"/>
        <v>0.23120185946390798</v>
      </c>
      <c r="AK158" s="49">
        <f t="shared" si="381"/>
        <v>0.22143748486012105</v>
      </c>
      <c r="AL158" s="49">
        <f t="shared" si="381"/>
        <v>0.22140539801103232</v>
      </c>
      <c r="AM158" s="49">
        <f t="shared" si="381"/>
        <v>0.20764920242968909</v>
      </c>
      <c r="AN158" s="49">
        <f t="shared" si="381"/>
        <v>0.23036029225039048</v>
      </c>
      <c r="AO158" s="49">
        <f t="shared" si="381"/>
        <v>0.22136657476663585</v>
      </c>
      <c r="AP158" s="49">
        <f t="shared" si="381"/>
        <v>0.22133728331079902</v>
      </c>
      <c r="AQ158" s="49">
        <f t="shared" si="381"/>
        <v>0.20831126443318912</v>
      </c>
      <c r="AR158" s="49">
        <f t="shared" si="381"/>
        <v>0.23010731786274957</v>
      </c>
      <c r="AS158" s="49">
        <f t="shared" si="381"/>
        <v>0.22125512755378152</v>
      </c>
      <c r="AT158" s="49">
        <f t="shared" si="381"/>
        <v>0.22128082927951143</v>
      </c>
      <c r="AU158" s="49">
        <f t="shared" si="381"/>
        <v>0.20905691395837028</v>
      </c>
      <c r="AV158" s="299"/>
      <c r="AW158"/>
      <c r="AX158"/>
    </row>
    <row r="159" spans="1:50" ht="13.5" customHeight="1">
      <c r="AW159"/>
      <c r="AX159"/>
    </row>
    <row r="160" spans="1:50" s="5" customFormat="1" ht="13.5" customHeight="1">
      <c r="B160" s="5" t="str">
        <f t="shared" ref="B160:M160" si="382">+B56</f>
        <v xml:space="preserve">Adjusted EBITDA </v>
      </c>
      <c r="C160" s="61">
        <f t="shared" si="382"/>
        <v>3716</v>
      </c>
      <c r="D160" s="61">
        <f t="shared" si="382"/>
        <v>3919.1</v>
      </c>
      <c r="E160" s="61">
        <f t="shared" si="382"/>
        <v>4023.5</v>
      </c>
      <c r="F160" s="61">
        <f t="shared" si="382"/>
        <v>4017.9</v>
      </c>
      <c r="G160" s="61">
        <f t="shared" si="382"/>
        <v>4013.4</v>
      </c>
      <c r="H160" s="61">
        <f t="shared" si="382"/>
        <v>3492.5</v>
      </c>
      <c r="I160" s="61">
        <f t="shared" si="382"/>
        <v>3931.67418</v>
      </c>
      <c r="J160" s="61">
        <f t="shared" si="382"/>
        <v>4502.3845499999998</v>
      </c>
      <c r="K160" s="61">
        <f t="shared" si="382"/>
        <v>4615.4926399999995</v>
      </c>
      <c r="L160" s="61">
        <f t="shared" si="382"/>
        <v>4854.2727199999999</v>
      </c>
      <c r="M160" s="61">
        <f t="shared" si="382"/>
        <v>4940.7245800000001</v>
      </c>
      <c r="N160" s="59"/>
      <c r="O160" s="61">
        <f t="shared" ref="O160:AU160" si="383">+O56</f>
        <v>835.5</v>
      </c>
      <c r="P160" s="61">
        <f t="shared" si="383"/>
        <v>1171.4000000000001</v>
      </c>
      <c r="Q160" s="61">
        <f t="shared" si="383"/>
        <v>1159.2999999999997</v>
      </c>
      <c r="R160" s="61">
        <f t="shared" si="383"/>
        <v>857.30000000000018</v>
      </c>
      <c r="S160" s="61">
        <f t="shared" si="383"/>
        <v>846.4</v>
      </c>
      <c r="T160" s="61">
        <f t="shared" si="383"/>
        <v>1103.0999999999999</v>
      </c>
      <c r="U160" s="61">
        <f t="shared" si="383"/>
        <v>1146.5999999999999</v>
      </c>
      <c r="V160" s="61">
        <f t="shared" si="383"/>
        <v>921.8000000000003</v>
      </c>
      <c r="W160" s="61">
        <f t="shared" si="383"/>
        <v>888.8</v>
      </c>
      <c r="X160" s="61">
        <f t="shared" si="383"/>
        <v>1136.7</v>
      </c>
      <c r="Y160" s="61">
        <f t="shared" si="383"/>
        <v>1151.4000000000001</v>
      </c>
      <c r="Z160" s="61">
        <f t="shared" si="383"/>
        <v>836.5</v>
      </c>
      <c r="AA160" s="61">
        <f t="shared" si="383"/>
        <v>897.8</v>
      </c>
      <c r="AB160" s="61">
        <f t="shared" si="383"/>
        <v>929.9</v>
      </c>
      <c r="AC160" s="61">
        <f t="shared" si="383"/>
        <v>879.1</v>
      </c>
      <c r="AD160" s="61">
        <f t="shared" si="383"/>
        <v>785.7</v>
      </c>
      <c r="AE160" s="61">
        <f t="shared" si="383"/>
        <v>938.49400000000003</v>
      </c>
      <c r="AF160" s="61">
        <f t="shared" si="383"/>
        <v>986</v>
      </c>
      <c r="AG160" s="61">
        <f t="shared" si="383"/>
        <v>942.30100000000004</v>
      </c>
      <c r="AH160" s="61">
        <f t="shared" si="383"/>
        <v>1064.8791799999999</v>
      </c>
      <c r="AI160" s="61">
        <f t="shared" si="383"/>
        <v>1242.9070000000002</v>
      </c>
      <c r="AJ160" s="61">
        <f t="shared" si="383"/>
        <v>1108</v>
      </c>
      <c r="AK160" s="61">
        <f t="shared" si="383"/>
        <v>1062.221</v>
      </c>
      <c r="AL160" s="61">
        <f t="shared" si="383"/>
        <v>1089.2565499999996</v>
      </c>
      <c r="AM160" s="61">
        <f t="shared" si="383"/>
        <v>1133.4824500000004</v>
      </c>
      <c r="AN160" s="61">
        <f t="shared" si="383"/>
        <v>1187.42</v>
      </c>
      <c r="AO160" s="61">
        <f t="shared" si="383"/>
        <v>1153.0809999999997</v>
      </c>
      <c r="AP160" s="61">
        <f t="shared" si="383"/>
        <v>1141.5091899999993</v>
      </c>
      <c r="AQ160" s="61">
        <f t="shared" si="383"/>
        <v>1201.3498100000006</v>
      </c>
      <c r="AR160" s="61">
        <f t="shared" si="383"/>
        <v>1216.9000000000005</v>
      </c>
      <c r="AS160" s="61">
        <f t="shared" si="383"/>
        <v>1228.5409999999997</v>
      </c>
      <c r="AT160" s="61">
        <f t="shared" si="383"/>
        <v>1207.4819099999991</v>
      </c>
      <c r="AU160" s="61">
        <f t="shared" si="383"/>
        <v>1287.8016700000007</v>
      </c>
      <c r="AV160" s="59"/>
      <c r="AW160"/>
      <c r="AX160"/>
    </row>
    <row r="161" spans="2:50" ht="13.5" customHeight="1">
      <c r="B161" s="1" t="str">
        <f t="shared" ref="B161:M161" si="384">+B57</f>
        <v>Working Capital</v>
      </c>
      <c r="C161" s="68">
        <f t="shared" si="384"/>
        <v>-27.716000000000008</v>
      </c>
      <c r="D161" s="68">
        <f t="shared" si="384"/>
        <v>-184.86800000000014</v>
      </c>
      <c r="E161" s="63">
        <f t="shared" si="384"/>
        <v>-1327.6559999999999</v>
      </c>
      <c r="F161" s="63">
        <f t="shared" si="384"/>
        <v>-54.608999999999966</v>
      </c>
      <c r="G161" s="63">
        <f t="shared" si="384"/>
        <v>-540.63</v>
      </c>
      <c r="H161" s="63">
        <f t="shared" si="384"/>
        <v>611.94399999999996</v>
      </c>
      <c r="I161" s="63">
        <f t="shared" si="384"/>
        <v>-918.83699999999999</v>
      </c>
      <c r="J161" s="63">
        <f t="shared" si="384"/>
        <v>-939.70999999999992</v>
      </c>
      <c r="K161" s="63">
        <f t="shared" si="384"/>
        <v>205.88300000000004</v>
      </c>
      <c r="L161" s="63">
        <f t="shared" si="384"/>
        <v>-190.58999999999997</v>
      </c>
      <c r="M161" s="63">
        <f t="shared" si="384"/>
        <v>-131.69900000000001</v>
      </c>
      <c r="N161" s="301"/>
      <c r="O161" s="63">
        <f t="shared" ref="O161:AU161" si="385">+O57</f>
        <v>-439.61299999999994</v>
      </c>
      <c r="P161" s="63">
        <f t="shared" si="385"/>
        <v>-406.61000000000013</v>
      </c>
      <c r="Q161" s="63">
        <f t="shared" si="385"/>
        <v>-748.05899999999963</v>
      </c>
      <c r="R161" s="63">
        <f t="shared" si="385"/>
        <v>266.62599999999975</v>
      </c>
      <c r="S161" s="63">
        <f t="shared" si="385"/>
        <v>-262.43399999999997</v>
      </c>
      <c r="T161" s="63">
        <f t="shared" si="385"/>
        <v>-121.75099999999998</v>
      </c>
      <c r="U161" s="63">
        <f t="shared" si="385"/>
        <v>-198.55899999999997</v>
      </c>
      <c r="V161" s="63">
        <f t="shared" si="385"/>
        <v>528.13499999999999</v>
      </c>
      <c r="W161" s="63">
        <f t="shared" si="385"/>
        <v>-608.16899999999998</v>
      </c>
      <c r="X161" s="63">
        <f t="shared" si="385"/>
        <v>133.03899999999999</v>
      </c>
      <c r="Y161" s="63">
        <f t="shared" si="385"/>
        <v>-264.52499999999986</v>
      </c>
      <c r="Z161" s="63">
        <f t="shared" si="385"/>
        <v>199.02499999999986</v>
      </c>
      <c r="AA161" s="63">
        <f t="shared" si="385"/>
        <v>-221.98200000000008</v>
      </c>
      <c r="AB161" s="63">
        <f t="shared" si="385"/>
        <v>319.47200000000009</v>
      </c>
      <c r="AC161" s="63">
        <f t="shared" si="385"/>
        <v>49.154999999999859</v>
      </c>
      <c r="AD161" s="63">
        <f t="shared" si="385"/>
        <v>465.29900000000009</v>
      </c>
      <c r="AE161" s="63">
        <f t="shared" si="385"/>
        <v>-630.55600000000004</v>
      </c>
      <c r="AF161" s="63">
        <f t="shared" si="385"/>
        <v>-315.45600000000002</v>
      </c>
      <c r="AG161" s="63">
        <f t="shared" si="385"/>
        <v>134.14500000000032</v>
      </c>
      <c r="AH161" s="63">
        <f t="shared" si="385"/>
        <v>-106.97000000000037</v>
      </c>
      <c r="AI161" s="63">
        <f t="shared" si="385"/>
        <v>-571.56799999999998</v>
      </c>
      <c r="AJ161" s="63">
        <f t="shared" si="385"/>
        <v>192.90699999999998</v>
      </c>
      <c r="AK161" s="63">
        <f t="shared" si="385"/>
        <v>-946.16299999999978</v>
      </c>
      <c r="AL161" s="63">
        <f t="shared" si="385"/>
        <v>385.11399999999986</v>
      </c>
      <c r="AM161" s="63">
        <f t="shared" si="385"/>
        <v>-64.095000000000027</v>
      </c>
      <c r="AN161" s="63">
        <f t="shared" si="385"/>
        <v>476.88200000000001</v>
      </c>
      <c r="AO161" s="63">
        <f t="shared" si="385"/>
        <v>-46.434000000000026</v>
      </c>
      <c r="AP161" s="63">
        <f t="shared" si="385"/>
        <v>-160.46999999999991</v>
      </c>
      <c r="AQ161" s="63">
        <f t="shared" si="385"/>
        <v>-359.3370000000001</v>
      </c>
      <c r="AR161" s="63">
        <f t="shared" si="385"/>
        <v>18.379000000000076</v>
      </c>
      <c r="AS161" s="63">
        <f t="shared" si="385"/>
        <v>18.008000000000095</v>
      </c>
      <c r="AT161" s="63">
        <f t="shared" si="385"/>
        <v>132.35999999999996</v>
      </c>
      <c r="AU161" s="63">
        <f t="shared" si="385"/>
        <v>-300.44600000000014</v>
      </c>
      <c r="AV161" s="301"/>
      <c r="AW161"/>
      <c r="AX161"/>
    </row>
    <row r="162" spans="2:50" ht="13.5" customHeight="1">
      <c r="B162" s="1" t="str">
        <f t="shared" ref="B162:M162" si="386">+B58</f>
        <v>Taxes, net</v>
      </c>
      <c r="C162" s="68">
        <f t="shared" si="386"/>
        <v>-10.161</v>
      </c>
      <c r="D162" s="68">
        <f t="shared" si="386"/>
        <v>-11.922000000000001</v>
      </c>
      <c r="E162" s="63">
        <f t="shared" si="386"/>
        <v>-22.963999999999999</v>
      </c>
      <c r="F162" s="63">
        <f t="shared" si="386"/>
        <v>-19.277000000000001</v>
      </c>
      <c r="G162" s="63">
        <f t="shared" si="386"/>
        <v>-84.763000000000005</v>
      </c>
      <c r="H162" s="63">
        <f t="shared" si="386"/>
        <v>-34.749000000000002</v>
      </c>
      <c r="I162" s="63">
        <f t="shared" si="386"/>
        <v>-330.92200000000003</v>
      </c>
      <c r="J162" s="63">
        <f t="shared" si="386"/>
        <v>-8.2550000000000008</v>
      </c>
      <c r="K162" s="63">
        <f t="shared" si="386"/>
        <v>-22.948</v>
      </c>
      <c r="L162" s="63">
        <f t="shared" si="386"/>
        <v>-194.322</v>
      </c>
      <c r="M162" s="63">
        <f t="shared" si="386"/>
        <v>-103.05600000000001</v>
      </c>
      <c r="N162" s="301"/>
      <c r="O162" s="63">
        <f t="shared" ref="O162:AU162" si="387">+O58</f>
        <v>-2.4489999999999998</v>
      </c>
      <c r="P162" s="63">
        <f t="shared" si="387"/>
        <v>-4.2919999999999998</v>
      </c>
      <c r="Q162" s="63">
        <f t="shared" si="387"/>
        <v>-3.6479999999999997</v>
      </c>
      <c r="R162" s="63">
        <f t="shared" si="387"/>
        <v>-12.574999999999999</v>
      </c>
      <c r="S162" s="63">
        <f t="shared" si="387"/>
        <v>-1.4730000000000001</v>
      </c>
      <c r="T162" s="63">
        <f t="shared" si="387"/>
        <v>-7.4020000000000001</v>
      </c>
      <c r="U162" s="63">
        <f t="shared" si="387"/>
        <v>-6.7950000000000008</v>
      </c>
      <c r="V162" s="63">
        <f t="shared" si="387"/>
        <v>-3.6069999999999993</v>
      </c>
      <c r="W162" s="63">
        <f t="shared" si="387"/>
        <v>-54.679000000000002</v>
      </c>
      <c r="X162" s="63">
        <f t="shared" si="387"/>
        <v>0</v>
      </c>
      <c r="Y162" s="63">
        <f t="shared" si="387"/>
        <v>-14.637999999999991</v>
      </c>
      <c r="Z162" s="63">
        <f t="shared" si="387"/>
        <v>-15.446000000000012</v>
      </c>
      <c r="AA162" s="63">
        <f t="shared" si="387"/>
        <v>-1.3939999999999999</v>
      </c>
      <c r="AB162" s="63">
        <f t="shared" si="387"/>
        <v>-20.66</v>
      </c>
      <c r="AC162" s="63">
        <f t="shared" si="387"/>
        <v>-1.6779999999999993</v>
      </c>
      <c r="AD162" s="63">
        <f t="shared" si="387"/>
        <v>-11.017000000000005</v>
      </c>
      <c r="AE162" s="63">
        <f t="shared" si="387"/>
        <v>-0.23599999999999999</v>
      </c>
      <c r="AF162" s="63">
        <f t="shared" si="387"/>
        <v>-95.045000000000002</v>
      </c>
      <c r="AG162" s="63">
        <f t="shared" si="387"/>
        <v>-4.2188474935755949E-15</v>
      </c>
      <c r="AH162" s="63">
        <f t="shared" si="387"/>
        <v>-235.64100000000002</v>
      </c>
      <c r="AI162" s="63">
        <f t="shared" si="387"/>
        <v>0</v>
      </c>
      <c r="AJ162" s="63">
        <f t="shared" si="387"/>
        <v>-7.085</v>
      </c>
      <c r="AK162" s="63">
        <f t="shared" si="387"/>
        <v>-0.54600000000000026</v>
      </c>
      <c r="AL162" s="63">
        <f t="shared" si="387"/>
        <v>-0.62400000000000055</v>
      </c>
      <c r="AM162" s="63">
        <f t="shared" si="387"/>
        <v>0</v>
      </c>
      <c r="AN162" s="63">
        <f t="shared" si="387"/>
        <v>-19.663</v>
      </c>
      <c r="AO162" s="63">
        <f t="shared" si="387"/>
        <v>-1.6679999999999993</v>
      </c>
      <c r="AP162" s="63">
        <f t="shared" si="387"/>
        <v>-1.6170000000000009</v>
      </c>
      <c r="AQ162" s="63">
        <f t="shared" si="387"/>
        <v>-94.087999999999994</v>
      </c>
      <c r="AR162" s="63">
        <f t="shared" si="387"/>
        <v>-48.545000000000016</v>
      </c>
      <c r="AS162" s="63">
        <f t="shared" si="387"/>
        <v>-48.039999999999992</v>
      </c>
      <c r="AT162" s="63">
        <f t="shared" si="387"/>
        <v>-3.6490000000000009</v>
      </c>
      <c r="AU162" s="63">
        <f t="shared" si="387"/>
        <v>-2.8220000000000001</v>
      </c>
      <c r="AV162" s="301"/>
      <c r="AW162"/>
      <c r="AX162"/>
    </row>
    <row r="163" spans="2:50" ht="13.5" customHeight="1">
      <c r="B163" s="1" t="str">
        <f t="shared" ref="B163:M163" si="388">+B59</f>
        <v>Cash interest paid</v>
      </c>
      <c r="C163" s="68">
        <f t="shared" si="388"/>
        <v>-360.596</v>
      </c>
      <c r="D163" s="68">
        <f t="shared" si="388"/>
        <v>-467.97699999999998</v>
      </c>
      <c r="E163" s="63">
        <f t="shared" si="388"/>
        <v>-420.625</v>
      </c>
      <c r="F163" s="63">
        <f t="shared" si="388"/>
        <v>-524.60900000000004</v>
      </c>
      <c r="G163" s="63">
        <f t="shared" si="388"/>
        <v>-467.84399999999999</v>
      </c>
      <c r="H163" s="63">
        <f t="shared" si="388"/>
        <v>-342.44600000000003</v>
      </c>
      <c r="I163" s="63">
        <f t="shared" si="388"/>
        <v>-431.81</v>
      </c>
      <c r="J163" s="63">
        <f t="shared" si="388"/>
        <v>-559.19899999999996</v>
      </c>
      <c r="K163" s="63">
        <f t="shared" si="388"/>
        <v>-645.03899999999999</v>
      </c>
      <c r="L163" s="63">
        <f t="shared" si="388"/>
        <v>-681.38900000000001</v>
      </c>
      <c r="M163" s="63">
        <f t="shared" si="388"/>
        <v>-702.16499999999996</v>
      </c>
      <c r="N163" s="301"/>
      <c r="O163" s="63">
        <f t="shared" ref="O163:AU163" si="389">+O59</f>
        <v>-131.238</v>
      </c>
      <c r="P163" s="63">
        <f t="shared" si="389"/>
        <v>-77.247000000000014</v>
      </c>
      <c r="Q163" s="63">
        <f t="shared" si="389"/>
        <v>-109.20400000000001</v>
      </c>
      <c r="R163" s="63">
        <f t="shared" si="389"/>
        <v>-102.93599999999998</v>
      </c>
      <c r="S163" s="63">
        <f t="shared" si="389"/>
        <v>-131.45599999999999</v>
      </c>
      <c r="T163" s="63">
        <f t="shared" si="389"/>
        <v>-132.83200000000002</v>
      </c>
      <c r="U163" s="63">
        <f t="shared" si="389"/>
        <v>-127.79599999999996</v>
      </c>
      <c r="V163" s="63">
        <f t="shared" si="389"/>
        <v>-132.52500000000012</v>
      </c>
      <c r="W163" s="63">
        <f t="shared" si="389"/>
        <v>-106.79900000000001</v>
      </c>
      <c r="X163" s="63">
        <f t="shared" si="389"/>
        <v>-132.648</v>
      </c>
      <c r="Y163" s="63">
        <f t="shared" si="389"/>
        <v>-114.19200000000001</v>
      </c>
      <c r="Z163" s="63">
        <f t="shared" si="389"/>
        <v>-114.20499999999998</v>
      </c>
      <c r="AA163" s="63">
        <f t="shared" si="389"/>
        <v>-86.896000000000001</v>
      </c>
      <c r="AB163" s="63">
        <f t="shared" si="389"/>
        <v>-92.159000000000006</v>
      </c>
      <c r="AC163" s="63">
        <f t="shared" si="389"/>
        <v>-79.151000000000025</v>
      </c>
      <c r="AD163" s="63">
        <f t="shared" si="389"/>
        <v>-84.240000000000023</v>
      </c>
      <c r="AE163" s="63">
        <f t="shared" si="389"/>
        <v>-89.474999999999994</v>
      </c>
      <c r="AF163" s="63">
        <f t="shared" si="389"/>
        <v>-97.967000000000013</v>
      </c>
      <c r="AG163" s="63">
        <f t="shared" si="389"/>
        <v>-112.00900000000001</v>
      </c>
      <c r="AH163" s="63">
        <f t="shared" si="389"/>
        <v>-132.35899999999998</v>
      </c>
      <c r="AI163" s="63">
        <f t="shared" si="389"/>
        <v>-126.396</v>
      </c>
      <c r="AJ163" s="63">
        <f t="shared" si="389"/>
        <v>-143.87799999999999</v>
      </c>
      <c r="AK163" s="63">
        <f t="shared" si="389"/>
        <v>-135.22000000000003</v>
      </c>
      <c r="AL163" s="63">
        <f t="shared" si="389"/>
        <v>-153.70499999999993</v>
      </c>
      <c r="AM163" s="63">
        <f t="shared" si="389"/>
        <v>-94.65</v>
      </c>
      <c r="AN163" s="63">
        <f t="shared" si="389"/>
        <v>-185.357</v>
      </c>
      <c r="AO163" s="63">
        <f t="shared" si="389"/>
        <v>-209.042</v>
      </c>
      <c r="AP163" s="63">
        <f t="shared" si="389"/>
        <v>-155.98999999999995</v>
      </c>
      <c r="AQ163" s="63">
        <f t="shared" si="389"/>
        <v>-147.11699999999999</v>
      </c>
      <c r="AR163" s="63">
        <f t="shared" si="389"/>
        <v>-179.09900000000002</v>
      </c>
      <c r="AS163" s="63">
        <f t="shared" si="389"/>
        <v>-182.27399999999997</v>
      </c>
      <c r="AT163" s="63">
        <f t="shared" si="389"/>
        <v>-172.89899999999997</v>
      </c>
      <c r="AU163" s="63">
        <f t="shared" si="389"/>
        <v>-167.893</v>
      </c>
      <c r="AV163" s="301"/>
      <c r="AW163"/>
      <c r="AX163"/>
    </row>
    <row r="164" spans="2:50" s="5" customFormat="1" ht="13.5" customHeight="1" thickBot="1">
      <c r="B164" s="22" t="str">
        <f t="shared" ref="B164:M164" si="390">+B60</f>
        <v xml:space="preserve">Net cash from operations </v>
      </c>
      <c r="C164" s="64">
        <f t="shared" si="390"/>
        <v>3317.527</v>
      </c>
      <c r="D164" s="64">
        <f t="shared" si="390"/>
        <v>3254.3330000000001</v>
      </c>
      <c r="E164" s="64">
        <f t="shared" si="390"/>
        <v>2252.2550000000001</v>
      </c>
      <c r="F164" s="64">
        <f t="shared" si="390"/>
        <v>3419.4050000000002</v>
      </c>
      <c r="G164" s="64">
        <f t="shared" si="390"/>
        <v>2920.163</v>
      </c>
      <c r="H164" s="64">
        <f t="shared" si="390"/>
        <v>3727.2489999999998</v>
      </c>
      <c r="I164" s="64">
        <f t="shared" si="390"/>
        <v>2250.10518</v>
      </c>
      <c r="J164" s="64">
        <f t="shared" si="390"/>
        <v>2995.2205499999995</v>
      </c>
      <c r="K164" s="64">
        <f t="shared" si="390"/>
        <v>4153.3886399999992</v>
      </c>
      <c r="L164" s="64">
        <f t="shared" si="390"/>
        <v>3787.9717199999996</v>
      </c>
      <c r="M164" s="64">
        <f t="shared" si="390"/>
        <v>4003.8045800000009</v>
      </c>
      <c r="N164" s="172"/>
      <c r="O164" s="64">
        <f t="shared" ref="O164:AU164" si="391">+O60</f>
        <v>262.20000000000005</v>
      </c>
      <c r="P164" s="64">
        <f t="shared" si="391"/>
        <v>683.25099999999998</v>
      </c>
      <c r="Q164" s="64">
        <f t="shared" si="391"/>
        <v>298.38900000000007</v>
      </c>
      <c r="R164" s="64">
        <f t="shared" si="391"/>
        <v>1008.415</v>
      </c>
      <c r="S164" s="64">
        <f t="shared" si="391"/>
        <v>451.03700000000003</v>
      </c>
      <c r="T164" s="64">
        <f t="shared" si="391"/>
        <v>841.1149999999999</v>
      </c>
      <c r="U164" s="64">
        <f t="shared" si="391"/>
        <v>813.45</v>
      </c>
      <c r="V164" s="64">
        <f t="shared" si="391"/>
        <v>1313.8030000000003</v>
      </c>
      <c r="W164" s="64">
        <f t="shared" si="391"/>
        <v>119.15299999999996</v>
      </c>
      <c r="X164" s="64">
        <f t="shared" si="391"/>
        <v>1137.0910000000001</v>
      </c>
      <c r="Y164" s="64">
        <f t="shared" si="391"/>
        <v>758.04500000000019</v>
      </c>
      <c r="Z164" s="64">
        <f t="shared" si="391"/>
        <v>905.8739999999998</v>
      </c>
      <c r="AA164" s="64">
        <f t="shared" si="391"/>
        <v>587.52799999999991</v>
      </c>
      <c r="AB164" s="64">
        <f t="shared" si="391"/>
        <v>1136.5529999999999</v>
      </c>
      <c r="AC164" s="64">
        <f t="shared" si="391"/>
        <v>847.42599999999982</v>
      </c>
      <c r="AD164" s="64">
        <f t="shared" si="391"/>
        <v>1155.7420000000002</v>
      </c>
      <c r="AE164" s="64">
        <f t="shared" si="391"/>
        <v>218.227</v>
      </c>
      <c r="AF164" s="64">
        <f t="shared" si="391"/>
        <v>477.53200000000004</v>
      </c>
      <c r="AG164" s="64">
        <f t="shared" si="391"/>
        <v>964.43700000000035</v>
      </c>
      <c r="AH164" s="64">
        <f t="shared" si="391"/>
        <v>589.90917999999965</v>
      </c>
      <c r="AI164" s="64">
        <f t="shared" si="391"/>
        <v>544.94300000000021</v>
      </c>
      <c r="AJ164" s="64">
        <f t="shared" si="391"/>
        <v>1149.944</v>
      </c>
      <c r="AK164" s="64">
        <f t="shared" si="391"/>
        <v>-19.707999999999814</v>
      </c>
      <c r="AL164" s="64">
        <f t="shared" si="391"/>
        <v>1320.0415499999995</v>
      </c>
      <c r="AM164" s="64">
        <f t="shared" si="391"/>
        <v>974.73745000000042</v>
      </c>
      <c r="AN164" s="64">
        <f t="shared" si="391"/>
        <v>1459.2820000000002</v>
      </c>
      <c r="AO164" s="64">
        <f t="shared" si="391"/>
        <v>895.93699999999978</v>
      </c>
      <c r="AP164" s="64">
        <f t="shared" si="391"/>
        <v>823.43218999999954</v>
      </c>
      <c r="AQ164" s="64">
        <f t="shared" si="391"/>
        <v>600.80781000000059</v>
      </c>
      <c r="AR164" s="64">
        <f t="shared" si="391"/>
        <v>1007.6350000000006</v>
      </c>
      <c r="AS164" s="64">
        <f t="shared" si="391"/>
        <v>1016.2349999999998</v>
      </c>
      <c r="AT164" s="64">
        <f t="shared" si="391"/>
        <v>1163.293909999999</v>
      </c>
      <c r="AU164" s="64">
        <f t="shared" si="391"/>
        <v>816.64067000000057</v>
      </c>
      <c r="AV164" s="172"/>
      <c r="AW164"/>
      <c r="AX164"/>
    </row>
    <row r="165" spans="2:50" s="5" customFormat="1" ht="13.5" customHeight="1" thickTop="1">
      <c r="B165" s="1" t="str">
        <f t="shared" ref="B165:M165" si="392">+B61</f>
        <v>Net Capex</v>
      </c>
      <c r="C165" s="65">
        <f t="shared" si="392"/>
        <v>-4891.9440000000004</v>
      </c>
      <c r="D165" s="65">
        <f t="shared" si="392"/>
        <v>-3233.6490000000003</v>
      </c>
      <c r="E165" s="65">
        <f t="shared" si="392"/>
        <v>-2419.761</v>
      </c>
      <c r="F165" s="65">
        <f t="shared" si="392"/>
        <v>-1997.452</v>
      </c>
      <c r="G165" s="65">
        <f t="shared" si="392"/>
        <v>-1243.115</v>
      </c>
      <c r="H165" s="65">
        <f t="shared" si="392"/>
        <v>-1618.941</v>
      </c>
      <c r="I165" s="65">
        <f t="shared" si="392"/>
        <v>-1918.5290000000002</v>
      </c>
      <c r="J165" s="65">
        <f t="shared" si="392"/>
        <v>-3299.0539999999996</v>
      </c>
      <c r="K165" s="65">
        <f t="shared" si="392"/>
        <v>-4222.0259999999998</v>
      </c>
      <c r="L165" s="65">
        <f t="shared" si="392"/>
        <v>-5014.3219999999992</v>
      </c>
      <c r="M165" s="65">
        <f t="shared" si="392"/>
        <v>-4837.646999999999</v>
      </c>
      <c r="N165" s="58"/>
      <c r="O165" s="65">
        <f t="shared" ref="O165:AU165" si="393">+O61</f>
        <v>-557.52400000000011</v>
      </c>
      <c r="P165" s="65">
        <f t="shared" si="393"/>
        <v>-549.65699999999993</v>
      </c>
      <c r="Q165" s="65">
        <f t="shared" si="393"/>
        <v>-627.67100000000005</v>
      </c>
      <c r="R165" s="65">
        <f t="shared" si="393"/>
        <v>-684.90899999999988</v>
      </c>
      <c r="S165" s="65">
        <f t="shared" si="393"/>
        <v>-575.88700000000006</v>
      </c>
      <c r="T165" s="65">
        <f t="shared" si="393"/>
        <v>-409.85099999999977</v>
      </c>
      <c r="U165" s="65">
        <f t="shared" si="393"/>
        <v>-498.75699999999972</v>
      </c>
      <c r="V165" s="65">
        <f t="shared" si="393"/>
        <v>-512.95700000000045</v>
      </c>
      <c r="W165" s="65">
        <f t="shared" si="393"/>
        <v>-313.62</v>
      </c>
      <c r="X165" s="65">
        <f t="shared" si="393"/>
        <v>-327.06899999999996</v>
      </c>
      <c r="Y165" s="65">
        <f t="shared" si="393"/>
        <v>-257.12000000000012</v>
      </c>
      <c r="Z165" s="65">
        <f t="shared" si="393"/>
        <v>-345.30599999999993</v>
      </c>
      <c r="AA165" s="65">
        <f t="shared" si="393"/>
        <v>-282.36</v>
      </c>
      <c r="AB165" s="65">
        <f t="shared" si="393"/>
        <v>-395.07899999999995</v>
      </c>
      <c r="AC165" s="65">
        <f t="shared" si="393"/>
        <v>-375.07800000000009</v>
      </c>
      <c r="AD165" s="65">
        <f t="shared" si="393"/>
        <v>-566.42399999999986</v>
      </c>
      <c r="AE165" s="65">
        <f t="shared" si="393"/>
        <v>-468.70999999999992</v>
      </c>
      <c r="AF165" s="65">
        <f t="shared" si="393"/>
        <v>-486.03800000000012</v>
      </c>
      <c r="AG165" s="65">
        <f t="shared" si="393"/>
        <v>-433.36700000000019</v>
      </c>
      <c r="AH165" s="65">
        <f t="shared" si="393"/>
        <v>-530.41399999999999</v>
      </c>
      <c r="AI165" s="65">
        <f t="shared" si="393"/>
        <v>-651.49</v>
      </c>
      <c r="AJ165" s="65">
        <f t="shared" si="393"/>
        <v>-639.77</v>
      </c>
      <c r="AK165" s="65">
        <f t="shared" si="393"/>
        <v>-831.27199999999971</v>
      </c>
      <c r="AL165" s="65">
        <f t="shared" si="393"/>
        <v>-1176.5220000000002</v>
      </c>
      <c r="AM165" s="65">
        <f t="shared" si="393"/>
        <v>-895.11800000000005</v>
      </c>
      <c r="AN165" s="65">
        <f t="shared" si="393"/>
        <v>-1181.6669999999999</v>
      </c>
      <c r="AO165" s="65">
        <f t="shared" si="393"/>
        <v>-818.8160000000006</v>
      </c>
      <c r="AP165" s="65">
        <f t="shared" si="393"/>
        <v>-1326.4249999999993</v>
      </c>
      <c r="AQ165" s="65">
        <f t="shared" si="393"/>
        <v>-1250.1099999999999</v>
      </c>
      <c r="AR165" s="65">
        <f t="shared" si="393"/>
        <v>-1161.7819999999999</v>
      </c>
      <c r="AS165" s="65">
        <f t="shared" si="393"/>
        <v>-1162.5660000000005</v>
      </c>
      <c r="AT165" s="65">
        <f t="shared" si="393"/>
        <v>-1439.8639999999984</v>
      </c>
      <c r="AU165" s="65">
        <f t="shared" si="393"/>
        <v>-1073.4349999999999</v>
      </c>
      <c r="AV165" s="58"/>
      <c r="AW165"/>
      <c r="AX165"/>
    </row>
    <row r="166" spans="2:50" ht="13.5" customHeight="1">
      <c r="B166" s="1" t="str">
        <f t="shared" ref="B166:M166" si="394">+B62</f>
        <v>Purchase and development of intangible assets</v>
      </c>
      <c r="C166" s="65">
        <f t="shared" si="394"/>
        <v>-18.152999999999999</v>
      </c>
      <c r="D166" s="65">
        <f t="shared" si="394"/>
        <v>-52.927</v>
      </c>
      <c r="E166" s="65">
        <f t="shared" si="394"/>
        <v>-39.796999999999997</v>
      </c>
      <c r="F166" s="65">
        <f t="shared" si="394"/>
        <v>-132.983</v>
      </c>
      <c r="G166" s="65">
        <f t="shared" si="394"/>
        <v>-144.971</v>
      </c>
      <c r="H166" s="65">
        <f t="shared" si="394"/>
        <v>-57.174999999999997</v>
      </c>
      <c r="I166" s="65">
        <f t="shared" si="394"/>
        <v>-33.338999999999999</v>
      </c>
      <c r="J166" s="65">
        <f t="shared" si="394"/>
        <v>-24.516999999999999</v>
      </c>
      <c r="K166" s="65">
        <f t="shared" si="394"/>
        <v>-60.503999999999998</v>
      </c>
      <c r="L166" s="65">
        <f t="shared" si="394"/>
        <v>-39.677999999999997</v>
      </c>
      <c r="M166" s="65">
        <f t="shared" si="394"/>
        <v>-63.219999999999992</v>
      </c>
      <c r="N166" s="58"/>
      <c r="O166" s="65">
        <f t="shared" ref="O166:AU166" si="395">+O62</f>
        <v>-11.516</v>
      </c>
      <c r="P166" s="65">
        <f t="shared" si="395"/>
        <v>-7.197000000000001</v>
      </c>
      <c r="Q166" s="65">
        <f t="shared" si="395"/>
        <v>-7.8950000000000014</v>
      </c>
      <c r="R166" s="65">
        <f t="shared" si="395"/>
        <v>-13.188999999999991</v>
      </c>
      <c r="S166" s="65">
        <f t="shared" si="395"/>
        <v>-30.247</v>
      </c>
      <c r="T166" s="65">
        <f t="shared" si="395"/>
        <v>-8.482999999999997</v>
      </c>
      <c r="U166" s="65">
        <f t="shared" si="395"/>
        <v>-59.458999999999989</v>
      </c>
      <c r="V166" s="65">
        <f t="shared" si="395"/>
        <v>-34.794000000000025</v>
      </c>
      <c r="W166" s="65">
        <f t="shared" si="395"/>
        <v>-31.274000000000001</v>
      </c>
      <c r="X166" s="65">
        <f t="shared" si="395"/>
        <v>-27.850999999999999</v>
      </c>
      <c r="Y166" s="65">
        <f t="shared" si="395"/>
        <v>-31.097999999999999</v>
      </c>
      <c r="Z166" s="65">
        <f t="shared" si="395"/>
        <v>-54.748000000000005</v>
      </c>
      <c r="AA166" s="65">
        <f t="shared" si="395"/>
        <v>-16.702000000000002</v>
      </c>
      <c r="AB166" s="65">
        <f t="shared" si="395"/>
        <v>-27.420999999999996</v>
      </c>
      <c r="AC166" s="65">
        <f t="shared" si="395"/>
        <v>-35.262000000000015</v>
      </c>
      <c r="AD166" s="65">
        <f t="shared" si="395"/>
        <v>22.210000000000015</v>
      </c>
      <c r="AE166" s="65">
        <f t="shared" si="395"/>
        <v>-14.420999999999999</v>
      </c>
      <c r="AF166" s="65">
        <f t="shared" si="395"/>
        <v>-4.2089999999999996</v>
      </c>
      <c r="AG166" s="65">
        <f t="shared" si="395"/>
        <v>-25.163000000000004</v>
      </c>
      <c r="AH166" s="65">
        <f t="shared" si="395"/>
        <v>10.454000000000004</v>
      </c>
      <c r="AI166" s="65">
        <f t="shared" si="395"/>
        <v>-8.0779999999999994</v>
      </c>
      <c r="AJ166" s="65">
        <f t="shared" si="395"/>
        <v>-5.3120000000000012</v>
      </c>
      <c r="AK166" s="65">
        <f t="shared" si="395"/>
        <v>-5.2369999999999983</v>
      </c>
      <c r="AL166" s="65">
        <f t="shared" si="395"/>
        <v>-5.8900000000000006</v>
      </c>
      <c r="AM166" s="65">
        <f t="shared" si="395"/>
        <v>-12.042</v>
      </c>
      <c r="AN166" s="65">
        <f t="shared" si="395"/>
        <v>-7.298</v>
      </c>
      <c r="AO166" s="65">
        <f t="shared" si="395"/>
        <v>-17.446999999999996</v>
      </c>
      <c r="AP166" s="65">
        <f t="shared" si="395"/>
        <v>-23.716999999999999</v>
      </c>
      <c r="AQ166" s="65">
        <f t="shared" si="395"/>
        <v>-6.9889999999999999</v>
      </c>
      <c r="AR166" s="65">
        <f t="shared" si="395"/>
        <v>-3.6770000000000005</v>
      </c>
      <c r="AS166" s="65">
        <f t="shared" si="395"/>
        <v>-10.469000000000001</v>
      </c>
      <c r="AT166" s="65">
        <f t="shared" si="395"/>
        <v>-18.542999999999996</v>
      </c>
      <c r="AU166" s="65">
        <f t="shared" si="395"/>
        <v>-30.530999999999999</v>
      </c>
      <c r="AV166" s="58"/>
      <c r="AW166"/>
      <c r="AX166"/>
    </row>
    <row r="167" spans="2:50" ht="13.5" customHeight="1">
      <c r="B167" s="1" t="str">
        <f t="shared" ref="B167:M167" si="396">+B63</f>
        <v>Disposals/ Acquisition, of subsidiaries</v>
      </c>
      <c r="C167" s="65">
        <f t="shared" si="396"/>
        <v>0</v>
      </c>
      <c r="D167" s="65">
        <f t="shared" si="396"/>
        <v>-25</v>
      </c>
      <c r="E167" s="65">
        <f t="shared" si="396"/>
        <v>91.753</v>
      </c>
      <c r="F167" s="65">
        <f t="shared" si="396"/>
        <v>-228.91800000000001</v>
      </c>
      <c r="G167" s="65">
        <f t="shared" si="396"/>
        <v>0</v>
      </c>
      <c r="H167" s="65">
        <f t="shared" si="396"/>
        <v>-219.369</v>
      </c>
      <c r="I167" s="65">
        <f t="shared" si="396"/>
        <v>-68.594999999999999</v>
      </c>
      <c r="J167" s="65">
        <f t="shared" si="396"/>
        <v>0</v>
      </c>
      <c r="K167" s="65">
        <f t="shared" si="396"/>
        <v>0</v>
      </c>
      <c r="L167" s="65">
        <f t="shared" si="396"/>
        <v>-1010.0940000000001</v>
      </c>
      <c r="M167" s="65">
        <f t="shared" si="396"/>
        <v>-1010.0940000000001</v>
      </c>
      <c r="N167" s="58"/>
      <c r="O167" s="65">
        <f t="shared" ref="O167:AU167" si="397">+O63</f>
        <v>0</v>
      </c>
      <c r="P167" s="65">
        <f t="shared" si="397"/>
        <v>-3.8719999999999999</v>
      </c>
      <c r="Q167" s="65">
        <f t="shared" si="397"/>
        <v>-9.375</v>
      </c>
      <c r="R167" s="65">
        <f t="shared" si="397"/>
        <v>105</v>
      </c>
      <c r="S167" s="65">
        <f t="shared" si="397"/>
        <v>0</v>
      </c>
      <c r="T167" s="65">
        <f t="shared" si="397"/>
        <v>-97.593000000000004</v>
      </c>
      <c r="U167" s="65">
        <f t="shared" si="397"/>
        <v>-43.500000000000014</v>
      </c>
      <c r="V167" s="65">
        <f t="shared" si="397"/>
        <v>-87.825000000000003</v>
      </c>
      <c r="W167" s="65">
        <f t="shared" si="397"/>
        <v>0</v>
      </c>
      <c r="X167" s="65">
        <f t="shared" si="397"/>
        <v>0</v>
      </c>
      <c r="Y167" s="65">
        <f t="shared" si="397"/>
        <v>0</v>
      </c>
      <c r="Z167" s="65">
        <f t="shared" si="397"/>
        <v>0</v>
      </c>
      <c r="AA167" s="65">
        <f t="shared" si="397"/>
        <v>0</v>
      </c>
      <c r="AB167" s="65">
        <f t="shared" si="397"/>
        <v>0</v>
      </c>
      <c r="AC167" s="65">
        <f t="shared" si="397"/>
        <v>-150</v>
      </c>
      <c r="AD167" s="65">
        <f t="shared" si="397"/>
        <v>-69.369</v>
      </c>
      <c r="AE167" s="65">
        <f t="shared" si="397"/>
        <v>-68.55</v>
      </c>
      <c r="AF167" s="65">
        <f t="shared" si="397"/>
        <v>0</v>
      </c>
      <c r="AG167" s="65">
        <f t="shared" si="397"/>
        <v>0</v>
      </c>
      <c r="AH167" s="65">
        <f t="shared" si="397"/>
        <v>-4.5000000000001705E-2</v>
      </c>
      <c r="AI167" s="65">
        <f t="shared" si="397"/>
        <v>0</v>
      </c>
      <c r="AJ167" s="65">
        <f t="shared" si="397"/>
        <v>0</v>
      </c>
      <c r="AK167" s="65">
        <f t="shared" si="397"/>
        <v>0</v>
      </c>
      <c r="AL167" s="65">
        <f t="shared" si="397"/>
        <v>0</v>
      </c>
      <c r="AM167" s="65">
        <f t="shared" si="397"/>
        <v>0</v>
      </c>
      <c r="AN167" s="65">
        <f t="shared" si="397"/>
        <v>0</v>
      </c>
      <c r="AO167" s="65">
        <f t="shared" si="397"/>
        <v>0</v>
      </c>
      <c r="AP167" s="65">
        <f t="shared" si="397"/>
        <v>0</v>
      </c>
      <c r="AQ167" s="65">
        <f t="shared" si="397"/>
        <v>0</v>
      </c>
      <c r="AR167" s="65">
        <f t="shared" si="397"/>
        <v>0</v>
      </c>
      <c r="AS167" s="65">
        <f t="shared" si="397"/>
        <v>-1010.0940000000001</v>
      </c>
      <c r="AT167" s="65">
        <f t="shared" si="397"/>
        <v>0</v>
      </c>
      <c r="AU167" s="65">
        <f t="shared" si="397"/>
        <v>0</v>
      </c>
      <c r="AV167" s="58"/>
      <c r="AW167"/>
      <c r="AX167"/>
    </row>
    <row r="168" spans="2:50" ht="13.5" customHeight="1" thickBot="1">
      <c r="B168" s="48" t="str">
        <f t="shared" ref="B168:M168" si="398">+B64</f>
        <v xml:space="preserve">Free cash flow </v>
      </c>
      <c r="C168" s="67">
        <f t="shared" si="398"/>
        <v>-1592.5700000000004</v>
      </c>
      <c r="D168" s="67">
        <f t="shared" si="398"/>
        <v>-57.243000000000258</v>
      </c>
      <c r="E168" s="67">
        <f t="shared" si="398"/>
        <v>-115.54999999999986</v>
      </c>
      <c r="F168" s="67">
        <f t="shared" si="398"/>
        <v>1060.0520000000001</v>
      </c>
      <c r="G168" s="67">
        <f t="shared" si="398"/>
        <v>1532.077</v>
      </c>
      <c r="H168" s="67">
        <f t="shared" si="398"/>
        <v>1831.7639999999999</v>
      </c>
      <c r="I168" s="67">
        <f t="shared" si="398"/>
        <v>229.6421799999998</v>
      </c>
      <c r="J168" s="67">
        <f t="shared" si="398"/>
        <v>-328.35045000000008</v>
      </c>
      <c r="K168" s="67">
        <f t="shared" si="398"/>
        <v>-129.14136000000062</v>
      </c>
      <c r="L168" s="67">
        <f t="shared" si="398"/>
        <v>-2276.1222799999996</v>
      </c>
      <c r="M168" s="67">
        <f t="shared" si="398"/>
        <v>-1907.1564199999982</v>
      </c>
      <c r="N168" s="59"/>
      <c r="O168" s="67">
        <f t="shared" ref="O168:AU168" si="399">+O64</f>
        <v>-306.84000000000009</v>
      </c>
      <c r="P168" s="67">
        <f t="shared" si="399"/>
        <v>122.52500000000005</v>
      </c>
      <c r="Q168" s="67">
        <f t="shared" si="399"/>
        <v>-346.55199999999996</v>
      </c>
      <c r="R168" s="67">
        <f t="shared" si="399"/>
        <v>415.31700000000012</v>
      </c>
      <c r="S168" s="67">
        <f t="shared" si="399"/>
        <v>-155.09700000000004</v>
      </c>
      <c r="T168" s="67">
        <f t="shared" si="399"/>
        <v>325.1880000000001</v>
      </c>
      <c r="U168" s="67">
        <f t="shared" si="399"/>
        <v>211.73400000000032</v>
      </c>
      <c r="V168" s="67">
        <f t="shared" si="399"/>
        <v>678.22699999999986</v>
      </c>
      <c r="W168" s="67">
        <f t="shared" si="399"/>
        <v>-225.74100000000004</v>
      </c>
      <c r="X168" s="67">
        <f t="shared" si="399"/>
        <v>782.17100000000016</v>
      </c>
      <c r="Y168" s="67">
        <f t="shared" si="399"/>
        <v>469.82700000000006</v>
      </c>
      <c r="Z168" s="67">
        <f t="shared" si="399"/>
        <v>505.81999999999988</v>
      </c>
      <c r="AA168" s="67">
        <f t="shared" si="399"/>
        <v>288.46599999999989</v>
      </c>
      <c r="AB168" s="67">
        <f t="shared" si="399"/>
        <v>714.05299999999988</v>
      </c>
      <c r="AC168" s="67">
        <f t="shared" si="399"/>
        <v>287.08599999999973</v>
      </c>
      <c r="AD168" s="67">
        <f t="shared" si="399"/>
        <v>542.15900000000033</v>
      </c>
      <c r="AE168" s="67">
        <f t="shared" si="399"/>
        <v>-333.45399999999995</v>
      </c>
      <c r="AF168" s="67">
        <f t="shared" si="399"/>
        <v>-12.715000000000085</v>
      </c>
      <c r="AG168" s="67">
        <f t="shared" si="399"/>
        <v>505.90700000000015</v>
      </c>
      <c r="AH168" s="67">
        <f t="shared" si="399"/>
        <v>69.90417999999967</v>
      </c>
      <c r="AI168" s="67">
        <f t="shared" si="399"/>
        <v>-114.6249999999998</v>
      </c>
      <c r="AJ168" s="67">
        <f t="shared" si="399"/>
        <v>504.86199999999997</v>
      </c>
      <c r="AK168" s="67">
        <f t="shared" si="399"/>
        <v>-856.21699999999953</v>
      </c>
      <c r="AL168" s="67">
        <f t="shared" si="399"/>
        <v>137.62954999999931</v>
      </c>
      <c r="AM168" s="67">
        <f t="shared" si="399"/>
        <v>67.577450000000368</v>
      </c>
      <c r="AN168" s="67">
        <f t="shared" si="399"/>
        <v>270.31700000000023</v>
      </c>
      <c r="AO168" s="67">
        <f t="shared" si="399"/>
        <v>59.673999999999189</v>
      </c>
      <c r="AP168" s="67">
        <f t="shared" si="399"/>
        <v>-526.70980999999972</v>
      </c>
      <c r="AQ168" s="67">
        <f t="shared" si="399"/>
        <v>-656.29118999999935</v>
      </c>
      <c r="AR168" s="67">
        <f t="shared" si="399"/>
        <v>-157.82399999999936</v>
      </c>
      <c r="AS168" s="67">
        <f t="shared" si="399"/>
        <v>-1166.8940000000007</v>
      </c>
      <c r="AT168" s="67">
        <f t="shared" si="399"/>
        <v>-295.11308999999949</v>
      </c>
      <c r="AU168" s="67">
        <f t="shared" si="399"/>
        <v>-287.32532999999938</v>
      </c>
      <c r="AV168" s="59"/>
      <c r="AW168"/>
      <c r="AX168"/>
    </row>
    <row r="169" spans="2:50" ht="13.5" customHeight="1" thickTop="1">
      <c r="B169" s="71" t="str">
        <f t="shared" ref="B169:M169" si="400">+B65</f>
        <v>Other investing activities</v>
      </c>
      <c r="C169" s="72">
        <f t="shared" si="400"/>
        <v>-71.293999999999997</v>
      </c>
      <c r="D169" s="72">
        <f t="shared" si="400"/>
        <v>1.1100000000000001</v>
      </c>
      <c r="E169" s="72">
        <f t="shared" si="400"/>
        <v>18.086000000000002</v>
      </c>
      <c r="F169" s="72">
        <f t="shared" si="400"/>
        <v>-584.70000000000005</v>
      </c>
      <c r="G169" s="72">
        <f t="shared" si="400"/>
        <v>600.45899999999995</v>
      </c>
      <c r="H169" s="72">
        <f t="shared" si="400"/>
        <v>81.238</v>
      </c>
      <c r="I169" s="72">
        <f t="shared" si="400"/>
        <v>33.183</v>
      </c>
      <c r="J169" s="72">
        <f t="shared" si="400"/>
        <v>-1856.4690000000001</v>
      </c>
      <c r="K169" s="72">
        <f t="shared" si="400"/>
        <v>1660.88</v>
      </c>
      <c r="L169" s="72">
        <f t="shared" si="400"/>
        <v>98.066000000000003</v>
      </c>
      <c r="M169" s="72">
        <f t="shared" si="400"/>
        <v>99.241</v>
      </c>
      <c r="N169" s="58"/>
      <c r="O169" s="72">
        <f t="shared" ref="O169:AU169" si="401">+O65</f>
        <v>17.861000000000001</v>
      </c>
      <c r="P169" s="72">
        <f t="shared" si="401"/>
        <v>0</v>
      </c>
      <c r="Q169" s="72">
        <f t="shared" si="401"/>
        <v>0</v>
      </c>
      <c r="R169" s="72">
        <f t="shared" si="401"/>
        <v>0.22500000000000142</v>
      </c>
      <c r="S169" s="72">
        <f t="shared" si="401"/>
        <v>0.3</v>
      </c>
      <c r="T169" s="72">
        <f t="shared" si="401"/>
        <v>0</v>
      </c>
      <c r="U169" s="72">
        <f t="shared" si="401"/>
        <v>0</v>
      </c>
      <c r="V169" s="72">
        <f t="shared" si="401"/>
        <v>-585</v>
      </c>
      <c r="W169" s="72">
        <f t="shared" si="401"/>
        <v>585</v>
      </c>
      <c r="X169" s="72">
        <f t="shared" si="401"/>
        <v>0</v>
      </c>
      <c r="Y169" s="72">
        <f t="shared" si="401"/>
        <v>0.17999999999994998</v>
      </c>
      <c r="Z169" s="72">
        <f t="shared" si="401"/>
        <v>15.278999999999996</v>
      </c>
      <c r="AA169" s="72">
        <f t="shared" si="401"/>
        <v>0</v>
      </c>
      <c r="AB169" s="72">
        <f t="shared" si="401"/>
        <v>0</v>
      </c>
      <c r="AC169" s="72">
        <f t="shared" si="401"/>
        <v>81.387999999999991</v>
      </c>
      <c r="AD169" s="72">
        <f t="shared" si="401"/>
        <v>-0.14999999999999147</v>
      </c>
      <c r="AE169" s="72">
        <f t="shared" si="401"/>
        <v>0</v>
      </c>
      <c r="AF169" s="72">
        <f t="shared" si="401"/>
        <v>33.183</v>
      </c>
      <c r="AG169" s="72">
        <f t="shared" si="401"/>
        <v>0</v>
      </c>
      <c r="AH169" s="72">
        <f t="shared" si="401"/>
        <v>0</v>
      </c>
      <c r="AI169" s="72">
        <f t="shared" si="401"/>
        <v>19.782</v>
      </c>
      <c r="AJ169" s="72">
        <f t="shared" si="401"/>
        <v>0</v>
      </c>
      <c r="AK169" s="72">
        <f t="shared" si="401"/>
        <v>-1876.25</v>
      </c>
      <c r="AL169" s="72">
        <f t="shared" si="401"/>
        <v>-1.0000000000509601E-3</v>
      </c>
      <c r="AM169" s="72">
        <f t="shared" si="401"/>
        <v>1876.25</v>
      </c>
      <c r="AN169" s="72">
        <f t="shared" si="401"/>
        <v>-27.5</v>
      </c>
      <c r="AO169" s="72">
        <f t="shared" si="401"/>
        <v>-187.86999999999989</v>
      </c>
      <c r="AP169" s="72">
        <f t="shared" si="401"/>
        <v>0</v>
      </c>
      <c r="AQ169" s="72">
        <f t="shared" si="401"/>
        <v>-1.175</v>
      </c>
      <c r="AR169" s="72">
        <f t="shared" si="401"/>
        <v>88.528999999999996</v>
      </c>
      <c r="AS169" s="72">
        <f t="shared" si="401"/>
        <v>-88.528999999999996</v>
      </c>
      <c r="AT169" s="72">
        <f t="shared" si="401"/>
        <v>99.241</v>
      </c>
      <c r="AU169" s="72">
        <f t="shared" si="401"/>
        <v>0</v>
      </c>
      <c r="AV169" s="58"/>
      <c r="AW169"/>
      <c r="AX169"/>
    </row>
    <row r="170" spans="2:50" ht="13.5" customHeight="1">
      <c r="B170" s="1" t="str">
        <f t="shared" ref="B170:M170" si="402">+B66</f>
        <v>Equity Issuance/Buyback</v>
      </c>
      <c r="C170" s="68">
        <f t="shared" si="402"/>
        <v>-48.295000000000002</v>
      </c>
      <c r="D170" s="68">
        <f t="shared" si="402"/>
        <v>-74.162000000000006</v>
      </c>
      <c r="E170" s="68">
        <f t="shared" si="402"/>
        <v>-147.595</v>
      </c>
      <c r="F170" s="68">
        <f t="shared" si="402"/>
        <v>-209.078</v>
      </c>
      <c r="G170" s="68">
        <f t="shared" si="402"/>
        <v>-148.21500000000003</v>
      </c>
      <c r="H170" s="68">
        <f t="shared" si="402"/>
        <v>29.146999999999998</v>
      </c>
      <c r="I170" s="68">
        <f t="shared" si="402"/>
        <v>5.5460000000000003</v>
      </c>
      <c r="J170" s="68">
        <f t="shared" si="402"/>
        <v>273.31599999999997</v>
      </c>
      <c r="K170" s="68">
        <f t="shared" si="402"/>
        <v>64.010000000000005</v>
      </c>
      <c r="L170" s="68">
        <f t="shared" si="402"/>
        <v>10.26</v>
      </c>
      <c r="M170" s="68">
        <f t="shared" si="402"/>
        <v>10.26</v>
      </c>
      <c r="N170" s="58"/>
      <c r="O170" s="68">
        <f t="shared" ref="O170:AU170" si="403">+O66</f>
        <v>0</v>
      </c>
      <c r="P170" s="68">
        <f t="shared" si="403"/>
        <v>-61.82</v>
      </c>
      <c r="Q170" s="68">
        <f t="shared" si="403"/>
        <v>-36.050000000000004</v>
      </c>
      <c r="R170" s="68">
        <f t="shared" si="403"/>
        <v>-49.724999999999987</v>
      </c>
      <c r="S170" s="68">
        <f t="shared" si="403"/>
        <v>-4.9889999999999972</v>
      </c>
      <c r="T170" s="68">
        <f t="shared" si="403"/>
        <v>-3.607999999999997</v>
      </c>
      <c r="U170" s="68">
        <f t="shared" si="403"/>
        <v>0.62999999999999545</v>
      </c>
      <c r="V170" s="68">
        <f t="shared" si="403"/>
        <v>-201.11099999999999</v>
      </c>
      <c r="W170" s="68">
        <f t="shared" si="403"/>
        <v>-245.32500000000002</v>
      </c>
      <c r="X170" s="68">
        <f t="shared" si="403"/>
        <v>37.299000000000007</v>
      </c>
      <c r="Y170" s="68">
        <f t="shared" si="403"/>
        <v>46.408000000000015</v>
      </c>
      <c r="Z170" s="68">
        <f t="shared" si="403"/>
        <v>13.402999999999963</v>
      </c>
      <c r="AA170" s="68">
        <f t="shared" si="403"/>
        <v>2.4870000000000001</v>
      </c>
      <c r="AB170" s="68">
        <f t="shared" si="403"/>
        <v>18.872999999999998</v>
      </c>
      <c r="AC170" s="68">
        <f t="shared" si="403"/>
        <v>5.8780000000000019</v>
      </c>
      <c r="AD170" s="68">
        <f t="shared" si="403"/>
        <v>1.9090000000000007</v>
      </c>
      <c r="AE170" s="68">
        <f t="shared" si="403"/>
        <v>0</v>
      </c>
      <c r="AF170" s="68">
        <f t="shared" si="403"/>
        <v>-0.61599999999999999</v>
      </c>
      <c r="AG170" s="68">
        <f t="shared" si="403"/>
        <v>0.61599999999999999</v>
      </c>
      <c r="AH170" s="68">
        <f t="shared" si="403"/>
        <v>5.5460000000000003</v>
      </c>
      <c r="AI170" s="68">
        <f t="shared" si="403"/>
        <v>0</v>
      </c>
      <c r="AJ170" s="68">
        <f t="shared" si="403"/>
        <v>0</v>
      </c>
      <c r="AK170" s="68">
        <f t="shared" si="403"/>
        <v>268.13799999999998</v>
      </c>
      <c r="AL170" s="68">
        <f t="shared" si="403"/>
        <v>5.1779999999999973</v>
      </c>
      <c r="AM170" s="68">
        <f t="shared" si="403"/>
        <v>21.62</v>
      </c>
      <c r="AN170" s="68">
        <f t="shared" si="403"/>
        <v>-21.62</v>
      </c>
      <c r="AO170" s="68">
        <f t="shared" si="403"/>
        <v>42.78</v>
      </c>
      <c r="AP170" s="68">
        <f t="shared" si="403"/>
        <v>21.230000000000008</v>
      </c>
      <c r="AQ170" s="68">
        <f t="shared" si="403"/>
        <v>0</v>
      </c>
      <c r="AR170" s="68">
        <f t="shared" si="403"/>
        <v>0</v>
      </c>
      <c r="AS170" s="68">
        <f t="shared" si="403"/>
        <v>10.26</v>
      </c>
      <c r="AT170" s="68">
        <f t="shared" si="403"/>
        <v>0</v>
      </c>
      <c r="AU170" s="68">
        <f t="shared" si="403"/>
        <v>0</v>
      </c>
      <c r="AV170" s="58"/>
      <c r="AW170"/>
      <c r="AX170"/>
    </row>
    <row r="171" spans="2:50" s="5" customFormat="1" ht="13.5" customHeight="1">
      <c r="B171" s="1" t="str">
        <f t="shared" ref="B171:M171" si="404">+B67</f>
        <v xml:space="preserve">Dividends Paid </v>
      </c>
      <c r="C171" s="68">
        <f t="shared" si="404"/>
        <v>-687.721</v>
      </c>
      <c r="D171" s="68">
        <f t="shared" si="404"/>
        <v>-717.90499999999997</v>
      </c>
      <c r="E171" s="68">
        <f t="shared" si="404"/>
        <v>-747.846</v>
      </c>
      <c r="F171" s="68">
        <f t="shared" si="404"/>
        <v>-849.96900000000005</v>
      </c>
      <c r="G171" s="68">
        <f t="shared" si="404"/>
        <v>-847.89599999999996</v>
      </c>
      <c r="H171" s="68">
        <f t="shared" si="404"/>
        <v>-978.18700000000001</v>
      </c>
      <c r="I171" s="68">
        <f t="shared" si="404"/>
        <v>-979.56600000000003</v>
      </c>
      <c r="J171" s="68">
        <f t="shared" si="404"/>
        <v>-980.57600000000002</v>
      </c>
      <c r="K171" s="68">
        <f t="shared" si="404"/>
        <v>-986.875</v>
      </c>
      <c r="L171" s="68">
        <f t="shared" si="404"/>
        <v>-985.50599999999997</v>
      </c>
      <c r="M171" s="68">
        <f t="shared" si="404"/>
        <v>-985.50599999999997</v>
      </c>
      <c r="N171" s="58"/>
      <c r="O171" s="68">
        <f t="shared" ref="O171:AU171" si="405">+O67</f>
        <v>0</v>
      </c>
      <c r="P171" s="68">
        <f t="shared" si="405"/>
        <v>-745.13800000000003</v>
      </c>
      <c r="Q171" s="68">
        <f t="shared" si="405"/>
        <v>-0.26499999999998636</v>
      </c>
      <c r="R171" s="68">
        <f t="shared" si="405"/>
        <v>-2.4429999999999836</v>
      </c>
      <c r="S171" s="68">
        <f t="shared" si="405"/>
        <v>0</v>
      </c>
      <c r="T171" s="68">
        <f t="shared" si="405"/>
        <v>-846.96199999999999</v>
      </c>
      <c r="U171" s="68">
        <f t="shared" si="405"/>
        <v>-3.0000000000427463E-3</v>
      </c>
      <c r="V171" s="68">
        <f t="shared" si="405"/>
        <v>-3.0040000000000191</v>
      </c>
      <c r="W171" s="68">
        <f t="shared" si="405"/>
        <v>0</v>
      </c>
      <c r="X171" s="68">
        <f t="shared" si="405"/>
        <v>-847.875</v>
      </c>
      <c r="Y171" s="68">
        <f t="shared" si="405"/>
        <v>-8.0000000000381988E-3</v>
      </c>
      <c r="Z171" s="68">
        <f t="shared" si="405"/>
        <v>-1.2999999999919964E-2</v>
      </c>
      <c r="AA171" s="68">
        <f t="shared" si="405"/>
        <v>0</v>
      </c>
      <c r="AB171" s="68">
        <f t="shared" si="405"/>
        <v>-978.14700000000005</v>
      </c>
      <c r="AC171" s="68">
        <f t="shared" si="405"/>
        <v>-2.4000000000000909E-2</v>
      </c>
      <c r="AD171" s="68">
        <f t="shared" si="405"/>
        <v>-1.5999999999962711E-2</v>
      </c>
      <c r="AE171" s="68">
        <f t="shared" si="405"/>
        <v>0</v>
      </c>
      <c r="AF171" s="68">
        <f t="shared" si="405"/>
        <v>-979.56399999999996</v>
      </c>
      <c r="AG171" s="68">
        <f t="shared" si="405"/>
        <v>-2.0000000000663931E-3</v>
      </c>
      <c r="AH171" s="68">
        <f t="shared" si="405"/>
        <v>0</v>
      </c>
      <c r="AI171" s="68">
        <f t="shared" si="405"/>
        <v>0</v>
      </c>
      <c r="AJ171" s="68">
        <f t="shared" si="405"/>
        <v>-980.57600000000002</v>
      </c>
      <c r="AK171" s="68">
        <f t="shared" si="405"/>
        <v>0</v>
      </c>
      <c r="AL171" s="68">
        <f t="shared" si="405"/>
        <v>0</v>
      </c>
      <c r="AM171" s="68">
        <f t="shared" si="405"/>
        <v>0</v>
      </c>
      <c r="AN171" s="68">
        <f t="shared" si="405"/>
        <v>-986.86400000000003</v>
      </c>
      <c r="AO171" s="68">
        <f t="shared" si="405"/>
        <v>0</v>
      </c>
      <c r="AP171" s="68">
        <f t="shared" si="405"/>
        <v>-1.0999999999967258E-2</v>
      </c>
      <c r="AQ171" s="68">
        <f t="shared" si="405"/>
        <v>0</v>
      </c>
      <c r="AR171" s="68">
        <f t="shared" si="405"/>
        <v>-985.44600000000003</v>
      </c>
      <c r="AS171" s="68">
        <f t="shared" si="405"/>
        <v>-5.7999999999992724E-2</v>
      </c>
      <c r="AT171" s="68">
        <f t="shared" si="405"/>
        <v>-1.9999999999527063E-3</v>
      </c>
      <c r="AU171" s="68">
        <f t="shared" si="405"/>
        <v>0</v>
      </c>
      <c r="AV171" s="58"/>
      <c r="AW171"/>
      <c r="AX171"/>
    </row>
    <row r="172" spans="2:50" ht="13.5" customHeight="1">
      <c r="B172" s="1" t="str">
        <f t="shared" ref="B172:M172" si="406">+B68</f>
        <v>Change in debt</v>
      </c>
      <c r="C172" s="65">
        <f t="shared" si="406"/>
        <v>351.84699999999998</v>
      </c>
      <c r="D172" s="65">
        <f t="shared" si="406"/>
        <v>1105.0309999999999</v>
      </c>
      <c r="E172" s="65">
        <f t="shared" si="406"/>
        <v>-695.94299999999953</v>
      </c>
      <c r="F172" s="65">
        <f t="shared" si="406"/>
        <v>-906.84799999999996</v>
      </c>
      <c r="G172" s="65">
        <f t="shared" si="406"/>
        <v>-1893.9399999999996</v>
      </c>
      <c r="H172" s="65">
        <f t="shared" si="406"/>
        <v>-1570.780999999999</v>
      </c>
      <c r="I172" s="65">
        <f t="shared" si="406"/>
        <v>-199.82500000000019</v>
      </c>
      <c r="J172" s="65">
        <f t="shared" si="406"/>
        <v>2348.3790000000004</v>
      </c>
      <c r="K172" s="65">
        <f t="shared" si="406"/>
        <v>-1936.2910000000011</v>
      </c>
      <c r="L172" s="65">
        <f t="shared" si="406"/>
        <v>2159.7979999999993</v>
      </c>
      <c r="M172" s="65">
        <f t="shared" si="406"/>
        <v>2906.3489999999993</v>
      </c>
      <c r="N172" s="58"/>
      <c r="O172" s="65">
        <f t="shared" ref="O172:AU172" si="407">+O68</f>
        <v>-638.61700000000008</v>
      </c>
      <c r="P172" s="65">
        <f t="shared" si="407"/>
        <v>-299.1579999999999</v>
      </c>
      <c r="Q172" s="65">
        <f t="shared" si="407"/>
        <v>162.76900000000023</v>
      </c>
      <c r="R172" s="65">
        <f t="shared" si="407"/>
        <v>79.063000000000216</v>
      </c>
      <c r="S172" s="65">
        <f t="shared" si="407"/>
        <v>-685.93799999999999</v>
      </c>
      <c r="T172" s="65">
        <f t="shared" si="407"/>
        <v>302.49499999999983</v>
      </c>
      <c r="U172" s="65">
        <f t="shared" si="407"/>
        <v>231.40699999999964</v>
      </c>
      <c r="V172" s="65">
        <f t="shared" si="407"/>
        <v>-754.81199999999956</v>
      </c>
      <c r="W172" s="65">
        <f t="shared" si="407"/>
        <v>-464.85900000000015</v>
      </c>
      <c r="X172" s="65">
        <f t="shared" si="407"/>
        <v>118.81800000000015</v>
      </c>
      <c r="Y172" s="65">
        <f t="shared" si="407"/>
        <v>-289.30400000000009</v>
      </c>
      <c r="Z172" s="65">
        <f t="shared" si="407"/>
        <v>-1258.5949999999996</v>
      </c>
      <c r="AA172" s="65">
        <f t="shared" si="407"/>
        <v>-444.90600000000006</v>
      </c>
      <c r="AB172" s="65">
        <f t="shared" si="407"/>
        <v>263.74499999999978</v>
      </c>
      <c r="AC172" s="65">
        <f t="shared" si="407"/>
        <v>-736.5079999999997</v>
      </c>
      <c r="AD172" s="65">
        <f t="shared" si="407"/>
        <v>-653.11199999999906</v>
      </c>
      <c r="AE172" s="65">
        <f t="shared" si="407"/>
        <v>249.77799999999991</v>
      </c>
      <c r="AF172" s="65">
        <f t="shared" si="407"/>
        <v>845.18299999999942</v>
      </c>
      <c r="AG172" s="65">
        <f t="shared" si="407"/>
        <v>-891.14600000000007</v>
      </c>
      <c r="AH172" s="65">
        <f t="shared" si="407"/>
        <v>-403.63999999999942</v>
      </c>
      <c r="AI172" s="65">
        <f t="shared" si="407"/>
        <v>23.411999999999956</v>
      </c>
      <c r="AJ172" s="65">
        <f t="shared" si="407"/>
        <v>527.84299999999985</v>
      </c>
      <c r="AK172" s="65">
        <f t="shared" si="407"/>
        <v>2043.318</v>
      </c>
      <c r="AL172" s="65">
        <f t="shared" si="407"/>
        <v>-246.19399999999942</v>
      </c>
      <c r="AM172" s="65">
        <f t="shared" si="407"/>
        <v>-2432.8379999999997</v>
      </c>
      <c r="AN172" s="65">
        <f t="shared" si="407"/>
        <v>636.54299999999989</v>
      </c>
      <c r="AO172" s="65">
        <f t="shared" si="407"/>
        <v>-488.71799999999985</v>
      </c>
      <c r="AP172" s="65">
        <f t="shared" si="407"/>
        <v>348.72199999999884</v>
      </c>
      <c r="AQ172" s="65">
        <f t="shared" si="407"/>
        <v>351.83600000000007</v>
      </c>
      <c r="AR172" s="65">
        <f t="shared" si="407"/>
        <v>668.94299999999816</v>
      </c>
      <c r="AS172" s="65">
        <f t="shared" si="407"/>
        <v>1368.8930000000032</v>
      </c>
      <c r="AT172" s="65">
        <f t="shared" si="407"/>
        <v>-229.87400000000213</v>
      </c>
      <c r="AU172" s="65">
        <f t="shared" si="407"/>
        <v>1098.3870000000002</v>
      </c>
      <c r="AV172" s="58"/>
      <c r="AW172"/>
      <c r="AX172"/>
    </row>
    <row r="173" spans="2:50" ht="13.5" customHeight="1" thickBot="1">
      <c r="B173" s="43" t="str">
        <f t="shared" ref="B173:M173" si="408">+B69</f>
        <v>Other financing activities</v>
      </c>
      <c r="C173" s="66">
        <f t="shared" si="408"/>
        <v>27.543000000000006</v>
      </c>
      <c r="D173" s="66">
        <f t="shared" si="408"/>
        <v>-85.978999999999999</v>
      </c>
      <c r="E173" s="66">
        <f t="shared" si="408"/>
        <v>51.081999999999979</v>
      </c>
      <c r="F173" s="66">
        <f t="shared" si="408"/>
        <v>30.465999999999998</v>
      </c>
      <c r="G173" s="66">
        <f t="shared" si="408"/>
        <v>-29.655999999999999</v>
      </c>
      <c r="H173" s="66">
        <f t="shared" si="408"/>
        <v>-161.494</v>
      </c>
      <c r="I173" s="66">
        <f t="shared" si="408"/>
        <v>-255.48100000000002</v>
      </c>
      <c r="J173" s="66">
        <f t="shared" si="408"/>
        <v>-260.77500000000003</v>
      </c>
      <c r="K173" s="66">
        <f t="shared" si="408"/>
        <v>-35.128</v>
      </c>
      <c r="L173" s="66">
        <f t="shared" si="408"/>
        <v>-8.0350000000000001</v>
      </c>
      <c r="M173" s="66">
        <f t="shared" si="408"/>
        <v>-8.1580000000000013</v>
      </c>
      <c r="N173" s="58"/>
      <c r="O173" s="66">
        <f t="shared" ref="O173:AU173" si="409">+O69</f>
        <v>54.522999999999996</v>
      </c>
      <c r="P173" s="66">
        <f t="shared" si="409"/>
        <v>-14.984999999999999</v>
      </c>
      <c r="Q173" s="66">
        <f t="shared" si="409"/>
        <v>6.6349999999999909</v>
      </c>
      <c r="R173" s="66">
        <f t="shared" si="409"/>
        <v>4.9089999999999918</v>
      </c>
      <c r="S173" s="66">
        <f t="shared" si="409"/>
        <v>36.024000000000001</v>
      </c>
      <c r="T173" s="66">
        <f t="shared" si="409"/>
        <v>4.355000000000004</v>
      </c>
      <c r="U173" s="66">
        <f t="shared" si="409"/>
        <v>-9.9130000000000074</v>
      </c>
      <c r="V173" s="66">
        <f t="shared" si="409"/>
        <v>0</v>
      </c>
      <c r="W173" s="66">
        <f t="shared" si="409"/>
        <v>0</v>
      </c>
      <c r="X173" s="66">
        <f t="shared" si="409"/>
        <v>-6.6280000000000001</v>
      </c>
      <c r="Y173" s="66">
        <f t="shared" si="409"/>
        <v>-21.867000000000001</v>
      </c>
      <c r="Z173" s="66">
        <f t="shared" si="409"/>
        <v>-1.1609999999999978</v>
      </c>
      <c r="AA173" s="66">
        <f t="shared" si="409"/>
        <v>0</v>
      </c>
      <c r="AB173" s="66">
        <f t="shared" si="409"/>
        <v>-5.1849999999999996</v>
      </c>
      <c r="AC173" s="66">
        <f t="shared" si="409"/>
        <v>-6.4069999999999991</v>
      </c>
      <c r="AD173" s="66">
        <f t="shared" si="409"/>
        <v>-149.90199999999999</v>
      </c>
      <c r="AE173" s="66">
        <f t="shared" si="409"/>
        <v>-250</v>
      </c>
      <c r="AF173" s="66">
        <f t="shared" si="409"/>
        <v>-6.8809999999999718</v>
      </c>
      <c r="AG173" s="66">
        <f t="shared" si="409"/>
        <v>-2.2450000000000614</v>
      </c>
      <c r="AH173" s="66">
        <f t="shared" si="409"/>
        <v>3.6450000000000102</v>
      </c>
      <c r="AI173" s="66">
        <f t="shared" si="409"/>
        <v>-255</v>
      </c>
      <c r="AJ173" s="66">
        <f t="shared" si="409"/>
        <v>65.787000000000006</v>
      </c>
      <c r="AK173" s="66">
        <f t="shared" si="409"/>
        <v>-74.418000000000006</v>
      </c>
      <c r="AL173" s="66">
        <f t="shared" si="409"/>
        <v>2.8559999999999661</v>
      </c>
      <c r="AM173" s="66">
        <f t="shared" si="409"/>
        <v>0</v>
      </c>
      <c r="AN173" s="66">
        <f t="shared" si="409"/>
        <v>15.414999999999999</v>
      </c>
      <c r="AO173" s="66">
        <f t="shared" si="409"/>
        <v>-24.608999999999998</v>
      </c>
      <c r="AP173" s="66">
        <f t="shared" si="409"/>
        <v>-25.934000000000001</v>
      </c>
      <c r="AQ173" s="66">
        <f t="shared" si="409"/>
        <v>-1.095</v>
      </c>
      <c r="AR173" s="66">
        <f t="shared" si="409"/>
        <v>3.9649999999999999</v>
      </c>
      <c r="AS173" s="66">
        <f t="shared" si="409"/>
        <v>-13.813999999999998</v>
      </c>
      <c r="AT173" s="66">
        <f t="shared" si="409"/>
        <v>2.908999999999998</v>
      </c>
      <c r="AU173" s="66">
        <f t="shared" si="409"/>
        <v>-1.218</v>
      </c>
      <c r="AV173" s="58"/>
      <c r="AW173"/>
      <c r="AX173"/>
    </row>
    <row r="174" spans="2:50" ht="13.5" customHeight="1" thickTop="1" thickBot="1">
      <c r="B174" s="54" t="str">
        <f t="shared" ref="B174:M174" si="410">+B70</f>
        <v>Cash flow after financing activities</v>
      </c>
      <c r="C174" s="67">
        <f t="shared" si="410"/>
        <v>-2020.4900000000002</v>
      </c>
      <c r="D174" s="67">
        <f t="shared" si="410"/>
        <v>170.85199999999969</v>
      </c>
      <c r="E174" s="67">
        <f t="shared" si="410"/>
        <v>-1637.7659999999996</v>
      </c>
      <c r="F174" s="67">
        <f t="shared" si="410"/>
        <v>-1460.077</v>
      </c>
      <c r="G174" s="67">
        <f t="shared" si="410"/>
        <v>-787.17099999999959</v>
      </c>
      <c r="H174" s="67">
        <f t="shared" si="410"/>
        <v>-768.31299999999919</v>
      </c>
      <c r="I174" s="67">
        <f t="shared" si="410"/>
        <v>-1166.5008200000004</v>
      </c>
      <c r="J174" s="67">
        <f t="shared" si="410"/>
        <v>-804.47544999999991</v>
      </c>
      <c r="K174" s="67">
        <f t="shared" si="410"/>
        <v>-1362.5453600000014</v>
      </c>
      <c r="L174" s="67">
        <f t="shared" si="410"/>
        <v>-1001.5392800000001</v>
      </c>
      <c r="M174" s="67">
        <f t="shared" si="410"/>
        <v>115.02958000000116</v>
      </c>
      <c r="N174" s="59"/>
      <c r="O174" s="67">
        <f t="shared" ref="O174:AU174" si="411">+O70</f>
        <v>-873.07300000000021</v>
      </c>
      <c r="P174" s="67">
        <f t="shared" si="411"/>
        <v>-998.57599999999991</v>
      </c>
      <c r="Q174" s="67">
        <f t="shared" si="411"/>
        <v>-213.46299999999974</v>
      </c>
      <c r="R174" s="67">
        <f t="shared" si="411"/>
        <v>447.3460000000004</v>
      </c>
      <c r="S174" s="67">
        <f t="shared" si="411"/>
        <v>-809.7</v>
      </c>
      <c r="T174" s="67">
        <f t="shared" si="411"/>
        <v>-218.53199999999998</v>
      </c>
      <c r="U174" s="67">
        <f t="shared" si="411"/>
        <v>433.8549999999999</v>
      </c>
      <c r="V174" s="67">
        <f t="shared" si="411"/>
        <v>-865.6999999999997</v>
      </c>
      <c r="W174" s="67">
        <f t="shared" si="411"/>
        <v>-350.92500000000018</v>
      </c>
      <c r="X174" s="67">
        <f t="shared" si="411"/>
        <v>83.785000000000295</v>
      </c>
      <c r="Y174" s="67">
        <f t="shared" si="411"/>
        <v>205.23599999999985</v>
      </c>
      <c r="Z174" s="67">
        <f t="shared" si="411"/>
        <v>-725.26699999999948</v>
      </c>
      <c r="AA174" s="67">
        <f t="shared" si="411"/>
        <v>-153.95300000000015</v>
      </c>
      <c r="AB174" s="67">
        <f t="shared" si="411"/>
        <v>13.338999999999661</v>
      </c>
      <c r="AC174" s="67">
        <f t="shared" si="411"/>
        <v>-368.58699999999999</v>
      </c>
      <c r="AD174" s="67">
        <f t="shared" si="411"/>
        <v>-259.11199999999866</v>
      </c>
      <c r="AE174" s="67">
        <f t="shared" si="411"/>
        <v>-333.67600000000004</v>
      </c>
      <c r="AF174" s="67">
        <f t="shared" si="411"/>
        <v>-121.41000000000065</v>
      </c>
      <c r="AG174" s="67">
        <f t="shared" si="411"/>
        <v>-386.87000000000006</v>
      </c>
      <c r="AH174" s="67">
        <f t="shared" si="411"/>
        <v>-324.54481999999973</v>
      </c>
      <c r="AI174" s="67">
        <f t="shared" si="411"/>
        <v>-326.43099999999981</v>
      </c>
      <c r="AJ174" s="67">
        <f t="shared" si="411"/>
        <v>117.9159999999998</v>
      </c>
      <c r="AK174" s="67">
        <f t="shared" si="411"/>
        <v>-495.42899999999975</v>
      </c>
      <c r="AL174" s="67">
        <f t="shared" si="411"/>
        <v>-100.53145000000021</v>
      </c>
      <c r="AM174" s="67">
        <f t="shared" si="411"/>
        <v>-467.39054999999939</v>
      </c>
      <c r="AN174" s="67">
        <f t="shared" si="411"/>
        <v>-113.70899999999992</v>
      </c>
      <c r="AO174" s="67">
        <f t="shared" si="411"/>
        <v>-598.74300000000062</v>
      </c>
      <c r="AP174" s="67">
        <f t="shared" si="411"/>
        <v>-182.70281000000082</v>
      </c>
      <c r="AQ174" s="67">
        <f t="shared" si="411"/>
        <v>-306.72518999999926</v>
      </c>
      <c r="AR174" s="67">
        <f t="shared" si="411"/>
        <v>-381.83300000000116</v>
      </c>
      <c r="AS174" s="67">
        <f t="shared" si="411"/>
        <v>109.85800000000253</v>
      </c>
      <c r="AT174" s="67">
        <f t="shared" si="411"/>
        <v>-422.83909000000159</v>
      </c>
      <c r="AU174" s="67">
        <f t="shared" si="411"/>
        <v>809.84367000000077</v>
      </c>
      <c r="AV174" s="59"/>
      <c r="AW174"/>
      <c r="AX174"/>
    </row>
    <row r="175" spans="2:50" ht="13.5" customHeight="1" thickTop="1">
      <c r="B175" s="1" t="str">
        <f t="shared" ref="B175:M175" si="412">+B71</f>
        <v>FX impact</v>
      </c>
      <c r="C175" s="65">
        <f t="shared" si="412"/>
        <v>-30.98</v>
      </c>
      <c r="D175" s="65">
        <f t="shared" si="412"/>
        <v>9.343</v>
      </c>
      <c r="E175" s="65">
        <f t="shared" si="412"/>
        <v>9.343</v>
      </c>
      <c r="F175" s="65">
        <f t="shared" si="412"/>
        <v>6.8639999999999999</v>
      </c>
      <c r="G175" s="65">
        <f t="shared" si="412"/>
        <v>-0.311</v>
      </c>
      <c r="H175" s="65">
        <f t="shared" si="412"/>
        <v>0.40600000000000003</v>
      </c>
      <c r="I175" s="65">
        <f t="shared" si="412"/>
        <v>-14.93</v>
      </c>
      <c r="J175" s="65">
        <f t="shared" si="412"/>
        <v>-4.3109999999999999</v>
      </c>
      <c r="K175" s="65">
        <f t="shared" si="412"/>
        <v>-5.6310000000000002</v>
      </c>
      <c r="L175" s="65">
        <f t="shared" si="412"/>
        <v>2.9350000000000001</v>
      </c>
      <c r="M175" s="65">
        <f t="shared" si="412"/>
        <v>-1.5400000000000005</v>
      </c>
      <c r="N175" s="58"/>
      <c r="O175" s="65">
        <f t="shared" ref="O175:AU175" si="413">+O71</f>
        <v>-0.26500000000000001</v>
      </c>
      <c r="P175" s="65">
        <f t="shared" si="413"/>
        <v>1.3580000000000001</v>
      </c>
      <c r="Q175" s="65">
        <f t="shared" si="413"/>
        <v>4.9929999999999994</v>
      </c>
      <c r="R175" s="65">
        <f t="shared" si="413"/>
        <v>3.2570000000000006</v>
      </c>
      <c r="S175" s="65">
        <f t="shared" si="413"/>
        <v>2.4119999999999999</v>
      </c>
      <c r="T175" s="65">
        <f t="shared" si="413"/>
        <v>2.0040000000000004</v>
      </c>
      <c r="U175" s="65">
        <f t="shared" si="413"/>
        <v>1.5249999999999995</v>
      </c>
      <c r="V175" s="65">
        <f t="shared" si="413"/>
        <v>0.92300000000000004</v>
      </c>
      <c r="W175" s="65">
        <f t="shared" si="413"/>
        <v>-0.60199999999999998</v>
      </c>
      <c r="X175" s="65">
        <f t="shared" si="413"/>
        <v>0.43199999999999994</v>
      </c>
      <c r="Y175" s="65">
        <f t="shared" si="413"/>
        <v>-0.27500000000000002</v>
      </c>
      <c r="Z175" s="65">
        <f t="shared" si="413"/>
        <v>0.13400000000000006</v>
      </c>
      <c r="AA175" s="65">
        <f t="shared" si="413"/>
        <v>7.8E-2</v>
      </c>
      <c r="AB175" s="65">
        <f t="shared" si="413"/>
        <v>0.46300000000000002</v>
      </c>
      <c r="AC175" s="65">
        <f t="shared" si="413"/>
        <v>-0.33300000000000002</v>
      </c>
      <c r="AD175" s="65">
        <f t="shared" si="413"/>
        <v>0.19800000000000006</v>
      </c>
      <c r="AE175" s="65">
        <f t="shared" si="413"/>
        <v>-3.2789999999999999</v>
      </c>
      <c r="AF175" s="65">
        <f t="shared" si="413"/>
        <v>-4.6680000000000001</v>
      </c>
      <c r="AG175" s="65">
        <f t="shared" si="413"/>
        <v>-0.31599999999999984</v>
      </c>
      <c r="AH175" s="65">
        <f t="shared" si="413"/>
        <v>-6.6670000000000016</v>
      </c>
      <c r="AI175" s="65">
        <f t="shared" si="413"/>
        <v>-3.6419999999999999</v>
      </c>
      <c r="AJ175" s="65">
        <f t="shared" si="413"/>
        <v>-0.3580000000000001</v>
      </c>
      <c r="AK175" s="65">
        <f t="shared" si="413"/>
        <v>-0.31299999999999972</v>
      </c>
      <c r="AL175" s="65">
        <f t="shared" si="413"/>
        <v>1.9999999999997797E-3</v>
      </c>
      <c r="AM175" s="65">
        <f t="shared" si="413"/>
        <v>6.242</v>
      </c>
      <c r="AN175" s="65">
        <f t="shared" si="413"/>
        <v>-12.786999999999999</v>
      </c>
      <c r="AO175" s="65">
        <f t="shared" si="413"/>
        <v>0.8329999999999993</v>
      </c>
      <c r="AP175" s="65">
        <f t="shared" si="413"/>
        <v>8.0999999999999517E-2</v>
      </c>
      <c r="AQ175" s="65">
        <f t="shared" si="413"/>
        <v>-0.316</v>
      </c>
      <c r="AR175" s="65">
        <f t="shared" si="413"/>
        <v>0.97100000000000009</v>
      </c>
      <c r="AS175" s="65">
        <f t="shared" si="413"/>
        <v>-0.93900000000000006</v>
      </c>
      <c r="AT175" s="65">
        <f t="shared" si="413"/>
        <v>3.2189999999999999</v>
      </c>
      <c r="AU175" s="65">
        <f t="shared" si="413"/>
        <v>-4.7910000000000004</v>
      </c>
      <c r="AV175" s="58"/>
      <c r="AW175"/>
      <c r="AX175"/>
    </row>
    <row r="176" spans="2:50" ht="13.5" customHeight="1">
      <c r="B176" s="1" t="str">
        <f t="shared" ref="B176:M176" si="414">+B72</f>
        <v>Balancing figure</v>
      </c>
      <c r="C176" s="65">
        <f t="shared" si="414"/>
        <v>794.42100000000028</v>
      </c>
      <c r="D176" s="65">
        <f t="shared" si="414"/>
        <v>891.83700000000044</v>
      </c>
      <c r="E176" s="65">
        <f t="shared" si="414"/>
        <v>995.8919999999996</v>
      </c>
      <c r="F176" s="65">
        <f t="shared" si="414"/>
        <v>788.06700000000001</v>
      </c>
      <c r="G176" s="65">
        <f t="shared" si="414"/>
        <v>815.04499999999962</v>
      </c>
      <c r="H176" s="65">
        <f t="shared" si="414"/>
        <v>845.30999999999915</v>
      </c>
      <c r="I176" s="65">
        <f t="shared" si="414"/>
        <v>1147.4338200000004</v>
      </c>
      <c r="J176" s="65">
        <f t="shared" si="414"/>
        <v>928.2064499999999</v>
      </c>
      <c r="K176" s="65">
        <f t="shared" si="414"/>
        <v>1230.0543600000015</v>
      </c>
      <c r="L176" s="65">
        <f t="shared" si="414"/>
        <v>993.42928000000006</v>
      </c>
      <c r="M176" s="65">
        <f t="shared" si="414"/>
        <v>940.49142000000018</v>
      </c>
      <c r="N176" s="58"/>
      <c r="O176" s="65">
        <f t="shared" ref="O176:AU176" si="415">+O72</f>
        <v>243.2270000000002</v>
      </c>
      <c r="P176" s="65">
        <f t="shared" si="415"/>
        <v>210.21600000000001</v>
      </c>
      <c r="Q176" s="65">
        <f t="shared" si="415"/>
        <v>237.93299999999942</v>
      </c>
      <c r="R176" s="65">
        <f t="shared" si="415"/>
        <v>304.51599999999996</v>
      </c>
      <c r="S176" s="65">
        <f t="shared" si="415"/>
        <v>199.59700000000009</v>
      </c>
      <c r="T176" s="65">
        <f t="shared" si="415"/>
        <v>140.82899999999995</v>
      </c>
      <c r="U176" s="65">
        <f t="shared" si="415"/>
        <v>245.75600000000009</v>
      </c>
      <c r="V176" s="65">
        <f t="shared" si="415"/>
        <v>201.88499999999988</v>
      </c>
      <c r="W176" s="65">
        <f t="shared" si="415"/>
        <v>158.14000000000019</v>
      </c>
      <c r="X176" s="65">
        <f t="shared" si="415"/>
        <v>203.57299999999969</v>
      </c>
      <c r="Y176" s="65">
        <f t="shared" si="415"/>
        <v>204.58400000000017</v>
      </c>
      <c r="Z176" s="65">
        <f t="shared" si="415"/>
        <v>248.74799999999956</v>
      </c>
      <c r="AA176" s="65">
        <f t="shared" si="415"/>
        <v>191.56600000000014</v>
      </c>
      <c r="AB176" s="65">
        <f t="shared" si="415"/>
        <v>77.376000000000346</v>
      </c>
      <c r="AC176" s="65">
        <f t="shared" si="415"/>
        <v>384.16600000000005</v>
      </c>
      <c r="AD176" s="65">
        <f t="shared" si="415"/>
        <v>192.20199999999863</v>
      </c>
      <c r="AE176" s="65">
        <f t="shared" si="415"/>
        <v>221.53900000000004</v>
      </c>
      <c r="AF176" s="65">
        <f t="shared" si="415"/>
        <v>139.46700000000067</v>
      </c>
      <c r="AG176" s="65">
        <f t="shared" si="415"/>
        <v>433.47500000000002</v>
      </c>
      <c r="AH176" s="65">
        <f t="shared" si="415"/>
        <v>352.95281999999969</v>
      </c>
      <c r="AI176" s="65">
        <f t="shared" si="415"/>
        <v>237.9219999999998</v>
      </c>
      <c r="AJ176" s="65">
        <f t="shared" si="415"/>
        <v>210.61100000000022</v>
      </c>
      <c r="AK176" s="65">
        <f t="shared" si="415"/>
        <v>215.77199999999974</v>
      </c>
      <c r="AL176" s="65">
        <f t="shared" si="415"/>
        <v>263.90145000000018</v>
      </c>
      <c r="AM176" s="65">
        <f t="shared" si="415"/>
        <v>338.37154999999939</v>
      </c>
      <c r="AN176" s="65">
        <f t="shared" si="415"/>
        <v>320.30199999999991</v>
      </c>
      <c r="AO176" s="65">
        <f t="shared" si="415"/>
        <v>235.50100000000063</v>
      </c>
      <c r="AP176" s="65">
        <f t="shared" si="415"/>
        <v>335.8798100000015</v>
      </c>
      <c r="AQ176" s="65">
        <f t="shared" si="415"/>
        <v>345.19518999999923</v>
      </c>
      <c r="AR176" s="65">
        <f t="shared" si="415"/>
        <v>273.21900000000119</v>
      </c>
      <c r="AS176" s="65">
        <f t="shared" si="415"/>
        <v>105.90999999999747</v>
      </c>
      <c r="AT176" s="65">
        <f t="shared" si="415"/>
        <v>269.10509000000218</v>
      </c>
      <c r="AU176" s="65">
        <f t="shared" si="415"/>
        <v>292.25732999999934</v>
      </c>
      <c r="AV176" s="58"/>
      <c r="AW176"/>
      <c r="AX176"/>
    </row>
    <row r="177" spans="2:50" s="5" customFormat="1" ht="13.5" customHeight="1" thickBot="1">
      <c r="B177" s="48" t="str">
        <f t="shared" ref="B177:M177" si="416">+B73</f>
        <v xml:space="preserve">Net change in cash </v>
      </c>
      <c r="C177" s="67">
        <f t="shared" si="416"/>
        <v>-1257.049</v>
      </c>
      <c r="D177" s="67">
        <f t="shared" si="416"/>
        <v>1072.0320000000002</v>
      </c>
      <c r="E177" s="67">
        <f t="shared" si="416"/>
        <v>-632.53099999999995</v>
      </c>
      <c r="F177" s="67">
        <f t="shared" si="416"/>
        <v>-665.14599999999996</v>
      </c>
      <c r="G177" s="67">
        <f t="shared" si="416"/>
        <v>27.562999999999988</v>
      </c>
      <c r="H177" s="67">
        <f t="shared" si="416"/>
        <v>77.402999999999906</v>
      </c>
      <c r="I177" s="67">
        <f t="shared" si="416"/>
        <v>-33.997000000000071</v>
      </c>
      <c r="J177" s="67">
        <f t="shared" si="416"/>
        <v>119.41999999999996</v>
      </c>
      <c r="K177" s="67">
        <f t="shared" si="416"/>
        <v>-138.12200000000007</v>
      </c>
      <c r="L177" s="67">
        <f t="shared" si="416"/>
        <v>-5.1750000000000682</v>
      </c>
      <c r="M177" s="67">
        <f t="shared" si="416"/>
        <v>1053.9810000000014</v>
      </c>
      <c r="N177" s="59"/>
      <c r="O177" s="67">
        <f t="shared" ref="O177:AU177" si="417">+O73</f>
        <v>-630.11099999999999</v>
      </c>
      <c r="P177" s="67">
        <f t="shared" si="417"/>
        <v>-787.00199999999995</v>
      </c>
      <c r="Q177" s="67">
        <f t="shared" si="417"/>
        <v>29.462999999999681</v>
      </c>
      <c r="R177" s="67">
        <f t="shared" si="417"/>
        <v>755.11900000000037</v>
      </c>
      <c r="S177" s="67">
        <f t="shared" si="417"/>
        <v>-607.69099999999992</v>
      </c>
      <c r="T177" s="67">
        <f t="shared" si="417"/>
        <v>-75.699000000000041</v>
      </c>
      <c r="U177" s="67">
        <f t="shared" si="417"/>
        <v>681.13599999999997</v>
      </c>
      <c r="V177" s="67">
        <f t="shared" si="417"/>
        <v>-662.89199999999983</v>
      </c>
      <c r="W177" s="67">
        <f t="shared" si="417"/>
        <v>-193.38699999999997</v>
      </c>
      <c r="X177" s="67">
        <f t="shared" si="417"/>
        <v>287.78999999999996</v>
      </c>
      <c r="Y177" s="67">
        <f t="shared" si="417"/>
        <v>409.54500000000002</v>
      </c>
      <c r="Z177" s="67">
        <f t="shared" si="417"/>
        <v>-476.38499999999988</v>
      </c>
      <c r="AA177" s="67">
        <f t="shared" si="417"/>
        <v>37.691000000000003</v>
      </c>
      <c r="AB177" s="67">
        <f t="shared" si="417"/>
        <v>91.178000000000011</v>
      </c>
      <c r="AC177" s="67">
        <f t="shared" si="417"/>
        <v>15.246000000000038</v>
      </c>
      <c r="AD177" s="67">
        <f t="shared" si="417"/>
        <v>-66.712000000000046</v>
      </c>
      <c r="AE177" s="67">
        <f t="shared" si="417"/>
        <v>-115.416</v>
      </c>
      <c r="AF177" s="67">
        <f t="shared" si="417"/>
        <v>13.38900000000001</v>
      </c>
      <c r="AG177" s="67">
        <f t="shared" si="417"/>
        <v>46.288999999999987</v>
      </c>
      <c r="AH177" s="67">
        <f t="shared" si="417"/>
        <v>21.740999999999929</v>
      </c>
      <c r="AI177" s="67">
        <f t="shared" si="417"/>
        <v>-92.15100000000001</v>
      </c>
      <c r="AJ177" s="67">
        <f t="shared" si="417"/>
        <v>328.16899999999998</v>
      </c>
      <c r="AK177" s="67">
        <f t="shared" si="417"/>
        <v>-279.97000000000003</v>
      </c>
      <c r="AL177" s="67">
        <f t="shared" si="417"/>
        <v>163.37199999999996</v>
      </c>
      <c r="AM177" s="67">
        <f t="shared" si="417"/>
        <v>-122.77699999999999</v>
      </c>
      <c r="AN177" s="67">
        <f t="shared" si="417"/>
        <v>193.80599999999998</v>
      </c>
      <c r="AO177" s="67">
        <f t="shared" si="417"/>
        <v>-362.40899999999999</v>
      </c>
      <c r="AP177" s="67">
        <f t="shared" si="417"/>
        <v>153.25800000000066</v>
      </c>
      <c r="AQ177" s="67">
        <f t="shared" si="417"/>
        <v>38.153999999999996</v>
      </c>
      <c r="AR177" s="67">
        <f t="shared" si="417"/>
        <v>-107.64299999999997</v>
      </c>
      <c r="AS177" s="67">
        <f t="shared" si="417"/>
        <v>214.82900000000001</v>
      </c>
      <c r="AT177" s="67">
        <f t="shared" si="417"/>
        <v>-150.51499999999942</v>
      </c>
      <c r="AU177" s="67">
        <f t="shared" si="417"/>
        <v>1097.31</v>
      </c>
      <c r="AV177" s="59"/>
      <c r="AW177"/>
      <c r="AX177"/>
    </row>
    <row r="178" spans="2:50" ht="13.5" customHeight="1" thickTop="1">
      <c r="C178" s="35"/>
      <c r="D178" s="35"/>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c r="AX178"/>
    </row>
    <row r="179" spans="2:50" ht="13.5" customHeight="1">
      <c r="B179" s="6" t="s">
        <v>278</v>
      </c>
      <c r="C179" s="86">
        <f>C107</f>
        <v>729.7</v>
      </c>
      <c r="D179" s="86">
        <f>D107</f>
        <v>1891.6969999999999</v>
      </c>
      <c r="E179" s="86">
        <f>E107</f>
        <v>1182.902</v>
      </c>
      <c r="F179" s="86">
        <f t="shared" ref="F179:M179" si="418">F109</f>
        <v>1147.5909999999999</v>
      </c>
      <c r="G179" s="86">
        <f t="shared" si="418"/>
        <v>503.51</v>
      </c>
      <c r="H179" s="86">
        <f t="shared" si="418"/>
        <v>580.91300000000001</v>
      </c>
      <c r="I179" s="86">
        <f t="shared" si="418"/>
        <v>546.91600000000005</v>
      </c>
      <c r="J179" s="86">
        <f t="shared" si="418"/>
        <v>2591.8919999999998</v>
      </c>
      <c r="K179" s="86">
        <f t="shared" si="418"/>
        <v>528.21400000000006</v>
      </c>
      <c r="L179" s="86">
        <f t="shared" si="418"/>
        <v>523.03899999999999</v>
      </c>
      <c r="M179" s="86">
        <f t="shared" si="418"/>
        <v>1620.3489999999999</v>
      </c>
      <c r="N179" s="86"/>
      <c r="O179" s="86">
        <f t="shared" ref="O179:Z179" si="419">O107</f>
        <v>1286.461</v>
      </c>
      <c r="P179" s="86">
        <f t="shared" si="419"/>
        <v>394.13799999999998</v>
      </c>
      <c r="Q179" s="86">
        <f t="shared" si="419"/>
        <v>404.83300000000003</v>
      </c>
      <c r="R179" s="86">
        <f t="shared" si="419"/>
        <v>1182.902</v>
      </c>
      <c r="S179" s="86">
        <f t="shared" si="419"/>
        <v>611.81299999999999</v>
      </c>
      <c r="T179" s="86">
        <f t="shared" si="419"/>
        <v>517.50300000000004</v>
      </c>
      <c r="U179" s="86">
        <f t="shared" si="419"/>
        <v>1181.9739999999999</v>
      </c>
      <c r="V179" s="86">
        <f t="shared" si="419"/>
        <v>557.553</v>
      </c>
      <c r="W179" s="86">
        <f t="shared" si="419"/>
        <v>376.029</v>
      </c>
      <c r="X179" s="86">
        <f t="shared" si="419"/>
        <v>591.17700000000002</v>
      </c>
      <c r="Y179" s="86">
        <f t="shared" si="419"/>
        <v>978.89499999999998</v>
      </c>
      <c r="Z179" s="86">
        <f t="shared" si="419"/>
        <v>503.51</v>
      </c>
      <c r="AA179" s="86">
        <f t="shared" ref="AA179:AU179" si="420">AA109</f>
        <v>532.58399999999995</v>
      </c>
      <c r="AB179" s="86">
        <f t="shared" si="420"/>
        <v>618.91200000000003</v>
      </c>
      <c r="AC179" s="86">
        <f t="shared" si="420"/>
        <v>572.74300000000005</v>
      </c>
      <c r="AD179" s="86">
        <f t="shared" si="420"/>
        <v>580.91300000000001</v>
      </c>
      <c r="AE179" s="86">
        <f t="shared" si="420"/>
        <v>465.49700000000001</v>
      </c>
      <c r="AF179" s="86">
        <f t="shared" si="420"/>
        <v>478.88600000000002</v>
      </c>
      <c r="AG179" s="86">
        <f t="shared" si="420"/>
        <v>525.17499999999995</v>
      </c>
      <c r="AH179" s="86">
        <f t="shared" si="420"/>
        <v>546.91600000000005</v>
      </c>
      <c r="AI179" s="86">
        <f t="shared" si="420"/>
        <v>454.76499999999999</v>
      </c>
      <c r="AJ179" s="86">
        <f t="shared" si="420"/>
        <v>782.93399999999997</v>
      </c>
      <c r="AK179" s="86">
        <f t="shared" si="420"/>
        <v>2379.2139999999999</v>
      </c>
      <c r="AL179" s="86">
        <f t="shared" si="420"/>
        <v>2591.8919999999998</v>
      </c>
      <c r="AM179" s="86">
        <f t="shared" si="420"/>
        <v>543.55899999999997</v>
      </c>
      <c r="AN179" s="86">
        <f t="shared" si="420"/>
        <v>737.36500000000001</v>
      </c>
      <c r="AO179" s="86">
        <f t="shared" si="420"/>
        <v>374.95600000000002</v>
      </c>
      <c r="AP179" s="86">
        <f t="shared" si="420"/>
        <v>528.21400000000006</v>
      </c>
      <c r="AQ179" s="86">
        <f t="shared" si="420"/>
        <v>566.36800000000005</v>
      </c>
      <c r="AR179" s="86">
        <f t="shared" si="420"/>
        <v>458.72500000000002</v>
      </c>
      <c r="AS179" s="86">
        <f t="shared" si="420"/>
        <v>673.55399999999997</v>
      </c>
      <c r="AT179" s="86">
        <f t="shared" si="420"/>
        <v>523.03899999999999</v>
      </c>
      <c r="AU179" s="86">
        <f t="shared" si="420"/>
        <v>1620.3489999999999</v>
      </c>
      <c r="AV179" s="86"/>
      <c r="AW179"/>
      <c r="AX179"/>
    </row>
    <row r="180" spans="2:50" ht="13.5" customHeight="1">
      <c r="B180" s="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c r="AU180" s="86"/>
      <c r="AV180" s="86"/>
      <c r="AW180"/>
      <c r="AX180"/>
    </row>
    <row r="181" spans="2:50" ht="13.5" customHeight="1">
      <c r="B181" s="186" t="s">
        <v>283</v>
      </c>
      <c r="C181" s="86">
        <f t="shared" ref="C181:M181" si="421">C116</f>
        <v>13478.468999999999</v>
      </c>
      <c r="D181" s="86">
        <f t="shared" si="421"/>
        <v>14881.24</v>
      </c>
      <c r="E181" s="86">
        <f t="shared" si="421"/>
        <v>14462.644</v>
      </c>
      <c r="F181" s="86">
        <f t="shared" si="421"/>
        <v>15259.12</v>
      </c>
      <c r="G181" s="86">
        <f t="shared" si="421"/>
        <v>16233.679</v>
      </c>
      <c r="H181" s="86">
        <f t="shared" si="421"/>
        <v>16618.413</v>
      </c>
      <c r="I181" s="86">
        <f t="shared" si="421"/>
        <v>16982.865000000002</v>
      </c>
      <c r="J181" s="86">
        <f t="shared" si="421"/>
        <v>17808.825000000001</v>
      </c>
      <c r="K181" s="86">
        <f t="shared" si="421"/>
        <v>18791.132000000001</v>
      </c>
      <c r="L181" s="86">
        <f t="shared" si="421"/>
        <v>20527.236000000001</v>
      </c>
      <c r="M181" s="86">
        <f t="shared" si="421"/>
        <v>21117.81</v>
      </c>
      <c r="N181" s="86"/>
      <c r="O181" s="287"/>
      <c r="P181" s="287"/>
      <c r="Q181" s="287"/>
      <c r="R181" s="86">
        <f t="shared" ref="R181:AU181" si="422">R116</f>
        <v>14462.644</v>
      </c>
      <c r="S181" s="86">
        <f t="shared" si="422"/>
        <v>14876.287</v>
      </c>
      <c r="T181" s="86">
        <f t="shared" si="422"/>
        <v>14639.370999999999</v>
      </c>
      <c r="U181" s="86">
        <f t="shared" si="422"/>
        <v>15202.181</v>
      </c>
      <c r="V181" s="86">
        <f t="shared" si="422"/>
        <v>15259.12</v>
      </c>
      <c r="W181" s="86">
        <f t="shared" si="422"/>
        <v>15321.487999999999</v>
      </c>
      <c r="X181" s="86">
        <f t="shared" si="422"/>
        <v>15160.884</v>
      </c>
      <c r="Y181" s="86">
        <f t="shared" si="422"/>
        <v>15886.263000000001</v>
      </c>
      <c r="Z181" s="86">
        <f t="shared" si="422"/>
        <v>16233.679</v>
      </c>
      <c r="AA181" s="86">
        <f t="shared" si="422"/>
        <v>16621.091</v>
      </c>
      <c r="AB181" s="86">
        <f t="shared" si="422"/>
        <v>15973.58</v>
      </c>
      <c r="AC181" s="86">
        <f t="shared" si="422"/>
        <v>16366.518</v>
      </c>
      <c r="AD181" s="86">
        <f t="shared" si="422"/>
        <v>16618.413</v>
      </c>
      <c r="AE181" s="86">
        <f t="shared" si="422"/>
        <v>16695.308000000001</v>
      </c>
      <c r="AF181" s="86">
        <f t="shared" si="422"/>
        <v>16205.227999999999</v>
      </c>
      <c r="AG181" s="86">
        <f t="shared" si="422"/>
        <v>16641.819</v>
      </c>
      <c r="AH181" s="86">
        <f t="shared" si="422"/>
        <v>16982.865000000002</v>
      </c>
      <c r="AI181" s="86">
        <f t="shared" si="422"/>
        <v>17251.499</v>
      </c>
      <c r="AJ181" s="86">
        <f t="shared" si="422"/>
        <v>16830.807000000001</v>
      </c>
      <c r="AK181" s="86">
        <f t="shared" si="422"/>
        <v>17505.706999999999</v>
      </c>
      <c r="AL181" s="86">
        <f t="shared" si="422"/>
        <v>17808.825000000001</v>
      </c>
      <c r="AM181" s="86">
        <f t="shared" si="422"/>
        <v>18349.401000000002</v>
      </c>
      <c r="AN181" s="86">
        <f t="shared" si="422"/>
        <v>17958.767</v>
      </c>
      <c r="AO181" s="86">
        <f t="shared" si="422"/>
        <v>17958.767</v>
      </c>
      <c r="AP181" s="86">
        <f t="shared" si="422"/>
        <v>18791.132000000001</v>
      </c>
      <c r="AQ181" s="86">
        <f t="shared" si="422"/>
        <v>19703.782999999999</v>
      </c>
      <c r="AR181" s="86">
        <f t="shared" si="422"/>
        <v>19364.248</v>
      </c>
      <c r="AS181" s="86">
        <f t="shared" si="422"/>
        <v>20043.786</v>
      </c>
      <c r="AT181" s="86">
        <f t="shared" si="422"/>
        <v>20527.236000000001</v>
      </c>
      <c r="AU181" s="86">
        <f t="shared" si="422"/>
        <v>21117.81</v>
      </c>
      <c r="AV181" s="86"/>
      <c r="AW181"/>
      <c r="AX181"/>
    </row>
    <row r="182" spans="2:50" ht="13.5" customHeight="1">
      <c r="B182" s="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c r="AU182" s="86"/>
      <c r="AV182" s="86"/>
      <c r="AW182"/>
      <c r="AX182"/>
    </row>
    <row r="183" spans="2:50" s="5" customFormat="1" ht="13.5" customHeight="1">
      <c r="B183" s="283" t="str">
        <f t="shared" ref="B183:M183" si="423">B111</f>
        <v>Net debt (including leases)</v>
      </c>
      <c r="C183" s="40">
        <f t="shared" si="423"/>
        <v>10883.059000000001</v>
      </c>
      <c r="D183" s="40">
        <f t="shared" si="423"/>
        <v>10910.415999999999</v>
      </c>
      <c r="E183" s="40">
        <f t="shared" si="423"/>
        <v>13242.179999999998</v>
      </c>
      <c r="F183" s="40">
        <f t="shared" si="423"/>
        <v>12386.655999999999</v>
      </c>
      <c r="G183" s="40">
        <f t="shared" si="423"/>
        <v>11174.459000000001</v>
      </c>
      <c r="H183" s="40">
        <f t="shared" si="423"/>
        <v>9642.4639999999999</v>
      </c>
      <c r="I183" s="40">
        <f t="shared" si="423"/>
        <v>9521.0769999999993</v>
      </c>
      <c r="J183" s="40">
        <f t="shared" si="423"/>
        <v>9887.1409999999996</v>
      </c>
      <c r="K183" s="40">
        <f t="shared" si="423"/>
        <v>10139.575000000003</v>
      </c>
      <c r="L183" s="40">
        <f t="shared" si="423"/>
        <v>12516.22</v>
      </c>
      <c r="M183" s="40">
        <f t="shared" si="423"/>
        <v>12517.941999999999</v>
      </c>
      <c r="N183" s="40"/>
      <c r="O183" s="40">
        <f t="shared" ref="O183:AU183" si="424">O111</f>
        <v>10924.004999999999</v>
      </c>
      <c r="P183" s="40">
        <f t="shared" si="424"/>
        <v>11421.977999999997</v>
      </c>
      <c r="Q183" s="40">
        <f t="shared" si="424"/>
        <v>13274.607999999998</v>
      </c>
      <c r="R183" s="40">
        <f t="shared" si="424"/>
        <v>12742.680999999999</v>
      </c>
      <c r="S183" s="40">
        <f t="shared" si="424"/>
        <v>12998.569000000001</v>
      </c>
      <c r="T183" s="40">
        <f t="shared" si="424"/>
        <v>13438.705</v>
      </c>
      <c r="U183" s="40">
        <f t="shared" si="424"/>
        <v>13034.993000000002</v>
      </c>
      <c r="V183" s="40">
        <f t="shared" si="424"/>
        <v>12386.655999999999</v>
      </c>
      <c r="W183" s="40">
        <f t="shared" si="424"/>
        <v>12729.969999999998</v>
      </c>
      <c r="X183" s="40">
        <f t="shared" si="424"/>
        <v>12600.732000000002</v>
      </c>
      <c r="Y183" s="40">
        <f t="shared" si="424"/>
        <v>11949.969000000001</v>
      </c>
      <c r="Z183" s="40">
        <f t="shared" si="424"/>
        <v>11174.459000000001</v>
      </c>
      <c r="AA183" s="40">
        <f t="shared" si="424"/>
        <v>10729.038999999999</v>
      </c>
      <c r="AB183" s="40">
        <f t="shared" si="424"/>
        <v>10905.362000000001</v>
      </c>
      <c r="AC183" s="40">
        <f t="shared" si="424"/>
        <v>10170.782999999998</v>
      </c>
      <c r="AD183" s="40">
        <f t="shared" si="424"/>
        <v>9642.4639999999999</v>
      </c>
      <c r="AE183" s="40">
        <f t="shared" si="424"/>
        <v>9999.5879999999997</v>
      </c>
      <c r="AF183" s="40">
        <f t="shared" si="424"/>
        <v>10749.346999999998</v>
      </c>
      <c r="AG183" s="40">
        <f t="shared" si="424"/>
        <v>10035.558000000001</v>
      </c>
      <c r="AH183" s="40">
        <f t="shared" si="424"/>
        <v>9521.0769999999993</v>
      </c>
      <c r="AI183" s="40">
        <f t="shared" si="424"/>
        <v>9613.9350000000013</v>
      </c>
      <c r="AJ183" s="40">
        <f t="shared" si="424"/>
        <v>9833.6039999999994</v>
      </c>
      <c r="AK183" s="40">
        <f t="shared" si="424"/>
        <v>10380.167000000001</v>
      </c>
      <c r="AL183" s="40">
        <f t="shared" si="424"/>
        <v>9887.1409999999996</v>
      </c>
      <c r="AM183" s="40">
        <f t="shared" si="424"/>
        <v>9573.0730000000021</v>
      </c>
      <c r="AN183" s="40">
        <f t="shared" si="424"/>
        <v>9942.5860000000011</v>
      </c>
      <c r="AO183" s="40">
        <f t="shared" si="424"/>
        <v>9913.1090000000004</v>
      </c>
      <c r="AP183" s="40">
        <f t="shared" si="424"/>
        <v>10139.575000000003</v>
      </c>
      <c r="AQ183" s="40">
        <f t="shared" si="424"/>
        <v>10488.837</v>
      </c>
      <c r="AR183" s="40">
        <f t="shared" si="424"/>
        <v>11228.357000000002</v>
      </c>
      <c r="AS183" s="40">
        <f t="shared" si="424"/>
        <v>12437.512000000001</v>
      </c>
      <c r="AT183" s="40">
        <f t="shared" si="424"/>
        <v>12516.22</v>
      </c>
      <c r="AU183" s="40">
        <f t="shared" si="424"/>
        <v>12517.941999999999</v>
      </c>
      <c r="AV183" s="40"/>
      <c r="AW183"/>
      <c r="AX183"/>
    </row>
    <row r="184" spans="2:50" ht="13.5" customHeight="1">
      <c r="B184" s="284" t="str">
        <f t="shared" ref="B184:M184" si="425">B112</f>
        <v>Gross debt (including leases)</v>
      </c>
      <c r="C184" s="86">
        <f t="shared" si="425"/>
        <v>11612.759000000002</v>
      </c>
      <c r="D184" s="86">
        <f t="shared" si="425"/>
        <v>12802.112999999999</v>
      </c>
      <c r="E184" s="86">
        <f t="shared" si="425"/>
        <v>14425.081999999999</v>
      </c>
      <c r="F184" s="86">
        <f t="shared" si="425"/>
        <v>13534.246999999999</v>
      </c>
      <c r="G184" s="86">
        <f t="shared" si="425"/>
        <v>11677.969000000001</v>
      </c>
      <c r="H184" s="86">
        <f t="shared" si="425"/>
        <v>10223.377</v>
      </c>
      <c r="I184" s="86">
        <f t="shared" si="425"/>
        <v>10067.992999999999</v>
      </c>
      <c r="J184" s="86">
        <f t="shared" si="425"/>
        <v>12479.032999999999</v>
      </c>
      <c r="K184" s="86">
        <f t="shared" si="425"/>
        <v>10667.789000000002</v>
      </c>
      <c r="L184" s="86">
        <f t="shared" si="425"/>
        <v>13039.259</v>
      </c>
      <c r="M184" s="86">
        <f t="shared" si="425"/>
        <v>14138.290999999999</v>
      </c>
      <c r="N184" s="86"/>
      <c r="O184" s="86">
        <f t="shared" ref="O184:AU184" si="426">O112</f>
        <v>12210.465999999999</v>
      </c>
      <c r="P184" s="86">
        <f t="shared" si="426"/>
        <v>11816.115999999998</v>
      </c>
      <c r="Q184" s="86">
        <f t="shared" si="426"/>
        <v>13679.440999999999</v>
      </c>
      <c r="R184" s="86">
        <f t="shared" si="426"/>
        <v>14425.081999999999</v>
      </c>
      <c r="S184" s="86">
        <f t="shared" si="426"/>
        <v>13610.382000000001</v>
      </c>
      <c r="T184" s="86">
        <f t="shared" si="426"/>
        <v>13956.208000000001</v>
      </c>
      <c r="U184" s="86">
        <f t="shared" si="426"/>
        <v>14216.967000000002</v>
      </c>
      <c r="V184" s="86">
        <f t="shared" si="426"/>
        <v>13534.246999999999</v>
      </c>
      <c r="W184" s="86">
        <f t="shared" si="426"/>
        <v>13105.998999999998</v>
      </c>
      <c r="X184" s="86">
        <f t="shared" si="426"/>
        <v>13191.909000000001</v>
      </c>
      <c r="Y184" s="86">
        <f t="shared" si="426"/>
        <v>12928.864000000001</v>
      </c>
      <c r="Z184" s="86">
        <f t="shared" si="426"/>
        <v>11677.969000000001</v>
      </c>
      <c r="AA184" s="86">
        <f t="shared" si="426"/>
        <v>11261.623</v>
      </c>
      <c r="AB184" s="86">
        <f t="shared" si="426"/>
        <v>11524.274000000001</v>
      </c>
      <c r="AC184" s="86">
        <f t="shared" si="426"/>
        <v>10743.525999999998</v>
      </c>
      <c r="AD184" s="86">
        <f t="shared" si="426"/>
        <v>10223.377</v>
      </c>
      <c r="AE184" s="86">
        <f t="shared" si="426"/>
        <v>10465.084999999999</v>
      </c>
      <c r="AF184" s="86">
        <f t="shared" si="426"/>
        <v>11228.232999999998</v>
      </c>
      <c r="AG184" s="86">
        <f t="shared" si="426"/>
        <v>10560.733</v>
      </c>
      <c r="AH184" s="86">
        <f t="shared" si="426"/>
        <v>10067.992999999999</v>
      </c>
      <c r="AI184" s="86">
        <f t="shared" si="426"/>
        <v>10068.700000000001</v>
      </c>
      <c r="AJ184" s="86">
        <f t="shared" si="426"/>
        <v>10616.537999999999</v>
      </c>
      <c r="AK184" s="86">
        <f t="shared" si="426"/>
        <v>12759.381000000001</v>
      </c>
      <c r="AL184" s="86">
        <f t="shared" si="426"/>
        <v>12479.032999999999</v>
      </c>
      <c r="AM184" s="86">
        <f t="shared" si="426"/>
        <v>10116.632000000001</v>
      </c>
      <c r="AN184" s="86">
        <f t="shared" si="426"/>
        <v>10679.951000000001</v>
      </c>
      <c r="AO184" s="86">
        <f t="shared" si="426"/>
        <v>10288.065000000001</v>
      </c>
      <c r="AP184" s="86">
        <f t="shared" si="426"/>
        <v>10667.789000000002</v>
      </c>
      <c r="AQ184" s="86">
        <f t="shared" si="426"/>
        <v>11055.205</v>
      </c>
      <c r="AR184" s="86">
        <f t="shared" si="426"/>
        <v>11687.082000000002</v>
      </c>
      <c r="AS184" s="86">
        <f t="shared" si="426"/>
        <v>13111.066000000001</v>
      </c>
      <c r="AT184" s="86">
        <f t="shared" si="426"/>
        <v>13039.259</v>
      </c>
      <c r="AU184" s="86">
        <f t="shared" si="426"/>
        <v>14138.290999999999</v>
      </c>
      <c r="AV184" s="86"/>
      <c r="AW184"/>
      <c r="AX184"/>
    </row>
    <row r="185" spans="2:50" ht="13.5" customHeight="1">
      <c r="C185" s="35"/>
      <c r="D185" s="35"/>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c r="AX185"/>
    </row>
    <row r="186" spans="2:50" s="5" customFormat="1" ht="13.5" customHeight="1">
      <c r="B186" s="5" t="s">
        <v>303</v>
      </c>
      <c r="C186" s="40">
        <f t="shared" ref="C186:M186" si="427">C114</f>
        <v>10883</v>
      </c>
      <c r="D186" s="40">
        <f t="shared" si="427"/>
        <v>10910</v>
      </c>
      <c r="E186" s="40">
        <f t="shared" si="427"/>
        <v>12743</v>
      </c>
      <c r="F186" s="40">
        <f t="shared" si="427"/>
        <v>11955</v>
      </c>
      <c r="G186" s="40">
        <f t="shared" si="427"/>
        <v>10749</v>
      </c>
      <c r="H186" s="40">
        <f t="shared" si="427"/>
        <v>9201.32</v>
      </c>
      <c r="I186" s="40">
        <f t="shared" si="427"/>
        <v>9054.2469999999994</v>
      </c>
      <c r="J186" s="40">
        <f t="shared" si="427"/>
        <v>9437</v>
      </c>
      <c r="K186" s="40">
        <f t="shared" si="427"/>
        <v>9655</v>
      </c>
      <c r="L186" s="40">
        <f t="shared" si="427"/>
        <v>11965.994000000001</v>
      </c>
      <c r="M186" s="40">
        <f t="shared" si="427"/>
        <v>11982</v>
      </c>
      <c r="N186" s="40"/>
      <c r="O186" s="40">
        <f t="shared" ref="O186:AU186" si="428">O114</f>
        <v>10924.004999999999</v>
      </c>
      <c r="P186" s="40">
        <f t="shared" si="428"/>
        <v>11421.977999999997</v>
      </c>
      <c r="Q186" s="40">
        <f t="shared" si="428"/>
        <v>13274.607999999998</v>
      </c>
      <c r="R186" s="40">
        <f t="shared" si="428"/>
        <v>12743</v>
      </c>
      <c r="S186" s="40">
        <f t="shared" si="428"/>
        <v>12618.015000000001</v>
      </c>
      <c r="T186" s="40">
        <f t="shared" si="428"/>
        <v>13024.78</v>
      </c>
      <c r="U186" s="40">
        <f t="shared" si="428"/>
        <v>12641.001000000002</v>
      </c>
      <c r="V186" s="40">
        <f t="shared" si="428"/>
        <v>11955</v>
      </c>
      <c r="W186" s="40">
        <f t="shared" si="428"/>
        <v>12306.195999999998</v>
      </c>
      <c r="X186" s="40">
        <f t="shared" si="428"/>
        <v>12156.971000000001</v>
      </c>
      <c r="Y186" s="40">
        <f t="shared" si="428"/>
        <v>11496.529</v>
      </c>
      <c r="Z186" s="40">
        <f t="shared" si="428"/>
        <v>10749</v>
      </c>
      <c r="AA186" s="40">
        <f t="shared" si="428"/>
        <v>10308.694</v>
      </c>
      <c r="AB186" s="40">
        <f t="shared" si="428"/>
        <v>10506.957</v>
      </c>
      <c r="AC186" s="40">
        <f t="shared" si="428"/>
        <v>9773.3109999999979</v>
      </c>
      <c r="AD186" s="40">
        <f t="shared" si="428"/>
        <v>9201.32</v>
      </c>
      <c r="AE186" s="40">
        <f t="shared" si="428"/>
        <v>9559.384</v>
      </c>
      <c r="AF186" s="40">
        <f t="shared" si="428"/>
        <v>10303.617999999999</v>
      </c>
      <c r="AG186" s="40">
        <f t="shared" si="428"/>
        <v>9598.9680000000008</v>
      </c>
      <c r="AH186" s="40">
        <f t="shared" si="428"/>
        <v>9054.2469999999994</v>
      </c>
      <c r="AI186" s="40">
        <f t="shared" si="428"/>
        <v>9169.77</v>
      </c>
      <c r="AJ186" s="40">
        <f t="shared" si="428"/>
        <v>9390.59</v>
      </c>
      <c r="AK186" s="40">
        <f t="shared" si="428"/>
        <v>9921.1810000000005</v>
      </c>
      <c r="AL186" s="40">
        <f t="shared" si="428"/>
        <v>9437</v>
      </c>
      <c r="AM186" s="40">
        <f t="shared" si="428"/>
        <v>9125.3010000000013</v>
      </c>
      <c r="AN186" s="40">
        <f t="shared" si="428"/>
        <v>9512.1010000000006</v>
      </c>
      <c r="AO186" s="40">
        <f t="shared" si="428"/>
        <v>9465.902</v>
      </c>
      <c r="AP186" s="40">
        <f t="shared" si="428"/>
        <v>9655</v>
      </c>
      <c r="AQ186" s="40">
        <f t="shared" si="428"/>
        <v>10015.594999999999</v>
      </c>
      <c r="AR186" s="40">
        <f t="shared" si="428"/>
        <v>10764.079000000002</v>
      </c>
      <c r="AS186" s="40">
        <f t="shared" si="428"/>
        <v>11971</v>
      </c>
      <c r="AT186" s="40">
        <f t="shared" si="428"/>
        <v>11965.994000000001</v>
      </c>
      <c r="AU186" s="40">
        <f t="shared" si="428"/>
        <v>11982</v>
      </c>
      <c r="AV186" s="40"/>
      <c r="AW186"/>
      <c r="AX186"/>
    </row>
    <row r="187" spans="2:50" ht="13.5" customHeight="1">
      <c r="C187" s="35"/>
      <c r="D187" s="35"/>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c r="AX187"/>
    </row>
    <row r="188" spans="2:50" ht="13.5" customHeight="1">
      <c r="B188" s="1" t="s">
        <v>29</v>
      </c>
      <c r="C188" s="39">
        <f t="shared" ref="C188:M188" si="429">C136</f>
        <v>3716</v>
      </c>
      <c r="D188" s="39">
        <f t="shared" si="429"/>
        <v>3919.1</v>
      </c>
      <c r="E188" s="39">
        <f t="shared" si="429"/>
        <v>4023.5</v>
      </c>
      <c r="F188" s="39">
        <f t="shared" si="429"/>
        <v>4017.9</v>
      </c>
      <c r="G188" s="39">
        <f t="shared" si="429"/>
        <v>4013.4</v>
      </c>
      <c r="H188" s="39">
        <f t="shared" si="429"/>
        <v>3492.5</v>
      </c>
      <c r="I188" s="39">
        <f t="shared" si="429"/>
        <v>3931.67418</v>
      </c>
      <c r="J188" s="39">
        <f t="shared" si="429"/>
        <v>4502.3845499999998</v>
      </c>
      <c r="K188" s="39">
        <f t="shared" si="429"/>
        <v>4615.4926399999995</v>
      </c>
      <c r="L188" s="39">
        <f t="shared" si="429"/>
        <v>4854.2727199999999</v>
      </c>
      <c r="M188" s="39">
        <f t="shared" si="429"/>
        <v>4940.7245800000001</v>
      </c>
      <c r="N188" s="39"/>
      <c r="O188" s="287"/>
      <c r="P188" s="287"/>
      <c r="Q188" s="287"/>
      <c r="R188" s="39">
        <f t="shared" ref="R188:AU188" si="430">R136</f>
        <v>4023.5</v>
      </c>
      <c r="S188" s="39">
        <f t="shared" si="430"/>
        <v>4034.4</v>
      </c>
      <c r="T188" s="39">
        <f t="shared" si="430"/>
        <v>3966.1</v>
      </c>
      <c r="U188" s="39">
        <f t="shared" si="430"/>
        <v>3953.4</v>
      </c>
      <c r="V188" s="39">
        <f t="shared" si="430"/>
        <v>4017.9</v>
      </c>
      <c r="W188" s="39">
        <f t="shared" si="430"/>
        <v>4060.3</v>
      </c>
      <c r="X188" s="39">
        <f t="shared" si="430"/>
        <v>4093.9</v>
      </c>
      <c r="Y188" s="39">
        <f t="shared" si="430"/>
        <v>4098.7000000000007</v>
      </c>
      <c r="Z188" s="39">
        <f t="shared" si="430"/>
        <v>4013.4000000000005</v>
      </c>
      <c r="AA188" s="39">
        <f t="shared" si="430"/>
        <v>4022.3999999999996</v>
      </c>
      <c r="AB188" s="39">
        <f t="shared" si="430"/>
        <v>3815.6</v>
      </c>
      <c r="AC188" s="39">
        <f t="shared" si="430"/>
        <v>3543.3</v>
      </c>
      <c r="AD188" s="39">
        <f t="shared" si="430"/>
        <v>3492.5</v>
      </c>
      <c r="AE188" s="39">
        <f t="shared" si="430"/>
        <v>3533.194</v>
      </c>
      <c r="AF188" s="39">
        <f t="shared" si="430"/>
        <v>3589.2940000000003</v>
      </c>
      <c r="AG188" s="39">
        <f t="shared" si="430"/>
        <v>3652.4949999999999</v>
      </c>
      <c r="AH188" s="39">
        <f t="shared" si="430"/>
        <v>3931.67418</v>
      </c>
      <c r="AI188" s="39">
        <f t="shared" si="430"/>
        <v>4236.0871800000004</v>
      </c>
      <c r="AJ188" s="39">
        <f t="shared" si="430"/>
        <v>4358.0871800000004</v>
      </c>
      <c r="AK188" s="39">
        <f t="shared" si="430"/>
        <v>4478.0071800000005</v>
      </c>
      <c r="AL188" s="39">
        <f t="shared" si="430"/>
        <v>4502.3845499999998</v>
      </c>
      <c r="AM188" s="39">
        <f t="shared" si="430"/>
        <v>4392.96</v>
      </c>
      <c r="AN188" s="39">
        <f t="shared" si="430"/>
        <v>4472.38</v>
      </c>
      <c r="AO188" s="39">
        <f t="shared" si="430"/>
        <v>4563.24</v>
      </c>
      <c r="AP188" s="39">
        <f t="shared" si="430"/>
        <v>4615.4926399999995</v>
      </c>
      <c r="AQ188" s="39">
        <f t="shared" si="430"/>
        <v>4683.3599999999997</v>
      </c>
      <c r="AR188" s="39">
        <f t="shared" si="430"/>
        <v>4712.84</v>
      </c>
      <c r="AS188" s="39">
        <f t="shared" si="430"/>
        <v>4788.3</v>
      </c>
      <c r="AT188" s="39">
        <f t="shared" si="430"/>
        <v>4854.2727199999999</v>
      </c>
      <c r="AU188" s="39">
        <f t="shared" si="430"/>
        <v>4940.7245800000001</v>
      </c>
      <c r="AV188" s="39"/>
      <c r="AW188"/>
      <c r="AX188"/>
    </row>
    <row r="189" spans="2:50" ht="13.5" customHeight="1">
      <c r="C189" s="35"/>
      <c r="D189" s="35"/>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c r="AX189"/>
    </row>
    <row r="190" spans="2:50" s="5" customFormat="1" ht="13.5" customHeight="1">
      <c r="B190" s="285" t="str">
        <f t="shared" ref="B190:M190" si="431">+B121</f>
        <v>Total Net Leverage (including leases)</v>
      </c>
      <c r="C190" s="36">
        <f t="shared" si="431"/>
        <v>2.9287026372443492</v>
      </c>
      <c r="D190" s="36">
        <f t="shared" si="431"/>
        <v>2.7839085504324972</v>
      </c>
      <c r="E190" s="36">
        <f t="shared" si="431"/>
        <v>3.2912091462656887</v>
      </c>
      <c r="F190" s="36">
        <f t="shared" si="431"/>
        <v>3.0828681649617957</v>
      </c>
      <c r="G190" s="36">
        <f t="shared" si="431"/>
        <v>2.7842873872527036</v>
      </c>
      <c r="H190" s="36">
        <f t="shared" si="431"/>
        <v>2.7609059413027919</v>
      </c>
      <c r="I190" s="36">
        <f t="shared" si="431"/>
        <v>2.4216342871015826</v>
      </c>
      <c r="J190" s="36">
        <f t="shared" si="431"/>
        <v>2.195978795280825</v>
      </c>
      <c r="K190" s="36">
        <f t="shared" si="431"/>
        <v>2.1968564985080343</v>
      </c>
      <c r="L190" s="36">
        <f t="shared" si="431"/>
        <v>2.5783924229127364</v>
      </c>
      <c r="M190" s="36">
        <f t="shared" si="431"/>
        <v>2.5336247340466</v>
      </c>
      <c r="N190" s="36"/>
      <c r="O190" s="287"/>
      <c r="P190" s="287"/>
      <c r="Q190" s="287"/>
      <c r="R190" s="36">
        <f t="shared" ref="R190:AU190" si="432">+R121</f>
        <v>3.1670637504660117</v>
      </c>
      <c r="S190" s="36">
        <f t="shared" si="432"/>
        <v>3.2219336208605993</v>
      </c>
      <c r="T190" s="36">
        <f t="shared" si="432"/>
        <v>3.3883928796550769</v>
      </c>
      <c r="U190" s="36">
        <f t="shared" si="432"/>
        <v>3.2971601659331213</v>
      </c>
      <c r="V190" s="36">
        <f t="shared" si="432"/>
        <v>3.0828681649617957</v>
      </c>
      <c r="W190" s="36">
        <f t="shared" si="432"/>
        <v>3.1352289239711344</v>
      </c>
      <c r="X190" s="36">
        <f t="shared" si="432"/>
        <v>3.0779286255160119</v>
      </c>
      <c r="Y190" s="36">
        <f t="shared" si="432"/>
        <v>2.9155510283748503</v>
      </c>
      <c r="Z190" s="36">
        <f t="shared" si="432"/>
        <v>2.7842873872527032</v>
      </c>
      <c r="AA190" s="36">
        <f t="shared" si="432"/>
        <v>2.6673227426412094</v>
      </c>
      <c r="AB190" s="36">
        <f t="shared" si="432"/>
        <v>2.8580988573225707</v>
      </c>
      <c r="AC190" s="36">
        <f t="shared" si="432"/>
        <v>2.8704267208534411</v>
      </c>
      <c r="AD190" s="36">
        <f t="shared" si="432"/>
        <v>2.7609059413027919</v>
      </c>
      <c r="AE190" s="36">
        <f t="shared" si="432"/>
        <v>2.8301836808281684</v>
      </c>
      <c r="AF190" s="36">
        <f t="shared" si="432"/>
        <v>2.9948360318212988</v>
      </c>
      <c r="AG190" s="36">
        <f t="shared" si="432"/>
        <v>2.7475897982064317</v>
      </c>
      <c r="AH190" s="36">
        <f t="shared" si="432"/>
        <v>2.4216342871015826</v>
      </c>
      <c r="AI190" s="36">
        <f t="shared" si="432"/>
        <v>2.2695319032598382</v>
      </c>
      <c r="AJ190" s="36">
        <f t="shared" si="432"/>
        <v>2.2564036913093597</v>
      </c>
      <c r="AK190" s="36">
        <f t="shared" si="432"/>
        <v>2.3180326834580911</v>
      </c>
      <c r="AL190" s="36">
        <f t="shared" si="432"/>
        <v>2.195978795280825</v>
      </c>
      <c r="AM190" s="36">
        <f t="shared" si="432"/>
        <v>2.1791851052593243</v>
      </c>
      <c r="AN190" s="36">
        <f t="shared" si="432"/>
        <v>2.2231085015137357</v>
      </c>
      <c r="AO190" s="36">
        <f t="shared" si="432"/>
        <v>2.1723838763685452</v>
      </c>
      <c r="AP190" s="36">
        <f t="shared" si="432"/>
        <v>2.1968564985080343</v>
      </c>
      <c r="AQ190" s="36">
        <f t="shared" si="432"/>
        <v>2.2395965716921187</v>
      </c>
      <c r="AR190" s="36">
        <f t="shared" si="432"/>
        <v>2.3825033313246369</v>
      </c>
      <c r="AS190" s="36">
        <f t="shared" si="432"/>
        <v>2.5974796900778983</v>
      </c>
      <c r="AT190" s="36">
        <f t="shared" si="432"/>
        <v>2.5783924229127364</v>
      </c>
      <c r="AU190" s="36">
        <f t="shared" si="432"/>
        <v>2.5336247340466</v>
      </c>
      <c r="AV190" s="36"/>
      <c r="AW190"/>
      <c r="AX190"/>
    </row>
    <row r="191" spans="2:50" ht="13">
      <c r="B191" s="286" t="str">
        <f t="shared" ref="B191:M191" si="433">+B122</f>
        <v>Total Gross Leverage (including leases)</v>
      </c>
      <c r="C191" s="37">
        <f t="shared" si="433"/>
        <v>3.1250696986006465</v>
      </c>
      <c r="D191" s="37">
        <f t="shared" si="433"/>
        <v>3.266595136638514</v>
      </c>
      <c r="E191" s="37">
        <f t="shared" si="433"/>
        <v>3.5852074064868891</v>
      </c>
      <c r="F191" s="37">
        <f t="shared" si="433"/>
        <v>3.3684877672415938</v>
      </c>
      <c r="G191" s="37">
        <f t="shared" si="433"/>
        <v>2.9097446055713361</v>
      </c>
      <c r="H191" s="37">
        <f t="shared" si="433"/>
        <v>2.9272375089477451</v>
      </c>
      <c r="I191" s="37">
        <f t="shared" si="433"/>
        <v>2.5607394049117262</v>
      </c>
      <c r="J191" s="37">
        <f t="shared" si="433"/>
        <v>2.7716497472433801</v>
      </c>
      <c r="K191" s="37">
        <f t="shared" si="433"/>
        <v>2.311300186582034</v>
      </c>
      <c r="L191" s="37">
        <f t="shared" si="433"/>
        <v>2.6861405924469772</v>
      </c>
      <c r="M191" s="37">
        <f t="shared" si="433"/>
        <v>2.8615825009213527</v>
      </c>
      <c r="N191" s="37"/>
      <c r="O191" s="287"/>
      <c r="P191" s="287"/>
      <c r="Q191" s="287"/>
      <c r="R191" s="37">
        <f t="shared" ref="R191:AU191" si="434">+R122</f>
        <v>3.5852074064868891</v>
      </c>
      <c r="S191" s="37">
        <f t="shared" si="434"/>
        <v>3.3735826888756697</v>
      </c>
      <c r="T191" s="37">
        <f t="shared" si="434"/>
        <v>3.5188744610574623</v>
      </c>
      <c r="U191" s="37">
        <f t="shared" si="434"/>
        <v>3.59613674305661</v>
      </c>
      <c r="V191" s="37">
        <f t="shared" si="434"/>
        <v>3.3684877672415938</v>
      </c>
      <c r="W191" s="37">
        <f t="shared" si="434"/>
        <v>3.2278400610792302</v>
      </c>
      <c r="X191" s="37">
        <f t="shared" si="434"/>
        <v>3.2223329832189358</v>
      </c>
      <c r="Y191" s="37">
        <f t="shared" si="434"/>
        <v>3.1543816332007708</v>
      </c>
      <c r="Z191" s="37">
        <f t="shared" si="434"/>
        <v>2.9097446055713361</v>
      </c>
      <c r="AA191" s="37">
        <f t="shared" si="434"/>
        <v>2.7997272772474147</v>
      </c>
      <c r="AB191" s="37">
        <f t="shared" si="434"/>
        <v>3.0203045392598811</v>
      </c>
      <c r="AC191" s="37">
        <f t="shared" si="434"/>
        <v>3.032067846357914</v>
      </c>
      <c r="AD191" s="37">
        <f t="shared" si="434"/>
        <v>2.9272375089477451</v>
      </c>
      <c r="AE191" s="37">
        <f t="shared" si="434"/>
        <v>2.9619333102003456</v>
      </c>
      <c r="AF191" s="37">
        <f t="shared" si="434"/>
        <v>3.1282566989497091</v>
      </c>
      <c r="AG191" s="37">
        <f t="shared" si="434"/>
        <v>2.8913750737509565</v>
      </c>
      <c r="AH191" s="37">
        <f t="shared" si="434"/>
        <v>2.5607394049117262</v>
      </c>
      <c r="AI191" s="37">
        <f t="shared" si="434"/>
        <v>2.3768868703972235</v>
      </c>
      <c r="AJ191" s="37">
        <f t="shared" si="434"/>
        <v>2.4360545261051887</v>
      </c>
      <c r="AK191" s="37">
        <f t="shared" si="434"/>
        <v>2.8493435778725122</v>
      </c>
      <c r="AL191" s="37">
        <f t="shared" si="434"/>
        <v>2.7716497472433801</v>
      </c>
      <c r="AM191" s="37">
        <f t="shared" si="434"/>
        <v>2.3029192162004666</v>
      </c>
      <c r="AN191" s="37">
        <f t="shared" si="434"/>
        <v>2.3879793309155306</v>
      </c>
      <c r="AO191" s="37">
        <f t="shared" si="434"/>
        <v>2.254552686249244</v>
      </c>
      <c r="AP191" s="37">
        <f t="shared" si="434"/>
        <v>2.311300186582034</v>
      </c>
      <c r="AQ191" s="37">
        <f t="shared" si="434"/>
        <v>2.3605285521505928</v>
      </c>
      <c r="AR191" s="37">
        <f t="shared" si="434"/>
        <v>2.4798384838016996</v>
      </c>
      <c r="AS191" s="37">
        <f t="shared" si="434"/>
        <v>2.7381463149760874</v>
      </c>
      <c r="AT191" s="37">
        <f t="shared" si="434"/>
        <v>2.6861405924469772</v>
      </c>
      <c r="AU191" s="37">
        <f t="shared" si="434"/>
        <v>2.8615825009213527</v>
      </c>
      <c r="AV191" s="37"/>
      <c r="AW191"/>
      <c r="AX191"/>
    </row>
    <row r="192" spans="2:50" ht="13">
      <c r="B192" s="286"/>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c r="AX192"/>
    </row>
    <row r="193" spans="2:50" ht="13">
      <c r="B193" s="285" t="str">
        <f t="shared" ref="B193:M193" si="435">+B124</f>
        <v>Total Net Leverage (excluding leases)</v>
      </c>
      <c r="C193" s="36">
        <f t="shared" si="435"/>
        <v>2.9287026372443492</v>
      </c>
      <c r="D193" s="36">
        <f t="shared" si="435"/>
        <v>2.7839085504324972</v>
      </c>
      <c r="E193" s="36">
        <f t="shared" si="435"/>
        <v>3.1670637504660117</v>
      </c>
      <c r="F193" s="36">
        <f t="shared" si="435"/>
        <v>2.9754964035939171</v>
      </c>
      <c r="G193" s="36">
        <f t="shared" si="435"/>
        <v>2.6782702945133803</v>
      </c>
      <c r="H193" s="36">
        <f t="shared" si="435"/>
        <v>2.6345941302791696</v>
      </c>
      <c r="I193" s="36">
        <f t="shared" si="435"/>
        <v>2.3028986089584866</v>
      </c>
      <c r="J193" s="36">
        <f t="shared" si="435"/>
        <v>2.0959891131467216</v>
      </c>
      <c r="K193" s="36">
        <f t="shared" si="435"/>
        <v>2.0917864577073626</v>
      </c>
      <c r="L193" s="36">
        <f t="shared" si="435"/>
        <v>2.4650436203757415</v>
      </c>
      <c r="M193" s="36">
        <f t="shared" si="435"/>
        <v>2.4250698062590645</v>
      </c>
      <c r="N193" s="37"/>
      <c r="O193" s="287"/>
      <c r="P193" s="287"/>
      <c r="Q193" s="287"/>
      <c r="R193" s="36">
        <f t="shared" ref="R193:AU193" si="436">+R124</f>
        <v>3.0429183546663352</v>
      </c>
      <c r="S193" s="36">
        <f t="shared" si="436"/>
        <v>3.1276063355145749</v>
      </c>
      <c r="T193" s="36">
        <f t="shared" si="436"/>
        <v>3.2840271299261241</v>
      </c>
      <c r="U193" s="36">
        <f t="shared" si="436"/>
        <v>3.1975011382607379</v>
      </c>
      <c r="V193" s="36">
        <f t="shared" si="436"/>
        <v>2.9754964035939171</v>
      </c>
      <c r="W193" s="36">
        <f t="shared" si="436"/>
        <v>3.0308588035366837</v>
      </c>
      <c r="X193" s="36">
        <f t="shared" si="436"/>
        <v>2.9695329636776671</v>
      </c>
      <c r="Y193" s="36">
        <f t="shared" si="436"/>
        <v>2.804920828555395</v>
      </c>
      <c r="Z193" s="36">
        <f t="shared" si="436"/>
        <v>2.6782702945133803</v>
      </c>
      <c r="AA193" s="36">
        <f t="shared" si="436"/>
        <v>2.5628216984884649</v>
      </c>
      <c r="AB193" s="36">
        <f t="shared" si="436"/>
        <v>2.7536840863822207</v>
      </c>
      <c r="AC193" s="36">
        <f t="shared" si="436"/>
        <v>2.7582510653910188</v>
      </c>
      <c r="AD193" s="36">
        <f t="shared" si="436"/>
        <v>2.6345941302791696</v>
      </c>
      <c r="AE193" s="36">
        <f t="shared" si="436"/>
        <v>2.7055927299774654</v>
      </c>
      <c r="AF193" s="36">
        <f t="shared" si="436"/>
        <v>2.8706531145122125</v>
      </c>
      <c r="AG193" s="36">
        <f t="shared" si="436"/>
        <v>2.6280578070606535</v>
      </c>
      <c r="AH193" s="36">
        <f t="shared" si="436"/>
        <v>2.3028986089584866</v>
      </c>
      <c r="AI193" s="36">
        <f t="shared" si="436"/>
        <v>2.1646792453407437</v>
      </c>
      <c r="AJ193" s="36">
        <f t="shared" si="436"/>
        <v>2.1547503783529174</v>
      </c>
      <c r="AK193" s="36">
        <f t="shared" si="436"/>
        <v>2.2155348576283433</v>
      </c>
      <c r="AL193" s="36">
        <f t="shared" si="436"/>
        <v>2.0959891131467216</v>
      </c>
      <c r="AM193" s="36">
        <f t="shared" si="436"/>
        <v>2.0772556545017484</v>
      </c>
      <c r="AN193" s="36">
        <f t="shared" si="436"/>
        <v>2.1268543817833012</v>
      </c>
      <c r="AO193" s="36">
        <f t="shared" si="436"/>
        <v>2.0743817988972748</v>
      </c>
      <c r="AP193" s="36">
        <f t="shared" si="436"/>
        <v>2.0917864577073626</v>
      </c>
      <c r="AQ193" s="36">
        <f t="shared" si="436"/>
        <v>2.1385490331727648</v>
      </c>
      <c r="AR193" s="36">
        <f t="shared" si="436"/>
        <v>2.2839899084204007</v>
      </c>
      <c r="AS193" s="36">
        <f t="shared" si="436"/>
        <v>2.5001200843723241</v>
      </c>
      <c r="AT193" s="36">
        <f t="shared" si="436"/>
        <v>2.4650436203757415</v>
      </c>
      <c r="AU193" s="36">
        <f t="shared" si="436"/>
        <v>2.4250698062590645</v>
      </c>
      <c r="AV193" s="37"/>
      <c r="AW193"/>
      <c r="AX193"/>
    </row>
    <row r="194" spans="2:50" ht="13">
      <c r="B194" s="286" t="str">
        <f t="shared" ref="B194:M194" si="437">+B125</f>
        <v>Total Gross Leverage (excluding leases)</v>
      </c>
      <c r="C194" s="37">
        <f t="shared" si="437"/>
        <v>3.1250696986006465</v>
      </c>
      <c r="D194" s="37">
        <f t="shared" si="437"/>
        <v>3.266595136638514</v>
      </c>
      <c r="E194" s="37">
        <f t="shared" si="437"/>
        <v>3.4610620106872121</v>
      </c>
      <c r="F194" s="37">
        <f t="shared" si="437"/>
        <v>3.2611160058737152</v>
      </c>
      <c r="G194" s="37">
        <f t="shared" si="437"/>
        <v>2.8037275128320132</v>
      </c>
      <c r="H194" s="37">
        <f t="shared" si="437"/>
        <v>2.8009256979241233</v>
      </c>
      <c r="I194" s="37">
        <f t="shared" si="437"/>
        <v>2.4420037267686303</v>
      </c>
      <c r="J194" s="37">
        <f t="shared" si="437"/>
        <v>2.6716600651092768</v>
      </c>
      <c r="K194" s="37">
        <f t="shared" si="437"/>
        <v>2.2062301457813618</v>
      </c>
      <c r="L194" s="37">
        <f t="shared" si="437"/>
        <v>2.5727917899099824</v>
      </c>
      <c r="M194" s="37">
        <f t="shared" si="437"/>
        <v>2.7530275731338172</v>
      </c>
      <c r="N194" s="37"/>
      <c r="O194" s="287"/>
      <c r="P194" s="287"/>
      <c r="Q194" s="287"/>
      <c r="R194" s="37">
        <f t="shared" ref="R194:AU194" si="438">+R125</f>
        <v>3.4610620106872121</v>
      </c>
      <c r="S194" s="37">
        <f t="shared" si="438"/>
        <v>3.2792554035296453</v>
      </c>
      <c r="T194" s="37">
        <f t="shared" si="438"/>
        <v>3.4145087113285095</v>
      </c>
      <c r="U194" s="37">
        <f t="shared" si="438"/>
        <v>3.4964777153842266</v>
      </c>
      <c r="V194" s="37">
        <f t="shared" si="438"/>
        <v>3.2611160058737152</v>
      </c>
      <c r="W194" s="37">
        <f t="shared" si="438"/>
        <v>3.1234699406447795</v>
      </c>
      <c r="X194" s="37">
        <f t="shared" si="438"/>
        <v>3.113937321380591</v>
      </c>
      <c r="Y194" s="37">
        <f t="shared" si="438"/>
        <v>3.0437514333813156</v>
      </c>
      <c r="Z194" s="37">
        <f t="shared" si="438"/>
        <v>2.8037275128320127</v>
      </c>
      <c r="AA194" s="37">
        <f t="shared" si="438"/>
        <v>2.6952262330946701</v>
      </c>
      <c r="AB194" s="37">
        <f t="shared" si="438"/>
        <v>2.9158897683195306</v>
      </c>
      <c r="AC194" s="37">
        <f t="shared" si="438"/>
        <v>2.9198921908954922</v>
      </c>
      <c r="AD194" s="37">
        <f t="shared" si="438"/>
        <v>2.8009256979241233</v>
      </c>
      <c r="AE194" s="37">
        <f t="shared" si="438"/>
        <v>2.8373423593496421</v>
      </c>
      <c r="AF194" s="37">
        <f t="shared" si="438"/>
        <v>3.0040737816406229</v>
      </c>
      <c r="AG194" s="37">
        <f t="shared" si="438"/>
        <v>2.7718430826051783</v>
      </c>
      <c r="AH194" s="37">
        <f t="shared" si="438"/>
        <v>2.4420037267686303</v>
      </c>
      <c r="AI194" s="37">
        <f t="shared" si="438"/>
        <v>2.272034212478129</v>
      </c>
      <c r="AJ194" s="37">
        <f t="shared" si="438"/>
        <v>2.3344012131487464</v>
      </c>
      <c r="AK194" s="37">
        <f t="shared" si="438"/>
        <v>2.7468457520427645</v>
      </c>
      <c r="AL194" s="37">
        <f t="shared" si="438"/>
        <v>2.6716600651092768</v>
      </c>
      <c r="AM194" s="37">
        <f t="shared" si="438"/>
        <v>2.2009897654428907</v>
      </c>
      <c r="AN194" s="37">
        <f t="shared" si="438"/>
        <v>2.2917252111850961</v>
      </c>
      <c r="AO194" s="37">
        <f t="shared" si="438"/>
        <v>2.1565506087779736</v>
      </c>
      <c r="AP194" s="37">
        <f t="shared" si="438"/>
        <v>2.2062301457813618</v>
      </c>
      <c r="AQ194" s="37">
        <f t="shared" si="438"/>
        <v>2.2594810136312393</v>
      </c>
      <c r="AR194" s="37">
        <f t="shared" si="438"/>
        <v>2.3813250608974634</v>
      </c>
      <c r="AS194" s="37">
        <f t="shared" si="438"/>
        <v>2.6407867092705137</v>
      </c>
      <c r="AT194" s="37">
        <f t="shared" si="438"/>
        <v>2.5727917899099824</v>
      </c>
      <c r="AU194" s="37">
        <f t="shared" si="438"/>
        <v>2.7530275731338172</v>
      </c>
      <c r="AV194" s="37"/>
      <c r="AW194"/>
      <c r="AX194"/>
    </row>
    <row r="195" spans="2:50" ht="13">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c r="AX195"/>
    </row>
    <row r="196" spans="2:50" s="5" customFormat="1" ht="13.5" customHeight="1">
      <c r="B196" s="5" t="s">
        <v>290</v>
      </c>
      <c r="C196" s="36">
        <f t="shared" ref="C196:M196" si="439">+C127</f>
        <v>2.9286867599569431</v>
      </c>
      <c r="D196" s="36">
        <f t="shared" si="439"/>
        <v>2.7838024036130746</v>
      </c>
      <c r="E196" s="36">
        <f t="shared" si="439"/>
        <v>3.1671430346713061</v>
      </c>
      <c r="F196" s="36">
        <f t="shared" si="439"/>
        <v>2.975434928694094</v>
      </c>
      <c r="G196" s="36">
        <f t="shared" si="439"/>
        <v>2.6782777694722677</v>
      </c>
      <c r="H196" s="36">
        <f t="shared" si="439"/>
        <v>2.6345941302791696</v>
      </c>
      <c r="I196" s="36">
        <f t="shared" si="439"/>
        <v>2.3028986089584866</v>
      </c>
      <c r="J196" s="36">
        <f t="shared" si="439"/>
        <v>2.096000440477702</v>
      </c>
      <c r="K196" s="36">
        <f t="shared" si="439"/>
        <v>2.0918677058057233</v>
      </c>
      <c r="L196" s="36">
        <f t="shared" si="439"/>
        <v>2.465043620375742</v>
      </c>
      <c r="M196" s="36">
        <f t="shared" si="439"/>
        <v>2.4251503612451919</v>
      </c>
      <c r="N196" s="36"/>
      <c r="O196" s="287"/>
      <c r="P196" s="287"/>
      <c r="Q196" s="287"/>
      <c r="R196" s="36">
        <f t="shared" ref="R196:AU196" si="440">+R127</f>
        <v>3.1671430346713061</v>
      </c>
      <c r="S196" s="36">
        <f t="shared" si="440"/>
        <v>3.1276063355145749</v>
      </c>
      <c r="T196" s="36">
        <f t="shared" si="440"/>
        <v>3.2840271299261241</v>
      </c>
      <c r="U196" s="36">
        <f t="shared" si="440"/>
        <v>3.1975011382607379</v>
      </c>
      <c r="V196" s="36">
        <f t="shared" si="440"/>
        <v>2.975434928694094</v>
      </c>
      <c r="W196" s="36">
        <f t="shared" si="440"/>
        <v>3.0308588035366837</v>
      </c>
      <c r="X196" s="36">
        <f t="shared" si="440"/>
        <v>2.9695329636776671</v>
      </c>
      <c r="Y196" s="36">
        <f t="shared" si="440"/>
        <v>2.804920828555395</v>
      </c>
      <c r="Z196" s="36">
        <f t="shared" si="440"/>
        <v>2.6782777694722677</v>
      </c>
      <c r="AA196" s="36">
        <f t="shared" si="440"/>
        <v>2.5628216984884649</v>
      </c>
      <c r="AB196" s="36">
        <f t="shared" si="440"/>
        <v>2.7536840863822207</v>
      </c>
      <c r="AC196" s="36">
        <f t="shared" si="440"/>
        <v>2.7582510653910188</v>
      </c>
      <c r="AD196" s="36">
        <f t="shared" si="440"/>
        <v>2.6345941302791696</v>
      </c>
      <c r="AE196" s="36">
        <f t="shared" si="440"/>
        <v>2.7055927299774654</v>
      </c>
      <c r="AF196" s="36">
        <f t="shared" si="440"/>
        <v>2.8706531145122125</v>
      </c>
      <c r="AG196" s="36">
        <f t="shared" si="440"/>
        <v>2.6280578070606535</v>
      </c>
      <c r="AH196" s="36">
        <f t="shared" si="440"/>
        <v>2.3028986089584866</v>
      </c>
      <c r="AI196" s="36">
        <f t="shared" si="440"/>
        <v>2.1646792453407437</v>
      </c>
      <c r="AJ196" s="36">
        <f t="shared" si="440"/>
        <v>2.1547503783529174</v>
      </c>
      <c r="AK196" s="36">
        <f t="shared" si="440"/>
        <v>2.2155348576283433</v>
      </c>
      <c r="AL196" s="36">
        <f t="shared" si="440"/>
        <v>2.096000440477702</v>
      </c>
      <c r="AM196" s="36">
        <f t="shared" si="440"/>
        <v>2.0772556545017484</v>
      </c>
      <c r="AN196" s="36">
        <f t="shared" si="440"/>
        <v>2.1268543817833012</v>
      </c>
      <c r="AO196" s="36">
        <f t="shared" si="440"/>
        <v>2.0743817988972748</v>
      </c>
      <c r="AP196" s="36">
        <f t="shared" si="440"/>
        <v>2.0918677058057233</v>
      </c>
      <c r="AQ196" s="36">
        <f t="shared" si="440"/>
        <v>2.1385490331727648</v>
      </c>
      <c r="AR196" s="36">
        <f t="shared" si="440"/>
        <v>2.2839899084204007</v>
      </c>
      <c r="AS196" s="36">
        <f t="shared" si="440"/>
        <v>2.5000522105966625</v>
      </c>
      <c r="AT196" s="36">
        <f t="shared" si="440"/>
        <v>2.465043620375742</v>
      </c>
      <c r="AU196" s="36">
        <f t="shared" si="440"/>
        <v>2.4251503612451919</v>
      </c>
      <c r="AV196" s="36"/>
      <c r="AW196"/>
      <c r="AX196"/>
    </row>
    <row r="197" spans="2:50" ht="13">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c r="AX197"/>
    </row>
    <row r="198" spans="2:50" s="5" customFormat="1" ht="13">
      <c r="B198" s="5" t="s">
        <v>291</v>
      </c>
      <c r="C198" s="36">
        <f t="shared" ref="C198:M198" si="441">+C129</f>
        <v>-3.2611121587593885</v>
      </c>
      <c r="D198" s="36">
        <f t="shared" si="441"/>
        <v>1.4647108725428806</v>
      </c>
      <c r="E198" s="36">
        <f t="shared" si="441"/>
        <v>3.812752451708767</v>
      </c>
      <c r="F198" s="36">
        <f t="shared" si="441"/>
        <v>3.8513407127975312</v>
      </c>
      <c r="G198" s="36">
        <f t="shared" si="441"/>
        <v>5.9213861885585795</v>
      </c>
      <c r="H198" s="36">
        <f t="shared" si="441"/>
        <v>5.4711078535009898</v>
      </c>
      <c r="I198" s="36">
        <f t="shared" si="441"/>
        <v>4.6621087515342392</v>
      </c>
      <c r="J198" s="36">
        <f t="shared" si="441"/>
        <v>2.1518825140960556</v>
      </c>
      <c r="K198" s="36">
        <f t="shared" si="441"/>
        <v>0.60998891539891331</v>
      </c>
      <c r="L198" s="36">
        <f t="shared" si="441"/>
        <v>-0.23488679740940824</v>
      </c>
      <c r="M198" s="36">
        <f t="shared" si="441"/>
        <v>0.14679965535166384</v>
      </c>
      <c r="N198" s="36"/>
      <c r="O198" s="350"/>
      <c r="P198" s="350"/>
      <c r="Q198" s="350"/>
      <c r="R198" s="36">
        <f t="shared" ref="R198:AU198" si="442">+R129</f>
        <v>3.812752451708767</v>
      </c>
      <c r="S198" s="36">
        <f t="shared" si="442"/>
        <v>3.7930439617624629</v>
      </c>
      <c r="T198" s="36">
        <f t="shared" si="442"/>
        <v>3.5005961026639913</v>
      </c>
      <c r="U198" s="36">
        <f t="shared" si="442"/>
        <v>3.6038867116480158</v>
      </c>
      <c r="V198" s="36">
        <f t="shared" si="442"/>
        <v>3.8513407127975299</v>
      </c>
      <c r="W198" s="36">
        <f t="shared" si="442"/>
        <v>4.6506764649406334</v>
      </c>
      <c r="X198" s="36">
        <f t="shared" si="442"/>
        <v>4.8852607609931002</v>
      </c>
      <c r="Y198" s="36">
        <f t="shared" si="442"/>
        <v>5.52886268831094</v>
      </c>
      <c r="Z198" s="36">
        <f t="shared" si="442"/>
        <v>5.9213861885585821</v>
      </c>
      <c r="AA198" s="36">
        <f t="shared" si="442"/>
        <v>6.274364257792878</v>
      </c>
      <c r="AB198" s="36">
        <f t="shared" si="442"/>
        <v>6.2233956392409402</v>
      </c>
      <c r="AC198" s="36">
        <f t="shared" si="442"/>
        <v>5.7610462634025321</v>
      </c>
      <c r="AD198" s="36">
        <f t="shared" si="442"/>
        <v>5.4711078535009889</v>
      </c>
      <c r="AE198" s="36">
        <f t="shared" si="442"/>
        <v>5.0080515904644587</v>
      </c>
      <c r="AF198" s="36">
        <f t="shared" si="442"/>
        <v>4.8257832073949718</v>
      </c>
      <c r="AG198" s="36">
        <f t="shared" si="442"/>
        <v>4.4253214174948061</v>
      </c>
      <c r="AH198" s="36">
        <f t="shared" si="442"/>
        <v>4.6621087515342374</v>
      </c>
      <c r="AI198" s="36">
        <f t="shared" si="442"/>
        <v>4.5543780547904884</v>
      </c>
      <c r="AJ198" s="36">
        <f t="shared" si="442"/>
        <v>4.0864254763505503</v>
      </c>
      <c r="AK198" s="36">
        <f t="shared" si="442"/>
        <v>3.3932341736496783</v>
      </c>
      <c r="AL198" s="36">
        <f t="shared" si="442"/>
        <v>2.1518825140960547</v>
      </c>
      <c r="AM198" s="36">
        <f t="shared" si="442"/>
        <v>1.612045054251279</v>
      </c>
      <c r="AN198" s="36">
        <f t="shared" si="442"/>
        <v>0.68162979055493522</v>
      </c>
      <c r="AO198" s="36">
        <f t="shared" si="442"/>
        <v>0.76408237054922934</v>
      </c>
      <c r="AP198" s="36">
        <f t="shared" si="442"/>
        <v>0.60998891539891342</v>
      </c>
      <c r="AQ198" s="36">
        <f t="shared" si="442"/>
        <v>0.15246033725874708</v>
      </c>
      <c r="AR198" s="36">
        <f t="shared" si="442"/>
        <v>0.22525490128000422</v>
      </c>
      <c r="AS198" s="36">
        <f t="shared" si="442"/>
        <v>-0.16943023115819833</v>
      </c>
      <c r="AT198" s="36">
        <f t="shared" si="442"/>
        <v>-0.23488679740940693</v>
      </c>
      <c r="AU198" s="36">
        <f t="shared" si="442"/>
        <v>0.14679965535166384</v>
      </c>
      <c r="AV198" s="36"/>
      <c r="AW198" s="254"/>
      <c r="AX198" s="254"/>
    </row>
    <row r="199" spans="2:50" ht="13">
      <c r="B199" s="1" t="s">
        <v>292</v>
      </c>
      <c r="C199" s="37">
        <f t="shared" ref="C199:M199" si="443">+C130</f>
        <v>10.305161454924624</v>
      </c>
      <c r="D199" s="37">
        <f t="shared" si="443"/>
        <v>8.3745568692478471</v>
      </c>
      <c r="E199" s="37">
        <f t="shared" si="443"/>
        <v>9.565527488855869</v>
      </c>
      <c r="F199" s="37">
        <f t="shared" si="443"/>
        <v>7.6588468745294112</v>
      </c>
      <c r="G199" s="37">
        <f t="shared" si="443"/>
        <v>8.5785005258162972</v>
      </c>
      <c r="H199" s="37">
        <f t="shared" si="443"/>
        <v>10.198688260338855</v>
      </c>
      <c r="I199" s="37">
        <f t="shared" si="443"/>
        <v>9.1051021977258522</v>
      </c>
      <c r="J199" s="37">
        <f t="shared" si="443"/>
        <v>8.0514889153950566</v>
      </c>
      <c r="K199" s="37">
        <f t="shared" si="443"/>
        <v>7.1553698923630966</v>
      </c>
      <c r="L199" s="37">
        <f t="shared" si="443"/>
        <v>7.1240843629703443</v>
      </c>
      <c r="M199" s="37">
        <f t="shared" si="443"/>
        <v>7.0364153439718589</v>
      </c>
      <c r="N199" s="37"/>
      <c r="O199" s="287"/>
      <c r="P199" s="287"/>
      <c r="Q199" s="287"/>
      <c r="R199" s="37">
        <f t="shared" ref="R199:AU199" si="444">+R130</f>
        <v>9.565527488855869</v>
      </c>
      <c r="S199" s="37">
        <f t="shared" si="444"/>
        <v>9.5864728651777504</v>
      </c>
      <c r="T199" s="37">
        <f t="shared" si="444"/>
        <v>8.3246576607588132</v>
      </c>
      <c r="U199" s="37">
        <f t="shared" si="444"/>
        <v>7.9863439861015735</v>
      </c>
      <c r="V199" s="37">
        <f t="shared" si="444"/>
        <v>7.6588468745294094</v>
      </c>
      <c r="W199" s="37">
        <f t="shared" si="444"/>
        <v>8.1213796524466328</v>
      </c>
      <c r="X199" s="37">
        <f t="shared" si="444"/>
        <v>8.191600902818907</v>
      </c>
      <c r="Y199" s="37">
        <f t="shared" si="444"/>
        <v>8.4306941690458359</v>
      </c>
      <c r="Z199" s="37">
        <f t="shared" si="444"/>
        <v>8.5785005258163007</v>
      </c>
      <c r="AA199" s="37">
        <f t="shared" si="444"/>
        <v>8.9797540301066423</v>
      </c>
      <c r="AB199" s="37">
        <f t="shared" si="444"/>
        <v>9.3645386450428507</v>
      </c>
      <c r="AC199" s="37">
        <f t="shared" si="444"/>
        <v>9.5144880253268571</v>
      </c>
      <c r="AD199" s="37">
        <f t="shared" si="444"/>
        <v>10.198688260338853</v>
      </c>
      <c r="AE199" s="37">
        <f t="shared" si="444"/>
        <v>10.240399971016592</v>
      </c>
      <c r="AF199" s="37">
        <f t="shared" si="444"/>
        <v>10.23077646629593</v>
      </c>
      <c r="AG199" s="37">
        <f t="shared" si="444"/>
        <v>9.5193658438691546</v>
      </c>
      <c r="AH199" s="37">
        <f t="shared" si="444"/>
        <v>9.1051021977258504</v>
      </c>
      <c r="AI199" s="37">
        <f t="shared" si="444"/>
        <v>9.0373522980131469</v>
      </c>
      <c r="AJ199" s="37">
        <f t="shared" si="444"/>
        <v>8.468191830437469</v>
      </c>
      <c r="AK199" s="37">
        <f t="shared" si="444"/>
        <v>8.3257082883241331</v>
      </c>
      <c r="AL199" s="37">
        <f t="shared" si="444"/>
        <v>8.0514889153950566</v>
      </c>
      <c r="AM199" s="37">
        <f t="shared" si="444"/>
        <v>8.3286283327614026</v>
      </c>
      <c r="AN199" s="37">
        <f t="shared" si="444"/>
        <v>7.8610097516047608</v>
      </c>
      <c r="AO199" s="37">
        <f t="shared" si="444"/>
        <v>7.0995124106578889</v>
      </c>
      <c r="AP199" s="37">
        <f t="shared" si="444"/>
        <v>7.1553698923630984</v>
      </c>
      <c r="AQ199" s="37">
        <f t="shared" si="444"/>
        <v>6.7144368650592252</v>
      </c>
      <c r="AR199" s="37">
        <f t="shared" si="444"/>
        <v>6.8178714441126784</v>
      </c>
      <c r="AS199" s="37">
        <f t="shared" si="444"/>
        <v>7.2060859619552131</v>
      </c>
      <c r="AT199" s="37">
        <f t="shared" si="444"/>
        <v>7.1240843629703452</v>
      </c>
      <c r="AU199" s="37">
        <f t="shared" si="444"/>
        <v>7.0364153439718589</v>
      </c>
      <c r="AV199" s="37"/>
      <c r="AW199"/>
      <c r="AX199"/>
    </row>
    <row r="200" spans="2:50" ht="13">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c r="AX200"/>
    </row>
    <row r="201" spans="2:50" s="5" customFormat="1" ht="12.75" customHeight="1">
      <c r="B201" s="5" t="s">
        <v>293</v>
      </c>
      <c r="C201" s="60">
        <f t="shared" ref="C201:M201" si="445">+C132</f>
        <v>0.80744029607517009</v>
      </c>
      <c r="D201" s="60">
        <f t="shared" si="445"/>
        <v>0.73316578457171577</v>
      </c>
      <c r="E201" s="60">
        <f t="shared" si="445"/>
        <v>0.91561266390848028</v>
      </c>
      <c r="F201" s="60">
        <f t="shared" si="445"/>
        <v>0.81175428202936983</v>
      </c>
      <c r="G201" s="60">
        <f t="shared" si="445"/>
        <v>0.68835037331956617</v>
      </c>
      <c r="H201" s="60">
        <f t="shared" si="445"/>
        <v>0.58022772691953195</v>
      </c>
      <c r="I201" s="60">
        <f t="shared" si="445"/>
        <v>0.56062843342392454</v>
      </c>
      <c r="J201" s="60">
        <f t="shared" si="445"/>
        <v>0.55518210774714216</v>
      </c>
      <c r="K201" s="60">
        <f t="shared" si="445"/>
        <v>0.53959362320481818</v>
      </c>
      <c r="L201" s="60">
        <f t="shared" si="445"/>
        <v>0.60973722911355421</v>
      </c>
      <c r="M201" s="60">
        <f t="shared" si="445"/>
        <v>0.59276705302301702</v>
      </c>
      <c r="N201" s="173"/>
      <c r="O201" s="60">
        <f t="shared" ref="O201:AU201" si="446">+O132</f>
        <v>0.71419147632084334</v>
      </c>
      <c r="P201" s="60">
        <f t="shared" si="446"/>
        <v>0.75635275958040937</v>
      </c>
      <c r="Q201" s="60">
        <f t="shared" si="446"/>
        <v>0.95093435013842131</v>
      </c>
      <c r="R201" s="60">
        <f t="shared" si="446"/>
        <v>0.88107547969790301</v>
      </c>
      <c r="S201" s="60">
        <f t="shared" si="446"/>
        <v>0.87377777801678613</v>
      </c>
      <c r="T201" s="60">
        <f t="shared" si="446"/>
        <v>0.91798377129727782</v>
      </c>
      <c r="U201" s="60">
        <f t="shared" si="446"/>
        <v>0.85744229725984722</v>
      </c>
      <c r="V201" s="60">
        <f t="shared" si="446"/>
        <v>0.81175428202936983</v>
      </c>
      <c r="W201" s="60">
        <f t="shared" si="446"/>
        <v>0.83085729010132681</v>
      </c>
      <c r="X201" s="60">
        <f t="shared" si="446"/>
        <v>0.83113438503981707</v>
      </c>
      <c r="Y201" s="60">
        <f t="shared" si="446"/>
        <v>0.75222026728375324</v>
      </c>
      <c r="Z201" s="60">
        <f t="shared" si="446"/>
        <v>0.68835037331956617</v>
      </c>
      <c r="AA201" s="60">
        <f t="shared" si="446"/>
        <v>0.64550750609571894</v>
      </c>
      <c r="AB201" s="60">
        <f t="shared" si="446"/>
        <v>0.68271245393956781</v>
      </c>
      <c r="AC201" s="60">
        <f t="shared" si="446"/>
        <v>0.62143841469517203</v>
      </c>
      <c r="AD201" s="60">
        <f t="shared" si="446"/>
        <v>0.58022772691953195</v>
      </c>
      <c r="AE201" s="60">
        <f t="shared" si="446"/>
        <v>0.59894600327229652</v>
      </c>
      <c r="AF201" s="60">
        <f t="shared" si="446"/>
        <v>0.66332587236662133</v>
      </c>
      <c r="AG201" s="60">
        <f t="shared" si="446"/>
        <v>0.60303251705838168</v>
      </c>
      <c r="AH201" s="60">
        <f t="shared" si="446"/>
        <v>0.56062843342392454</v>
      </c>
      <c r="AI201" s="60">
        <f t="shared" si="446"/>
        <v>0.5572811382941274</v>
      </c>
      <c r="AJ201" s="60">
        <f t="shared" si="446"/>
        <v>0.58426218065479563</v>
      </c>
      <c r="AK201" s="60">
        <f t="shared" si="446"/>
        <v>0.59295902759025965</v>
      </c>
      <c r="AL201" s="60">
        <f t="shared" si="446"/>
        <v>0.55518210774714216</v>
      </c>
      <c r="AM201" s="60">
        <f t="shared" si="446"/>
        <v>0.52171038171763762</v>
      </c>
      <c r="AN201" s="60">
        <f t="shared" si="446"/>
        <v>0.55363411084959235</v>
      </c>
      <c r="AO201" s="60">
        <f t="shared" si="446"/>
        <v>0.5519927398133736</v>
      </c>
      <c r="AP201" s="60">
        <f t="shared" si="446"/>
        <v>0.53959362320481818</v>
      </c>
      <c r="AQ201" s="60">
        <f t="shared" si="446"/>
        <v>0.53232605129684996</v>
      </c>
      <c r="AR201" s="60">
        <f t="shared" si="446"/>
        <v>0.57984988624396894</v>
      </c>
      <c r="AS201" s="60">
        <f t="shared" si="446"/>
        <v>0.62051710190879106</v>
      </c>
      <c r="AT201" s="60">
        <f t="shared" si="446"/>
        <v>0.60973722911355421</v>
      </c>
      <c r="AU201" s="60">
        <f t="shared" si="446"/>
        <v>0.59276705302301702</v>
      </c>
      <c r="AV201" s="173"/>
      <c r="AW201" s="254"/>
      <c r="AX201" s="254"/>
    </row>
    <row r="202" spans="2:50" s="5" customFormat="1" ht="13.5" customHeight="1">
      <c r="C202" s="28"/>
      <c r="D202" s="28"/>
      <c r="E202" s="28"/>
      <c r="F202" s="28"/>
      <c r="G202" s="28"/>
      <c r="H202" s="28"/>
      <c r="I202" s="28"/>
      <c r="J202" s="28"/>
      <c r="K202" s="28"/>
      <c r="L202" s="28"/>
      <c r="M202" s="42"/>
      <c r="N202" s="296"/>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28"/>
      <c r="AW202"/>
      <c r="AX202"/>
    </row>
    <row r="203" spans="2:50" s="5" customFormat="1" ht="13.5" customHeight="1">
      <c r="B203" s="348" t="s">
        <v>304</v>
      </c>
      <c r="C203" s="330">
        <v>0.2666</v>
      </c>
      <c r="D203" s="330">
        <v>0.26664166666666667</v>
      </c>
      <c r="E203" s="330">
        <v>0.26662500000000006</v>
      </c>
      <c r="F203" s="330">
        <f>V203</f>
        <v>0.2666</v>
      </c>
      <c r="G203" s="330">
        <f>Z203</f>
        <v>0.26666699999999999</v>
      </c>
      <c r="H203" s="330">
        <f>AD203</f>
        <v>0.26619999999999999</v>
      </c>
      <c r="I203" s="330">
        <f>AE203</f>
        <v>0.26650000000000001</v>
      </c>
      <c r="J203" s="330">
        <f>AL203</f>
        <v>0.26669999999999999</v>
      </c>
      <c r="K203" s="330">
        <f>AP203</f>
        <v>0.2661</v>
      </c>
      <c r="L203" s="330">
        <f>AQ203</f>
        <v>0.2666</v>
      </c>
      <c r="M203" s="330">
        <f>AU203</f>
        <v>0.2664535038635758</v>
      </c>
      <c r="N203" s="331"/>
      <c r="O203" s="330">
        <v>0.26666666666666666</v>
      </c>
      <c r="P203" s="330">
        <v>0.2666</v>
      </c>
      <c r="Q203" s="332">
        <v>0.26669999999999999</v>
      </c>
      <c r="R203" s="332">
        <v>0.2666</v>
      </c>
      <c r="S203" s="330">
        <v>0.26663333333333333</v>
      </c>
      <c r="T203" s="332">
        <v>0.26590000000000003</v>
      </c>
      <c r="U203" s="330">
        <v>0.2666</v>
      </c>
      <c r="V203" s="332">
        <v>0.2666</v>
      </c>
      <c r="W203" s="330">
        <v>0.26566099999999998</v>
      </c>
      <c r="X203" s="330">
        <v>0.26666699999999999</v>
      </c>
      <c r="Y203" s="330">
        <v>0.26666699999999999</v>
      </c>
      <c r="Z203" s="330">
        <v>0.26666699999999999</v>
      </c>
      <c r="AA203" s="330">
        <v>0.26666699999999999</v>
      </c>
      <c r="AB203" s="330">
        <v>0.26666699999999999</v>
      </c>
      <c r="AC203" s="330">
        <v>0.26666699999999999</v>
      </c>
      <c r="AD203" s="330">
        <v>0.26619999999999999</v>
      </c>
      <c r="AE203" s="330">
        <v>0.26650000000000001</v>
      </c>
      <c r="AF203" s="330">
        <v>0.26650000000000001</v>
      </c>
      <c r="AG203" s="330">
        <v>0.2661</v>
      </c>
      <c r="AH203" s="330">
        <v>0.26600000000000001</v>
      </c>
      <c r="AI203" s="330">
        <v>0.26640000000000003</v>
      </c>
      <c r="AJ203" s="330">
        <v>0.2666</v>
      </c>
      <c r="AK203" s="330">
        <v>0.2666</v>
      </c>
      <c r="AL203" s="330">
        <v>0.26669999999999999</v>
      </c>
      <c r="AM203" s="329">
        <v>0.2666</v>
      </c>
      <c r="AN203" s="329">
        <v>0.26650000000000001</v>
      </c>
      <c r="AO203" s="329">
        <v>0.2666</v>
      </c>
      <c r="AP203" s="329">
        <v>0.2661</v>
      </c>
      <c r="AQ203" s="329">
        <v>0.2666</v>
      </c>
      <c r="AR203" s="329">
        <v>0.2666</v>
      </c>
      <c r="AS203" s="329">
        <v>0.26669999999999999</v>
      </c>
      <c r="AT203" s="329">
        <f>1/3.7508</f>
        <v>0.26660978991148554</v>
      </c>
      <c r="AU203" s="329">
        <f>1/3.753</f>
        <v>0.2664535038635758</v>
      </c>
      <c r="AV203" s="28"/>
      <c r="AW203"/>
      <c r="AX203"/>
    </row>
    <row r="204" spans="2:50" s="5" customFormat="1" ht="13.5" customHeight="1">
      <c r="B204" s="348" t="s">
        <v>305</v>
      </c>
      <c r="C204" s="330">
        <v>0.26650000000000001</v>
      </c>
      <c r="D204" s="330">
        <v>0.2666</v>
      </c>
      <c r="E204" s="330">
        <v>0.2666</v>
      </c>
      <c r="F204" s="330">
        <f>AVERAGE(S204:V204)</f>
        <v>0.2666</v>
      </c>
      <c r="G204" s="330">
        <f>AVERAGE(W204:Z204)</f>
        <v>0.26660649999999997</v>
      </c>
      <c r="H204" s="330">
        <f>AVERAGE(AA204:AD204)</f>
        <v>0.26662524999999998</v>
      </c>
      <c r="I204" s="330">
        <f>AVERAGE(AB204:AE204)</f>
        <v>0.26660849999999997</v>
      </c>
      <c r="J204" s="330">
        <f>AVERAGE(AI204:AL204)</f>
        <v>0.26637499999999997</v>
      </c>
      <c r="K204" s="330">
        <f>AVERAGE(AM204:AP204)</f>
        <v>0.26649166666666668</v>
      </c>
      <c r="L204" s="330">
        <f>AVERAGE(AN204:AQ204)</f>
        <v>0.26645000000000002</v>
      </c>
      <c r="M204" s="330">
        <f>AVERAGE(AR204:AU204)</f>
        <v>0.26659423407037619</v>
      </c>
      <c r="N204" s="331"/>
      <c r="O204" s="330">
        <v>0.26669999999999999</v>
      </c>
      <c r="P204" s="330">
        <v>0.2666</v>
      </c>
      <c r="Q204" s="330">
        <v>0.2666</v>
      </c>
      <c r="R204" s="332">
        <v>0.2666</v>
      </c>
      <c r="S204" s="330">
        <v>0.2666</v>
      </c>
      <c r="T204" s="330">
        <v>0.2666</v>
      </c>
      <c r="U204" s="330">
        <v>0.2666</v>
      </c>
      <c r="V204" s="332">
        <v>0.2666</v>
      </c>
      <c r="W204" s="330">
        <v>0.26642500000000002</v>
      </c>
      <c r="X204" s="330">
        <v>0.26666699999999999</v>
      </c>
      <c r="Y204" s="330">
        <v>0.26666699999999999</v>
      </c>
      <c r="Z204" s="330">
        <v>0.26666699999999999</v>
      </c>
      <c r="AA204" s="330">
        <v>0.26666699999999999</v>
      </c>
      <c r="AB204" s="330">
        <v>0.26666699999999999</v>
      </c>
      <c r="AC204" s="330">
        <v>0.26666699999999999</v>
      </c>
      <c r="AD204" s="330">
        <v>0.26650000000000001</v>
      </c>
      <c r="AE204" s="330">
        <v>0.2666</v>
      </c>
      <c r="AF204" s="330">
        <v>0.2666</v>
      </c>
      <c r="AG204" s="330">
        <v>0.2661</v>
      </c>
      <c r="AH204" s="330">
        <v>0.26600000000000001</v>
      </c>
      <c r="AI204" s="330">
        <v>0.26629999999999998</v>
      </c>
      <c r="AJ204" s="330">
        <v>0.2666</v>
      </c>
      <c r="AK204" s="330">
        <v>0.2666</v>
      </c>
      <c r="AL204" s="330">
        <v>0.26600000000000001</v>
      </c>
      <c r="AM204" s="329">
        <f>AVERAGE(0.2667,0.2667,0.2666)</f>
        <v>0.26666666666666666</v>
      </c>
      <c r="AN204" s="329">
        <v>0.2666</v>
      </c>
      <c r="AO204" s="329">
        <v>0.26650000000000001</v>
      </c>
      <c r="AP204" s="329">
        <v>0.26619999999999999</v>
      </c>
      <c r="AQ204" s="329">
        <f>0.2665</f>
        <v>0.26650000000000001</v>
      </c>
      <c r="AR204" s="329">
        <v>0.2666</v>
      </c>
      <c r="AS204" s="329">
        <v>0.2666</v>
      </c>
      <c r="AT204" s="329">
        <f>1/3.7509</f>
        <v>0.26660268202298115</v>
      </c>
      <c r="AU204" s="329">
        <f>1/3.7513</f>
        <v>0.26657425425852371</v>
      </c>
      <c r="AV204" s="28"/>
      <c r="AW204"/>
      <c r="AX204"/>
    </row>
    <row r="205" spans="2:50" s="5" customFormat="1" ht="13.5" customHeight="1">
      <c r="B205" s="348" t="s">
        <v>199</v>
      </c>
      <c r="C205" s="330"/>
      <c r="D205" s="330"/>
      <c r="E205" s="330"/>
      <c r="F205" s="330">
        <f t="shared" ref="F205:M205" si="447">F204</f>
        <v>0.2666</v>
      </c>
      <c r="G205" s="330">
        <f t="shared" si="447"/>
        <v>0.26660649999999997</v>
      </c>
      <c r="H205" s="330">
        <f t="shared" si="447"/>
        <v>0.26662524999999998</v>
      </c>
      <c r="I205" s="330">
        <f t="shared" si="447"/>
        <v>0.26660849999999997</v>
      </c>
      <c r="J205" s="330">
        <f t="shared" si="447"/>
        <v>0.26637499999999997</v>
      </c>
      <c r="K205" s="330">
        <f>K204</f>
        <v>0.26649166666666668</v>
      </c>
      <c r="L205" s="330">
        <f>L204</f>
        <v>0.26645000000000002</v>
      </c>
      <c r="M205" s="330">
        <f t="shared" si="447"/>
        <v>0.26659423407037619</v>
      </c>
      <c r="N205" s="331"/>
      <c r="O205" s="330"/>
      <c r="P205" s="330"/>
      <c r="Q205" s="330"/>
      <c r="R205" s="330">
        <f>E204</f>
        <v>0.2666</v>
      </c>
      <c r="S205" s="330">
        <f t="shared" ref="S205:AC205" si="448">AVERAGE(P204:S204)</f>
        <v>0.2666</v>
      </c>
      <c r="T205" s="330">
        <f t="shared" si="448"/>
        <v>0.2666</v>
      </c>
      <c r="U205" s="330">
        <f t="shared" si="448"/>
        <v>0.2666</v>
      </c>
      <c r="V205" s="330">
        <f t="shared" si="448"/>
        <v>0.2666</v>
      </c>
      <c r="W205" s="330">
        <f t="shared" si="448"/>
        <v>0.26655625000000005</v>
      </c>
      <c r="X205" s="330">
        <f t="shared" si="448"/>
        <v>0.266573</v>
      </c>
      <c r="Y205" s="330">
        <f t="shared" si="448"/>
        <v>0.26658975000000001</v>
      </c>
      <c r="Z205" s="330">
        <f t="shared" si="448"/>
        <v>0.26660649999999997</v>
      </c>
      <c r="AA205" s="330">
        <f t="shared" si="448"/>
        <v>0.26666699999999999</v>
      </c>
      <c r="AB205" s="330">
        <f t="shared" si="448"/>
        <v>0.26666699999999999</v>
      </c>
      <c r="AC205" s="330">
        <f t="shared" si="448"/>
        <v>0.26666699999999999</v>
      </c>
      <c r="AD205" s="330">
        <f t="shared" ref="AD205:AU205" si="449">AVERAGE(AA204:AD204)</f>
        <v>0.26662524999999998</v>
      </c>
      <c r="AE205" s="330">
        <f t="shared" si="449"/>
        <v>0.26660849999999997</v>
      </c>
      <c r="AF205" s="330">
        <f t="shared" si="449"/>
        <v>0.26659174999999996</v>
      </c>
      <c r="AG205" s="330">
        <f t="shared" si="449"/>
        <v>0.26645000000000002</v>
      </c>
      <c r="AH205" s="330">
        <f t="shared" si="449"/>
        <v>0.26632500000000003</v>
      </c>
      <c r="AI205" s="330">
        <f t="shared" si="449"/>
        <v>0.26624999999999999</v>
      </c>
      <c r="AJ205" s="330">
        <f t="shared" si="449"/>
        <v>0.26624999999999999</v>
      </c>
      <c r="AK205" s="330">
        <f>AVERAGE(AH204:AK204)</f>
        <v>0.26637499999999997</v>
      </c>
      <c r="AL205" s="330">
        <f t="shared" si="449"/>
        <v>0.26637499999999997</v>
      </c>
      <c r="AM205" s="330">
        <f t="shared" si="449"/>
        <v>0.26646666666666668</v>
      </c>
      <c r="AN205" s="330">
        <f t="shared" si="449"/>
        <v>0.26646666666666663</v>
      </c>
      <c r="AO205" s="330">
        <f>AVERAGE(AL204:AO204)</f>
        <v>0.26644166666666663</v>
      </c>
      <c r="AP205" s="330">
        <f t="shared" si="449"/>
        <v>0.26649166666666668</v>
      </c>
      <c r="AQ205" s="330">
        <f t="shared" si="449"/>
        <v>0.26645000000000002</v>
      </c>
      <c r="AR205" s="330">
        <f t="shared" si="449"/>
        <v>0.26644999999999996</v>
      </c>
      <c r="AS205" s="330">
        <f>AVERAGE(AP204:AS204)</f>
        <v>0.26647499999999996</v>
      </c>
      <c r="AT205" s="330">
        <f t="shared" si="449"/>
        <v>0.26657567050574532</v>
      </c>
      <c r="AU205" s="330">
        <f t="shared" si="449"/>
        <v>0.26659423407037619</v>
      </c>
      <c r="AV205" s="28"/>
      <c r="AW205"/>
      <c r="AX205"/>
    </row>
    <row r="206" spans="2:50" s="5" customFormat="1" ht="13.5" customHeight="1">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c r="AX206"/>
    </row>
    <row r="207" spans="2:50" ht="13.5" customHeight="1">
      <c r="B207" s="15" t="s">
        <v>306</v>
      </c>
      <c r="C207" s="62">
        <f t="shared" ref="C207:M207" si="450">C3</f>
        <v>42735</v>
      </c>
      <c r="D207" s="62">
        <f t="shared" si="450"/>
        <v>43100</v>
      </c>
      <c r="E207" s="62">
        <f t="shared" si="450"/>
        <v>43465</v>
      </c>
      <c r="F207" s="62">
        <f t="shared" si="450"/>
        <v>43830</v>
      </c>
      <c r="G207" s="62">
        <f t="shared" si="450"/>
        <v>44196</v>
      </c>
      <c r="H207" s="62">
        <f t="shared" si="450"/>
        <v>44561</v>
      </c>
      <c r="I207" s="62">
        <f t="shared" si="450"/>
        <v>44926</v>
      </c>
      <c r="J207" s="62">
        <f t="shared" si="450"/>
        <v>45291</v>
      </c>
      <c r="K207" s="62">
        <f t="shared" si="450"/>
        <v>45657</v>
      </c>
      <c r="L207" s="62">
        <f t="shared" si="450"/>
        <v>46022</v>
      </c>
      <c r="M207" s="62">
        <f t="shared" si="450"/>
        <v>46111</v>
      </c>
      <c r="N207" s="28"/>
      <c r="O207" s="62">
        <f t="shared" ref="O207:AU207" si="451">O3</f>
        <v>43189</v>
      </c>
      <c r="P207" s="62">
        <f t="shared" si="451"/>
        <v>43281</v>
      </c>
      <c r="Q207" s="62">
        <f t="shared" si="451"/>
        <v>43373</v>
      </c>
      <c r="R207" s="62">
        <f t="shared" si="451"/>
        <v>43464</v>
      </c>
      <c r="S207" s="62">
        <f t="shared" si="451"/>
        <v>43554</v>
      </c>
      <c r="T207" s="62">
        <f t="shared" si="451"/>
        <v>43646</v>
      </c>
      <c r="U207" s="62">
        <f t="shared" si="451"/>
        <v>43738</v>
      </c>
      <c r="V207" s="62">
        <f t="shared" si="451"/>
        <v>43829</v>
      </c>
      <c r="W207" s="62">
        <f t="shared" si="451"/>
        <v>43920</v>
      </c>
      <c r="X207" s="62">
        <f t="shared" si="451"/>
        <v>44012</v>
      </c>
      <c r="Y207" s="62">
        <f t="shared" si="451"/>
        <v>44104</v>
      </c>
      <c r="Z207" s="62">
        <f t="shared" si="451"/>
        <v>44195</v>
      </c>
      <c r="AA207" s="62">
        <f t="shared" si="451"/>
        <v>44285</v>
      </c>
      <c r="AB207" s="62">
        <f t="shared" si="451"/>
        <v>44377</v>
      </c>
      <c r="AC207" s="62">
        <f t="shared" si="451"/>
        <v>44469</v>
      </c>
      <c r="AD207" s="62">
        <f t="shared" si="451"/>
        <v>44560</v>
      </c>
      <c r="AE207" s="62">
        <f t="shared" si="451"/>
        <v>44650</v>
      </c>
      <c r="AF207" s="62">
        <f t="shared" si="451"/>
        <v>44742</v>
      </c>
      <c r="AG207" s="62">
        <f t="shared" si="451"/>
        <v>44834</v>
      </c>
      <c r="AH207" s="62">
        <f t="shared" si="451"/>
        <v>44926</v>
      </c>
      <c r="AI207" s="62">
        <f t="shared" si="451"/>
        <v>45015</v>
      </c>
      <c r="AJ207" s="62">
        <f t="shared" si="451"/>
        <v>45107</v>
      </c>
      <c r="AK207" s="62">
        <f t="shared" si="451"/>
        <v>45199</v>
      </c>
      <c r="AL207" s="62">
        <f t="shared" si="451"/>
        <v>45291</v>
      </c>
      <c r="AM207" s="62">
        <f t="shared" si="451"/>
        <v>45381</v>
      </c>
      <c r="AN207" s="62">
        <f t="shared" si="451"/>
        <v>45473</v>
      </c>
      <c r="AO207" s="62">
        <f t="shared" si="451"/>
        <v>45565</v>
      </c>
      <c r="AP207" s="62">
        <f t="shared" si="451"/>
        <v>45657</v>
      </c>
      <c r="AQ207" s="62">
        <f t="shared" si="451"/>
        <v>45746</v>
      </c>
      <c r="AR207" s="62">
        <f t="shared" si="451"/>
        <v>45838</v>
      </c>
      <c r="AS207" s="62">
        <f t="shared" si="451"/>
        <v>45930</v>
      </c>
      <c r="AT207" s="62">
        <f t="shared" si="451"/>
        <v>46022</v>
      </c>
      <c r="AU207" s="62">
        <f t="shared" si="451"/>
        <v>46111</v>
      </c>
      <c r="AV207" s="176"/>
      <c r="AW207"/>
      <c r="AX207"/>
    </row>
    <row r="208" spans="2:50" ht="13.5" customHeight="1">
      <c r="B208" s="1" t="s">
        <v>307</v>
      </c>
      <c r="C208" s="21">
        <f t="shared" ref="C208:M208" si="452">C135*C$204</f>
        <v>3821.2313035000002</v>
      </c>
      <c r="D208" s="21">
        <f t="shared" si="452"/>
        <v>3715.2128312</v>
      </c>
      <c r="E208" s="21">
        <f t="shared" si="452"/>
        <v>3614.5193442</v>
      </c>
      <c r="F208" s="21">
        <f t="shared" si="452"/>
        <v>3826.0504482000001</v>
      </c>
      <c r="G208" s="21">
        <f t="shared" si="452"/>
        <v>4094.2621569619996</v>
      </c>
      <c r="H208" s="21">
        <f t="shared" si="452"/>
        <v>4225.9355574299998</v>
      </c>
      <c r="I208" s="21">
        <f t="shared" si="452"/>
        <v>4991.5131219929999</v>
      </c>
      <c r="J208" s="21">
        <f t="shared" si="452"/>
        <v>5214.4464543749991</v>
      </c>
      <c r="K208" s="21">
        <f t="shared" si="452"/>
        <v>5590.8651187333335</v>
      </c>
      <c r="L208" s="21">
        <f t="shared" si="452"/>
        <v>5879.1862102000005</v>
      </c>
      <c r="M208" s="21">
        <f t="shared" si="452"/>
        <v>5987.1303870808233</v>
      </c>
      <c r="N208" s="21"/>
      <c r="O208" s="288"/>
      <c r="P208" s="288"/>
      <c r="Q208" s="288"/>
      <c r="R208" s="21">
        <f t="shared" ref="R208:AU208" si="453">R135*R$205</f>
        <v>3614.5193442</v>
      </c>
      <c r="S208" s="21">
        <f t="shared" si="453"/>
        <v>3647.0120190000002</v>
      </c>
      <c r="T208" s="21">
        <f t="shared" si="453"/>
        <v>3671.7820916000001</v>
      </c>
      <c r="U208" s="21">
        <f t="shared" si="453"/>
        <v>3740.0042318000001</v>
      </c>
      <c r="V208" s="21">
        <f t="shared" si="453"/>
        <v>3826.0504482000006</v>
      </c>
      <c r="W208" s="21">
        <f t="shared" si="453"/>
        <v>3888.9581279125009</v>
      </c>
      <c r="X208" s="21">
        <f t="shared" si="453"/>
        <v>3985.6606114669999</v>
      </c>
      <c r="Y208" s="21">
        <f t="shared" si="453"/>
        <v>4063.1746232647506</v>
      </c>
      <c r="Z208" s="21">
        <f t="shared" si="453"/>
        <v>4094.2621569620001</v>
      </c>
      <c r="AA208" s="21">
        <f t="shared" si="453"/>
        <v>4109.2110031740003</v>
      </c>
      <c r="AB208" s="21">
        <f t="shared" si="453"/>
        <v>4088.8707110820001</v>
      </c>
      <c r="AC208" s="21">
        <f t="shared" si="453"/>
        <v>4109.8443372990005</v>
      </c>
      <c r="AD208" s="21">
        <f t="shared" si="453"/>
        <v>4225.9355574299989</v>
      </c>
      <c r="AE208" s="21">
        <f t="shared" si="453"/>
        <v>4454.5382751854995</v>
      </c>
      <c r="AF208" s="21">
        <f t="shared" si="453"/>
        <v>4615.5141646034999</v>
      </c>
      <c r="AG208" s="21">
        <f t="shared" si="453"/>
        <v>4833.5183728499997</v>
      </c>
      <c r="AH208" s="21">
        <f t="shared" si="453"/>
        <v>4986.2053618500013</v>
      </c>
      <c r="AI208" s="21">
        <f t="shared" si="453"/>
        <v>5134.7284312500005</v>
      </c>
      <c r="AJ208" s="21">
        <f t="shared" si="453"/>
        <v>5183.1598387500007</v>
      </c>
      <c r="AK208" s="21">
        <f t="shared" si="453"/>
        <v>5193.0019350000002</v>
      </c>
      <c r="AL208" s="21">
        <f t="shared" si="453"/>
        <v>5214.4464543749991</v>
      </c>
      <c r="AM208" s="21">
        <f t="shared" si="453"/>
        <v>5320.7163342666663</v>
      </c>
      <c r="AN208" s="21">
        <f t="shared" si="453"/>
        <v>5417.2497465333317</v>
      </c>
      <c r="AO208" s="21">
        <f t="shared" si="453"/>
        <v>5526.5120011083318</v>
      </c>
      <c r="AP208" s="21">
        <f t="shared" si="453"/>
        <v>5590.8651187333335</v>
      </c>
      <c r="AQ208" s="21">
        <f t="shared" si="453"/>
        <v>5672.1772084499999</v>
      </c>
      <c r="AR208" s="21">
        <f t="shared" si="453"/>
        <v>5707.8231558999987</v>
      </c>
      <c r="AS208" s="21">
        <f t="shared" si="453"/>
        <v>5799.9402944999983</v>
      </c>
      <c r="AT208" s="21">
        <f t="shared" si="453"/>
        <v>5881.9591143261287</v>
      </c>
      <c r="AU208" s="21">
        <f t="shared" si="453"/>
        <v>5987.1303870808233</v>
      </c>
      <c r="AV208" s="21"/>
      <c r="AW208"/>
      <c r="AX208"/>
    </row>
    <row r="209" spans="1:50" ht="13.5" customHeight="1">
      <c r="B209" s="1" t="s">
        <v>261</v>
      </c>
      <c r="C209" s="21">
        <f t="shared" ref="C209:M209" si="454">C136*C$204</f>
        <v>990.31400000000008</v>
      </c>
      <c r="D209" s="21">
        <f t="shared" si="454"/>
        <v>1044.83206</v>
      </c>
      <c r="E209" s="21">
        <f t="shared" si="454"/>
        <v>1072.6650999999999</v>
      </c>
      <c r="F209" s="21">
        <f t="shared" si="454"/>
        <v>1071.1721400000001</v>
      </c>
      <c r="G209" s="21">
        <f t="shared" si="454"/>
        <v>1069.9985270999998</v>
      </c>
      <c r="H209" s="21">
        <f t="shared" si="454"/>
        <v>931.18868562499995</v>
      </c>
      <c r="I209" s="21">
        <f t="shared" si="454"/>
        <v>1048.21775561853</v>
      </c>
      <c r="J209" s="21">
        <f t="shared" si="454"/>
        <v>1199.3226845062497</v>
      </c>
      <c r="K209" s="21">
        <f t="shared" si="454"/>
        <v>1229.9903261213333</v>
      </c>
      <c r="L209" s="21">
        <f t="shared" si="454"/>
        <v>1293.4209662440001</v>
      </c>
      <c r="M209" s="21">
        <f t="shared" si="454"/>
        <v>1317.1686851577811</v>
      </c>
      <c r="N209" s="21"/>
      <c r="O209" s="288"/>
      <c r="P209" s="288"/>
      <c r="Q209" s="288"/>
      <c r="R209" s="21">
        <f t="shared" ref="R209:AU209" si="455">R136*R$205</f>
        <v>1072.6650999999999</v>
      </c>
      <c r="S209" s="21">
        <f t="shared" si="455"/>
        <v>1075.57104</v>
      </c>
      <c r="T209" s="21">
        <f t="shared" si="455"/>
        <v>1057.3622599999999</v>
      </c>
      <c r="U209" s="21">
        <f t="shared" si="455"/>
        <v>1053.9764400000001</v>
      </c>
      <c r="V209" s="21">
        <f t="shared" si="455"/>
        <v>1071.1721400000001</v>
      </c>
      <c r="W209" s="21">
        <f t="shared" si="455"/>
        <v>1082.2983418750002</v>
      </c>
      <c r="X209" s="21">
        <f t="shared" si="455"/>
        <v>1091.3232047000001</v>
      </c>
      <c r="Y209" s="21">
        <f t="shared" si="455"/>
        <v>1092.6714083250004</v>
      </c>
      <c r="Z209" s="21">
        <f t="shared" si="455"/>
        <v>1069.9985271</v>
      </c>
      <c r="AA209" s="21">
        <f t="shared" si="455"/>
        <v>1072.6413407999999</v>
      </c>
      <c r="AB209" s="21">
        <f t="shared" si="455"/>
        <v>1017.4946051999999</v>
      </c>
      <c r="AC209" s="21">
        <f t="shared" si="455"/>
        <v>944.88118110000005</v>
      </c>
      <c r="AD209" s="21">
        <f t="shared" si="455"/>
        <v>931.18868562499995</v>
      </c>
      <c r="AE209" s="21">
        <f t="shared" si="455"/>
        <v>941.97955254899989</v>
      </c>
      <c r="AF209" s="21">
        <f t="shared" si="455"/>
        <v>956.87616872449996</v>
      </c>
      <c r="AG209" s="21">
        <f t="shared" si="455"/>
        <v>973.20729275000008</v>
      </c>
      <c r="AH209" s="21">
        <f t="shared" si="455"/>
        <v>1047.1031259885001</v>
      </c>
      <c r="AI209" s="21">
        <f t="shared" si="455"/>
        <v>1127.8582116750001</v>
      </c>
      <c r="AJ209" s="21">
        <f t="shared" si="455"/>
        <v>1160.340711675</v>
      </c>
      <c r="AK209" s="21">
        <f t="shared" si="455"/>
        <v>1192.8291625725001</v>
      </c>
      <c r="AL209" s="21">
        <f t="shared" si="455"/>
        <v>1199.3226845062497</v>
      </c>
      <c r="AM209" s="21">
        <f t="shared" si="455"/>
        <v>1170.5774080000001</v>
      </c>
      <c r="AN209" s="21">
        <f t="shared" si="455"/>
        <v>1191.7401906666664</v>
      </c>
      <c r="AO209" s="21">
        <f t="shared" si="455"/>
        <v>1215.8372709999999</v>
      </c>
      <c r="AP209" s="21">
        <f t="shared" si="455"/>
        <v>1229.9903261213333</v>
      </c>
      <c r="AQ209" s="21">
        <f t="shared" si="455"/>
        <v>1247.8812720000001</v>
      </c>
      <c r="AR209" s="21">
        <f t="shared" si="455"/>
        <v>1255.7362179999998</v>
      </c>
      <c r="AS209" s="21">
        <f t="shared" si="455"/>
        <v>1275.9622424999998</v>
      </c>
      <c r="AT209" s="21">
        <f t="shared" si="455"/>
        <v>1294.0310051517481</v>
      </c>
      <c r="AU209" s="21">
        <f t="shared" si="455"/>
        <v>1317.1686851577811</v>
      </c>
      <c r="AV209" s="21"/>
      <c r="AW209"/>
      <c r="AX209"/>
    </row>
    <row r="210" spans="1:50" ht="13.5" customHeight="1">
      <c r="B210" s="1" t="s">
        <v>295</v>
      </c>
      <c r="C210" s="97">
        <f t="shared" ref="C210:M210" si="456">C209/C208</f>
        <v>0.25916096706654124</v>
      </c>
      <c r="D210" s="97">
        <f t="shared" si="456"/>
        <v>0.28123074167530882</v>
      </c>
      <c r="E210" s="97">
        <f t="shared" si="456"/>
        <v>0.29676562714244165</v>
      </c>
      <c r="F210" s="97">
        <f t="shared" si="456"/>
        <v>0.27996811712295711</v>
      </c>
      <c r="G210" s="97">
        <f t="shared" si="456"/>
        <v>0.2613409904103341</v>
      </c>
      <c r="H210" s="97">
        <f t="shared" si="456"/>
        <v>0.22035089578869532</v>
      </c>
      <c r="I210" s="97">
        <f t="shared" si="456"/>
        <v>0.21</v>
      </c>
      <c r="J210" s="97">
        <f t="shared" si="456"/>
        <v>0.22999999999999998</v>
      </c>
      <c r="K210" s="97">
        <f>K209/K208</f>
        <v>0.21999999999999997</v>
      </c>
      <c r="L210" s="97">
        <f>L209/L208</f>
        <v>0.22</v>
      </c>
      <c r="M210" s="97">
        <f t="shared" si="456"/>
        <v>0.22</v>
      </c>
      <c r="N210" s="302"/>
      <c r="O210" s="289"/>
      <c r="P210" s="289"/>
      <c r="Q210" s="289"/>
      <c r="R210" s="97">
        <f t="shared" ref="R210:W210" si="457">R209/R208</f>
        <v>0.29676562714244165</v>
      </c>
      <c r="S210" s="97">
        <f t="shared" si="457"/>
        <v>0.2949184248356051</v>
      </c>
      <c r="T210" s="97">
        <f t="shared" si="457"/>
        <v>0.28796977424639275</v>
      </c>
      <c r="U210" s="97">
        <f t="shared" si="457"/>
        <v>0.28181156348391062</v>
      </c>
      <c r="V210" s="97">
        <f t="shared" si="457"/>
        <v>0.27996811712295705</v>
      </c>
      <c r="W210" s="97">
        <f t="shared" si="457"/>
        <v>0.27830033296243073</v>
      </c>
      <c r="X210" s="97">
        <f t="shared" ref="X210:AC210" si="458">X209/X208</f>
        <v>0.27381237668862063</v>
      </c>
      <c r="Y210" s="97">
        <f t="shared" si="458"/>
        <v>0.26892061248577143</v>
      </c>
      <c r="Z210" s="97">
        <f t="shared" si="458"/>
        <v>0.26134099041033415</v>
      </c>
      <c r="AA210" s="97">
        <f t="shared" si="458"/>
        <v>0.26103340518933676</v>
      </c>
      <c r="AB210" s="97">
        <f t="shared" si="458"/>
        <v>0.2488448955948401</v>
      </c>
      <c r="AC210" s="97">
        <f t="shared" si="458"/>
        <v>0.22990680511295916</v>
      </c>
      <c r="AD210" s="97">
        <f t="shared" ref="AD210:AI210" si="459">AD209/AD208</f>
        <v>0.22035089578869538</v>
      </c>
      <c r="AE210" s="97">
        <f t="shared" si="459"/>
        <v>0.21146513832789399</v>
      </c>
      <c r="AF210" s="97">
        <f t="shared" si="459"/>
        <v>0.20731735070012536</v>
      </c>
      <c r="AG210" s="97">
        <f t="shared" si="459"/>
        <v>0.20134552466305522</v>
      </c>
      <c r="AH210" s="97">
        <f t="shared" si="459"/>
        <v>0.20999999999999996</v>
      </c>
      <c r="AI210" s="97">
        <f t="shared" si="459"/>
        <v>0.2196529430477463</v>
      </c>
      <c r="AJ210" s="97">
        <f t="shared" ref="AJ210:AO210" si="460">AJ209/AJ208</f>
        <v>0.22386743758124852</v>
      </c>
      <c r="AK210" s="97">
        <f t="shared" si="460"/>
        <v>0.22969934875876374</v>
      </c>
      <c r="AL210" s="97">
        <f t="shared" si="460"/>
        <v>0.22999999999999998</v>
      </c>
      <c r="AM210" s="97">
        <f t="shared" si="460"/>
        <v>0.2200037240213702</v>
      </c>
      <c r="AN210" s="97">
        <f t="shared" si="460"/>
        <v>0.21998989273649391</v>
      </c>
      <c r="AO210" s="97">
        <f t="shared" si="460"/>
        <v>0.2200008379166038</v>
      </c>
      <c r="AP210" s="97">
        <f t="shared" ref="AP210:AU210" si="461">AP209/AP208</f>
        <v>0.21999999999999997</v>
      </c>
      <c r="AQ210" s="97">
        <f t="shared" si="461"/>
        <v>0.22000040304470683</v>
      </c>
      <c r="AR210" s="97">
        <f t="shared" si="461"/>
        <v>0.22000264964445937</v>
      </c>
      <c r="AS210" s="97">
        <f t="shared" si="461"/>
        <v>0.21999575473388525</v>
      </c>
      <c r="AT210" s="97">
        <f t="shared" si="461"/>
        <v>0.21999999999999997</v>
      </c>
      <c r="AU210" s="97">
        <f t="shared" si="461"/>
        <v>0.22</v>
      </c>
      <c r="AV210" s="302"/>
      <c r="AW210"/>
      <c r="AX210"/>
    </row>
    <row r="211" spans="1:50" ht="13.5" customHeight="1">
      <c r="B211" s="1" t="s">
        <v>244</v>
      </c>
      <c r="C211" s="21">
        <f t="shared" ref="C211:M211" si="462">C138*C$204</f>
        <v>96.098834000000011</v>
      </c>
      <c r="D211" s="21">
        <f t="shared" si="462"/>
        <v>124.76266819999999</v>
      </c>
      <c r="E211" s="21">
        <f t="shared" si="462"/>
        <v>112.138625</v>
      </c>
      <c r="F211" s="21">
        <f t="shared" si="462"/>
        <v>139.86075940000001</v>
      </c>
      <c r="G211" s="21">
        <f t="shared" si="462"/>
        <v>124.73025138599998</v>
      </c>
      <c r="H211" s="21">
        <f t="shared" si="462"/>
        <v>91.304750361499998</v>
      </c>
      <c r="I211" s="21">
        <f t="shared" si="462"/>
        <v>115.12421638499998</v>
      </c>
      <c r="J211" s="21">
        <f t="shared" si="462"/>
        <v>148.95663362499997</v>
      </c>
      <c r="K211" s="21">
        <f t="shared" si="462"/>
        <v>171.89751817500002</v>
      </c>
      <c r="L211" s="21">
        <f t="shared" si="462"/>
        <v>181.55609905000003</v>
      </c>
      <c r="M211" s="21">
        <f t="shared" si="462"/>
        <v>187.19314036602569</v>
      </c>
      <c r="N211" s="21"/>
      <c r="O211" s="288"/>
      <c r="P211" s="288"/>
      <c r="Q211" s="288"/>
      <c r="R211" s="21">
        <f t="shared" ref="R211:AU211" si="463">R138*R$205</f>
        <v>112.138625</v>
      </c>
      <c r="S211" s="21">
        <f t="shared" si="463"/>
        <v>112.19674380000001</v>
      </c>
      <c r="T211" s="21">
        <f t="shared" si="463"/>
        <v>127.01570479999999</v>
      </c>
      <c r="U211" s="21">
        <f t="shared" si="463"/>
        <v>131.97233199999999</v>
      </c>
      <c r="V211" s="21">
        <f t="shared" si="463"/>
        <v>139.86075940000003</v>
      </c>
      <c r="W211" s="21">
        <f t="shared" si="463"/>
        <v>133.26533030000004</v>
      </c>
      <c r="X211" s="21">
        <f t="shared" si="463"/>
        <v>133.22465506400002</v>
      </c>
      <c r="Y211" s="21">
        <f t="shared" si="463"/>
        <v>129.60633921900003</v>
      </c>
      <c r="Z211" s="21">
        <f t="shared" si="463"/>
        <v>124.73025138599996</v>
      </c>
      <c r="AA211" s="21">
        <f t="shared" si="463"/>
        <v>119.45108264700001</v>
      </c>
      <c r="AB211" s="21">
        <f t="shared" si="463"/>
        <v>108.65400248399999</v>
      </c>
      <c r="AC211" s="21">
        <f t="shared" si="463"/>
        <v>99.309724136999989</v>
      </c>
      <c r="AD211" s="21">
        <f t="shared" si="463"/>
        <v>91.304750361500012</v>
      </c>
      <c r="AE211" s="21">
        <f t="shared" si="463"/>
        <v>91.9865977125</v>
      </c>
      <c r="AF211" s="21">
        <f t="shared" si="463"/>
        <v>93.529183427749999</v>
      </c>
      <c r="AG211" s="21">
        <f t="shared" si="463"/>
        <v>102.23446695000001</v>
      </c>
      <c r="AH211" s="21">
        <f t="shared" si="463"/>
        <v>115.00179825000004</v>
      </c>
      <c r="AI211" s="21">
        <f t="shared" si="463"/>
        <v>124.79962875</v>
      </c>
      <c r="AJ211" s="21">
        <f t="shared" si="463"/>
        <v>137.02343250000001</v>
      </c>
      <c r="AK211" s="21">
        <f t="shared" si="463"/>
        <v>143.27059287500001</v>
      </c>
      <c r="AL211" s="21">
        <f t="shared" si="463"/>
        <v>148.95663362499997</v>
      </c>
      <c r="AM211" s="21">
        <f t="shared" si="463"/>
        <v>140.54864273333334</v>
      </c>
      <c r="AN211" s="21">
        <f t="shared" si="463"/>
        <v>151.60141359999997</v>
      </c>
      <c r="AO211" s="21">
        <f t="shared" si="463"/>
        <v>171.25644701666661</v>
      </c>
      <c r="AP211" s="21">
        <f t="shared" si="463"/>
        <v>171.89751817499999</v>
      </c>
      <c r="AQ211" s="21">
        <f t="shared" si="463"/>
        <v>185.85047370000001</v>
      </c>
      <c r="AR211" s="21">
        <f t="shared" si="463"/>
        <v>184.18302959999997</v>
      </c>
      <c r="AS211" s="21">
        <f t="shared" si="463"/>
        <v>177.06730799999997</v>
      </c>
      <c r="AT211" s="21">
        <f t="shared" si="463"/>
        <v>181.64172955023926</v>
      </c>
      <c r="AU211" s="21">
        <f t="shared" si="463"/>
        <v>187.19314036602569</v>
      </c>
      <c r="AV211" s="21"/>
      <c r="AW211"/>
      <c r="AX211"/>
    </row>
    <row r="212" spans="1:50" ht="13.5" customHeight="1">
      <c r="B212" s="1" t="s">
        <v>263</v>
      </c>
      <c r="C212" s="21">
        <f t="shared" ref="C212:M212" si="464">C139*C$204</f>
        <v>1303.7030760000002</v>
      </c>
      <c r="D212" s="21">
        <f t="shared" si="464"/>
        <v>862.09082340000009</v>
      </c>
      <c r="E212" s="21">
        <f t="shared" si="464"/>
        <v>645.10828260000005</v>
      </c>
      <c r="F212" s="21">
        <f t="shared" si="464"/>
        <v>532.52070319999996</v>
      </c>
      <c r="G212" s="21">
        <f t="shared" si="464"/>
        <v>331.42253924749997</v>
      </c>
      <c r="H212" s="21">
        <f t="shared" si="464"/>
        <v>431.65054886024996</v>
      </c>
      <c r="I212" s="21">
        <f t="shared" si="464"/>
        <v>511.49613889649999</v>
      </c>
      <c r="J212" s="21">
        <f t="shared" si="464"/>
        <v>878.78550924999979</v>
      </c>
      <c r="K212" s="21">
        <f t="shared" si="464"/>
        <v>1125.1347454500001</v>
      </c>
      <c r="L212" s="21">
        <f t="shared" si="464"/>
        <v>1336.0660968999998</v>
      </c>
      <c r="M212" s="21">
        <f t="shared" si="464"/>
        <v>1289.688796667853</v>
      </c>
      <c r="N212" s="21"/>
      <c r="O212" s="288"/>
      <c r="P212" s="288"/>
      <c r="Q212" s="288"/>
      <c r="R212" s="21">
        <f t="shared" ref="R212:AU212" si="465">R139*R$205</f>
        <v>645.10828260000005</v>
      </c>
      <c r="S212" s="21">
        <f t="shared" si="465"/>
        <v>650.0038583999999</v>
      </c>
      <c r="T212" s="21">
        <f t="shared" si="465"/>
        <v>612.73157879999997</v>
      </c>
      <c r="U212" s="21">
        <f t="shared" si="465"/>
        <v>578.36310639999988</v>
      </c>
      <c r="V212" s="21">
        <f t="shared" si="465"/>
        <v>532.52070320000007</v>
      </c>
      <c r="W212" s="21">
        <f t="shared" si="465"/>
        <v>462.52440665625005</v>
      </c>
      <c r="X212" s="21">
        <f t="shared" si="465"/>
        <v>440.4860249190001</v>
      </c>
      <c r="Y212" s="21">
        <f t="shared" si="465"/>
        <v>376.09575524850015</v>
      </c>
      <c r="Z212" s="21">
        <f t="shared" si="465"/>
        <v>331.42253924749997</v>
      </c>
      <c r="AA212" s="21">
        <f t="shared" si="465"/>
        <v>323.16173728500002</v>
      </c>
      <c r="AB212" s="21">
        <f t="shared" si="465"/>
        <v>341.297759955</v>
      </c>
      <c r="AC212" s="21">
        <f t="shared" si="465"/>
        <v>372.75326594099994</v>
      </c>
      <c r="AD212" s="21">
        <f t="shared" si="465"/>
        <v>431.6505488602499</v>
      </c>
      <c r="AE212" s="21">
        <f t="shared" si="465"/>
        <v>481.30592557349991</v>
      </c>
      <c r="AF212" s="21">
        <f t="shared" si="465"/>
        <v>505.52460593749993</v>
      </c>
      <c r="AG212" s="21">
        <f t="shared" si="465"/>
        <v>520.78691655000011</v>
      </c>
      <c r="AH212" s="21">
        <f t="shared" si="465"/>
        <v>510.9522359250002</v>
      </c>
      <c r="AI212" s="21">
        <f t="shared" si="465"/>
        <v>559.47352124999998</v>
      </c>
      <c r="AJ212" s="21">
        <f t="shared" si="465"/>
        <v>600.40466624999999</v>
      </c>
      <c r="AK212" s="21">
        <f t="shared" si="465"/>
        <v>706.67849074999992</v>
      </c>
      <c r="AL212" s="21">
        <f t="shared" si="465"/>
        <v>878.7855092499999</v>
      </c>
      <c r="AM212" s="21">
        <f t="shared" si="465"/>
        <v>944.00666360000014</v>
      </c>
      <c r="AN212" s="21">
        <f t="shared" si="465"/>
        <v>1088.4041508666664</v>
      </c>
      <c r="AO212" s="21">
        <f t="shared" si="465"/>
        <v>1084.9832389916667</v>
      </c>
      <c r="AP212" s="21">
        <f t="shared" si="465"/>
        <v>1125.1347454500001</v>
      </c>
      <c r="AQ212" s="21">
        <f t="shared" si="465"/>
        <v>1219.5464461000001</v>
      </c>
      <c r="AR212" s="21">
        <f t="shared" si="465"/>
        <v>1214.2480878499998</v>
      </c>
      <c r="AS212" s="21">
        <f t="shared" si="465"/>
        <v>1305.9627974249997</v>
      </c>
      <c r="AT212" s="21">
        <f t="shared" si="465"/>
        <v>1336.6962492817095</v>
      </c>
      <c r="AU212" s="21">
        <f t="shared" si="465"/>
        <v>1289.688796667853</v>
      </c>
      <c r="AV212" s="21"/>
      <c r="AW212"/>
      <c r="AX212"/>
    </row>
    <row r="213" spans="1:50" ht="13.5" customHeight="1">
      <c r="B213" s="1" t="s">
        <v>249</v>
      </c>
      <c r="C213" s="21">
        <f t="shared" ref="C213:M213" si="466">C140*C$204</f>
        <v>-424.41990500000014</v>
      </c>
      <c r="D213" s="21">
        <f t="shared" si="466"/>
        <v>-15.260983800000069</v>
      </c>
      <c r="E213" s="21">
        <f t="shared" si="466"/>
        <v>-30.805629999999962</v>
      </c>
      <c r="F213" s="21">
        <f t="shared" si="466"/>
        <v>282.60986320000006</v>
      </c>
      <c r="G213" s="21">
        <f t="shared" si="466"/>
        <v>408.46168670049997</v>
      </c>
      <c r="H213" s="21">
        <f t="shared" si="466"/>
        <v>488.39453444099996</v>
      </c>
      <c r="I213" s="21">
        <f t="shared" si="466"/>
        <v>61.224557146529939</v>
      </c>
      <c r="J213" s="21">
        <f t="shared" si="466"/>
        <v>-87.464351118750017</v>
      </c>
      <c r="K213" s="21">
        <f t="shared" si="466"/>
        <v>-34.415096262000169</v>
      </c>
      <c r="L213" s="21">
        <f t="shared" si="466"/>
        <v>-606.47278150599993</v>
      </c>
      <c r="M213" s="21">
        <f t="shared" si="466"/>
        <v>-508.43690504230022</v>
      </c>
      <c r="N213" s="21"/>
      <c r="O213" s="288"/>
      <c r="P213" s="288"/>
      <c r="Q213" s="288"/>
      <c r="R213" s="21">
        <f t="shared" ref="R213:AU213" si="467">R140*R$205</f>
        <v>-30.805629999999972</v>
      </c>
      <c r="S213" s="21">
        <f t="shared" si="467"/>
        <v>9.6490538000000452</v>
      </c>
      <c r="T213" s="21">
        <f t="shared" si="467"/>
        <v>63.679009600000043</v>
      </c>
      <c r="U213" s="21">
        <f t="shared" si="467"/>
        <v>212.51805720000013</v>
      </c>
      <c r="V213" s="21">
        <f t="shared" si="467"/>
        <v>282.60986320000012</v>
      </c>
      <c r="W213" s="21">
        <f t="shared" si="467"/>
        <v>263.73288620000011</v>
      </c>
      <c r="X213" s="21">
        <f t="shared" si="467"/>
        <v>385.5687880430001</v>
      </c>
      <c r="Y213" s="21">
        <f t="shared" si="467"/>
        <v>454.39796343900008</v>
      </c>
      <c r="Z213" s="21">
        <f t="shared" si="467"/>
        <v>408.46168670050002</v>
      </c>
      <c r="AA213" s="21">
        <f t="shared" si="467"/>
        <v>545.67641542800004</v>
      </c>
      <c r="AB213" s="21">
        <f t="shared" si="467"/>
        <v>527.51159272199993</v>
      </c>
      <c r="AC213" s="21">
        <f t="shared" si="467"/>
        <v>478.78059847499986</v>
      </c>
      <c r="AD213" s="21">
        <f t="shared" si="467"/>
        <v>488.39453444099996</v>
      </c>
      <c r="AE213" s="21">
        <f t="shared" si="467"/>
        <v>322.554694074</v>
      </c>
      <c r="AF213" s="21">
        <f t="shared" si="467"/>
        <v>128.784076223</v>
      </c>
      <c r="AG213" s="21">
        <f t="shared" si="467"/>
        <v>187.02045565000012</v>
      </c>
      <c r="AH213" s="21">
        <f t="shared" si="467"/>
        <v>61.159453588499964</v>
      </c>
      <c r="AI213" s="21">
        <f t="shared" si="467"/>
        <v>119.40545167499998</v>
      </c>
      <c r="AJ213" s="21">
        <f t="shared" si="467"/>
        <v>257.210327925</v>
      </c>
      <c r="AK213" s="21">
        <f t="shared" si="467"/>
        <v>-105.50469655249991</v>
      </c>
      <c r="AL213" s="21">
        <f t="shared" si="467"/>
        <v>-87.464351118750002</v>
      </c>
      <c r="AM213" s="21">
        <f t="shared" si="467"/>
        <v>-38.943570399999977</v>
      </c>
      <c r="AN213" s="21">
        <f t="shared" si="467"/>
        <v>-101.44199473333322</v>
      </c>
      <c r="AO213" s="21">
        <f t="shared" si="467"/>
        <v>142.59904711666641</v>
      </c>
      <c r="AP213" s="21">
        <f t="shared" si="467"/>
        <v>-34.415096261999985</v>
      </c>
      <c r="AQ213" s="21">
        <f t="shared" si="467"/>
        <v>-227.28451449999989</v>
      </c>
      <c r="AR213" s="21">
        <f t="shared" si="467"/>
        <v>-341.36268394999973</v>
      </c>
      <c r="AS213" s="21">
        <f t="shared" si="467"/>
        <v>-668.24442052499967</v>
      </c>
      <c r="AT213" s="21">
        <f t="shared" si="467"/>
        <v>-606.7588229440654</v>
      </c>
      <c r="AU213" s="21">
        <f t="shared" si="467"/>
        <v>-508.4369050423004</v>
      </c>
      <c r="AV213" s="21"/>
      <c r="AW213"/>
      <c r="AX213"/>
    </row>
    <row r="214" spans="1:50" ht="13.5" customHeight="1">
      <c r="B214" s="1" t="s">
        <v>296</v>
      </c>
      <c r="C214" s="21">
        <f t="shared" ref="C214:M214" si="468">C141*C$203</f>
        <v>194.53802000000002</v>
      </c>
      <c r="D214" s="21">
        <f t="shared" si="468"/>
        <v>504.40524090833333</v>
      </c>
      <c r="E214" s="21">
        <f t="shared" si="468"/>
        <v>315.39124575000005</v>
      </c>
      <c r="F214" s="21">
        <f t="shared" si="468"/>
        <v>305.94776059999998</v>
      </c>
      <c r="G214" s="21">
        <f t="shared" si="468"/>
        <v>134.26950116999998</v>
      </c>
      <c r="H214" s="21">
        <f t="shared" si="468"/>
        <v>154.63904059999999</v>
      </c>
      <c r="I214" s="21">
        <f t="shared" si="468"/>
        <v>145.75311400000001</v>
      </c>
      <c r="J214" s="21">
        <f t="shared" si="468"/>
        <v>691.2575963999999</v>
      </c>
      <c r="K214" s="21">
        <f t="shared" si="468"/>
        <v>140.55774540000002</v>
      </c>
      <c r="L214" s="21">
        <f t="shared" si="468"/>
        <v>139.4421974</v>
      </c>
      <c r="M214" s="21">
        <f t="shared" si="468"/>
        <v>431.74766853184116</v>
      </c>
      <c r="N214" s="21"/>
      <c r="O214" s="288"/>
      <c r="P214" s="288"/>
      <c r="Q214" s="288"/>
      <c r="R214" s="21">
        <f t="shared" ref="R214:AU214" si="469">R141*R$203</f>
        <v>315.36167320000004</v>
      </c>
      <c r="S214" s="21">
        <f t="shared" si="469"/>
        <v>163.12973956666667</v>
      </c>
      <c r="T214" s="21">
        <f t="shared" si="469"/>
        <v>137.60404770000002</v>
      </c>
      <c r="U214" s="21">
        <f t="shared" si="469"/>
        <v>315.11426840000001</v>
      </c>
      <c r="V214" s="21">
        <f t="shared" si="469"/>
        <v>148.64362980000001</v>
      </c>
      <c r="W214" s="21">
        <f t="shared" si="469"/>
        <v>99.896240168999995</v>
      </c>
      <c r="X214" s="21">
        <f t="shared" si="469"/>
        <v>157.64739705899999</v>
      </c>
      <c r="Y214" s="21">
        <f t="shared" si="469"/>
        <v>261.03899296499998</v>
      </c>
      <c r="Z214" s="21">
        <f t="shared" si="469"/>
        <v>134.26950116999998</v>
      </c>
      <c r="AA214" s="21">
        <f t="shared" si="469"/>
        <v>142.02257752799997</v>
      </c>
      <c r="AB214" s="21">
        <f t="shared" si="469"/>
        <v>165.043406304</v>
      </c>
      <c r="AC214" s="21">
        <f t="shared" si="469"/>
        <v>152.73165758100001</v>
      </c>
      <c r="AD214" s="21">
        <f t="shared" si="469"/>
        <v>154.63904059999999</v>
      </c>
      <c r="AE214" s="21">
        <f t="shared" si="469"/>
        <v>124.0549505</v>
      </c>
      <c r="AF214" s="21">
        <f t="shared" si="469"/>
        <v>127.62311900000002</v>
      </c>
      <c r="AG214" s="21">
        <f t="shared" si="469"/>
        <v>139.7490675</v>
      </c>
      <c r="AH214" s="21">
        <f t="shared" si="469"/>
        <v>145.47965600000003</v>
      </c>
      <c r="AI214" s="21">
        <f t="shared" si="469"/>
        <v>121.14939600000001</v>
      </c>
      <c r="AJ214" s="21">
        <f t="shared" si="469"/>
        <v>208.73020439999999</v>
      </c>
      <c r="AK214" s="21">
        <f t="shared" si="469"/>
        <v>634.29845239999997</v>
      </c>
      <c r="AL214" s="21">
        <f t="shared" si="469"/>
        <v>691.2575963999999</v>
      </c>
      <c r="AM214" s="21">
        <f t="shared" si="469"/>
        <v>144.91282939999999</v>
      </c>
      <c r="AN214" s="21">
        <f t="shared" si="469"/>
        <v>196.50777250000002</v>
      </c>
      <c r="AO214" s="21">
        <f t="shared" si="469"/>
        <v>99.963269600000004</v>
      </c>
      <c r="AP214" s="21">
        <f t="shared" si="469"/>
        <v>140.55774540000002</v>
      </c>
      <c r="AQ214" s="21">
        <f t="shared" si="469"/>
        <v>150.99370880000001</v>
      </c>
      <c r="AR214" s="21">
        <f t="shared" si="469"/>
        <v>122.29608500000001</v>
      </c>
      <c r="AS214" s="21">
        <f t="shared" si="469"/>
        <v>179.63685179999999</v>
      </c>
      <c r="AT214" s="21">
        <f t="shared" si="469"/>
        <v>139.44731790551347</v>
      </c>
      <c r="AU214" s="21">
        <f t="shared" si="469"/>
        <v>431.74766853184116</v>
      </c>
      <c r="AV214" s="21"/>
      <c r="AW214"/>
      <c r="AX214"/>
    </row>
    <row r="215" spans="1:50" ht="13.5" customHeight="1">
      <c r="B215" s="1" t="s">
        <v>277</v>
      </c>
      <c r="C215" s="21">
        <f t="shared" ref="C215:M215" si="470">C142*C$203</f>
        <v>3095.9615494000004</v>
      </c>
      <c r="D215" s="21">
        <f t="shared" si="470"/>
        <v>3413.576747175</v>
      </c>
      <c r="E215" s="21">
        <f t="shared" si="470"/>
        <v>3846.0874882500002</v>
      </c>
      <c r="F215" s="21">
        <f t="shared" si="470"/>
        <v>3608.2302501999998</v>
      </c>
      <c r="G215" s="21">
        <f t="shared" si="470"/>
        <v>3114.1289593229999</v>
      </c>
      <c r="H215" s="21">
        <f t="shared" si="470"/>
        <v>2721.4629574000001</v>
      </c>
      <c r="I215" s="21">
        <f t="shared" si="470"/>
        <v>2683.1201344999999</v>
      </c>
      <c r="J215" s="21">
        <f t="shared" si="470"/>
        <v>3328.1581010999998</v>
      </c>
      <c r="K215" s="21">
        <f t="shared" si="470"/>
        <v>2838.6986529000005</v>
      </c>
      <c r="L215" s="21">
        <f t="shared" si="470"/>
        <v>3476.2664494000001</v>
      </c>
      <c r="M215" s="21">
        <f t="shared" si="470"/>
        <v>3767.1971755928589</v>
      </c>
      <c r="N215" s="21"/>
      <c r="O215" s="21">
        <f t="shared" ref="O215:Q217" si="471">O142*O$203</f>
        <v>3256.1242666666662</v>
      </c>
      <c r="P215" s="21">
        <f t="shared" si="471"/>
        <v>3150.1765255999994</v>
      </c>
      <c r="Q215" s="21">
        <f t="shared" si="471"/>
        <v>3648.3069146999997</v>
      </c>
      <c r="R215" s="21">
        <f t="shared" ref="R215:AU215" si="472">R142*R$203</f>
        <v>3845.7268611999998</v>
      </c>
      <c r="S215" s="21">
        <f t="shared" si="472"/>
        <v>3628.9815206000003</v>
      </c>
      <c r="T215" s="21">
        <f t="shared" si="472"/>
        <v>3710.9557072000007</v>
      </c>
      <c r="U215" s="21">
        <f t="shared" si="472"/>
        <v>3790.2434022000007</v>
      </c>
      <c r="V215" s="21">
        <f t="shared" si="472"/>
        <v>3608.2302501999998</v>
      </c>
      <c r="W215" s="21">
        <f t="shared" si="472"/>
        <v>3481.7528003389994</v>
      </c>
      <c r="X215" s="21">
        <f t="shared" si="472"/>
        <v>3517.8467973030001</v>
      </c>
      <c r="Y215" s="21">
        <f t="shared" si="472"/>
        <v>3447.7013762880001</v>
      </c>
      <c r="Z215" s="21">
        <f t="shared" si="472"/>
        <v>3114.1289593229999</v>
      </c>
      <c r="AA215" s="21">
        <f t="shared" si="472"/>
        <v>3003.1032205409997</v>
      </c>
      <c r="AB215" s="21">
        <f t="shared" si="472"/>
        <v>3073.1435747580003</v>
      </c>
      <c r="AC215" s="21">
        <f t="shared" si="472"/>
        <v>2864.9438478419993</v>
      </c>
      <c r="AD215" s="21">
        <f t="shared" si="472"/>
        <v>2721.4629574000001</v>
      </c>
      <c r="AE215" s="21">
        <f t="shared" si="472"/>
        <v>2788.9451524999999</v>
      </c>
      <c r="AF215" s="21">
        <f t="shared" si="472"/>
        <v>2992.3240944999998</v>
      </c>
      <c r="AG215" s="21">
        <f t="shared" si="472"/>
        <v>2810.2110513000002</v>
      </c>
      <c r="AH215" s="21">
        <f t="shared" si="472"/>
        <v>2678.0861379999997</v>
      </c>
      <c r="AI215" s="21">
        <f t="shared" si="472"/>
        <v>2682.3016800000005</v>
      </c>
      <c r="AJ215" s="21">
        <f t="shared" si="472"/>
        <v>2830.3690307999996</v>
      </c>
      <c r="AK215" s="21">
        <f t="shared" si="472"/>
        <v>3401.6509746000002</v>
      </c>
      <c r="AL215" s="21">
        <f t="shared" si="472"/>
        <v>3328.1581010999998</v>
      </c>
      <c r="AM215" s="21">
        <f t="shared" si="472"/>
        <v>2697.0940912000005</v>
      </c>
      <c r="AN215" s="21">
        <f t="shared" si="472"/>
        <v>2846.2069415000005</v>
      </c>
      <c r="AO215" s="21">
        <f t="shared" si="472"/>
        <v>2742.7981290000002</v>
      </c>
      <c r="AP215" s="21">
        <f t="shared" si="472"/>
        <v>2838.6986529000005</v>
      </c>
      <c r="AQ215" s="21">
        <f t="shared" si="472"/>
        <v>2947.3176530000001</v>
      </c>
      <c r="AR215" s="21">
        <f t="shared" si="472"/>
        <v>3115.7760612000006</v>
      </c>
      <c r="AS215" s="21">
        <f t="shared" si="472"/>
        <v>3496.7213022000001</v>
      </c>
      <c r="AT215" s="21">
        <f t="shared" si="472"/>
        <v>3476.3941025914469</v>
      </c>
      <c r="AU215" s="21">
        <f t="shared" si="472"/>
        <v>3767.1971755928589</v>
      </c>
      <c r="AV215" s="21"/>
      <c r="AW215"/>
      <c r="AX215"/>
    </row>
    <row r="216" spans="1:50" ht="13.5" customHeight="1">
      <c r="B216" s="1" t="s">
        <v>297</v>
      </c>
      <c r="C216" s="21">
        <f t="shared" ref="C216:M216" si="473">C143*C$203</f>
        <v>2901.4235294000005</v>
      </c>
      <c r="D216" s="21">
        <f t="shared" si="473"/>
        <v>2909.1715062666663</v>
      </c>
      <c r="E216" s="21">
        <f t="shared" si="473"/>
        <v>3530.6962425000002</v>
      </c>
      <c r="F216" s="21">
        <f t="shared" si="473"/>
        <v>3302.2824895999997</v>
      </c>
      <c r="G216" s="21">
        <f t="shared" si="473"/>
        <v>2979.8594581530001</v>
      </c>
      <c r="H216" s="21">
        <f t="shared" si="473"/>
        <v>2566.8239168</v>
      </c>
      <c r="I216" s="21">
        <f t="shared" si="473"/>
        <v>2537.3670204999999</v>
      </c>
      <c r="J216" s="21">
        <f t="shared" si="473"/>
        <v>2636.9005046999996</v>
      </c>
      <c r="K216" s="21">
        <f t="shared" si="473"/>
        <v>2698.1409075000006</v>
      </c>
      <c r="L216" s="21">
        <f t="shared" si="473"/>
        <v>3336.8242519999999</v>
      </c>
      <c r="M216" s="21">
        <f t="shared" si="473"/>
        <v>3335.4495070610174</v>
      </c>
      <c r="N216" s="21"/>
      <c r="O216" s="21">
        <f t="shared" si="471"/>
        <v>2913.0679999999998</v>
      </c>
      <c r="P216" s="21">
        <f t="shared" si="471"/>
        <v>3045.0993347999993</v>
      </c>
      <c r="Q216" s="21">
        <f t="shared" si="471"/>
        <v>3540.3379535999993</v>
      </c>
      <c r="R216" s="21">
        <f t="shared" ref="R216:AU216" si="474">R143*R$203</f>
        <v>3397.1987545999996</v>
      </c>
      <c r="S216" s="21">
        <f t="shared" si="474"/>
        <v>3465.8517810333337</v>
      </c>
      <c r="T216" s="21">
        <f t="shared" si="474"/>
        <v>3573.3516595000001</v>
      </c>
      <c r="U216" s="21">
        <f t="shared" si="474"/>
        <v>3475.1291338000005</v>
      </c>
      <c r="V216" s="21">
        <f t="shared" si="474"/>
        <v>3302.2824895999997</v>
      </c>
      <c r="W216" s="21">
        <f t="shared" si="474"/>
        <v>3381.8565601699993</v>
      </c>
      <c r="X216" s="21">
        <f t="shared" si="474"/>
        <v>3360.1994002440001</v>
      </c>
      <c r="Y216" s="21">
        <f t="shared" si="474"/>
        <v>3186.6623833230001</v>
      </c>
      <c r="Z216" s="21">
        <f t="shared" si="474"/>
        <v>2979.8594581530001</v>
      </c>
      <c r="AA216" s="21">
        <f t="shared" si="474"/>
        <v>2861.0806430129996</v>
      </c>
      <c r="AB216" s="21">
        <f t="shared" si="474"/>
        <v>2908.1001684540001</v>
      </c>
      <c r="AC216" s="21">
        <f t="shared" si="474"/>
        <v>2712.2121902609993</v>
      </c>
      <c r="AD216" s="21">
        <f t="shared" si="474"/>
        <v>2566.8239168</v>
      </c>
      <c r="AE216" s="21">
        <f t="shared" si="474"/>
        <v>2664.890202</v>
      </c>
      <c r="AF216" s="21">
        <f t="shared" si="474"/>
        <v>2864.7009754999995</v>
      </c>
      <c r="AG216" s="21">
        <f t="shared" si="474"/>
        <v>2670.4619838000003</v>
      </c>
      <c r="AH216" s="21">
        <f t="shared" si="474"/>
        <v>2532.6064820000001</v>
      </c>
      <c r="AI216" s="21">
        <f t="shared" si="474"/>
        <v>2561.1522840000007</v>
      </c>
      <c r="AJ216" s="21">
        <f t="shared" si="474"/>
        <v>2621.6388263999997</v>
      </c>
      <c r="AK216" s="21">
        <f t="shared" si="474"/>
        <v>2767.3525222000003</v>
      </c>
      <c r="AL216" s="21">
        <f t="shared" si="474"/>
        <v>2636.9005046999996</v>
      </c>
      <c r="AM216" s="21">
        <f t="shared" si="474"/>
        <v>2552.1812618000008</v>
      </c>
      <c r="AN216" s="21">
        <f t="shared" si="474"/>
        <v>2649.6991690000004</v>
      </c>
      <c r="AO216" s="21">
        <f t="shared" si="474"/>
        <v>2642.8348593999999</v>
      </c>
      <c r="AP216" s="21">
        <f t="shared" si="474"/>
        <v>2698.1409075000006</v>
      </c>
      <c r="AQ216" s="21">
        <f t="shared" si="474"/>
        <v>2796.3239441999999</v>
      </c>
      <c r="AR216" s="21">
        <f t="shared" si="474"/>
        <v>2993.4799762000007</v>
      </c>
      <c r="AS216" s="21">
        <f t="shared" si="474"/>
        <v>3317.0844504000002</v>
      </c>
      <c r="AT216" s="21">
        <f t="shared" si="474"/>
        <v>3336.9467846859334</v>
      </c>
      <c r="AU216" s="21">
        <f t="shared" si="474"/>
        <v>3335.4495070610174</v>
      </c>
      <c r="AV216" s="21"/>
      <c r="AW216"/>
      <c r="AX216"/>
    </row>
    <row r="217" spans="1:50" ht="13.5" customHeight="1">
      <c r="B217" s="1" t="s">
        <v>282</v>
      </c>
      <c r="C217" s="21">
        <f t="shared" ref="C217:M217" si="475">C144*C$203</f>
        <v>2901.4078</v>
      </c>
      <c r="D217" s="21">
        <f t="shared" si="475"/>
        <v>2909.0605833333334</v>
      </c>
      <c r="E217" s="21">
        <f t="shared" si="475"/>
        <v>3397.6023750000008</v>
      </c>
      <c r="F217" s="21">
        <f t="shared" si="475"/>
        <v>3187.203</v>
      </c>
      <c r="G217" s="21">
        <f t="shared" si="475"/>
        <v>2866.4035829999998</v>
      </c>
      <c r="H217" s="21">
        <f t="shared" si="475"/>
        <v>2449.391384</v>
      </c>
      <c r="I217" s="21">
        <f t="shared" si="475"/>
        <v>2412.9568254999999</v>
      </c>
      <c r="J217" s="21">
        <f t="shared" si="475"/>
        <v>2516.8478999999998</v>
      </c>
      <c r="K217" s="21">
        <f t="shared" si="475"/>
        <v>2569.1954999999998</v>
      </c>
      <c r="L217" s="21">
        <f t="shared" si="475"/>
        <v>3190.1340004000003</v>
      </c>
      <c r="M217" s="21">
        <f t="shared" si="475"/>
        <v>3192.6458832933654</v>
      </c>
      <c r="N217" s="21"/>
      <c r="O217" s="21">
        <f t="shared" si="471"/>
        <v>2913.0679999999998</v>
      </c>
      <c r="P217" s="21">
        <f t="shared" si="471"/>
        <v>3045.0993347999993</v>
      </c>
      <c r="Q217" s="21">
        <f t="shared" si="471"/>
        <v>3540.3379535999993</v>
      </c>
      <c r="R217" s="21">
        <f t="shared" ref="R217:AU217" si="476">R144*R$203</f>
        <v>3397.2838000000002</v>
      </c>
      <c r="S217" s="21">
        <f t="shared" si="476"/>
        <v>3364.3833995000005</v>
      </c>
      <c r="T217" s="21">
        <f t="shared" si="476"/>
        <v>3463.2890020000004</v>
      </c>
      <c r="U217" s="21">
        <f t="shared" si="476"/>
        <v>3370.0908666000005</v>
      </c>
      <c r="V217" s="21">
        <f t="shared" si="476"/>
        <v>3187.203</v>
      </c>
      <c r="W217" s="21">
        <f t="shared" si="476"/>
        <v>3269.2763355559991</v>
      </c>
      <c r="X217" s="21">
        <f t="shared" si="476"/>
        <v>3241.8629856570001</v>
      </c>
      <c r="Y217" s="21">
        <f t="shared" si="476"/>
        <v>3065.7448988430001</v>
      </c>
      <c r="Z217" s="21">
        <f t="shared" si="476"/>
        <v>2866.4035829999998</v>
      </c>
      <c r="AA217" s="21">
        <f t="shared" si="476"/>
        <v>2748.9885028979998</v>
      </c>
      <c r="AB217" s="21">
        <f t="shared" si="476"/>
        <v>2801.8587023189998</v>
      </c>
      <c r="AC217" s="21">
        <f t="shared" si="476"/>
        <v>2606.2195244369991</v>
      </c>
      <c r="AD217" s="21">
        <f t="shared" si="476"/>
        <v>2449.391384</v>
      </c>
      <c r="AE217" s="21">
        <f t="shared" si="476"/>
        <v>2547.575836</v>
      </c>
      <c r="AF217" s="21">
        <f t="shared" si="476"/>
        <v>2745.9141969999996</v>
      </c>
      <c r="AG217" s="21">
        <f t="shared" si="476"/>
        <v>2554.2853848000004</v>
      </c>
      <c r="AH217" s="21">
        <f t="shared" si="476"/>
        <v>2408.4297019999999</v>
      </c>
      <c r="AI217" s="21">
        <f t="shared" si="476"/>
        <v>2442.8267280000005</v>
      </c>
      <c r="AJ217" s="21">
        <f t="shared" si="476"/>
        <v>2503.5312939999999</v>
      </c>
      <c r="AK217" s="21">
        <f t="shared" si="476"/>
        <v>2644.9868546000002</v>
      </c>
      <c r="AL217" s="21">
        <f t="shared" si="476"/>
        <v>2516.8478999999998</v>
      </c>
      <c r="AM217" s="21">
        <f t="shared" si="476"/>
        <v>2432.8052466000004</v>
      </c>
      <c r="AN217" s="21">
        <f t="shared" si="476"/>
        <v>2534.9749165000003</v>
      </c>
      <c r="AO217" s="21">
        <f t="shared" si="476"/>
        <v>2523.6094732000001</v>
      </c>
      <c r="AP217" s="21">
        <f t="shared" si="476"/>
        <v>2569.1954999999998</v>
      </c>
      <c r="AQ217" s="21">
        <f t="shared" si="476"/>
        <v>2670.157627</v>
      </c>
      <c r="AR217" s="21">
        <f t="shared" si="476"/>
        <v>2869.7034614000004</v>
      </c>
      <c r="AS217" s="21">
        <f t="shared" si="476"/>
        <v>3192.6657</v>
      </c>
      <c r="AT217" s="21">
        <f t="shared" si="476"/>
        <v>3190.2511464220966</v>
      </c>
      <c r="AU217" s="21">
        <f t="shared" si="476"/>
        <v>3192.6458832933654</v>
      </c>
      <c r="AV217" s="21"/>
      <c r="AW217"/>
      <c r="AX217"/>
    </row>
    <row r="218" spans="1:50" ht="13.5" customHeight="1">
      <c r="B218" s="1" t="s">
        <v>298</v>
      </c>
      <c r="C218" s="37">
        <f t="shared" ref="C218:M218" si="477">C215/C209</f>
        <v>3.126242332633892</v>
      </c>
      <c r="D218" s="37">
        <f t="shared" si="477"/>
        <v>3.2671056697618948</v>
      </c>
      <c r="E218" s="37">
        <f t="shared" si="477"/>
        <v>3.5855436037305588</v>
      </c>
      <c r="F218" s="37">
        <f t="shared" si="477"/>
        <v>3.3684877672415934</v>
      </c>
      <c r="G218" s="37">
        <f t="shared" si="477"/>
        <v>2.9104049028583008</v>
      </c>
      <c r="H218" s="37">
        <f t="shared" si="477"/>
        <v>2.9225687547668118</v>
      </c>
      <c r="I218" s="37">
        <f t="shared" si="477"/>
        <v>2.5596972767521482</v>
      </c>
      <c r="J218" s="37">
        <f t="shared" si="477"/>
        <v>2.775031394049027</v>
      </c>
      <c r="K218" s="37">
        <f>K215/K209</f>
        <v>2.3079032351836362</v>
      </c>
      <c r="L218" s="37">
        <f>L215/L209</f>
        <v>2.6876527751786981</v>
      </c>
      <c r="M218" s="37">
        <f t="shared" si="477"/>
        <v>2.8600719240008305</v>
      </c>
      <c r="N218" s="37"/>
      <c r="O218" s="288"/>
      <c r="P218" s="288"/>
      <c r="Q218" s="288"/>
      <c r="R218" s="37">
        <f t="shared" ref="R218:W218" si="478">R215/R209</f>
        <v>3.5852074064868895</v>
      </c>
      <c r="S218" s="37">
        <f t="shared" si="478"/>
        <v>3.3740044921626007</v>
      </c>
      <c r="T218" s="37">
        <f t="shared" si="478"/>
        <v>3.5096351057583624</v>
      </c>
      <c r="U218" s="37">
        <f t="shared" si="478"/>
        <v>3.5961367430566096</v>
      </c>
      <c r="V218" s="37">
        <f t="shared" si="478"/>
        <v>3.3684877672415934</v>
      </c>
      <c r="W218" s="37">
        <f t="shared" si="478"/>
        <v>3.2169991079420166</v>
      </c>
      <c r="X218" s="37">
        <f t="shared" ref="X218:AC218" si="479">X215/X209</f>
        <v>3.2234692547108814</v>
      </c>
      <c r="Y218" s="37">
        <f t="shared" si="479"/>
        <v>3.1552956817760238</v>
      </c>
      <c r="Z218" s="37">
        <f t="shared" si="479"/>
        <v>2.9104049028583003</v>
      </c>
      <c r="AA218" s="37">
        <f t="shared" si="479"/>
        <v>2.7997272772474147</v>
      </c>
      <c r="AB218" s="37">
        <f t="shared" si="479"/>
        <v>3.0203045392598811</v>
      </c>
      <c r="AC218" s="37">
        <f t="shared" si="479"/>
        <v>3.032067846357914</v>
      </c>
      <c r="AD218" s="37">
        <f t="shared" ref="AD218:AI218" si="480">AD215/AD209</f>
        <v>2.9225687547668118</v>
      </c>
      <c r="AE218" s="37">
        <f t="shared" si="480"/>
        <v>2.9607279106569826</v>
      </c>
      <c r="AF218" s="37">
        <f t="shared" si="480"/>
        <v>3.1271800806667787</v>
      </c>
      <c r="AG218" s="37">
        <f t="shared" si="480"/>
        <v>2.8875770580789251</v>
      </c>
      <c r="AH218" s="37">
        <f t="shared" si="480"/>
        <v>2.557614499977543</v>
      </c>
      <c r="AI218" s="37">
        <f t="shared" si="480"/>
        <v>2.3782259615918138</v>
      </c>
      <c r="AJ218" s="37">
        <f t="shared" ref="AJ218:AO218" si="481">AJ215/AJ209</f>
        <v>2.4392568513038246</v>
      </c>
      <c r="AK218" s="37">
        <f t="shared" si="481"/>
        <v>2.8517503439167031</v>
      </c>
      <c r="AL218" s="37">
        <f t="shared" si="481"/>
        <v>2.775031394049027</v>
      </c>
      <c r="AM218" s="37">
        <f t="shared" si="481"/>
        <v>2.3040715400514551</v>
      </c>
      <c r="AN218" s="37">
        <f t="shared" si="481"/>
        <v>2.3882780523729887</v>
      </c>
      <c r="AO218" s="37">
        <f t="shared" si="481"/>
        <v>2.2558924573385615</v>
      </c>
      <c r="AP218" s="37">
        <f t="shared" ref="AP218:AU218" si="482">AP215/AP209</f>
        <v>2.3079032351836362</v>
      </c>
      <c r="AQ218" s="37">
        <f t="shared" si="482"/>
        <v>2.3618574291737588</v>
      </c>
      <c r="AR218" s="37">
        <f t="shared" si="482"/>
        <v>2.4812345272341276</v>
      </c>
      <c r="AS218" s="37">
        <f t="shared" si="482"/>
        <v>2.7404582876597154</v>
      </c>
      <c r="AT218" s="37">
        <f t="shared" si="482"/>
        <v>2.686484395467617</v>
      </c>
      <c r="AU218" s="37">
        <f t="shared" si="482"/>
        <v>2.8600719240008305</v>
      </c>
      <c r="AV218" s="37"/>
      <c r="AW218"/>
      <c r="AX218"/>
    </row>
    <row r="219" spans="1:50" ht="13.5" customHeight="1">
      <c r="B219" s="5" t="s">
        <v>299</v>
      </c>
      <c r="C219" s="36">
        <f t="shared" ref="C219:M219" si="483">C216/C209</f>
        <v>2.9298015875772738</v>
      </c>
      <c r="D219" s="36">
        <f t="shared" si="483"/>
        <v>2.7843436449171231</v>
      </c>
      <c r="E219" s="36">
        <f t="shared" si="483"/>
        <v>3.2915177742801554</v>
      </c>
      <c r="F219" s="36">
        <f t="shared" si="483"/>
        <v>3.0828681649617953</v>
      </c>
      <c r="G219" s="36">
        <f t="shared" si="483"/>
        <v>2.7849192150098245</v>
      </c>
      <c r="H219" s="36">
        <f t="shared" si="483"/>
        <v>2.7565024751961911</v>
      </c>
      <c r="I219" s="36">
        <f t="shared" si="483"/>
        <v>2.4206487696850316</v>
      </c>
      <c r="J219" s="36">
        <f t="shared" si="483"/>
        <v>2.1986580748996567</v>
      </c>
      <c r="K219" s="36">
        <f>K216/K209</f>
        <v>2.1936277466574485</v>
      </c>
      <c r="L219" s="36">
        <f>L216/L209</f>
        <v>2.5798439480147701</v>
      </c>
      <c r="M219" s="36">
        <f t="shared" si="483"/>
        <v>2.532287280016432</v>
      </c>
      <c r="N219" s="36"/>
      <c r="O219" s="288"/>
      <c r="P219" s="288"/>
      <c r="Q219" s="288"/>
      <c r="R219" s="36">
        <f t="shared" ref="R219:W219" si="484">R216/R209</f>
        <v>3.1670637504660122</v>
      </c>
      <c r="S219" s="36">
        <f t="shared" si="484"/>
        <v>3.2223364632738098</v>
      </c>
      <c r="T219" s="36">
        <f t="shared" si="484"/>
        <v>3.3794961241571082</v>
      </c>
      <c r="U219" s="36">
        <f t="shared" si="484"/>
        <v>3.2971601659331209</v>
      </c>
      <c r="V219" s="36">
        <f t="shared" si="484"/>
        <v>3.0828681649617953</v>
      </c>
      <c r="W219" s="36">
        <f t="shared" si="484"/>
        <v>3.1246990125765026</v>
      </c>
      <c r="X219" s="36">
        <f t="shared" ref="X219:AC219" si="485">X216/X209</f>
        <v>3.0790139765860691</v>
      </c>
      <c r="Y219" s="36">
        <f t="shared" si="485"/>
        <v>2.9163958707476039</v>
      </c>
      <c r="Z219" s="36">
        <f t="shared" si="485"/>
        <v>2.7849192150098241</v>
      </c>
      <c r="AA219" s="36">
        <f t="shared" si="485"/>
        <v>2.6673227426412094</v>
      </c>
      <c r="AB219" s="36">
        <f t="shared" si="485"/>
        <v>2.8580988573225707</v>
      </c>
      <c r="AC219" s="36">
        <f t="shared" si="485"/>
        <v>2.8704267208534406</v>
      </c>
      <c r="AD219" s="36">
        <f t="shared" ref="AD219:AI219" si="486">AD216/AD209</f>
        <v>2.7565024751961911</v>
      </c>
      <c r="AE219" s="36">
        <f t="shared" si="486"/>
        <v>2.8290318986105358</v>
      </c>
      <c r="AF219" s="36">
        <f t="shared" si="486"/>
        <v>2.9938053314867257</v>
      </c>
      <c r="AG219" s="36">
        <f t="shared" si="486"/>
        <v>2.7439806541667533</v>
      </c>
      <c r="AH219" s="36">
        <f t="shared" si="486"/>
        <v>2.4186791340242975</v>
      </c>
      <c r="AI219" s="36">
        <f t="shared" si="486"/>
        <v>2.2708105127828015</v>
      </c>
      <c r="AJ219" s="36">
        <f t="shared" ref="AJ219:AO219" si="487">AJ216/AJ209</f>
        <v>2.2593698557861988</v>
      </c>
      <c r="AK219" s="36">
        <f t="shared" si="487"/>
        <v>2.3199906650771549</v>
      </c>
      <c r="AL219" s="36">
        <f t="shared" si="487"/>
        <v>2.1986580748996567</v>
      </c>
      <c r="AM219" s="36">
        <f t="shared" si="487"/>
        <v>2.1802755156197247</v>
      </c>
      <c r="AN219" s="36">
        <f t="shared" si="487"/>
        <v>2.2233865986492769</v>
      </c>
      <c r="AO219" s="36">
        <f t="shared" si="487"/>
        <v>2.1736748185275858</v>
      </c>
      <c r="AP219" s="36">
        <f t="shared" ref="AP219:AU219" si="488">AP216/AP209</f>
        <v>2.1936277466574485</v>
      </c>
      <c r="AQ219" s="36">
        <f t="shared" si="488"/>
        <v>2.2408573691616391</v>
      </c>
      <c r="AR219" s="36">
        <f t="shared" si="488"/>
        <v>2.3838445792124165</v>
      </c>
      <c r="AS219" s="36">
        <f t="shared" si="488"/>
        <v>2.5996728899287946</v>
      </c>
      <c r="AT219" s="36">
        <f t="shared" si="488"/>
        <v>2.5787224350892712</v>
      </c>
      <c r="AU219" s="36">
        <f t="shared" si="488"/>
        <v>2.532287280016432</v>
      </c>
      <c r="AV219" s="36"/>
      <c r="AW219"/>
      <c r="AX219"/>
    </row>
    <row r="220" spans="1:50" ht="13.5" customHeight="1">
      <c r="B220" s="5" t="s">
        <v>300</v>
      </c>
      <c r="C220" s="36">
        <f t="shared" ref="C220:M220" si="489">C217/C209</f>
        <v>2.9297857043321609</v>
      </c>
      <c r="D220" s="36">
        <f t="shared" si="489"/>
        <v>2.784237481508113</v>
      </c>
      <c r="E220" s="36">
        <f t="shared" si="489"/>
        <v>3.1674400285792843</v>
      </c>
      <c r="F220" s="36">
        <f t="shared" si="489"/>
        <v>2.9754349286940935</v>
      </c>
      <c r="G220" s="36">
        <f t="shared" si="489"/>
        <v>2.6788855408696386</v>
      </c>
      <c r="H220" s="36">
        <f t="shared" si="489"/>
        <v>2.6303921233278356</v>
      </c>
      <c r="I220" s="36">
        <f t="shared" si="489"/>
        <v>2.3019614126610248</v>
      </c>
      <c r="J220" s="36">
        <f t="shared" si="489"/>
        <v>2.0985577380587639</v>
      </c>
      <c r="K220" s="36">
        <f>K217/K209</f>
        <v>2.0887932575061243</v>
      </c>
      <c r="L220" s="36">
        <f>L217/L209</f>
        <v>2.4664313349302791</v>
      </c>
      <c r="M220" s="36">
        <f t="shared" si="489"/>
        <v>2.423870168846995</v>
      </c>
      <c r="N220" s="36"/>
      <c r="O220" s="288"/>
      <c r="P220" s="288"/>
      <c r="Q220" s="288"/>
      <c r="R220" s="36">
        <f t="shared" ref="R220:W220" si="490">R217/R209</f>
        <v>3.1671430346713065</v>
      </c>
      <c r="S220" s="36">
        <f t="shared" si="490"/>
        <v>3.127997384068653</v>
      </c>
      <c r="T220" s="36">
        <f t="shared" si="490"/>
        <v>3.275404403028344</v>
      </c>
      <c r="U220" s="36">
        <f t="shared" si="490"/>
        <v>3.1975011382607375</v>
      </c>
      <c r="V220" s="36">
        <f t="shared" si="490"/>
        <v>2.9754349286940935</v>
      </c>
      <c r="W220" s="36">
        <f t="shared" si="490"/>
        <v>3.0206794273492319</v>
      </c>
      <c r="X220" s="36">
        <f t="shared" ref="X220:AC220" si="491">X217/X209</f>
        <v>2.9705800918511338</v>
      </c>
      <c r="Y220" s="36">
        <f t="shared" si="491"/>
        <v>2.805733613495573</v>
      </c>
      <c r="Z220" s="36">
        <f t="shared" si="491"/>
        <v>2.6788855408696381</v>
      </c>
      <c r="AA220" s="36">
        <f t="shared" si="491"/>
        <v>2.5628216984884649</v>
      </c>
      <c r="AB220" s="36">
        <f t="shared" si="491"/>
        <v>2.7536840863822203</v>
      </c>
      <c r="AC220" s="36">
        <f t="shared" si="491"/>
        <v>2.7582510653910184</v>
      </c>
      <c r="AD220" s="36">
        <f t="shared" ref="AD220:AI220" si="492">AD217/AD209</f>
        <v>2.6303921233278356</v>
      </c>
      <c r="AE220" s="36">
        <f t="shared" si="492"/>
        <v>2.7044916517627704</v>
      </c>
      <c r="AF220" s="36">
        <f t="shared" si="492"/>
        <v>2.8696651528695272</v>
      </c>
      <c r="AG220" s="36">
        <f t="shared" si="492"/>
        <v>2.6246056763326697</v>
      </c>
      <c r="AH220" s="36">
        <f t="shared" si="492"/>
        <v>2.3000883506353422</v>
      </c>
      <c r="AI220" s="36">
        <f t="shared" si="492"/>
        <v>2.1658987829437528</v>
      </c>
      <c r="AJ220" s="36">
        <f t="shared" ref="AJ220:AO220" si="493">AJ217/AJ209</f>
        <v>2.1575829140615506</v>
      </c>
      <c r="AK220" s="36">
        <f t="shared" si="493"/>
        <v>2.2174062620130131</v>
      </c>
      <c r="AL220" s="36">
        <f t="shared" si="493"/>
        <v>2.0985577380587639</v>
      </c>
      <c r="AM220" s="36">
        <f t="shared" si="493"/>
        <v>2.0782950618845364</v>
      </c>
      <c r="AN220" s="36">
        <f t="shared" si="493"/>
        <v>2.1271204381232796</v>
      </c>
      <c r="AO220" s="36">
        <f t="shared" si="493"/>
        <v>2.0756145031846129</v>
      </c>
      <c r="AP220" s="36">
        <f t="shared" ref="AP220:AU220" si="494">AP217/AP209</f>
        <v>2.0887932575061243</v>
      </c>
      <c r="AQ220" s="36">
        <f t="shared" si="494"/>
        <v>2.1397529451824324</v>
      </c>
      <c r="AR220" s="36">
        <f t="shared" si="494"/>
        <v>2.2852756974474722</v>
      </c>
      <c r="AS220" s="36">
        <f t="shared" si="494"/>
        <v>2.5021631468848113</v>
      </c>
      <c r="AT220" s="36">
        <f t="shared" si="494"/>
        <v>2.465359124875051</v>
      </c>
      <c r="AU220" s="36">
        <f t="shared" si="494"/>
        <v>2.423870168846995</v>
      </c>
      <c r="AV220" s="36"/>
      <c r="AW220"/>
      <c r="AX220"/>
    </row>
    <row r="221" spans="1:50" ht="13.5" customHeight="1">
      <c r="B221" s="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c r="AX221"/>
    </row>
    <row r="222" spans="1:50" ht="13.5" customHeight="1">
      <c r="A222" s="23"/>
      <c r="B222" s="15" t="s">
        <v>301</v>
      </c>
      <c r="C222" s="33"/>
      <c r="D222" s="33"/>
      <c r="E222" s="33"/>
      <c r="F222" s="33"/>
      <c r="G222" s="33"/>
      <c r="H222" s="33"/>
      <c r="I222" s="33"/>
      <c r="J222" s="33"/>
      <c r="K222" s="33"/>
      <c r="L222" s="33"/>
      <c r="M222" s="33"/>
      <c r="N222" s="177"/>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177"/>
      <c r="AW222"/>
      <c r="AX222"/>
    </row>
    <row r="223" spans="1:50" s="5" customFormat="1" ht="13.5" customHeight="1">
      <c r="A223" s="52"/>
      <c r="B223" s="53" t="s">
        <v>88</v>
      </c>
      <c r="C223" s="62">
        <f t="shared" ref="C223:M223" si="495">+C119</f>
        <v>42735</v>
      </c>
      <c r="D223" s="62">
        <f t="shared" si="495"/>
        <v>43100</v>
      </c>
      <c r="E223" s="62">
        <f t="shared" si="495"/>
        <v>43465</v>
      </c>
      <c r="F223" s="62">
        <f t="shared" si="495"/>
        <v>43830</v>
      </c>
      <c r="G223" s="62">
        <f t="shared" si="495"/>
        <v>44196</v>
      </c>
      <c r="H223" s="62">
        <f t="shared" si="495"/>
        <v>44561</v>
      </c>
      <c r="I223" s="62">
        <f t="shared" si="495"/>
        <v>44926</v>
      </c>
      <c r="J223" s="62">
        <f t="shared" si="495"/>
        <v>45291</v>
      </c>
      <c r="K223" s="62">
        <f t="shared" si="495"/>
        <v>45657</v>
      </c>
      <c r="L223" s="62">
        <f t="shared" si="495"/>
        <v>46022</v>
      </c>
      <c r="M223" s="62">
        <f t="shared" si="495"/>
        <v>46111</v>
      </c>
      <c r="N223" s="176"/>
      <c r="O223" s="62">
        <f t="shared" ref="O223:AU223" si="496">+O119</f>
        <v>43189</v>
      </c>
      <c r="P223" s="62">
        <f t="shared" si="496"/>
        <v>43281</v>
      </c>
      <c r="Q223" s="62">
        <f t="shared" si="496"/>
        <v>43373</v>
      </c>
      <c r="R223" s="62">
        <f t="shared" si="496"/>
        <v>43464</v>
      </c>
      <c r="S223" s="62">
        <f t="shared" si="496"/>
        <v>43554</v>
      </c>
      <c r="T223" s="62">
        <f t="shared" si="496"/>
        <v>43646</v>
      </c>
      <c r="U223" s="62">
        <f t="shared" si="496"/>
        <v>43738</v>
      </c>
      <c r="V223" s="62">
        <f t="shared" si="496"/>
        <v>43829</v>
      </c>
      <c r="W223" s="62">
        <f t="shared" si="496"/>
        <v>43920</v>
      </c>
      <c r="X223" s="62">
        <f t="shared" si="496"/>
        <v>44012</v>
      </c>
      <c r="Y223" s="62">
        <f t="shared" si="496"/>
        <v>44104</v>
      </c>
      <c r="Z223" s="62">
        <f t="shared" si="496"/>
        <v>44195</v>
      </c>
      <c r="AA223" s="62">
        <f t="shared" si="496"/>
        <v>44285</v>
      </c>
      <c r="AB223" s="62">
        <f t="shared" si="496"/>
        <v>44377</v>
      </c>
      <c r="AC223" s="62">
        <f t="shared" si="496"/>
        <v>44469</v>
      </c>
      <c r="AD223" s="62">
        <f t="shared" si="496"/>
        <v>44560</v>
      </c>
      <c r="AE223" s="62">
        <f t="shared" si="496"/>
        <v>44650</v>
      </c>
      <c r="AF223" s="62">
        <f t="shared" si="496"/>
        <v>44742</v>
      </c>
      <c r="AG223" s="62">
        <f t="shared" si="496"/>
        <v>44834</v>
      </c>
      <c r="AH223" s="62">
        <f t="shared" si="496"/>
        <v>44926</v>
      </c>
      <c r="AI223" s="62">
        <f t="shared" si="496"/>
        <v>45015</v>
      </c>
      <c r="AJ223" s="62">
        <f t="shared" si="496"/>
        <v>45107</v>
      </c>
      <c r="AK223" s="62">
        <f t="shared" si="496"/>
        <v>45199</v>
      </c>
      <c r="AL223" s="62">
        <f t="shared" si="496"/>
        <v>45291</v>
      </c>
      <c r="AM223" s="62">
        <f t="shared" si="496"/>
        <v>45381</v>
      </c>
      <c r="AN223" s="62">
        <f t="shared" si="496"/>
        <v>45473</v>
      </c>
      <c r="AO223" s="62">
        <f t="shared" si="496"/>
        <v>45565</v>
      </c>
      <c r="AP223" s="62">
        <f t="shared" si="496"/>
        <v>45657</v>
      </c>
      <c r="AQ223" s="62">
        <f t="shared" si="496"/>
        <v>45746</v>
      </c>
      <c r="AR223" s="62">
        <f t="shared" si="496"/>
        <v>45838</v>
      </c>
      <c r="AS223" s="62">
        <f t="shared" si="496"/>
        <v>45930</v>
      </c>
      <c r="AT223" s="62">
        <f t="shared" si="496"/>
        <v>46022</v>
      </c>
      <c r="AU223" s="62">
        <f t="shared" si="496"/>
        <v>46111</v>
      </c>
      <c r="AV223" s="176"/>
      <c r="AW223"/>
      <c r="AX223"/>
    </row>
    <row r="224" spans="1:50" s="5" customFormat="1" ht="13.5" customHeight="1">
      <c r="B224" s="10"/>
      <c r="C224" s="13"/>
      <c r="D224" s="13"/>
      <c r="E224" s="13"/>
      <c r="F224" s="13"/>
      <c r="G224" s="13"/>
      <c r="H224" s="13"/>
      <c r="I224" s="13"/>
      <c r="J224" s="13"/>
      <c r="K224" s="13"/>
      <c r="L224" s="13"/>
      <c r="M224" s="13"/>
      <c r="N224" s="137"/>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7"/>
      <c r="AW224"/>
      <c r="AX224"/>
    </row>
    <row r="225" spans="1:50" s="5" customFormat="1" ht="13.5" customHeight="1">
      <c r="A225" s="3"/>
      <c r="B225" s="3"/>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c r="AX225"/>
    </row>
    <row r="226" spans="1:50" s="5" customFormat="1" ht="13.5" customHeight="1">
      <c r="B226" s="5" t="str">
        <f>+B7</f>
        <v>Revenue</v>
      </c>
      <c r="C226" s="40">
        <f t="shared" ref="C226:M226" si="497">C7*C$204</f>
        <v>3821.2313035000002</v>
      </c>
      <c r="D226" s="40">
        <f t="shared" si="497"/>
        <v>3715.2128312</v>
      </c>
      <c r="E226" s="40">
        <f t="shared" si="497"/>
        <v>3614.5193442</v>
      </c>
      <c r="F226" s="40">
        <f t="shared" si="497"/>
        <v>3826.0504482000001</v>
      </c>
      <c r="G226" s="40">
        <f t="shared" si="497"/>
        <v>4094.2621569619996</v>
      </c>
      <c r="H226" s="40">
        <f t="shared" si="497"/>
        <v>4225.9355574299998</v>
      </c>
      <c r="I226" s="40">
        <f t="shared" si="497"/>
        <v>4991.5131219929999</v>
      </c>
      <c r="J226" s="40">
        <f t="shared" si="497"/>
        <v>5214.4464543749991</v>
      </c>
      <c r="K226" s="40">
        <f t="shared" si="497"/>
        <v>5590.8651187333335</v>
      </c>
      <c r="L226" s="40">
        <f t="shared" si="497"/>
        <v>5879.1862102000005</v>
      </c>
      <c r="M226" s="40">
        <f t="shared" si="497"/>
        <v>5987.1303870808233</v>
      </c>
      <c r="N226" s="40"/>
      <c r="O226" s="40">
        <f t="shared" ref="O226:AU226" si="498">O7*O$204</f>
        <v>862.02907349999998</v>
      </c>
      <c r="P226" s="40">
        <f t="shared" si="498"/>
        <v>966.98166079999999</v>
      </c>
      <c r="Q226" s="40">
        <f t="shared" si="498"/>
        <v>884.40817600000014</v>
      </c>
      <c r="R226" s="40">
        <f t="shared" si="498"/>
        <v>901.4236543999998</v>
      </c>
      <c r="S226" s="40">
        <f t="shared" si="498"/>
        <v>894.19852780000008</v>
      </c>
      <c r="T226" s="40">
        <f t="shared" si="498"/>
        <v>991.75173340000003</v>
      </c>
      <c r="U226" s="40">
        <f t="shared" si="498"/>
        <v>952.63031620000004</v>
      </c>
      <c r="V226" s="40">
        <f t="shared" si="498"/>
        <v>987.46987080000019</v>
      </c>
      <c r="W226" s="40">
        <f t="shared" si="498"/>
        <v>957.11582700000008</v>
      </c>
      <c r="X226" s="40">
        <f t="shared" si="498"/>
        <v>1088.493093948</v>
      </c>
      <c r="Y226" s="40">
        <f t="shared" si="498"/>
        <v>1030.1556876929999</v>
      </c>
      <c r="Z226" s="40">
        <f t="shared" si="498"/>
        <v>1018.5572731950001</v>
      </c>
      <c r="AA226" s="40">
        <f t="shared" si="498"/>
        <v>972.00494833799996</v>
      </c>
      <c r="AB226" s="40">
        <f t="shared" si="498"/>
        <v>1068.152801856</v>
      </c>
      <c r="AC226" s="40">
        <f t="shared" si="498"/>
        <v>1051.1293139100001</v>
      </c>
      <c r="AD226" s="40">
        <f t="shared" si="498"/>
        <v>1134.5992319999998</v>
      </c>
      <c r="AE226" s="40">
        <f t="shared" si="498"/>
        <v>1200.6216362</v>
      </c>
      <c r="AF226" s="40">
        <f t="shared" si="498"/>
        <v>1229.1451701999999</v>
      </c>
      <c r="AG226" s="40">
        <f t="shared" si="498"/>
        <v>1269.0630980999999</v>
      </c>
      <c r="AH226" s="40">
        <f t="shared" si="498"/>
        <v>1287.2359780000006</v>
      </c>
      <c r="AI226" s="40">
        <f t="shared" si="498"/>
        <v>1349.2259931999999</v>
      </c>
      <c r="AJ226" s="40">
        <f t="shared" si="498"/>
        <v>1277.6402434000001</v>
      </c>
      <c r="AK226" s="40">
        <f t="shared" si="498"/>
        <v>1278.8626044</v>
      </c>
      <c r="AL226" s="40">
        <f t="shared" si="498"/>
        <v>1308.6503079999993</v>
      </c>
      <c r="AM226" s="40">
        <f t="shared" si="498"/>
        <v>1455.6375999999998</v>
      </c>
      <c r="AN226" s="40">
        <f t="shared" si="498"/>
        <v>1374.2219586000001</v>
      </c>
      <c r="AO226" s="40">
        <f t="shared" si="498"/>
        <v>1388.1774465000001</v>
      </c>
      <c r="AP226" s="40">
        <f t="shared" si="498"/>
        <v>1372.8809797999993</v>
      </c>
      <c r="AQ226" s="40">
        <f t="shared" si="498"/>
        <v>1536.9294850000001</v>
      </c>
      <c r="AR226" s="40">
        <f t="shared" si="498"/>
        <v>1409.8879732</v>
      </c>
      <c r="AS226" s="40">
        <f t="shared" si="498"/>
        <v>1480.3228934000001</v>
      </c>
      <c r="AT226" s="40">
        <f t="shared" si="498"/>
        <v>1454.7935162227736</v>
      </c>
      <c r="AU226" s="40">
        <f t="shared" si="498"/>
        <v>1642.1115346679817</v>
      </c>
      <c r="AV226" s="40"/>
      <c r="AW226"/>
      <c r="AX226"/>
    </row>
    <row r="227" spans="1:50" s="34" customFormat="1" ht="13.5" customHeight="1">
      <c r="B227" s="24" t="str">
        <f>+B8</f>
        <v xml:space="preserve">% y-o-y growth </v>
      </c>
      <c r="C227" s="49"/>
      <c r="D227" s="49">
        <f t="shared" ref="D227:L227" si="499">+D226/C226-1</f>
        <v>-2.7744583847330584E-2</v>
      </c>
      <c r="E227" s="49">
        <f t="shared" si="499"/>
        <v>-2.7103019820125973E-2</v>
      </c>
      <c r="F227" s="49">
        <f t="shared" si="499"/>
        <v>5.852260946934229E-2</v>
      </c>
      <c r="G227" s="49">
        <f t="shared" si="499"/>
        <v>7.0101456421773456E-2</v>
      </c>
      <c r="H227" s="49">
        <f t="shared" si="499"/>
        <v>3.2160471269310209E-2</v>
      </c>
      <c r="I227" s="49">
        <f t="shared" si="499"/>
        <v>0.18116167512705417</v>
      </c>
      <c r="J227" s="49">
        <f t="shared" si="499"/>
        <v>4.4662475472565077E-2</v>
      </c>
      <c r="K227" s="49">
        <f t="shared" si="499"/>
        <v>7.2187655516629867E-2</v>
      </c>
      <c r="L227" s="49">
        <f t="shared" si="499"/>
        <v>5.1570031711297926E-2</v>
      </c>
      <c r="M227" s="49"/>
      <c r="N227" s="299"/>
      <c r="O227" s="49"/>
      <c r="P227" s="49"/>
      <c r="Q227" s="49"/>
      <c r="R227" s="49"/>
      <c r="S227" s="49">
        <f t="shared" ref="S227:AL227" si="500">+S226/O226-1</f>
        <v>3.7318293882346865E-2</v>
      </c>
      <c r="T227" s="49">
        <f t="shared" si="500"/>
        <v>2.5615865950867622E-2</v>
      </c>
      <c r="U227" s="49">
        <f t="shared" si="500"/>
        <v>7.7138748884655106E-2</v>
      </c>
      <c r="V227" s="49">
        <f t="shared" si="500"/>
        <v>9.5455911302076979E-2</v>
      </c>
      <c r="W227" s="49">
        <f t="shared" si="500"/>
        <v>7.0361667173391096E-2</v>
      </c>
      <c r="X227" s="49">
        <f t="shared" si="500"/>
        <v>9.7545945512334864E-2</v>
      </c>
      <c r="Y227" s="49">
        <f t="shared" si="500"/>
        <v>8.1380332091723906E-2</v>
      </c>
      <c r="Z227" s="49">
        <f t="shared" si="500"/>
        <v>3.1481874348038952E-2</v>
      </c>
      <c r="AA227" s="49">
        <f t="shared" si="500"/>
        <v>1.5556237727954558E-2</v>
      </c>
      <c r="AB227" s="49">
        <f t="shared" si="500"/>
        <v>-1.8686652405138449E-2</v>
      </c>
      <c r="AC227" s="49">
        <f t="shared" si="500"/>
        <v>2.0359666473297677E-2</v>
      </c>
      <c r="AD227" s="49">
        <f t="shared" si="500"/>
        <v>0.11392777005165411</v>
      </c>
      <c r="AE227" s="49">
        <f>AE226/AA226-1</f>
        <v>0.23520115638598793</v>
      </c>
      <c r="AF227" s="49">
        <f t="shared" si="500"/>
        <v>0.15072035392713756</v>
      </c>
      <c r="AG227" s="49">
        <f t="shared" si="500"/>
        <v>0.20733299062826815</v>
      </c>
      <c r="AH227" s="49">
        <f t="shared" si="500"/>
        <v>0.13452921674461416</v>
      </c>
      <c r="AI227" s="49">
        <f>+AI226/AE226-1</f>
        <v>0.12377284609857342</v>
      </c>
      <c r="AJ227" s="49">
        <f t="shared" si="500"/>
        <v>3.9454308877208799E-2</v>
      </c>
      <c r="AK227" s="49">
        <f t="shared" si="500"/>
        <v>7.7218432359049682E-3</v>
      </c>
      <c r="AL227" s="49">
        <f t="shared" si="500"/>
        <v>1.6635900771877488E-2</v>
      </c>
      <c r="AM227" s="49">
        <f t="shared" ref="AM227:AU227" si="501">+AM226/AI226-1</f>
        <v>7.8868630856733013E-2</v>
      </c>
      <c r="AN227" s="49">
        <f t="shared" si="501"/>
        <v>7.5593826743419523E-2</v>
      </c>
      <c r="AO227" s="49">
        <f t="shared" si="501"/>
        <v>8.5478175469277273E-2</v>
      </c>
      <c r="AP227" s="49">
        <f t="shared" si="501"/>
        <v>4.9081615926995337E-2</v>
      </c>
      <c r="AQ227" s="49">
        <f t="shared" si="501"/>
        <v>5.584623878910544E-2</v>
      </c>
      <c r="AR227" s="49">
        <f t="shared" si="501"/>
        <v>2.5953605512412992E-2</v>
      </c>
      <c r="AS227" s="49">
        <f t="shared" si="501"/>
        <v>6.6378723507088733E-2</v>
      </c>
      <c r="AT227" s="49">
        <f t="shared" si="501"/>
        <v>5.9664703370504446E-2</v>
      </c>
      <c r="AU227" s="49">
        <f t="shared" si="501"/>
        <v>6.843648371283706E-2</v>
      </c>
      <c r="AV227" s="299"/>
      <c r="AW227"/>
      <c r="AX227"/>
    </row>
    <row r="228" spans="1:50" s="5" customFormat="1" ht="13.5" hidden="1" customHeight="1" outlineLevel="1" thickBot="1">
      <c r="B228" s="22"/>
      <c r="C228" s="45"/>
      <c r="D228" s="45"/>
      <c r="E228" s="45"/>
      <c r="F228" s="45"/>
      <c r="G228" s="45"/>
      <c r="H228" s="45"/>
      <c r="I228" s="45"/>
      <c r="J228" s="45"/>
      <c r="K228" s="45"/>
      <c r="L228" s="45"/>
      <c r="M228" s="45"/>
      <c r="N228" s="7"/>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7"/>
      <c r="AW228"/>
      <c r="AX228"/>
    </row>
    <row r="229" spans="1:50" s="34" customFormat="1" ht="13.5" hidden="1" customHeight="1" outlineLevel="1" thickTop="1">
      <c r="B229" s="24"/>
      <c r="C229" s="38"/>
      <c r="D229" s="38"/>
      <c r="E229" s="38"/>
      <c r="F229" s="38"/>
      <c r="G229" s="38"/>
      <c r="H229" s="38"/>
      <c r="I229" s="38"/>
      <c r="J229" s="38"/>
      <c r="K229" s="38"/>
      <c r="L229" s="38"/>
      <c r="M229" s="38"/>
      <c r="N229" s="300"/>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00"/>
      <c r="AW229"/>
      <c r="AX229"/>
    </row>
    <row r="230" spans="1:50" s="34" customFormat="1" ht="13.5" hidden="1" customHeight="1" outlineLevel="1">
      <c r="B230" s="24"/>
      <c r="C230" s="38"/>
      <c r="D230" s="38"/>
      <c r="E230" s="38"/>
      <c r="F230" s="38"/>
      <c r="G230" s="38"/>
      <c r="H230" s="38"/>
      <c r="I230" s="38"/>
      <c r="J230" s="38"/>
      <c r="K230" s="38"/>
      <c r="L230" s="38"/>
      <c r="M230" s="38"/>
      <c r="N230" s="300"/>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00"/>
      <c r="AW230"/>
      <c r="AX230"/>
    </row>
    <row r="231" spans="1:50" ht="13.5" customHeight="1" collapsed="1">
      <c r="AW231"/>
      <c r="AX231"/>
    </row>
    <row r="232" spans="1:50" s="5" customFormat="1" ht="13.5" customHeight="1" thickBot="1">
      <c r="B232" s="22" t="str">
        <f>B51</f>
        <v>Adj. EBITDA</v>
      </c>
      <c r="C232" s="45">
        <f t="shared" ref="C232:M232" si="502">C51*C$204</f>
        <v>990.31400000000008</v>
      </c>
      <c r="D232" s="45">
        <f t="shared" si="502"/>
        <v>1044.83206</v>
      </c>
      <c r="E232" s="45">
        <f t="shared" si="502"/>
        <v>1072.6650999999999</v>
      </c>
      <c r="F232" s="45">
        <f t="shared" si="502"/>
        <v>1071.1721400000001</v>
      </c>
      <c r="G232" s="45">
        <f t="shared" si="502"/>
        <v>1069.9985270999998</v>
      </c>
      <c r="H232" s="45">
        <f t="shared" si="502"/>
        <v>931.18868562499995</v>
      </c>
      <c r="I232" s="45">
        <f t="shared" si="502"/>
        <v>1048.21775561853</v>
      </c>
      <c r="J232" s="45">
        <f t="shared" si="502"/>
        <v>1199.3226845062497</v>
      </c>
      <c r="K232" s="45">
        <f t="shared" si="502"/>
        <v>1229.9903261213333</v>
      </c>
      <c r="L232" s="45">
        <f t="shared" si="502"/>
        <v>1293.4209662440001</v>
      </c>
      <c r="M232" s="45">
        <f t="shared" si="502"/>
        <v>1317.1686851577811</v>
      </c>
      <c r="N232" s="7"/>
      <c r="O232" s="45">
        <f t="shared" ref="O232:AU232" si="503">O51*O$204</f>
        <v>222.82784999999998</v>
      </c>
      <c r="P232" s="45">
        <f t="shared" si="503"/>
        <v>312.29524000000004</v>
      </c>
      <c r="Q232" s="45">
        <f t="shared" si="503"/>
        <v>309.06937999999991</v>
      </c>
      <c r="R232" s="45">
        <f t="shared" si="503"/>
        <v>228.55618000000004</v>
      </c>
      <c r="S232" s="45">
        <f t="shared" si="503"/>
        <v>225.65024</v>
      </c>
      <c r="T232" s="45">
        <f t="shared" si="503"/>
        <v>294.08645999999999</v>
      </c>
      <c r="U232" s="45">
        <f t="shared" si="503"/>
        <v>305.68356</v>
      </c>
      <c r="V232" s="45">
        <f t="shared" si="503"/>
        <v>245.75188000000009</v>
      </c>
      <c r="W232" s="45">
        <f t="shared" si="503"/>
        <v>236.79854</v>
      </c>
      <c r="X232" s="45">
        <f t="shared" si="503"/>
        <v>303.12037889999999</v>
      </c>
      <c r="Y232" s="45">
        <f t="shared" si="503"/>
        <v>307.04038380000003</v>
      </c>
      <c r="Z232" s="45">
        <f t="shared" si="503"/>
        <v>223.0669455</v>
      </c>
      <c r="AA232" s="45">
        <f t="shared" si="503"/>
        <v>239.41363259999997</v>
      </c>
      <c r="AB232" s="45">
        <f t="shared" si="503"/>
        <v>247.97364329999999</v>
      </c>
      <c r="AC232" s="45">
        <f t="shared" si="503"/>
        <v>234.4269597</v>
      </c>
      <c r="AD232" s="45">
        <f t="shared" si="503"/>
        <v>209.38905000000003</v>
      </c>
      <c r="AE232" s="45">
        <f t="shared" si="503"/>
        <v>250.20250040000002</v>
      </c>
      <c r="AF232" s="45">
        <f t="shared" si="503"/>
        <v>262.86759999999998</v>
      </c>
      <c r="AG232" s="45">
        <f t="shared" si="503"/>
        <v>250.74629610000002</v>
      </c>
      <c r="AH232" s="45">
        <f t="shared" si="503"/>
        <v>283.25786188000001</v>
      </c>
      <c r="AI232" s="45">
        <f t="shared" si="503"/>
        <v>330.98613410000002</v>
      </c>
      <c r="AJ232" s="45">
        <f t="shared" si="503"/>
        <v>295.39280000000002</v>
      </c>
      <c r="AK232" s="45">
        <f t="shared" si="503"/>
        <v>283.1881186</v>
      </c>
      <c r="AL232" s="45">
        <f t="shared" si="503"/>
        <v>289.74224229999993</v>
      </c>
      <c r="AM232" s="45">
        <f t="shared" si="503"/>
        <v>302.26198666666676</v>
      </c>
      <c r="AN232" s="45">
        <f t="shared" si="503"/>
        <v>316.56617200000005</v>
      </c>
      <c r="AO232" s="45">
        <f t="shared" si="503"/>
        <v>307.29608649999994</v>
      </c>
      <c r="AP232" s="45">
        <f t="shared" si="503"/>
        <v>303.86974637799983</v>
      </c>
      <c r="AQ232" s="45">
        <f t="shared" si="503"/>
        <v>320.15972436500016</v>
      </c>
      <c r="AR232" s="45">
        <f t="shared" si="503"/>
        <v>324.42554000000013</v>
      </c>
      <c r="AS232" s="45">
        <f t="shared" si="503"/>
        <v>327.52903059999994</v>
      </c>
      <c r="AT232" s="45">
        <f t="shared" si="503"/>
        <v>321.91791570023167</v>
      </c>
      <c r="AU232" s="45">
        <f t="shared" si="503"/>
        <v>343.29476981313167</v>
      </c>
      <c r="AV232" s="7"/>
      <c r="AW232"/>
      <c r="AX232"/>
    </row>
    <row r="233" spans="1:50" s="34" customFormat="1" ht="13.5" customHeight="1" thickTop="1">
      <c r="B233" s="24" t="s">
        <v>236</v>
      </c>
      <c r="C233" s="49"/>
      <c r="D233" s="49">
        <f t="shared" ref="D233:L233" si="504">+D232/C232-1</f>
        <v>5.5051286763591945E-2</v>
      </c>
      <c r="E233" s="49">
        <f t="shared" si="504"/>
        <v>2.6638769105151727E-2</v>
      </c>
      <c r="F233" s="49">
        <f t="shared" si="504"/>
        <v>-1.3918230396419151E-3</v>
      </c>
      <c r="G233" s="49">
        <f t="shared" si="504"/>
        <v>-1.0956342647227002E-3</v>
      </c>
      <c r="H233" s="49">
        <f t="shared" si="504"/>
        <v>-0.12972900238583884</v>
      </c>
      <c r="I233" s="49">
        <f t="shared" si="504"/>
        <v>0.12567707468973577</v>
      </c>
      <c r="J233" s="49">
        <f t="shared" si="504"/>
        <v>0.14415413980328551</v>
      </c>
      <c r="K233" s="49">
        <f t="shared" si="504"/>
        <v>2.5570800928950366E-2</v>
      </c>
      <c r="L233" s="49">
        <f t="shared" si="504"/>
        <v>5.1570031711297926E-2</v>
      </c>
      <c r="M233" s="49"/>
      <c r="N233" s="299"/>
      <c r="O233" s="49"/>
      <c r="P233" s="49"/>
      <c r="Q233" s="49"/>
      <c r="R233" s="49"/>
      <c r="S233" s="49">
        <f t="shared" ref="S233:AL233" si="505">+S232/O232-1</f>
        <v>1.2666235392030378E-2</v>
      </c>
      <c r="T233" s="49">
        <f t="shared" si="505"/>
        <v>-5.8306300153662449E-2</v>
      </c>
      <c r="U233" s="49">
        <f t="shared" si="505"/>
        <v>-1.0954886569481292E-2</v>
      </c>
      <c r="V233" s="49">
        <f t="shared" si="505"/>
        <v>7.5236206695439289E-2</v>
      </c>
      <c r="W233" s="49">
        <f t="shared" si="505"/>
        <v>4.9405221106789021E-2</v>
      </c>
      <c r="X233" s="49">
        <f t="shared" si="505"/>
        <v>3.0718581535511769E-2</v>
      </c>
      <c r="Y233" s="49">
        <f t="shared" si="505"/>
        <v>4.4386547971373425E-3</v>
      </c>
      <c r="Z233" s="49">
        <f t="shared" si="505"/>
        <v>-9.2308284681281272E-2</v>
      </c>
      <c r="AA233" s="49">
        <f t="shared" si="505"/>
        <v>1.1043533460974864E-2</v>
      </c>
      <c r="AB233" s="49">
        <f t="shared" si="505"/>
        <v>-0.18193014867599189</v>
      </c>
      <c r="AC233" s="49">
        <f t="shared" si="505"/>
        <v>-0.23649470210178924</v>
      </c>
      <c r="AD233" s="49">
        <f t="shared" si="505"/>
        <v>-6.1317446515176233E-2</v>
      </c>
      <c r="AE233" s="49">
        <f>AE232/AA232-1</f>
        <v>4.5063715390115444E-2</v>
      </c>
      <c r="AF233" s="49">
        <f t="shared" si="505"/>
        <v>6.0062660296446024E-2</v>
      </c>
      <c r="AG233" s="49">
        <f t="shared" si="505"/>
        <v>6.9613735642368724E-2</v>
      </c>
      <c r="AH233" s="49">
        <f t="shared" si="505"/>
        <v>0.35278259240394849</v>
      </c>
      <c r="AI233" s="49">
        <f>+AI232/AE232-1</f>
        <v>0.32287300714761358</v>
      </c>
      <c r="AJ233" s="49">
        <f t="shared" si="505"/>
        <v>0.12373225152129841</v>
      </c>
      <c r="AK233" s="49">
        <f t="shared" si="505"/>
        <v>0.12938106366708557</v>
      </c>
      <c r="AL233" s="49">
        <f t="shared" si="505"/>
        <v>2.2892146318420625E-2</v>
      </c>
      <c r="AM233" s="49">
        <f t="shared" ref="AM233:AU233" si="506">+AM232/AI232-1</f>
        <v>-8.6783537054923587E-2</v>
      </c>
      <c r="AN233" s="49">
        <f t="shared" si="506"/>
        <v>7.1678700361010872E-2</v>
      </c>
      <c r="AO233" s="49">
        <f t="shared" si="506"/>
        <v>8.5130576873008401E-2</v>
      </c>
      <c r="AP233" s="49">
        <f t="shared" si="506"/>
        <v>4.8758869144707839E-2</v>
      </c>
      <c r="AQ233" s="49">
        <f t="shared" si="506"/>
        <v>5.9212664800191828E-2</v>
      </c>
      <c r="AR233" s="49">
        <f t="shared" si="506"/>
        <v>2.4826935709353348E-2</v>
      </c>
      <c r="AS233" s="49">
        <f t="shared" si="506"/>
        <v>6.5841854123319665E-2</v>
      </c>
      <c r="AT233" s="49">
        <f t="shared" si="506"/>
        <v>5.9394426517803911E-2</v>
      </c>
      <c r="AU233" s="49">
        <f t="shared" si="506"/>
        <v>7.2260948793659852E-2</v>
      </c>
      <c r="AV233" s="299"/>
      <c r="AW233"/>
      <c r="AX233"/>
    </row>
    <row r="234" spans="1:50" s="34" customFormat="1" ht="13.5" customHeight="1">
      <c r="B234" s="24" t="s">
        <v>237</v>
      </c>
      <c r="C234" s="49">
        <f t="shared" ref="C234:M234" si="507">C232/C226</f>
        <v>0.25916096706654124</v>
      </c>
      <c r="D234" s="49">
        <f t="shared" si="507"/>
        <v>0.28123074167530882</v>
      </c>
      <c r="E234" s="49">
        <f t="shared" si="507"/>
        <v>0.29676562714244165</v>
      </c>
      <c r="F234" s="49">
        <f t="shared" si="507"/>
        <v>0.27996811712295711</v>
      </c>
      <c r="G234" s="49">
        <f t="shared" si="507"/>
        <v>0.2613409904103341</v>
      </c>
      <c r="H234" s="49">
        <f t="shared" si="507"/>
        <v>0.22035089578869532</v>
      </c>
      <c r="I234" s="49">
        <f t="shared" si="507"/>
        <v>0.21</v>
      </c>
      <c r="J234" s="49">
        <f t="shared" si="507"/>
        <v>0.22999999999999998</v>
      </c>
      <c r="K234" s="49">
        <f>K232/K226</f>
        <v>0.21999999999999997</v>
      </c>
      <c r="L234" s="49">
        <f>L232/L226</f>
        <v>0.22</v>
      </c>
      <c r="M234" s="49">
        <f t="shared" si="507"/>
        <v>0.22</v>
      </c>
      <c r="N234" s="299"/>
      <c r="O234" s="49">
        <f t="shared" ref="O234:U234" si="508">O232/O226</f>
        <v>0.25849226766247807</v>
      </c>
      <c r="P234" s="49">
        <f t="shared" si="508"/>
        <v>0.3229588033154972</v>
      </c>
      <c r="Q234" s="49">
        <f t="shared" si="508"/>
        <v>0.34946463452866117</v>
      </c>
      <c r="R234" s="49">
        <f t="shared" si="508"/>
        <v>0.25355023565709539</v>
      </c>
      <c r="S234" s="49">
        <f t="shared" si="508"/>
        <v>0.25234915176517692</v>
      </c>
      <c r="T234" s="49">
        <f t="shared" si="508"/>
        <v>0.29653233777751015</v>
      </c>
      <c r="U234" s="49">
        <f t="shared" si="508"/>
        <v>0.3208837203705191</v>
      </c>
      <c r="V234" s="49">
        <f t="shared" ref="V234:AB234" si="509">V232/V226</f>
        <v>0.24887025646757591</v>
      </c>
      <c r="W234" s="49">
        <f t="shared" si="509"/>
        <v>0.24740844662680517</v>
      </c>
      <c r="X234" s="49">
        <f t="shared" si="509"/>
        <v>0.27847708045677394</v>
      </c>
      <c r="Y234" s="49">
        <f t="shared" si="509"/>
        <v>0.29805240845449971</v>
      </c>
      <c r="Z234" s="49">
        <f t="shared" si="509"/>
        <v>0.21900284978603696</v>
      </c>
      <c r="AA234" s="49">
        <f t="shared" si="509"/>
        <v>0.24630906767436281</v>
      </c>
      <c r="AB234" s="49">
        <f t="shared" si="509"/>
        <v>0.23215184463227187</v>
      </c>
      <c r="AC234" s="49">
        <f t="shared" ref="AC234:AH234" si="510">AC232/AC226</f>
        <v>0.22302390067305472</v>
      </c>
      <c r="AD234" s="49">
        <f t="shared" si="510"/>
        <v>0.1845489086317309</v>
      </c>
      <c r="AE234" s="49">
        <f t="shared" si="510"/>
        <v>0.20839412922117387</v>
      </c>
      <c r="AF234" s="49">
        <f t="shared" si="510"/>
        <v>0.21386212660073958</v>
      </c>
      <c r="AG234" s="49">
        <f t="shared" si="510"/>
        <v>0.19758378954947886</v>
      </c>
      <c r="AH234" s="49">
        <f t="shared" si="510"/>
        <v>0.22005123125916845</v>
      </c>
      <c r="AI234" s="49">
        <f t="shared" ref="AI234:AN234" si="511">AI232/AI226</f>
        <v>0.24531556297324975</v>
      </c>
      <c r="AJ234" s="49">
        <f t="shared" si="511"/>
        <v>0.23120185946390798</v>
      </c>
      <c r="AK234" s="49">
        <f t="shared" si="511"/>
        <v>0.22143748486012108</v>
      </c>
      <c r="AL234" s="49">
        <f t="shared" si="511"/>
        <v>0.22140539801103234</v>
      </c>
      <c r="AM234" s="49">
        <f t="shared" si="511"/>
        <v>0.20764920242968909</v>
      </c>
      <c r="AN234" s="49">
        <f t="shared" si="511"/>
        <v>0.23036029225039051</v>
      </c>
      <c r="AO234" s="49">
        <f t="shared" ref="AO234:AT234" si="512">AO232/AO226</f>
        <v>0.22136657476663588</v>
      </c>
      <c r="AP234" s="49">
        <f t="shared" si="512"/>
        <v>0.22133728331079905</v>
      </c>
      <c r="AQ234" s="49">
        <f t="shared" si="512"/>
        <v>0.20831126443318909</v>
      </c>
      <c r="AR234" s="49">
        <f t="shared" si="512"/>
        <v>0.23010731786274954</v>
      </c>
      <c r="AS234" s="49">
        <f t="shared" si="512"/>
        <v>0.22125512755378152</v>
      </c>
      <c r="AT234" s="49">
        <f t="shared" si="512"/>
        <v>0.2212808292795114</v>
      </c>
      <c r="AU234" s="49">
        <f>AU232/AU226</f>
        <v>0.20905691395837031</v>
      </c>
      <c r="AV234" s="299"/>
      <c r="AW234"/>
      <c r="AX234"/>
    </row>
    <row r="235" spans="1:50" ht="13.5" customHeight="1">
      <c r="AW235"/>
      <c r="AX235"/>
    </row>
    <row r="236" spans="1:50" s="5" customFormat="1" ht="13.5" customHeight="1">
      <c r="B236" s="5" t="str">
        <f t="shared" ref="B236:B253" si="513">B56</f>
        <v xml:space="preserve">Adjusted EBITDA </v>
      </c>
      <c r="C236" s="61">
        <f t="shared" ref="C236:M236" si="514">C56*C$204</f>
        <v>990.31400000000008</v>
      </c>
      <c r="D236" s="61">
        <f t="shared" si="514"/>
        <v>1044.83206</v>
      </c>
      <c r="E236" s="61">
        <f t="shared" si="514"/>
        <v>1072.6650999999999</v>
      </c>
      <c r="F236" s="61">
        <f t="shared" si="514"/>
        <v>1071.1721400000001</v>
      </c>
      <c r="G236" s="61">
        <f t="shared" si="514"/>
        <v>1069.9985270999998</v>
      </c>
      <c r="H236" s="61">
        <f t="shared" si="514"/>
        <v>931.18868562499995</v>
      </c>
      <c r="I236" s="61">
        <f t="shared" si="514"/>
        <v>1048.21775561853</v>
      </c>
      <c r="J236" s="61">
        <f t="shared" si="514"/>
        <v>1199.3226845062497</v>
      </c>
      <c r="K236" s="61">
        <f t="shared" si="514"/>
        <v>1229.9903261213333</v>
      </c>
      <c r="L236" s="61">
        <f t="shared" si="514"/>
        <v>1293.4209662440001</v>
      </c>
      <c r="M236" s="61">
        <f t="shared" si="514"/>
        <v>1317.1686851577811</v>
      </c>
      <c r="N236" s="59"/>
      <c r="O236" s="61">
        <f t="shared" ref="O236:AU236" si="515">O56*O$204</f>
        <v>222.82784999999998</v>
      </c>
      <c r="P236" s="61">
        <f t="shared" si="515"/>
        <v>312.29524000000004</v>
      </c>
      <c r="Q236" s="61">
        <f t="shared" si="515"/>
        <v>309.06937999999991</v>
      </c>
      <c r="R236" s="61">
        <f t="shared" si="515"/>
        <v>228.55618000000004</v>
      </c>
      <c r="S236" s="61">
        <f t="shared" si="515"/>
        <v>225.65024</v>
      </c>
      <c r="T236" s="61">
        <f t="shared" si="515"/>
        <v>294.08645999999999</v>
      </c>
      <c r="U236" s="61">
        <f t="shared" si="515"/>
        <v>305.68356</v>
      </c>
      <c r="V236" s="61">
        <f t="shared" si="515"/>
        <v>245.75188000000009</v>
      </c>
      <c r="W236" s="61">
        <f t="shared" si="515"/>
        <v>236.79854</v>
      </c>
      <c r="X236" s="61">
        <f t="shared" si="515"/>
        <v>303.12037889999999</v>
      </c>
      <c r="Y236" s="61">
        <f t="shared" si="515"/>
        <v>307.04038380000003</v>
      </c>
      <c r="Z236" s="61">
        <f t="shared" si="515"/>
        <v>223.0669455</v>
      </c>
      <c r="AA236" s="61">
        <f t="shared" si="515"/>
        <v>239.41363259999997</v>
      </c>
      <c r="AB236" s="61">
        <f t="shared" si="515"/>
        <v>247.97364329999999</v>
      </c>
      <c r="AC236" s="61">
        <f t="shared" si="515"/>
        <v>234.4269597</v>
      </c>
      <c r="AD236" s="61">
        <f t="shared" si="515"/>
        <v>209.38905000000003</v>
      </c>
      <c r="AE236" s="61">
        <f t="shared" si="515"/>
        <v>250.20250040000002</v>
      </c>
      <c r="AF236" s="61">
        <f t="shared" si="515"/>
        <v>262.86759999999998</v>
      </c>
      <c r="AG236" s="61">
        <f t="shared" si="515"/>
        <v>250.74629610000002</v>
      </c>
      <c r="AH236" s="61">
        <f t="shared" si="515"/>
        <v>283.25786188000001</v>
      </c>
      <c r="AI236" s="61">
        <f t="shared" si="515"/>
        <v>330.98613410000002</v>
      </c>
      <c r="AJ236" s="61">
        <f t="shared" si="515"/>
        <v>295.39280000000002</v>
      </c>
      <c r="AK236" s="61">
        <f t="shared" si="515"/>
        <v>283.1881186</v>
      </c>
      <c r="AL236" s="61">
        <f t="shared" si="515"/>
        <v>289.74224229999993</v>
      </c>
      <c r="AM236" s="61">
        <f t="shared" si="515"/>
        <v>302.26198666666676</v>
      </c>
      <c r="AN236" s="61">
        <f t="shared" si="515"/>
        <v>316.56617200000005</v>
      </c>
      <c r="AO236" s="61">
        <f t="shared" si="515"/>
        <v>307.29608649999994</v>
      </c>
      <c r="AP236" s="61">
        <f t="shared" si="515"/>
        <v>303.86974637799983</v>
      </c>
      <c r="AQ236" s="61">
        <f t="shared" si="515"/>
        <v>320.15972436500016</v>
      </c>
      <c r="AR236" s="61">
        <f t="shared" si="515"/>
        <v>324.42554000000013</v>
      </c>
      <c r="AS236" s="61">
        <f t="shared" si="515"/>
        <v>327.52903059999994</v>
      </c>
      <c r="AT236" s="61">
        <f t="shared" si="515"/>
        <v>321.91791570023167</v>
      </c>
      <c r="AU236" s="61">
        <f t="shared" si="515"/>
        <v>343.29476981313167</v>
      </c>
      <c r="AV236" s="59"/>
      <c r="AW236"/>
      <c r="AX236"/>
    </row>
    <row r="237" spans="1:50" ht="13.5" customHeight="1">
      <c r="B237" s="1" t="str">
        <f t="shared" si="513"/>
        <v>Working Capital</v>
      </c>
      <c r="C237" s="68">
        <f t="shared" ref="C237:M237" si="516">C57*C$204</f>
        <v>-7.3863140000000023</v>
      </c>
      <c r="D237" s="68">
        <f t="shared" si="516"/>
        <v>-49.285808800000041</v>
      </c>
      <c r="E237" s="63">
        <f t="shared" si="516"/>
        <v>-353.9530896</v>
      </c>
      <c r="F237" s="63">
        <f t="shared" si="516"/>
        <v>-14.558759399999991</v>
      </c>
      <c r="G237" s="63">
        <f t="shared" si="516"/>
        <v>-144.13547209499998</v>
      </c>
      <c r="H237" s="63">
        <f t="shared" si="516"/>
        <v>163.15972198599997</v>
      </c>
      <c r="I237" s="63">
        <f t="shared" si="516"/>
        <v>-244.96975431449997</v>
      </c>
      <c r="J237" s="63">
        <f t="shared" si="516"/>
        <v>-250.31525124999996</v>
      </c>
      <c r="K237" s="63">
        <f t="shared" si="516"/>
        <v>54.866103808333349</v>
      </c>
      <c r="L237" s="63">
        <f t="shared" si="516"/>
        <v>-50.782705499999999</v>
      </c>
      <c r="M237" s="63">
        <f t="shared" si="516"/>
        <v>-35.110194032834478</v>
      </c>
      <c r="N237" s="301"/>
      <c r="O237" s="63">
        <f t="shared" ref="O237:AU237" si="517">O57*O$204</f>
        <v>-117.24478709999998</v>
      </c>
      <c r="P237" s="63">
        <f t="shared" si="517"/>
        <v>-108.40222600000004</v>
      </c>
      <c r="Q237" s="63">
        <f t="shared" si="517"/>
        <v>-199.43252939999991</v>
      </c>
      <c r="R237" s="63">
        <f t="shared" si="517"/>
        <v>71.08249159999994</v>
      </c>
      <c r="S237" s="63">
        <f t="shared" si="517"/>
        <v>-69.964904399999995</v>
      </c>
      <c r="T237" s="63">
        <f t="shared" si="517"/>
        <v>-32.458816599999992</v>
      </c>
      <c r="U237" s="63">
        <f t="shared" si="517"/>
        <v>-52.935829399999996</v>
      </c>
      <c r="V237" s="63">
        <f t="shared" si="517"/>
        <v>140.800791</v>
      </c>
      <c r="W237" s="63">
        <f t="shared" si="517"/>
        <v>-162.03142582500001</v>
      </c>
      <c r="X237" s="63">
        <f t="shared" si="517"/>
        <v>35.477111012999998</v>
      </c>
      <c r="Y237" s="63">
        <f t="shared" si="517"/>
        <v>-70.540088174999966</v>
      </c>
      <c r="Z237" s="63">
        <f t="shared" si="517"/>
        <v>53.073399674999962</v>
      </c>
      <c r="AA237" s="63">
        <f t="shared" si="517"/>
        <v>-59.195273994000019</v>
      </c>
      <c r="AB237" s="63">
        <f t="shared" si="517"/>
        <v>85.192639824000025</v>
      </c>
      <c r="AC237" s="63">
        <f t="shared" si="517"/>
        <v>13.108016384999962</v>
      </c>
      <c r="AD237" s="63">
        <f t="shared" si="517"/>
        <v>124.00218350000003</v>
      </c>
      <c r="AE237" s="63">
        <f t="shared" si="517"/>
        <v>-168.10622960000001</v>
      </c>
      <c r="AF237" s="63">
        <f t="shared" si="517"/>
        <v>-84.1005696</v>
      </c>
      <c r="AG237" s="63">
        <f t="shared" si="517"/>
        <v>35.695984500000087</v>
      </c>
      <c r="AH237" s="63">
        <f t="shared" si="517"/>
        <v>-28.454020000000099</v>
      </c>
      <c r="AI237" s="63">
        <f t="shared" si="517"/>
        <v>-152.20855839999999</v>
      </c>
      <c r="AJ237" s="63">
        <f t="shared" si="517"/>
        <v>51.429006199999996</v>
      </c>
      <c r="AK237" s="63">
        <f t="shared" si="517"/>
        <v>-252.24705579999994</v>
      </c>
      <c r="AL237" s="63">
        <f t="shared" si="517"/>
        <v>102.44032399999998</v>
      </c>
      <c r="AM237" s="63">
        <f t="shared" si="517"/>
        <v>-17.092000000000006</v>
      </c>
      <c r="AN237" s="63">
        <f t="shared" si="517"/>
        <v>127.1367412</v>
      </c>
      <c r="AO237" s="63">
        <f t="shared" si="517"/>
        <v>-12.374661000000007</v>
      </c>
      <c r="AP237" s="63">
        <f t="shared" si="517"/>
        <v>-42.717113999999974</v>
      </c>
      <c r="AQ237" s="63">
        <f t="shared" si="517"/>
        <v>-95.763310500000031</v>
      </c>
      <c r="AR237" s="63">
        <f t="shared" si="517"/>
        <v>4.8998414000000201</v>
      </c>
      <c r="AS237" s="63">
        <f t="shared" si="517"/>
        <v>4.8009328000000258</v>
      </c>
      <c r="AT237" s="63">
        <f t="shared" si="517"/>
        <v>35.287530992561777</v>
      </c>
      <c r="AU237" s="63">
        <f t="shared" si="517"/>
        <v>-80.091168394956455</v>
      </c>
      <c r="AV237" s="301"/>
      <c r="AW237"/>
      <c r="AX237"/>
    </row>
    <row r="238" spans="1:50" ht="13.5" customHeight="1">
      <c r="B238" s="1" t="str">
        <f t="shared" si="513"/>
        <v>Taxes, net</v>
      </c>
      <c r="C238" s="68">
        <f t="shared" ref="C238:M238" si="518">C58*C$204</f>
        <v>-2.7079065</v>
      </c>
      <c r="D238" s="68">
        <f t="shared" si="518"/>
        <v>-3.1784052000000003</v>
      </c>
      <c r="E238" s="63">
        <f t="shared" si="518"/>
        <v>-6.1222023999999999</v>
      </c>
      <c r="F238" s="63">
        <f t="shared" si="518"/>
        <v>-5.1392481999999999</v>
      </c>
      <c r="G238" s="63">
        <f t="shared" si="518"/>
        <v>-22.598366759499999</v>
      </c>
      <c r="H238" s="63">
        <f t="shared" si="518"/>
        <v>-9.2649608122499991</v>
      </c>
      <c r="I238" s="63">
        <f t="shared" si="518"/>
        <v>-88.226618036999994</v>
      </c>
      <c r="J238" s="63">
        <f t="shared" si="518"/>
        <v>-2.1989256249999998</v>
      </c>
      <c r="K238" s="63">
        <f t="shared" si="518"/>
        <v>-6.1154507666666671</v>
      </c>
      <c r="L238" s="63">
        <f t="shared" si="518"/>
        <v>-51.777096900000004</v>
      </c>
      <c r="M238" s="63">
        <f t="shared" si="518"/>
        <v>-27.474135386356693</v>
      </c>
      <c r="N238" s="301"/>
      <c r="O238" s="63">
        <f t="shared" ref="O238:AU238" si="519">O58*O$204</f>
        <v>-0.6531482999999999</v>
      </c>
      <c r="P238" s="63">
        <f t="shared" si="519"/>
        <v>-1.1442471999999999</v>
      </c>
      <c r="Q238" s="63">
        <f t="shared" si="519"/>
        <v>-0.97255679999999989</v>
      </c>
      <c r="R238" s="63">
        <f t="shared" si="519"/>
        <v>-3.3524949999999998</v>
      </c>
      <c r="S238" s="63">
        <f t="shared" si="519"/>
        <v>-0.39270180000000005</v>
      </c>
      <c r="T238" s="63">
        <f t="shared" si="519"/>
        <v>-1.9733732000000002</v>
      </c>
      <c r="U238" s="63">
        <f t="shared" si="519"/>
        <v>-1.8115470000000002</v>
      </c>
      <c r="V238" s="63">
        <f t="shared" si="519"/>
        <v>-0.96162619999999988</v>
      </c>
      <c r="W238" s="63">
        <f t="shared" si="519"/>
        <v>-14.567852575000002</v>
      </c>
      <c r="X238" s="63">
        <f t="shared" si="519"/>
        <v>0</v>
      </c>
      <c r="Y238" s="63">
        <f t="shared" si="519"/>
        <v>-3.9034715459999973</v>
      </c>
      <c r="Z238" s="63">
        <f t="shared" si="519"/>
        <v>-4.1189384820000035</v>
      </c>
      <c r="AA238" s="63">
        <f t="shared" si="519"/>
        <v>-0.37173379799999995</v>
      </c>
      <c r="AB238" s="63">
        <f t="shared" si="519"/>
        <v>-5.5093402199999995</v>
      </c>
      <c r="AC238" s="63">
        <f t="shared" si="519"/>
        <v>-0.44746722599999977</v>
      </c>
      <c r="AD238" s="63">
        <f t="shared" si="519"/>
        <v>-2.9360305000000015</v>
      </c>
      <c r="AE238" s="63">
        <f t="shared" si="519"/>
        <v>-6.2917600000000004E-2</v>
      </c>
      <c r="AF238" s="63">
        <f t="shared" si="519"/>
        <v>-25.338996999999999</v>
      </c>
      <c r="AG238" s="63">
        <f t="shared" si="519"/>
        <v>-1.1226353180404659E-15</v>
      </c>
      <c r="AH238" s="63">
        <f t="shared" si="519"/>
        <v>-62.680506000000008</v>
      </c>
      <c r="AI238" s="63">
        <f t="shared" si="519"/>
        <v>0</v>
      </c>
      <c r="AJ238" s="63">
        <f t="shared" si="519"/>
        <v>-1.8888610000000001</v>
      </c>
      <c r="AK238" s="63">
        <f t="shared" si="519"/>
        <v>-0.14556360000000007</v>
      </c>
      <c r="AL238" s="63">
        <f t="shared" si="519"/>
        <v>-0.16598400000000016</v>
      </c>
      <c r="AM238" s="63">
        <f t="shared" si="519"/>
        <v>0</v>
      </c>
      <c r="AN238" s="63">
        <f t="shared" si="519"/>
        <v>-5.2421557999999999</v>
      </c>
      <c r="AO238" s="63">
        <f t="shared" si="519"/>
        <v>-0.44452199999999981</v>
      </c>
      <c r="AP238" s="63">
        <f t="shared" si="519"/>
        <v>-0.4304454000000002</v>
      </c>
      <c r="AQ238" s="63">
        <f t="shared" si="519"/>
        <v>-25.074452000000001</v>
      </c>
      <c r="AR238" s="63">
        <f t="shared" si="519"/>
        <v>-12.942097000000004</v>
      </c>
      <c r="AS238" s="63">
        <f t="shared" si="519"/>
        <v>-12.807463999999998</v>
      </c>
      <c r="AT238" s="63">
        <f t="shared" si="519"/>
        <v>-0.97283318670185848</v>
      </c>
      <c r="AU238" s="63">
        <f t="shared" si="519"/>
        <v>-0.75227254551755396</v>
      </c>
      <c r="AV238" s="301"/>
      <c r="AW238"/>
      <c r="AX238"/>
    </row>
    <row r="239" spans="1:50" ht="13.5" customHeight="1">
      <c r="B239" s="1" t="str">
        <f t="shared" si="513"/>
        <v>Cash interest paid</v>
      </c>
      <c r="C239" s="68">
        <f t="shared" ref="C239:M239" si="520">C59*C$204</f>
        <v>-96.098834000000011</v>
      </c>
      <c r="D239" s="68">
        <f t="shared" si="520"/>
        <v>-124.76266819999999</v>
      </c>
      <c r="E239" s="63">
        <f t="shared" si="520"/>
        <v>-112.138625</v>
      </c>
      <c r="F239" s="63">
        <f t="shared" si="520"/>
        <v>-139.86075940000001</v>
      </c>
      <c r="G239" s="63">
        <f t="shared" si="520"/>
        <v>-124.73025138599998</v>
      </c>
      <c r="H239" s="63">
        <f t="shared" si="520"/>
        <v>-91.304750361499998</v>
      </c>
      <c r="I239" s="63">
        <f t="shared" si="520"/>
        <v>-115.12421638499998</v>
      </c>
      <c r="J239" s="63">
        <f t="shared" si="520"/>
        <v>-148.95663362499997</v>
      </c>
      <c r="K239" s="63">
        <f t="shared" si="520"/>
        <v>-171.89751817500002</v>
      </c>
      <c r="L239" s="63">
        <f t="shared" si="520"/>
        <v>-181.55609905000003</v>
      </c>
      <c r="M239" s="63">
        <f t="shared" si="520"/>
        <v>-187.19314036602569</v>
      </c>
      <c r="N239" s="301"/>
      <c r="O239" s="63">
        <f t="shared" ref="O239:AU239" si="521">O59*O$204</f>
        <v>-35.001174599999999</v>
      </c>
      <c r="P239" s="63">
        <f t="shared" si="521"/>
        <v>-20.594050200000005</v>
      </c>
      <c r="Q239" s="63">
        <f t="shared" si="521"/>
        <v>-29.113786400000002</v>
      </c>
      <c r="R239" s="63">
        <f t="shared" si="521"/>
        <v>-27.442737599999994</v>
      </c>
      <c r="S239" s="63">
        <f t="shared" si="521"/>
        <v>-35.046169599999999</v>
      </c>
      <c r="T239" s="63">
        <f t="shared" si="521"/>
        <v>-35.413011200000007</v>
      </c>
      <c r="U239" s="63">
        <f t="shared" si="521"/>
        <v>-34.070413599999988</v>
      </c>
      <c r="V239" s="63">
        <f t="shared" si="521"/>
        <v>-35.331165000000034</v>
      </c>
      <c r="W239" s="63">
        <f t="shared" si="521"/>
        <v>-28.453923575000005</v>
      </c>
      <c r="X239" s="63">
        <f t="shared" si="521"/>
        <v>-35.372844215999997</v>
      </c>
      <c r="Y239" s="63">
        <f t="shared" si="521"/>
        <v>-30.451238064000002</v>
      </c>
      <c r="Z239" s="63">
        <f t="shared" si="521"/>
        <v>-30.454704734999993</v>
      </c>
      <c r="AA239" s="63">
        <f t="shared" si="521"/>
        <v>-23.172295632000001</v>
      </c>
      <c r="AB239" s="63">
        <f t="shared" si="521"/>
        <v>-24.575764053</v>
      </c>
      <c r="AC239" s="63">
        <f t="shared" si="521"/>
        <v>-21.106959717000006</v>
      </c>
      <c r="AD239" s="63">
        <f t="shared" si="521"/>
        <v>-22.449960000000008</v>
      </c>
      <c r="AE239" s="63">
        <f t="shared" si="521"/>
        <v>-23.854035</v>
      </c>
      <c r="AF239" s="63">
        <f t="shared" si="521"/>
        <v>-26.118002200000003</v>
      </c>
      <c r="AG239" s="63">
        <f t="shared" si="521"/>
        <v>-29.805594900000003</v>
      </c>
      <c r="AH239" s="63">
        <f t="shared" si="521"/>
        <v>-35.207493999999997</v>
      </c>
      <c r="AI239" s="63">
        <f t="shared" si="521"/>
        <v>-33.659254799999999</v>
      </c>
      <c r="AJ239" s="63">
        <f t="shared" si="521"/>
        <v>-38.357874799999998</v>
      </c>
      <c r="AK239" s="63">
        <f t="shared" si="521"/>
        <v>-36.049652000000009</v>
      </c>
      <c r="AL239" s="63">
        <f t="shared" si="521"/>
        <v>-40.885529999999981</v>
      </c>
      <c r="AM239" s="63">
        <f t="shared" si="521"/>
        <v>-25.240000000000002</v>
      </c>
      <c r="AN239" s="63">
        <f t="shared" si="521"/>
        <v>-49.416176200000002</v>
      </c>
      <c r="AO239" s="63">
        <f t="shared" si="521"/>
        <v>-55.709693000000001</v>
      </c>
      <c r="AP239" s="63">
        <f t="shared" si="521"/>
        <v>-41.524537999999986</v>
      </c>
      <c r="AQ239" s="63">
        <f t="shared" si="521"/>
        <v>-39.206680499999997</v>
      </c>
      <c r="AR239" s="63">
        <f t="shared" si="521"/>
        <v>-47.747793400000006</v>
      </c>
      <c r="AS239" s="63">
        <f t="shared" si="521"/>
        <v>-48.594248399999991</v>
      </c>
      <c r="AT239" s="63">
        <f t="shared" si="521"/>
        <v>-46.095337119091411</v>
      </c>
      <c r="AU239" s="63">
        <f t="shared" si="521"/>
        <v>-44.755951270226319</v>
      </c>
      <c r="AV239" s="301"/>
      <c r="AW239"/>
      <c r="AX239"/>
    </row>
    <row r="240" spans="1:50" s="5" customFormat="1" ht="13.5" customHeight="1" thickBot="1">
      <c r="B240" s="22" t="str">
        <f t="shared" si="513"/>
        <v xml:space="preserve">Net cash from operations </v>
      </c>
      <c r="C240" s="64">
        <f t="shared" ref="C240:M240" si="522">C60*C$204</f>
        <v>884.12094550000006</v>
      </c>
      <c r="D240" s="64">
        <f t="shared" si="522"/>
        <v>867.60517779999998</v>
      </c>
      <c r="E240" s="64">
        <f t="shared" si="522"/>
        <v>600.45118300000001</v>
      </c>
      <c r="F240" s="64">
        <f t="shared" si="522"/>
        <v>911.61337300000002</v>
      </c>
      <c r="G240" s="64">
        <f t="shared" si="522"/>
        <v>778.53443685949992</v>
      </c>
      <c r="H240" s="64">
        <f t="shared" si="522"/>
        <v>993.77869643724989</v>
      </c>
      <c r="I240" s="64">
        <f t="shared" si="522"/>
        <v>599.89716688202998</v>
      </c>
      <c r="J240" s="64">
        <f t="shared" si="522"/>
        <v>797.85187400624977</v>
      </c>
      <c r="K240" s="64">
        <f t="shared" si="522"/>
        <v>1106.8434609879998</v>
      </c>
      <c r="L240" s="64">
        <f t="shared" si="522"/>
        <v>1009.3050647939999</v>
      </c>
      <c r="M240" s="64">
        <f t="shared" si="522"/>
        <v>1067.3912153725644</v>
      </c>
      <c r="N240" s="172"/>
      <c r="O240" s="64">
        <f t="shared" ref="O240:AU240" si="523">O60*O$204</f>
        <v>69.928740000000005</v>
      </c>
      <c r="P240" s="64">
        <f t="shared" si="523"/>
        <v>182.1547166</v>
      </c>
      <c r="Q240" s="64">
        <f t="shared" si="523"/>
        <v>79.550507400000015</v>
      </c>
      <c r="R240" s="64">
        <f t="shared" si="523"/>
        <v>268.84343899999999</v>
      </c>
      <c r="S240" s="64">
        <f t="shared" si="523"/>
        <v>120.24646420000001</v>
      </c>
      <c r="T240" s="64">
        <f t="shared" si="523"/>
        <v>224.24125899999999</v>
      </c>
      <c r="U240" s="64">
        <f t="shared" si="523"/>
        <v>216.86577000000003</v>
      </c>
      <c r="V240" s="64">
        <f t="shared" si="523"/>
        <v>350.25987980000008</v>
      </c>
      <c r="W240" s="64">
        <f t="shared" si="523"/>
        <v>31.745338024999992</v>
      </c>
      <c r="X240" s="64">
        <f t="shared" si="523"/>
        <v>303.22464569700003</v>
      </c>
      <c r="Y240" s="64">
        <f t="shared" si="523"/>
        <v>202.14558601500005</v>
      </c>
      <c r="Z240" s="64">
        <f t="shared" si="523"/>
        <v>241.56670195799992</v>
      </c>
      <c r="AA240" s="64">
        <f t="shared" si="523"/>
        <v>156.67432917599996</v>
      </c>
      <c r="AB240" s="64">
        <f t="shared" si="523"/>
        <v>303.08117885099995</v>
      </c>
      <c r="AC240" s="64">
        <f t="shared" si="523"/>
        <v>225.98054914199994</v>
      </c>
      <c r="AD240" s="64">
        <f t="shared" si="523"/>
        <v>308.00524300000006</v>
      </c>
      <c r="AE240" s="64">
        <f t="shared" si="523"/>
        <v>58.179318200000004</v>
      </c>
      <c r="AF240" s="64">
        <f t="shared" si="523"/>
        <v>127.31003120000001</v>
      </c>
      <c r="AG240" s="64">
        <f t="shared" si="523"/>
        <v>256.6366857000001</v>
      </c>
      <c r="AH240" s="64">
        <f t="shared" si="523"/>
        <v>156.9158418799999</v>
      </c>
      <c r="AI240" s="64">
        <f t="shared" si="523"/>
        <v>145.11832090000004</v>
      </c>
      <c r="AJ240" s="64">
        <f t="shared" si="523"/>
        <v>306.57507040000002</v>
      </c>
      <c r="AK240" s="64">
        <f t="shared" si="523"/>
        <v>-5.2541527999999502</v>
      </c>
      <c r="AL240" s="64">
        <f t="shared" si="523"/>
        <v>351.13105229999985</v>
      </c>
      <c r="AM240" s="64">
        <f t="shared" si="523"/>
        <v>259.92998666666676</v>
      </c>
      <c r="AN240" s="64">
        <f t="shared" si="523"/>
        <v>389.04458120000004</v>
      </c>
      <c r="AO240" s="64">
        <f t="shared" si="523"/>
        <v>238.76721049999995</v>
      </c>
      <c r="AP240" s="64">
        <f t="shared" si="523"/>
        <v>219.19764897799988</v>
      </c>
      <c r="AQ240" s="64">
        <f t="shared" si="523"/>
        <v>160.11528136500016</v>
      </c>
      <c r="AR240" s="64">
        <f t="shared" si="523"/>
        <v>268.63549100000017</v>
      </c>
      <c r="AS240" s="64">
        <f t="shared" si="523"/>
        <v>270.92825099999993</v>
      </c>
      <c r="AT240" s="64">
        <f t="shared" si="523"/>
        <v>310.13727638700016</v>
      </c>
      <c r="AU240" s="64">
        <f t="shared" si="523"/>
        <v>217.69537760243131</v>
      </c>
      <c r="AV240" s="172"/>
      <c r="AW240"/>
      <c r="AX240"/>
    </row>
    <row r="241" spans="2:50" s="5" customFormat="1" ht="13.5" customHeight="1" thickTop="1">
      <c r="B241" s="1" t="str">
        <f t="shared" si="513"/>
        <v>Net Capex</v>
      </c>
      <c r="C241" s="65">
        <f t="shared" ref="C241:M241" si="524">C61*C$204</f>
        <v>-1303.7030760000002</v>
      </c>
      <c r="D241" s="65">
        <f t="shared" si="524"/>
        <v>-862.09082340000009</v>
      </c>
      <c r="E241" s="65">
        <f t="shared" si="524"/>
        <v>-645.10828260000005</v>
      </c>
      <c r="F241" s="65">
        <f t="shared" si="524"/>
        <v>-532.52070319999996</v>
      </c>
      <c r="G241" s="65">
        <f t="shared" si="524"/>
        <v>-331.42253924749997</v>
      </c>
      <c r="H241" s="65">
        <f t="shared" si="524"/>
        <v>-431.65054886024996</v>
      </c>
      <c r="I241" s="65">
        <f t="shared" si="524"/>
        <v>-511.49613889649999</v>
      </c>
      <c r="J241" s="65">
        <f t="shared" si="524"/>
        <v>-878.78550924999979</v>
      </c>
      <c r="K241" s="65">
        <f t="shared" si="524"/>
        <v>-1125.1347454500001</v>
      </c>
      <c r="L241" s="65">
        <f t="shared" si="524"/>
        <v>-1336.0660968999998</v>
      </c>
      <c r="M241" s="65">
        <f t="shared" si="524"/>
        <v>-1289.688796667853</v>
      </c>
      <c r="N241" s="58"/>
      <c r="O241" s="65">
        <f t="shared" ref="O241:AU241" si="525">O61*O$204</f>
        <v>-148.69165080000002</v>
      </c>
      <c r="P241" s="65">
        <f t="shared" si="525"/>
        <v>-146.53855619999999</v>
      </c>
      <c r="Q241" s="65">
        <f t="shared" si="525"/>
        <v>-167.33708860000002</v>
      </c>
      <c r="R241" s="65">
        <f t="shared" si="525"/>
        <v>-182.59673939999996</v>
      </c>
      <c r="S241" s="65">
        <f t="shared" si="525"/>
        <v>-153.53147420000002</v>
      </c>
      <c r="T241" s="65">
        <f t="shared" si="525"/>
        <v>-109.26627659999994</v>
      </c>
      <c r="U241" s="65">
        <f t="shared" si="525"/>
        <v>-132.96861619999993</v>
      </c>
      <c r="V241" s="65">
        <f t="shared" si="525"/>
        <v>-136.75433620000013</v>
      </c>
      <c r="W241" s="65">
        <f t="shared" si="525"/>
        <v>-83.556208500000011</v>
      </c>
      <c r="X241" s="65">
        <f t="shared" si="525"/>
        <v>-87.218509022999982</v>
      </c>
      <c r="Y241" s="65">
        <f t="shared" si="525"/>
        <v>-68.565419040000023</v>
      </c>
      <c r="Z241" s="65">
        <f t="shared" si="525"/>
        <v>-92.081715101999976</v>
      </c>
      <c r="AA241" s="65">
        <f t="shared" si="525"/>
        <v>-75.296094120000006</v>
      </c>
      <c r="AB241" s="65">
        <f t="shared" si="525"/>
        <v>-105.35453169299998</v>
      </c>
      <c r="AC241" s="65">
        <f t="shared" si="525"/>
        <v>-100.02092502600001</v>
      </c>
      <c r="AD241" s="65">
        <f t="shared" si="525"/>
        <v>-150.95199599999998</v>
      </c>
      <c r="AE241" s="65">
        <f t="shared" si="525"/>
        <v>-124.95808599999998</v>
      </c>
      <c r="AF241" s="65">
        <f t="shared" si="525"/>
        <v>-129.57773080000004</v>
      </c>
      <c r="AG241" s="65">
        <f t="shared" si="525"/>
        <v>-115.31895870000005</v>
      </c>
      <c r="AH241" s="65">
        <f t="shared" si="525"/>
        <v>-141.090124</v>
      </c>
      <c r="AI241" s="65">
        <f t="shared" si="525"/>
        <v>-173.49178699999999</v>
      </c>
      <c r="AJ241" s="65">
        <f t="shared" si="525"/>
        <v>-170.562682</v>
      </c>
      <c r="AK241" s="65">
        <f t="shared" si="525"/>
        <v>-221.61711519999992</v>
      </c>
      <c r="AL241" s="65">
        <f t="shared" si="525"/>
        <v>-312.95485200000007</v>
      </c>
      <c r="AM241" s="65">
        <f t="shared" si="525"/>
        <v>-238.69813333333335</v>
      </c>
      <c r="AN241" s="65">
        <f t="shared" si="525"/>
        <v>-315.03242219999998</v>
      </c>
      <c r="AO241" s="65">
        <f t="shared" si="525"/>
        <v>-218.21446400000016</v>
      </c>
      <c r="AP241" s="65">
        <f t="shared" si="525"/>
        <v>-353.09433499999977</v>
      </c>
      <c r="AQ241" s="65">
        <f t="shared" si="525"/>
        <v>-333.154315</v>
      </c>
      <c r="AR241" s="65">
        <f t="shared" si="525"/>
        <v>-309.73108120000001</v>
      </c>
      <c r="AS241" s="65">
        <f t="shared" si="525"/>
        <v>-309.94009560000012</v>
      </c>
      <c r="AT241" s="65">
        <f t="shared" si="525"/>
        <v>-383.87160414833733</v>
      </c>
      <c r="AU241" s="65">
        <f t="shared" si="525"/>
        <v>-286.15013461999837</v>
      </c>
      <c r="AV241" s="58"/>
      <c r="AW241"/>
      <c r="AX241"/>
    </row>
    <row r="242" spans="2:50" ht="13.5" customHeight="1">
      <c r="B242" s="1" t="str">
        <f t="shared" si="513"/>
        <v>Purchase and development of intangible assets</v>
      </c>
      <c r="C242" s="65">
        <f t="shared" ref="C242:D253" si="526">C62*C$204</f>
        <v>-4.8377745000000001</v>
      </c>
      <c r="D242" s="65">
        <f t="shared" si="526"/>
        <v>-14.110338199999999</v>
      </c>
      <c r="E242" s="65" t="s">
        <v>308</v>
      </c>
      <c r="F242" s="65">
        <f t="shared" ref="F242:M253" si="527">F62*F$204</f>
        <v>-35.453267799999999</v>
      </c>
      <c r="G242" s="65">
        <f t="shared" si="527"/>
        <v>-38.650210911499997</v>
      </c>
      <c r="H242" s="65">
        <f t="shared" si="527"/>
        <v>-15.244298668749998</v>
      </c>
      <c r="I242" s="65">
        <f t="shared" si="527"/>
        <v>-8.8884607814999992</v>
      </c>
      <c r="J242" s="65">
        <f t="shared" si="527"/>
        <v>-6.5307158749999994</v>
      </c>
      <c r="K242" s="65">
        <f t="shared" si="527"/>
        <v>-16.123811799999999</v>
      </c>
      <c r="L242" s="65">
        <f t="shared" si="527"/>
        <v>-10.572203099999999</v>
      </c>
      <c r="M242" s="65">
        <f t="shared" si="527"/>
        <v>-16.85408747792918</v>
      </c>
      <c r="N242" s="58"/>
      <c r="O242" s="65">
        <f t="shared" ref="O242:AU242" si="528">O62*O$204</f>
        <v>-3.0713171999999997</v>
      </c>
      <c r="P242" s="65">
        <f t="shared" si="528"/>
        <v>-1.9187202000000003</v>
      </c>
      <c r="Q242" s="65">
        <f t="shared" si="528"/>
        <v>-2.1048070000000005</v>
      </c>
      <c r="R242" s="65">
        <f t="shared" si="528"/>
        <v>-3.5161873999999975</v>
      </c>
      <c r="S242" s="65">
        <f t="shared" si="528"/>
        <v>-8.063850200000001</v>
      </c>
      <c r="T242" s="65">
        <f t="shared" si="528"/>
        <v>-2.261567799999999</v>
      </c>
      <c r="U242" s="65">
        <f t="shared" si="528"/>
        <v>-15.851769399999997</v>
      </c>
      <c r="V242" s="65">
        <f t="shared" si="528"/>
        <v>-9.2760804000000068</v>
      </c>
      <c r="W242" s="65">
        <f t="shared" si="528"/>
        <v>-8.3321754500000011</v>
      </c>
      <c r="X242" s="65">
        <f t="shared" si="528"/>
        <v>-7.426942616999999</v>
      </c>
      <c r="Y242" s="65">
        <f t="shared" si="528"/>
        <v>-8.2928103659999994</v>
      </c>
      <c r="Z242" s="65">
        <f t="shared" si="528"/>
        <v>-14.599484916</v>
      </c>
      <c r="AA242" s="65">
        <f t="shared" si="528"/>
        <v>-4.4538722340000003</v>
      </c>
      <c r="AB242" s="65">
        <f t="shared" si="528"/>
        <v>-7.3122758069999989</v>
      </c>
      <c r="AC242" s="65">
        <f t="shared" si="528"/>
        <v>-9.4032117540000026</v>
      </c>
      <c r="AD242" s="65">
        <f t="shared" si="528"/>
        <v>5.9189650000000045</v>
      </c>
      <c r="AE242" s="65">
        <f t="shared" si="528"/>
        <v>-3.8446385999999997</v>
      </c>
      <c r="AF242" s="65">
        <f t="shared" si="528"/>
        <v>-1.1221193999999999</v>
      </c>
      <c r="AG242" s="65">
        <f t="shared" si="528"/>
        <v>-6.6958743000000007</v>
      </c>
      <c r="AH242" s="65">
        <f t="shared" si="528"/>
        <v>2.7807640000000013</v>
      </c>
      <c r="AI242" s="65">
        <f t="shared" si="528"/>
        <v>-2.1511713999999995</v>
      </c>
      <c r="AJ242" s="65">
        <f t="shared" si="528"/>
        <v>-1.4161792000000004</v>
      </c>
      <c r="AK242" s="65">
        <f t="shared" si="528"/>
        <v>-1.3961841999999995</v>
      </c>
      <c r="AL242" s="65">
        <f t="shared" si="528"/>
        <v>-1.5667400000000002</v>
      </c>
      <c r="AM242" s="65">
        <f t="shared" si="528"/>
        <v>-3.2111999999999998</v>
      </c>
      <c r="AN242" s="65">
        <f t="shared" si="528"/>
        <v>-1.9456468</v>
      </c>
      <c r="AO242" s="65">
        <f t="shared" si="528"/>
        <v>-4.6496254999999991</v>
      </c>
      <c r="AP242" s="65">
        <f t="shared" si="528"/>
        <v>-6.3134653999999992</v>
      </c>
      <c r="AQ242" s="65">
        <f t="shared" si="528"/>
        <v>-1.8625685000000001</v>
      </c>
      <c r="AR242" s="65">
        <f t="shared" si="528"/>
        <v>-0.98028820000000016</v>
      </c>
      <c r="AS242" s="65">
        <f t="shared" si="528"/>
        <v>-2.7910354000000002</v>
      </c>
      <c r="AT242" s="65">
        <f t="shared" si="528"/>
        <v>-4.9436135327521384</v>
      </c>
      <c r="AU242" s="65">
        <f t="shared" si="528"/>
        <v>-8.1387785567669866</v>
      </c>
      <c r="AV242" s="58"/>
      <c r="AW242"/>
      <c r="AX242"/>
    </row>
    <row r="243" spans="2:50" ht="13.5" customHeight="1">
      <c r="B243" s="1" t="str">
        <f t="shared" si="513"/>
        <v>Disposals/ Acquisition, of subsidiaries</v>
      </c>
      <c r="C243" s="65">
        <f t="shared" si="526"/>
        <v>0</v>
      </c>
      <c r="D243" s="65">
        <f t="shared" si="526"/>
        <v>-6.665</v>
      </c>
      <c r="E243" s="65">
        <f t="shared" ref="E243:E253" si="529">E63*E$204</f>
        <v>24.461349800000001</v>
      </c>
      <c r="F243" s="65">
        <f t="shared" si="527"/>
        <v>-61.029538800000005</v>
      </c>
      <c r="G243" s="65">
        <f t="shared" si="527"/>
        <v>0</v>
      </c>
      <c r="H243" s="65">
        <f t="shared" si="527"/>
        <v>-58.489314467249997</v>
      </c>
      <c r="I243" s="65">
        <f t="shared" si="527"/>
        <v>-18.288010057499999</v>
      </c>
      <c r="J243" s="65">
        <f t="shared" si="527"/>
        <v>0</v>
      </c>
      <c r="K243" s="65">
        <f t="shared" si="527"/>
        <v>0</v>
      </c>
      <c r="L243" s="65">
        <f t="shared" si="527"/>
        <v>-269.13954630000001</v>
      </c>
      <c r="M243" s="65">
        <f t="shared" si="527"/>
        <v>-269.28523626908259</v>
      </c>
      <c r="N243" s="58"/>
      <c r="O243" s="65">
        <f t="shared" ref="O243:AU243" si="530">O63*O$204</f>
        <v>0</v>
      </c>
      <c r="P243" s="65">
        <f t="shared" si="530"/>
        <v>-1.0322751999999999</v>
      </c>
      <c r="Q243" s="65">
        <f t="shared" si="530"/>
        <v>-2.4993750000000001</v>
      </c>
      <c r="R243" s="65">
        <f t="shared" si="530"/>
        <v>27.993000000000002</v>
      </c>
      <c r="S243" s="65">
        <f t="shared" si="530"/>
        <v>0</v>
      </c>
      <c r="T243" s="65">
        <f t="shared" si="530"/>
        <v>-26.018293800000002</v>
      </c>
      <c r="U243" s="65">
        <f t="shared" si="530"/>
        <v>-11.597100000000005</v>
      </c>
      <c r="V243" s="65">
        <f t="shared" si="530"/>
        <v>-23.414145000000001</v>
      </c>
      <c r="W243" s="65">
        <f t="shared" si="530"/>
        <v>0</v>
      </c>
      <c r="X243" s="65">
        <f t="shared" si="530"/>
        <v>0</v>
      </c>
      <c r="Y243" s="65">
        <f t="shared" si="530"/>
        <v>0</v>
      </c>
      <c r="Z243" s="65">
        <f t="shared" si="530"/>
        <v>0</v>
      </c>
      <c r="AA243" s="65">
        <f t="shared" si="530"/>
        <v>0</v>
      </c>
      <c r="AB243" s="65">
        <f t="shared" si="530"/>
        <v>0</v>
      </c>
      <c r="AC243" s="65">
        <f t="shared" si="530"/>
        <v>-40.000050000000002</v>
      </c>
      <c r="AD243" s="65">
        <f t="shared" si="530"/>
        <v>-18.486838500000001</v>
      </c>
      <c r="AE243" s="65">
        <f t="shared" si="530"/>
        <v>-18.27543</v>
      </c>
      <c r="AF243" s="65">
        <f t="shared" si="530"/>
        <v>0</v>
      </c>
      <c r="AG243" s="65">
        <f t="shared" si="530"/>
        <v>0</v>
      </c>
      <c r="AH243" s="65">
        <f t="shared" si="530"/>
        <v>-1.1970000000000454E-2</v>
      </c>
      <c r="AI243" s="65">
        <f t="shared" si="530"/>
        <v>0</v>
      </c>
      <c r="AJ243" s="65">
        <f t="shared" si="530"/>
        <v>0</v>
      </c>
      <c r="AK243" s="65">
        <f t="shared" si="530"/>
        <v>0</v>
      </c>
      <c r="AL243" s="65">
        <f t="shared" si="530"/>
        <v>0</v>
      </c>
      <c r="AM243" s="65">
        <f t="shared" si="530"/>
        <v>0</v>
      </c>
      <c r="AN243" s="65">
        <f t="shared" si="530"/>
        <v>0</v>
      </c>
      <c r="AO243" s="65">
        <f t="shared" si="530"/>
        <v>0</v>
      </c>
      <c r="AP243" s="65">
        <f t="shared" si="530"/>
        <v>0</v>
      </c>
      <c r="AQ243" s="65">
        <f t="shared" si="530"/>
        <v>0</v>
      </c>
      <c r="AR243" s="65">
        <f t="shared" si="530"/>
        <v>0</v>
      </c>
      <c r="AS243" s="65">
        <f t="shared" si="530"/>
        <v>-269.29106039999999</v>
      </c>
      <c r="AT243" s="65">
        <f t="shared" si="530"/>
        <v>0</v>
      </c>
      <c r="AU243" s="65">
        <f t="shared" si="530"/>
        <v>0</v>
      </c>
      <c r="AV243" s="58"/>
      <c r="AW243"/>
      <c r="AX243"/>
    </row>
    <row r="244" spans="2:50" ht="13.5" customHeight="1" thickBot="1">
      <c r="B244" s="48" t="str">
        <f t="shared" si="513"/>
        <v xml:space="preserve">Free cash flow </v>
      </c>
      <c r="C244" s="67">
        <f t="shared" si="526"/>
        <v>-424.41990500000014</v>
      </c>
      <c r="D244" s="67">
        <f t="shared" si="526"/>
        <v>-15.260983800000069</v>
      </c>
      <c r="E244" s="67">
        <f t="shared" si="529"/>
        <v>-30.805629999999962</v>
      </c>
      <c r="F244" s="67">
        <f t="shared" si="527"/>
        <v>282.60986320000006</v>
      </c>
      <c r="G244" s="67">
        <f t="shared" si="527"/>
        <v>408.46168670049997</v>
      </c>
      <c r="H244" s="67">
        <f t="shared" si="527"/>
        <v>488.39453444099996</v>
      </c>
      <c r="I244" s="67">
        <f t="shared" si="527"/>
        <v>61.224557146529939</v>
      </c>
      <c r="J244" s="67">
        <f t="shared" si="527"/>
        <v>-87.464351118750017</v>
      </c>
      <c r="K244" s="67">
        <f t="shared" si="527"/>
        <v>-34.415096262000169</v>
      </c>
      <c r="L244" s="67">
        <f t="shared" si="527"/>
        <v>-606.47278150599993</v>
      </c>
      <c r="M244" s="67">
        <f t="shared" si="527"/>
        <v>-508.43690504230022</v>
      </c>
      <c r="N244" s="59"/>
      <c r="O244" s="67">
        <f t="shared" ref="O244:AU244" si="531">O64*O$204</f>
        <v>-81.834228000000024</v>
      </c>
      <c r="P244" s="67">
        <f t="shared" si="531"/>
        <v>32.665165000000016</v>
      </c>
      <c r="Q244" s="67">
        <f t="shared" si="531"/>
        <v>-92.390763199999995</v>
      </c>
      <c r="R244" s="67">
        <f t="shared" si="531"/>
        <v>110.72351220000003</v>
      </c>
      <c r="S244" s="67">
        <f t="shared" si="531"/>
        <v>-41.348860200000011</v>
      </c>
      <c r="T244" s="67">
        <f t="shared" si="531"/>
        <v>86.695120800000026</v>
      </c>
      <c r="U244" s="67">
        <f t="shared" si="531"/>
        <v>56.448284400000084</v>
      </c>
      <c r="V244" s="67">
        <f t="shared" si="531"/>
        <v>180.81531819999998</v>
      </c>
      <c r="W244" s="67">
        <f t="shared" si="531"/>
        <v>-60.143045925000017</v>
      </c>
      <c r="X244" s="67">
        <f t="shared" si="531"/>
        <v>208.57919405700002</v>
      </c>
      <c r="Y244" s="67">
        <f t="shared" si="531"/>
        <v>125.28735660900001</v>
      </c>
      <c r="Z244" s="67">
        <f t="shared" si="531"/>
        <v>134.88550193999995</v>
      </c>
      <c r="AA244" s="67">
        <f t="shared" si="531"/>
        <v>76.924362821999964</v>
      </c>
      <c r="AB244" s="67">
        <f t="shared" si="531"/>
        <v>190.41437135099997</v>
      </c>
      <c r="AC244" s="67">
        <f t="shared" si="531"/>
        <v>76.55636236199993</v>
      </c>
      <c r="AD244" s="67">
        <f t="shared" si="531"/>
        <v>144.48537350000009</v>
      </c>
      <c r="AE244" s="67">
        <f t="shared" si="531"/>
        <v>-88.898836399999993</v>
      </c>
      <c r="AF244" s="67">
        <f t="shared" si="531"/>
        <v>-3.3898190000000228</v>
      </c>
      <c r="AG244" s="67">
        <f t="shared" si="531"/>
        <v>134.62185270000003</v>
      </c>
      <c r="AH244" s="67">
        <f t="shared" si="531"/>
        <v>18.594511879999914</v>
      </c>
      <c r="AI244" s="67">
        <f t="shared" si="531"/>
        <v>-30.524637499999944</v>
      </c>
      <c r="AJ244" s="67">
        <f t="shared" si="531"/>
        <v>134.5962092</v>
      </c>
      <c r="AK244" s="67">
        <f t="shared" si="531"/>
        <v>-228.26745219999987</v>
      </c>
      <c r="AL244" s="67">
        <f t="shared" si="531"/>
        <v>36.609460299999817</v>
      </c>
      <c r="AM244" s="67">
        <f t="shared" si="531"/>
        <v>18.020653333333431</v>
      </c>
      <c r="AN244" s="67">
        <f t="shared" si="531"/>
        <v>72.066512200000062</v>
      </c>
      <c r="AO244" s="67">
        <f t="shared" si="531"/>
        <v>15.903120999999786</v>
      </c>
      <c r="AP244" s="67">
        <f t="shared" si="531"/>
        <v>-140.21015142199991</v>
      </c>
      <c r="AQ244" s="67">
        <f t="shared" si="531"/>
        <v>-174.90160213499985</v>
      </c>
      <c r="AR244" s="67">
        <f t="shared" si="531"/>
        <v>-42.07587839999983</v>
      </c>
      <c r="AS244" s="67">
        <f t="shared" si="531"/>
        <v>-311.09394040000018</v>
      </c>
      <c r="AT244" s="67">
        <f t="shared" si="531"/>
        <v>-78.67794129408928</v>
      </c>
      <c r="AU244" s="67">
        <f t="shared" si="531"/>
        <v>-76.593535574334069</v>
      </c>
      <c r="AV244" s="59"/>
      <c r="AW244"/>
      <c r="AX244"/>
    </row>
    <row r="245" spans="2:50" ht="13.5" customHeight="1" thickTop="1">
      <c r="B245" s="71" t="str">
        <f t="shared" si="513"/>
        <v>Other investing activities</v>
      </c>
      <c r="C245" s="72">
        <f t="shared" si="526"/>
        <v>-18.999851</v>
      </c>
      <c r="D245" s="72">
        <f t="shared" si="526"/>
        <v>0.29592600000000002</v>
      </c>
      <c r="E245" s="72">
        <f t="shared" si="529"/>
        <v>4.8217276000000009</v>
      </c>
      <c r="F245" s="72">
        <f t="shared" si="527"/>
        <v>-155.88102000000001</v>
      </c>
      <c r="G245" s="72">
        <f t="shared" si="527"/>
        <v>160.08627238349996</v>
      </c>
      <c r="H245" s="72">
        <f t="shared" si="527"/>
        <v>21.660102059499998</v>
      </c>
      <c r="I245" s="72">
        <f t="shared" si="527"/>
        <v>8.8468698554999996</v>
      </c>
      <c r="J245" s="72">
        <f t="shared" si="527"/>
        <v>-494.51692987499996</v>
      </c>
      <c r="K245" s="72">
        <f t="shared" si="527"/>
        <v>442.61067933333339</v>
      </c>
      <c r="L245" s="72">
        <f t="shared" si="527"/>
        <v>26.129685700000003</v>
      </c>
      <c r="M245" s="72">
        <f t="shared" si="527"/>
        <v>26.457078383378203</v>
      </c>
      <c r="N245" s="58"/>
      <c r="O245" s="72">
        <f t="shared" ref="O245:AU245" si="532">O65*O$204</f>
        <v>4.7635287000000002</v>
      </c>
      <c r="P245" s="72">
        <f t="shared" si="532"/>
        <v>0</v>
      </c>
      <c r="Q245" s="72">
        <f t="shared" si="532"/>
        <v>0</v>
      </c>
      <c r="R245" s="72">
        <f t="shared" si="532"/>
        <v>5.9985000000000378E-2</v>
      </c>
      <c r="S245" s="72">
        <f t="shared" si="532"/>
        <v>7.9979999999999996E-2</v>
      </c>
      <c r="T245" s="72">
        <f t="shared" si="532"/>
        <v>0</v>
      </c>
      <c r="U245" s="72">
        <f t="shared" si="532"/>
        <v>0</v>
      </c>
      <c r="V245" s="72">
        <f t="shared" si="532"/>
        <v>-155.96100000000001</v>
      </c>
      <c r="W245" s="72">
        <f t="shared" si="532"/>
        <v>155.85862500000002</v>
      </c>
      <c r="X245" s="72">
        <f t="shared" si="532"/>
        <v>0</v>
      </c>
      <c r="Y245" s="72">
        <f t="shared" si="532"/>
        <v>4.8000059999986661E-2</v>
      </c>
      <c r="Z245" s="72">
        <f t="shared" si="532"/>
        <v>4.0744050929999984</v>
      </c>
      <c r="AA245" s="72">
        <f t="shared" si="532"/>
        <v>0</v>
      </c>
      <c r="AB245" s="72">
        <f t="shared" si="532"/>
        <v>0</v>
      </c>
      <c r="AC245" s="72">
        <f t="shared" si="532"/>
        <v>21.703493795999997</v>
      </c>
      <c r="AD245" s="72">
        <f t="shared" si="532"/>
        <v>-3.9974999999997728E-2</v>
      </c>
      <c r="AE245" s="72">
        <f t="shared" si="532"/>
        <v>0</v>
      </c>
      <c r="AF245" s="72">
        <f t="shared" si="532"/>
        <v>8.8465878</v>
      </c>
      <c r="AG245" s="72">
        <f t="shared" si="532"/>
        <v>0</v>
      </c>
      <c r="AH245" s="72">
        <f t="shared" si="532"/>
        <v>0</v>
      </c>
      <c r="AI245" s="72">
        <f t="shared" si="532"/>
        <v>5.2679465999999993</v>
      </c>
      <c r="AJ245" s="72">
        <f t="shared" si="532"/>
        <v>0</v>
      </c>
      <c r="AK245" s="72">
        <f t="shared" si="532"/>
        <v>-500.20825000000002</v>
      </c>
      <c r="AL245" s="72">
        <f t="shared" si="532"/>
        <v>-2.6600000001355541E-4</v>
      </c>
      <c r="AM245" s="72">
        <f t="shared" si="532"/>
        <v>500.33333333333331</v>
      </c>
      <c r="AN245" s="72">
        <f t="shared" si="532"/>
        <v>-7.3315000000000001</v>
      </c>
      <c r="AO245" s="72">
        <f t="shared" si="532"/>
        <v>-50.067354999999971</v>
      </c>
      <c r="AP245" s="72">
        <f t="shared" si="532"/>
        <v>0</v>
      </c>
      <c r="AQ245" s="72">
        <f t="shared" si="532"/>
        <v>-0.31313750000000001</v>
      </c>
      <c r="AR245" s="72">
        <f t="shared" si="532"/>
        <v>23.601831399999998</v>
      </c>
      <c r="AS245" s="72">
        <f t="shared" si="532"/>
        <v>-23.601831399999998</v>
      </c>
      <c r="AT245" s="72">
        <f t="shared" si="532"/>
        <v>26.457916766642672</v>
      </c>
      <c r="AU245" s="72">
        <f t="shared" si="532"/>
        <v>0</v>
      </c>
      <c r="AV245" s="58"/>
      <c r="AW245"/>
      <c r="AX245"/>
    </row>
    <row r="246" spans="2:50" ht="13.5" customHeight="1">
      <c r="B246" s="1" t="str">
        <f t="shared" si="513"/>
        <v>Equity Issuance/Buyback</v>
      </c>
      <c r="C246" s="68">
        <f t="shared" si="526"/>
        <v>-12.870617500000002</v>
      </c>
      <c r="D246" s="68">
        <f t="shared" si="526"/>
        <v>-19.771589200000001</v>
      </c>
      <c r="E246" s="68">
        <f t="shared" si="529"/>
        <v>-39.348827</v>
      </c>
      <c r="F246" s="68">
        <f t="shared" si="527"/>
        <v>-55.740194800000005</v>
      </c>
      <c r="G246" s="68">
        <f t="shared" si="527"/>
        <v>-39.515082397500002</v>
      </c>
      <c r="H246" s="68">
        <f t="shared" si="527"/>
        <v>7.7713261617499994</v>
      </c>
      <c r="I246" s="68">
        <f t="shared" si="527"/>
        <v>1.478610741</v>
      </c>
      <c r="J246" s="68">
        <f t="shared" si="527"/>
        <v>72.804549499999979</v>
      </c>
      <c r="K246" s="68">
        <f t="shared" si="527"/>
        <v>17.058131583333335</v>
      </c>
      <c r="L246" s="68">
        <f t="shared" si="527"/>
        <v>2.7337770000000003</v>
      </c>
      <c r="M246" s="68">
        <f t="shared" si="527"/>
        <v>2.7352568415620597</v>
      </c>
      <c r="N246" s="58"/>
      <c r="O246" s="68">
        <f t="shared" ref="O246:AU246" si="533">O66*O$204</f>
        <v>0</v>
      </c>
      <c r="P246" s="68">
        <f t="shared" si="533"/>
        <v>-16.481211999999999</v>
      </c>
      <c r="Q246" s="68">
        <f t="shared" si="533"/>
        <v>-9.6109300000000015</v>
      </c>
      <c r="R246" s="68">
        <f t="shared" si="533"/>
        <v>-13.256684999999997</v>
      </c>
      <c r="S246" s="68">
        <f t="shared" si="533"/>
        <v>-1.3300673999999992</v>
      </c>
      <c r="T246" s="68">
        <f t="shared" si="533"/>
        <v>-0.96189279999999922</v>
      </c>
      <c r="U246" s="68">
        <f t="shared" si="533"/>
        <v>0.1679579999999988</v>
      </c>
      <c r="V246" s="68">
        <f t="shared" si="533"/>
        <v>-53.616192599999998</v>
      </c>
      <c r="W246" s="68">
        <f t="shared" si="533"/>
        <v>-65.360713125000004</v>
      </c>
      <c r="X246" s="68">
        <f t="shared" si="533"/>
        <v>9.9464124330000008</v>
      </c>
      <c r="Y246" s="68">
        <f t="shared" si="533"/>
        <v>12.375482136000004</v>
      </c>
      <c r="Z246" s="68">
        <f t="shared" si="533"/>
        <v>3.5741378009999898</v>
      </c>
      <c r="AA246" s="68">
        <f t="shared" si="533"/>
        <v>0.66320082899999999</v>
      </c>
      <c r="AB246" s="68">
        <f t="shared" si="533"/>
        <v>5.0328062909999991</v>
      </c>
      <c r="AC246" s="68">
        <f t="shared" si="533"/>
        <v>1.5674686260000004</v>
      </c>
      <c r="AD246" s="68">
        <f t="shared" si="533"/>
        <v>0.50874850000000016</v>
      </c>
      <c r="AE246" s="68">
        <f t="shared" si="533"/>
        <v>0</v>
      </c>
      <c r="AF246" s="68">
        <f t="shared" si="533"/>
        <v>-0.1642256</v>
      </c>
      <c r="AG246" s="68">
        <f t="shared" si="533"/>
        <v>0.1639176</v>
      </c>
      <c r="AH246" s="68">
        <f t="shared" si="533"/>
        <v>1.4752360000000002</v>
      </c>
      <c r="AI246" s="68">
        <f t="shared" si="533"/>
        <v>0</v>
      </c>
      <c r="AJ246" s="68">
        <f t="shared" si="533"/>
        <v>0</v>
      </c>
      <c r="AK246" s="68">
        <f t="shared" si="533"/>
        <v>71.485590799999997</v>
      </c>
      <c r="AL246" s="68">
        <f t="shared" si="533"/>
        <v>1.3773479999999994</v>
      </c>
      <c r="AM246" s="68">
        <f t="shared" si="533"/>
        <v>5.7653333333333334</v>
      </c>
      <c r="AN246" s="68">
        <f t="shared" si="533"/>
        <v>-5.7638920000000002</v>
      </c>
      <c r="AO246" s="68">
        <f t="shared" si="533"/>
        <v>11.400870000000001</v>
      </c>
      <c r="AP246" s="68">
        <f t="shared" si="533"/>
        <v>5.6514260000000016</v>
      </c>
      <c r="AQ246" s="68">
        <f t="shared" si="533"/>
        <v>0</v>
      </c>
      <c r="AR246" s="68">
        <f t="shared" si="533"/>
        <v>0</v>
      </c>
      <c r="AS246" s="68">
        <f t="shared" si="533"/>
        <v>2.7353160000000001</v>
      </c>
      <c r="AT246" s="68">
        <f t="shared" si="533"/>
        <v>0</v>
      </c>
      <c r="AU246" s="68">
        <f t="shared" si="533"/>
        <v>0</v>
      </c>
      <c r="AV246" s="58"/>
      <c r="AW246"/>
      <c r="AX246"/>
    </row>
    <row r="247" spans="2:50" s="5" customFormat="1" ht="13.5" customHeight="1">
      <c r="B247" s="1" t="str">
        <f t="shared" si="513"/>
        <v xml:space="preserve">Dividends Paid </v>
      </c>
      <c r="C247" s="68">
        <f t="shared" si="526"/>
        <v>-183.2776465</v>
      </c>
      <c r="D247" s="68">
        <f t="shared" si="526"/>
        <v>-191.393473</v>
      </c>
      <c r="E247" s="68">
        <f t="shared" si="529"/>
        <v>-199.37574359999999</v>
      </c>
      <c r="F247" s="68">
        <f t="shared" si="527"/>
        <v>-226.60173540000002</v>
      </c>
      <c r="G247" s="68">
        <f t="shared" si="527"/>
        <v>-226.05458492399995</v>
      </c>
      <c r="H247" s="68">
        <f t="shared" si="527"/>
        <v>-260.80935342174996</v>
      </c>
      <c r="I247" s="68">
        <f t="shared" si="527"/>
        <v>-261.16062191099996</v>
      </c>
      <c r="J247" s="68">
        <f t="shared" si="527"/>
        <v>-261.20093199999997</v>
      </c>
      <c r="K247" s="68">
        <f t="shared" si="527"/>
        <v>-262.99396354166669</v>
      </c>
      <c r="L247" s="68">
        <f t="shared" si="527"/>
        <v>-262.5880737</v>
      </c>
      <c r="M247" s="68">
        <f t="shared" si="527"/>
        <v>-262.73021724176016</v>
      </c>
      <c r="N247" s="58"/>
      <c r="O247" s="68">
        <f t="shared" ref="O247:AU247" si="534">O67*O$204</f>
        <v>0</v>
      </c>
      <c r="P247" s="68">
        <f t="shared" si="534"/>
        <v>-198.65379080000002</v>
      </c>
      <c r="Q247" s="68">
        <f t="shared" si="534"/>
        <v>-7.0648999999996367E-2</v>
      </c>
      <c r="R247" s="68">
        <f t="shared" si="534"/>
        <v>-0.65130379999999566</v>
      </c>
      <c r="S247" s="68">
        <f t="shared" si="534"/>
        <v>0</v>
      </c>
      <c r="T247" s="68">
        <f t="shared" si="534"/>
        <v>-225.8000692</v>
      </c>
      <c r="U247" s="68">
        <f t="shared" si="534"/>
        <v>-7.9980000001139619E-4</v>
      </c>
      <c r="V247" s="68">
        <f t="shared" si="534"/>
        <v>-0.80086640000000509</v>
      </c>
      <c r="W247" s="68">
        <f t="shared" si="534"/>
        <v>0</v>
      </c>
      <c r="X247" s="68">
        <f t="shared" si="534"/>
        <v>-226.10028262499998</v>
      </c>
      <c r="Y247" s="68">
        <f t="shared" si="534"/>
        <v>-2.1333360000101863E-3</v>
      </c>
      <c r="Z247" s="68">
        <f t="shared" si="534"/>
        <v>-3.466670999978657E-3</v>
      </c>
      <c r="AA247" s="68">
        <f t="shared" si="534"/>
        <v>0</v>
      </c>
      <c r="AB247" s="68">
        <f t="shared" si="534"/>
        <v>-260.83952604900003</v>
      </c>
      <c r="AC247" s="68">
        <f t="shared" si="534"/>
        <v>-6.4000080000002424E-3</v>
      </c>
      <c r="AD247" s="68">
        <f t="shared" si="534"/>
        <v>-4.2639999999900631E-3</v>
      </c>
      <c r="AE247" s="68">
        <f t="shared" si="534"/>
        <v>0</v>
      </c>
      <c r="AF247" s="68">
        <f t="shared" si="534"/>
        <v>-261.1517624</v>
      </c>
      <c r="AG247" s="68">
        <f t="shared" si="534"/>
        <v>-5.3220000001766722E-4</v>
      </c>
      <c r="AH247" s="68">
        <f t="shared" si="534"/>
        <v>0</v>
      </c>
      <c r="AI247" s="68">
        <f t="shared" si="534"/>
        <v>0</v>
      </c>
      <c r="AJ247" s="68">
        <f t="shared" si="534"/>
        <v>-261.42156160000002</v>
      </c>
      <c r="AK247" s="68">
        <f t="shared" si="534"/>
        <v>0</v>
      </c>
      <c r="AL247" s="68">
        <f t="shared" si="534"/>
        <v>0</v>
      </c>
      <c r="AM247" s="68">
        <f t="shared" si="534"/>
        <v>0</v>
      </c>
      <c r="AN247" s="68">
        <f t="shared" si="534"/>
        <v>-263.09794240000002</v>
      </c>
      <c r="AO247" s="68">
        <f t="shared" si="534"/>
        <v>0</v>
      </c>
      <c r="AP247" s="68">
        <f t="shared" si="534"/>
        <v>-2.928199999991284E-3</v>
      </c>
      <c r="AQ247" s="68">
        <f t="shared" si="534"/>
        <v>0</v>
      </c>
      <c r="AR247" s="68">
        <f t="shared" si="534"/>
        <v>-262.71990360000001</v>
      </c>
      <c r="AS247" s="68">
        <f t="shared" si="534"/>
        <v>-1.5462799999998061E-2</v>
      </c>
      <c r="AT247" s="68">
        <f t="shared" si="534"/>
        <v>-5.3320536403335362E-4</v>
      </c>
      <c r="AU247" s="68">
        <f t="shared" si="534"/>
        <v>0</v>
      </c>
      <c r="AV247" s="58"/>
      <c r="AW247"/>
      <c r="AX247"/>
    </row>
    <row r="248" spans="2:50" ht="13.5" customHeight="1">
      <c r="B248" s="1" t="str">
        <f t="shared" si="513"/>
        <v>Change in debt</v>
      </c>
      <c r="C248" s="65">
        <f t="shared" si="526"/>
        <v>93.767225499999995</v>
      </c>
      <c r="D248" s="65">
        <f t="shared" si="526"/>
        <v>294.60126459999998</v>
      </c>
      <c r="E248" s="65">
        <f t="shared" si="529"/>
        <v>-185.53840379999988</v>
      </c>
      <c r="F248" s="65">
        <f t="shared" si="527"/>
        <v>-241.76567679999999</v>
      </c>
      <c r="G248" s="65">
        <f t="shared" si="527"/>
        <v>-504.93671460999985</v>
      </c>
      <c r="H248" s="65">
        <f t="shared" si="527"/>
        <v>-418.80987682024971</v>
      </c>
      <c r="I248" s="65">
        <f t="shared" si="527"/>
        <v>-53.275043512500041</v>
      </c>
      <c r="J248" s="65">
        <f t="shared" si="527"/>
        <v>625.54945612500001</v>
      </c>
      <c r="K248" s="65">
        <f t="shared" si="527"/>
        <v>-516.00541574166698</v>
      </c>
      <c r="L248" s="65">
        <f t="shared" si="527"/>
        <v>575.47817709999981</v>
      </c>
      <c r="M248" s="65">
        <f t="shared" si="527"/>
        <v>774.81588559620354</v>
      </c>
      <c r="N248" s="58"/>
      <c r="O248" s="65">
        <f t="shared" ref="O248:AU248" si="535">O68*O$204</f>
        <v>-170.3191539</v>
      </c>
      <c r="P248" s="65">
        <f t="shared" si="535"/>
        <v>-79.75552279999998</v>
      </c>
      <c r="Q248" s="65">
        <f t="shared" si="535"/>
        <v>43.394215400000064</v>
      </c>
      <c r="R248" s="65">
        <f t="shared" si="535"/>
        <v>21.078195800000056</v>
      </c>
      <c r="S248" s="65">
        <f t="shared" si="535"/>
        <v>-182.87107080000001</v>
      </c>
      <c r="T248" s="65">
        <f t="shared" si="535"/>
        <v>80.645166999999958</v>
      </c>
      <c r="U248" s="65">
        <f t="shared" si="535"/>
        <v>61.693106199999903</v>
      </c>
      <c r="V248" s="65">
        <f t="shared" si="535"/>
        <v>-201.23287919999987</v>
      </c>
      <c r="W248" s="65">
        <f t="shared" si="535"/>
        <v>-123.85005907500005</v>
      </c>
      <c r="X248" s="65">
        <f t="shared" si="535"/>
        <v>31.68483960600004</v>
      </c>
      <c r="Y248" s="65">
        <f t="shared" si="535"/>
        <v>-77.147829768000022</v>
      </c>
      <c r="Z248" s="65">
        <f t="shared" si="535"/>
        <v>-335.62575286499987</v>
      </c>
      <c r="AA248" s="65">
        <f t="shared" si="535"/>
        <v>-118.64174830200001</v>
      </c>
      <c r="AB248" s="65">
        <f t="shared" si="535"/>
        <v>70.332087914999931</v>
      </c>
      <c r="AC248" s="65">
        <f t="shared" si="535"/>
        <v>-196.40237883599991</v>
      </c>
      <c r="AD248" s="65">
        <f t="shared" si="535"/>
        <v>-174.05434799999975</v>
      </c>
      <c r="AE248" s="65">
        <f t="shared" si="535"/>
        <v>66.590814799999976</v>
      </c>
      <c r="AF248" s="65">
        <f t="shared" si="535"/>
        <v>225.32578779999986</v>
      </c>
      <c r="AG248" s="65">
        <f t="shared" si="535"/>
        <v>-237.13395060000002</v>
      </c>
      <c r="AH248" s="65">
        <f t="shared" si="535"/>
        <v>-107.36823999999984</v>
      </c>
      <c r="AI248" s="65">
        <f t="shared" si="535"/>
        <v>6.2346155999999882</v>
      </c>
      <c r="AJ248" s="65">
        <f t="shared" si="535"/>
        <v>140.72294379999997</v>
      </c>
      <c r="AK248" s="65">
        <f t="shared" si="535"/>
        <v>544.74857880000002</v>
      </c>
      <c r="AL248" s="65">
        <f t="shared" si="535"/>
        <v>-65.487603999999848</v>
      </c>
      <c r="AM248" s="65">
        <f t="shared" si="535"/>
        <v>-648.75679999999988</v>
      </c>
      <c r="AN248" s="65">
        <f t="shared" si="535"/>
        <v>169.70236379999997</v>
      </c>
      <c r="AO248" s="65">
        <f t="shared" si="535"/>
        <v>-130.24334699999997</v>
      </c>
      <c r="AP248" s="65">
        <f t="shared" si="535"/>
        <v>92.829796399999694</v>
      </c>
      <c r="AQ248" s="65">
        <f t="shared" si="535"/>
        <v>93.764294000000021</v>
      </c>
      <c r="AR248" s="65">
        <f t="shared" si="535"/>
        <v>178.3402037999995</v>
      </c>
      <c r="AS248" s="65">
        <f t="shared" si="535"/>
        <v>364.94687380000084</v>
      </c>
      <c r="AT248" s="65">
        <f t="shared" si="535"/>
        <v>-61.285024927351337</v>
      </c>
      <c r="AU248" s="65">
        <f t="shared" si="535"/>
        <v>292.80169541225712</v>
      </c>
      <c r="AV248" s="58"/>
      <c r="AW248"/>
      <c r="AX248"/>
    </row>
    <row r="249" spans="2:50" ht="13.5" customHeight="1" thickBot="1">
      <c r="B249" s="43" t="str">
        <f t="shared" si="513"/>
        <v>Other financing activities</v>
      </c>
      <c r="C249" s="66">
        <f t="shared" si="526"/>
        <v>7.3402095000000021</v>
      </c>
      <c r="D249" s="66">
        <f t="shared" si="526"/>
        <v>-22.922001399999999</v>
      </c>
      <c r="E249" s="66">
        <f t="shared" si="529"/>
        <v>13.618461199999995</v>
      </c>
      <c r="F249" s="66">
        <f t="shared" si="527"/>
        <v>8.1222355999999998</v>
      </c>
      <c r="G249" s="66">
        <f t="shared" si="527"/>
        <v>-7.9064823639999986</v>
      </c>
      <c r="H249" s="66">
        <f t="shared" si="527"/>
        <v>-43.058378123499999</v>
      </c>
      <c r="I249" s="66">
        <f t="shared" si="527"/>
        <v>-68.113406188499994</v>
      </c>
      <c r="J249" s="66">
        <f t="shared" si="527"/>
        <v>-69.463940625000006</v>
      </c>
      <c r="K249" s="66">
        <f t="shared" si="527"/>
        <v>-9.3613192666666674</v>
      </c>
      <c r="L249" s="66">
        <f t="shared" si="527"/>
        <v>-2.1409257500000001</v>
      </c>
      <c r="M249" s="66">
        <f t="shared" si="527"/>
        <v>-2.1748757615461294</v>
      </c>
      <c r="N249" s="58"/>
      <c r="O249" s="66">
        <f t="shared" ref="O249:AU249" si="536">O69*O$204</f>
        <v>14.541284099999999</v>
      </c>
      <c r="P249" s="66">
        <f t="shared" si="536"/>
        <v>-3.9950009999999998</v>
      </c>
      <c r="Q249" s="66">
        <f t="shared" si="536"/>
        <v>1.7688909999999975</v>
      </c>
      <c r="R249" s="66">
        <f t="shared" si="536"/>
        <v>1.3087393999999979</v>
      </c>
      <c r="S249" s="66">
        <f t="shared" si="536"/>
        <v>9.6039984</v>
      </c>
      <c r="T249" s="66">
        <f t="shared" si="536"/>
        <v>1.1610430000000012</v>
      </c>
      <c r="U249" s="66">
        <f t="shared" si="536"/>
        <v>-2.6428058000000019</v>
      </c>
      <c r="V249" s="66">
        <f t="shared" si="536"/>
        <v>0</v>
      </c>
      <c r="W249" s="66">
        <f t="shared" si="536"/>
        <v>0</v>
      </c>
      <c r="X249" s="66">
        <f t="shared" si="536"/>
        <v>-1.7674688759999999</v>
      </c>
      <c r="Y249" s="66">
        <f t="shared" si="536"/>
        <v>-5.831207289</v>
      </c>
      <c r="Z249" s="66">
        <f t="shared" si="536"/>
        <v>-0.30960038699999942</v>
      </c>
      <c r="AA249" s="66">
        <f t="shared" si="536"/>
        <v>0</v>
      </c>
      <c r="AB249" s="66">
        <f t="shared" si="536"/>
        <v>-1.3826683949999998</v>
      </c>
      <c r="AC249" s="66">
        <f t="shared" si="536"/>
        <v>-1.7085354689999996</v>
      </c>
      <c r="AD249" s="66">
        <f t="shared" si="536"/>
        <v>-39.948883000000002</v>
      </c>
      <c r="AE249" s="66">
        <f t="shared" si="536"/>
        <v>-66.650000000000006</v>
      </c>
      <c r="AF249" s="66">
        <f t="shared" si="536"/>
        <v>-1.8344745999999925</v>
      </c>
      <c r="AG249" s="66">
        <f t="shared" si="536"/>
        <v>-0.59739450000001637</v>
      </c>
      <c r="AH249" s="66">
        <f t="shared" si="536"/>
        <v>0.96957000000000282</v>
      </c>
      <c r="AI249" s="66">
        <f t="shared" si="536"/>
        <v>-67.906499999999994</v>
      </c>
      <c r="AJ249" s="66">
        <f t="shared" si="536"/>
        <v>17.538814200000001</v>
      </c>
      <c r="AK249" s="66">
        <f t="shared" si="536"/>
        <v>-19.839838800000003</v>
      </c>
      <c r="AL249" s="66">
        <f t="shared" si="536"/>
        <v>0.75969599999999105</v>
      </c>
      <c r="AM249" s="66">
        <f t="shared" si="536"/>
        <v>0</v>
      </c>
      <c r="AN249" s="66">
        <f t="shared" si="536"/>
        <v>4.1096389999999996</v>
      </c>
      <c r="AO249" s="66">
        <f t="shared" si="536"/>
        <v>-6.5582985000000003</v>
      </c>
      <c r="AP249" s="66">
        <f t="shared" si="536"/>
        <v>-6.9036308000000002</v>
      </c>
      <c r="AQ249" s="66">
        <f t="shared" si="536"/>
        <v>-0.29181750000000001</v>
      </c>
      <c r="AR249" s="66">
        <f t="shared" si="536"/>
        <v>1.057069</v>
      </c>
      <c r="AS249" s="66">
        <f t="shared" si="536"/>
        <v>-3.6828123999999995</v>
      </c>
      <c r="AT249" s="66">
        <f t="shared" si="536"/>
        <v>0.77554720200485161</v>
      </c>
      <c r="AU249" s="66">
        <f t="shared" si="536"/>
        <v>-0.32468744168688185</v>
      </c>
      <c r="AV249" s="58"/>
      <c r="AW249"/>
      <c r="AX249"/>
    </row>
    <row r="250" spans="2:50" ht="13.5" customHeight="1" thickTop="1" thickBot="1">
      <c r="B250" s="54" t="str">
        <f t="shared" si="513"/>
        <v>Cash flow after financing activities</v>
      </c>
      <c r="C250" s="67">
        <f t="shared" si="526"/>
        <v>-538.46058500000004</v>
      </c>
      <c r="D250" s="67">
        <f t="shared" si="526"/>
        <v>45.549143199999918</v>
      </c>
      <c r="E250" s="67">
        <f t="shared" si="529"/>
        <v>-436.62841559999993</v>
      </c>
      <c r="F250" s="67">
        <f t="shared" si="527"/>
        <v>-389.25652819999999</v>
      </c>
      <c r="G250" s="67">
        <f t="shared" si="527"/>
        <v>-209.86490521149986</v>
      </c>
      <c r="H250" s="67">
        <f t="shared" si="527"/>
        <v>-204.85164570324977</v>
      </c>
      <c r="I250" s="67">
        <f t="shared" si="527"/>
        <v>-310.99903386897006</v>
      </c>
      <c r="J250" s="67">
        <f t="shared" si="527"/>
        <v>-214.29214799374995</v>
      </c>
      <c r="K250" s="67">
        <f t="shared" si="527"/>
        <v>-363.10698389533371</v>
      </c>
      <c r="L250" s="67">
        <f t="shared" si="527"/>
        <v>-266.86014115600005</v>
      </c>
      <c r="M250" s="67">
        <f t="shared" si="527"/>
        <v>30.666222775537374</v>
      </c>
      <c r="N250" s="59"/>
      <c r="O250" s="67">
        <f t="shared" ref="O250:AU250" si="537">O70*O$204</f>
        <v>-232.84856910000005</v>
      </c>
      <c r="P250" s="67">
        <f t="shared" si="537"/>
        <v>-266.22036159999999</v>
      </c>
      <c r="Q250" s="67">
        <f t="shared" si="537"/>
        <v>-56.909235799999934</v>
      </c>
      <c r="R250" s="67">
        <f t="shared" si="537"/>
        <v>119.26244360000011</v>
      </c>
      <c r="S250" s="67">
        <f t="shared" si="537"/>
        <v>-215.86602000000002</v>
      </c>
      <c r="T250" s="67">
        <f t="shared" si="537"/>
        <v>-58.260631199999999</v>
      </c>
      <c r="U250" s="67">
        <f t="shared" si="537"/>
        <v>115.66574299999998</v>
      </c>
      <c r="V250" s="67">
        <f t="shared" si="537"/>
        <v>-230.79561999999993</v>
      </c>
      <c r="W250" s="67">
        <f t="shared" si="537"/>
        <v>-93.495193125000057</v>
      </c>
      <c r="X250" s="67">
        <f t="shared" si="537"/>
        <v>22.342694595000079</v>
      </c>
      <c r="Y250" s="67">
        <f t="shared" si="537"/>
        <v>54.72966841199996</v>
      </c>
      <c r="Z250" s="67">
        <f t="shared" si="537"/>
        <v>-193.40477508899986</v>
      </c>
      <c r="AA250" s="67">
        <f t="shared" si="537"/>
        <v>-41.054184651000035</v>
      </c>
      <c r="AB250" s="67">
        <f t="shared" si="537"/>
        <v>3.5570711129999095</v>
      </c>
      <c r="AC250" s="67">
        <f t="shared" si="537"/>
        <v>-98.289989528999996</v>
      </c>
      <c r="AD250" s="67">
        <f t="shared" si="537"/>
        <v>-69.053347999999644</v>
      </c>
      <c r="AE250" s="67">
        <f t="shared" si="537"/>
        <v>-88.958021600000009</v>
      </c>
      <c r="AF250" s="67">
        <f t="shared" si="537"/>
        <v>-32.367906000000175</v>
      </c>
      <c r="AG250" s="67">
        <f t="shared" si="537"/>
        <v>-102.94610700000001</v>
      </c>
      <c r="AH250" s="67">
        <f t="shared" si="537"/>
        <v>-86.32892211999993</v>
      </c>
      <c r="AI250" s="67">
        <f t="shared" si="537"/>
        <v>-86.928575299999949</v>
      </c>
      <c r="AJ250" s="67">
        <f t="shared" si="537"/>
        <v>31.436405599999947</v>
      </c>
      <c r="AK250" s="67">
        <f t="shared" si="537"/>
        <v>-132.08137139999994</v>
      </c>
      <c r="AL250" s="67">
        <f t="shared" si="537"/>
        <v>-26.741365700000056</v>
      </c>
      <c r="AM250" s="67">
        <f t="shared" si="537"/>
        <v>-124.63747999999984</v>
      </c>
      <c r="AN250" s="67">
        <f t="shared" si="537"/>
        <v>-30.31481939999998</v>
      </c>
      <c r="AO250" s="67">
        <f t="shared" si="537"/>
        <v>-159.56500950000017</v>
      </c>
      <c r="AP250" s="67">
        <f t="shared" si="537"/>
        <v>-48.635488022000217</v>
      </c>
      <c r="AQ250" s="67">
        <f t="shared" si="537"/>
        <v>-81.742263134999803</v>
      </c>
      <c r="AR250" s="67">
        <f t="shared" si="537"/>
        <v>-101.79667780000031</v>
      </c>
      <c r="AS250" s="67">
        <f t="shared" si="537"/>
        <v>29.288142800000674</v>
      </c>
      <c r="AT250" s="67">
        <f t="shared" si="537"/>
        <v>-112.73003545815713</v>
      </c>
      <c r="AU250" s="67">
        <f t="shared" si="537"/>
        <v>215.88347239623619</v>
      </c>
      <c r="AV250" s="59"/>
      <c r="AW250"/>
      <c r="AX250"/>
    </row>
    <row r="251" spans="2:50" ht="13.5" customHeight="1" thickTop="1">
      <c r="B251" s="1" t="str">
        <f t="shared" si="513"/>
        <v>FX impact</v>
      </c>
      <c r="C251" s="65">
        <f t="shared" si="526"/>
        <v>-8.2561700000000009</v>
      </c>
      <c r="D251" s="65">
        <f t="shared" si="526"/>
        <v>2.4908437999999999</v>
      </c>
      <c r="E251" s="65">
        <f t="shared" si="529"/>
        <v>2.4908437999999999</v>
      </c>
      <c r="F251" s="65">
        <f t="shared" si="527"/>
        <v>1.8299424</v>
      </c>
      <c r="G251" s="65">
        <f t="shared" si="527"/>
        <v>-8.2914621499999994E-2</v>
      </c>
      <c r="H251" s="65">
        <f t="shared" si="527"/>
        <v>0.10824985149999999</v>
      </c>
      <c r="I251" s="65">
        <f t="shared" si="527"/>
        <v>-3.9804649049999994</v>
      </c>
      <c r="J251" s="65">
        <f t="shared" si="527"/>
        <v>-1.148342625</v>
      </c>
      <c r="K251" s="65">
        <f t="shared" si="527"/>
        <v>-1.5006145750000002</v>
      </c>
      <c r="L251" s="65">
        <f t="shared" si="527"/>
        <v>0.78203075000000011</v>
      </c>
      <c r="M251" s="65">
        <f t="shared" si="527"/>
        <v>-0.41055512046837944</v>
      </c>
      <c r="N251" s="58"/>
      <c r="O251" s="65">
        <f t="shared" ref="O251:AU251" si="538">O71*O$204</f>
        <v>-7.0675500000000002E-2</v>
      </c>
      <c r="P251" s="65">
        <f t="shared" si="538"/>
        <v>0.36204280000000005</v>
      </c>
      <c r="Q251" s="65">
        <f t="shared" si="538"/>
        <v>1.3311337999999999</v>
      </c>
      <c r="R251" s="65">
        <f t="shared" si="538"/>
        <v>0.8683162000000002</v>
      </c>
      <c r="S251" s="65">
        <f t="shared" si="538"/>
        <v>0.64303920000000003</v>
      </c>
      <c r="T251" s="65">
        <f t="shared" si="538"/>
        <v>0.53426640000000014</v>
      </c>
      <c r="U251" s="65">
        <f t="shared" si="538"/>
        <v>0.40656499999999984</v>
      </c>
      <c r="V251" s="65">
        <f t="shared" si="538"/>
        <v>0.24607180000000001</v>
      </c>
      <c r="W251" s="65">
        <f t="shared" si="538"/>
        <v>-0.16038785</v>
      </c>
      <c r="X251" s="65">
        <f t="shared" si="538"/>
        <v>0.11520014399999998</v>
      </c>
      <c r="Y251" s="65">
        <f t="shared" si="538"/>
        <v>-7.3333425000000008E-2</v>
      </c>
      <c r="Z251" s="65">
        <f t="shared" si="538"/>
        <v>3.5733378000000017E-2</v>
      </c>
      <c r="AA251" s="65">
        <f t="shared" si="538"/>
        <v>2.0800025999999999E-2</v>
      </c>
      <c r="AB251" s="65">
        <f t="shared" si="538"/>
        <v>0.123466821</v>
      </c>
      <c r="AC251" s="65">
        <f t="shared" si="538"/>
        <v>-8.8800111000000001E-2</v>
      </c>
      <c r="AD251" s="65">
        <f t="shared" si="538"/>
        <v>5.2767000000000022E-2</v>
      </c>
      <c r="AE251" s="65">
        <f t="shared" si="538"/>
        <v>-0.8741814</v>
      </c>
      <c r="AF251" s="65">
        <f t="shared" si="538"/>
        <v>-1.2444888000000001</v>
      </c>
      <c r="AG251" s="65">
        <f t="shared" si="538"/>
        <v>-8.4087599999999957E-2</v>
      </c>
      <c r="AH251" s="65">
        <f t="shared" si="538"/>
        <v>-1.7734220000000005</v>
      </c>
      <c r="AI251" s="65">
        <f t="shared" si="538"/>
        <v>-0.96986459999999985</v>
      </c>
      <c r="AJ251" s="65">
        <f t="shared" si="538"/>
        <v>-9.5442800000000022E-2</v>
      </c>
      <c r="AK251" s="65">
        <f t="shared" si="538"/>
        <v>-8.3445799999999931E-2</v>
      </c>
      <c r="AL251" s="65">
        <f t="shared" si="538"/>
        <v>5.3199999999994148E-4</v>
      </c>
      <c r="AM251" s="65">
        <f t="shared" si="538"/>
        <v>1.6645333333333332</v>
      </c>
      <c r="AN251" s="65">
        <f t="shared" si="538"/>
        <v>-3.4090141999999997</v>
      </c>
      <c r="AO251" s="65">
        <f t="shared" si="538"/>
        <v>0.22199449999999982</v>
      </c>
      <c r="AP251" s="65">
        <f t="shared" si="538"/>
        <v>2.1562199999999872E-2</v>
      </c>
      <c r="AQ251" s="65">
        <f t="shared" si="538"/>
        <v>-8.4214000000000011E-2</v>
      </c>
      <c r="AR251" s="65">
        <f t="shared" si="538"/>
        <v>0.2588686</v>
      </c>
      <c r="AS251" s="65">
        <f t="shared" si="538"/>
        <v>-0.25033740000000004</v>
      </c>
      <c r="AT251" s="65">
        <f t="shared" si="538"/>
        <v>0.85819403343197631</v>
      </c>
      <c r="AU251" s="65">
        <f t="shared" si="538"/>
        <v>-1.2771572521525871</v>
      </c>
      <c r="AV251" s="58"/>
      <c r="AW251"/>
      <c r="AX251"/>
    </row>
    <row r="252" spans="2:50" ht="13.5" customHeight="1">
      <c r="B252" s="1" t="str">
        <f t="shared" si="513"/>
        <v>Balancing figure</v>
      </c>
      <c r="C252" s="65">
        <f t="shared" si="526"/>
        <v>211.71319650000009</v>
      </c>
      <c r="D252" s="65">
        <f t="shared" si="526"/>
        <v>237.76374420000013</v>
      </c>
      <c r="E252" s="65">
        <f t="shared" si="529"/>
        <v>265.5048071999999</v>
      </c>
      <c r="F252" s="65">
        <f t="shared" si="527"/>
        <v>210.09866220000001</v>
      </c>
      <c r="G252" s="65">
        <f t="shared" si="527"/>
        <v>217.29629479249988</v>
      </c>
      <c r="H252" s="65">
        <f t="shared" si="527"/>
        <v>225.38099007749975</v>
      </c>
      <c r="I252" s="65">
        <f t="shared" si="527"/>
        <v>305.91560959947009</v>
      </c>
      <c r="J252" s="65">
        <f t="shared" si="527"/>
        <v>247.25099311874996</v>
      </c>
      <c r="K252" s="65">
        <f t="shared" si="527"/>
        <v>327.79923648700043</v>
      </c>
      <c r="L252" s="65">
        <f t="shared" si="527"/>
        <v>264.69923165600005</v>
      </c>
      <c r="M252" s="65">
        <f t="shared" si="527"/>
        <v>250.72958976466052</v>
      </c>
      <c r="N252" s="58"/>
      <c r="O252" s="65">
        <f t="shared" ref="O252:AU252" si="539">O72*O$204</f>
        <v>64.868640900000045</v>
      </c>
      <c r="P252" s="65">
        <f t="shared" si="539"/>
        <v>56.0435856</v>
      </c>
      <c r="Q252" s="65">
        <f t="shared" si="539"/>
        <v>63.432937799999848</v>
      </c>
      <c r="R252" s="65">
        <f t="shared" si="539"/>
        <v>81.183965599999993</v>
      </c>
      <c r="S252" s="65">
        <f t="shared" si="539"/>
        <v>53.212560200000027</v>
      </c>
      <c r="T252" s="65">
        <f t="shared" si="539"/>
        <v>37.545011399999986</v>
      </c>
      <c r="U252" s="65">
        <f t="shared" si="539"/>
        <v>65.518549600000028</v>
      </c>
      <c r="V252" s="65">
        <f t="shared" si="539"/>
        <v>53.822540999999966</v>
      </c>
      <c r="W252" s="65">
        <f t="shared" si="539"/>
        <v>42.13244950000005</v>
      </c>
      <c r="X252" s="65">
        <f t="shared" si="539"/>
        <v>54.286201190999918</v>
      </c>
      <c r="Y252" s="65">
        <f t="shared" si="539"/>
        <v>54.555801528000046</v>
      </c>
      <c r="Z252" s="65">
        <f t="shared" si="539"/>
        <v>66.332882915999875</v>
      </c>
      <c r="AA252" s="65">
        <f t="shared" si="539"/>
        <v>51.084330522000037</v>
      </c>
      <c r="AB252" s="65">
        <f t="shared" si="539"/>
        <v>20.633625792000093</v>
      </c>
      <c r="AC252" s="65">
        <f t="shared" si="539"/>
        <v>102.44439472200001</v>
      </c>
      <c r="AD252" s="65">
        <f t="shared" si="539"/>
        <v>51.221832999999641</v>
      </c>
      <c r="AE252" s="65">
        <f t="shared" si="539"/>
        <v>59.062297400000013</v>
      </c>
      <c r="AF252" s="65">
        <f t="shared" si="539"/>
        <v>37.181902200000181</v>
      </c>
      <c r="AG252" s="65">
        <f t="shared" si="539"/>
        <v>115.34769750000001</v>
      </c>
      <c r="AH252" s="65">
        <f t="shared" si="539"/>
        <v>93.885450119999916</v>
      </c>
      <c r="AI252" s="65">
        <f t="shared" si="539"/>
        <v>63.358628599999939</v>
      </c>
      <c r="AJ252" s="65">
        <f t="shared" si="539"/>
        <v>56.14889260000006</v>
      </c>
      <c r="AK252" s="65">
        <f t="shared" si="539"/>
        <v>57.524815199999928</v>
      </c>
      <c r="AL252" s="65">
        <f t="shared" si="539"/>
        <v>70.197785700000054</v>
      </c>
      <c r="AM252" s="65">
        <f t="shared" si="539"/>
        <v>90.23241333333317</v>
      </c>
      <c r="AN252" s="65">
        <f t="shared" si="539"/>
        <v>85.392513199999982</v>
      </c>
      <c r="AO252" s="65">
        <f t="shared" si="539"/>
        <v>62.761016500000174</v>
      </c>
      <c r="AP252" s="65">
        <f t="shared" si="539"/>
        <v>89.411205422000393</v>
      </c>
      <c r="AQ252" s="65">
        <f t="shared" si="539"/>
        <v>91.994518134999794</v>
      </c>
      <c r="AR252" s="65">
        <f t="shared" si="539"/>
        <v>72.840185400000323</v>
      </c>
      <c r="AS252" s="65">
        <f t="shared" si="539"/>
        <v>28.235605999999326</v>
      </c>
      <c r="AT252" s="65">
        <f t="shared" si="539"/>
        <v>71.744138740036306</v>
      </c>
      <c r="AU252" s="65">
        <f t="shared" si="539"/>
        <v>77.908279796337098</v>
      </c>
      <c r="AV252" s="58"/>
      <c r="AW252"/>
      <c r="AX252"/>
    </row>
    <row r="253" spans="2:50" s="5" customFormat="1" ht="13.5" customHeight="1" thickBot="1">
      <c r="B253" s="48" t="str">
        <f t="shared" si="513"/>
        <v xml:space="preserve">Net change in cash </v>
      </c>
      <c r="C253" s="67">
        <f t="shared" si="526"/>
        <v>-335.0035585</v>
      </c>
      <c r="D253" s="67">
        <f t="shared" si="526"/>
        <v>285.80373120000007</v>
      </c>
      <c r="E253" s="67">
        <f t="shared" si="529"/>
        <v>-168.6327646</v>
      </c>
      <c r="F253" s="67">
        <f t="shared" si="527"/>
        <v>-177.32792359999999</v>
      </c>
      <c r="G253" s="67">
        <f t="shared" si="527"/>
        <v>7.3484749594999963</v>
      </c>
      <c r="H253" s="67">
        <f t="shared" si="527"/>
        <v>20.637594225749975</v>
      </c>
      <c r="I253" s="67">
        <f t="shared" si="527"/>
        <v>-9.0638891745000176</v>
      </c>
      <c r="J253" s="67">
        <f t="shared" si="527"/>
        <v>31.810502499999984</v>
      </c>
      <c r="K253" s="67">
        <f t="shared" si="527"/>
        <v>-36.808361983333356</v>
      </c>
      <c r="L253" s="67">
        <f t="shared" si="527"/>
        <v>-1.3788787500000184</v>
      </c>
      <c r="M253" s="67">
        <f t="shared" si="527"/>
        <v>280.98525741972952</v>
      </c>
      <c r="N253" s="59"/>
      <c r="O253" s="67">
        <f t="shared" ref="O253:AU253" si="540">O73*O$204</f>
        <v>-168.05060369999998</v>
      </c>
      <c r="P253" s="67">
        <f t="shared" si="540"/>
        <v>-209.81473319999998</v>
      </c>
      <c r="Q253" s="67">
        <f t="shared" si="540"/>
        <v>7.8548357999999148</v>
      </c>
      <c r="R253" s="67">
        <f t="shared" si="540"/>
        <v>201.3147254000001</v>
      </c>
      <c r="S253" s="67">
        <f t="shared" si="540"/>
        <v>-162.01042059999997</v>
      </c>
      <c r="T253" s="67">
        <f t="shared" si="540"/>
        <v>-20.18135340000001</v>
      </c>
      <c r="U253" s="67">
        <f t="shared" si="540"/>
        <v>181.59085759999999</v>
      </c>
      <c r="V253" s="67">
        <f t="shared" si="540"/>
        <v>-176.72700719999995</v>
      </c>
      <c r="W253" s="67">
        <f t="shared" si="540"/>
        <v>-51.523131475</v>
      </c>
      <c r="X253" s="67">
        <f t="shared" si="540"/>
        <v>76.744095929999986</v>
      </c>
      <c r="Y253" s="67">
        <f t="shared" si="540"/>
        <v>109.212136515</v>
      </c>
      <c r="Z253" s="67">
        <f t="shared" si="540"/>
        <v>-127.03615879499996</v>
      </c>
      <c r="AA253" s="67">
        <f t="shared" si="540"/>
        <v>10.050945897</v>
      </c>
      <c r="AB253" s="67">
        <f t="shared" si="540"/>
        <v>24.314163726</v>
      </c>
      <c r="AC253" s="67">
        <f t="shared" si="540"/>
        <v>4.06560508200001</v>
      </c>
      <c r="AD253" s="67">
        <f t="shared" si="540"/>
        <v>-17.778748000000014</v>
      </c>
      <c r="AE253" s="67">
        <f t="shared" si="540"/>
        <v>-30.769905600000001</v>
      </c>
      <c r="AF253" s="67">
        <f t="shared" si="540"/>
        <v>3.5695074000000027</v>
      </c>
      <c r="AG253" s="67">
        <f t="shared" si="540"/>
        <v>12.317502899999997</v>
      </c>
      <c r="AH253" s="67">
        <f t="shared" si="540"/>
        <v>5.7831059999999814</v>
      </c>
      <c r="AI253" s="67">
        <f t="shared" si="540"/>
        <v>-24.5398113</v>
      </c>
      <c r="AJ253" s="67">
        <f t="shared" si="540"/>
        <v>87.489855399999996</v>
      </c>
      <c r="AK253" s="67">
        <f t="shared" si="540"/>
        <v>-74.64000200000001</v>
      </c>
      <c r="AL253" s="67">
        <f t="shared" si="540"/>
        <v>43.456951999999994</v>
      </c>
      <c r="AM253" s="67">
        <f t="shared" si="540"/>
        <v>-32.740533333333332</v>
      </c>
      <c r="AN253" s="67">
        <f t="shared" si="540"/>
        <v>51.668679599999997</v>
      </c>
      <c r="AO253" s="67">
        <f t="shared" si="540"/>
        <v>-96.581998499999997</v>
      </c>
      <c r="AP253" s="67">
        <f t="shared" si="540"/>
        <v>40.797279600000174</v>
      </c>
      <c r="AQ253" s="67">
        <f t="shared" si="540"/>
        <v>10.168040999999999</v>
      </c>
      <c r="AR253" s="67">
        <f t="shared" si="540"/>
        <v>-28.697623799999992</v>
      </c>
      <c r="AS253" s="67">
        <f t="shared" si="540"/>
        <v>57.273411400000001</v>
      </c>
      <c r="AT253" s="67">
        <f t="shared" si="540"/>
        <v>-40.127702684688856</v>
      </c>
      <c r="AU253" s="67">
        <f t="shared" si="540"/>
        <v>292.51459494042064</v>
      </c>
      <c r="AV253" s="59"/>
      <c r="AW253"/>
      <c r="AX253"/>
    </row>
    <row r="254" spans="2:50" ht="13.5" customHeight="1" thickTop="1">
      <c r="C254" s="35"/>
      <c r="D254" s="35"/>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c r="AX254"/>
    </row>
    <row r="255" spans="2:50" ht="13.5" customHeight="1">
      <c r="B255" s="6" t="s">
        <v>278</v>
      </c>
      <c r="C255" s="86">
        <f t="shared" ref="C255:M255" si="541">C179*C$203</f>
        <v>194.53802000000002</v>
      </c>
      <c r="D255" s="86">
        <f t="shared" si="541"/>
        <v>504.40524090833333</v>
      </c>
      <c r="E255" s="86">
        <f t="shared" si="541"/>
        <v>315.39124575000005</v>
      </c>
      <c r="F255" s="86">
        <f t="shared" si="541"/>
        <v>305.94776059999998</v>
      </c>
      <c r="G255" s="86">
        <f t="shared" si="541"/>
        <v>134.26950116999998</v>
      </c>
      <c r="H255" s="86">
        <f t="shared" si="541"/>
        <v>154.63904059999999</v>
      </c>
      <c r="I255" s="86">
        <f t="shared" si="541"/>
        <v>145.75311400000001</v>
      </c>
      <c r="J255" s="86">
        <f t="shared" si="541"/>
        <v>691.2575963999999</v>
      </c>
      <c r="K255" s="86">
        <f>K179*K$203</f>
        <v>140.55774540000002</v>
      </c>
      <c r="L255" s="86">
        <f>L179*L$203</f>
        <v>139.4421974</v>
      </c>
      <c r="M255" s="86">
        <f t="shared" si="541"/>
        <v>431.74766853184116</v>
      </c>
      <c r="N255" s="86"/>
      <c r="O255" s="86">
        <f t="shared" ref="O255:U255" si="542">O179*O$203</f>
        <v>343.05626666666666</v>
      </c>
      <c r="P255" s="86">
        <f t="shared" si="542"/>
        <v>105.0771908</v>
      </c>
      <c r="Q255" s="86">
        <f t="shared" si="542"/>
        <v>107.9689611</v>
      </c>
      <c r="R255" s="86">
        <f t="shared" si="542"/>
        <v>315.36167320000004</v>
      </c>
      <c r="S255" s="86">
        <f t="shared" si="542"/>
        <v>163.12973956666667</v>
      </c>
      <c r="T255" s="86">
        <f t="shared" si="542"/>
        <v>137.60404770000002</v>
      </c>
      <c r="U255" s="86">
        <f t="shared" si="542"/>
        <v>315.11426840000001</v>
      </c>
      <c r="V255" s="86">
        <f t="shared" ref="V255:AB255" si="543">V179*V$203</f>
        <v>148.64362980000001</v>
      </c>
      <c r="W255" s="86">
        <f t="shared" si="543"/>
        <v>99.896240168999995</v>
      </c>
      <c r="X255" s="86">
        <f t="shared" si="543"/>
        <v>157.64739705899999</v>
      </c>
      <c r="Y255" s="86">
        <f t="shared" si="543"/>
        <v>261.03899296499998</v>
      </c>
      <c r="Z255" s="86">
        <f t="shared" si="543"/>
        <v>134.26950116999998</v>
      </c>
      <c r="AA255" s="86">
        <f t="shared" si="543"/>
        <v>142.02257752799997</v>
      </c>
      <c r="AB255" s="86">
        <f t="shared" si="543"/>
        <v>165.043406304</v>
      </c>
      <c r="AC255" s="86">
        <f t="shared" ref="AC255:AH255" si="544">AC179*AC$203</f>
        <v>152.73165758100001</v>
      </c>
      <c r="AD255" s="86">
        <f t="shared" si="544"/>
        <v>154.63904059999999</v>
      </c>
      <c r="AE255" s="86">
        <f t="shared" si="544"/>
        <v>124.0549505</v>
      </c>
      <c r="AF255" s="86">
        <f t="shared" si="544"/>
        <v>127.62311900000002</v>
      </c>
      <c r="AG255" s="86">
        <f t="shared" si="544"/>
        <v>139.7490675</v>
      </c>
      <c r="AH255" s="86">
        <f t="shared" si="544"/>
        <v>145.47965600000003</v>
      </c>
      <c r="AI255" s="86">
        <f t="shared" ref="AI255:AN255" si="545">AI179*AI$203</f>
        <v>121.14939600000001</v>
      </c>
      <c r="AJ255" s="86">
        <f t="shared" si="545"/>
        <v>208.73020439999999</v>
      </c>
      <c r="AK255" s="86">
        <f t="shared" si="545"/>
        <v>634.29845239999997</v>
      </c>
      <c r="AL255" s="86">
        <f t="shared" si="545"/>
        <v>691.2575963999999</v>
      </c>
      <c r="AM255" s="86">
        <f t="shared" si="545"/>
        <v>144.91282939999999</v>
      </c>
      <c r="AN255" s="86">
        <f t="shared" si="545"/>
        <v>196.50777250000002</v>
      </c>
      <c r="AO255" s="86">
        <f t="shared" ref="AO255:AT255" si="546">AO179*AO$203</f>
        <v>99.963269600000004</v>
      </c>
      <c r="AP255" s="86">
        <f t="shared" si="546"/>
        <v>140.55774540000002</v>
      </c>
      <c r="AQ255" s="86">
        <f t="shared" si="546"/>
        <v>150.99370880000001</v>
      </c>
      <c r="AR255" s="86">
        <f t="shared" si="546"/>
        <v>122.29608500000001</v>
      </c>
      <c r="AS255" s="86">
        <f t="shared" si="546"/>
        <v>179.63685179999999</v>
      </c>
      <c r="AT255" s="86">
        <f t="shared" si="546"/>
        <v>139.44731790551347</v>
      </c>
      <c r="AU255" s="86">
        <f>AU179*AU$203</f>
        <v>431.74766853184116</v>
      </c>
      <c r="AV255" s="86"/>
      <c r="AW255"/>
      <c r="AX255"/>
    </row>
    <row r="256" spans="2:50" ht="13.5" customHeight="1">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c r="AQ256" s="86"/>
      <c r="AR256" s="86"/>
      <c r="AS256" s="86"/>
      <c r="AT256" s="86"/>
      <c r="AU256" s="86"/>
      <c r="AV256" s="86"/>
      <c r="AW256"/>
      <c r="AX256"/>
    </row>
    <row r="257" spans="2:50" ht="13.5" customHeight="1">
      <c r="B257" s="6" t="s">
        <v>283</v>
      </c>
      <c r="C257" s="86">
        <f t="shared" ref="C257:M257" si="547">C116*C$203</f>
        <v>3593.3598353999996</v>
      </c>
      <c r="D257" s="86">
        <f t="shared" si="547"/>
        <v>3967.9586356666664</v>
      </c>
      <c r="E257" s="86">
        <f t="shared" si="547"/>
        <v>3856.1024565000007</v>
      </c>
      <c r="F257" s="86">
        <f t="shared" si="547"/>
        <v>4068.0813920000001</v>
      </c>
      <c r="G257" s="86">
        <f t="shared" si="547"/>
        <v>4328.9864778929996</v>
      </c>
      <c r="H257" s="86">
        <f t="shared" si="547"/>
        <v>4423.8215405999999</v>
      </c>
      <c r="I257" s="86">
        <f t="shared" si="547"/>
        <v>4525.9335225000004</v>
      </c>
      <c r="J257" s="86">
        <f t="shared" si="547"/>
        <v>4749.6136274999999</v>
      </c>
      <c r="K257" s="86">
        <f t="shared" si="547"/>
        <v>5000.3202252000001</v>
      </c>
      <c r="L257" s="86">
        <f t="shared" si="547"/>
        <v>5472.5611176000002</v>
      </c>
      <c r="M257" s="86">
        <f t="shared" si="547"/>
        <v>5626.9144684252597</v>
      </c>
      <c r="N257" s="86"/>
      <c r="O257" s="86">
        <f t="shared" ref="O257:AU257" si="548">O116*O$203</f>
        <v>4078.8333333333335</v>
      </c>
      <c r="P257" s="86">
        <f t="shared" si="548"/>
        <v>4026.0305739999999</v>
      </c>
      <c r="Q257" s="86">
        <f t="shared" si="548"/>
        <v>3723.0098513999997</v>
      </c>
      <c r="R257" s="86">
        <f t="shared" si="548"/>
        <v>3855.7408903999999</v>
      </c>
      <c r="S257" s="86">
        <f t="shared" si="548"/>
        <v>3966.5139904333332</v>
      </c>
      <c r="T257" s="86">
        <f t="shared" si="548"/>
        <v>3892.6087489000001</v>
      </c>
      <c r="U257" s="86">
        <f t="shared" si="548"/>
        <v>4052.9014546000003</v>
      </c>
      <c r="V257" s="86">
        <f t="shared" si="548"/>
        <v>4068.0813920000001</v>
      </c>
      <c r="W257" s="86">
        <f t="shared" si="548"/>
        <v>4070.3218235679997</v>
      </c>
      <c r="X257" s="86">
        <f t="shared" si="548"/>
        <v>4042.907453628</v>
      </c>
      <c r="Y257" s="86">
        <f t="shared" si="548"/>
        <v>4236.3420954209996</v>
      </c>
      <c r="Z257" s="86">
        <f t="shared" si="548"/>
        <v>4328.9864778929996</v>
      </c>
      <c r="AA257" s="86">
        <f t="shared" si="548"/>
        <v>4432.2964736969998</v>
      </c>
      <c r="AB257" s="86">
        <f t="shared" si="548"/>
        <v>4259.6266578599998</v>
      </c>
      <c r="AC257" s="86">
        <f t="shared" si="548"/>
        <v>4364.4102555059999</v>
      </c>
      <c r="AD257" s="86">
        <f t="shared" si="548"/>
        <v>4423.8215405999999</v>
      </c>
      <c r="AE257" s="86">
        <f t="shared" si="548"/>
        <v>4449.2995820000006</v>
      </c>
      <c r="AF257" s="86">
        <f t="shared" si="548"/>
        <v>4318.6932619999998</v>
      </c>
      <c r="AG257" s="86">
        <f t="shared" si="548"/>
        <v>4428.3880358999995</v>
      </c>
      <c r="AH257" s="86">
        <f t="shared" si="548"/>
        <v>4517.4420900000005</v>
      </c>
      <c r="AI257" s="86">
        <f t="shared" si="548"/>
        <v>4595.7993336</v>
      </c>
      <c r="AJ257" s="86">
        <f t="shared" si="548"/>
        <v>4487.0931461999999</v>
      </c>
      <c r="AK257" s="86">
        <f t="shared" si="548"/>
        <v>4667.0214861999993</v>
      </c>
      <c r="AL257" s="86">
        <f t="shared" si="548"/>
        <v>4749.6136274999999</v>
      </c>
      <c r="AM257" s="86">
        <f t="shared" si="548"/>
        <v>4891.9503066000007</v>
      </c>
      <c r="AN257" s="86">
        <f t="shared" si="548"/>
        <v>4786.0114055000004</v>
      </c>
      <c r="AO257" s="86">
        <f t="shared" si="548"/>
        <v>4787.8072822000004</v>
      </c>
      <c r="AP257" s="86">
        <f t="shared" si="548"/>
        <v>5000.3202252000001</v>
      </c>
      <c r="AQ257" s="86">
        <f t="shared" si="548"/>
        <v>5253.0285477999996</v>
      </c>
      <c r="AR257" s="86">
        <f t="shared" si="548"/>
        <v>5162.5085167999996</v>
      </c>
      <c r="AS257" s="86">
        <f t="shared" si="548"/>
        <v>5345.6777261999996</v>
      </c>
      <c r="AT257" s="86">
        <f t="shared" si="548"/>
        <v>5472.7620774234829</v>
      </c>
      <c r="AU257" s="86">
        <f t="shared" si="548"/>
        <v>5626.9144684252597</v>
      </c>
      <c r="AV257" s="86"/>
      <c r="AW257"/>
      <c r="AX257"/>
    </row>
    <row r="258" spans="2:50" ht="13.5" customHeight="1">
      <c r="B258" s="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c r="AQ258" s="86"/>
      <c r="AR258" s="86"/>
      <c r="AS258" s="86"/>
      <c r="AT258" s="86"/>
      <c r="AU258" s="86"/>
      <c r="AV258" s="86"/>
      <c r="AW258"/>
      <c r="AX258"/>
    </row>
    <row r="259" spans="2:50" ht="13.5" customHeight="1">
      <c r="B259" s="6" t="s">
        <v>309</v>
      </c>
      <c r="C259" s="86">
        <f t="shared" ref="C259:M259" si="549">C104*C$203</f>
        <v>0</v>
      </c>
      <c r="D259" s="86">
        <f t="shared" si="549"/>
        <v>0</v>
      </c>
      <c r="E259" s="86">
        <f t="shared" si="549"/>
        <v>133.17892087500002</v>
      </c>
      <c r="F259" s="86">
        <f t="shared" si="549"/>
        <v>115.0136394</v>
      </c>
      <c r="G259" s="86">
        <f t="shared" si="549"/>
        <v>113.463875163</v>
      </c>
      <c r="H259" s="86">
        <f t="shared" si="549"/>
        <v>117.4325328</v>
      </c>
      <c r="I259" s="86">
        <f t="shared" si="549"/>
        <v>124.410195</v>
      </c>
      <c r="J259" s="86">
        <f t="shared" si="549"/>
        <v>120.0662064</v>
      </c>
      <c r="K259" s="86">
        <f t="shared" si="549"/>
        <v>129.04519500000001</v>
      </c>
      <c r="L259" s="86">
        <f t="shared" si="549"/>
        <v>146.69025160000001</v>
      </c>
      <c r="M259" s="86">
        <f t="shared" si="549"/>
        <v>142.90967226219021</v>
      </c>
      <c r="N259" s="86"/>
      <c r="O259" s="86">
        <f t="shared" ref="O259:AU259" si="550">O104*O$203</f>
        <v>0</v>
      </c>
      <c r="P259" s="86">
        <f t="shared" si="550"/>
        <v>0</v>
      </c>
      <c r="Q259" s="86">
        <f t="shared" si="550"/>
        <v>0</v>
      </c>
      <c r="R259" s="86">
        <f t="shared" si="550"/>
        <v>133.16643339999999</v>
      </c>
      <c r="S259" s="86">
        <f t="shared" si="550"/>
        <v>101.46838153333333</v>
      </c>
      <c r="T259" s="86">
        <f t="shared" si="550"/>
        <v>110.06265750000001</v>
      </c>
      <c r="U259" s="86">
        <f t="shared" si="550"/>
        <v>105.03826719999999</v>
      </c>
      <c r="V259" s="86">
        <f t="shared" si="550"/>
        <v>115.0136394</v>
      </c>
      <c r="W259" s="86">
        <f t="shared" si="550"/>
        <v>112.58022461399999</v>
      </c>
      <c r="X259" s="86">
        <f t="shared" si="550"/>
        <v>118.33641458700001</v>
      </c>
      <c r="Y259" s="86">
        <f t="shared" si="550"/>
        <v>120.91748448</v>
      </c>
      <c r="Z259" s="86">
        <f t="shared" si="550"/>
        <v>113.463875163</v>
      </c>
      <c r="AA259" s="86">
        <f t="shared" si="550"/>
        <v>112.09214011500001</v>
      </c>
      <c r="AB259" s="86">
        <f t="shared" si="550"/>
        <v>106.241466135</v>
      </c>
      <c r="AC259" s="86">
        <f t="shared" si="550"/>
        <v>105.99266582399999</v>
      </c>
      <c r="AD259" s="86">
        <f t="shared" si="550"/>
        <v>117.4325328</v>
      </c>
      <c r="AE259" s="86">
        <f t="shared" si="550"/>
        <v>117.31436600000001</v>
      </c>
      <c r="AF259" s="86">
        <f t="shared" si="550"/>
        <v>118.7867785</v>
      </c>
      <c r="AG259" s="86">
        <f t="shared" si="550"/>
        <v>116.176599</v>
      </c>
      <c r="AH259" s="86">
        <f t="shared" si="550"/>
        <v>124.17678000000001</v>
      </c>
      <c r="AI259" s="86">
        <f t="shared" si="550"/>
        <v>118.32555600000002</v>
      </c>
      <c r="AJ259" s="86">
        <f t="shared" si="550"/>
        <v>118.10753240000001</v>
      </c>
      <c r="AK259" s="86">
        <f t="shared" si="550"/>
        <v>122.36566759999999</v>
      </c>
      <c r="AL259" s="86">
        <f t="shared" si="550"/>
        <v>120.0662064</v>
      </c>
      <c r="AM259" s="86">
        <f t="shared" si="550"/>
        <v>119.37601520000001</v>
      </c>
      <c r="AN259" s="86">
        <f t="shared" si="550"/>
        <v>114.72425250000001</v>
      </c>
      <c r="AO259" s="86">
        <f t="shared" si="550"/>
        <v>119.2253862</v>
      </c>
      <c r="AP259" s="86">
        <f t="shared" si="550"/>
        <v>129.04519500000001</v>
      </c>
      <c r="AQ259" s="86">
        <f t="shared" si="550"/>
        <v>126.16631719999999</v>
      </c>
      <c r="AR259" s="86">
        <f t="shared" si="550"/>
        <v>123.7765148</v>
      </c>
      <c r="AS259" s="86">
        <f t="shared" si="550"/>
        <v>124.3320729</v>
      </c>
      <c r="AT259" s="86">
        <f t="shared" si="550"/>
        <v>146.69563826383705</v>
      </c>
      <c r="AU259" s="86">
        <f t="shared" si="550"/>
        <v>142.90967226219021</v>
      </c>
      <c r="AV259" s="86"/>
      <c r="AW259"/>
      <c r="AX259"/>
    </row>
    <row r="260" spans="2:50" ht="13.5" customHeight="1">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c r="AX260"/>
    </row>
    <row r="261" spans="2:50" s="5" customFormat="1" ht="13.5" customHeight="1">
      <c r="B261" s="5" t="s">
        <v>280</v>
      </c>
      <c r="C261" s="40">
        <f t="shared" ref="C261:M261" si="551">C111*C$203</f>
        <v>2901.4235294000005</v>
      </c>
      <c r="D261" s="40">
        <f t="shared" si="551"/>
        <v>2909.1715062666663</v>
      </c>
      <c r="E261" s="40">
        <f t="shared" si="551"/>
        <v>3530.6962425000002</v>
      </c>
      <c r="F261" s="40">
        <f t="shared" si="551"/>
        <v>3302.2824895999997</v>
      </c>
      <c r="G261" s="40">
        <f t="shared" si="551"/>
        <v>2979.8594581530001</v>
      </c>
      <c r="H261" s="40">
        <f t="shared" si="551"/>
        <v>2566.8239168</v>
      </c>
      <c r="I261" s="40">
        <f t="shared" si="551"/>
        <v>2537.3670204999999</v>
      </c>
      <c r="J261" s="40">
        <f t="shared" si="551"/>
        <v>2636.9005046999996</v>
      </c>
      <c r="K261" s="40">
        <f t="shared" si="551"/>
        <v>2698.1409075000006</v>
      </c>
      <c r="L261" s="40">
        <f t="shared" si="551"/>
        <v>3336.8242519999999</v>
      </c>
      <c r="M261" s="40">
        <f t="shared" si="551"/>
        <v>3335.4495070610174</v>
      </c>
      <c r="N261" s="40"/>
      <c r="O261" s="40">
        <f t="shared" ref="O261:AU261" si="552">O111*O$203</f>
        <v>2913.0679999999998</v>
      </c>
      <c r="P261" s="40">
        <f t="shared" si="552"/>
        <v>3045.0993347999993</v>
      </c>
      <c r="Q261" s="40">
        <f t="shared" si="552"/>
        <v>3540.3379535999993</v>
      </c>
      <c r="R261" s="40">
        <f t="shared" si="552"/>
        <v>3397.1987545999996</v>
      </c>
      <c r="S261" s="40">
        <f t="shared" si="552"/>
        <v>3465.8517810333337</v>
      </c>
      <c r="T261" s="40">
        <f t="shared" si="552"/>
        <v>3573.3516595000001</v>
      </c>
      <c r="U261" s="40">
        <f t="shared" si="552"/>
        <v>3475.1291338000005</v>
      </c>
      <c r="V261" s="40">
        <f t="shared" si="552"/>
        <v>3302.2824895999997</v>
      </c>
      <c r="W261" s="40">
        <f t="shared" si="552"/>
        <v>3381.8565601699993</v>
      </c>
      <c r="X261" s="40">
        <f t="shared" si="552"/>
        <v>3360.1994002440001</v>
      </c>
      <c r="Y261" s="40">
        <f t="shared" si="552"/>
        <v>3186.6623833230001</v>
      </c>
      <c r="Z261" s="40">
        <f t="shared" si="552"/>
        <v>2979.8594581530001</v>
      </c>
      <c r="AA261" s="40">
        <f t="shared" si="552"/>
        <v>2861.0806430129996</v>
      </c>
      <c r="AB261" s="40">
        <f t="shared" si="552"/>
        <v>2908.1001684540001</v>
      </c>
      <c r="AC261" s="40">
        <f t="shared" si="552"/>
        <v>2712.2121902609993</v>
      </c>
      <c r="AD261" s="40">
        <f t="shared" si="552"/>
        <v>2566.8239168</v>
      </c>
      <c r="AE261" s="40">
        <f t="shared" si="552"/>
        <v>2664.890202</v>
      </c>
      <c r="AF261" s="40">
        <f t="shared" si="552"/>
        <v>2864.7009754999995</v>
      </c>
      <c r="AG261" s="40">
        <f t="shared" si="552"/>
        <v>2670.4619838000003</v>
      </c>
      <c r="AH261" s="40">
        <f t="shared" si="552"/>
        <v>2532.6064820000001</v>
      </c>
      <c r="AI261" s="40">
        <f t="shared" si="552"/>
        <v>2561.1522840000007</v>
      </c>
      <c r="AJ261" s="40">
        <f t="shared" si="552"/>
        <v>2621.6388263999997</v>
      </c>
      <c r="AK261" s="40">
        <f t="shared" si="552"/>
        <v>2767.3525222000003</v>
      </c>
      <c r="AL261" s="40">
        <f t="shared" si="552"/>
        <v>2636.9005046999996</v>
      </c>
      <c r="AM261" s="40">
        <f t="shared" si="552"/>
        <v>2552.1812618000008</v>
      </c>
      <c r="AN261" s="40">
        <f t="shared" si="552"/>
        <v>2649.6991690000004</v>
      </c>
      <c r="AO261" s="40">
        <f t="shared" si="552"/>
        <v>2642.8348593999999</v>
      </c>
      <c r="AP261" s="40">
        <f t="shared" si="552"/>
        <v>2698.1409075000006</v>
      </c>
      <c r="AQ261" s="40">
        <f t="shared" si="552"/>
        <v>2796.3239441999999</v>
      </c>
      <c r="AR261" s="40">
        <f t="shared" si="552"/>
        <v>2993.4799762000007</v>
      </c>
      <c r="AS261" s="40">
        <f t="shared" si="552"/>
        <v>3317.0844504000002</v>
      </c>
      <c r="AT261" s="40">
        <f t="shared" si="552"/>
        <v>3336.9467846859334</v>
      </c>
      <c r="AU261" s="40">
        <f t="shared" si="552"/>
        <v>3335.4495070610174</v>
      </c>
      <c r="AV261" s="40"/>
      <c r="AW261"/>
      <c r="AX261"/>
    </row>
    <row r="262" spans="2:50" ht="13.5" customHeight="1">
      <c r="B262" s="1" t="s">
        <v>281</v>
      </c>
      <c r="C262" s="86">
        <f t="shared" ref="C262:M262" si="553">C112*C$203</f>
        <v>3095.9615494000004</v>
      </c>
      <c r="D262" s="86">
        <f t="shared" si="553"/>
        <v>3413.576747175</v>
      </c>
      <c r="E262" s="86">
        <f t="shared" si="553"/>
        <v>3846.0874882500002</v>
      </c>
      <c r="F262" s="86">
        <f t="shared" si="553"/>
        <v>3608.2302501999998</v>
      </c>
      <c r="G262" s="86">
        <f t="shared" si="553"/>
        <v>3114.1289593229999</v>
      </c>
      <c r="H262" s="86">
        <f t="shared" si="553"/>
        <v>2721.4629574000001</v>
      </c>
      <c r="I262" s="86">
        <f t="shared" si="553"/>
        <v>2683.1201344999999</v>
      </c>
      <c r="J262" s="86">
        <f t="shared" si="553"/>
        <v>3328.1581010999998</v>
      </c>
      <c r="K262" s="86">
        <f t="shared" si="553"/>
        <v>2838.6986529000005</v>
      </c>
      <c r="L262" s="86">
        <f t="shared" si="553"/>
        <v>3476.2664494000001</v>
      </c>
      <c r="M262" s="86">
        <f t="shared" si="553"/>
        <v>3767.1971755928589</v>
      </c>
      <c r="N262" s="86"/>
      <c r="O262" s="86">
        <f t="shared" ref="O262:AU262" si="554">O112*O$203</f>
        <v>3256.1242666666662</v>
      </c>
      <c r="P262" s="86">
        <f t="shared" si="554"/>
        <v>3150.1765255999994</v>
      </c>
      <c r="Q262" s="86">
        <f t="shared" si="554"/>
        <v>3648.3069146999997</v>
      </c>
      <c r="R262" s="86">
        <f t="shared" si="554"/>
        <v>3845.7268611999998</v>
      </c>
      <c r="S262" s="86">
        <f t="shared" si="554"/>
        <v>3628.9815206000003</v>
      </c>
      <c r="T262" s="86">
        <f t="shared" si="554"/>
        <v>3710.9557072000007</v>
      </c>
      <c r="U262" s="86">
        <f t="shared" si="554"/>
        <v>3790.2434022000007</v>
      </c>
      <c r="V262" s="86">
        <f t="shared" si="554"/>
        <v>3608.2302501999998</v>
      </c>
      <c r="W262" s="86">
        <f t="shared" si="554"/>
        <v>3481.7528003389994</v>
      </c>
      <c r="X262" s="86">
        <f t="shared" si="554"/>
        <v>3517.8467973030001</v>
      </c>
      <c r="Y262" s="86">
        <f t="shared" si="554"/>
        <v>3447.7013762880001</v>
      </c>
      <c r="Z262" s="86">
        <f t="shared" si="554"/>
        <v>3114.1289593229999</v>
      </c>
      <c r="AA262" s="86">
        <f t="shared" si="554"/>
        <v>3003.1032205409997</v>
      </c>
      <c r="AB262" s="86">
        <f t="shared" si="554"/>
        <v>3073.1435747580003</v>
      </c>
      <c r="AC262" s="86">
        <f t="shared" si="554"/>
        <v>2864.9438478419993</v>
      </c>
      <c r="AD262" s="86">
        <f t="shared" si="554"/>
        <v>2721.4629574000001</v>
      </c>
      <c r="AE262" s="86">
        <f t="shared" si="554"/>
        <v>2788.9451524999999</v>
      </c>
      <c r="AF262" s="86">
        <f t="shared" si="554"/>
        <v>2992.3240944999998</v>
      </c>
      <c r="AG262" s="86">
        <f t="shared" si="554"/>
        <v>2810.2110513000002</v>
      </c>
      <c r="AH262" s="86">
        <f t="shared" si="554"/>
        <v>2678.0861379999997</v>
      </c>
      <c r="AI262" s="86">
        <f t="shared" si="554"/>
        <v>2682.3016800000005</v>
      </c>
      <c r="AJ262" s="86">
        <f t="shared" si="554"/>
        <v>2830.3690307999996</v>
      </c>
      <c r="AK262" s="86">
        <f t="shared" si="554"/>
        <v>3401.6509746000002</v>
      </c>
      <c r="AL262" s="86">
        <f t="shared" si="554"/>
        <v>3328.1581010999998</v>
      </c>
      <c r="AM262" s="86">
        <f t="shared" si="554"/>
        <v>2697.0940912000005</v>
      </c>
      <c r="AN262" s="86">
        <f t="shared" si="554"/>
        <v>2846.2069415000005</v>
      </c>
      <c r="AO262" s="86">
        <f t="shared" si="554"/>
        <v>2742.7981290000002</v>
      </c>
      <c r="AP262" s="86">
        <f t="shared" si="554"/>
        <v>2838.6986529000005</v>
      </c>
      <c r="AQ262" s="86">
        <f t="shared" si="554"/>
        <v>2947.3176530000001</v>
      </c>
      <c r="AR262" s="86">
        <f t="shared" si="554"/>
        <v>3115.7760612000006</v>
      </c>
      <c r="AS262" s="86">
        <f t="shared" si="554"/>
        <v>3496.7213022000001</v>
      </c>
      <c r="AT262" s="86">
        <f t="shared" si="554"/>
        <v>3476.3941025914469</v>
      </c>
      <c r="AU262" s="86">
        <f t="shared" si="554"/>
        <v>3767.1971755928589</v>
      </c>
      <c r="AV262" s="86"/>
      <c r="AW262"/>
      <c r="AX262"/>
    </row>
    <row r="263" spans="2:50" ht="13.5" customHeight="1">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c r="AQ263" s="86"/>
      <c r="AR263" s="86"/>
      <c r="AS263" s="86"/>
      <c r="AT263" s="86"/>
      <c r="AU263" s="86"/>
      <c r="AV263" s="86"/>
      <c r="AW263"/>
      <c r="AX263"/>
    </row>
    <row r="264" spans="2:50" s="5" customFormat="1" ht="13.5" customHeight="1">
      <c r="B264" s="5" t="s">
        <v>310</v>
      </c>
      <c r="C264" s="40">
        <f t="shared" ref="C264:M264" si="555">C186*C$203</f>
        <v>2901.4078</v>
      </c>
      <c r="D264" s="40">
        <f t="shared" si="555"/>
        <v>2909.0605833333334</v>
      </c>
      <c r="E264" s="40">
        <f t="shared" si="555"/>
        <v>3397.6023750000008</v>
      </c>
      <c r="F264" s="40">
        <f t="shared" si="555"/>
        <v>3187.203</v>
      </c>
      <c r="G264" s="40">
        <f t="shared" si="555"/>
        <v>2866.4035829999998</v>
      </c>
      <c r="H264" s="40">
        <f t="shared" si="555"/>
        <v>2449.391384</v>
      </c>
      <c r="I264" s="40">
        <f t="shared" si="555"/>
        <v>2412.9568254999999</v>
      </c>
      <c r="J264" s="40">
        <f t="shared" si="555"/>
        <v>2516.8478999999998</v>
      </c>
      <c r="K264" s="40">
        <f>K186*K$203</f>
        <v>2569.1954999999998</v>
      </c>
      <c r="L264" s="40">
        <f>L186*L$203</f>
        <v>3190.1340004000003</v>
      </c>
      <c r="M264" s="40">
        <f t="shared" si="555"/>
        <v>3192.6458832933654</v>
      </c>
      <c r="N264" s="40"/>
      <c r="O264" s="40">
        <f t="shared" ref="O264:U264" si="556">O186*O$203</f>
        <v>2913.0679999999998</v>
      </c>
      <c r="P264" s="40">
        <f t="shared" si="556"/>
        <v>3045.0993347999993</v>
      </c>
      <c r="Q264" s="40">
        <f t="shared" si="556"/>
        <v>3540.3379535999993</v>
      </c>
      <c r="R264" s="40">
        <f t="shared" si="556"/>
        <v>3397.2838000000002</v>
      </c>
      <c r="S264" s="40">
        <f t="shared" si="556"/>
        <v>3364.3833995000005</v>
      </c>
      <c r="T264" s="40">
        <f t="shared" si="556"/>
        <v>3463.2890020000004</v>
      </c>
      <c r="U264" s="40">
        <f t="shared" si="556"/>
        <v>3370.0908666000005</v>
      </c>
      <c r="V264" s="40">
        <f t="shared" ref="V264:AB264" si="557">V186*V$203</f>
        <v>3187.203</v>
      </c>
      <c r="W264" s="40">
        <f t="shared" si="557"/>
        <v>3269.2763355559991</v>
      </c>
      <c r="X264" s="40">
        <f t="shared" si="557"/>
        <v>3241.8629856570001</v>
      </c>
      <c r="Y264" s="40">
        <f t="shared" si="557"/>
        <v>3065.7448988430001</v>
      </c>
      <c r="Z264" s="40">
        <f t="shared" si="557"/>
        <v>2866.4035829999998</v>
      </c>
      <c r="AA264" s="40">
        <f t="shared" si="557"/>
        <v>2748.9885028979998</v>
      </c>
      <c r="AB264" s="40">
        <f t="shared" si="557"/>
        <v>2801.8587023189998</v>
      </c>
      <c r="AC264" s="40">
        <f t="shared" ref="AC264:AH264" si="558">AC186*AC$203</f>
        <v>2606.2195244369991</v>
      </c>
      <c r="AD264" s="40">
        <f t="shared" si="558"/>
        <v>2449.391384</v>
      </c>
      <c r="AE264" s="40">
        <f t="shared" si="558"/>
        <v>2547.575836</v>
      </c>
      <c r="AF264" s="40">
        <f t="shared" si="558"/>
        <v>2745.9141969999996</v>
      </c>
      <c r="AG264" s="40">
        <f t="shared" si="558"/>
        <v>2554.2853848000004</v>
      </c>
      <c r="AH264" s="40">
        <f t="shared" si="558"/>
        <v>2408.4297019999999</v>
      </c>
      <c r="AI264" s="40">
        <f t="shared" ref="AI264:AN264" si="559">AI186*AI$203</f>
        <v>2442.8267280000005</v>
      </c>
      <c r="AJ264" s="40">
        <f t="shared" si="559"/>
        <v>2503.5312939999999</v>
      </c>
      <c r="AK264" s="40">
        <f t="shared" si="559"/>
        <v>2644.9868546000002</v>
      </c>
      <c r="AL264" s="40">
        <f t="shared" si="559"/>
        <v>2516.8478999999998</v>
      </c>
      <c r="AM264" s="40">
        <f t="shared" si="559"/>
        <v>2432.8052466000004</v>
      </c>
      <c r="AN264" s="40">
        <f t="shared" si="559"/>
        <v>2534.9749165000003</v>
      </c>
      <c r="AO264" s="40">
        <f t="shared" ref="AO264:AT264" si="560">AO186*AO$203</f>
        <v>2523.6094732000001</v>
      </c>
      <c r="AP264" s="40">
        <f t="shared" si="560"/>
        <v>2569.1954999999998</v>
      </c>
      <c r="AQ264" s="40">
        <f t="shared" si="560"/>
        <v>2670.157627</v>
      </c>
      <c r="AR264" s="40">
        <f t="shared" si="560"/>
        <v>2869.7034614000004</v>
      </c>
      <c r="AS264" s="40">
        <f t="shared" si="560"/>
        <v>3192.6657</v>
      </c>
      <c r="AT264" s="40">
        <f t="shared" si="560"/>
        <v>3190.2511464220966</v>
      </c>
      <c r="AU264" s="40">
        <f>AU186*AU$203</f>
        <v>3192.6458832933654</v>
      </c>
      <c r="AV264" s="40"/>
      <c r="AW264"/>
      <c r="AX264"/>
    </row>
    <row r="265" spans="2:50" ht="13.5" customHeight="1">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c r="AQ265" s="86"/>
      <c r="AR265" s="86"/>
      <c r="AS265" s="86"/>
      <c r="AT265" s="86"/>
      <c r="AU265" s="86"/>
      <c r="AV265" s="86"/>
      <c r="AW265"/>
      <c r="AX265"/>
    </row>
    <row r="266" spans="2:50" s="5" customFormat="1" ht="13.5" customHeight="1">
      <c r="B266" s="5" t="s">
        <v>29</v>
      </c>
      <c r="C266" s="40">
        <f t="shared" ref="C266:M266" si="561">C188*C$204</f>
        <v>990.31400000000008</v>
      </c>
      <c r="D266" s="40">
        <f t="shared" si="561"/>
        <v>1044.83206</v>
      </c>
      <c r="E266" s="40">
        <f t="shared" si="561"/>
        <v>1072.6650999999999</v>
      </c>
      <c r="F266" s="40">
        <f t="shared" si="561"/>
        <v>1071.1721400000001</v>
      </c>
      <c r="G266" s="40">
        <f t="shared" si="561"/>
        <v>1069.9985270999998</v>
      </c>
      <c r="H266" s="40">
        <f t="shared" si="561"/>
        <v>931.18868562499995</v>
      </c>
      <c r="I266" s="40">
        <f t="shared" si="561"/>
        <v>1048.21775561853</v>
      </c>
      <c r="J266" s="40">
        <f t="shared" si="561"/>
        <v>1199.3226845062497</v>
      </c>
      <c r="K266" s="40">
        <f>K188*K$204</f>
        <v>1229.9903261213333</v>
      </c>
      <c r="L266" s="40">
        <f>L188*L$204</f>
        <v>1293.4209662440001</v>
      </c>
      <c r="M266" s="40">
        <f t="shared" si="561"/>
        <v>1317.1686851577811</v>
      </c>
      <c r="N266" s="40"/>
      <c r="O266" s="349"/>
      <c r="P266" s="349"/>
      <c r="Q266" s="349"/>
      <c r="R266" s="40">
        <f>SUM(O232:R232)</f>
        <v>1072.74865</v>
      </c>
      <c r="S266" s="40">
        <f t="shared" ref="S266:AT266" si="562">SUM(P232:S232)</f>
        <v>1075.57104</v>
      </c>
      <c r="T266" s="40">
        <f t="shared" si="562"/>
        <v>1057.3622599999999</v>
      </c>
      <c r="U266" s="40">
        <f t="shared" si="562"/>
        <v>1053.9764399999999</v>
      </c>
      <c r="V266" s="40">
        <f t="shared" si="562"/>
        <v>1071.1721399999999</v>
      </c>
      <c r="W266" s="40">
        <f t="shared" si="562"/>
        <v>1082.32044</v>
      </c>
      <c r="X266" s="40">
        <f t="shared" si="562"/>
        <v>1091.3543589000001</v>
      </c>
      <c r="Y266" s="40">
        <f t="shared" si="562"/>
        <v>1092.7111827000001</v>
      </c>
      <c r="Z266" s="40">
        <f t="shared" si="562"/>
        <v>1070.0262482000001</v>
      </c>
      <c r="AA266" s="40">
        <f t="shared" si="562"/>
        <v>1072.6413408000001</v>
      </c>
      <c r="AB266" s="40">
        <f t="shared" si="562"/>
        <v>1017.4946052</v>
      </c>
      <c r="AC266" s="40">
        <f t="shared" si="562"/>
        <v>944.88118110000005</v>
      </c>
      <c r="AD266" s="40">
        <f t="shared" si="562"/>
        <v>931.20328559999996</v>
      </c>
      <c r="AE266" s="40">
        <f t="shared" si="562"/>
        <v>941.99215340000001</v>
      </c>
      <c r="AF266" s="40">
        <f t="shared" si="562"/>
        <v>956.8861101</v>
      </c>
      <c r="AG266" s="40">
        <f t="shared" si="562"/>
        <v>973.20544649999999</v>
      </c>
      <c r="AH266" s="40">
        <f t="shared" si="562"/>
        <v>1047.0742583799999</v>
      </c>
      <c r="AI266" s="40">
        <f t="shared" si="562"/>
        <v>1127.8578920800001</v>
      </c>
      <c r="AJ266" s="40">
        <f t="shared" si="562"/>
        <v>1160.3830920800001</v>
      </c>
      <c r="AK266" s="40">
        <f t="shared" si="562"/>
        <v>1192.82491458</v>
      </c>
      <c r="AL266" s="40">
        <f t="shared" si="562"/>
        <v>1199.309295</v>
      </c>
      <c r="AM266" s="40">
        <f t="shared" si="562"/>
        <v>1170.5851475666668</v>
      </c>
      <c r="AN266" s="40">
        <f t="shared" si="562"/>
        <v>1191.7585195666666</v>
      </c>
      <c r="AO266" s="40">
        <f t="shared" si="562"/>
        <v>1215.8664874666667</v>
      </c>
      <c r="AP266" s="40">
        <f t="shared" si="562"/>
        <v>1229.9939915446666</v>
      </c>
      <c r="AQ266" s="40">
        <f>SUM(AN232:AQ232)</f>
        <v>1247.8917292430001</v>
      </c>
      <c r="AR266" s="40">
        <f t="shared" si="562"/>
        <v>1255.751097243</v>
      </c>
      <c r="AS266" s="40">
        <f t="shared" si="562"/>
        <v>1275.9840413430002</v>
      </c>
      <c r="AT266" s="40">
        <f t="shared" si="562"/>
        <v>1294.032210665232</v>
      </c>
      <c r="AU266" s="40">
        <f>SUM(AR232:AU232)</f>
        <v>1317.1672561133635</v>
      </c>
      <c r="AV266" s="40"/>
      <c r="AW266" s="254"/>
      <c r="AX266" s="254"/>
    </row>
    <row r="267" spans="2:50" ht="13.5" customHeight="1">
      <c r="C267" s="35"/>
      <c r="D267" s="35"/>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c r="AX267"/>
    </row>
    <row r="268" spans="2:50" s="5" customFormat="1" ht="13.5" customHeight="1">
      <c r="B268" s="5" t="str">
        <f>+B121</f>
        <v>Total Net Leverage (including leases)</v>
      </c>
      <c r="C268" s="36">
        <f>C261/C$266</f>
        <v>2.9298015875772738</v>
      </c>
      <c r="D268" s="36">
        <f t="shared" ref="D268:F269" si="563">D261/D$266</f>
        <v>2.7843436449171231</v>
      </c>
      <c r="E268" s="36">
        <f>E261/E$266</f>
        <v>3.2915177742801554</v>
      </c>
      <c r="F268" s="36">
        <f t="shared" si="563"/>
        <v>3.0828681649617953</v>
      </c>
      <c r="G268" s="36">
        <f t="shared" ref="G268:M269" si="564">G261/G$266</f>
        <v>2.7849192150098245</v>
      </c>
      <c r="H268" s="36">
        <f t="shared" si="564"/>
        <v>2.7565024751961911</v>
      </c>
      <c r="I268" s="36">
        <f t="shared" si="564"/>
        <v>2.4206487696850316</v>
      </c>
      <c r="J268" s="36">
        <f t="shared" si="564"/>
        <v>2.1986580748996567</v>
      </c>
      <c r="K268" s="36">
        <f>K261/K$266</f>
        <v>2.1936277466574485</v>
      </c>
      <c r="L268" s="36">
        <f>L261/L$266</f>
        <v>2.5798439480147701</v>
      </c>
      <c r="M268" s="36">
        <f t="shared" si="564"/>
        <v>2.532287280016432</v>
      </c>
      <c r="N268" s="36"/>
      <c r="O268" s="290"/>
      <c r="P268" s="290"/>
      <c r="Q268" s="290"/>
      <c r="R268" s="36">
        <f t="shared" ref="R268:U269" si="565">R261/R$266</f>
        <v>3.1668170867425465</v>
      </c>
      <c r="S268" s="36">
        <f t="shared" si="565"/>
        <v>3.2223364632738098</v>
      </c>
      <c r="T268" s="36">
        <f t="shared" si="565"/>
        <v>3.3794961241571082</v>
      </c>
      <c r="U268" s="36">
        <f t="shared" si="565"/>
        <v>3.2971601659331218</v>
      </c>
      <c r="V268" s="36">
        <f t="shared" ref="V268:AB269" si="566">V261/V$266</f>
        <v>3.0828681649617962</v>
      </c>
      <c r="W268" s="36">
        <f t="shared" si="566"/>
        <v>3.124635214474929</v>
      </c>
      <c r="X268" s="36">
        <f t="shared" si="566"/>
        <v>3.0789260819288966</v>
      </c>
      <c r="Y268" s="36">
        <f t="shared" si="566"/>
        <v>2.9162897147707572</v>
      </c>
      <c r="Z268" s="36">
        <f t="shared" si="566"/>
        <v>2.7848470662899389</v>
      </c>
      <c r="AA268" s="36">
        <f t="shared" si="566"/>
        <v>2.6673227426412085</v>
      </c>
      <c r="AB268" s="36">
        <f t="shared" si="566"/>
        <v>2.8580988573225707</v>
      </c>
      <c r="AC268" s="36">
        <f t="shared" ref="AC268:AF269" si="567">AC261/AC$266</f>
        <v>2.8704267208534406</v>
      </c>
      <c r="AD268" s="36">
        <f t="shared" si="567"/>
        <v>2.7564592570634292</v>
      </c>
      <c r="AE268" s="36">
        <f t="shared" si="567"/>
        <v>2.8289940551855133</v>
      </c>
      <c r="AF268" s="36">
        <f t="shared" si="567"/>
        <v>2.9937742279492614</v>
      </c>
      <c r="AG268" s="36">
        <f t="shared" ref="AG268:AJ269" si="568">AG261/AG$266</f>
        <v>2.743985859721553</v>
      </c>
      <c r="AH268" s="36">
        <f t="shared" si="568"/>
        <v>2.4187458164795004</v>
      </c>
      <c r="AI268" s="36">
        <f t="shared" si="568"/>
        <v>2.2708111562501134</v>
      </c>
      <c r="AJ268" s="36">
        <f t="shared" si="568"/>
        <v>2.25928733734019</v>
      </c>
      <c r="AK268" s="36">
        <f t="shared" ref="AK268:AM269" si="569">AK261/AK$266</f>
        <v>2.3199989272309924</v>
      </c>
      <c r="AL268" s="36">
        <f t="shared" si="569"/>
        <v>2.1986826214833926</v>
      </c>
      <c r="AM268" s="36">
        <f t="shared" si="569"/>
        <v>2.1802611002756205</v>
      </c>
      <c r="AN268" s="36">
        <f t="shared" ref="AN268:AQ269" si="570">AN261/AN$266</f>
        <v>2.2233524036089571</v>
      </c>
      <c r="AO268" s="36">
        <f t="shared" si="570"/>
        <v>2.17362258656089</v>
      </c>
      <c r="AP268" s="36">
        <f t="shared" si="570"/>
        <v>2.1936212095732168</v>
      </c>
      <c r="AQ268" s="36">
        <f t="shared" si="570"/>
        <v>2.2408385909379449</v>
      </c>
      <c r="AR268" s="36">
        <f t="shared" ref="AR268:AU269" si="571">AR261/AR$266</f>
        <v>2.3838163333260725</v>
      </c>
      <c r="AS268" s="36">
        <f t="shared" si="571"/>
        <v>2.5996284772564229</v>
      </c>
      <c r="AT268" s="36">
        <f t="shared" si="571"/>
        <v>2.578720032765248</v>
      </c>
      <c r="AU268" s="36">
        <f t="shared" si="571"/>
        <v>2.5322900273903772</v>
      </c>
      <c r="AV268" s="36"/>
      <c r="AW268"/>
      <c r="AX268"/>
    </row>
    <row r="269" spans="2:50" ht="13">
      <c r="B269" s="1" t="str">
        <f>+B122</f>
        <v>Total Gross Leverage (including leases)</v>
      </c>
      <c r="C269" s="37">
        <f>C262/C$266</f>
        <v>3.126242332633892</v>
      </c>
      <c r="D269" s="37">
        <f t="shared" si="563"/>
        <v>3.2671056697618948</v>
      </c>
      <c r="E269" s="37">
        <f>E262/E$266</f>
        <v>3.5855436037305588</v>
      </c>
      <c r="F269" s="37">
        <f t="shared" si="563"/>
        <v>3.3684877672415934</v>
      </c>
      <c r="G269" s="37">
        <f t="shared" si="564"/>
        <v>2.9104049028583008</v>
      </c>
      <c r="H269" s="37">
        <f t="shared" si="564"/>
        <v>2.9225687547668118</v>
      </c>
      <c r="I269" s="37">
        <f t="shared" si="564"/>
        <v>2.5596972767521482</v>
      </c>
      <c r="J269" s="37">
        <f t="shared" si="564"/>
        <v>2.775031394049027</v>
      </c>
      <c r="K269" s="37">
        <f>K262/K$266</f>
        <v>2.3079032351836362</v>
      </c>
      <c r="L269" s="37">
        <f>L262/L$266</f>
        <v>2.6876527751786981</v>
      </c>
      <c r="M269" s="37">
        <f t="shared" si="564"/>
        <v>2.8600719240008305</v>
      </c>
      <c r="N269" s="37"/>
      <c r="O269" s="291"/>
      <c r="P269" s="291"/>
      <c r="Q269" s="291"/>
      <c r="R269" s="37">
        <f t="shared" si="565"/>
        <v>3.5849281760457119</v>
      </c>
      <c r="S269" s="37">
        <f t="shared" si="565"/>
        <v>3.3740044921626007</v>
      </c>
      <c r="T269" s="37">
        <f t="shared" si="565"/>
        <v>3.5096351057583624</v>
      </c>
      <c r="U269" s="37">
        <f t="shared" si="565"/>
        <v>3.5961367430566105</v>
      </c>
      <c r="V269" s="37">
        <f t="shared" si="566"/>
        <v>3.3684877672415938</v>
      </c>
      <c r="W269" s="37">
        <f t="shared" si="566"/>
        <v>3.2169334253162578</v>
      </c>
      <c r="X269" s="37">
        <f t="shared" si="566"/>
        <v>3.2233772363805966</v>
      </c>
      <c r="Y269" s="37">
        <f t="shared" si="566"/>
        <v>3.1551808299142796</v>
      </c>
      <c r="Z269" s="37">
        <f t="shared" si="566"/>
        <v>2.9103295031889105</v>
      </c>
      <c r="AA269" s="37">
        <f t="shared" si="566"/>
        <v>2.7997272772474138</v>
      </c>
      <c r="AB269" s="37">
        <f t="shared" si="566"/>
        <v>3.0203045392598806</v>
      </c>
      <c r="AC269" s="37">
        <f t="shared" si="567"/>
        <v>3.032067846357914</v>
      </c>
      <c r="AD269" s="37">
        <f t="shared" si="567"/>
        <v>2.9225229329452875</v>
      </c>
      <c r="AE269" s="37">
        <f t="shared" si="567"/>
        <v>2.9606883055592976</v>
      </c>
      <c r="AF269" s="37">
        <f t="shared" si="567"/>
        <v>3.1271475914592228</v>
      </c>
      <c r="AG269" s="37">
        <f t="shared" si="568"/>
        <v>2.8875825360477987</v>
      </c>
      <c r="AH269" s="37">
        <f t="shared" si="568"/>
        <v>2.5576850128504254</v>
      </c>
      <c r="AI269" s="37">
        <f t="shared" si="568"/>
        <v>2.3782266354968611</v>
      </c>
      <c r="AJ269" s="37">
        <f t="shared" si="568"/>
        <v>2.4391677628864192</v>
      </c>
      <c r="AK269" s="37">
        <f t="shared" si="569"/>
        <v>2.8517604998196568</v>
      </c>
      <c r="AL269" s="37">
        <f t="shared" si="569"/>
        <v>2.7750623754650379</v>
      </c>
      <c r="AM269" s="37">
        <f t="shared" si="569"/>
        <v>2.3040563062042407</v>
      </c>
      <c r="AN269" s="37">
        <f t="shared" si="570"/>
        <v>2.3882413213499873</v>
      </c>
      <c r="AO269" s="37">
        <f t="shared" si="570"/>
        <v>2.2558382497364411</v>
      </c>
      <c r="AP269" s="37">
        <f t="shared" si="570"/>
        <v>2.307896357554617</v>
      </c>
      <c r="AQ269" s="37">
        <f t="shared" si="570"/>
        <v>2.3618376369782585</v>
      </c>
      <c r="AR269" s="37">
        <f t="shared" si="571"/>
        <v>2.4812051273860587</v>
      </c>
      <c r="AS269" s="37">
        <f t="shared" si="571"/>
        <v>2.7404114698171513</v>
      </c>
      <c r="AT269" s="37">
        <f t="shared" si="571"/>
        <v>2.686481892753128</v>
      </c>
      <c r="AU269" s="37">
        <f t="shared" si="571"/>
        <v>2.8600750270006947</v>
      </c>
      <c r="AV269" s="37"/>
      <c r="AW269"/>
      <c r="AX269"/>
    </row>
    <row r="270" spans="2:50" ht="13">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c r="AX270"/>
    </row>
    <row r="271" spans="2:50" s="5" customFormat="1" ht="13">
      <c r="B271" s="5" t="str">
        <f>+B124</f>
        <v>Total Net Leverage (excluding leases)</v>
      </c>
      <c r="C271" s="36">
        <f>(C261-C259)/C$266</f>
        <v>2.9298015875772738</v>
      </c>
      <c r="D271" s="36">
        <f t="shared" ref="D271:M271" si="572">(D261-D259)/D$266</f>
        <v>2.7843436449171231</v>
      </c>
      <c r="E271" s="36">
        <f t="shared" si="572"/>
        <v>3.1673607369392367</v>
      </c>
      <c r="F271" s="36">
        <f t="shared" si="572"/>
        <v>2.9754964035939167</v>
      </c>
      <c r="G271" s="36">
        <f t="shared" si="572"/>
        <v>2.6788780642144872</v>
      </c>
      <c r="H271" s="36">
        <f t="shared" si="572"/>
        <v>2.6303921233278356</v>
      </c>
      <c r="I271" s="36">
        <f t="shared" si="572"/>
        <v>2.3019614126610248</v>
      </c>
      <c r="J271" s="36">
        <f t="shared" si="572"/>
        <v>2.0985463969074827</v>
      </c>
      <c r="K271" s="36">
        <f t="shared" si="572"/>
        <v>2.0887121288192718</v>
      </c>
      <c r="L271" s="36">
        <f>(L261-L259)/L$266</f>
        <v>2.4664313349302787</v>
      </c>
      <c r="M271" s="36">
        <f t="shared" si="572"/>
        <v>2.4237896563843675</v>
      </c>
      <c r="N271" s="36"/>
      <c r="O271" s="290"/>
      <c r="P271" s="290"/>
      <c r="Q271" s="290"/>
      <c r="R271" s="36">
        <f t="shared" ref="R271:AS271" si="573">(R261-R259)/R$266</f>
        <v>3.0426813598879843</v>
      </c>
      <c r="S271" s="36">
        <f t="shared" si="573"/>
        <v>3.127997384068653</v>
      </c>
      <c r="T271" s="36">
        <f t="shared" si="573"/>
        <v>3.2754044030283436</v>
      </c>
      <c r="U271" s="36">
        <f t="shared" si="573"/>
        <v>3.1975011382607383</v>
      </c>
      <c r="V271" s="36">
        <f t="shared" si="573"/>
        <v>2.9754964035939171</v>
      </c>
      <c r="W271" s="36">
        <f t="shared" si="573"/>
        <v>3.0206177530528753</v>
      </c>
      <c r="X271" s="36">
        <f t="shared" si="573"/>
        <v>2.9704952925872261</v>
      </c>
      <c r="Y271" s="36">
        <f t="shared" si="573"/>
        <v>2.8056314855932882</v>
      </c>
      <c r="Z271" s="36">
        <f t="shared" si="573"/>
        <v>2.678808662695757</v>
      </c>
      <c r="AA271" s="36">
        <f t="shared" si="573"/>
        <v>2.562821698488464</v>
      </c>
      <c r="AB271" s="36">
        <f t="shared" si="573"/>
        <v>2.7536840863822207</v>
      </c>
      <c r="AC271" s="36">
        <f t="shared" si="573"/>
        <v>2.7582510653910184</v>
      </c>
      <c r="AD271" s="36">
        <f t="shared" si="573"/>
        <v>2.6303508824303488</v>
      </c>
      <c r="AE271" s="36">
        <f t="shared" si="573"/>
        <v>2.7044554742890918</v>
      </c>
      <c r="AF271" s="36">
        <f t="shared" si="573"/>
        <v>2.869635339061444</v>
      </c>
      <c r="AG271" s="36">
        <f t="shared" si="573"/>
        <v>2.624610655423413</v>
      </c>
      <c r="AH271" s="36">
        <f t="shared" si="573"/>
        <v>2.3001517635685613</v>
      </c>
      <c r="AI271" s="36">
        <f t="shared" si="573"/>
        <v>2.1658993966827946</v>
      </c>
      <c r="AJ271" s="36">
        <f t="shared" si="573"/>
        <v>2.1575041131566222</v>
      </c>
      <c r="AK271" s="36">
        <f t="shared" si="573"/>
        <v>2.2174141588342948</v>
      </c>
      <c r="AL271" s="36">
        <f t="shared" si="573"/>
        <v>2.098569825809613</v>
      </c>
      <c r="AM271" s="36">
        <f t="shared" si="573"/>
        <v>2.0782813208053694</v>
      </c>
      <c r="AN271" s="36">
        <f t="shared" si="573"/>
        <v>2.1270877236285575</v>
      </c>
      <c r="AO271" s="36">
        <f t="shared" si="573"/>
        <v>2.0755646275423687</v>
      </c>
      <c r="AP271" s="36">
        <f t="shared" si="573"/>
        <v>2.0887059043870986</v>
      </c>
      <c r="AQ271" s="36">
        <f t="shared" si="573"/>
        <v>2.1397350142065443</v>
      </c>
      <c r="AR271" s="36">
        <f t="shared" si="573"/>
        <v>2.2852486194918971</v>
      </c>
      <c r="AS271" s="36">
        <f t="shared" si="573"/>
        <v>2.5021883299884853</v>
      </c>
      <c r="AT271" s="36">
        <f>(AT261-AT259)/AT$266</f>
        <v>2.4653568281596807</v>
      </c>
      <c r="AU271" s="36">
        <f>(AU261-AU259)/AU$266</f>
        <v>2.4237922860451504</v>
      </c>
      <c r="AV271" s="36"/>
      <c r="AW271" s="254"/>
      <c r="AX271" s="254"/>
    </row>
    <row r="272" spans="2:50" ht="13">
      <c r="B272" s="1" t="str">
        <f>+B125</f>
        <v>Total Gross Leverage (excluding leases)</v>
      </c>
      <c r="C272" s="37">
        <f>(C262-C259)/C$266</f>
        <v>3.126242332633892</v>
      </c>
      <c r="D272" s="37">
        <f t="shared" ref="D272:M272" si="574">(D262-D259)/D$266</f>
        <v>3.2671056697618948</v>
      </c>
      <c r="E272" s="37">
        <f t="shared" si="574"/>
        <v>3.4613865663896406</v>
      </c>
      <c r="F272" s="37">
        <f t="shared" si="574"/>
        <v>3.2611160058737143</v>
      </c>
      <c r="G272" s="37">
        <f t="shared" si="574"/>
        <v>2.8043637520629634</v>
      </c>
      <c r="H272" s="37">
        <f t="shared" si="574"/>
        <v>2.7964584028984563</v>
      </c>
      <c r="I272" s="37">
        <f t="shared" si="574"/>
        <v>2.441009919728141</v>
      </c>
      <c r="J272" s="37">
        <f t="shared" si="574"/>
        <v>2.674919716056853</v>
      </c>
      <c r="K272" s="37">
        <f t="shared" si="574"/>
        <v>2.2029876173454594</v>
      </c>
      <c r="L272" s="37">
        <f>(L262-L259)/L$266</f>
        <v>2.5742401620942066</v>
      </c>
      <c r="M272" s="37">
        <f t="shared" si="574"/>
        <v>2.751574300368766</v>
      </c>
      <c r="N272" s="37"/>
      <c r="O272" s="291"/>
      <c r="P272" s="291"/>
      <c r="Q272" s="291"/>
      <c r="R272" s="37">
        <f t="shared" ref="R272:AS272" si="575">(R262-R259)/R$266</f>
        <v>3.4607924491911497</v>
      </c>
      <c r="S272" s="37">
        <f t="shared" si="575"/>
        <v>3.2796654129574434</v>
      </c>
      <c r="T272" s="37">
        <f t="shared" si="575"/>
        <v>3.4055433846295982</v>
      </c>
      <c r="U272" s="37">
        <f t="shared" si="575"/>
        <v>3.496477715384227</v>
      </c>
      <c r="V272" s="37">
        <f t="shared" si="575"/>
        <v>3.2611160058737152</v>
      </c>
      <c r="W272" s="37">
        <f t="shared" si="575"/>
        <v>3.1129159638942041</v>
      </c>
      <c r="X272" s="37">
        <f t="shared" si="575"/>
        <v>3.1149464470389261</v>
      </c>
      <c r="Y272" s="37">
        <f t="shared" si="575"/>
        <v>3.0445226007368102</v>
      </c>
      <c r="Z272" s="37">
        <f t="shared" si="575"/>
        <v>2.8042910995947286</v>
      </c>
      <c r="AA272" s="37">
        <f t="shared" si="575"/>
        <v>2.6952262330946697</v>
      </c>
      <c r="AB272" s="37">
        <f t="shared" si="575"/>
        <v>2.9158897683195306</v>
      </c>
      <c r="AC272" s="37">
        <f t="shared" si="575"/>
        <v>2.9198921908954918</v>
      </c>
      <c r="AD272" s="37">
        <f t="shared" si="575"/>
        <v>2.7964145583122071</v>
      </c>
      <c r="AE272" s="37">
        <f t="shared" si="575"/>
        <v>2.8361497246628762</v>
      </c>
      <c r="AF272" s="37">
        <f t="shared" si="575"/>
        <v>3.0030087025714054</v>
      </c>
      <c r="AG272" s="37">
        <f t="shared" si="575"/>
        <v>2.7682073317496587</v>
      </c>
      <c r="AH272" s="37">
        <f t="shared" si="575"/>
        <v>2.4390909599394863</v>
      </c>
      <c r="AI272" s="37">
        <f t="shared" si="575"/>
        <v>2.2733148759295423</v>
      </c>
      <c r="AJ272" s="37">
        <f t="shared" si="575"/>
        <v>2.3373845387028518</v>
      </c>
      <c r="AK272" s="37">
        <f t="shared" si="575"/>
        <v>2.7491757314229588</v>
      </c>
      <c r="AL272" s="37">
        <f t="shared" si="575"/>
        <v>2.6749495797912579</v>
      </c>
      <c r="AM272" s="37">
        <f t="shared" si="575"/>
        <v>2.2020765267339897</v>
      </c>
      <c r="AN272" s="37">
        <f t="shared" si="575"/>
        <v>2.2919766413695877</v>
      </c>
      <c r="AO272" s="37">
        <f t="shared" si="575"/>
        <v>2.1577802907179198</v>
      </c>
      <c r="AP272" s="37">
        <f t="shared" si="575"/>
        <v>2.2029810523684992</v>
      </c>
      <c r="AQ272" s="37">
        <f t="shared" si="575"/>
        <v>2.260734060246858</v>
      </c>
      <c r="AR272" s="37">
        <f t="shared" si="575"/>
        <v>2.3826374135518833</v>
      </c>
      <c r="AS272" s="37">
        <f t="shared" si="575"/>
        <v>2.6429713225492137</v>
      </c>
      <c r="AT272" s="37">
        <f>(AT262-AT259)/AT$266</f>
        <v>2.5731186881475612</v>
      </c>
      <c r="AU272" s="37">
        <f>(AU262-AU259)/AU$266</f>
        <v>2.7515772856554674</v>
      </c>
      <c r="AV272" s="37"/>
      <c r="AW272"/>
      <c r="AX272"/>
    </row>
    <row r="273" spans="2:50" ht="13">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c r="AX273"/>
    </row>
    <row r="274" spans="2:50" s="5" customFormat="1" ht="13.5" customHeight="1">
      <c r="B274" s="5" t="str">
        <f>+B127</f>
        <v>Net Leverage (based on company reported debt)</v>
      </c>
      <c r="C274" s="36">
        <f t="shared" ref="C274:M274" si="576">C264/C266</f>
        <v>2.9297857043321609</v>
      </c>
      <c r="D274" s="36">
        <f t="shared" si="576"/>
        <v>2.784237481508113</v>
      </c>
      <c r="E274" s="36">
        <f t="shared" si="576"/>
        <v>3.1674400285792843</v>
      </c>
      <c r="F274" s="36">
        <f t="shared" si="576"/>
        <v>2.9754349286940935</v>
      </c>
      <c r="G274" s="36">
        <f t="shared" si="576"/>
        <v>2.6788855408696386</v>
      </c>
      <c r="H274" s="36">
        <f t="shared" si="576"/>
        <v>2.6303921233278356</v>
      </c>
      <c r="I274" s="36">
        <f t="shared" si="576"/>
        <v>2.3019614126610248</v>
      </c>
      <c r="J274" s="36">
        <f t="shared" si="576"/>
        <v>2.0985577380587639</v>
      </c>
      <c r="K274" s="36">
        <f>K264/K266</f>
        <v>2.0887932575061243</v>
      </c>
      <c r="L274" s="36">
        <f>L264/L266</f>
        <v>2.4664313349302791</v>
      </c>
      <c r="M274" s="36">
        <f t="shared" si="576"/>
        <v>2.423870168846995</v>
      </c>
      <c r="N274" s="36"/>
      <c r="O274" s="291"/>
      <c r="P274" s="291"/>
      <c r="Q274" s="291"/>
      <c r="R274" s="36">
        <f t="shared" ref="R274:W274" si="577">R264/R266</f>
        <v>3.1668963647728665</v>
      </c>
      <c r="S274" s="36">
        <f t="shared" si="577"/>
        <v>3.127997384068653</v>
      </c>
      <c r="T274" s="36">
        <f t="shared" si="577"/>
        <v>3.275404403028344</v>
      </c>
      <c r="U274" s="36">
        <f t="shared" si="577"/>
        <v>3.1975011382607383</v>
      </c>
      <c r="V274" s="36">
        <f t="shared" si="577"/>
        <v>2.975434928694094</v>
      </c>
      <c r="W274" s="36">
        <f t="shared" si="577"/>
        <v>3.0206177530528753</v>
      </c>
      <c r="X274" s="36">
        <f t="shared" ref="X274:AC274" si="578">X264/X266</f>
        <v>2.9704952925872261</v>
      </c>
      <c r="Y274" s="36">
        <f t="shared" si="578"/>
        <v>2.8056314855932882</v>
      </c>
      <c r="Z274" s="36">
        <f t="shared" si="578"/>
        <v>2.678816139157211</v>
      </c>
      <c r="AA274" s="36">
        <f t="shared" si="578"/>
        <v>2.562821698488464</v>
      </c>
      <c r="AB274" s="36">
        <f t="shared" si="578"/>
        <v>2.7536840863822203</v>
      </c>
      <c r="AC274" s="36">
        <f t="shared" si="578"/>
        <v>2.7582510653910184</v>
      </c>
      <c r="AD274" s="36">
        <f t="shared" ref="AD274:AI274" si="579">AD264/AD266</f>
        <v>2.6303508824303488</v>
      </c>
      <c r="AE274" s="36">
        <f t="shared" si="579"/>
        <v>2.7044554742890918</v>
      </c>
      <c r="AF274" s="36">
        <f t="shared" si="579"/>
        <v>2.869635339061444</v>
      </c>
      <c r="AG274" s="36">
        <f t="shared" si="579"/>
        <v>2.624610655423413</v>
      </c>
      <c r="AH274" s="36">
        <f t="shared" si="579"/>
        <v>2.3001517635685609</v>
      </c>
      <c r="AI274" s="36">
        <f t="shared" si="579"/>
        <v>2.1658993966827946</v>
      </c>
      <c r="AJ274" s="36">
        <f t="shared" ref="AJ274:AO274" si="580">AJ264/AJ266</f>
        <v>2.1575041131566222</v>
      </c>
      <c r="AK274" s="36">
        <f t="shared" si="580"/>
        <v>2.2174141588342948</v>
      </c>
      <c r="AL274" s="36">
        <f t="shared" si="580"/>
        <v>2.0985811670875107</v>
      </c>
      <c r="AM274" s="36">
        <f t="shared" si="580"/>
        <v>2.0782813208053694</v>
      </c>
      <c r="AN274" s="36">
        <f t="shared" si="580"/>
        <v>2.1270877236285575</v>
      </c>
      <c r="AO274" s="36">
        <f t="shared" si="580"/>
        <v>2.0755646275423687</v>
      </c>
      <c r="AP274" s="36">
        <f t="shared" ref="AP274:AU274" si="581">AP264/AP266</f>
        <v>2.0887870328321849</v>
      </c>
      <c r="AQ274" s="36">
        <f t="shared" si="581"/>
        <v>2.1397350142065443</v>
      </c>
      <c r="AR274" s="36">
        <f t="shared" si="581"/>
        <v>2.2852486194918966</v>
      </c>
      <c r="AS274" s="36">
        <f t="shared" si="581"/>
        <v>2.5021204000636654</v>
      </c>
      <c r="AT274" s="36">
        <f t="shared" si="581"/>
        <v>2.4653568281596812</v>
      </c>
      <c r="AU274" s="36">
        <f t="shared" si="581"/>
        <v>2.4238727985951289</v>
      </c>
      <c r="AV274" s="36"/>
      <c r="AW274"/>
      <c r="AX274"/>
    </row>
    <row r="275" spans="2:50" ht="13">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c r="AX275"/>
    </row>
    <row r="276" spans="2:50" s="5" customFormat="1" ht="13">
      <c r="B276" s="5" t="str">
        <f>B129</f>
        <v>EBITDA - Capex / Interest</v>
      </c>
      <c r="C276" s="36">
        <f t="shared" ref="C276:J276" si="582">(C266+C241)/-C239</f>
        <v>-3.2611121587593885</v>
      </c>
      <c r="D276" s="36">
        <f t="shared" si="582"/>
        <v>1.4647108725428803</v>
      </c>
      <c r="E276" s="36">
        <f t="shared" si="582"/>
        <v>3.8127524517087656</v>
      </c>
      <c r="F276" s="36">
        <f t="shared" si="582"/>
        <v>3.8513407127975321</v>
      </c>
      <c r="G276" s="36">
        <f t="shared" si="582"/>
        <v>5.9213861885585786</v>
      </c>
      <c r="H276" s="36">
        <f t="shared" si="582"/>
        <v>5.4711078535009898</v>
      </c>
      <c r="I276" s="36">
        <f t="shared" si="582"/>
        <v>4.6621087515342392</v>
      </c>
      <c r="J276" s="36">
        <f t="shared" si="582"/>
        <v>2.1518825140960556</v>
      </c>
      <c r="K276" s="36">
        <f>(K266+K241)/-K239</f>
        <v>0.60998891539891298</v>
      </c>
      <c r="L276" s="36">
        <f>(L266+L241)/-L239</f>
        <v>-0.23488679740940799</v>
      </c>
      <c r="M276" s="36">
        <f>(M266+M241)/-M239</f>
        <v>0.14679965535166298</v>
      </c>
      <c r="N276" s="36"/>
      <c r="O276" s="290"/>
      <c r="P276" s="290"/>
      <c r="Q276" s="290"/>
      <c r="R276" s="36">
        <f t="shared" ref="R276:AT276" si="583">(R266+SUM(O241:R241))/-SUM(O239:R239)</f>
        <v>3.8125541471717108</v>
      </c>
      <c r="S276" s="36">
        <f t="shared" si="583"/>
        <v>3.7930439617624629</v>
      </c>
      <c r="T276" s="36">
        <f t="shared" si="583"/>
        <v>3.5005961026639905</v>
      </c>
      <c r="U276" s="36">
        <f t="shared" si="583"/>
        <v>3.6038867116480144</v>
      </c>
      <c r="V276" s="36">
        <f t="shared" si="583"/>
        <v>3.851340712797529</v>
      </c>
      <c r="W276" s="36">
        <f t="shared" si="583"/>
        <v>4.6505733935519693</v>
      </c>
      <c r="X276" s="36">
        <f t="shared" si="583"/>
        <v>4.8852718404749886</v>
      </c>
      <c r="Y276" s="36">
        <f t="shared" si="583"/>
        <v>5.5290586708460108</v>
      </c>
      <c r="Z276" s="36">
        <f t="shared" si="583"/>
        <v>5.9214972002237163</v>
      </c>
      <c r="AA276" s="36">
        <f t="shared" si="583"/>
        <v>6.2743642577928798</v>
      </c>
      <c r="AB276" s="36">
        <f t="shared" si="583"/>
        <v>6.2233956392409429</v>
      </c>
      <c r="AC276" s="36">
        <f t="shared" si="583"/>
        <v>5.7610462634025312</v>
      </c>
      <c r="AD276" s="36">
        <f t="shared" si="583"/>
        <v>5.4715497668690869</v>
      </c>
      <c r="AE276" s="36">
        <f t="shared" si="583"/>
        <v>5.0084036134926482</v>
      </c>
      <c r="AF276" s="36">
        <f t="shared" si="583"/>
        <v>4.8260708464284896</v>
      </c>
      <c r="AG276" s="36">
        <f t="shared" si="583"/>
        <v>4.425406739087224</v>
      </c>
      <c r="AH276" s="36">
        <f t="shared" si="583"/>
        <v>4.6625974772923255</v>
      </c>
      <c r="AI276" s="36">
        <f t="shared" si="583"/>
        <v>4.5546735805626124</v>
      </c>
      <c r="AJ276" s="36">
        <f t="shared" si="583"/>
        <v>4.0861026604872563</v>
      </c>
      <c r="AK276" s="36">
        <f t="shared" si="583"/>
        <v>3.3925364783348453</v>
      </c>
      <c r="AL276" s="36">
        <f t="shared" si="583"/>
        <v>2.1529230084133859</v>
      </c>
      <c r="AM276" s="36">
        <f t="shared" si="583"/>
        <v>1.613516208901915</v>
      </c>
      <c r="AN276" s="36">
        <f t="shared" si="583"/>
        <v>0.68246632302640919</v>
      </c>
      <c r="AO276" s="36">
        <f t="shared" si="583"/>
        <v>0.764762311695806</v>
      </c>
      <c r="AP276" s="36">
        <f t="shared" si="583"/>
        <v>0.61059042631282734</v>
      </c>
      <c r="AQ276" s="36">
        <f>(AQ266+SUM(AN241:AQ241))/-SUM(AN239:AQ239)</f>
        <v>0.15278509630386317</v>
      </c>
      <c r="AR276" s="36">
        <f t="shared" si="583"/>
        <v>0.2256213379944344</v>
      </c>
      <c r="AS276" s="36">
        <f t="shared" si="583"/>
        <v>-0.16905875797555325</v>
      </c>
      <c r="AT276" s="36">
        <f t="shared" si="583"/>
        <v>-0.23488180906961922</v>
      </c>
      <c r="AU276" s="36">
        <f>(AU266+SUM(AR241:AU241))/-SUM(AR239:AU239)</f>
        <v>0.14676986897578831</v>
      </c>
      <c r="AV276" s="36"/>
      <c r="AW276" s="254"/>
      <c r="AX276" s="254"/>
    </row>
    <row r="277" spans="2:50" ht="13">
      <c r="B277" s="1" t="str">
        <f>B130</f>
        <v>EBITDA/Interest</v>
      </c>
      <c r="C277" s="37">
        <f t="shared" ref="C277:K277" si="584">C266/-C239</f>
        <v>10.305161454924624</v>
      </c>
      <c r="D277" s="37">
        <f t="shared" si="584"/>
        <v>8.3745568692478471</v>
      </c>
      <c r="E277" s="37">
        <f t="shared" si="584"/>
        <v>9.565527488855869</v>
      </c>
      <c r="F277" s="37">
        <f t="shared" si="584"/>
        <v>7.658846874529412</v>
      </c>
      <c r="G277" s="37">
        <f t="shared" si="584"/>
        <v>8.5785005258162972</v>
      </c>
      <c r="H277" s="37">
        <f t="shared" si="584"/>
        <v>10.198688260338855</v>
      </c>
      <c r="I277" s="37">
        <f t="shared" si="584"/>
        <v>9.1051021977258522</v>
      </c>
      <c r="J277" s="37">
        <f t="shared" si="584"/>
        <v>8.0514889153950566</v>
      </c>
      <c r="K277" s="37">
        <f t="shared" si="584"/>
        <v>7.1553698923630966</v>
      </c>
      <c r="L277" s="37">
        <f>L266/-L239</f>
        <v>7.1240843629703434</v>
      </c>
      <c r="M277" s="37">
        <f>M266/-M239</f>
        <v>7.0364153439718589</v>
      </c>
      <c r="N277" s="37"/>
      <c r="O277" s="291"/>
      <c r="P277" s="291"/>
      <c r="Q277" s="291"/>
      <c r="R277" s="37">
        <f t="shared" ref="R277:AT277" si="585">R266/-SUM(O239:R239)</f>
        <v>9.5651531204656521</v>
      </c>
      <c r="S277" s="37">
        <f t="shared" si="585"/>
        <v>9.5864728651777504</v>
      </c>
      <c r="T277" s="37">
        <f t="shared" si="585"/>
        <v>8.3246576607588114</v>
      </c>
      <c r="U277" s="37">
        <f t="shared" si="585"/>
        <v>7.9863439861015717</v>
      </c>
      <c r="V277" s="37">
        <f t="shared" si="585"/>
        <v>7.6588468745294085</v>
      </c>
      <c r="W277" s="37">
        <f t="shared" si="585"/>
        <v>8.1213514924901506</v>
      </c>
      <c r="X277" s="37">
        <f t="shared" si="585"/>
        <v>8.1916077806526335</v>
      </c>
      <c r="Y277" s="37">
        <f t="shared" si="585"/>
        <v>8.4308168588044463</v>
      </c>
      <c r="Z277" s="37">
        <f t="shared" si="585"/>
        <v>8.5785536379242746</v>
      </c>
      <c r="AA277" s="37">
        <f t="shared" si="585"/>
        <v>8.9797540301066441</v>
      </c>
      <c r="AB277" s="37">
        <f t="shared" si="585"/>
        <v>9.3645386450428525</v>
      </c>
      <c r="AC277" s="37">
        <f t="shared" si="585"/>
        <v>9.5144880253268571</v>
      </c>
      <c r="AD277" s="37">
        <f t="shared" si="585"/>
        <v>10.198822580092518</v>
      </c>
      <c r="AE277" s="37">
        <f t="shared" si="585"/>
        <v>10.24052347986583</v>
      </c>
      <c r="AF277" s="37">
        <f t="shared" si="585"/>
        <v>10.230907535397462</v>
      </c>
      <c r="AG277" s="37">
        <f t="shared" si="585"/>
        <v>9.5199879651669885</v>
      </c>
      <c r="AH277" s="37">
        <f t="shared" si="585"/>
        <v>9.1061713274931115</v>
      </c>
      <c r="AI277" s="37">
        <f t="shared" si="585"/>
        <v>9.0380220035915464</v>
      </c>
      <c r="AJ277" s="37">
        <f t="shared" si="585"/>
        <v>8.4680817470928886</v>
      </c>
      <c r="AK277" s="37">
        <f t="shared" si="585"/>
        <v>8.3254646347693697</v>
      </c>
      <c r="AL277" s="37">
        <f t="shared" si="585"/>
        <v>8.0516326475056861</v>
      </c>
      <c r="AM277" s="37">
        <f t="shared" si="585"/>
        <v>8.3296070990086566</v>
      </c>
      <c r="AN277" s="37">
        <f t="shared" si="585"/>
        <v>7.8616521002096711</v>
      </c>
      <c r="AO277" s="37">
        <f t="shared" si="585"/>
        <v>7.0998922820285308</v>
      </c>
      <c r="AP277" s="37">
        <f t="shared" si="585"/>
        <v>7.1556872287441218</v>
      </c>
      <c r="AQ277" s="37">
        <f>AQ266/-SUM(AN239:AQ239)</f>
        <v>6.7142541868366967</v>
      </c>
      <c r="AR277" s="37">
        <f t="shared" si="585"/>
        <v>6.8177421515872769</v>
      </c>
      <c r="AS277" s="37">
        <f t="shared" si="585"/>
        <v>7.2059668364450413</v>
      </c>
      <c r="AT277" s="37">
        <f t="shared" si="585"/>
        <v>7.1239996221380677</v>
      </c>
      <c r="AU277" s="37">
        <f>AU266/-SUM(AR239:AU239)</f>
        <v>7.036400574642526</v>
      </c>
      <c r="AV277" s="37"/>
      <c r="AW277"/>
      <c r="AX277"/>
    </row>
    <row r="278" spans="2:50" ht="13">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c r="AX278"/>
    </row>
    <row r="279" spans="2:50" s="5" customFormat="1" ht="12.75" customHeight="1" thickBot="1">
      <c r="B279" s="48" t="str">
        <f>+B132</f>
        <v xml:space="preserve">Gearing (Net debt / Equity) </v>
      </c>
      <c r="C279" s="118">
        <f t="shared" ref="C279:K279" si="586">C261/C257</f>
        <v>0.80744029607517021</v>
      </c>
      <c r="D279" s="118">
        <f t="shared" si="586"/>
        <v>0.73316578457171577</v>
      </c>
      <c r="E279" s="118">
        <f t="shared" si="586"/>
        <v>0.91561266390848028</v>
      </c>
      <c r="F279" s="118">
        <f t="shared" si="586"/>
        <v>0.81175428202936994</v>
      </c>
      <c r="G279" s="118">
        <f t="shared" si="586"/>
        <v>0.68835037331956617</v>
      </c>
      <c r="H279" s="118">
        <f t="shared" si="586"/>
        <v>0.58022772691953195</v>
      </c>
      <c r="I279" s="118">
        <f t="shared" si="586"/>
        <v>0.56062843342392454</v>
      </c>
      <c r="J279" s="118">
        <f t="shared" si="586"/>
        <v>0.55518210774714216</v>
      </c>
      <c r="K279" s="118">
        <f t="shared" si="586"/>
        <v>0.53959362320481818</v>
      </c>
      <c r="L279" s="118">
        <f>L261/L257</f>
        <v>0.60973722911355421</v>
      </c>
      <c r="M279" s="118">
        <f>M261/M257</f>
        <v>0.59276705302301702</v>
      </c>
      <c r="N279" s="37"/>
      <c r="O279" s="118">
        <f>O261/O257</f>
        <v>0.71419147632084334</v>
      </c>
      <c r="P279" s="118">
        <f t="shared" ref="P279:AQ279" si="587">P261/P257</f>
        <v>0.75635275958040937</v>
      </c>
      <c r="Q279" s="118">
        <f t="shared" si="587"/>
        <v>0.95093435013842131</v>
      </c>
      <c r="R279" s="118">
        <f t="shared" si="587"/>
        <v>0.88107547969790301</v>
      </c>
      <c r="S279" s="118">
        <f t="shared" si="587"/>
        <v>0.87377777801678613</v>
      </c>
      <c r="T279" s="118">
        <f t="shared" si="587"/>
        <v>0.91798377129727771</v>
      </c>
      <c r="U279" s="118">
        <f t="shared" si="587"/>
        <v>0.85744229725984722</v>
      </c>
      <c r="V279" s="118">
        <f t="shared" si="587"/>
        <v>0.81175428202936994</v>
      </c>
      <c r="W279" s="118">
        <f t="shared" si="587"/>
        <v>0.83085729010132692</v>
      </c>
      <c r="X279" s="118">
        <f t="shared" si="587"/>
        <v>0.83113438503981696</v>
      </c>
      <c r="Y279" s="118">
        <f t="shared" si="587"/>
        <v>0.75222026728375335</v>
      </c>
      <c r="Z279" s="118">
        <f t="shared" si="587"/>
        <v>0.68835037331956617</v>
      </c>
      <c r="AA279" s="118">
        <f t="shared" si="587"/>
        <v>0.64550750609571894</v>
      </c>
      <c r="AB279" s="118">
        <f t="shared" si="587"/>
        <v>0.68271245393956781</v>
      </c>
      <c r="AC279" s="118">
        <f t="shared" si="587"/>
        <v>0.62143841469517203</v>
      </c>
      <c r="AD279" s="118">
        <f t="shared" si="587"/>
        <v>0.58022772691953195</v>
      </c>
      <c r="AE279" s="118">
        <f t="shared" si="587"/>
        <v>0.59894600327229652</v>
      </c>
      <c r="AF279" s="118">
        <f t="shared" si="587"/>
        <v>0.66332587236662133</v>
      </c>
      <c r="AG279" s="118">
        <f t="shared" si="587"/>
        <v>0.60303251705838179</v>
      </c>
      <c r="AH279" s="118">
        <f t="shared" si="587"/>
        <v>0.56062843342392465</v>
      </c>
      <c r="AI279" s="118">
        <f t="shared" si="587"/>
        <v>0.55728113829412751</v>
      </c>
      <c r="AJ279" s="118">
        <f t="shared" si="587"/>
        <v>0.58426218065479563</v>
      </c>
      <c r="AK279" s="118">
        <f t="shared" si="587"/>
        <v>0.59295902759025976</v>
      </c>
      <c r="AL279" s="118">
        <f t="shared" si="587"/>
        <v>0.55518210774714216</v>
      </c>
      <c r="AM279" s="118">
        <f t="shared" si="587"/>
        <v>0.52171038171763762</v>
      </c>
      <c r="AN279" s="118">
        <f t="shared" si="587"/>
        <v>0.55363411084959235</v>
      </c>
      <c r="AO279" s="118">
        <f t="shared" si="587"/>
        <v>0.55199273981337349</v>
      </c>
      <c r="AP279" s="118">
        <f t="shared" si="587"/>
        <v>0.53959362320481818</v>
      </c>
      <c r="AQ279" s="118">
        <f t="shared" si="587"/>
        <v>0.53232605129684996</v>
      </c>
      <c r="AR279" s="118">
        <f>AR261/AR257</f>
        <v>0.57984988624396894</v>
      </c>
      <c r="AS279" s="118">
        <f>AS261/AS257</f>
        <v>0.62051710190879117</v>
      </c>
      <c r="AT279" s="118">
        <f>AT261/AT257</f>
        <v>0.60973722911355421</v>
      </c>
      <c r="AU279" s="118">
        <f>AU261/AU257</f>
        <v>0.59276705302301702</v>
      </c>
      <c r="AV279" s="173"/>
      <c r="AW279"/>
      <c r="AX279"/>
    </row>
    <row r="280" spans="2:50" ht="13.5" customHeight="1" thickTop="1">
      <c r="C280" s="30"/>
      <c r="D280" s="30"/>
      <c r="E280" s="30"/>
      <c r="F280" s="30"/>
      <c r="G280" s="30"/>
      <c r="H280" s="30"/>
      <c r="I280" s="30"/>
      <c r="J280" s="30"/>
      <c r="K280" s="30"/>
      <c r="L280" s="30"/>
      <c r="M280" s="30"/>
      <c r="N280" s="37"/>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row>
  </sheetData>
  <pageMargins left="0.51181102362204722" right="0.47244094488188981" top="0.23622047244094491" bottom="0.43307086614173229" header="0.51181102362204722" footer="0.23622047244094491"/>
  <pageSetup paperSize="9" scale="83" fitToHeight="0" orientation="portrait" r:id="rId1"/>
  <headerFooter alignWithMargins="0">
    <oddFooter>&amp;L&amp;8U.S. Bank Loan Team&amp;C&amp;"Arial,Bold"&amp;8- Confidential -_x000D_&amp;1#&amp;"Aptos"&amp;10&amp;K000000 Barings-Corporate&amp;R&amp;8&amp;D &amp;T</oddFooter>
  </headerFooter>
  <rowBreaks count="1" manualBreakCount="1">
    <brk id="87" min="1" max="10" man="1"/>
  </rowBreaks>
  <ignoredErrors>
    <ignoredError sqref="G142 O142:Y142 C142:F142 Z142:AB146 R205:AB210"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673F-F192-454A-8647-69F00C138802}">
  <dimension ref="A2:AY76"/>
  <sheetViews>
    <sheetView showGridLines="0" zoomScaleNormal="100" workbookViewId="0">
      <pane xSplit="2" ySplit="6" topLeftCell="C7" activePane="bottomRight" state="frozen"/>
      <selection pane="topRight" activeCell="I27" sqref="I27"/>
      <selection pane="bottomLeft" activeCell="I27" sqref="I27"/>
      <selection pane="bottomRight" activeCell="AV1" sqref="AV1"/>
    </sheetView>
  </sheetViews>
  <sheetFormatPr defaultRowHeight="12.5" outlineLevelCol="1"/>
  <cols>
    <col min="1" max="1" width="2.7265625" customWidth="1"/>
    <col min="2" max="2" width="50.7265625" customWidth="1"/>
    <col min="3" max="7" width="12.7265625" hidden="1" customWidth="1" outlineLevel="1"/>
    <col min="8" max="8" width="12.7265625" hidden="1" customWidth="1" outlineLevel="1" collapsed="1"/>
    <col min="9" max="9" width="12.7265625" hidden="1" customWidth="1" outlineLevel="1"/>
    <col min="10" max="10" width="12.7265625" customWidth="1" collapsed="1"/>
    <col min="11" max="14" width="12.7265625" customWidth="1"/>
    <col min="15" max="30" width="12.7265625" hidden="1" customWidth="1" outlineLevel="1"/>
    <col min="31" max="31" width="12.7265625" hidden="1" customWidth="1" outlineLevel="1" collapsed="1"/>
    <col min="32" max="38" width="12.7265625" hidden="1" customWidth="1" outlineLevel="1"/>
    <col min="39" max="39" width="12.7265625" customWidth="1" collapsed="1"/>
    <col min="40" max="48" width="12.7265625" customWidth="1"/>
    <col min="49" max="50" width="12.7265625" hidden="1" customWidth="1" outlineLevel="1"/>
    <col min="51" max="51" width="12.7265625" customWidth="1" collapsed="1"/>
    <col min="52" max="55" width="12.7265625" customWidth="1"/>
  </cols>
  <sheetData>
    <row r="2" spans="1:50" s="5" customFormat="1" ht="21">
      <c r="A2" s="2"/>
      <c r="B2" s="9" t="s">
        <v>197</v>
      </c>
      <c r="C2" s="11" t="s">
        <v>198</v>
      </c>
      <c r="D2" s="11" t="s">
        <v>198</v>
      </c>
      <c r="E2" s="11" t="s">
        <v>198</v>
      </c>
      <c r="F2" s="11" t="s">
        <v>198</v>
      </c>
      <c r="G2" s="11" t="s">
        <v>198</v>
      </c>
      <c r="H2" s="174" t="s">
        <v>198</v>
      </c>
      <c r="I2" s="174" t="s">
        <v>198</v>
      </c>
      <c r="J2" s="174" t="s">
        <v>198</v>
      </c>
      <c r="K2" s="174" t="s">
        <v>198</v>
      </c>
      <c r="L2" s="174" t="s">
        <v>198</v>
      </c>
      <c r="M2" s="13" t="s">
        <v>199</v>
      </c>
      <c r="N2" s="137"/>
      <c r="O2" s="11" t="s">
        <v>200</v>
      </c>
      <c r="P2" s="11" t="s">
        <v>200</v>
      </c>
      <c r="Q2" s="11" t="s">
        <v>200</v>
      </c>
      <c r="R2" s="11" t="s">
        <v>200</v>
      </c>
      <c r="S2" s="11" t="s">
        <v>200</v>
      </c>
      <c r="T2" s="11" t="s">
        <v>200</v>
      </c>
      <c r="U2" s="11" t="s">
        <v>200</v>
      </c>
      <c r="V2" s="11" t="s">
        <v>200</v>
      </c>
      <c r="W2" s="11" t="s">
        <v>200</v>
      </c>
      <c r="X2" s="11" t="s">
        <v>200</v>
      </c>
      <c r="Y2" s="11" t="s">
        <v>200</v>
      </c>
      <c r="Z2" s="11" t="s">
        <v>200</v>
      </c>
      <c r="AA2" s="11" t="s">
        <v>200</v>
      </c>
      <c r="AB2" s="11" t="s">
        <v>200</v>
      </c>
      <c r="AC2" s="11" t="s">
        <v>200</v>
      </c>
      <c r="AD2" s="11" t="s">
        <v>200</v>
      </c>
      <c r="AE2" s="11" t="s">
        <v>200</v>
      </c>
      <c r="AF2" s="11" t="s">
        <v>200</v>
      </c>
      <c r="AG2" s="11" t="s">
        <v>200</v>
      </c>
      <c r="AH2" s="11" t="s">
        <v>201</v>
      </c>
      <c r="AI2" s="11" t="s">
        <v>200</v>
      </c>
      <c r="AJ2" s="11" t="s">
        <v>200</v>
      </c>
      <c r="AK2" s="11" t="s">
        <v>200</v>
      </c>
      <c r="AL2" s="11" t="s">
        <v>201</v>
      </c>
      <c r="AM2" s="11" t="s">
        <v>200</v>
      </c>
      <c r="AN2" s="11" t="s">
        <v>200</v>
      </c>
      <c r="AO2" s="11" t="s">
        <v>200</v>
      </c>
      <c r="AP2" s="11" t="s">
        <v>201</v>
      </c>
      <c r="AQ2" s="11" t="s">
        <v>200</v>
      </c>
      <c r="AR2" s="11" t="s">
        <v>200</v>
      </c>
      <c r="AS2" s="11" t="s">
        <v>200</v>
      </c>
      <c r="AT2" s="11" t="s">
        <v>201</v>
      </c>
      <c r="AU2" s="11" t="s">
        <v>200</v>
      </c>
      <c r="AW2" s="11" t="s">
        <v>200</v>
      </c>
      <c r="AX2" s="11" t="s">
        <v>200</v>
      </c>
    </row>
    <row r="3" spans="1:50" s="5" customFormat="1" ht="13">
      <c r="A3" s="2"/>
      <c r="B3" s="93" t="s">
        <v>87</v>
      </c>
      <c r="C3" s="12">
        <v>42735</v>
      </c>
      <c r="D3" s="12">
        <v>43100</v>
      </c>
      <c r="E3" s="12">
        <v>43465</v>
      </c>
      <c r="F3" s="12">
        <v>43830</v>
      </c>
      <c r="G3" s="12">
        <v>44196</v>
      </c>
      <c r="H3" s="13">
        <v>44561</v>
      </c>
      <c r="I3" s="13">
        <v>44926</v>
      </c>
      <c r="J3" s="13">
        <v>45291</v>
      </c>
      <c r="K3" s="13">
        <v>45657</v>
      </c>
      <c r="L3" s="13">
        <v>46022</v>
      </c>
      <c r="M3" s="13">
        <f>AU3</f>
        <v>46111</v>
      </c>
      <c r="N3" s="137"/>
      <c r="O3" s="12">
        <v>43189</v>
      </c>
      <c r="P3" s="12">
        <v>43281</v>
      </c>
      <c r="Q3" s="12">
        <v>43373</v>
      </c>
      <c r="R3" s="12">
        <v>43464</v>
      </c>
      <c r="S3" s="12">
        <v>43554</v>
      </c>
      <c r="T3" s="12">
        <v>43646</v>
      </c>
      <c r="U3" s="12">
        <v>43738</v>
      </c>
      <c r="V3" s="12">
        <v>43829</v>
      </c>
      <c r="W3" s="12">
        <v>43920</v>
      </c>
      <c r="X3" s="12">
        <v>44012</v>
      </c>
      <c r="Y3" s="12">
        <v>44104</v>
      </c>
      <c r="Z3" s="12">
        <v>44195</v>
      </c>
      <c r="AA3" s="12">
        <v>44285</v>
      </c>
      <c r="AB3" s="12">
        <v>44377</v>
      </c>
      <c r="AC3" s="12">
        <v>44469</v>
      </c>
      <c r="AD3" s="12">
        <v>44560</v>
      </c>
      <c r="AE3" s="12">
        <v>44650</v>
      </c>
      <c r="AF3" s="12">
        <v>44742</v>
      </c>
      <c r="AG3" s="12">
        <v>44834</v>
      </c>
      <c r="AH3" s="12">
        <v>44926</v>
      </c>
      <c r="AI3" s="12">
        <v>45015</v>
      </c>
      <c r="AJ3" s="12">
        <v>45107</v>
      </c>
      <c r="AK3" s="12">
        <v>45199</v>
      </c>
      <c r="AL3" s="12">
        <v>45291</v>
      </c>
      <c r="AM3" s="12">
        <v>45381</v>
      </c>
      <c r="AN3" s="12">
        <v>45473</v>
      </c>
      <c r="AO3" s="12">
        <v>45565</v>
      </c>
      <c r="AP3" s="12">
        <v>45657</v>
      </c>
      <c r="AQ3" s="12">
        <v>45746</v>
      </c>
      <c r="AR3" s="12">
        <v>45838</v>
      </c>
      <c r="AS3" s="12">
        <v>45930</v>
      </c>
      <c r="AT3" s="12">
        <v>46022</v>
      </c>
      <c r="AU3" s="12">
        <v>46111</v>
      </c>
      <c r="AW3" s="12">
        <v>43554</v>
      </c>
      <c r="AX3" s="12">
        <v>43646</v>
      </c>
    </row>
    <row r="4" spans="1:50" s="5" customFormat="1" ht="13">
      <c r="B4" s="10"/>
      <c r="C4" s="13" t="s">
        <v>202</v>
      </c>
      <c r="D4" s="13" t="s">
        <v>202</v>
      </c>
      <c r="E4" s="13" t="s">
        <v>202</v>
      </c>
      <c r="F4" s="13" t="s">
        <v>202</v>
      </c>
      <c r="G4" s="13" t="s">
        <v>202</v>
      </c>
      <c r="H4" s="13" t="s">
        <v>202</v>
      </c>
      <c r="I4" s="13" t="s">
        <v>202</v>
      </c>
      <c r="J4" s="13" t="s">
        <v>202</v>
      </c>
      <c r="K4" s="13" t="s">
        <v>202</v>
      </c>
      <c r="L4" s="13" t="s">
        <v>202</v>
      </c>
      <c r="M4" s="13" t="s">
        <v>202</v>
      </c>
      <c r="N4" s="137"/>
      <c r="O4" s="13" t="s">
        <v>202</v>
      </c>
      <c r="P4" s="13" t="s">
        <v>202</v>
      </c>
      <c r="Q4" s="13" t="s">
        <v>202</v>
      </c>
      <c r="R4" s="13" t="s">
        <v>202</v>
      </c>
      <c r="S4" s="13" t="s">
        <v>202</v>
      </c>
      <c r="T4" s="13" t="s">
        <v>202</v>
      </c>
      <c r="U4" s="13" t="s">
        <v>202</v>
      </c>
      <c r="V4" s="13" t="s">
        <v>202</v>
      </c>
      <c r="W4" s="13" t="s">
        <v>202</v>
      </c>
      <c r="X4" s="13" t="s">
        <v>202</v>
      </c>
      <c r="Y4" s="13" t="s">
        <v>202</v>
      </c>
      <c r="Z4" s="13" t="s">
        <v>202</v>
      </c>
      <c r="AA4" s="13" t="s">
        <v>202</v>
      </c>
      <c r="AB4" s="13" t="s">
        <v>202</v>
      </c>
      <c r="AC4" s="13" t="s">
        <v>202</v>
      </c>
      <c r="AD4" s="13" t="s">
        <v>202</v>
      </c>
      <c r="AE4" s="13" t="s">
        <v>202</v>
      </c>
      <c r="AF4" s="13" t="s">
        <v>202</v>
      </c>
      <c r="AG4" s="13" t="s">
        <v>202</v>
      </c>
      <c r="AH4" s="13" t="s">
        <v>202</v>
      </c>
      <c r="AI4" s="13" t="s">
        <v>202</v>
      </c>
      <c r="AJ4" s="13" t="s">
        <v>202</v>
      </c>
      <c r="AK4" s="13" t="s">
        <v>202</v>
      </c>
      <c r="AL4" s="13" t="s">
        <v>202</v>
      </c>
      <c r="AM4" s="13" t="s">
        <v>202</v>
      </c>
      <c r="AN4" s="13" t="s">
        <v>202</v>
      </c>
      <c r="AO4" s="13" t="s">
        <v>202</v>
      </c>
      <c r="AP4" s="13" t="s">
        <v>202</v>
      </c>
      <c r="AQ4" s="13" t="s">
        <v>202</v>
      </c>
      <c r="AR4" s="13" t="s">
        <v>202</v>
      </c>
      <c r="AS4" s="13" t="s">
        <v>202</v>
      </c>
      <c r="AT4" s="13" t="s">
        <v>202</v>
      </c>
      <c r="AU4" s="13" t="s">
        <v>202</v>
      </c>
      <c r="AW4" s="13" t="s">
        <v>203</v>
      </c>
      <c r="AX4" s="13" t="s">
        <v>202</v>
      </c>
    </row>
    <row r="5" spans="1:50" s="5" customFormat="1" ht="13">
      <c r="A5" s="3"/>
      <c r="B5" s="3"/>
      <c r="C5" s="20" t="s">
        <v>204</v>
      </c>
      <c r="D5" s="20" t="s">
        <v>204</v>
      </c>
      <c r="E5" s="20" t="s">
        <v>204</v>
      </c>
      <c r="F5" s="20" t="s">
        <v>204</v>
      </c>
      <c r="G5" s="20" t="s">
        <v>204</v>
      </c>
      <c r="H5" s="20" t="s">
        <v>204</v>
      </c>
      <c r="I5" s="20" t="s">
        <v>204</v>
      </c>
      <c r="J5" s="20" t="s">
        <v>204</v>
      </c>
      <c r="K5" s="20" t="s">
        <v>204</v>
      </c>
      <c r="L5" s="20" t="s">
        <v>204</v>
      </c>
      <c r="M5" s="335" t="s">
        <v>199</v>
      </c>
      <c r="N5" s="20"/>
      <c r="O5" s="20" t="s">
        <v>205</v>
      </c>
      <c r="P5" s="20" t="s">
        <v>206</v>
      </c>
      <c r="Q5" s="20" t="s">
        <v>207</v>
      </c>
      <c r="R5" s="20" t="s">
        <v>208</v>
      </c>
      <c r="S5" s="20" t="s">
        <v>205</v>
      </c>
      <c r="T5" s="20" t="s">
        <v>206</v>
      </c>
      <c r="U5" s="20" t="s">
        <v>207</v>
      </c>
      <c r="V5" s="20" t="s">
        <v>208</v>
      </c>
      <c r="W5" s="20" t="s">
        <v>205</v>
      </c>
      <c r="X5" s="20" t="s">
        <v>206</v>
      </c>
      <c r="Y5" s="20" t="s">
        <v>207</v>
      </c>
      <c r="Z5" s="20" t="s">
        <v>208</v>
      </c>
      <c r="AA5" s="20" t="s">
        <v>205</v>
      </c>
      <c r="AB5" s="20" t="s">
        <v>206</v>
      </c>
      <c r="AC5" s="20" t="s">
        <v>207</v>
      </c>
      <c r="AD5" s="20" t="s">
        <v>208</v>
      </c>
      <c r="AE5" s="20" t="s">
        <v>205</v>
      </c>
      <c r="AF5" s="20" t="s">
        <v>206</v>
      </c>
      <c r="AG5" s="20" t="s">
        <v>207</v>
      </c>
      <c r="AH5" s="20" t="s">
        <v>208</v>
      </c>
      <c r="AI5" s="20" t="s">
        <v>205</v>
      </c>
      <c r="AJ5" s="20" t="s">
        <v>206</v>
      </c>
      <c r="AK5" s="20" t="s">
        <v>207</v>
      </c>
      <c r="AL5" s="20" t="s">
        <v>208</v>
      </c>
      <c r="AM5" s="20" t="s">
        <v>205</v>
      </c>
      <c r="AN5" s="20" t="s">
        <v>206</v>
      </c>
      <c r="AO5" s="20" t="s">
        <v>207</v>
      </c>
      <c r="AP5" s="335" t="s">
        <v>208</v>
      </c>
      <c r="AQ5" s="20" t="s">
        <v>205</v>
      </c>
      <c r="AR5" s="20" t="s">
        <v>206</v>
      </c>
      <c r="AS5" s="20" t="s">
        <v>207</v>
      </c>
      <c r="AT5" s="335" t="s">
        <v>208</v>
      </c>
      <c r="AU5" s="20" t="s">
        <v>205</v>
      </c>
      <c r="AW5" s="20" t="s">
        <v>205</v>
      </c>
      <c r="AX5" s="20" t="s">
        <v>206</v>
      </c>
    </row>
    <row r="6" spans="1:50" ht="13">
      <c r="B6" s="304"/>
      <c r="C6" s="304"/>
      <c r="D6" s="304"/>
      <c r="E6" s="304"/>
      <c r="F6" s="304"/>
      <c r="G6" s="304"/>
      <c r="H6" s="304"/>
      <c r="I6" s="304"/>
      <c r="J6" s="304"/>
      <c r="K6" s="304"/>
      <c r="L6" s="304"/>
      <c r="M6" s="304"/>
      <c r="N6" s="20"/>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5"/>
      <c r="AW6" s="304"/>
      <c r="AX6" s="304"/>
    </row>
    <row r="7" spans="1:50" ht="13">
      <c r="B7" s="305" t="s">
        <v>311</v>
      </c>
      <c r="C7" s="306"/>
      <c r="D7" s="306"/>
      <c r="E7" s="306"/>
      <c r="F7" s="306"/>
      <c r="G7" s="306"/>
      <c r="H7" s="306"/>
      <c r="I7" s="306"/>
      <c r="J7" s="306"/>
      <c r="K7" s="306"/>
      <c r="L7" s="306"/>
      <c r="M7" s="306"/>
      <c r="N7" s="20"/>
      <c r="O7" s="306"/>
      <c r="P7" s="306"/>
      <c r="Q7" s="306"/>
      <c r="R7" s="306"/>
      <c r="S7" s="306"/>
      <c r="T7" s="306"/>
      <c r="U7" s="306"/>
      <c r="V7" s="306"/>
      <c r="W7" s="306"/>
      <c r="X7" s="306"/>
      <c r="Y7" s="306"/>
      <c r="Z7" s="306"/>
      <c r="AA7" s="306"/>
      <c r="AB7" s="306"/>
      <c r="AC7" s="306"/>
      <c r="AD7" s="306"/>
      <c r="AE7" s="306"/>
      <c r="AF7" s="306"/>
      <c r="AG7" s="306"/>
      <c r="AH7" s="306"/>
      <c r="AI7" s="306"/>
      <c r="AJ7" s="306"/>
      <c r="AK7" s="306"/>
      <c r="AL7" s="306"/>
      <c r="AM7" s="306"/>
      <c r="AN7" s="306"/>
      <c r="AO7" s="306"/>
      <c r="AP7" s="306"/>
      <c r="AQ7" s="306"/>
      <c r="AR7" s="306"/>
      <c r="AS7" s="306"/>
      <c r="AT7" s="306"/>
      <c r="AU7" s="306"/>
      <c r="AV7" s="5"/>
      <c r="AW7" s="306"/>
      <c r="AX7" s="306"/>
    </row>
    <row r="8" spans="1:50" ht="13">
      <c r="B8" s="1" t="s">
        <v>312</v>
      </c>
      <c r="C8" s="4">
        <v>10961.324000000001</v>
      </c>
      <c r="D8" s="4">
        <v>10510.471</v>
      </c>
      <c r="E8" s="4">
        <v>9919.6650000000009</v>
      </c>
      <c r="F8" s="4">
        <v>10209.986999999999</v>
      </c>
      <c r="G8" s="4">
        <v>10923.68</v>
      </c>
      <c r="H8" s="4">
        <v>11141.325000000001</v>
      </c>
      <c r="I8" s="4">
        <v>12504.123</v>
      </c>
      <c r="J8" s="4">
        <v>12902.558000000001</v>
      </c>
      <c r="K8" s="4">
        <v>14007.348</v>
      </c>
      <c r="L8" s="4">
        <v>14632.843999999999</v>
      </c>
      <c r="M8" s="76">
        <f>SUM(AR8:AU8)</f>
        <v>14793.021999999999</v>
      </c>
      <c r="N8" s="20"/>
      <c r="O8" s="4">
        <v>2356.9479999999999</v>
      </c>
      <c r="P8" s="4">
        <f>5109.44-O8</f>
        <v>2752.4919999999997</v>
      </c>
      <c r="Q8" s="4">
        <f>7514.694-P8-O8</f>
        <v>2405.2540000000013</v>
      </c>
      <c r="R8" s="30">
        <f>E8-Q8-P8-O8</f>
        <v>2404.971</v>
      </c>
      <c r="S8" s="4">
        <v>2366.404</v>
      </c>
      <c r="T8" s="4">
        <f>5116.547-S8</f>
        <v>2750.1429999999996</v>
      </c>
      <c r="U8" s="4">
        <f>7669.403-T8-S8</f>
        <v>2552.8560000000002</v>
      </c>
      <c r="V8" s="30">
        <f>F8-U8-T8-S8</f>
        <v>2540.5839999999994</v>
      </c>
      <c r="W8" s="4">
        <v>2520.1179999999999</v>
      </c>
      <c r="X8" s="4">
        <f>5486.358-W8</f>
        <v>2966.2400000000002</v>
      </c>
      <c r="Y8" s="4">
        <f>8256.707-X8-W8</f>
        <v>2770.3490000000006</v>
      </c>
      <c r="Z8" s="30">
        <f>G8-Y8-X8-W8</f>
        <v>2666.9730000000004</v>
      </c>
      <c r="AA8" s="4">
        <v>2581.482</v>
      </c>
      <c r="AB8" s="4">
        <f>5477.111-AA8</f>
        <v>2895.6289999999999</v>
      </c>
      <c r="AC8" s="4">
        <f>8197.756-AB8-AA8</f>
        <v>2720.6449999999995</v>
      </c>
      <c r="AD8" s="30">
        <f>H8-AC8-AB8-AA8</f>
        <v>2943.5690000000004</v>
      </c>
      <c r="AE8" s="4">
        <v>3116.2469999999998</v>
      </c>
      <c r="AF8" s="4">
        <f>6252.251-AE8</f>
        <v>3136.0040000000004</v>
      </c>
      <c r="AG8" s="4">
        <f>9390.973-AF8-AE8</f>
        <v>3138.7219999999993</v>
      </c>
      <c r="AH8" s="30">
        <f>I8-AG8-AF8-AE8</f>
        <v>3113.1499999999992</v>
      </c>
      <c r="AI8" s="4">
        <v>3448.7860000000001</v>
      </c>
      <c r="AJ8" s="4">
        <f>6627.534-AI8</f>
        <v>3178.7479999999996</v>
      </c>
      <c r="AK8" s="4">
        <f>9772.245-AJ8-AI8</f>
        <v>3144.7110000000011</v>
      </c>
      <c r="AL8" s="30">
        <f>J8-AK8-AJ8-AI8</f>
        <v>3130.3130000000001</v>
      </c>
      <c r="AM8" s="4">
        <v>3792.1979999999999</v>
      </c>
      <c r="AN8" s="4">
        <f>7211.721-AM8</f>
        <v>3419.5229999999997</v>
      </c>
      <c r="AO8" s="4">
        <f>10696.12-AN8-AM8</f>
        <v>3484.3990000000017</v>
      </c>
      <c r="AP8" s="30">
        <f>K8-AO8-AN8-AM8</f>
        <v>3311.2279999999996</v>
      </c>
      <c r="AQ8" s="4">
        <v>4018.4119999999998</v>
      </c>
      <c r="AR8" s="4">
        <f>7533.771-AQ8</f>
        <v>3515.3589999999999</v>
      </c>
      <c r="AS8" s="4">
        <f>11189.163-AR8-AQ8</f>
        <v>3655.3920000000003</v>
      </c>
      <c r="AT8" s="30">
        <f>L8-AS8-AR8-AQ8</f>
        <v>3443.6809999999991</v>
      </c>
      <c r="AU8" s="4">
        <v>4178.59</v>
      </c>
      <c r="AW8" s="4">
        <v>2333.971</v>
      </c>
      <c r="AX8" s="4">
        <v>2783</v>
      </c>
    </row>
    <row r="9" spans="1:50" ht="13">
      <c r="B9" s="1" t="s">
        <v>313</v>
      </c>
      <c r="C9" s="4">
        <v>1880.789</v>
      </c>
      <c r="D9" s="4">
        <v>1807.09</v>
      </c>
      <c r="E9" s="4">
        <v>1641.393</v>
      </c>
      <c r="F9" s="4">
        <v>1749.297</v>
      </c>
      <c r="G9" s="4">
        <v>1711.952</v>
      </c>
      <c r="H9" s="4">
        <v>1788.8620000000001</v>
      </c>
      <c r="I9" s="4">
        <v>2439.3000000000002</v>
      </c>
      <c r="J9" s="4">
        <v>2584.4580000000001</v>
      </c>
      <c r="K9" s="4">
        <v>2661.5790000000002</v>
      </c>
      <c r="L9" s="4">
        <v>2789.3389999999999</v>
      </c>
      <c r="M9" s="76">
        <f>SUM(AR9:AU9)</f>
        <v>2818.3959999999997</v>
      </c>
      <c r="N9" s="4"/>
      <c r="O9" s="4">
        <v>405.46600000000001</v>
      </c>
      <c r="P9" s="4">
        <f>782.901-O9</f>
        <v>377.43499999999995</v>
      </c>
      <c r="Q9" s="4">
        <f>1194.499-P9-O9</f>
        <v>411.59800000000007</v>
      </c>
      <c r="R9" s="30">
        <f>E9-Q9-P9-O9</f>
        <v>446.89400000000012</v>
      </c>
      <c r="S9" s="4">
        <v>430.01900000000001</v>
      </c>
      <c r="T9" s="4">
        <f>815.67-S9</f>
        <v>385.65099999999995</v>
      </c>
      <c r="U9" s="4">
        <f>1270.167-T9-S9</f>
        <v>454.49699999999996</v>
      </c>
      <c r="V9" s="30">
        <f>F9-U9-T9-S9</f>
        <v>479.13000000000022</v>
      </c>
      <c r="W9" s="4">
        <v>432.81</v>
      </c>
      <c r="X9" s="4">
        <f>857.026-W9</f>
        <v>424.21599999999995</v>
      </c>
      <c r="Y9" s="4">
        <f>1276.232-X9-W9</f>
        <v>419.20600000000007</v>
      </c>
      <c r="Z9" s="30">
        <f>G9-Y9-X9-W9</f>
        <v>435.71999999999997</v>
      </c>
      <c r="AA9" s="4">
        <v>391.08499999999998</v>
      </c>
      <c r="AB9" s="4">
        <f>792.002-AA9</f>
        <v>400.91699999999997</v>
      </c>
      <c r="AC9" s="4">
        <f>1259.39-AB9-AA9</f>
        <v>467.3880000000002</v>
      </c>
      <c r="AD9" s="30">
        <f>H9-AC9-AB9-AA9</f>
        <v>529.47199999999998</v>
      </c>
      <c r="AE9" s="4">
        <v>571.27499999999998</v>
      </c>
      <c r="AF9" s="4">
        <f>1138.796-AE9</f>
        <v>567.52100000000007</v>
      </c>
      <c r="AG9" s="4">
        <f>1754.7-AF9-AE9</f>
        <v>615.90400000000011</v>
      </c>
      <c r="AH9" s="30">
        <f>I9-AG9-AF9-AE9</f>
        <v>684.6</v>
      </c>
      <c r="AI9" s="4">
        <v>622.05799999999999</v>
      </c>
      <c r="AJ9" s="4">
        <f>1243.047-AI9</f>
        <v>620.98900000000003</v>
      </c>
      <c r="AK9" s="4">
        <f>1883.825-AJ9-AI9</f>
        <v>640.77800000000002</v>
      </c>
      <c r="AL9" s="30">
        <f>J9-AK9-AJ9-AI9</f>
        <v>700.63300000000004</v>
      </c>
      <c r="AM9" s="4">
        <v>624.38199999999995</v>
      </c>
      <c r="AN9" s="4">
        <f>1270.256-AM9</f>
        <v>645.87400000000014</v>
      </c>
      <c r="AO9" s="4">
        <f>1932.139-AN9-AM9</f>
        <v>661.88299999999992</v>
      </c>
      <c r="AP9" s="30">
        <f>K9-AO9-AN9-AM9</f>
        <v>729.44000000000017</v>
      </c>
      <c r="AQ9" s="4">
        <v>632.62800000000004</v>
      </c>
      <c r="AR9" s="4">
        <f>1327.445-AQ9</f>
        <v>694.81699999999989</v>
      </c>
      <c r="AS9" s="4">
        <f>2029.927-AR9-AQ9</f>
        <v>702.48200000000008</v>
      </c>
      <c r="AT9" s="30">
        <f>L9-AS9-AR9-AQ9</f>
        <v>759.41199999999992</v>
      </c>
      <c r="AU9" s="4">
        <v>661.68499999999995</v>
      </c>
      <c r="AW9" s="4">
        <v>421.07299999999998</v>
      </c>
      <c r="AX9" s="4">
        <v>395</v>
      </c>
    </row>
    <row r="10" spans="1:50" ht="13">
      <c r="B10" s="1" t="s">
        <v>314</v>
      </c>
      <c r="C10" s="4">
        <v>1331.5060000000001</v>
      </c>
      <c r="D10" s="4">
        <v>1463.626</v>
      </c>
      <c r="E10" s="4">
        <v>1800.35</v>
      </c>
      <c r="F10" s="4">
        <v>2124.5929999999998</v>
      </c>
      <c r="G10" s="4">
        <v>2292.779</v>
      </c>
      <c r="H10" s="4">
        <v>2301.4589999999998</v>
      </c>
      <c r="I10" s="4">
        <v>3013.4349999999999</v>
      </c>
      <c r="J10" s="4">
        <v>3518.3359999999998</v>
      </c>
      <c r="K10" s="4">
        <v>3794.2089999999998</v>
      </c>
      <c r="L10" s="4">
        <v>3927.2289999999998</v>
      </c>
      <c r="M10" s="76">
        <f>SUM(AR10:AU10)</f>
        <v>4048.1179999999999</v>
      </c>
      <c r="N10" s="4"/>
      <c r="O10" s="4">
        <v>420.63900000000001</v>
      </c>
      <c r="P10" s="4">
        <f>855.297-O10</f>
        <v>434.65800000000002</v>
      </c>
      <c r="Q10" s="4">
        <f>1308.663-P10-O10</f>
        <v>453.36599999999999</v>
      </c>
      <c r="R10" s="30">
        <f>E10-Q10-P10-O10</f>
        <v>491.6869999999999</v>
      </c>
      <c r="S10" s="4">
        <v>502.267</v>
      </c>
      <c r="T10" s="4">
        <f>1026.643-S10</f>
        <v>524.37599999999998</v>
      </c>
      <c r="U10" s="4">
        <f>1515.605-T10-S10</f>
        <v>488.96200000000005</v>
      </c>
      <c r="V10" s="30">
        <f>F10-U10-T10-S10</f>
        <v>608.98799999999983</v>
      </c>
      <c r="W10" s="4">
        <v>558.38800000000003</v>
      </c>
      <c r="X10" s="4">
        <f>1173.006-W10</f>
        <v>614.61800000000005</v>
      </c>
      <c r="Y10" s="4">
        <f>1697.756-X10-W10</f>
        <v>524.74999999999989</v>
      </c>
      <c r="Z10" s="30">
        <f>G10-Y10-X10-W10</f>
        <v>595.02300000000002</v>
      </c>
      <c r="AA10" s="4">
        <v>551.84199999999998</v>
      </c>
      <c r="AB10" s="4">
        <f>1118.023-AA10</f>
        <v>566.18099999999993</v>
      </c>
      <c r="AC10" s="4">
        <f>1659.646-AB10-AA10</f>
        <v>541.62300000000016</v>
      </c>
      <c r="AD10" s="30">
        <f>H10-AC10-AB10-AA10</f>
        <v>641.81299999999976</v>
      </c>
      <c r="AE10" s="4">
        <v>659.46799999999996</v>
      </c>
      <c r="AF10" s="4">
        <f>1395.813-AE10</f>
        <v>736.34500000000014</v>
      </c>
      <c r="AG10" s="4">
        <f>2171.597-AE10-AF10</f>
        <v>775.78400000000022</v>
      </c>
      <c r="AH10" s="30">
        <f>I10-AG10-AF10-AE10</f>
        <v>841.83799999999962</v>
      </c>
      <c r="AI10" s="4">
        <v>848.03200000000004</v>
      </c>
      <c r="AJ10" s="4">
        <f>1697.441-AI10</f>
        <v>849.40899999999999</v>
      </c>
      <c r="AK10" s="4">
        <f>2573.457-AI10-AJ10</f>
        <v>876.01599999999974</v>
      </c>
      <c r="AL10" s="30">
        <f>J10-AK10-AJ10-AI10</f>
        <v>944.87900000000002</v>
      </c>
      <c r="AM10" s="4">
        <v>921.28300000000002</v>
      </c>
      <c r="AN10" s="4">
        <f>1890.687-AM10</f>
        <v>969.40399999999988</v>
      </c>
      <c r="AO10" s="4">
        <f>2819.222-AM10-AN10</f>
        <v>928.53500000000042</v>
      </c>
      <c r="AP10" s="30">
        <f>K10-AO10-AN10-AM10</f>
        <v>974.98699999999951</v>
      </c>
      <c r="AQ10" s="4">
        <v>979.97500000000002</v>
      </c>
      <c r="AR10" s="4">
        <f>1949.988-AQ10</f>
        <v>970.01300000000003</v>
      </c>
      <c r="AS10" s="4">
        <f>2905.302-AQ10-AR10</f>
        <v>955.31400000000019</v>
      </c>
      <c r="AT10" s="30">
        <f>L10-AS10-AR10-AQ10</f>
        <v>1021.9269999999996</v>
      </c>
      <c r="AU10" s="4">
        <v>1100.864</v>
      </c>
      <c r="AW10" s="4">
        <v>499.50099999999998</v>
      </c>
      <c r="AX10" s="4">
        <v>527</v>
      </c>
    </row>
    <row r="11" spans="1:50" ht="13">
      <c r="B11" s="1" t="s">
        <v>315</v>
      </c>
      <c r="C11" s="4">
        <v>164.96</v>
      </c>
      <c r="D11" s="4">
        <v>154.345</v>
      </c>
      <c r="E11" s="4">
        <v>196.429</v>
      </c>
      <c r="F11" s="4">
        <v>267.39999999999998</v>
      </c>
      <c r="G11" s="4">
        <v>428.53699999999998</v>
      </c>
      <c r="H11" s="4">
        <v>618.07399999999996</v>
      </c>
      <c r="I11" s="4">
        <v>765.4</v>
      </c>
      <c r="J11" s="4">
        <v>570.23299999999995</v>
      </c>
      <c r="K11" s="4">
        <v>516.37599999999998</v>
      </c>
      <c r="L11" s="4">
        <v>715.46400000000006</v>
      </c>
      <c r="M11" s="76">
        <f>SUM(AR11:AU11)</f>
        <v>798.30300000000011</v>
      </c>
      <c r="N11" s="4"/>
      <c r="O11" s="4">
        <v>49.152000000000001</v>
      </c>
      <c r="P11" s="4">
        <f>111.655-O11</f>
        <v>62.503</v>
      </c>
      <c r="Q11" s="4">
        <f>158.797-P11-O11</f>
        <v>47.141999999999996</v>
      </c>
      <c r="R11" s="30">
        <f>E11-Q11-P11-O11</f>
        <v>37.632000000000005</v>
      </c>
      <c r="S11" s="4">
        <v>55.393000000000001</v>
      </c>
      <c r="T11" s="4">
        <f>115.222-S11</f>
        <v>59.828999999999994</v>
      </c>
      <c r="U11" s="4">
        <f>192.164-T11-S11</f>
        <v>76.941999999999979</v>
      </c>
      <c r="V11" s="30">
        <f>F11-U11-T11-S11</f>
        <v>75.236000000000018</v>
      </c>
      <c r="W11" s="4">
        <v>81.123999999999995</v>
      </c>
      <c r="X11" s="4">
        <f>157.894-W11</f>
        <v>76.77000000000001</v>
      </c>
      <c r="Y11" s="4">
        <f>306.668-X11-W11</f>
        <v>148.774</v>
      </c>
      <c r="Z11" s="30">
        <f>G11-Y11-X11-W11</f>
        <v>121.86899999999997</v>
      </c>
      <c r="AA11" s="4">
        <v>120.605</v>
      </c>
      <c r="AB11" s="4">
        <f>263.446-AA11</f>
        <v>142.84100000000001</v>
      </c>
      <c r="AC11" s="4">
        <f>475.52-AB11-AA11</f>
        <v>212.07399999999996</v>
      </c>
      <c r="AD11" s="30">
        <f>H11-AC11-AB11-AA11</f>
        <v>142.55399999999997</v>
      </c>
      <c r="AE11" s="4">
        <v>156.46700000000001</v>
      </c>
      <c r="AF11" s="4">
        <f>327.044-AE11</f>
        <v>170.57699999999997</v>
      </c>
      <c r="AG11" s="4">
        <f>565.755-AE11-AF11</f>
        <v>238.71100000000004</v>
      </c>
      <c r="AH11" s="30">
        <f>I11-AG11-AF11-AE11</f>
        <v>199.64499999999995</v>
      </c>
      <c r="AI11" s="4">
        <v>147.68799999999999</v>
      </c>
      <c r="AJ11" s="4">
        <f>290.891-AI11</f>
        <v>143.20300000000003</v>
      </c>
      <c r="AK11" s="4">
        <f>426.32-AI11-AJ11</f>
        <v>135.42899999999997</v>
      </c>
      <c r="AL11" s="30">
        <f>J11-AK11-AJ11-AI11</f>
        <v>143.91299999999995</v>
      </c>
      <c r="AM11" s="4">
        <v>120.77800000000001</v>
      </c>
      <c r="AN11" s="4">
        <f>240.598-AM11</f>
        <v>119.82000000000001</v>
      </c>
      <c r="AO11" s="4">
        <f>374.702-AM11-AN11</f>
        <v>134.10399999999998</v>
      </c>
      <c r="AP11" s="30">
        <f>K11-AO11-AN11-AM11</f>
        <v>141.67399999999998</v>
      </c>
      <c r="AQ11" s="4">
        <v>136.07499999999999</v>
      </c>
      <c r="AR11" s="4">
        <f>244.288-AQ11</f>
        <v>108.21300000000002</v>
      </c>
      <c r="AS11" s="4">
        <f>483.699-AQ11-AR11</f>
        <v>239.411</v>
      </c>
      <c r="AT11" s="30">
        <f>L11-AS11-AR11-AQ11</f>
        <v>231.76500000000004</v>
      </c>
      <c r="AU11" s="4">
        <v>218.91399999999999</v>
      </c>
      <c r="AW11" s="4">
        <v>54.347000000000001</v>
      </c>
      <c r="AX11" s="4">
        <v>61</v>
      </c>
    </row>
    <row r="12" spans="1:50" ht="13">
      <c r="B12" s="5" t="s">
        <v>316</v>
      </c>
      <c r="C12" s="7">
        <f t="shared" ref="C12:M12" si="0">SUM(C8:C11)</f>
        <v>14338.579</v>
      </c>
      <c r="D12" s="7">
        <f t="shared" si="0"/>
        <v>13935.531999999999</v>
      </c>
      <c r="E12" s="7">
        <f t="shared" si="0"/>
        <v>13557.837000000001</v>
      </c>
      <c r="F12" s="7">
        <f t="shared" si="0"/>
        <v>14351.277</v>
      </c>
      <c r="G12" s="7">
        <f t="shared" si="0"/>
        <v>15356.948</v>
      </c>
      <c r="H12" s="7">
        <f t="shared" si="0"/>
        <v>15849.720000000001</v>
      </c>
      <c r="I12" s="7">
        <f t="shared" si="0"/>
        <v>18722.258000000002</v>
      </c>
      <c r="J12" s="7">
        <f t="shared" si="0"/>
        <v>19575.585000000003</v>
      </c>
      <c r="K12" s="7">
        <f>SUM(K8:K11)</f>
        <v>20979.511999999999</v>
      </c>
      <c r="L12" s="7">
        <f>SUM(L8:L11)</f>
        <v>22064.875999999997</v>
      </c>
      <c r="M12" s="7">
        <f t="shared" si="0"/>
        <v>22457.838999999996</v>
      </c>
      <c r="N12" s="7"/>
      <c r="O12" s="7">
        <f t="shared" ref="O12:V12" si="1">SUM(O8:O11)</f>
        <v>3232.2049999999999</v>
      </c>
      <c r="P12" s="7">
        <f t="shared" si="1"/>
        <v>3627.0879999999997</v>
      </c>
      <c r="Q12" s="7">
        <f t="shared" si="1"/>
        <v>3317.360000000001</v>
      </c>
      <c r="R12" s="7">
        <f t="shared" si="1"/>
        <v>3381.1840000000002</v>
      </c>
      <c r="S12" s="7">
        <f t="shared" si="1"/>
        <v>3354.0829999999996</v>
      </c>
      <c r="T12" s="7">
        <f t="shared" si="1"/>
        <v>3719.9989999999993</v>
      </c>
      <c r="U12" s="7">
        <f t="shared" si="1"/>
        <v>3573.2570000000001</v>
      </c>
      <c r="V12" s="7">
        <f t="shared" si="1"/>
        <v>3703.9379999999992</v>
      </c>
      <c r="W12" s="7">
        <f t="shared" ref="W12:AC12" si="2">SUM(W8:W11)</f>
        <v>3592.4399999999996</v>
      </c>
      <c r="X12" s="7">
        <f t="shared" si="2"/>
        <v>4081.8440000000001</v>
      </c>
      <c r="Y12" s="7">
        <f t="shared" si="2"/>
        <v>3863.0790000000006</v>
      </c>
      <c r="Z12" s="7">
        <f t="shared" si="2"/>
        <v>3819.5850000000005</v>
      </c>
      <c r="AA12" s="7">
        <f t="shared" si="2"/>
        <v>3645.0140000000001</v>
      </c>
      <c r="AB12" s="7">
        <f t="shared" si="2"/>
        <v>4005.5679999999998</v>
      </c>
      <c r="AC12" s="7">
        <f t="shared" si="2"/>
        <v>3941.73</v>
      </c>
      <c r="AD12" s="7">
        <f t="shared" ref="AD12:AI12" si="3">SUM(AD8:AD11)</f>
        <v>4257.4080000000004</v>
      </c>
      <c r="AE12" s="7">
        <f t="shared" si="3"/>
        <v>4503.4569999999994</v>
      </c>
      <c r="AF12" s="7">
        <f t="shared" si="3"/>
        <v>4610.447000000001</v>
      </c>
      <c r="AG12" s="7">
        <f t="shared" si="3"/>
        <v>4769.1210000000001</v>
      </c>
      <c r="AH12" s="7">
        <f t="shared" si="3"/>
        <v>4839.2329999999984</v>
      </c>
      <c r="AI12" s="7">
        <f t="shared" si="3"/>
        <v>5066.5640000000003</v>
      </c>
      <c r="AJ12" s="7">
        <f t="shared" ref="AJ12:AO12" si="4">SUM(AJ8:AJ11)</f>
        <v>4792.3490000000002</v>
      </c>
      <c r="AK12" s="7">
        <f t="shared" si="4"/>
        <v>4796.9340000000011</v>
      </c>
      <c r="AL12" s="7">
        <f t="shared" si="4"/>
        <v>4919.7379999999994</v>
      </c>
      <c r="AM12" s="7">
        <f t="shared" si="4"/>
        <v>5458.6410000000005</v>
      </c>
      <c r="AN12" s="7">
        <f t="shared" si="4"/>
        <v>5154.6209999999992</v>
      </c>
      <c r="AO12" s="7">
        <f t="shared" si="4"/>
        <v>5208.921000000003</v>
      </c>
      <c r="AP12" s="7">
        <f t="shared" ref="AP12:AU12" si="5">SUM(AP8:AP11)</f>
        <v>5157.3289999999988</v>
      </c>
      <c r="AQ12" s="7">
        <f t="shared" si="5"/>
        <v>5767.09</v>
      </c>
      <c r="AR12" s="7">
        <f t="shared" si="5"/>
        <v>5288.4019999999991</v>
      </c>
      <c r="AS12" s="7">
        <f t="shared" si="5"/>
        <v>5552.5990000000011</v>
      </c>
      <c r="AT12" s="7">
        <f t="shared" si="5"/>
        <v>5456.7849999999989</v>
      </c>
      <c r="AU12" s="7">
        <f t="shared" si="5"/>
        <v>6160.052999999999</v>
      </c>
      <c r="AW12" s="7">
        <f>SUM(AW8:AW11)</f>
        <v>3308.8920000000003</v>
      </c>
      <c r="AX12" s="7">
        <f>SUM(AX8:AX11)</f>
        <v>3766</v>
      </c>
    </row>
    <row r="13" spans="1:50" s="351" customFormat="1" ht="10.5">
      <c r="B13" s="73" t="s">
        <v>30</v>
      </c>
      <c r="C13" s="338">
        <f>C12-Model!C7</f>
        <v>0</v>
      </c>
      <c r="D13" s="338">
        <f>D12-Model!D7</f>
        <v>0</v>
      </c>
      <c r="E13" s="338">
        <f>E12-Model!E7</f>
        <v>0</v>
      </c>
      <c r="F13" s="338">
        <f>F12-Model!F7</f>
        <v>0</v>
      </c>
      <c r="G13" s="338">
        <f>G12-Model!G7</f>
        <v>0</v>
      </c>
      <c r="H13" s="338">
        <f>H12-Model!H7</f>
        <v>0</v>
      </c>
      <c r="I13" s="338">
        <f>I12-Model!I7</f>
        <v>0</v>
      </c>
      <c r="J13" s="338">
        <f>J12-Model!J7</f>
        <v>0</v>
      </c>
      <c r="K13" s="338">
        <f>K12-Model!K7</f>
        <v>0</v>
      </c>
      <c r="L13" s="338">
        <f>L12-Model!L7</f>
        <v>0</v>
      </c>
      <c r="M13" s="338">
        <f>M12-Model!M7</f>
        <v>0</v>
      </c>
      <c r="N13" s="338"/>
      <c r="O13" s="338">
        <f>O12-Model!O7</f>
        <v>0</v>
      </c>
      <c r="P13" s="338">
        <f>P12-Model!P7</f>
        <v>0</v>
      </c>
      <c r="Q13" s="338">
        <f>Q12-Model!Q7</f>
        <v>0</v>
      </c>
      <c r="R13" s="338">
        <f>R12-Model!R7</f>
        <v>0</v>
      </c>
      <c r="S13" s="338">
        <f>S12-Model!S7</f>
        <v>0</v>
      </c>
      <c r="T13" s="338">
        <f>T12-Model!T7</f>
        <v>0</v>
      </c>
      <c r="U13" s="338">
        <f>U12-Model!U7</f>
        <v>0</v>
      </c>
      <c r="V13" s="338">
        <f>V12-Model!V7</f>
        <v>0</v>
      </c>
      <c r="W13" s="338">
        <f>W12-Model!W7</f>
        <v>0</v>
      </c>
      <c r="X13" s="338">
        <f>X12-Model!X7</f>
        <v>0</v>
      </c>
      <c r="Y13" s="338">
        <f>Y12-Model!Y7</f>
        <v>0</v>
      </c>
      <c r="Z13" s="338">
        <f>Z12-Model!Z7</f>
        <v>0</v>
      </c>
      <c r="AA13" s="338">
        <f>AA12-Model!AA7</f>
        <v>0</v>
      </c>
      <c r="AB13" s="338">
        <f>AB12-Model!AB7</f>
        <v>0</v>
      </c>
      <c r="AC13" s="338">
        <f>AC12-Model!AC7</f>
        <v>0</v>
      </c>
      <c r="AD13" s="338">
        <f>AD12-Model!AD7</f>
        <v>0</v>
      </c>
      <c r="AE13" s="338">
        <f>AE12-Model!AE7</f>
        <v>0</v>
      </c>
      <c r="AF13" s="338">
        <f>AF12-Model!AF7</f>
        <v>0</v>
      </c>
      <c r="AG13" s="338">
        <f>AG12-Model!AG7</f>
        <v>0</v>
      </c>
      <c r="AH13" s="338">
        <f>AH12-Model!AH7</f>
        <v>0</v>
      </c>
      <c r="AI13" s="338">
        <f>AI12-Model!AI7</f>
        <v>0</v>
      </c>
      <c r="AJ13" s="338">
        <f>AJ12-Model!AJ7</f>
        <v>0</v>
      </c>
      <c r="AK13" s="338">
        <f>AK12-Model!AK7</f>
        <v>0</v>
      </c>
      <c r="AL13" s="338">
        <f>AL12-Model!AL7</f>
        <v>0</v>
      </c>
      <c r="AM13" s="338">
        <f>AM12-Model!AM7</f>
        <v>0</v>
      </c>
      <c r="AN13" s="338">
        <f>AN12-Model!AN7</f>
        <v>0</v>
      </c>
      <c r="AO13" s="338">
        <f>AO12-Model!AO7</f>
        <v>0</v>
      </c>
      <c r="AP13" s="338">
        <f>AP12-Model!AP7</f>
        <v>0</v>
      </c>
      <c r="AQ13" s="338">
        <f>AQ12-Model!AQ7</f>
        <v>0</v>
      </c>
      <c r="AR13" s="338">
        <f>AR12-Model!AR7</f>
        <v>0</v>
      </c>
      <c r="AS13" s="338">
        <f>AS12-Model!AS7</f>
        <v>0</v>
      </c>
      <c r="AT13" s="338">
        <f>AT12-Model!AT7</f>
        <v>0</v>
      </c>
      <c r="AU13" s="338">
        <f>AU12-Model!AU7</f>
        <v>0</v>
      </c>
      <c r="AW13" s="338">
        <f>AW12-Model!AW7</f>
        <v>0</v>
      </c>
      <c r="AX13" s="338">
        <f>AX12-Model!AX7</f>
        <v>-1.4239999999999782</v>
      </c>
    </row>
    <row r="14" spans="1:50" ht="13">
      <c r="B14" s="1"/>
    </row>
    <row r="15" spans="1:50" ht="13">
      <c r="B15" s="5" t="s">
        <v>317</v>
      </c>
    </row>
    <row r="16" spans="1:50" ht="13">
      <c r="B16" s="1" t="s">
        <v>312</v>
      </c>
      <c r="C16" s="92">
        <f t="shared" ref="C16:M16" si="6">C8/C$12</f>
        <v>0.7644637589261809</v>
      </c>
      <c r="D16" s="92">
        <f t="shared" si="6"/>
        <v>0.75422100857003527</v>
      </c>
      <c r="E16" s="92">
        <f t="shared" si="6"/>
        <v>0.73165542556677732</v>
      </c>
      <c r="F16" s="92">
        <f t="shared" si="6"/>
        <v>0.71143404172325564</v>
      </c>
      <c r="G16" s="92">
        <f t="shared" si="6"/>
        <v>0.71131842082163721</v>
      </c>
      <c r="H16" s="92">
        <f t="shared" si="6"/>
        <v>0.70293513071524294</v>
      </c>
      <c r="I16" s="92">
        <f t="shared" si="6"/>
        <v>0.6678747296399824</v>
      </c>
      <c r="J16" s="92">
        <f t="shared" si="6"/>
        <v>0.6591148106174094</v>
      </c>
      <c r="K16" s="92">
        <f t="shared" si="6"/>
        <v>0.66766796100881665</v>
      </c>
      <c r="L16" s="92">
        <f t="shared" si="6"/>
        <v>0.66317363396920981</v>
      </c>
      <c r="M16" s="92">
        <f t="shared" si="6"/>
        <v>0.65870193476763284</v>
      </c>
      <c r="N16" s="92"/>
      <c r="O16" s="92">
        <f t="shared" ref="O16:AU16" si="7">O8/O$12</f>
        <v>0.72920746054164265</v>
      </c>
      <c r="P16" s="92">
        <f t="shared" si="7"/>
        <v>0.7588710282187805</v>
      </c>
      <c r="Q16" s="92">
        <f t="shared" si="7"/>
        <v>0.72505064267972141</v>
      </c>
      <c r="R16" s="92">
        <f t="shared" si="7"/>
        <v>0.71128072296568301</v>
      </c>
      <c r="S16" s="92">
        <f t="shared" si="7"/>
        <v>0.70552935034702491</v>
      </c>
      <c r="T16" s="92">
        <f t="shared" si="7"/>
        <v>0.73928595142095466</v>
      </c>
      <c r="U16" s="92">
        <f t="shared" si="7"/>
        <v>0.71443391841113024</v>
      </c>
      <c r="V16" s="92">
        <f t="shared" si="7"/>
        <v>0.68591428906207397</v>
      </c>
      <c r="W16" s="92">
        <f t="shared" si="7"/>
        <v>0.70150594025230772</v>
      </c>
      <c r="X16" s="92">
        <f t="shared" si="7"/>
        <v>0.72669117193111743</v>
      </c>
      <c r="Y16" s="92">
        <f t="shared" si="7"/>
        <v>0.71713495892783974</v>
      </c>
      <c r="Z16" s="92">
        <f t="shared" si="7"/>
        <v>0.69823632672135849</v>
      </c>
      <c r="AA16" s="92">
        <f t="shared" si="7"/>
        <v>0.70822279420600298</v>
      </c>
      <c r="AB16" s="92">
        <f t="shared" si="7"/>
        <v>0.72290097184718871</v>
      </c>
      <c r="AC16" s="92">
        <f t="shared" si="7"/>
        <v>0.69021597115987132</v>
      </c>
      <c r="AD16" s="92">
        <f t="shared" si="7"/>
        <v>0.69139932090135603</v>
      </c>
      <c r="AE16" s="92">
        <f t="shared" si="7"/>
        <v>0.6919677483320037</v>
      </c>
      <c r="AF16" s="92">
        <f t="shared" si="7"/>
        <v>0.68019521751361633</v>
      </c>
      <c r="AG16" s="92">
        <f t="shared" si="7"/>
        <v>0.6581342767356918</v>
      </c>
      <c r="AH16" s="92">
        <f t="shared" si="7"/>
        <v>0.64331475669801397</v>
      </c>
      <c r="AI16" s="92">
        <f t="shared" si="7"/>
        <v>0.68069524040355556</v>
      </c>
      <c r="AJ16" s="92">
        <f t="shared" si="7"/>
        <v>0.66329643354438494</v>
      </c>
      <c r="AK16" s="92">
        <f t="shared" si="7"/>
        <v>0.65556686833715039</v>
      </c>
      <c r="AL16" s="92">
        <f t="shared" si="7"/>
        <v>0.63627636268435439</v>
      </c>
      <c r="AM16" s="92">
        <f t="shared" si="7"/>
        <v>0.69471467348741189</v>
      </c>
      <c r="AN16" s="92">
        <f t="shared" si="7"/>
        <v>0.66338980111243873</v>
      </c>
      <c r="AO16" s="92">
        <f t="shared" si="7"/>
        <v>0.66892913138824717</v>
      </c>
      <c r="AP16" s="92">
        <f t="shared" si="7"/>
        <v>0.64204319716659541</v>
      </c>
      <c r="AQ16" s="92">
        <f t="shared" si="7"/>
        <v>0.69678329972308384</v>
      </c>
      <c r="AR16" s="92">
        <f t="shared" si="7"/>
        <v>0.6647299127411268</v>
      </c>
      <c r="AS16" s="92">
        <f t="shared" si="7"/>
        <v>0.6583209052193395</v>
      </c>
      <c r="AT16" s="92">
        <f t="shared" si="7"/>
        <v>0.63108240474931665</v>
      </c>
      <c r="AU16" s="92">
        <f t="shared" si="7"/>
        <v>0.67833669612907566</v>
      </c>
      <c r="AW16" s="92">
        <f t="shared" ref="AW16:AX19" si="8">AW8/AW$12</f>
        <v>0.70536330590421203</v>
      </c>
      <c r="AX16" s="92">
        <f t="shared" si="8"/>
        <v>0.73898035050451405</v>
      </c>
    </row>
    <row r="17" spans="2:50" ht="13">
      <c r="B17" s="1" t="s">
        <v>313</v>
      </c>
      <c r="C17" s="92">
        <f t="shared" ref="C17:M17" si="9">C9/C$12</f>
        <v>0.1311698321012145</v>
      </c>
      <c r="D17" s="92">
        <f t="shared" si="9"/>
        <v>0.12967499195581483</v>
      </c>
      <c r="E17" s="92">
        <f t="shared" si="9"/>
        <v>0.12106599304889119</v>
      </c>
      <c r="F17" s="92">
        <f t="shared" si="9"/>
        <v>0.1218913829062041</v>
      </c>
      <c r="G17" s="92">
        <f t="shared" si="9"/>
        <v>0.11147735865225304</v>
      </c>
      <c r="H17" s="92">
        <f t="shared" si="9"/>
        <v>0.11286394964706001</v>
      </c>
      <c r="I17" s="92">
        <f t="shared" si="9"/>
        <v>0.13028877179237675</v>
      </c>
      <c r="J17" s="92">
        <f t="shared" si="9"/>
        <v>0.13202456018555767</v>
      </c>
      <c r="K17" s="92">
        <f t="shared" si="9"/>
        <v>0.12686562966764911</v>
      </c>
      <c r="L17" s="92">
        <f t="shared" si="9"/>
        <v>0.12641534899176413</v>
      </c>
      <c r="M17" s="92">
        <f t="shared" si="9"/>
        <v>0.12549720389392766</v>
      </c>
      <c r="N17" s="92"/>
      <c r="O17" s="92">
        <f t="shared" ref="O17:AU17" si="10">O9/O$12</f>
        <v>0.12544563231601957</v>
      </c>
      <c r="P17" s="92">
        <f t="shared" si="10"/>
        <v>0.10406006140463092</v>
      </c>
      <c r="Q17" s="92">
        <f t="shared" si="10"/>
        <v>0.12407396242795474</v>
      </c>
      <c r="R17" s="92">
        <f t="shared" si="10"/>
        <v>0.13217086085820828</v>
      </c>
      <c r="S17" s="92">
        <f t="shared" si="10"/>
        <v>0.12820762038387246</v>
      </c>
      <c r="T17" s="92">
        <f t="shared" si="10"/>
        <v>0.10366965152409988</v>
      </c>
      <c r="U17" s="92">
        <f t="shared" si="10"/>
        <v>0.12719404173839161</v>
      </c>
      <c r="V17" s="92">
        <f t="shared" si="10"/>
        <v>0.12935691688143816</v>
      </c>
      <c r="W17" s="92">
        <f t="shared" si="10"/>
        <v>0.12047800380799681</v>
      </c>
      <c r="X17" s="92">
        <f t="shared" si="10"/>
        <v>0.10392753863204962</v>
      </c>
      <c r="Y17" s="92">
        <f t="shared" si="10"/>
        <v>0.10851603086553498</v>
      </c>
      <c r="Z17" s="92">
        <f t="shared" si="10"/>
        <v>0.1140752202137143</v>
      </c>
      <c r="AA17" s="92">
        <f t="shared" si="10"/>
        <v>0.10729314071221674</v>
      </c>
      <c r="AB17" s="92">
        <f t="shared" si="10"/>
        <v>0.1000899248246441</v>
      </c>
      <c r="AC17" s="92">
        <f t="shared" si="10"/>
        <v>0.1185743315752221</v>
      </c>
      <c r="AD17" s="92">
        <f t="shared" si="10"/>
        <v>0.12436487177174467</v>
      </c>
      <c r="AE17" s="92">
        <f t="shared" si="10"/>
        <v>0.12685254905287205</v>
      </c>
      <c r="AF17" s="92">
        <f t="shared" si="10"/>
        <v>0.12309457195799017</v>
      </c>
      <c r="AG17" s="92">
        <f t="shared" si="10"/>
        <v>0.12914413368836733</v>
      </c>
      <c r="AH17" s="92">
        <f t="shared" si="10"/>
        <v>0.1414686996885664</v>
      </c>
      <c r="AI17" s="92">
        <f t="shared" si="10"/>
        <v>0.12277709311478152</v>
      </c>
      <c r="AJ17" s="92">
        <f t="shared" si="10"/>
        <v>0.12957925226230393</v>
      </c>
      <c r="AK17" s="92">
        <f t="shared" si="10"/>
        <v>0.13358074136521367</v>
      </c>
      <c r="AL17" s="92">
        <f t="shared" si="10"/>
        <v>0.14241266506468436</v>
      </c>
      <c r="AM17" s="92">
        <f t="shared" si="10"/>
        <v>0.11438414799581066</v>
      </c>
      <c r="AN17" s="92">
        <f t="shared" si="10"/>
        <v>0.12529999780779233</v>
      </c>
      <c r="AO17" s="92">
        <f t="shared" si="10"/>
        <v>0.12706719875383013</v>
      </c>
      <c r="AP17" s="92">
        <f t="shared" si="10"/>
        <v>0.14143755420683854</v>
      </c>
      <c r="AQ17" s="92">
        <f t="shared" si="10"/>
        <v>0.10969622461241285</v>
      </c>
      <c r="AR17" s="92">
        <f t="shared" si="10"/>
        <v>0.13138505733868189</v>
      </c>
      <c r="AS17" s="92">
        <f t="shared" si="10"/>
        <v>0.12651408826749419</v>
      </c>
      <c r="AT17" s="92">
        <f t="shared" si="10"/>
        <v>0.13916839311059537</v>
      </c>
      <c r="AU17" s="92">
        <f t="shared" si="10"/>
        <v>0.10741547191233583</v>
      </c>
      <c r="AW17" s="92">
        <f t="shared" si="8"/>
        <v>0.12725498444796626</v>
      </c>
      <c r="AX17" s="92">
        <f t="shared" si="8"/>
        <v>0.10488582049920341</v>
      </c>
    </row>
    <row r="18" spans="2:50" ht="13">
      <c r="B18" s="1" t="s">
        <v>314</v>
      </c>
      <c r="C18" s="92">
        <f t="shared" ref="C18:M18" si="11">C10/C$12</f>
        <v>9.286178218915557E-2</v>
      </c>
      <c r="D18" s="92">
        <f t="shared" si="11"/>
        <v>0.10502835485577444</v>
      </c>
      <c r="E18" s="92">
        <f t="shared" si="11"/>
        <v>0.13279035586576235</v>
      </c>
      <c r="F18" s="92">
        <f t="shared" si="11"/>
        <v>0.14804208712576586</v>
      </c>
      <c r="G18" s="92">
        <f t="shared" si="11"/>
        <v>0.14929913157223687</v>
      </c>
      <c r="H18" s="92">
        <f t="shared" si="11"/>
        <v>0.14520502570392407</v>
      </c>
      <c r="I18" s="92">
        <f t="shared" si="11"/>
        <v>0.16095467758215914</v>
      </c>
      <c r="J18" s="92">
        <f t="shared" si="11"/>
        <v>0.17973082285918909</v>
      </c>
      <c r="K18" s="92">
        <f t="shared" si="11"/>
        <v>0.18085306274044888</v>
      </c>
      <c r="L18" s="92">
        <f t="shared" si="11"/>
        <v>0.17798554589656432</v>
      </c>
      <c r="M18" s="92">
        <f t="shared" si="11"/>
        <v>0.18025411973075417</v>
      </c>
      <c r="N18" s="92"/>
      <c r="O18" s="92">
        <f t="shared" ref="O18:AU18" si="12">O10/O$12</f>
        <v>0.13013995090039154</v>
      </c>
      <c r="P18" s="92">
        <f t="shared" si="12"/>
        <v>0.11983662927395201</v>
      </c>
      <c r="Q18" s="92">
        <f t="shared" si="12"/>
        <v>0.13666469722912192</v>
      </c>
      <c r="R18" s="92">
        <f t="shared" si="12"/>
        <v>0.14541858709848379</v>
      </c>
      <c r="S18" s="92">
        <f t="shared" si="12"/>
        <v>0.14974793408511358</v>
      </c>
      <c r="T18" s="92">
        <f t="shared" si="12"/>
        <v>0.14096132821541082</v>
      </c>
      <c r="U18" s="92">
        <f t="shared" si="12"/>
        <v>0.13683930375005213</v>
      </c>
      <c r="V18" s="92">
        <f t="shared" si="12"/>
        <v>0.16441635902112831</v>
      </c>
      <c r="W18" s="92">
        <f t="shared" si="12"/>
        <v>0.15543418957588717</v>
      </c>
      <c r="X18" s="92">
        <f t="shared" si="12"/>
        <v>0.15057361329830343</v>
      </c>
      <c r="Y18" s="92">
        <f t="shared" si="12"/>
        <v>0.13583724277965836</v>
      </c>
      <c r="Z18" s="92">
        <f t="shared" si="12"/>
        <v>0.15578210721845434</v>
      </c>
      <c r="AA18" s="92">
        <f t="shared" si="12"/>
        <v>0.15139640067226079</v>
      </c>
      <c r="AB18" s="92">
        <f t="shared" si="12"/>
        <v>0.14134849289788615</v>
      </c>
      <c r="AC18" s="92">
        <f t="shared" si="12"/>
        <v>0.13740743277697867</v>
      </c>
      <c r="AD18" s="92">
        <f t="shared" si="12"/>
        <v>0.15075205383181497</v>
      </c>
      <c r="AE18" s="92">
        <f t="shared" si="12"/>
        <v>0.14643594909421809</v>
      </c>
      <c r="AF18" s="92">
        <f t="shared" si="12"/>
        <v>0.15971227952517403</v>
      </c>
      <c r="AG18" s="92">
        <f t="shared" si="12"/>
        <v>0.16266813108746878</v>
      </c>
      <c r="AH18" s="92">
        <f t="shared" si="12"/>
        <v>0.1739610388671097</v>
      </c>
      <c r="AI18" s="92">
        <f t="shared" si="12"/>
        <v>0.1673781284515502</v>
      </c>
      <c r="AJ18" s="92">
        <f t="shared" si="12"/>
        <v>0.17724272585322981</v>
      </c>
      <c r="AK18" s="92">
        <f t="shared" si="12"/>
        <v>0.18261998184673783</v>
      </c>
      <c r="AL18" s="92">
        <f t="shared" si="12"/>
        <v>0.19205880475748915</v>
      </c>
      <c r="AM18" s="92">
        <f t="shared" si="12"/>
        <v>0.1687751585055694</v>
      </c>
      <c r="AN18" s="92">
        <f t="shared" si="12"/>
        <v>0.18806503911732794</v>
      </c>
      <c r="AO18" s="92">
        <f t="shared" si="12"/>
        <v>0.178258606724886</v>
      </c>
      <c r="AP18" s="92">
        <f t="shared" si="12"/>
        <v>0.18904882740658968</v>
      </c>
      <c r="AQ18" s="92">
        <f t="shared" si="12"/>
        <v>0.16992538698026213</v>
      </c>
      <c r="AR18" s="92">
        <f t="shared" si="12"/>
        <v>0.18342270500616259</v>
      </c>
      <c r="AS18" s="92">
        <f t="shared" si="12"/>
        <v>0.17204808054750578</v>
      </c>
      <c r="AT18" s="92">
        <f t="shared" si="12"/>
        <v>0.1872763907685569</v>
      </c>
      <c r="AU18" s="92">
        <f t="shared" si="12"/>
        <v>0.17871015070811894</v>
      </c>
      <c r="AW18" s="92">
        <f t="shared" si="8"/>
        <v>0.15095717841501019</v>
      </c>
      <c r="AX18" s="92">
        <f t="shared" si="8"/>
        <v>0.13993627190653213</v>
      </c>
    </row>
    <row r="19" spans="2:50" ht="13">
      <c r="B19" s="1" t="s">
        <v>315</v>
      </c>
      <c r="C19" s="92">
        <f t="shared" ref="C19:M19" si="13">C11/C$12</f>
        <v>1.1504626783449044E-2</v>
      </c>
      <c r="D19" s="92">
        <f t="shared" si="13"/>
        <v>1.1075644618375532E-2</v>
      </c>
      <c r="E19" s="92">
        <f t="shared" si="13"/>
        <v>1.4488225518569074E-2</v>
      </c>
      <c r="F19" s="92">
        <f t="shared" si="13"/>
        <v>1.8632488244774315E-2</v>
      </c>
      <c r="G19" s="92">
        <f t="shared" si="13"/>
        <v>2.7905088953872864E-2</v>
      </c>
      <c r="H19" s="92">
        <f t="shared" si="13"/>
        <v>3.8995893933772958E-2</v>
      </c>
      <c r="I19" s="92">
        <f t="shared" si="13"/>
        <v>4.0881820985481557E-2</v>
      </c>
      <c r="J19" s="92">
        <f t="shared" si="13"/>
        <v>2.9129806337843792E-2</v>
      </c>
      <c r="K19" s="92">
        <f t="shared" si="13"/>
        <v>2.4613346583085442E-2</v>
      </c>
      <c r="L19" s="92">
        <f t="shared" si="13"/>
        <v>3.2425471142461901E-2</v>
      </c>
      <c r="M19" s="92">
        <f t="shared" si="13"/>
        <v>3.5546741607685416E-2</v>
      </c>
      <c r="N19" s="92"/>
      <c r="O19" s="92">
        <f t="shared" ref="O19:AU19" si="14">O11/O$12</f>
        <v>1.5206956241946288E-2</v>
      </c>
      <c r="P19" s="92">
        <f t="shared" si="14"/>
        <v>1.7232281102636606E-2</v>
      </c>
      <c r="Q19" s="92">
        <f t="shared" si="14"/>
        <v>1.4210697663202059E-2</v>
      </c>
      <c r="R19" s="92">
        <f t="shared" si="14"/>
        <v>1.112982907762488E-2</v>
      </c>
      <c r="S19" s="92">
        <f t="shared" si="14"/>
        <v>1.6515095183989189E-2</v>
      </c>
      <c r="T19" s="92">
        <f t="shared" si="14"/>
        <v>1.6083068839534635E-2</v>
      </c>
      <c r="U19" s="92">
        <f t="shared" si="14"/>
        <v>2.1532736100426018E-2</v>
      </c>
      <c r="V19" s="92">
        <f t="shared" si="14"/>
        <v>2.0312435035359674E-2</v>
      </c>
      <c r="W19" s="92">
        <f t="shared" si="14"/>
        <v>2.2581866363808444E-2</v>
      </c>
      <c r="X19" s="92">
        <f t="shared" si="14"/>
        <v>1.8807676138529548E-2</v>
      </c>
      <c r="Y19" s="92">
        <f t="shared" si="14"/>
        <v>3.8511767426966929E-2</v>
      </c>
      <c r="Z19" s="92">
        <f t="shared" si="14"/>
        <v>3.1906345846472839E-2</v>
      </c>
      <c r="AA19" s="92">
        <f t="shared" si="14"/>
        <v>3.3087664409519414E-2</v>
      </c>
      <c r="AB19" s="92">
        <f t="shared" si="14"/>
        <v>3.5660610430281056E-2</v>
      </c>
      <c r="AC19" s="92">
        <f t="shared" si="14"/>
        <v>5.3802264487927881E-2</v>
      </c>
      <c r="AD19" s="92">
        <f t="shared" si="14"/>
        <v>3.3483753495084326E-2</v>
      </c>
      <c r="AE19" s="92">
        <f t="shared" si="14"/>
        <v>3.4743753520906279E-2</v>
      </c>
      <c r="AF19" s="92">
        <f t="shared" si="14"/>
        <v>3.6997931003219416E-2</v>
      </c>
      <c r="AG19" s="92">
        <f t="shared" si="14"/>
        <v>5.0053458488471994E-2</v>
      </c>
      <c r="AH19" s="92">
        <f t="shared" si="14"/>
        <v>4.1255504746310005E-2</v>
      </c>
      <c r="AI19" s="92">
        <f t="shared" si="14"/>
        <v>2.914953803011271E-2</v>
      </c>
      <c r="AJ19" s="92">
        <f t="shared" si="14"/>
        <v>2.9881588340081248E-2</v>
      </c>
      <c r="AK19" s="92">
        <f t="shared" si="14"/>
        <v>2.8232408450898E-2</v>
      </c>
      <c r="AL19" s="92">
        <f t="shared" si="14"/>
        <v>2.9252167493472207E-2</v>
      </c>
      <c r="AM19" s="92">
        <f t="shared" si="14"/>
        <v>2.2126020011207916E-2</v>
      </c>
      <c r="AN19" s="92">
        <f t="shared" si="14"/>
        <v>2.3245161962441085E-2</v>
      </c>
      <c r="AO19" s="92">
        <f t="shared" si="14"/>
        <v>2.5745063133036556E-2</v>
      </c>
      <c r="AP19" s="92">
        <f t="shared" si="14"/>
        <v>2.7470421219976466E-2</v>
      </c>
      <c r="AQ19" s="92">
        <f t="shared" si="14"/>
        <v>2.3595088684241098E-2</v>
      </c>
      <c r="AR19" s="92">
        <f t="shared" si="14"/>
        <v>2.0462324914028857E-2</v>
      </c>
      <c r="AS19" s="92">
        <f t="shared" si="14"/>
        <v>4.3116925965660399E-2</v>
      </c>
      <c r="AT19" s="92">
        <f t="shared" si="14"/>
        <v>4.2472811371531055E-2</v>
      </c>
      <c r="AU19" s="92">
        <f t="shared" si="14"/>
        <v>3.5537681250469765E-2</v>
      </c>
      <c r="AW19" s="92">
        <f t="shared" si="8"/>
        <v>1.6424531232811467E-2</v>
      </c>
      <c r="AX19" s="92">
        <f t="shared" si="8"/>
        <v>1.6197557089750399E-2</v>
      </c>
    </row>
    <row r="20" spans="2:50" ht="13">
      <c r="B20" s="5" t="s">
        <v>316</v>
      </c>
      <c r="C20" s="149">
        <f t="shared" ref="C20:M20" si="15">SUM(C16:C19)</f>
        <v>0.99999999999999989</v>
      </c>
      <c r="D20" s="149">
        <f t="shared" si="15"/>
        <v>1</v>
      </c>
      <c r="E20" s="149">
        <f t="shared" si="15"/>
        <v>1</v>
      </c>
      <c r="F20" s="149">
        <f t="shared" si="15"/>
        <v>0.99999999999999978</v>
      </c>
      <c r="G20" s="149">
        <f t="shared" si="15"/>
        <v>1</v>
      </c>
      <c r="H20" s="149">
        <f t="shared" si="15"/>
        <v>1</v>
      </c>
      <c r="I20" s="149">
        <f t="shared" si="15"/>
        <v>0.99999999999999978</v>
      </c>
      <c r="J20" s="149">
        <f t="shared" si="15"/>
        <v>0.99999999999999989</v>
      </c>
      <c r="K20" s="149">
        <f>SUM(K16:K19)</f>
        <v>1</v>
      </c>
      <c r="L20" s="149">
        <f>SUM(L16:L19)</f>
        <v>1.0000000000000002</v>
      </c>
      <c r="M20" s="149">
        <f t="shared" si="15"/>
        <v>1</v>
      </c>
      <c r="N20" s="149"/>
      <c r="O20" s="149">
        <f t="shared" ref="O20:V20" si="16">SUM(O16:O19)</f>
        <v>1</v>
      </c>
      <c r="P20" s="149">
        <f t="shared" si="16"/>
        <v>1</v>
      </c>
      <c r="Q20" s="149">
        <f t="shared" si="16"/>
        <v>1.0000000000000002</v>
      </c>
      <c r="R20" s="149">
        <f t="shared" si="16"/>
        <v>0.99999999999999989</v>
      </c>
      <c r="S20" s="149">
        <f t="shared" si="16"/>
        <v>1</v>
      </c>
      <c r="T20" s="149">
        <f t="shared" si="16"/>
        <v>1</v>
      </c>
      <c r="U20" s="149">
        <f t="shared" si="16"/>
        <v>1</v>
      </c>
      <c r="V20" s="149">
        <f t="shared" si="16"/>
        <v>1</v>
      </c>
      <c r="W20" s="149">
        <f t="shared" ref="W20:AC20" si="17">SUM(W16:W19)</f>
        <v>1.0000000000000002</v>
      </c>
      <c r="X20" s="149">
        <f t="shared" si="17"/>
        <v>1</v>
      </c>
      <c r="Y20" s="149">
        <f t="shared" si="17"/>
        <v>1</v>
      </c>
      <c r="Z20" s="149">
        <f t="shared" si="17"/>
        <v>1</v>
      </c>
      <c r="AA20" s="149">
        <f t="shared" si="17"/>
        <v>0.99999999999999989</v>
      </c>
      <c r="AB20" s="149">
        <f t="shared" si="17"/>
        <v>1</v>
      </c>
      <c r="AC20" s="149">
        <f t="shared" si="17"/>
        <v>1</v>
      </c>
      <c r="AD20" s="149">
        <f t="shared" ref="AD20:AI20" si="18">SUM(AD16:AD19)</f>
        <v>1</v>
      </c>
      <c r="AE20" s="149">
        <f t="shared" si="18"/>
        <v>1</v>
      </c>
      <c r="AF20" s="149">
        <f t="shared" si="18"/>
        <v>0.99999999999999989</v>
      </c>
      <c r="AG20" s="149">
        <f t="shared" si="18"/>
        <v>0.99999999999999989</v>
      </c>
      <c r="AH20" s="149">
        <f t="shared" si="18"/>
        <v>1</v>
      </c>
      <c r="AI20" s="149">
        <f t="shared" si="18"/>
        <v>1</v>
      </c>
      <c r="AJ20" s="149">
        <f t="shared" ref="AJ20:AO20" si="19">SUM(AJ16:AJ19)</f>
        <v>0.99999999999999989</v>
      </c>
      <c r="AK20" s="149">
        <f t="shared" si="19"/>
        <v>1</v>
      </c>
      <c r="AL20" s="149">
        <f t="shared" si="19"/>
        <v>1.0000000000000002</v>
      </c>
      <c r="AM20" s="149">
        <f t="shared" si="19"/>
        <v>0.99999999999999978</v>
      </c>
      <c r="AN20" s="149">
        <f t="shared" si="19"/>
        <v>1</v>
      </c>
      <c r="AO20" s="149">
        <f t="shared" si="19"/>
        <v>0.99999999999999989</v>
      </c>
      <c r="AP20" s="149">
        <f t="shared" ref="AP20:AU20" si="20">SUM(AP16:AP19)</f>
        <v>1.0000000000000002</v>
      </c>
      <c r="AQ20" s="149">
        <f t="shared" si="20"/>
        <v>1</v>
      </c>
      <c r="AR20" s="149">
        <f t="shared" si="20"/>
        <v>1</v>
      </c>
      <c r="AS20" s="149">
        <f t="shared" si="20"/>
        <v>0.99999999999999989</v>
      </c>
      <c r="AT20" s="149">
        <f t="shared" si="20"/>
        <v>0.99999999999999989</v>
      </c>
      <c r="AU20" s="149">
        <f t="shared" si="20"/>
        <v>1.0000000000000002</v>
      </c>
      <c r="AW20" s="149">
        <f>SUM(AW16:AW19)</f>
        <v>1</v>
      </c>
      <c r="AX20" s="149">
        <f>SUM(AX16:AX19)</f>
        <v>0.99999999999999989</v>
      </c>
    </row>
    <row r="21" spans="2:50" ht="13">
      <c r="B21" s="1"/>
    </row>
    <row r="22" spans="2:50" ht="13">
      <c r="B22" s="5" t="s">
        <v>318</v>
      </c>
    </row>
    <row r="23" spans="2:50" ht="13">
      <c r="B23" s="1" t="s">
        <v>312</v>
      </c>
      <c r="C23" s="150"/>
      <c r="D23" s="92">
        <f t="shared" ref="D23:L23" si="21">D8/C8-1</f>
        <v>-4.1131253852180749E-2</v>
      </c>
      <c r="E23" s="92">
        <f t="shared" si="21"/>
        <v>-5.621118216300669E-2</v>
      </c>
      <c r="F23" s="92">
        <f t="shared" si="21"/>
        <v>2.9267319007244552E-2</v>
      </c>
      <c r="G23" s="92">
        <f t="shared" si="21"/>
        <v>6.9901460207540067E-2</v>
      </c>
      <c r="H23" s="92">
        <f t="shared" si="21"/>
        <v>1.9924146441492319E-2</v>
      </c>
      <c r="I23" s="92">
        <f t="shared" si="21"/>
        <v>0.12231920350586667</v>
      </c>
      <c r="J23" s="92">
        <f t="shared" si="21"/>
        <v>3.186428988262513E-2</v>
      </c>
      <c r="K23" s="92">
        <f t="shared" si="21"/>
        <v>8.5625656555855079E-2</v>
      </c>
      <c r="L23" s="92">
        <f t="shared" si="21"/>
        <v>4.4654848298193217E-2</v>
      </c>
      <c r="M23" s="289"/>
      <c r="N23" s="92"/>
      <c r="O23" s="150"/>
      <c r="P23" s="150"/>
      <c r="Q23" s="150"/>
      <c r="R23" s="150"/>
      <c r="S23" s="92">
        <f t="shared" ref="S23:AD27" si="22">S8/O8-1</f>
        <v>4.0119680196593066E-3</v>
      </c>
      <c r="T23" s="92">
        <f t="shared" si="22"/>
        <v>-8.5340847493842187E-4</v>
      </c>
      <c r="U23" s="92">
        <f t="shared" si="22"/>
        <v>6.1366491854913718E-2</v>
      </c>
      <c r="V23" s="92">
        <f t="shared" si="22"/>
        <v>5.6388621733900024E-2</v>
      </c>
      <c r="W23" s="92">
        <f t="shared" si="22"/>
        <v>6.4956786753233908E-2</v>
      </c>
      <c r="X23" s="92">
        <f t="shared" si="22"/>
        <v>7.8576641287380511E-2</v>
      </c>
      <c r="Y23" s="92">
        <f t="shared" si="22"/>
        <v>8.5195953081568465E-2</v>
      </c>
      <c r="Z23" s="92">
        <f t="shared" si="22"/>
        <v>4.9748010693604794E-2</v>
      </c>
      <c r="AA23" s="92">
        <f t="shared" si="22"/>
        <v>2.4349653468607402E-2</v>
      </c>
      <c r="AB23" s="92">
        <f t="shared" si="22"/>
        <v>-2.3804884297966566E-2</v>
      </c>
      <c r="AC23" s="92">
        <f t="shared" si="22"/>
        <v>-1.7941421820861225E-2</v>
      </c>
      <c r="AD23" s="92">
        <f t="shared" si="22"/>
        <v>0.10371158613154319</v>
      </c>
      <c r="AE23" s="92">
        <f>$AE8/$AA8-1</f>
        <v>0.20715426255151104</v>
      </c>
      <c r="AF23" s="92">
        <f t="shared" ref="AF23:AU27" si="23">AF8/AB8-1</f>
        <v>8.3013051741089861E-2</v>
      </c>
      <c r="AG23" s="92">
        <f t="shared" si="23"/>
        <v>0.1536683396768046</v>
      </c>
      <c r="AH23" s="92">
        <f t="shared" si="23"/>
        <v>5.7610676019484774E-2</v>
      </c>
      <c r="AI23" s="92">
        <f t="shared" si="23"/>
        <v>0.10671137429093402</v>
      </c>
      <c r="AJ23" s="92">
        <f t="shared" si="23"/>
        <v>1.3630084655503971E-2</v>
      </c>
      <c r="AK23" s="92">
        <f t="shared" si="23"/>
        <v>1.908101450208699E-3</v>
      </c>
      <c r="AL23" s="92">
        <f t="shared" si="23"/>
        <v>5.5130655445452259E-3</v>
      </c>
      <c r="AM23" s="92">
        <f t="shared" si="23"/>
        <v>9.9574748911645861E-2</v>
      </c>
      <c r="AN23" s="92">
        <f t="shared" si="23"/>
        <v>7.5745230512138884E-2</v>
      </c>
      <c r="AO23" s="92">
        <f t="shared" si="23"/>
        <v>0.10801882907523153</v>
      </c>
      <c r="AP23" s="92">
        <f t="shared" si="23"/>
        <v>5.7794540034814323E-2</v>
      </c>
      <c r="AQ23" s="92">
        <f t="shared" si="23"/>
        <v>5.9652475951941231E-2</v>
      </c>
      <c r="AR23" s="92">
        <f t="shared" si="23"/>
        <v>2.8026131129985199E-2</v>
      </c>
      <c r="AS23" s="92">
        <f t="shared" si="23"/>
        <v>4.9073886199599626E-2</v>
      </c>
      <c r="AT23" s="92">
        <f t="shared" si="23"/>
        <v>4.0001171770714494E-2</v>
      </c>
      <c r="AU23" s="92">
        <f t="shared" si="23"/>
        <v>3.9861019726200375E-2</v>
      </c>
      <c r="AW23" s="92">
        <f t="shared" ref="AW23:AX27" si="24">AW8/O8-1</f>
        <v>-9.7486240680744185E-3</v>
      </c>
      <c r="AX23" s="92">
        <f t="shared" si="24"/>
        <v>1.108377426710061E-2</v>
      </c>
    </row>
    <row r="24" spans="2:50" ht="13">
      <c r="B24" s="1" t="s">
        <v>313</v>
      </c>
      <c r="C24" s="150"/>
      <c r="D24" s="92">
        <f t="shared" ref="D24:L24" si="25">D9/C9-1</f>
        <v>-3.9185150487375253E-2</v>
      </c>
      <c r="E24" s="92">
        <f t="shared" si="25"/>
        <v>-9.1692721447188541E-2</v>
      </c>
      <c r="F24" s="92">
        <f t="shared" si="25"/>
        <v>6.5739283645050328E-2</v>
      </c>
      <c r="G24" s="92">
        <f t="shared" si="25"/>
        <v>-2.1348576027970134E-2</v>
      </c>
      <c r="H24" s="92">
        <f t="shared" si="25"/>
        <v>4.4925325009112393E-2</v>
      </c>
      <c r="I24" s="92">
        <f t="shared" si="25"/>
        <v>0.36360434734484826</v>
      </c>
      <c r="J24" s="92">
        <f t="shared" si="25"/>
        <v>5.9508055589718278E-2</v>
      </c>
      <c r="K24" s="92">
        <f t="shared" si="25"/>
        <v>2.9840299203933718E-2</v>
      </c>
      <c r="L24" s="92">
        <f t="shared" si="25"/>
        <v>4.8001581016381634E-2</v>
      </c>
      <c r="M24" s="289"/>
      <c r="N24" s="92"/>
      <c r="O24" s="150"/>
      <c r="P24" s="150"/>
      <c r="Q24" s="150"/>
      <c r="R24" s="150"/>
      <c r="S24" s="92">
        <f t="shared" si="22"/>
        <v>6.0555015710318516E-2</v>
      </c>
      <c r="T24" s="92">
        <f t="shared" si="22"/>
        <v>2.1767986540728979E-2</v>
      </c>
      <c r="U24" s="92">
        <f t="shared" si="22"/>
        <v>0.10422548214519956</v>
      </c>
      <c r="V24" s="92">
        <f t="shared" si="22"/>
        <v>7.2133436564375764E-2</v>
      </c>
      <c r="W24" s="92">
        <f t="shared" si="22"/>
        <v>6.4904108888210743E-3</v>
      </c>
      <c r="X24" s="92">
        <f t="shared" si="22"/>
        <v>9.999974069819606E-2</v>
      </c>
      <c r="Y24" s="92">
        <f t="shared" si="22"/>
        <v>-7.7648477327682874E-2</v>
      </c>
      <c r="Z24" s="92">
        <f t="shared" si="22"/>
        <v>-9.0601715609542777E-2</v>
      </c>
      <c r="AA24" s="92">
        <f t="shared" si="22"/>
        <v>-9.6404888981308279E-2</v>
      </c>
      <c r="AB24" s="92">
        <f t="shared" si="22"/>
        <v>-5.4922492315235605E-2</v>
      </c>
      <c r="AC24" s="92">
        <f t="shared" si="22"/>
        <v>0.1149363320181489</v>
      </c>
      <c r="AD24" s="92">
        <f t="shared" si="22"/>
        <v>0.21516570274488211</v>
      </c>
      <c r="AE24" s="92">
        <f>$AE9/$AA9-1</f>
        <v>0.46074382806806713</v>
      </c>
      <c r="AF24" s="92">
        <f t="shared" si="23"/>
        <v>0.41555733480994839</v>
      </c>
      <c r="AG24" s="92">
        <f t="shared" si="23"/>
        <v>0.31775740926168372</v>
      </c>
      <c r="AH24" s="92">
        <f t="shared" si="23"/>
        <v>0.29298622023449794</v>
      </c>
      <c r="AI24" s="92">
        <f t="shared" si="23"/>
        <v>8.8894140300205704E-2</v>
      </c>
      <c r="AJ24" s="92">
        <f t="shared" si="23"/>
        <v>9.4213253782679418E-2</v>
      </c>
      <c r="AK24" s="92">
        <f t="shared" si="23"/>
        <v>4.0386164077518494E-2</v>
      </c>
      <c r="AL24" s="92">
        <f t="shared" si="23"/>
        <v>2.3419515045281836E-2</v>
      </c>
      <c r="AM24" s="92">
        <f t="shared" si="23"/>
        <v>3.7359860334567063E-3</v>
      </c>
      <c r="AN24" s="92">
        <f t="shared" si="23"/>
        <v>4.0073173598888401E-2</v>
      </c>
      <c r="AO24" s="92">
        <f t="shared" si="23"/>
        <v>3.2936524037966208E-2</v>
      </c>
      <c r="AP24" s="92">
        <f t="shared" si="23"/>
        <v>4.1115676823672453E-2</v>
      </c>
      <c r="AQ24" s="92">
        <f t="shared" si="23"/>
        <v>1.3206658744166377E-2</v>
      </c>
      <c r="AR24" s="92">
        <f t="shared" si="23"/>
        <v>7.5777938111767584E-2</v>
      </c>
      <c r="AS24" s="92">
        <f t="shared" si="23"/>
        <v>6.1338635378156203E-2</v>
      </c>
      <c r="AT24" s="92">
        <f t="shared" si="23"/>
        <v>4.1089054617240217E-2</v>
      </c>
      <c r="AU24" s="92">
        <f t="shared" si="23"/>
        <v>4.5930625897051547E-2</v>
      </c>
      <c r="AW24" s="92">
        <f t="shared" si="24"/>
        <v>3.8491513468453586E-2</v>
      </c>
      <c r="AX24" s="92">
        <f t="shared" si="24"/>
        <v>4.6537814458118776E-2</v>
      </c>
    </row>
    <row r="25" spans="2:50" ht="13">
      <c r="B25" s="1" t="s">
        <v>314</v>
      </c>
      <c r="C25" s="150"/>
      <c r="D25" s="92">
        <f t="shared" ref="D25:L25" si="26">D10/C10-1</f>
        <v>9.9225989218223454E-2</v>
      </c>
      <c r="E25" s="92">
        <f t="shared" si="26"/>
        <v>0.23006150478332565</v>
      </c>
      <c r="F25" s="92">
        <f t="shared" si="26"/>
        <v>0.18009998055933574</v>
      </c>
      <c r="G25" s="92">
        <f t="shared" si="26"/>
        <v>7.9161514699521263E-2</v>
      </c>
      <c r="H25" s="92">
        <f t="shared" si="26"/>
        <v>3.7857988057286018E-3</v>
      </c>
      <c r="I25" s="92">
        <f t="shared" si="26"/>
        <v>0.30935854169029309</v>
      </c>
      <c r="J25" s="92">
        <f t="shared" si="26"/>
        <v>0.16754998863423287</v>
      </c>
      <c r="K25" s="92">
        <f t="shared" si="26"/>
        <v>7.8410077945938017E-2</v>
      </c>
      <c r="L25" s="92">
        <f t="shared" si="26"/>
        <v>3.5058690757414857E-2</v>
      </c>
      <c r="M25" s="289"/>
      <c r="N25" s="92"/>
      <c r="O25" s="150"/>
      <c r="P25" s="150"/>
      <c r="Q25" s="150"/>
      <c r="R25" s="150"/>
      <c r="S25" s="92">
        <f t="shared" si="22"/>
        <v>0.19405713687984227</v>
      </c>
      <c r="T25" s="92">
        <f t="shared" si="22"/>
        <v>0.20641055726571222</v>
      </c>
      <c r="U25" s="92">
        <f t="shared" si="22"/>
        <v>7.8514930541769834E-2</v>
      </c>
      <c r="V25" s="92">
        <f t="shared" si="22"/>
        <v>0.23856843886456214</v>
      </c>
      <c r="W25" s="92">
        <f t="shared" si="22"/>
        <v>0.11173539173387859</v>
      </c>
      <c r="X25" s="92">
        <f t="shared" si="22"/>
        <v>0.17209406990403853</v>
      </c>
      <c r="Y25" s="92">
        <f t="shared" si="22"/>
        <v>7.3191781774452513E-2</v>
      </c>
      <c r="Z25" s="92">
        <f t="shared" si="22"/>
        <v>-2.2931486334705764E-2</v>
      </c>
      <c r="AA25" s="92">
        <f t="shared" si="22"/>
        <v>-1.1723031297234288E-2</v>
      </c>
      <c r="AB25" s="92">
        <f t="shared" si="22"/>
        <v>-7.8808300440273649E-2</v>
      </c>
      <c r="AC25" s="92">
        <f t="shared" si="22"/>
        <v>3.2154359218676154E-2</v>
      </c>
      <c r="AD25" s="92">
        <f t="shared" si="22"/>
        <v>7.8635615766112776E-2</v>
      </c>
      <c r="AE25" s="92">
        <f>$AE10/$AA10-1</f>
        <v>0.19503046161763682</v>
      </c>
      <c r="AF25" s="92">
        <f t="shared" si="23"/>
        <v>0.30054699822141728</v>
      </c>
      <c r="AG25" s="92">
        <f t="shared" si="23"/>
        <v>0.4323320833864146</v>
      </c>
      <c r="AH25" s="92">
        <f t="shared" si="23"/>
        <v>0.31165619892398566</v>
      </c>
      <c r="AI25" s="92">
        <f t="shared" si="23"/>
        <v>0.28593351004142753</v>
      </c>
      <c r="AJ25" s="92">
        <f t="shared" si="23"/>
        <v>0.15354758978467942</v>
      </c>
      <c r="AK25" s="92">
        <f t="shared" si="23"/>
        <v>0.12920091159394809</v>
      </c>
      <c r="AL25" s="92">
        <f t="shared" si="23"/>
        <v>0.12240003421085821</v>
      </c>
      <c r="AM25" s="92">
        <f t="shared" si="23"/>
        <v>8.6377636692954951E-2</v>
      </c>
      <c r="AN25" s="92">
        <f t="shared" si="23"/>
        <v>0.14126881160901283</v>
      </c>
      <c r="AO25" s="92">
        <f t="shared" si="23"/>
        <v>5.9952101331483432E-2</v>
      </c>
      <c r="AP25" s="92">
        <f t="shared" si="23"/>
        <v>3.1864397451948356E-2</v>
      </c>
      <c r="AQ25" s="92">
        <f t="shared" si="23"/>
        <v>6.3706808874146148E-2</v>
      </c>
      <c r="AR25" s="92">
        <f t="shared" si="23"/>
        <v>6.2822105128534922E-4</v>
      </c>
      <c r="AS25" s="92">
        <f t="shared" si="23"/>
        <v>2.8840054494445377E-2</v>
      </c>
      <c r="AT25" s="92">
        <f t="shared" si="23"/>
        <v>4.8144231666678694E-2</v>
      </c>
      <c r="AU25" s="92">
        <f t="shared" si="23"/>
        <v>0.12335926936911656</v>
      </c>
      <c r="AW25" s="92">
        <f t="shared" si="24"/>
        <v>0.18748142706691473</v>
      </c>
      <c r="AX25" s="92">
        <f t="shared" si="24"/>
        <v>0.21244748744990316</v>
      </c>
    </row>
    <row r="26" spans="2:50" ht="13">
      <c r="B26" s="1" t="s">
        <v>315</v>
      </c>
      <c r="C26" s="150"/>
      <c r="D26" s="92">
        <f t="shared" ref="D26:L26" si="27">D11/C11-1</f>
        <v>-6.4348933074684811E-2</v>
      </c>
      <c r="E26" s="92">
        <f t="shared" si="27"/>
        <v>0.27266189380932326</v>
      </c>
      <c r="F26" s="92">
        <f t="shared" si="27"/>
        <v>0.36130612078664548</v>
      </c>
      <c r="G26" s="92">
        <f t="shared" si="27"/>
        <v>0.60260658189977567</v>
      </c>
      <c r="H26" s="92">
        <f t="shared" si="27"/>
        <v>0.44228853051195105</v>
      </c>
      <c r="I26" s="92">
        <f t="shared" si="27"/>
        <v>0.23836304390736385</v>
      </c>
      <c r="J26" s="92">
        <f t="shared" si="27"/>
        <v>-0.25498693493598124</v>
      </c>
      <c r="K26" s="92">
        <f t="shared" si="27"/>
        <v>-9.444735748369526E-2</v>
      </c>
      <c r="L26" s="92">
        <f t="shared" si="27"/>
        <v>0.38554851503555576</v>
      </c>
      <c r="M26" s="289"/>
      <c r="N26" s="92"/>
      <c r="O26" s="150"/>
      <c r="P26" s="150"/>
      <c r="Q26" s="150"/>
      <c r="R26" s="150"/>
      <c r="S26" s="92">
        <f t="shared" si="22"/>
        <v>0.12697347005208326</v>
      </c>
      <c r="T26" s="92">
        <f t="shared" si="22"/>
        <v>-4.2781946466569742E-2</v>
      </c>
      <c r="U26" s="92">
        <f t="shared" si="22"/>
        <v>0.63213270544312894</v>
      </c>
      <c r="V26" s="92">
        <f t="shared" si="22"/>
        <v>0.99925595238095255</v>
      </c>
      <c r="W26" s="92">
        <f t="shared" si="22"/>
        <v>0.46451717726066466</v>
      </c>
      <c r="X26" s="92">
        <f t="shared" si="22"/>
        <v>0.28315699744271194</v>
      </c>
      <c r="Y26" s="92">
        <f t="shared" si="22"/>
        <v>0.93358633776091127</v>
      </c>
      <c r="Z26" s="92">
        <f t="shared" si="22"/>
        <v>0.6198229570950069</v>
      </c>
      <c r="AA26" s="92">
        <f t="shared" si="22"/>
        <v>0.48667472018145075</v>
      </c>
      <c r="AB26" s="92">
        <f t="shared" si="22"/>
        <v>0.86063566497329669</v>
      </c>
      <c r="AC26" s="92">
        <f t="shared" si="22"/>
        <v>0.42547757000551134</v>
      </c>
      <c r="AD26" s="92">
        <f t="shared" si="22"/>
        <v>0.16973143293208293</v>
      </c>
      <c r="AE26" s="92">
        <f>$AE11/$AA11-1</f>
        <v>0.29735085610049339</v>
      </c>
      <c r="AF26" s="92">
        <f t="shared" si="23"/>
        <v>0.19417394165540669</v>
      </c>
      <c r="AG26" s="92">
        <f t="shared" si="23"/>
        <v>0.12560238407348412</v>
      </c>
      <c r="AH26" s="92">
        <f t="shared" si="23"/>
        <v>0.40048683305975263</v>
      </c>
      <c r="AI26" s="92">
        <f t="shared" si="23"/>
        <v>-5.6107677657269761E-2</v>
      </c>
      <c r="AJ26" s="92">
        <f t="shared" si="23"/>
        <v>-0.16047884533084733</v>
      </c>
      <c r="AK26" s="92">
        <f t="shared" si="23"/>
        <v>-0.43266544063742374</v>
      </c>
      <c r="AL26" s="92">
        <f t="shared" si="23"/>
        <v>-0.27915550101430042</v>
      </c>
      <c r="AM26" s="92">
        <f t="shared" si="23"/>
        <v>-0.18220843941281606</v>
      </c>
      <c r="AN26" s="92">
        <f t="shared" si="23"/>
        <v>-0.16328568535575383</v>
      </c>
      <c r="AO26" s="92">
        <f t="shared" si="23"/>
        <v>-9.7837243131085883E-3</v>
      </c>
      <c r="AP26" s="92">
        <f t="shared" si="23"/>
        <v>-1.5558010742601325E-2</v>
      </c>
      <c r="AQ26" s="92">
        <f t="shared" si="23"/>
        <v>0.12665386080246388</v>
      </c>
      <c r="AR26" s="92">
        <f t="shared" si="23"/>
        <v>-9.68703054581872E-2</v>
      </c>
      <c r="AS26" s="92">
        <f t="shared" si="23"/>
        <v>0.78526367595299185</v>
      </c>
      <c r="AT26" s="92">
        <f t="shared" si="23"/>
        <v>0.63590355322783343</v>
      </c>
      <c r="AU26" s="92">
        <f t="shared" si="23"/>
        <v>0.60877457284585712</v>
      </c>
      <c r="AW26" s="92">
        <f t="shared" si="24"/>
        <v>0.10569254557291674</v>
      </c>
      <c r="AX26" s="92">
        <f t="shared" si="24"/>
        <v>-2.4046845751403922E-2</v>
      </c>
    </row>
    <row r="27" spans="2:50" ht="13">
      <c r="B27" s="5" t="s">
        <v>316</v>
      </c>
      <c r="C27" s="151"/>
      <c r="D27" s="149">
        <f t="shared" ref="D27:L27" si="28">D12/C12-1</f>
        <v>-2.8109270800126041E-2</v>
      </c>
      <c r="E27" s="149">
        <f t="shared" si="28"/>
        <v>-2.7103019820125862E-2</v>
      </c>
      <c r="F27" s="149">
        <f t="shared" si="28"/>
        <v>5.852260946934229E-2</v>
      </c>
      <c r="G27" s="149">
        <f t="shared" si="28"/>
        <v>7.0075366812305306E-2</v>
      </c>
      <c r="H27" s="149">
        <f t="shared" si="28"/>
        <v>3.2087886212807337E-2</v>
      </c>
      <c r="I27" s="149">
        <f t="shared" si="28"/>
        <v>0.18123588303137228</v>
      </c>
      <c r="J27" s="149">
        <f t="shared" si="28"/>
        <v>4.5578209636893297E-2</v>
      </c>
      <c r="K27" s="149">
        <f t="shared" si="28"/>
        <v>7.1718265380063873E-2</v>
      </c>
      <c r="L27" s="149">
        <f t="shared" si="28"/>
        <v>5.1734473137411197E-2</v>
      </c>
      <c r="M27" s="311"/>
      <c r="N27" s="149"/>
      <c r="O27" s="151"/>
      <c r="P27" s="151"/>
      <c r="Q27" s="151"/>
      <c r="R27" s="151"/>
      <c r="S27" s="149">
        <f t="shared" si="22"/>
        <v>3.7707385515460823E-2</v>
      </c>
      <c r="T27" s="149">
        <f t="shared" si="22"/>
        <v>2.56158659508674E-2</v>
      </c>
      <c r="U27" s="149">
        <f t="shared" si="22"/>
        <v>7.7138748884654884E-2</v>
      </c>
      <c r="V27" s="149">
        <f t="shared" si="22"/>
        <v>9.5455911302076091E-2</v>
      </c>
      <c r="W27" s="149">
        <f t="shared" si="22"/>
        <v>7.1064729167405805E-2</v>
      </c>
      <c r="X27" s="149">
        <f t="shared" si="22"/>
        <v>9.7270187438222688E-2</v>
      </c>
      <c r="Y27" s="149">
        <f t="shared" si="22"/>
        <v>8.1108635622906711E-2</v>
      </c>
      <c r="Z27" s="149">
        <f t="shared" si="22"/>
        <v>3.1222714851058875E-2</v>
      </c>
      <c r="AA27" s="149">
        <f t="shared" si="22"/>
        <v>1.4634621594237007E-2</v>
      </c>
      <c r="AB27" s="149">
        <f t="shared" si="22"/>
        <v>-1.868665240513856E-2</v>
      </c>
      <c r="AC27" s="149">
        <f t="shared" si="22"/>
        <v>2.0359666473297455E-2</v>
      </c>
      <c r="AD27" s="149">
        <f t="shared" si="22"/>
        <v>0.11462580358860963</v>
      </c>
      <c r="AE27" s="149">
        <f>$AE12/$AA12-1</f>
        <v>0.23551157828200364</v>
      </c>
      <c r="AF27" s="149">
        <f t="shared" si="23"/>
        <v>0.15100954471375871</v>
      </c>
      <c r="AG27" s="149">
        <f t="shared" si="23"/>
        <v>0.20990554908631487</v>
      </c>
      <c r="AH27" s="149">
        <f t="shared" si="23"/>
        <v>0.13666179046029847</v>
      </c>
      <c r="AI27" s="149">
        <f t="shared" si="23"/>
        <v>0.12503883128005899</v>
      </c>
      <c r="AJ27" s="149">
        <f t="shared" si="23"/>
        <v>3.9454308877208355E-2</v>
      </c>
      <c r="AK27" s="149">
        <f t="shared" si="23"/>
        <v>5.8318922921019034E-3</v>
      </c>
      <c r="AL27" s="149">
        <f t="shared" si="23"/>
        <v>1.663590077187882E-2</v>
      </c>
      <c r="AM27" s="149">
        <f t="shared" si="23"/>
        <v>7.7385186489305147E-2</v>
      </c>
      <c r="AN27" s="149">
        <f t="shared" si="23"/>
        <v>7.5593826743419301E-2</v>
      </c>
      <c r="AO27" s="149">
        <f t="shared" si="23"/>
        <v>8.5885484353130925E-2</v>
      </c>
      <c r="AP27" s="149">
        <f t="shared" si="23"/>
        <v>4.8293425381595423E-2</v>
      </c>
      <c r="AQ27" s="149">
        <f t="shared" si="23"/>
        <v>5.6506555386221402E-2</v>
      </c>
      <c r="AR27" s="149">
        <f t="shared" si="23"/>
        <v>2.5953605512412992E-2</v>
      </c>
      <c r="AS27" s="149">
        <f t="shared" si="23"/>
        <v>6.5978731487768449E-2</v>
      </c>
      <c r="AT27" s="149">
        <f t="shared" si="23"/>
        <v>5.8064164609238578E-2</v>
      </c>
      <c r="AU27" s="149">
        <f t="shared" si="23"/>
        <v>6.8138870730298784E-2</v>
      </c>
      <c r="AW27" s="149">
        <f t="shared" si="24"/>
        <v>2.3725908474246049E-2</v>
      </c>
      <c r="AX27" s="149">
        <f t="shared" si="24"/>
        <v>3.8298491792865264E-2</v>
      </c>
    </row>
    <row r="28" spans="2:50" ht="13">
      <c r="B28" s="1"/>
      <c r="N28" s="149"/>
    </row>
    <row r="29" spans="2:50" ht="13">
      <c r="B29" s="305" t="s">
        <v>319</v>
      </c>
      <c r="C29" s="307"/>
      <c r="D29" s="307"/>
      <c r="E29" s="307"/>
      <c r="F29" s="307"/>
      <c r="G29" s="307"/>
      <c r="H29" s="307"/>
      <c r="I29" s="307"/>
      <c r="J29" s="307"/>
      <c r="K29" s="307"/>
      <c r="L29" s="307"/>
      <c r="M29" s="308"/>
      <c r="N29" s="149"/>
      <c r="O29" s="309"/>
      <c r="P29" s="309"/>
      <c r="Q29" s="309"/>
      <c r="R29" s="310"/>
      <c r="S29" s="309"/>
      <c r="T29" s="309"/>
      <c r="U29" s="309"/>
      <c r="V29" s="309"/>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W29" s="309"/>
      <c r="AX29" s="309"/>
    </row>
    <row r="30" spans="2:50" ht="13">
      <c r="B30" s="1" t="s">
        <v>312</v>
      </c>
      <c r="C30" s="4">
        <v>2275.335</v>
      </c>
      <c r="D30" s="4">
        <v>2007.2760000000001</v>
      </c>
      <c r="E30" s="4">
        <v>1713.3989999999999</v>
      </c>
      <c r="F30" s="4">
        <v>1401.9760000000001</v>
      </c>
      <c r="G30" s="4">
        <v>1412.7260000000001</v>
      </c>
      <c r="H30" s="4">
        <v>1220.1859999999999</v>
      </c>
      <c r="I30" s="4">
        <v>1261.5519999999999</v>
      </c>
      <c r="J30" s="4">
        <v>1298.8130000000001</v>
      </c>
      <c r="K30" s="4">
        <v>1489.538</v>
      </c>
      <c r="L30" s="4">
        <v>1537.7049999999999</v>
      </c>
      <c r="M30" s="76">
        <f>SUM(AR30:AU30)</f>
        <v>1554.6790000000001</v>
      </c>
      <c r="N30" s="149"/>
      <c r="O30" s="4">
        <v>271.64999999999998</v>
      </c>
      <c r="P30" s="4">
        <f>826.677-O30</f>
        <v>555.02700000000004</v>
      </c>
      <c r="Q30" s="4">
        <f>1338.251-P30-O30</f>
        <v>511.57399999999996</v>
      </c>
      <c r="R30" s="30">
        <f>E30-Q30-P30-O30</f>
        <v>375.1479999999998</v>
      </c>
      <c r="S30" s="4">
        <v>266.30099999999999</v>
      </c>
      <c r="T30" s="4">
        <f>748.858-S30</f>
        <v>482.55699999999996</v>
      </c>
      <c r="U30" s="4">
        <f>1203.312-T30-S30</f>
        <v>454.45399999999989</v>
      </c>
      <c r="V30" s="30">
        <f>F30-U30-T30-S30</f>
        <v>198.66400000000021</v>
      </c>
      <c r="W30" s="4">
        <v>251.90600000000001</v>
      </c>
      <c r="X30" s="4">
        <f>730.447-W30</f>
        <v>478.541</v>
      </c>
      <c r="Y30" s="4">
        <f>1199.052-X30-W30</f>
        <v>468.60499999999996</v>
      </c>
      <c r="Z30" s="30">
        <f>G30-Y30-X30-W30</f>
        <v>213.67400000000009</v>
      </c>
      <c r="AA30" s="4">
        <v>288.56400000000002</v>
      </c>
      <c r="AB30" s="4">
        <f>683.115-AA30</f>
        <v>394.55099999999999</v>
      </c>
      <c r="AC30" s="4">
        <f>1013.099-AB30-AA30</f>
        <v>329.98399999999998</v>
      </c>
      <c r="AD30" s="30">
        <f>H30-AC30-AB30-AA30</f>
        <v>207.08699999999999</v>
      </c>
      <c r="AE30" s="4">
        <v>308.661</v>
      </c>
      <c r="AF30" s="4">
        <f>673.306-AE30</f>
        <v>364.64500000000004</v>
      </c>
      <c r="AG30" s="4">
        <f>1060.571-AE30-AF30</f>
        <v>387.26499999999982</v>
      </c>
      <c r="AH30" s="30">
        <f>I30-AG30-AF30-AE30</f>
        <v>200.98099999999999</v>
      </c>
      <c r="AI30" s="4">
        <v>429.96</v>
      </c>
      <c r="AJ30" s="4">
        <f>791.658-AI30</f>
        <v>361.69800000000004</v>
      </c>
      <c r="AK30" s="4">
        <f>1086.696-AI30-AJ30</f>
        <v>295.03799999999984</v>
      </c>
      <c r="AL30" s="30">
        <f>J30-AK30-AJ30-AI30</f>
        <v>212.11700000000025</v>
      </c>
      <c r="AM30" s="4">
        <v>498.48899999999998</v>
      </c>
      <c r="AN30" s="4">
        <f>892.978-AM30</f>
        <v>394.48899999999998</v>
      </c>
      <c r="AO30" s="4">
        <f>1249.743-AM30-AN30</f>
        <v>356.76499999999993</v>
      </c>
      <c r="AP30" s="30">
        <f>K30-AO30-AN30-AM30</f>
        <v>239.79500000000013</v>
      </c>
      <c r="AQ30" s="4">
        <v>521.29200000000003</v>
      </c>
      <c r="AR30" s="4">
        <f>905.237-AQ30</f>
        <v>383.94499999999994</v>
      </c>
      <c r="AS30" s="4">
        <f>1283.165-AQ30-AR30</f>
        <v>377.928</v>
      </c>
      <c r="AT30" s="30">
        <f>L30-AS30-AR30-AQ30</f>
        <v>254.54000000000008</v>
      </c>
      <c r="AU30" s="4">
        <v>538.26599999999996</v>
      </c>
      <c r="AW30" s="150"/>
      <c r="AX30" s="4">
        <v>483</v>
      </c>
    </row>
    <row r="31" spans="2:50" ht="13">
      <c r="B31" s="1" t="s">
        <v>313</v>
      </c>
      <c r="C31" s="4">
        <v>347.01400000000001</v>
      </c>
      <c r="D31" s="4">
        <v>312.04199999999997</v>
      </c>
      <c r="E31" s="4">
        <v>212.714</v>
      </c>
      <c r="F31" s="4">
        <v>250.84</v>
      </c>
      <c r="G31" s="4">
        <v>237.012</v>
      </c>
      <c r="H31" s="4">
        <v>226.19900000000001</v>
      </c>
      <c r="I31" s="4">
        <v>334.07</v>
      </c>
      <c r="J31" s="4">
        <v>384.41699999999997</v>
      </c>
      <c r="K31" s="4">
        <v>403.32499999999999</v>
      </c>
      <c r="L31" s="4">
        <v>452.07299999999998</v>
      </c>
      <c r="M31" s="76">
        <f>SUM(AR31:AU31)</f>
        <v>470.79500000000002</v>
      </c>
      <c r="N31" s="4"/>
      <c r="O31" s="4">
        <v>45.207000000000001</v>
      </c>
      <c r="P31" s="4">
        <f>85.994-O31</f>
        <v>40.786999999999999</v>
      </c>
      <c r="Q31" s="4">
        <f>165.604-P31-O31</f>
        <v>79.610000000000014</v>
      </c>
      <c r="R31" s="30">
        <f>E31-Q31-P31-O31</f>
        <v>47.109999999999978</v>
      </c>
      <c r="S31" s="4">
        <v>56.667999999999999</v>
      </c>
      <c r="T31" s="4">
        <f>85.435-S31</f>
        <v>28.767000000000003</v>
      </c>
      <c r="U31" s="4">
        <f>166.41-T31-S31</f>
        <v>80.974999999999994</v>
      </c>
      <c r="V31" s="30">
        <f>F31-U31-T31-S31</f>
        <v>84.43</v>
      </c>
      <c r="W31" s="4">
        <v>63.918999999999997</v>
      </c>
      <c r="X31" s="4">
        <f>105.02-W31</f>
        <v>41.100999999999999</v>
      </c>
      <c r="Y31" s="4">
        <f>169.376-X31-W31</f>
        <v>64.356000000000009</v>
      </c>
      <c r="Z31" s="30">
        <f>G31-Y31-X31-W31</f>
        <v>67.63600000000001</v>
      </c>
      <c r="AA31" s="4">
        <v>41.768999999999998</v>
      </c>
      <c r="AB31" s="4">
        <f>76.7-AA31</f>
        <v>34.931000000000004</v>
      </c>
      <c r="AC31" s="4">
        <f>155.538-AB31-AA31</f>
        <v>78.837999999999994</v>
      </c>
      <c r="AD31" s="30">
        <f>H31-AC31-AB31-AA31</f>
        <v>70.661000000000001</v>
      </c>
      <c r="AE31" s="4">
        <v>68.253</v>
      </c>
      <c r="AF31" s="4">
        <f>147.587-AE31</f>
        <v>79.333999999999989</v>
      </c>
      <c r="AG31" s="4">
        <f>257.8-AE31-AF31</f>
        <v>110.21300000000004</v>
      </c>
      <c r="AH31" s="30">
        <f>I31-AG31-AF31-AE31</f>
        <v>76.269999999999968</v>
      </c>
      <c r="AI31" s="4">
        <v>88.468000000000004</v>
      </c>
      <c r="AJ31" s="4">
        <f>177.39-AI31</f>
        <v>88.921999999999983</v>
      </c>
      <c r="AK31" s="4">
        <f>292.2-AI31-AJ31</f>
        <v>114.80999999999999</v>
      </c>
      <c r="AL31" s="30">
        <f>J31-AK31-AJ31-AI31</f>
        <v>92.216999999999999</v>
      </c>
      <c r="AM31" s="4">
        <v>90.027000000000001</v>
      </c>
      <c r="AN31" s="4">
        <f>184.027-AM31</f>
        <v>93.999999999999986</v>
      </c>
      <c r="AO31" s="4">
        <f>304.421-AM31-AN31</f>
        <v>120.39400000000002</v>
      </c>
      <c r="AP31" s="30">
        <f>K31-AO31-AN31-AM31</f>
        <v>98.903999999999982</v>
      </c>
      <c r="AQ31" s="4">
        <v>90.084999999999994</v>
      </c>
      <c r="AR31" s="4">
        <f>191.6-AQ31</f>
        <v>101.515</v>
      </c>
      <c r="AS31" s="4">
        <f>324.473-AQ31-AR31</f>
        <v>132.87300000000005</v>
      </c>
      <c r="AT31" s="30">
        <f>L31-AS31-AR31-AQ31</f>
        <v>127.59999999999995</v>
      </c>
      <c r="AU31" s="4">
        <v>108.807</v>
      </c>
      <c r="AW31" s="150"/>
      <c r="AX31" s="4">
        <v>27</v>
      </c>
    </row>
    <row r="32" spans="2:50" ht="13">
      <c r="B32" s="1" t="s">
        <v>314</v>
      </c>
      <c r="C32" s="4">
        <v>-294.45999999999998</v>
      </c>
      <c r="D32" s="4">
        <v>-29.161000000000001</v>
      </c>
      <c r="E32" s="4">
        <v>180.084</v>
      </c>
      <c r="F32" s="4">
        <v>263.29500000000002</v>
      </c>
      <c r="G32" s="4">
        <v>344.03300000000002</v>
      </c>
      <c r="H32" s="4">
        <v>217.48699999999999</v>
      </c>
      <c r="I32" s="4">
        <v>302.42200000000003</v>
      </c>
      <c r="J32" s="4">
        <v>429.85399999999998</v>
      </c>
      <c r="K32" s="4">
        <v>485.78199999999998</v>
      </c>
      <c r="L32" s="4">
        <v>489.6</v>
      </c>
      <c r="M32" s="76">
        <f>SUM(AR32:AU32)</f>
        <v>451.97800000000001</v>
      </c>
      <c r="N32" s="4"/>
      <c r="O32" s="4">
        <v>25.347999999999999</v>
      </c>
      <c r="P32" s="4">
        <f>92.001-O32</f>
        <v>66.653000000000006</v>
      </c>
      <c r="Q32" s="4">
        <f>142.909-P32-O32</f>
        <v>50.907999999999987</v>
      </c>
      <c r="R32" s="30">
        <f>E32-Q32-P32-O32</f>
        <v>37.175000000000011</v>
      </c>
      <c r="S32" s="4">
        <v>39.061999999999998</v>
      </c>
      <c r="T32" s="4">
        <f>121.776-S32</f>
        <v>82.713999999999999</v>
      </c>
      <c r="U32" s="4">
        <f>184.012-T32-S32</f>
        <v>62.236000000000004</v>
      </c>
      <c r="V32" s="30">
        <f>F32-U32-T32-S32</f>
        <v>79.28300000000003</v>
      </c>
      <c r="W32" s="4">
        <v>73.147000000000006</v>
      </c>
      <c r="X32" s="4">
        <f>198.616-W32</f>
        <v>125.46900000000001</v>
      </c>
      <c r="Y32" s="4">
        <f>271.186-X32-W32</f>
        <v>72.569999999999979</v>
      </c>
      <c r="Z32" s="30">
        <f>G32-Y32-X32-W32</f>
        <v>72.847000000000023</v>
      </c>
      <c r="AA32" s="4">
        <v>55.779000000000003</v>
      </c>
      <c r="AB32" s="4">
        <f>124.981-AA32</f>
        <v>69.201999999999998</v>
      </c>
      <c r="AC32" s="4">
        <f>161.279-AB32-AA32</f>
        <v>36.297999999999995</v>
      </c>
      <c r="AD32" s="30">
        <f>H32-AC32-AB32-AA32</f>
        <v>56.207999999999991</v>
      </c>
      <c r="AE32" s="4">
        <v>60.889000000000003</v>
      </c>
      <c r="AF32" s="4">
        <f>140.443-AE32</f>
        <v>79.554000000000002</v>
      </c>
      <c r="AG32" s="4">
        <f>234.428-AE32-AF32</f>
        <v>93.984999999999985</v>
      </c>
      <c r="AH32" s="30">
        <f>I32-AG32-AF32-AE32</f>
        <v>67.994000000000028</v>
      </c>
      <c r="AI32" s="4">
        <v>133.47499999999999</v>
      </c>
      <c r="AJ32" s="4">
        <f>237.248-AI32</f>
        <v>103.773</v>
      </c>
      <c r="AK32" s="4">
        <f>350.05-AI32-AJ32</f>
        <v>112.80200000000002</v>
      </c>
      <c r="AL32" s="30">
        <f>J32-AK32-AJ32-AI32</f>
        <v>79.803999999999974</v>
      </c>
      <c r="AM32" s="4">
        <v>140.16499999999999</v>
      </c>
      <c r="AN32" s="4">
        <f>271.245-AM32</f>
        <v>131.08000000000001</v>
      </c>
      <c r="AO32" s="4">
        <f>401.043-AM32-AN32</f>
        <v>129.79800000000003</v>
      </c>
      <c r="AP32" s="30">
        <f>K32-AO32-AN32-AM32</f>
        <v>84.738999999999919</v>
      </c>
      <c r="AQ32" s="4">
        <v>145.05000000000001</v>
      </c>
      <c r="AR32" s="4">
        <f>275.5-AQ32</f>
        <v>130.44999999999999</v>
      </c>
      <c r="AS32" s="4">
        <f>405.6-AQ32-AR32</f>
        <v>130.10000000000002</v>
      </c>
      <c r="AT32" s="30">
        <f>L32-AS32-AR32-AQ32</f>
        <v>84</v>
      </c>
      <c r="AU32" s="4">
        <v>107.428</v>
      </c>
      <c r="AW32" s="150"/>
      <c r="AX32" s="4">
        <v>83</v>
      </c>
    </row>
    <row r="33" spans="2:50" ht="13">
      <c r="B33" s="1" t="s">
        <v>315</v>
      </c>
      <c r="C33" s="4">
        <v>-177.792</v>
      </c>
      <c r="D33" s="4">
        <v>-130.19399999999999</v>
      </c>
      <c r="E33" s="4">
        <v>-97.638999999999996</v>
      </c>
      <c r="F33" s="4">
        <v>-114.539</v>
      </c>
      <c r="G33" s="4">
        <v>-58.215000000000003</v>
      </c>
      <c r="H33" s="4">
        <v>-84.436000000000007</v>
      </c>
      <c r="I33" s="4">
        <v>-119.90600000000001</v>
      </c>
      <c r="J33" s="4">
        <v>-61.555</v>
      </c>
      <c r="K33" s="4">
        <v>-64.977999999999994</v>
      </c>
      <c r="L33" s="4">
        <v>-22.704999999999998</v>
      </c>
      <c r="M33" s="76">
        <f>SUM(AR33:AU33)</f>
        <v>-19.867999999999999</v>
      </c>
      <c r="N33" s="4"/>
      <c r="O33" s="4">
        <v>-1.804</v>
      </c>
      <c r="P33" s="4">
        <f>-1.081-O33</f>
        <v>0.72300000000000009</v>
      </c>
      <c r="Q33" s="4">
        <f>-1.928-P33-O33</f>
        <v>-0.84699999999999975</v>
      </c>
      <c r="R33" s="30">
        <f>E33-Q33-P33-O33</f>
        <v>-95.710999999999999</v>
      </c>
      <c r="S33" s="4">
        <v>-25.082999999999998</v>
      </c>
      <c r="T33" s="4">
        <f>-35.266-S33</f>
        <v>-10.183</v>
      </c>
      <c r="U33" s="4">
        <f>-40.21-T33-S33</f>
        <v>-4.9440000000000026</v>
      </c>
      <c r="V33" s="30">
        <f>F33-U33-T33-S33</f>
        <v>-74.329000000000008</v>
      </c>
      <c r="W33" s="4">
        <v>-21.577999999999999</v>
      </c>
      <c r="X33" s="4">
        <f>-46.751-W33</f>
        <v>-25.172999999999998</v>
      </c>
      <c r="Y33" s="4">
        <f>-37.144-X33-W33</f>
        <v>9.6069999999999993</v>
      </c>
      <c r="Z33" s="30">
        <f>G33-Y33-X33-W33</f>
        <v>-21.071000000000002</v>
      </c>
      <c r="AA33" s="4">
        <v>2.569</v>
      </c>
      <c r="AB33" s="4">
        <f>-6.087-AA33</f>
        <v>-8.6559999999999988</v>
      </c>
      <c r="AC33" s="4">
        <f>-40.359-AB33-AA33</f>
        <v>-34.272000000000006</v>
      </c>
      <c r="AD33" s="30">
        <f>H33-AC33-AB33-AA33</f>
        <v>-44.077000000000005</v>
      </c>
      <c r="AE33" s="4">
        <v>-15.28</v>
      </c>
      <c r="AF33" s="4">
        <f>-12.709-AE33</f>
        <v>2.5709999999999997</v>
      </c>
      <c r="AG33" s="4">
        <f>-129.278-AE33-AF33</f>
        <v>-116.56899999999999</v>
      </c>
      <c r="AH33" s="30">
        <f>I33-AG33-AF33-AE33</f>
        <v>9.3719999999999821</v>
      </c>
      <c r="AI33" s="4">
        <v>-15.946999999999999</v>
      </c>
      <c r="AJ33" s="4">
        <f>-13.272-AI33</f>
        <v>2.6749999999999989</v>
      </c>
      <c r="AK33" s="4">
        <f>-49.155-AI33-AJ33</f>
        <v>-35.882999999999996</v>
      </c>
      <c r="AL33" s="30">
        <f>J33-AK33-AJ33-AI33</f>
        <v>-12.400000000000002</v>
      </c>
      <c r="AM33" s="4">
        <v>-35.299999999999997</v>
      </c>
      <c r="AN33" s="4">
        <f>-33.759-AM33</f>
        <v>1.5409999999999968</v>
      </c>
      <c r="AO33" s="4">
        <f>-71.89-AM33-AN33</f>
        <v>-38.131</v>
      </c>
      <c r="AP33" s="30">
        <f>K33-AO33-AN33-AM33</f>
        <v>6.9120000000000061</v>
      </c>
      <c r="AQ33" s="4">
        <v>-24.9</v>
      </c>
      <c r="AR33" s="4">
        <f>6.3-AQ33</f>
        <v>31.2</v>
      </c>
      <c r="AS33" s="4">
        <f>-21.085-AQ33-AR33</f>
        <v>-27.385000000000002</v>
      </c>
      <c r="AT33" s="30">
        <f>L33-AS33-AR33-AQ33</f>
        <v>-1.6199999999999974</v>
      </c>
      <c r="AU33" s="4">
        <v>-22.062999999999999</v>
      </c>
      <c r="AW33" s="150"/>
      <c r="AX33" s="150"/>
    </row>
    <row r="34" spans="2:50" ht="13">
      <c r="B34" s="5" t="s">
        <v>316</v>
      </c>
      <c r="C34" s="7">
        <f>SUM(C30:C33)</f>
        <v>2150.0970000000002</v>
      </c>
      <c r="D34" s="7">
        <f t="shared" ref="D34:V34" si="29">SUM(D30:D33)</f>
        <v>2159.9630000000002</v>
      </c>
      <c r="E34" s="7">
        <f t="shared" si="29"/>
        <v>2008.5579999999998</v>
      </c>
      <c r="F34" s="7">
        <f t="shared" si="29"/>
        <v>1801.5720000000001</v>
      </c>
      <c r="G34" s="7">
        <f t="shared" ref="G34:M34" si="30">SUM(G30:G33)</f>
        <v>1935.5560000000003</v>
      </c>
      <c r="H34" s="7">
        <f t="shared" si="30"/>
        <v>1579.4360000000001</v>
      </c>
      <c r="I34" s="7">
        <f t="shared" si="30"/>
        <v>1778.1379999999999</v>
      </c>
      <c r="J34" s="7">
        <f t="shared" si="30"/>
        <v>2051.529</v>
      </c>
      <c r="K34" s="7">
        <f t="shared" si="30"/>
        <v>2313.6669999999999</v>
      </c>
      <c r="L34" s="7">
        <f>SUM(L30:L33)</f>
        <v>2456.6729999999998</v>
      </c>
      <c r="M34" s="7">
        <f t="shared" si="30"/>
        <v>2457.5840000000003</v>
      </c>
      <c r="N34" s="7"/>
      <c r="O34" s="7">
        <f t="shared" si="29"/>
        <v>340.40100000000001</v>
      </c>
      <c r="P34" s="7">
        <f t="shared" si="29"/>
        <v>663.19</v>
      </c>
      <c r="Q34" s="7">
        <f t="shared" si="29"/>
        <v>641.245</v>
      </c>
      <c r="R34" s="7">
        <f t="shared" si="29"/>
        <v>363.72199999999975</v>
      </c>
      <c r="S34" s="7">
        <f t="shared" si="29"/>
        <v>336.94799999999998</v>
      </c>
      <c r="T34" s="7">
        <f t="shared" si="29"/>
        <v>583.85500000000002</v>
      </c>
      <c r="U34" s="7">
        <f t="shared" si="29"/>
        <v>592.72099999999989</v>
      </c>
      <c r="V34" s="7">
        <f t="shared" si="29"/>
        <v>288.04800000000023</v>
      </c>
      <c r="W34" s="7">
        <f t="shared" ref="W34:AC34" si="31">SUM(W30:W33)</f>
        <v>367.39400000000001</v>
      </c>
      <c r="X34" s="7">
        <f t="shared" si="31"/>
        <v>619.9380000000001</v>
      </c>
      <c r="Y34" s="7">
        <f t="shared" si="31"/>
        <v>615.13799999999992</v>
      </c>
      <c r="Z34" s="7">
        <f t="shared" si="31"/>
        <v>333.08600000000013</v>
      </c>
      <c r="AA34" s="7">
        <f t="shared" si="31"/>
        <v>388.68100000000004</v>
      </c>
      <c r="AB34" s="7">
        <f t="shared" si="31"/>
        <v>490.02799999999996</v>
      </c>
      <c r="AC34" s="7">
        <f t="shared" si="31"/>
        <v>410.84800000000001</v>
      </c>
      <c r="AD34" s="7">
        <f t="shared" ref="AD34:AI34" si="32">SUM(AD30:AD33)</f>
        <v>289.87899999999996</v>
      </c>
      <c r="AE34" s="7">
        <f t="shared" si="32"/>
        <v>422.52300000000002</v>
      </c>
      <c r="AF34" s="7">
        <f t="shared" si="32"/>
        <v>526.10400000000004</v>
      </c>
      <c r="AG34" s="7">
        <f t="shared" si="32"/>
        <v>474.89399999999989</v>
      </c>
      <c r="AH34" s="7">
        <f t="shared" si="32"/>
        <v>354.61699999999996</v>
      </c>
      <c r="AI34" s="7">
        <f t="shared" si="32"/>
        <v>635.95600000000002</v>
      </c>
      <c r="AJ34" s="7">
        <f t="shared" ref="AJ34:AO34" si="33">SUM(AJ30:AJ33)</f>
        <v>557.06799999999998</v>
      </c>
      <c r="AK34" s="7">
        <f t="shared" si="33"/>
        <v>486.76699999999988</v>
      </c>
      <c r="AL34" s="7">
        <f t="shared" si="33"/>
        <v>371.73800000000023</v>
      </c>
      <c r="AM34" s="7">
        <f t="shared" si="33"/>
        <v>693.38099999999997</v>
      </c>
      <c r="AN34" s="7">
        <f t="shared" si="33"/>
        <v>621.1099999999999</v>
      </c>
      <c r="AO34" s="7">
        <f t="shared" si="33"/>
        <v>568.82600000000002</v>
      </c>
      <c r="AP34" s="7">
        <f t="shared" ref="AP34:AU34" si="34">SUM(AP30:AP33)</f>
        <v>430.35</v>
      </c>
      <c r="AQ34" s="7">
        <f t="shared" si="34"/>
        <v>731.52700000000016</v>
      </c>
      <c r="AR34" s="7">
        <f t="shared" si="34"/>
        <v>647.1099999999999</v>
      </c>
      <c r="AS34" s="7">
        <f t="shared" si="34"/>
        <v>613.51600000000008</v>
      </c>
      <c r="AT34" s="7">
        <f t="shared" si="34"/>
        <v>464.52000000000004</v>
      </c>
      <c r="AU34" s="7">
        <f t="shared" si="34"/>
        <v>732.43799999999999</v>
      </c>
      <c r="AW34" s="150"/>
      <c r="AX34" s="7">
        <f>SUM(AX30:AX33)</f>
        <v>593</v>
      </c>
    </row>
    <row r="35" spans="2:50" s="351" customFormat="1" ht="10.5">
      <c r="B35" s="73" t="s">
        <v>30</v>
      </c>
      <c r="C35" s="338">
        <f>C34-Model!C22</f>
        <v>0</v>
      </c>
      <c r="D35" s="338">
        <f>D34-Model!D22</f>
        <v>0</v>
      </c>
      <c r="E35" s="338">
        <f>E34-Model!E22</f>
        <v>0</v>
      </c>
      <c r="F35" s="338">
        <f>F34-Model!F22</f>
        <v>0</v>
      </c>
      <c r="G35" s="338">
        <f>G34-Model!G22</f>
        <v>0</v>
      </c>
      <c r="H35" s="338">
        <f>H34-Model!H22</f>
        <v>1.8189894035458565E-12</v>
      </c>
      <c r="I35" s="338">
        <f>I34-Model!I22</f>
        <v>-2.0463630789890885E-12</v>
      </c>
      <c r="J35" s="338">
        <f>J34-Model!J22</f>
        <v>0</v>
      </c>
      <c r="K35" s="338">
        <f>K34-Model!K22</f>
        <v>0</v>
      </c>
      <c r="L35" s="338">
        <f>L34-Model!L22</f>
        <v>0</v>
      </c>
      <c r="M35" s="338">
        <f>M34-Model!M22</f>
        <v>0</v>
      </c>
      <c r="N35" s="338"/>
      <c r="O35" s="338">
        <f>O34-Model!O22</f>
        <v>0</v>
      </c>
      <c r="P35" s="338">
        <f>P34-Model!P22</f>
        <v>0</v>
      </c>
      <c r="Q35" s="338">
        <f>Q34-Model!Q22</f>
        <v>0</v>
      </c>
      <c r="R35" s="338">
        <f>R34-Model!R22</f>
        <v>1.2505552149377763E-12</v>
      </c>
      <c r="S35" s="338">
        <f>S34-Model!S22</f>
        <v>0</v>
      </c>
      <c r="T35" s="338">
        <f>T34-Model!T22</f>
        <v>0</v>
      </c>
      <c r="U35" s="338">
        <f>U34-Model!U22</f>
        <v>-1.0000000002037268E-3</v>
      </c>
      <c r="V35" s="338">
        <f>V34-Model!V22</f>
        <v>9.9999999889632818E-4</v>
      </c>
      <c r="W35" s="338">
        <f>W34-Model!W22</f>
        <v>0</v>
      </c>
      <c r="X35" s="338">
        <f>X34-Model!X22</f>
        <v>0</v>
      </c>
      <c r="Y35" s="338">
        <f>Y34-Model!Y22</f>
        <v>0</v>
      </c>
      <c r="Z35" s="338">
        <f>Z34-Model!Z22</f>
        <v>-5.6843418860808015E-13</v>
      </c>
      <c r="AA35" s="338">
        <f>AA34-Model!AA22</f>
        <v>0</v>
      </c>
      <c r="AB35" s="338">
        <f>AB34-Model!AB22</f>
        <v>0</v>
      </c>
      <c r="AC35" s="338">
        <f>AC34-Model!AC22</f>
        <v>0</v>
      </c>
      <c r="AD35" s="338">
        <f>AD34-Model!AD22</f>
        <v>1.6484591469634324E-12</v>
      </c>
      <c r="AE35" s="338">
        <f>AE34-Model!AE22</f>
        <v>-1.0000000000161435E-2</v>
      </c>
      <c r="AF35" s="338">
        <f>AF34-Model!AF22</f>
        <v>9.9999999997635314E-3</v>
      </c>
      <c r="AG35" s="338">
        <f>AG34-Model!AG22</f>
        <v>0</v>
      </c>
      <c r="AH35" s="338">
        <f>AH34-Model!AH22</f>
        <v>-1.5347723092418164E-12</v>
      </c>
      <c r="AI35" s="338">
        <f>AI34-Model!AI22</f>
        <v>0</v>
      </c>
      <c r="AJ35" s="338">
        <f>AJ34-Model!AJ22</f>
        <v>0</v>
      </c>
      <c r="AK35" s="338">
        <f>AK34-Model!AK22</f>
        <v>0</v>
      </c>
      <c r="AL35" s="338">
        <f>AL34-Model!AL22</f>
        <v>1.8758328224066645E-12</v>
      </c>
      <c r="AM35" s="338">
        <f>AM34-Model!AM22</f>
        <v>0</v>
      </c>
      <c r="AN35" s="338">
        <f>AN34-Model!AN22</f>
        <v>0</v>
      </c>
      <c r="AO35" s="338">
        <f>AO34-Model!AO22</f>
        <v>0</v>
      </c>
      <c r="AP35" s="338">
        <f>AP34-Model!AP22</f>
        <v>2.0463630789890885E-12</v>
      </c>
      <c r="AQ35" s="338">
        <f>AQ34-Model!AQ22</f>
        <v>0</v>
      </c>
      <c r="AR35" s="338">
        <f>AR34-Model!AR22</f>
        <v>0</v>
      </c>
      <c r="AS35" s="338">
        <f>AS34-Model!AS22</f>
        <v>0</v>
      </c>
      <c r="AT35" s="338">
        <f>AT34-Model!AT22</f>
        <v>-1.8189894035458565E-12</v>
      </c>
      <c r="AU35" s="338">
        <f>AU34-Model!AU22</f>
        <v>0</v>
      </c>
      <c r="AW35" s="352"/>
      <c r="AX35" s="338">
        <f>AX34-Model!AX22</f>
        <v>9.1450000000000955</v>
      </c>
    </row>
    <row r="37" spans="2:50" ht="13">
      <c r="B37" s="5" t="s">
        <v>317</v>
      </c>
    </row>
    <row r="38" spans="2:50" ht="13">
      <c r="B38" s="1" t="s">
        <v>312</v>
      </c>
      <c r="C38" s="92">
        <f t="shared" ref="C38:M38" si="35">C30/C$34</f>
        <v>1.0582476046429532</v>
      </c>
      <c r="D38" s="92">
        <f t="shared" si="35"/>
        <v>0.92931036318677673</v>
      </c>
      <c r="E38" s="92">
        <f t="shared" si="35"/>
        <v>0.85304930203658547</v>
      </c>
      <c r="F38" s="92">
        <f t="shared" si="35"/>
        <v>0.77819593110905361</v>
      </c>
      <c r="G38" s="92">
        <f t="shared" si="35"/>
        <v>0.72988123309271336</v>
      </c>
      <c r="H38" s="92">
        <f t="shared" si="35"/>
        <v>0.77254538962009212</v>
      </c>
      <c r="I38" s="92">
        <f t="shared" si="35"/>
        <v>0.70947924176863664</v>
      </c>
      <c r="J38" s="92">
        <f t="shared" si="35"/>
        <v>0.63309512076114938</v>
      </c>
      <c r="K38" s="92">
        <f t="shared" si="35"/>
        <v>0.6437996479182182</v>
      </c>
      <c r="L38" s="92">
        <f t="shared" si="35"/>
        <v>0.62592986530970951</v>
      </c>
      <c r="M38" s="92">
        <f t="shared" si="35"/>
        <v>0.63260462307697307</v>
      </c>
      <c r="N38" s="92"/>
      <c r="O38" s="92">
        <f t="shared" ref="O38:AU38" si="36">O30/O$34</f>
        <v>0.79802938299241177</v>
      </c>
      <c r="P38" s="92">
        <f t="shared" si="36"/>
        <v>0.8369049593630784</v>
      </c>
      <c r="Q38" s="92">
        <f t="shared" si="36"/>
        <v>0.79778243884942568</v>
      </c>
      <c r="R38" s="92">
        <f t="shared" si="36"/>
        <v>1.0314141019789842</v>
      </c>
      <c r="S38" s="92">
        <f t="shared" si="36"/>
        <v>0.79033263292852307</v>
      </c>
      <c r="T38" s="92">
        <f t="shared" si="36"/>
        <v>0.82650144299526418</v>
      </c>
      <c r="U38" s="92">
        <f t="shared" si="36"/>
        <v>0.76672498527975219</v>
      </c>
      <c r="V38" s="92">
        <f t="shared" si="36"/>
        <v>0.68969060712103558</v>
      </c>
      <c r="W38" s="92">
        <f t="shared" si="36"/>
        <v>0.68565627092440273</v>
      </c>
      <c r="X38" s="92">
        <f t="shared" si="36"/>
        <v>0.77191751433207823</v>
      </c>
      <c r="Y38" s="92">
        <f t="shared" si="36"/>
        <v>0.76178841170599121</v>
      </c>
      <c r="Z38" s="92">
        <f t="shared" si="36"/>
        <v>0.64149799150970022</v>
      </c>
      <c r="AA38" s="92">
        <f t="shared" si="36"/>
        <v>0.7424185900519964</v>
      </c>
      <c r="AB38" s="92">
        <f t="shared" si="36"/>
        <v>0.80516011329964821</v>
      </c>
      <c r="AC38" s="92">
        <f t="shared" si="36"/>
        <v>0.80317781758703943</v>
      </c>
      <c r="AD38" s="92">
        <f t="shared" si="36"/>
        <v>0.71439117700833799</v>
      </c>
      <c r="AE38" s="92">
        <f t="shared" si="36"/>
        <v>0.73051881199366653</v>
      </c>
      <c r="AF38" s="92">
        <f t="shared" si="36"/>
        <v>0.69310440521265759</v>
      </c>
      <c r="AG38" s="92">
        <f t="shared" si="36"/>
        <v>0.81547671690945744</v>
      </c>
      <c r="AH38" s="92">
        <f t="shared" si="36"/>
        <v>0.56675511890292907</v>
      </c>
      <c r="AI38" s="92">
        <f t="shared" si="36"/>
        <v>0.67608450899118799</v>
      </c>
      <c r="AJ38" s="92">
        <f t="shared" si="36"/>
        <v>0.64928877623557635</v>
      </c>
      <c r="AK38" s="92">
        <f t="shared" si="36"/>
        <v>0.6061175059114523</v>
      </c>
      <c r="AL38" s="92">
        <f t="shared" si="36"/>
        <v>0.57060886968779123</v>
      </c>
      <c r="AM38" s="92">
        <f t="shared" si="36"/>
        <v>0.71892509313061648</v>
      </c>
      <c r="AN38" s="92">
        <f t="shared" si="36"/>
        <v>0.63513548324773395</v>
      </c>
      <c r="AO38" s="92">
        <f t="shared" si="36"/>
        <v>0.62719531104415038</v>
      </c>
      <c r="AP38" s="92">
        <f t="shared" si="36"/>
        <v>0.55720924828627894</v>
      </c>
      <c r="AQ38" s="92">
        <f t="shared" si="36"/>
        <v>0.71260801036735477</v>
      </c>
      <c r="AR38" s="92">
        <f t="shared" si="36"/>
        <v>0.59332261902922223</v>
      </c>
      <c r="AS38" s="92">
        <f t="shared" si="36"/>
        <v>0.61600349461138737</v>
      </c>
      <c r="AT38" s="92">
        <f t="shared" si="36"/>
        <v>0.54796348919314575</v>
      </c>
      <c r="AU38" s="92">
        <f t="shared" si="36"/>
        <v>0.7348963325223431</v>
      </c>
      <c r="AW38" s="150"/>
      <c r="AX38" s="92">
        <f>AX30/AX$34</f>
        <v>0.81450252951096125</v>
      </c>
    </row>
    <row r="39" spans="2:50" ht="13">
      <c r="B39" s="1" t="s">
        <v>313</v>
      </c>
      <c r="C39" s="92">
        <f t="shared" ref="C39:M39" si="37">C31/C$34</f>
        <v>0.16139457894225237</v>
      </c>
      <c r="D39" s="92">
        <f t="shared" si="37"/>
        <v>0.14446636354419032</v>
      </c>
      <c r="E39" s="92">
        <f t="shared" si="37"/>
        <v>0.10590383747942556</v>
      </c>
      <c r="F39" s="92">
        <f t="shared" si="37"/>
        <v>0.13923395789899043</v>
      </c>
      <c r="G39" s="92">
        <f t="shared" si="37"/>
        <v>0.1224516366356747</v>
      </c>
      <c r="H39" s="92">
        <f t="shared" si="37"/>
        <v>0.14321504638364579</v>
      </c>
      <c r="I39" s="92">
        <f t="shared" si="37"/>
        <v>0.18787630656338261</v>
      </c>
      <c r="J39" s="92">
        <f t="shared" si="37"/>
        <v>0.18738072920246313</v>
      </c>
      <c r="K39" s="92">
        <f t="shared" si="37"/>
        <v>0.17432283902566792</v>
      </c>
      <c r="L39" s="92">
        <f t="shared" si="37"/>
        <v>0.18401838584133909</v>
      </c>
      <c r="M39" s="92">
        <f t="shared" si="37"/>
        <v>0.1915682231004108</v>
      </c>
      <c r="N39" s="92"/>
      <c r="O39" s="92">
        <f t="shared" ref="O39:AU39" si="38">O31/O$34</f>
        <v>0.13280513276988024</v>
      </c>
      <c r="P39" s="92">
        <f t="shared" si="38"/>
        <v>6.150122890875917E-2</v>
      </c>
      <c r="Q39" s="92">
        <f t="shared" si="38"/>
        <v>0.12414911617244581</v>
      </c>
      <c r="R39" s="92">
        <f t="shared" si="38"/>
        <v>0.12952199756957239</v>
      </c>
      <c r="S39" s="92">
        <f t="shared" si="38"/>
        <v>0.16818025333285849</v>
      </c>
      <c r="T39" s="92">
        <f t="shared" si="38"/>
        <v>4.9270794974779701E-2</v>
      </c>
      <c r="U39" s="92">
        <f t="shared" si="38"/>
        <v>0.13661570958342967</v>
      </c>
      <c r="V39" s="92">
        <f t="shared" si="38"/>
        <v>0.29311087041048695</v>
      </c>
      <c r="W39" s="92">
        <f t="shared" si="38"/>
        <v>0.173979433523683</v>
      </c>
      <c r="X39" s="92">
        <f t="shared" si="38"/>
        <v>6.6298565340405E-2</v>
      </c>
      <c r="Y39" s="92">
        <f t="shared" si="38"/>
        <v>0.1046204266359744</v>
      </c>
      <c r="Z39" s="92">
        <f t="shared" si="38"/>
        <v>0.20305866953279328</v>
      </c>
      <c r="AA39" s="92">
        <f t="shared" si="38"/>
        <v>0.10746344688832228</v>
      </c>
      <c r="AB39" s="92">
        <f t="shared" si="38"/>
        <v>7.1283681748798039E-2</v>
      </c>
      <c r="AC39" s="92">
        <f t="shared" si="38"/>
        <v>0.19189091829581742</v>
      </c>
      <c r="AD39" s="92">
        <f t="shared" si="38"/>
        <v>0.24376032758495789</v>
      </c>
      <c r="AE39" s="92">
        <f t="shared" si="38"/>
        <v>0.16153676841260711</v>
      </c>
      <c r="AF39" s="92">
        <f t="shared" si="38"/>
        <v>0.15079528002068029</v>
      </c>
      <c r="AG39" s="92">
        <f t="shared" si="38"/>
        <v>0.23207915871752446</v>
      </c>
      <c r="AH39" s="92">
        <f t="shared" si="38"/>
        <v>0.21507711136239938</v>
      </c>
      <c r="AI39" s="92">
        <f t="shared" si="38"/>
        <v>0.13911025291057871</v>
      </c>
      <c r="AJ39" s="92">
        <f t="shared" si="38"/>
        <v>0.15962503679981616</v>
      </c>
      <c r="AK39" s="92">
        <f t="shared" si="38"/>
        <v>0.23586233249172606</v>
      </c>
      <c r="AL39" s="92">
        <f t="shared" si="38"/>
        <v>0.24806987717155615</v>
      </c>
      <c r="AM39" s="92">
        <f t="shared" si="38"/>
        <v>0.12983770827294086</v>
      </c>
      <c r="AN39" s="92">
        <f t="shared" si="38"/>
        <v>0.1513419523111848</v>
      </c>
      <c r="AO39" s="92">
        <f t="shared" si="38"/>
        <v>0.21165347575532767</v>
      </c>
      <c r="AP39" s="92">
        <f t="shared" si="38"/>
        <v>0.22982223771348897</v>
      </c>
      <c r="AQ39" s="92">
        <f t="shared" si="38"/>
        <v>0.12314651407261792</v>
      </c>
      <c r="AR39" s="92">
        <f t="shared" si="38"/>
        <v>0.15687441084205161</v>
      </c>
      <c r="AS39" s="92">
        <f t="shared" si="38"/>
        <v>0.21657625880987624</v>
      </c>
      <c r="AT39" s="92">
        <f t="shared" si="38"/>
        <v>0.27469215534314978</v>
      </c>
      <c r="AU39" s="92">
        <f t="shared" si="38"/>
        <v>0.14855455342295185</v>
      </c>
      <c r="AW39" s="150"/>
      <c r="AX39" s="92">
        <f>AX31/AX$34</f>
        <v>4.5531197301854974E-2</v>
      </c>
    </row>
    <row r="40" spans="2:50" ht="13">
      <c r="B40" s="1" t="s">
        <v>314</v>
      </c>
      <c r="C40" s="92">
        <f t="shared" ref="C40:M40" si="39">C32/C$34</f>
        <v>-0.13695196077200236</v>
      </c>
      <c r="D40" s="92">
        <f t="shared" si="39"/>
        <v>-1.3500694224854778E-2</v>
      </c>
      <c r="E40" s="92">
        <f t="shared" si="39"/>
        <v>8.9658351912167852E-2</v>
      </c>
      <c r="F40" s="92">
        <f t="shared" si="39"/>
        <v>0.14614736463488553</v>
      </c>
      <c r="G40" s="92">
        <f t="shared" si="39"/>
        <v>0.17774375941589909</v>
      </c>
      <c r="H40" s="92">
        <f t="shared" si="39"/>
        <v>0.13769915336867083</v>
      </c>
      <c r="I40" s="92">
        <f t="shared" si="39"/>
        <v>0.17007791296288591</v>
      </c>
      <c r="J40" s="92">
        <f t="shared" si="39"/>
        <v>0.20952860037562226</v>
      </c>
      <c r="K40" s="92">
        <f t="shared" si="39"/>
        <v>0.20996193488518441</v>
      </c>
      <c r="L40" s="92">
        <f t="shared" si="39"/>
        <v>0.19929392312285765</v>
      </c>
      <c r="M40" s="92">
        <f t="shared" si="39"/>
        <v>0.18391151635101788</v>
      </c>
      <c r="N40" s="92"/>
      <c r="O40" s="92">
        <f t="shared" ref="O40:AU40" si="40">O32/O$34</f>
        <v>7.4465116142432008E-2</v>
      </c>
      <c r="P40" s="92">
        <f t="shared" si="40"/>
        <v>0.10050362641173721</v>
      </c>
      <c r="Q40" s="92">
        <f t="shared" si="40"/>
        <v>7.9389312977099211E-2</v>
      </c>
      <c r="R40" s="92">
        <f t="shared" si="40"/>
        <v>0.10220718020906086</v>
      </c>
      <c r="S40" s="92">
        <f t="shared" si="40"/>
        <v>0.11592886736232297</v>
      </c>
      <c r="T40" s="92">
        <f t="shared" si="40"/>
        <v>0.14166873624444426</v>
      </c>
      <c r="U40" s="92">
        <f t="shared" si="40"/>
        <v>0.10500049770465365</v>
      </c>
      <c r="V40" s="92">
        <f t="shared" si="40"/>
        <v>0.27524232072432359</v>
      </c>
      <c r="W40" s="92">
        <f t="shared" si="40"/>
        <v>0.19909688236607023</v>
      </c>
      <c r="X40" s="92">
        <f t="shared" si="40"/>
        <v>0.20238959379808946</v>
      </c>
      <c r="Y40" s="92">
        <f t="shared" si="40"/>
        <v>0.11797352789130242</v>
      </c>
      <c r="Z40" s="92">
        <f t="shared" si="40"/>
        <v>0.21870327783215143</v>
      </c>
      <c r="AA40" s="92">
        <f t="shared" si="40"/>
        <v>0.14350842979204026</v>
      </c>
      <c r="AB40" s="92">
        <f t="shared" si="40"/>
        <v>0.14122050168561798</v>
      </c>
      <c r="AC40" s="92">
        <f t="shared" si="40"/>
        <v>8.8348975776929656E-2</v>
      </c>
      <c r="AD40" s="92">
        <f t="shared" si="40"/>
        <v>0.19390159342346289</v>
      </c>
      <c r="AE40" s="92">
        <f t="shared" si="40"/>
        <v>0.1441081313916639</v>
      </c>
      <c r="AF40" s="92">
        <f t="shared" si="40"/>
        <v>0.15121344829159253</v>
      </c>
      <c r="AG40" s="92">
        <f t="shared" si="40"/>
        <v>0.19790732247617365</v>
      </c>
      <c r="AH40" s="92">
        <f t="shared" si="40"/>
        <v>0.19173925671922112</v>
      </c>
      <c r="AI40" s="92">
        <f t="shared" si="40"/>
        <v>0.20988087226160299</v>
      </c>
      <c r="AJ40" s="92">
        <f t="shared" si="40"/>
        <v>0.18628425973130749</v>
      </c>
      <c r="AK40" s="92">
        <f t="shared" si="40"/>
        <v>0.23173715555902527</v>
      </c>
      <c r="AL40" s="92">
        <f t="shared" si="40"/>
        <v>0.21467807972281533</v>
      </c>
      <c r="AM40" s="92">
        <f t="shared" si="40"/>
        <v>0.20214716007505254</v>
      </c>
      <c r="AN40" s="92">
        <f t="shared" si="40"/>
        <v>0.21104152243563948</v>
      </c>
      <c r="AO40" s="92">
        <f t="shared" si="40"/>
        <v>0.22818577209902505</v>
      </c>
      <c r="AP40" s="92">
        <f t="shared" si="40"/>
        <v>0.19690716858371074</v>
      </c>
      <c r="AQ40" s="92">
        <f t="shared" si="40"/>
        <v>0.19828386375349097</v>
      </c>
      <c r="AR40" s="92">
        <f t="shared" si="40"/>
        <v>0.20158860162878028</v>
      </c>
      <c r="AS40" s="92">
        <f t="shared" si="40"/>
        <v>0.21205640928679936</v>
      </c>
      <c r="AT40" s="92">
        <f t="shared" si="40"/>
        <v>0.18083182640144663</v>
      </c>
      <c r="AU40" s="92">
        <f t="shared" si="40"/>
        <v>0.14667180020697998</v>
      </c>
      <c r="AW40" s="150"/>
      <c r="AX40" s="92">
        <f>AX32/AX$34</f>
        <v>0.1399662731871838</v>
      </c>
    </row>
    <row r="41" spans="2:50" ht="13">
      <c r="B41" s="1" t="s">
        <v>315</v>
      </c>
      <c r="C41" s="92">
        <f t="shared" ref="C41:M41" si="41">C33/C$34</f>
        <v>-8.2690222813203304E-2</v>
      </c>
      <c r="D41" s="92">
        <f t="shared" si="41"/>
        <v>-6.0276032506112361E-2</v>
      </c>
      <c r="E41" s="92">
        <f t="shared" si="41"/>
        <v>-4.8611491428178825E-2</v>
      </c>
      <c r="F41" s="92">
        <f t="shared" si="41"/>
        <v>-6.3577253642929613E-2</v>
      </c>
      <c r="G41" s="92">
        <f t="shared" si="41"/>
        <v>-3.0076629144287222E-2</v>
      </c>
      <c r="H41" s="92">
        <f t="shared" si="41"/>
        <v>-5.3459589372408883E-2</v>
      </c>
      <c r="I41" s="92">
        <f t="shared" si="41"/>
        <v>-6.7433461294905128E-2</v>
      </c>
      <c r="J41" s="92">
        <f t="shared" si="41"/>
        <v>-3.0004450339234785E-2</v>
      </c>
      <c r="K41" s="92">
        <f t="shared" si="41"/>
        <v>-2.8084421829070474E-2</v>
      </c>
      <c r="L41" s="92">
        <f t="shared" si="41"/>
        <v>-9.2421742739062143E-3</v>
      </c>
      <c r="M41" s="92">
        <f t="shared" si="41"/>
        <v>-8.0843625284018755E-3</v>
      </c>
      <c r="N41" s="92"/>
      <c r="O41" s="92">
        <f t="shared" ref="O41:AU41" si="42">O33/O$34</f>
        <v>-5.2996319047241341E-3</v>
      </c>
      <c r="P41" s="92">
        <f t="shared" si="42"/>
        <v>1.0901853164251572E-3</v>
      </c>
      <c r="Q41" s="92">
        <f t="shared" si="42"/>
        <v>-1.3208679989707519E-3</v>
      </c>
      <c r="R41" s="92">
        <f t="shared" si="42"/>
        <v>-0.26314327975761725</v>
      </c>
      <c r="S41" s="92">
        <f t="shared" si="42"/>
        <v>-7.4441753623704546E-2</v>
      </c>
      <c r="T41" s="92">
        <f t="shared" si="42"/>
        <v>-1.7440974214488186E-2</v>
      </c>
      <c r="U41" s="92">
        <f t="shared" si="42"/>
        <v>-8.3411925678354634E-3</v>
      </c>
      <c r="V41" s="92">
        <f t="shared" si="42"/>
        <v>-0.25804379825584606</v>
      </c>
      <c r="W41" s="92">
        <f t="shared" si="42"/>
        <v>-5.873258681415592E-2</v>
      </c>
      <c r="X41" s="92">
        <f t="shared" si="42"/>
        <v>-4.0605673470572853E-2</v>
      </c>
      <c r="Y41" s="92">
        <f t="shared" si="42"/>
        <v>1.5617633766732019E-2</v>
      </c>
      <c r="Z41" s="92">
        <f t="shared" si="42"/>
        <v>-6.3259938874644969E-2</v>
      </c>
      <c r="AA41" s="92">
        <f t="shared" si="42"/>
        <v>6.6095332676410724E-3</v>
      </c>
      <c r="AB41" s="92">
        <f t="shared" si="42"/>
        <v>-1.7664296734064173E-2</v>
      </c>
      <c r="AC41" s="92">
        <f t="shared" si="42"/>
        <v>-8.3417711659786592E-2</v>
      </c>
      <c r="AD41" s="92">
        <f t="shared" si="42"/>
        <v>-0.15205309801675876</v>
      </c>
      <c r="AE41" s="92">
        <f t="shared" si="42"/>
        <v>-3.6163711797937627E-2</v>
      </c>
      <c r="AF41" s="92">
        <f t="shared" si="42"/>
        <v>4.8868664750695671E-3</v>
      </c>
      <c r="AG41" s="92">
        <f t="shared" si="42"/>
        <v>-0.24546319810315567</v>
      </c>
      <c r="AH41" s="92">
        <f t="shared" si="42"/>
        <v>2.6428513015450423E-2</v>
      </c>
      <c r="AI41" s="92">
        <f t="shared" si="42"/>
        <v>-2.5075634163369789E-2</v>
      </c>
      <c r="AJ41" s="92">
        <f t="shared" si="42"/>
        <v>4.8019272333000625E-3</v>
      </c>
      <c r="AK41" s="92">
        <f t="shared" si="42"/>
        <v>-7.3716993962203686E-2</v>
      </c>
      <c r="AL41" s="92">
        <f t="shared" si="42"/>
        <v>-3.3356826582162692E-2</v>
      </c>
      <c r="AM41" s="92">
        <f t="shared" si="42"/>
        <v>-5.0909961478609884E-2</v>
      </c>
      <c r="AN41" s="92">
        <f t="shared" si="42"/>
        <v>2.4810420054418654E-3</v>
      </c>
      <c r="AO41" s="92">
        <f t="shared" si="42"/>
        <v>-6.7034558898503224E-2</v>
      </c>
      <c r="AP41" s="92">
        <f t="shared" si="42"/>
        <v>1.606134541652145E-2</v>
      </c>
      <c r="AQ41" s="92">
        <f t="shared" si="42"/>
        <v>-3.4038388193463803E-2</v>
      </c>
      <c r="AR41" s="92">
        <f t="shared" si="42"/>
        <v>4.8214368499945919E-2</v>
      </c>
      <c r="AS41" s="92">
        <f t="shared" si="42"/>
        <v>-4.4636162708063032E-2</v>
      </c>
      <c r="AT41" s="92">
        <f t="shared" si="42"/>
        <v>-3.4874709377421798E-3</v>
      </c>
      <c r="AU41" s="92">
        <f t="shared" si="42"/>
        <v>-3.0122686152275004E-2</v>
      </c>
      <c r="AW41" s="150"/>
      <c r="AX41" s="92">
        <f>AX33/AX$34</f>
        <v>0</v>
      </c>
    </row>
    <row r="42" spans="2:50" ht="13">
      <c r="B42" s="5" t="s">
        <v>316</v>
      </c>
      <c r="C42" s="149">
        <f t="shared" ref="C42:M42" si="43">SUM(C38:C41)</f>
        <v>0.99999999999999989</v>
      </c>
      <c r="D42" s="149">
        <f t="shared" si="43"/>
        <v>0.99999999999999989</v>
      </c>
      <c r="E42" s="149">
        <f t="shared" si="43"/>
        <v>1</v>
      </c>
      <c r="F42" s="149">
        <f t="shared" si="43"/>
        <v>0.99999999999999989</v>
      </c>
      <c r="G42" s="149">
        <f t="shared" si="43"/>
        <v>0.99999999999999989</v>
      </c>
      <c r="H42" s="149">
        <f t="shared" si="43"/>
        <v>0.99999999999999989</v>
      </c>
      <c r="I42" s="149">
        <f t="shared" si="43"/>
        <v>1</v>
      </c>
      <c r="J42" s="149">
        <f t="shared" si="43"/>
        <v>0.99999999999999989</v>
      </c>
      <c r="K42" s="149">
        <f>SUM(K38:K41)</f>
        <v>1</v>
      </c>
      <c r="L42" s="149">
        <f>SUM(L38:L41)</f>
        <v>1.0000000000000002</v>
      </c>
      <c r="M42" s="149">
        <f t="shared" si="43"/>
        <v>0.99999999999999989</v>
      </c>
      <c r="N42" s="149"/>
      <c r="O42" s="149">
        <f t="shared" ref="O42:V42" si="44">SUM(O38:O41)</f>
        <v>0.99999999999999989</v>
      </c>
      <c r="P42" s="149">
        <f t="shared" si="44"/>
        <v>1</v>
      </c>
      <c r="Q42" s="149">
        <f t="shared" si="44"/>
        <v>0.99999999999999989</v>
      </c>
      <c r="R42" s="149">
        <f t="shared" si="44"/>
        <v>1.0000000000000002</v>
      </c>
      <c r="S42" s="149">
        <f t="shared" si="44"/>
        <v>1</v>
      </c>
      <c r="T42" s="149">
        <f t="shared" si="44"/>
        <v>0.99999999999999989</v>
      </c>
      <c r="U42" s="149">
        <f t="shared" si="44"/>
        <v>1.0000000000000002</v>
      </c>
      <c r="V42" s="149">
        <f t="shared" si="44"/>
        <v>1</v>
      </c>
      <c r="W42" s="149">
        <f t="shared" ref="W42:AC42" si="45">SUM(W38:W41)</f>
        <v>1</v>
      </c>
      <c r="X42" s="149">
        <f t="shared" si="45"/>
        <v>0.99999999999999978</v>
      </c>
      <c r="Y42" s="149">
        <f t="shared" si="45"/>
        <v>1</v>
      </c>
      <c r="Z42" s="149">
        <f t="shared" si="45"/>
        <v>0.99999999999999989</v>
      </c>
      <c r="AA42" s="149">
        <f t="shared" si="45"/>
        <v>1</v>
      </c>
      <c r="AB42" s="149">
        <f t="shared" si="45"/>
        <v>1.0000000000000002</v>
      </c>
      <c r="AC42" s="149">
        <f t="shared" si="45"/>
        <v>0.99999999999999989</v>
      </c>
      <c r="AD42" s="149">
        <f>SUM(AD38:AD41)</f>
        <v>1</v>
      </c>
      <c r="AE42" s="149">
        <f>AE34/AE$34</f>
        <v>1</v>
      </c>
      <c r="AF42" s="149">
        <f t="shared" ref="AF42:AK42" si="46">SUM(AF38:AF41)</f>
        <v>1</v>
      </c>
      <c r="AG42" s="149">
        <f t="shared" si="46"/>
        <v>0.99999999999999978</v>
      </c>
      <c r="AH42" s="149">
        <f t="shared" si="46"/>
        <v>1</v>
      </c>
      <c r="AI42" s="149">
        <f t="shared" si="46"/>
        <v>1</v>
      </c>
      <c r="AJ42" s="149">
        <f t="shared" si="46"/>
        <v>1</v>
      </c>
      <c r="AK42" s="149">
        <f t="shared" si="46"/>
        <v>0.99999999999999989</v>
      </c>
      <c r="AL42" s="149">
        <f t="shared" ref="AL42:AQ42" si="47">SUM(AL38:AL41)</f>
        <v>1</v>
      </c>
      <c r="AM42" s="149">
        <f t="shared" si="47"/>
        <v>1</v>
      </c>
      <c r="AN42" s="149">
        <f t="shared" si="47"/>
        <v>1.0000000000000002</v>
      </c>
      <c r="AO42" s="149">
        <f t="shared" si="47"/>
        <v>0.99999999999999989</v>
      </c>
      <c r="AP42" s="149">
        <f t="shared" si="47"/>
        <v>1</v>
      </c>
      <c r="AQ42" s="149">
        <f t="shared" si="47"/>
        <v>0.99999999999999978</v>
      </c>
      <c r="AR42" s="149">
        <f>SUM(AR38:AR41)</f>
        <v>1</v>
      </c>
      <c r="AS42" s="149">
        <f>SUM(AS38:AS41)</f>
        <v>0.99999999999999989</v>
      </c>
      <c r="AT42" s="149">
        <f>SUM(AT38:AT41)</f>
        <v>1</v>
      </c>
      <c r="AU42" s="149">
        <f>SUM(AU38:AU41)</f>
        <v>1</v>
      </c>
      <c r="AW42" s="150"/>
      <c r="AX42" s="149">
        <f>SUM(AX38:AX41)</f>
        <v>1</v>
      </c>
    </row>
    <row r="43" spans="2:50" ht="13">
      <c r="B43" s="1"/>
    </row>
    <row r="44" spans="2:50" ht="13">
      <c r="B44" s="5" t="s">
        <v>318</v>
      </c>
    </row>
    <row r="45" spans="2:50" ht="13">
      <c r="B45" s="1" t="s">
        <v>312</v>
      </c>
      <c r="C45" s="150"/>
      <c r="D45" s="92">
        <f t="shared" ref="D45:L45" si="48">D30/C30-1</f>
        <v>-0.11781078390654565</v>
      </c>
      <c r="E45" s="92">
        <f t="shared" si="48"/>
        <v>-0.14640587542520322</v>
      </c>
      <c r="F45" s="92">
        <f t="shared" si="48"/>
        <v>-0.1817574306976949</v>
      </c>
      <c r="G45" s="92">
        <f t="shared" si="48"/>
        <v>7.6677489486267625E-3</v>
      </c>
      <c r="H45" s="92">
        <f t="shared" si="48"/>
        <v>-0.13628969807308722</v>
      </c>
      <c r="I45" s="92">
        <f t="shared" si="48"/>
        <v>3.390138880465754E-2</v>
      </c>
      <c r="J45" s="92">
        <f t="shared" si="48"/>
        <v>2.9535841566578513E-2</v>
      </c>
      <c r="K45" s="92">
        <f t="shared" si="48"/>
        <v>0.14684561980824018</v>
      </c>
      <c r="L45" s="92">
        <f t="shared" si="48"/>
        <v>3.2336872238237557E-2</v>
      </c>
      <c r="M45" s="289"/>
      <c r="N45" s="92"/>
      <c r="O45" s="150"/>
      <c r="P45" s="150"/>
      <c r="Q45" s="150"/>
      <c r="R45" s="150"/>
      <c r="S45" s="92">
        <f t="shared" ref="S45:AD49" si="49">S30/O30-1</f>
        <v>-1.9690778575372714E-2</v>
      </c>
      <c r="T45" s="92">
        <f t="shared" si="49"/>
        <v>-0.1305702245116005</v>
      </c>
      <c r="U45" s="92">
        <f t="shared" si="49"/>
        <v>-0.11165540078268255</v>
      </c>
      <c r="V45" s="92">
        <f t="shared" si="49"/>
        <v>-0.47043833367097698</v>
      </c>
      <c r="W45" s="92">
        <f t="shared" si="49"/>
        <v>-5.40553734308169E-2</v>
      </c>
      <c r="X45" s="92">
        <f t="shared" si="49"/>
        <v>-8.3223329057499074E-3</v>
      </c>
      <c r="Y45" s="92">
        <f t="shared" si="49"/>
        <v>3.1138465059169951E-2</v>
      </c>
      <c r="Z45" s="92">
        <f t="shared" si="49"/>
        <v>7.5554705432286928E-2</v>
      </c>
      <c r="AA45" s="92">
        <f t="shared" si="49"/>
        <v>0.14552253618413213</v>
      </c>
      <c r="AB45" s="92">
        <f t="shared" si="49"/>
        <v>-0.17551265199847033</v>
      </c>
      <c r="AC45" s="92">
        <f t="shared" si="49"/>
        <v>-0.29581630584394103</v>
      </c>
      <c r="AD45" s="92">
        <f t="shared" si="49"/>
        <v>-3.0827335099263831E-2</v>
      </c>
      <c r="AE45" s="92">
        <f>$AE30/$AA30-1</f>
        <v>6.9644862144966124E-2</v>
      </c>
      <c r="AF45" s="92">
        <f t="shared" ref="AF45:AU49" si="50">AF30/AB30-1</f>
        <v>-7.5797552154220793E-2</v>
      </c>
      <c r="AG45" s="92">
        <f t="shared" si="50"/>
        <v>0.17358720422808327</v>
      </c>
      <c r="AH45" s="92">
        <f t="shared" si="50"/>
        <v>-2.9485192213900446E-2</v>
      </c>
      <c r="AI45" s="92">
        <f t="shared" si="50"/>
        <v>0.3929845364331741</v>
      </c>
      <c r="AJ45" s="92">
        <f t="shared" si="50"/>
        <v>-8.0818330156727791E-3</v>
      </c>
      <c r="AK45" s="92">
        <f t="shared" si="50"/>
        <v>-0.23814958749176929</v>
      </c>
      <c r="AL45" s="92">
        <f t="shared" si="50"/>
        <v>5.5408222667815643E-2</v>
      </c>
      <c r="AM45" s="92">
        <f t="shared" si="50"/>
        <v>0.15938459391571302</v>
      </c>
      <c r="AN45" s="92">
        <f t="shared" si="50"/>
        <v>9.0658505161764547E-2</v>
      </c>
      <c r="AO45" s="92">
        <f t="shared" si="50"/>
        <v>0.20921711779499641</v>
      </c>
      <c r="AP45" s="92">
        <f t="shared" si="50"/>
        <v>0.1304845910511645</v>
      </c>
      <c r="AQ45" s="92">
        <f t="shared" si="50"/>
        <v>4.5744239090531602E-2</v>
      </c>
      <c r="AR45" s="92">
        <f t="shared" si="50"/>
        <v>-2.6728248442922431E-2</v>
      </c>
      <c r="AS45" s="92">
        <f t="shared" si="50"/>
        <v>5.9319159670932153E-2</v>
      </c>
      <c r="AT45" s="92">
        <f t="shared" si="50"/>
        <v>6.1490022727746396E-2</v>
      </c>
      <c r="AU45" s="92">
        <f t="shared" si="50"/>
        <v>3.2561405124191367E-2</v>
      </c>
      <c r="AW45" s="150"/>
      <c r="AX45" s="92">
        <f>AX30/P30-1</f>
        <v>-0.12977206514277695</v>
      </c>
    </row>
    <row r="46" spans="2:50" ht="13">
      <c r="B46" s="1" t="s">
        <v>313</v>
      </c>
      <c r="C46" s="150"/>
      <c r="D46" s="92">
        <f t="shared" ref="D46:L46" si="51">D31/C31-1</f>
        <v>-0.10077979562784223</v>
      </c>
      <c r="E46" s="92">
        <f t="shared" si="51"/>
        <v>-0.31831612411149779</v>
      </c>
      <c r="F46" s="92">
        <f t="shared" si="51"/>
        <v>0.17923596942373332</v>
      </c>
      <c r="G46" s="92">
        <f t="shared" si="51"/>
        <v>-5.5126774039228166E-2</v>
      </c>
      <c r="H46" s="92">
        <f t="shared" si="51"/>
        <v>-4.5622162590923665E-2</v>
      </c>
      <c r="I46" s="92">
        <f t="shared" si="51"/>
        <v>0.47688539737134095</v>
      </c>
      <c r="J46" s="92">
        <f t="shared" si="51"/>
        <v>0.15070793546262751</v>
      </c>
      <c r="K46" s="92">
        <f t="shared" si="51"/>
        <v>4.9186170226602988E-2</v>
      </c>
      <c r="L46" s="92">
        <f t="shared" si="51"/>
        <v>0.12086530713444499</v>
      </c>
      <c r="M46" s="289"/>
      <c r="N46" s="92"/>
      <c r="O46" s="150"/>
      <c r="P46" s="150"/>
      <c r="Q46" s="150"/>
      <c r="R46" s="150"/>
      <c r="S46" s="92">
        <f t="shared" si="49"/>
        <v>0.25352268454000493</v>
      </c>
      <c r="T46" s="92">
        <f t="shared" si="49"/>
        <v>-0.29470174320249087</v>
      </c>
      <c r="U46" s="92">
        <f t="shared" si="49"/>
        <v>1.7146087174977787E-2</v>
      </c>
      <c r="V46" s="92">
        <f t="shared" si="49"/>
        <v>0.79218849501167576</v>
      </c>
      <c r="W46" s="92">
        <f t="shared" si="49"/>
        <v>0.12795581280440449</v>
      </c>
      <c r="X46" s="92">
        <f t="shared" si="49"/>
        <v>0.42875517085549397</v>
      </c>
      <c r="Y46" s="92">
        <f t="shared" si="49"/>
        <v>-0.20523618400740951</v>
      </c>
      <c r="Z46" s="92">
        <f t="shared" si="49"/>
        <v>-0.19891033992656637</v>
      </c>
      <c r="AA46" s="92">
        <f t="shared" si="49"/>
        <v>-0.34653232998013106</v>
      </c>
      <c r="AB46" s="92">
        <f t="shared" si="49"/>
        <v>-0.15011800199508518</v>
      </c>
      <c r="AC46" s="92">
        <f t="shared" si="49"/>
        <v>0.22502952327677272</v>
      </c>
      <c r="AD46" s="92">
        <f t="shared" si="49"/>
        <v>4.4724702820982731E-2</v>
      </c>
      <c r="AE46" s="92">
        <f>$AE31/$AA31-1</f>
        <v>0.6340587517058105</v>
      </c>
      <c r="AF46" s="92">
        <f t="shared" si="50"/>
        <v>1.2711631502104144</v>
      </c>
      <c r="AG46" s="92">
        <f t="shared" si="50"/>
        <v>0.39796798498186203</v>
      </c>
      <c r="AH46" s="92">
        <f t="shared" si="50"/>
        <v>7.9379006807149155E-2</v>
      </c>
      <c r="AI46" s="92">
        <f t="shared" si="50"/>
        <v>0.29617745740113999</v>
      </c>
      <c r="AJ46" s="92">
        <f t="shared" si="50"/>
        <v>0.12085612725943484</v>
      </c>
      <c r="AK46" s="92">
        <f t="shared" si="50"/>
        <v>4.1710143086568285E-2</v>
      </c>
      <c r="AL46" s="92">
        <f t="shared" si="50"/>
        <v>0.20908614133997694</v>
      </c>
      <c r="AM46" s="92">
        <f t="shared" si="50"/>
        <v>1.7622191074738947E-2</v>
      </c>
      <c r="AN46" s="92">
        <f t="shared" si="50"/>
        <v>5.710622793009601E-2</v>
      </c>
      <c r="AO46" s="92">
        <f t="shared" si="50"/>
        <v>4.8636878320704069E-2</v>
      </c>
      <c r="AP46" s="92">
        <f t="shared" si="50"/>
        <v>7.2513744754220788E-2</v>
      </c>
      <c r="AQ46" s="92">
        <f t="shared" si="50"/>
        <v>6.4425116909361257E-4</v>
      </c>
      <c r="AR46" s="92">
        <f t="shared" si="50"/>
        <v>7.9946808510638512E-2</v>
      </c>
      <c r="AS46" s="92">
        <f t="shared" si="50"/>
        <v>0.10365134475139981</v>
      </c>
      <c r="AT46" s="92">
        <f t="shared" si="50"/>
        <v>0.29013993367305635</v>
      </c>
      <c r="AU46" s="92">
        <f t="shared" si="50"/>
        <v>0.20782594216573247</v>
      </c>
      <c r="AW46" s="150"/>
      <c r="AX46" s="92">
        <f>AX31/P31-1</f>
        <v>-0.33802437051021161</v>
      </c>
    </row>
    <row r="47" spans="2:50" ht="13">
      <c r="B47" s="1" t="s">
        <v>314</v>
      </c>
      <c r="C47" s="150"/>
      <c r="D47" s="92">
        <f t="shared" ref="D47:L47" si="52">D32/C32-1</f>
        <v>-0.90096787339536777</v>
      </c>
      <c r="E47" s="92">
        <f t="shared" si="52"/>
        <v>-7.1755083844861289</v>
      </c>
      <c r="F47" s="92">
        <f t="shared" si="52"/>
        <v>0.46206770173918854</v>
      </c>
      <c r="G47" s="92">
        <f t="shared" si="52"/>
        <v>0.30664463814352727</v>
      </c>
      <c r="H47" s="92">
        <f t="shared" si="52"/>
        <v>-0.367830992957071</v>
      </c>
      <c r="I47" s="92">
        <f t="shared" si="52"/>
        <v>0.39052908909498063</v>
      </c>
      <c r="J47" s="92">
        <f t="shared" si="52"/>
        <v>0.42137146107095358</v>
      </c>
      <c r="K47" s="92">
        <f t="shared" si="52"/>
        <v>0.13010929292271323</v>
      </c>
      <c r="L47" s="92">
        <f t="shared" si="52"/>
        <v>7.8594925295709661E-3</v>
      </c>
      <c r="M47" s="289"/>
      <c r="N47" s="92"/>
      <c r="O47" s="150"/>
      <c r="P47" s="150"/>
      <c r="Q47" s="150"/>
      <c r="R47" s="150"/>
      <c r="S47" s="92">
        <f t="shared" si="49"/>
        <v>0.54102887801798949</v>
      </c>
      <c r="T47" s="92">
        <f t="shared" si="49"/>
        <v>0.24096439770152878</v>
      </c>
      <c r="U47" s="92">
        <f t="shared" si="49"/>
        <v>0.2225190539797286</v>
      </c>
      <c r="V47" s="92">
        <f t="shared" si="49"/>
        <v>1.1326967047747143</v>
      </c>
      <c r="W47" s="92">
        <f t="shared" si="49"/>
        <v>0.87258716911576495</v>
      </c>
      <c r="X47" s="92">
        <f t="shared" si="49"/>
        <v>0.51690161278622737</v>
      </c>
      <c r="Y47" s="92">
        <f t="shared" si="49"/>
        <v>0.16604537566681632</v>
      </c>
      <c r="Z47" s="92">
        <f t="shared" si="49"/>
        <v>-8.1177553826167093E-2</v>
      </c>
      <c r="AA47" s="92">
        <f t="shared" si="49"/>
        <v>-0.2374396762683364</v>
      </c>
      <c r="AB47" s="92">
        <f t="shared" si="49"/>
        <v>-0.44845340283257229</v>
      </c>
      <c r="AC47" s="92">
        <f t="shared" si="49"/>
        <v>-0.4998208626154057</v>
      </c>
      <c r="AD47" s="92">
        <f t="shared" si="49"/>
        <v>-0.22841022965942348</v>
      </c>
      <c r="AE47" s="92">
        <f>$AE32/$AA32-1</f>
        <v>9.1611538392585068E-2</v>
      </c>
      <c r="AF47" s="92">
        <f t="shared" si="50"/>
        <v>0.14959105228172609</v>
      </c>
      <c r="AG47" s="92">
        <f t="shared" si="50"/>
        <v>1.5892611163149484</v>
      </c>
      <c r="AH47" s="92">
        <f t="shared" si="50"/>
        <v>0.20968545402789718</v>
      </c>
      <c r="AI47" s="92">
        <f t="shared" si="50"/>
        <v>1.1921036640444083</v>
      </c>
      <c r="AJ47" s="92">
        <f t="shared" si="50"/>
        <v>0.3044347235839806</v>
      </c>
      <c r="AK47" s="92">
        <f t="shared" si="50"/>
        <v>0.20021279991488039</v>
      </c>
      <c r="AL47" s="92">
        <f t="shared" si="50"/>
        <v>0.17369179633496978</v>
      </c>
      <c r="AM47" s="92">
        <f t="shared" si="50"/>
        <v>5.0121745645251847E-2</v>
      </c>
      <c r="AN47" s="92">
        <f t="shared" si="50"/>
        <v>0.26314166498029379</v>
      </c>
      <c r="AO47" s="92">
        <f t="shared" si="50"/>
        <v>0.15067108739206758</v>
      </c>
      <c r="AP47" s="92">
        <f t="shared" si="50"/>
        <v>6.1839005563630201E-2</v>
      </c>
      <c r="AQ47" s="92">
        <f t="shared" si="50"/>
        <v>3.4851781828559414E-2</v>
      </c>
      <c r="AR47" s="92">
        <f t="shared" si="50"/>
        <v>-4.8062252059812849E-3</v>
      </c>
      <c r="AS47" s="92">
        <f t="shared" si="50"/>
        <v>2.3266922448728078E-3</v>
      </c>
      <c r="AT47" s="92">
        <f t="shared" si="50"/>
        <v>-8.7208959274940323E-3</v>
      </c>
      <c r="AU47" s="92">
        <f t="shared" si="50"/>
        <v>-0.2593726301275423</v>
      </c>
      <c r="AW47" s="150"/>
      <c r="AX47" s="92">
        <f>AX32/P32-1</f>
        <v>0.24525527733185282</v>
      </c>
    </row>
    <row r="48" spans="2:50" ht="13">
      <c r="B48" s="1" t="s">
        <v>315</v>
      </c>
      <c r="C48" s="150"/>
      <c r="D48" s="92">
        <f t="shared" ref="D48:L48" si="53">D33/C33-1</f>
        <v>-0.26771733261339103</v>
      </c>
      <c r="E48" s="92">
        <f t="shared" si="53"/>
        <v>-0.25004992549579852</v>
      </c>
      <c r="F48" s="92">
        <f t="shared" si="53"/>
        <v>0.17308657401243366</v>
      </c>
      <c r="G48" s="92">
        <f t="shared" si="53"/>
        <v>-0.49174516976750271</v>
      </c>
      <c r="H48" s="92">
        <f t="shared" si="53"/>
        <v>0.45041655930602076</v>
      </c>
      <c r="I48" s="92">
        <f t="shared" si="53"/>
        <v>0.42008148183239369</v>
      </c>
      <c r="J48" s="92">
        <f t="shared" si="53"/>
        <v>-0.48663953430186979</v>
      </c>
      <c r="K48" s="92">
        <f t="shared" si="53"/>
        <v>5.560880513362032E-2</v>
      </c>
      <c r="L48" s="92">
        <f t="shared" si="53"/>
        <v>-0.6505740404444581</v>
      </c>
      <c r="M48" s="289"/>
      <c r="N48" s="92"/>
      <c r="O48" s="150"/>
      <c r="P48" s="150"/>
      <c r="Q48" s="150"/>
      <c r="R48" s="150"/>
      <c r="S48" s="92">
        <f t="shared" si="49"/>
        <v>12.904101995565409</v>
      </c>
      <c r="T48" s="92">
        <f t="shared" si="49"/>
        <v>-15.084370677731672</v>
      </c>
      <c r="U48" s="92">
        <f t="shared" si="49"/>
        <v>4.8370720188902059</v>
      </c>
      <c r="V48" s="92">
        <f t="shared" si="49"/>
        <v>-0.22340169886428929</v>
      </c>
      <c r="W48" s="92">
        <f t="shared" si="49"/>
        <v>-0.13973607622692652</v>
      </c>
      <c r="X48" s="92">
        <f t="shared" si="49"/>
        <v>1.4720612786015908</v>
      </c>
      <c r="Y48" s="92">
        <f t="shared" si="49"/>
        <v>-2.9431634304207108</v>
      </c>
      <c r="Z48" s="92">
        <f t="shared" si="49"/>
        <v>-0.71651710637839883</v>
      </c>
      <c r="AA48" s="92">
        <f t="shared" si="49"/>
        <v>-1.1190564463805728</v>
      </c>
      <c r="AB48" s="92">
        <f t="shared" si="49"/>
        <v>-0.65613951455925001</v>
      </c>
      <c r="AC48" s="92">
        <f t="shared" si="49"/>
        <v>-4.5673987717289481</v>
      </c>
      <c r="AD48" s="92">
        <f t="shared" si="49"/>
        <v>1.0918323762517206</v>
      </c>
      <c r="AE48" s="92">
        <f>$AE33/$AA33-1</f>
        <v>-6.9478396263137405</v>
      </c>
      <c r="AF48" s="92">
        <f t="shared" si="50"/>
        <v>-1.2970194085027726</v>
      </c>
      <c r="AG48" s="92">
        <f t="shared" si="50"/>
        <v>2.4012896825396814</v>
      </c>
      <c r="AH48" s="92">
        <f t="shared" si="50"/>
        <v>-1.2126279011729468</v>
      </c>
      <c r="AI48" s="92">
        <f t="shared" si="50"/>
        <v>4.3651832460732898E-2</v>
      </c>
      <c r="AJ48" s="92">
        <f t="shared" si="50"/>
        <v>4.0451186308829046E-2</v>
      </c>
      <c r="AK48" s="92">
        <f t="shared" si="50"/>
        <v>-0.69217373401161542</v>
      </c>
      <c r="AL48" s="92">
        <f t="shared" si="50"/>
        <v>-2.3230900554844247</v>
      </c>
      <c r="AM48" s="92">
        <f t="shared" si="50"/>
        <v>1.2135824920047655</v>
      </c>
      <c r="AN48" s="92">
        <f t="shared" si="50"/>
        <v>-0.42392523364486079</v>
      </c>
      <c r="AO48" s="92">
        <f t="shared" si="50"/>
        <v>6.2648050608923533E-2</v>
      </c>
      <c r="AP48" s="92">
        <f t="shared" si="50"/>
        <v>-1.5574193548387101</v>
      </c>
      <c r="AQ48" s="92">
        <f t="shared" si="50"/>
        <v>-0.29461756373937675</v>
      </c>
      <c r="AR48" s="92">
        <f t="shared" si="50"/>
        <v>19.246593121349814</v>
      </c>
      <c r="AS48" s="92">
        <f t="shared" si="50"/>
        <v>-0.28181794340562794</v>
      </c>
      <c r="AT48" s="92">
        <f t="shared" si="50"/>
        <v>-1.2343749999999993</v>
      </c>
      <c r="AU48" s="92">
        <f t="shared" si="50"/>
        <v>-0.11393574297188758</v>
      </c>
      <c r="AW48" s="150"/>
      <c r="AX48" s="92">
        <f>AX33/P33-1</f>
        <v>-1</v>
      </c>
    </row>
    <row r="49" spans="2:50" ht="13">
      <c r="B49" s="5" t="s">
        <v>316</v>
      </c>
      <c r="C49" s="151"/>
      <c r="D49" s="149">
        <f t="shared" ref="D49:L49" si="54">D34/C34-1</f>
        <v>4.5886301873823143E-3</v>
      </c>
      <c r="E49" s="149">
        <f t="shared" si="54"/>
        <v>-7.0096108127778334E-2</v>
      </c>
      <c r="F49" s="149">
        <f t="shared" si="54"/>
        <v>-0.10305204031947279</v>
      </c>
      <c r="G49" s="149">
        <f t="shared" si="54"/>
        <v>7.4370605226990794E-2</v>
      </c>
      <c r="H49" s="149">
        <f t="shared" si="54"/>
        <v>-0.18398847669610185</v>
      </c>
      <c r="I49" s="149">
        <f t="shared" si="54"/>
        <v>0.12580566733948051</v>
      </c>
      <c r="J49" s="149">
        <f t="shared" si="54"/>
        <v>0.1537512836461512</v>
      </c>
      <c r="K49" s="149">
        <f t="shared" si="54"/>
        <v>0.12777689225938316</v>
      </c>
      <c r="L49" s="149">
        <f t="shared" si="54"/>
        <v>6.1809240482748828E-2</v>
      </c>
      <c r="M49" s="311"/>
      <c r="N49" s="149"/>
      <c r="O49" s="151"/>
      <c r="P49" s="151"/>
      <c r="Q49" s="151"/>
      <c r="R49" s="151"/>
      <c r="S49" s="149">
        <f t="shared" si="49"/>
        <v>-1.0143918496126725E-2</v>
      </c>
      <c r="T49" s="149">
        <f t="shared" si="49"/>
        <v>-0.11962635142266931</v>
      </c>
      <c r="U49" s="149">
        <f t="shared" si="49"/>
        <v>-7.5671545197233736E-2</v>
      </c>
      <c r="V49" s="149">
        <f t="shared" si="49"/>
        <v>-0.20805450316450358</v>
      </c>
      <c r="W49" s="149">
        <f t="shared" si="49"/>
        <v>9.035815615465892E-2</v>
      </c>
      <c r="X49" s="149">
        <f t="shared" si="49"/>
        <v>6.1801303405811581E-2</v>
      </c>
      <c r="Y49" s="149">
        <f t="shared" si="49"/>
        <v>3.7820492272080841E-2</v>
      </c>
      <c r="Z49" s="149">
        <f t="shared" si="49"/>
        <v>0.15635588513025556</v>
      </c>
      <c r="AA49" s="149">
        <f t="shared" si="49"/>
        <v>5.7940521619841423E-2</v>
      </c>
      <c r="AB49" s="149">
        <f t="shared" si="49"/>
        <v>-0.20955321338585486</v>
      </c>
      <c r="AC49" s="149">
        <f t="shared" si="49"/>
        <v>-0.33210434081458129</v>
      </c>
      <c r="AD49" s="149">
        <f t="shared" si="49"/>
        <v>-0.12971725019964864</v>
      </c>
      <c r="AE49" s="149">
        <f>$AE34/$AA34-1</f>
        <v>8.7068830223242077E-2</v>
      </c>
      <c r="AF49" s="149">
        <f t="shared" si="50"/>
        <v>7.3620282922608693E-2</v>
      </c>
      <c r="AG49" s="149">
        <f t="shared" si="50"/>
        <v>0.15588733546226319</v>
      </c>
      <c r="AH49" s="149">
        <f t="shared" si="50"/>
        <v>0.22332766430131201</v>
      </c>
      <c r="AI49" s="149">
        <f t="shared" si="50"/>
        <v>0.50513936519432079</v>
      </c>
      <c r="AJ49" s="149">
        <f t="shared" si="50"/>
        <v>5.8855283366026301E-2</v>
      </c>
      <c r="AK49" s="149">
        <f t="shared" si="50"/>
        <v>2.5001368726494722E-2</v>
      </c>
      <c r="AL49" s="149">
        <f t="shared" si="50"/>
        <v>4.8280257291670292E-2</v>
      </c>
      <c r="AM49" s="149">
        <f t="shared" si="50"/>
        <v>9.029712747422769E-2</v>
      </c>
      <c r="AN49" s="149">
        <f t="shared" si="50"/>
        <v>0.11496262574766436</v>
      </c>
      <c r="AO49" s="149">
        <f t="shared" si="50"/>
        <v>0.16857962844646446</v>
      </c>
      <c r="AP49" s="149">
        <f t="shared" si="50"/>
        <v>0.15767018706723479</v>
      </c>
      <c r="AQ49" s="149">
        <f t="shared" si="50"/>
        <v>5.5014486984789279E-2</v>
      </c>
      <c r="AR49" s="149">
        <f t="shared" si="50"/>
        <v>4.1860540000965951E-2</v>
      </c>
      <c r="AS49" s="149">
        <f t="shared" si="50"/>
        <v>7.8565325776247974E-2</v>
      </c>
      <c r="AT49" s="149">
        <f t="shared" si="50"/>
        <v>7.9400487974904177E-2</v>
      </c>
      <c r="AU49" s="149">
        <f t="shared" si="50"/>
        <v>1.245340226676328E-3</v>
      </c>
      <c r="AW49" s="150"/>
      <c r="AX49" s="149">
        <f>AX34/P34-1</f>
        <v>-0.10583693964022389</v>
      </c>
    </row>
    <row r="51" spans="2:50" ht="13">
      <c r="B51" s="5" t="s">
        <v>320</v>
      </c>
    </row>
    <row r="52" spans="2:50" ht="13">
      <c r="B52" s="1" t="s">
        <v>312</v>
      </c>
      <c r="C52" s="92">
        <f t="shared" ref="C52:M52" si="55">C30/C8</f>
        <v>0.20757848230742929</v>
      </c>
      <c r="D52" s="92">
        <f t="shared" si="55"/>
        <v>0.19097869163047024</v>
      </c>
      <c r="E52" s="92">
        <f t="shared" si="55"/>
        <v>0.17272750642284793</v>
      </c>
      <c r="F52" s="92">
        <f t="shared" si="55"/>
        <v>0.13731418071345244</v>
      </c>
      <c r="G52" s="92">
        <f t="shared" si="55"/>
        <v>0.12932693011878782</v>
      </c>
      <c r="H52" s="92">
        <f t="shared" si="55"/>
        <v>0.10951893064783585</v>
      </c>
      <c r="I52" s="92">
        <f t="shared" si="55"/>
        <v>0.10089088215143117</v>
      </c>
      <c r="J52" s="92">
        <f t="shared" si="55"/>
        <v>0.10066321732481265</v>
      </c>
      <c r="K52" s="92">
        <f t="shared" si="55"/>
        <v>0.10633975824688585</v>
      </c>
      <c r="L52" s="92">
        <f t="shared" si="55"/>
        <v>0.10508586027432534</v>
      </c>
      <c r="M52" s="92">
        <f t="shared" si="55"/>
        <v>0.10509542945315704</v>
      </c>
      <c r="N52" s="92"/>
      <c r="O52" s="92">
        <f t="shared" ref="O52:AU52" si="56">O30/O8</f>
        <v>0.11525498229065724</v>
      </c>
      <c r="P52" s="92">
        <f t="shared" si="56"/>
        <v>0.20164527272013874</v>
      </c>
      <c r="Q52" s="92">
        <f t="shared" si="56"/>
        <v>0.21269021899558205</v>
      </c>
      <c r="R52" s="92">
        <f t="shared" si="56"/>
        <v>0.15598857533001428</v>
      </c>
      <c r="S52" s="92">
        <f t="shared" si="56"/>
        <v>0.11253403898911597</v>
      </c>
      <c r="T52" s="92">
        <f t="shared" si="56"/>
        <v>0.17546614848755138</v>
      </c>
      <c r="U52" s="92">
        <f t="shared" si="56"/>
        <v>0.17801787488209278</v>
      </c>
      <c r="V52" s="92">
        <f t="shared" si="56"/>
        <v>7.8196194260847215E-2</v>
      </c>
      <c r="W52" s="92">
        <f t="shared" si="56"/>
        <v>9.9958017838847238E-2</v>
      </c>
      <c r="X52" s="92">
        <f t="shared" si="56"/>
        <v>0.16132915745185822</v>
      </c>
      <c r="Y52" s="92">
        <f t="shared" si="56"/>
        <v>0.16915016844448114</v>
      </c>
      <c r="Z52" s="92">
        <f t="shared" si="56"/>
        <v>8.0118546381984387E-2</v>
      </c>
      <c r="AA52" s="92">
        <f t="shared" si="56"/>
        <v>0.11178230179408573</v>
      </c>
      <c r="AB52" s="92">
        <f t="shared" si="56"/>
        <v>0.13625744182006741</v>
      </c>
      <c r="AC52" s="92">
        <f t="shared" si="56"/>
        <v>0.12128888554000983</v>
      </c>
      <c r="AD52" s="92">
        <f t="shared" si="56"/>
        <v>7.0352351176412017E-2</v>
      </c>
      <c r="AE52" s="92">
        <f t="shared" si="56"/>
        <v>9.9048952153022535E-2</v>
      </c>
      <c r="AF52" s="92">
        <f t="shared" si="56"/>
        <v>0.1162769562793925</v>
      </c>
      <c r="AG52" s="92">
        <f t="shared" si="56"/>
        <v>0.12338302022288049</v>
      </c>
      <c r="AH52" s="92">
        <f t="shared" si="56"/>
        <v>6.4558726691614624E-2</v>
      </c>
      <c r="AI52" s="92">
        <f t="shared" si="56"/>
        <v>0.12466995632666103</v>
      </c>
      <c r="AJ52" s="92">
        <f t="shared" si="56"/>
        <v>0.11378630832013109</v>
      </c>
      <c r="AK52" s="92">
        <f t="shared" si="56"/>
        <v>9.3820386038653392E-2</v>
      </c>
      <c r="AL52" s="92">
        <f t="shared" si="56"/>
        <v>6.7762233361328486E-2</v>
      </c>
      <c r="AM52" s="92">
        <f t="shared" si="56"/>
        <v>0.13145120587057954</v>
      </c>
      <c r="AN52" s="92">
        <f t="shared" si="56"/>
        <v>0.11536375102609341</v>
      </c>
      <c r="AO52" s="92">
        <f t="shared" si="56"/>
        <v>0.10238924991081669</v>
      </c>
      <c r="AP52" s="92">
        <f t="shared" si="56"/>
        <v>7.2418752197070141E-2</v>
      </c>
      <c r="AQ52" s="92">
        <f t="shared" si="56"/>
        <v>0.12972587181204914</v>
      </c>
      <c r="AR52" s="92">
        <f t="shared" si="56"/>
        <v>0.10921928599611019</v>
      </c>
      <c r="AS52" s="92">
        <f t="shared" si="56"/>
        <v>0.10338918507235338</v>
      </c>
      <c r="AT52" s="92">
        <f t="shared" si="56"/>
        <v>7.3915092600040519E-2</v>
      </c>
      <c r="AU52" s="92">
        <f t="shared" si="56"/>
        <v>0.12881522235969547</v>
      </c>
      <c r="AW52" s="150"/>
      <c r="AX52" s="92">
        <f>AX30/AX8</f>
        <v>0.17355371900826447</v>
      </c>
    </row>
    <row r="53" spans="2:50" ht="13">
      <c r="B53" s="1" t="s">
        <v>313</v>
      </c>
      <c r="C53" s="92">
        <f t="shared" ref="C53:M53" si="57">C31/C9</f>
        <v>0.18450448189562998</v>
      </c>
      <c r="D53" s="92">
        <f t="shared" si="57"/>
        <v>0.17267651306797116</v>
      </c>
      <c r="E53" s="92">
        <f t="shared" si="57"/>
        <v>0.12959358301150303</v>
      </c>
      <c r="F53" s="92">
        <f t="shared" si="57"/>
        <v>0.14339474657533854</v>
      </c>
      <c r="G53" s="92">
        <f t="shared" si="57"/>
        <v>0.13844547043375047</v>
      </c>
      <c r="H53" s="92">
        <f t="shared" si="57"/>
        <v>0.12644854661790569</v>
      </c>
      <c r="I53" s="92">
        <f t="shared" si="57"/>
        <v>0.13695322428565571</v>
      </c>
      <c r="J53" s="92">
        <f t="shared" si="57"/>
        <v>0.14874182517185419</v>
      </c>
      <c r="K53" s="92">
        <f t="shared" si="57"/>
        <v>0.15153598672066468</v>
      </c>
      <c r="L53" s="92">
        <f t="shared" si="57"/>
        <v>0.16207173097282188</v>
      </c>
      <c r="M53" s="92">
        <f t="shared" si="57"/>
        <v>0.16704359500935995</v>
      </c>
      <c r="N53" s="92"/>
      <c r="O53" s="92">
        <f t="shared" ref="O53:AU53" si="58">O31/O9</f>
        <v>0.11149393537312623</v>
      </c>
      <c r="P53" s="92">
        <f t="shared" si="58"/>
        <v>0.10806364009697035</v>
      </c>
      <c r="Q53" s="92">
        <f t="shared" si="58"/>
        <v>0.19341687763303028</v>
      </c>
      <c r="R53" s="92">
        <f t="shared" si="58"/>
        <v>0.10541649697691167</v>
      </c>
      <c r="S53" s="92">
        <f t="shared" si="58"/>
        <v>0.13178022366453576</v>
      </c>
      <c r="T53" s="92">
        <f t="shared" si="58"/>
        <v>7.4593349945935597E-2</v>
      </c>
      <c r="U53" s="92">
        <f t="shared" si="58"/>
        <v>0.17816399228157723</v>
      </c>
      <c r="V53" s="92">
        <f t="shared" si="58"/>
        <v>0.17621522342579252</v>
      </c>
      <c r="W53" s="92">
        <f t="shared" si="58"/>
        <v>0.14768374113352278</v>
      </c>
      <c r="X53" s="92">
        <f t="shared" si="58"/>
        <v>9.6886963245139276E-2</v>
      </c>
      <c r="Y53" s="92">
        <f t="shared" si="58"/>
        <v>0.15351879505541427</v>
      </c>
      <c r="Z53" s="92">
        <f t="shared" si="58"/>
        <v>0.15522812815569637</v>
      </c>
      <c r="AA53" s="92">
        <f t="shared" si="58"/>
        <v>0.10680286894153446</v>
      </c>
      <c r="AB53" s="92">
        <f t="shared" si="58"/>
        <v>8.7127759611091593E-2</v>
      </c>
      <c r="AC53" s="92">
        <f t="shared" si="58"/>
        <v>0.16867784367591798</v>
      </c>
      <c r="AD53" s="92">
        <f t="shared" si="58"/>
        <v>0.13345559349691768</v>
      </c>
      <c r="AE53" s="92">
        <f t="shared" si="58"/>
        <v>0.11947485886832086</v>
      </c>
      <c r="AF53" s="92">
        <f t="shared" si="58"/>
        <v>0.13979042185223098</v>
      </c>
      <c r="AG53" s="92">
        <f t="shared" si="58"/>
        <v>0.17894509533953346</v>
      </c>
      <c r="AH53" s="92">
        <f t="shared" si="58"/>
        <v>0.11140812153082087</v>
      </c>
      <c r="AI53" s="92">
        <f t="shared" si="58"/>
        <v>0.14221824974520061</v>
      </c>
      <c r="AJ53" s="92">
        <f t="shared" si="58"/>
        <v>0.14319416285956751</v>
      </c>
      <c r="AK53" s="92">
        <f t="shared" si="58"/>
        <v>0.17917281804306637</v>
      </c>
      <c r="AL53" s="92">
        <f t="shared" si="58"/>
        <v>0.13161954975001178</v>
      </c>
      <c r="AM53" s="92">
        <f t="shared" si="58"/>
        <v>0.1441857708902563</v>
      </c>
      <c r="AN53" s="92">
        <f t="shared" si="58"/>
        <v>0.1455392228205501</v>
      </c>
      <c r="AO53" s="92">
        <f t="shared" si="58"/>
        <v>0.18189619615551395</v>
      </c>
      <c r="AP53" s="92">
        <f t="shared" si="58"/>
        <v>0.13558894494406662</v>
      </c>
      <c r="AQ53" s="92">
        <f t="shared" si="58"/>
        <v>0.14239806015541517</v>
      </c>
      <c r="AR53" s="92">
        <f t="shared" si="58"/>
        <v>0.14610321854531483</v>
      </c>
      <c r="AS53" s="92">
        <f t="shared" si="58"/>
        <v>0.18914790699263473</v>
      </c>
      <c r="AT53" s="92">
        <f t="shared" si="58"/>
        <v>0.16802473492649572</v>
      </c>
      <c r="AU53" s="92">
        <f t="shared" si="58"/>
        <v>0.16443927246348339</v>
      </c>
      <c r="AW53" s="150"/>
      <c r="AX53" s="92">
        <f>AX31/AX9</f>
        <v>6.8354430379746839E-2</v>
      </c>
    </row>
    <row r="54" spans="2:50" ht="13">
      <c r="B54" s="1" t="s">
        <v>314</v>
      </c>
      <c r="C54" s="92">
        <f t="shared" ref="C54:M54" si="59">C32/C10</f>
        <v>-0.22114808344836595</v>
      </c>
      <c r="D54" s="92">
        <f t="shared" si="59"/>
        <v>-1.9923805671667492E-2</v>
      </c>
      <c r="E54" s="92">
        <f t="shared" si="59"/>
        <v>0.10002721693004139</v>
      </c>
      <c r="F54" s="92">
        <f t="shared" si="59"/>
        <v>0.12392726512795629</v>
      </c>
      <c r="G54" s="92">
        <f t="shared" si="59"/>
        <v>0.15005065904738313</v>
      </c>
      <c r="H54" s="92">
        <f t="shared" si="59"/>
        <v>9.4499619589138897E-2</v>
      </c>
      <c r="I54" s="92">
        <f t="shared" si="59"/>
        <v>0.10035789721696338</v>
      </c>
      <c r="J54" s="92">
        <f t="shared" si="59"/>
        <v>0.12217536926547096</v>
      </c>
      <c r="K54" s="92">
        <f t="shared" si="59"/>
        <v>0.12803248318687768</v>
      </c>
      <c r="L54" s="92">
        <f t="shared" si="59"/>
        <v>0.12466805475310964</v>
      </c>
      <c r="M54" s="92">
        <f t="shared" si="59"/>
        <v>0.11165138960870212</v>
      </c>
      <c r="N54" s="92"/>
      <c r="O54" s="92">
        <f t="shared" ref="O54:AU54" si="60">O32/O10</f>
        <v>6.0260698603790894E-2</v>
      </c>
      <c r="P54" s="92">
        <f t="shared" si="60"/>
        <v>0.15334584892030056</v>
      </c>
      <c r="Q54" s="92">
        <f t="shared" si="60"/>
        <v>0.1122889674126423</v>
      </c>
      <c r="R54" s="92">
        <f t="shared" si="60"/>
        <v>7.5607042691793802E-2</v>
      </c>
      <c r="S54" s="92">
        <f t="shared" si="60"/>
        <v>7.7771384542484376E-2</v>
      </c>
      <c r="T54" s="92">
        <f t="shared" si="60"/>
        <v>0.15773795902177065</v>
      </c>
      <c r="U54" s="92">
        <f t="shared" si="60"/>
        <v>0.1272818746651069</v>
      </c>
      <c r="V54" s="92">
        <f t="shared" si="60"/>
        <v>0.13018811536516328</v>
      </c>
      <c r="W54" s="92">
        <f t="shared" si="60"/>
        <v>0.1309967262906796</v>
      </c>
      <c r="X54" s="92">
        <f t="shared" si="60"/>
        <v>0.20414143419164424</v>
      </c>
      <c r="Y54" s="92">
        <f t="shared" si="60"/>
        <v>0.13829442591710336</v>
      </c>
      <c r="Z54" s="92">
        <f t="shared" si="60"/>
        <v>0.12242720029309795</v>
      </c>
      <c r="AA54" s="92">
        <f t="shared" si="60"/>
        <v>0.10107784474541627</v>
      </c>
      <c r="AB54" s="92">
        <f t="shared" si="60"/>
        <v>0.12222593128345884</v>
      </c>
      <c r="AC54" s="92">
        <f t="shared" si="60"/>
        <v>6.7017094916574788E-2</v>
      </c>
      <c r="AD54" s="92">
        <f t="shared" si="60"/>
        <v>8.7576911031717983E-2</v>
      </c>
      <c r="AE54" s="92">
        <f t="shared" si="60"/>
        <v>9.2330484572412927E-2</v>
      </c>
      <c r="AF54" s="92">
        <f t="shared" si="60"/>
        <v>0.10803903061744154</v>
      </c>
      <c r="AG54" s="92">
        <f t="shared" si="60"/>
        <v>0.12114841244470105</v>
      </c>
      <c r="AH54" s="92">
        <f t="shared" si="60"/>
        <v>8.0768508905513958E-2</v>
      </c>
      <c r="AI54" s="92">
        <f t="shared" si="60"/>
        <v>0.15739382476132974</v>
      </c>
      <c r="AJ54" s="92">
        <f t="shared" si="60"/>
        <v>0.12217082701030951</v>
      </c>
      <c r="AK54" s="92">
        <f t="shared" si="60"/>
        <v>0.1287670544830232</v>
      </c>
      <c r="AL54" s="92">
        <f t="shared" si="60"/>
        <v>8.4459491638611897E-2</v>
      </c>
      <c r="AM54" s="92">
        <f t="shared" si="60"/>
        <v>0.15214109019704042</v>
      </c>
      <c r="AN54" s="92">
        <f t="shared" si="60"/>
        <v>0.13521710246708291</v>
      </c>
      <c r="AO54" s="92">
        <f t="shared" si="60"/>
        <v>0.13978794552709373</v>
      </c>
      <c r="AP54" s="92">
        <f t="shared" si="60"/>
        <v>8.6912953711177646E-2</v>
      </c>
      <c r="AQ54" s="92">
        <f t="shared" si="60"/>
        <v>0.14801397994846807</v>
      </c>
      <c r="AR54" s="92">
        <f t="shared" si="60"/>
        <v>0.13448273373655814</v>
      </c>
      <c r="AS54" s="92">
        <f t="shared" si="60"/>
        <v>0.13618558924081506</v>
      </c>
      <c r="AT54" s="92">
        <f t="shared" si="60"/>
        <v>8.2197652082780903E-2</v>
      </c>
      <c r="AU54" s="92">
        <f t="shared" si="60"/>
        <v>9.7585169466891455E-2</v>
      </c>
      <c r="AW54" s="150"/>
      <c r="AX54" s="92">
        <f>AX32/AX10</f>
        <v>0.15749525616698293</v>
      </c>
    </row>
    <row r="55" spans="2:50" ht="13">
      <c r="B55" s="1" t="s">
        <v>315</v>
      </c>
      <c r="C55" s="92">
        <f t="shared" ref="C55:M55" si="61">C33/C11</f>
        <v>-1.0777885548011639</v>
      </c>
      <c r="D55" s="92">
        <f t="shared" si="61"/>
        <v>-0.84352586737503632</v>
      </c>
      <c r="E55" s="92">
        <f t="shared" si="61"/>
        <v>-0.49707018821049842</v>
      </c>
      <c r="F55" s="92">
        <f t="shared" si="61"/>
        <v>-0.42834330590875097</v>
      </c>
      <c r="G55" s="92">
        <f t="shared" si="61"/>
        <v>-0.13584591295500739</v>
      </c>
      <c r="H55" s="92">
        <f t="shared" si="61"/>
        <v>-0.13661147370703186</v>
      </c>
      <c r="I55" s="92">
        <f t="shared" si="61"/>
        <v>-0.15665795662398746</v>
      </c>
      <c r="J55" s="92">
        <f t="shared" si="61"/>
        <v>-0.10794710232483916</v>
      </c>
      <c r="K55" s="92">
        <f t="shared" si="61"/>
        <v>-0.12583466311370009</v>
      </c>
      <c r="L55" s="92">
        <f t="shared" si="61"/>
        <v>-3.1734650520501374E-2</v>
      </c>
      <c r="M55" s="92">
        <f t="shared" si="61"/>
        <v>-2.4887793231392084E-2</v>
      </c>
      <c r="N55" s="92"/>
      <c r="O55" s="92">
        <f t="shared" ref="O55:AU55" si="62">O33/O11</f>
        <v>-3.6702473958333336E-2</v>
      </c>
      <c r="P55" s="92">
        <f t="shared" si="62"/>
        <v>1.1567444762651395E-2</v>
      </c>
      <c r="Q55" s="92">
        <f t="shared" si="62"/>
        <v>-1.7966993339272833E-2</v>
      </c>
      <c r="R55" s="92">
        <f t="shared" si="62"/>
        <v>-2.5433407738095233</v>
      </c>
      <c r="S55" s="92">
        <f t="shared" si="62"/>
        <v>-0.4528189482425577</v>
      </c>
      <c r="T55" s="92">
        <f t="shared" si="62"/>
        <v>-0.17020174163031307</v>
      </c>
      <c r="U55" s="92">
        <f t="shared" si="62"/>
        <v>-6.4256192976527821E-2</v>
      </c>
      <c r="V55" s="92">
        <f t="shared" si="62"/>
        <v>-0.98794460098888814</v>
      </c>
      <c r="W55" s="92">
        <f t="shared" si="62"/>
        <v>-0.26598787042059069</v>
      </c>
      <c r="X55" s="92">
        <f t="shared" si="62"/>
        <v>-0.32790152403282524</v>
      </c>
      <c r="Y55" s="92">
        <f t="shared" si="62"/>
        <v>6.4574455213948667E-2</v>
      </c>
      <c r="Z55" s="92">
        <f t="shared" si="62"/>
        <v>-0.17289876834962137</v>
      </c>
      <c r="AA55" s="92">
        <f t="shared" si="62"/>
        <v>2.1300941088677916E-2</v>
      </c>
      <c r="AB55" s="92">
        <f t="shared" si="62"/>
        <v>-6.0598847669786675E-2</v>
      </c>
      <c r="AC55" s="92">
        <f t="shared" si="62"/>
        <v>-0.16160396842611546</v>
      </c>
      <c r="AD55" s="92">
        <f t="shared" si="62"/>
        <v>-0.30919511202772293</v>
      </c>
      <c r="AE55" s="92">
        <f t="shared" si="62"/>
        <v>-9.7656374826640746E-2</v>
      </c>
      <c r="AF55" s="92">
        <f t="shared" si="62"/>
        <v>1.5072372007949491E-2</v>
      </c>
      <c r="AG55" s="92">
        <f t="shared" si="62"/>
        <v>-0.48832688899966892</v>
      </c>
      <c r="AH55" s="92">
        <f t="shared" si="62"/>
        <v>4.6943324400811365E-2</v>
      </c>
      <c r="AI55" s="92">
        <f t="shared" si="62"/>
        <v>-0.10797762851416499</v>
      </c>
      <c r="AJ55" s="92">
        <f t="shared" si="62"/>
        <v>1.8679776261670483E-2</v>
      </c>
      <c r="AK55" s="92">
        <f t="shared" si="62"/>
        <v>-0.26495802228473964</v>
      </c>
      <c r="AL55" s="92">
        <f t="shared" si="62"/>
        <v>-8.616316802512633E-2</v>
      </c>
      <c r="AM55" s="92">
        <f t="shared" si="62"/>
        <v>-0.29227177134908672</v>
      </c>
      <c r="AN55" s="92">
        <f t="shared" si="62"/>
        <v>1.2860958103822373E-2</v>
      </c>
      <c r="AO55" s="92">
        <f t="shared" si="62"/>
        <v>-0.28433902046173121</v>
      </c>
      <c r="AP55" s="92">
        <f t="shared" si="62"/>
        <v>4.8788062735576093E-2</v>
      </c>
      <c r="AQ55" s="92">
        <f t="shared" si="62"/>
        <v>-0.18298732316737093</v>
      </c>
      <c r="AR55" s="92">
        <f t="shared" si="62"/>
        <v>0.28832025727038335</v>
      </c>
      <c r="AS55" s="92">
        <f t="shared" si="62"/>
        <v>-0.1143848862416514</v>
      </c>
      <c r="AT55" s="92">
        <f t="shared" si="62"/>
        <v>-6.9898388453821635E-3</v>
      </c>
      <c r="AU55" s="92">
        <f t="shared" si="62"/>
        <v>-0.1007838694647213</v>
      </c>
      <c r="AW55" s="150"/>
      <c r="AX55" s="92">
        <f>AX33/AX11</f>
        <v>0</v>
      </c>
    </row>
    <row r="56" spans="2:50" ht="13">
      <c r="B56" s="5" t="s">
        <v>316</v>
      </c>
      <c r="C56" s="149">
        <f t="shared" ref="C56:M56" si="63">C34/C12</f>
        <v>0.14995188853790883</v>
      </c>
      <c r="D56" s="149">
        <f t="shared" si="63"/>
        <v>0.15499680959435208</v>
      </c>
      <c r="E56" s="149">
        <f t="shared" si="63"/>
        <v>0.14814737778599932</v>
      </c>
      <c r="F56" s="149">
        <f t="shared" si="63"/>
        <v>0.12553391590169991</v>
      </c>
      <c r="G56" s="149">
        <f t="shared" si="63"/>
        <v>0.12603780386571603</v>
      </c>
      <c r="H56" s="149">
        <f t="shared" si="63"/>
        <v>9.9650719381793498E-2</v>
      </c>
      <c r="I56" s="149">
        <f t="shared" si="63"/>
        <v>9.4974548475937018E-2</v>
      </c>
      <c r="J56" s="149">
        <f t="shared" si="63"/>
        <v>0.10480039293844856</v>
      </c>
      <c r="K56" s="149">
        <f t="shared" si="63"/>
        <v>0.11028221247472296</v>
      </c>
      <c r="L56" s="149">
        <f t="shared" si="63"/>
        <v>0.1113386270559599</v>
      </c>
      <c r="M56" s="149">
        <f t="shared" si="63"/>
        <v>0.10943100981354442</v>
      </c>
      <c r="N56" s="149"/>
      <c r="O56" s="149">
        <f t="shared" ref="O56:AU56" si="64">O34/O12</f>
        <v>0.1053154116152905</v>
      </c>
      <c r="P56" s="149">
        <f t="shared" si="64"/>
        <v>0.1828436475762375</v>
      </c>
      <c r="Q56" s="149">
        <f t="shared" si="64"/>
        <v>0.1932997926061687</v>
      </c>
      <c r="R56" s="149">
        <f t="shared" si="64"/>
        <v>0.10757237701349578</v>
      </c>
      <c r="S56" s="149">
        <f t="shared" si="64"/>
        <v>0.10045905244443862</v>
      </c>
      <c r="T56" s="149">
        <f t="shared" si="64"/>
        <v>0.15695031100814816</v>
      </c>
      <c r="U56" s="149">
        <f t="shared" si="64"/>
        <v>0.1658769576327703</v>
      </c>
      <c r="V56" s="149">
        <f t="shared" si="64"/>
        <v>7.7768040393764767E-2</v>
      </c>
      <c r="W56" s="149">
        <f t="shared" si="64"/>
        <v>0.10226865306031556</v>
      </c>
      <c r="X56" s="149">
        <f t="shared" si="64"/>
        <v>0.15187694581174588</v>
      </c>
      <c r="Y56" s="149">
        <f t="shared" si="64"/>
        <v>0.15923515931204094</v>
      </c>
      <c r="Z56" s="149">
        <f t="shared" si="64"/>
        <v>8.720476177385765E-2</v>
      </c>
      <c r="AA56" s="149">
        <f t="shared" si="64"/>
        <v>0.10663360963771333</v>
      </c>
      <c r="AB56" s="149">
        <f t="shared" si="64"/>
        <v>0.12233670730343361</v>
      </c>
      <c r="AC56" s="149">
        <f t="shared" si="64"/>
        <v>0.10423037600241519</v>
      </c>
      <c r="AD56" s="149">
        <f t="shared" si="64"/>
        <v>6.80881418929076E-2</v>
      </c>
      <c r="AE56" s="149">
        <f t="shared" si="64"/>
        <v>9.3821923913118319E-2</v>
      </c>
      <c r="AF56" s="149">
        <f t="shared" si="64"/>
        <v>0.11411127814721651</v>
      </c>
      <c r="AG56" s="149">
        <f t="shared" si="64"/>
        <v>9.9576840260500815E-2</v>
      </c>
      <c r="AH56" s="149">
        <f t="shared" si="64"/>
        <v>7.3279587901636495E-2</v>
      </c>
      <c r="AI56" s="149">
        <f t="shared" si="64"/>
        <v>0.12552017501407264</v>
      </c>
      <c r="AJ56" s="149">
        <f t="shared" si="64"/>
        <v>0.11624111683018076</v>
      </c>
      <c r="AK56" s="149">
        <f t="shared" si="64"/>
        <v>0.10147460857289256</v>
      </c>
      <c r="AL56" s="149">
        <f t="shared" si="64"/>
        <v>7.5560527816725259E-2</v>
      </c>
      <c r="AM56" s="149">
        <f t="shared" si="64"/>
        <v>0.1270244736739419</v>
      </c>
      <c r="AN56" s="149">
        <f t="shared" si="64"/>
        <v>0.12049576486806693</v>
      </c>
      <c r="AO56" s="149">
        <f t="shared" si="64"/>
        <v>0.10920227048941608</v>
      </c>
      <c r="AP56" s="149">
        <f t="shared" si="64"/>
        <v>8.344435656519103E-2</v>
      </c>
      <c r="AQ56" s="149">
        <f t="shared" si="64"/>
        <v>0.12684508131483993</v>
      </c>
      <c r="AR56" s="149">
        <f t="shared" si="64"/>
        <v>0.12236399577793065</v>
      </c>
      <c r="AS56" s="149">
        <f t="shared" si="64"/>
        <v>0.11049168146304099</v>
      </c>
      <c r="AT56" s="149">
        <f t="shared" si="64"/>
        <v>8.5127048252771578E-2</v>
      </c>
      <c r="AU56" s="149">
        <f t="shared" si="64"/>
        <v>0.11890124971327359</v>
      </c>
      <c r="AW56" s="150"/>
      <c r="AX56" s="149">
        <f>AX34/AX12</f>
        <v>0.15746149761019648</v>
      </c>
    </row>
    <row r="57" spans="2:50" ht="13">
      <c r="N57" s="149"/>
    </row>
    <row r="58" spans="2:50" ht="13">
      <c r="B58" s="305" t="s">
        <v>321</v>
      </c>
      <c r="C58" s="306"/>
      <c r="D58" s="306"/>
      <c r="E58" s="306"/>
      <c r="F58" s="306"/>
      <c r="G58" s="306"/>
      <c r="H58" s="306"/>
      <c r="I58" s="306"/>
      <c r="J58" s="306"/>
      <c r="K58" s="306"/>
      <c r="L58" s="306"/>
      <c r="M58" s="306"/>
      <c r="N58" s="149"/>
      <c r="O58" s="306"/>
      <c r="P58" s="306"/>
      <c r="Q58" s="306"/>
      <c r="R58" s="306"/>
      <c r="S58" s="306"/>
      <c r="T58" s="306"/>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W58" s="306"/>
      <c r="AX58" s="306"/>
    </row>
    <row r="59" spans="2:50" ht="13">
      <c r="B59" s="1" t="s">
        <v>322</v>
      </c>
      <c r="C59" s="4">
        <v>9057.0810000000001</v>
      </c>
      <c r="D59" s="4">
        <v>9300.0149999999994</v>
      </c>
      <c r="E59" s="4">
        <v>9179.8019999999997</v>
      </c>
      <c r="F59" s="4">
        <v>9737.2639999999992</v>
      </c>
      <c r="G59" s="4">
        <v>10285.861000000001</v>
      </c>
      <c r="H59" s="4">
        <v>10222.762000000001</v>
      </c>
      <c r="I59" s="4">
        <v>12099.752</v>
      </c>
      <c r="J59" s="4">
        <v>13188.218000000001</v>
      </c>
      <c r="K59" s="4">
        <v>13904.171</v>
      </c>
      <c r="L59" s="4">
        <v>14578.333000000001</v>
      </c>
      <c r="M59" s="76">
        <f>SUM(AR59:AU59)</f>
        <v>14855.866</v>
      </c>
      <c r="N59" s="149"/>
      <c r="O59" s="4">
        <v>2217.172</v>
      </c>
      <c r="P59" s="4">
        <f>4657.931-O59</f>
        <v>2440.7589999999996</v>
      </c>
      <c r="Q59" s="4">
        <f>6897.503-P59-O59</f>
        <v>2239.5720000000006</v>
      </c>
      <c r="R59" s="30">
        <f>E59-Q59-P59-O59</f>
        <v>2282.2989999999995</v>
      </c>
      <c r="S59" s="4">
        <v>2311.5030000000002</v>
      </c>
      <c r="T59" s="4">
        <f>4831.555-S59</f>
        <v>2520.0520000000001</v>
      </c>
      <c r="U59" s="4">
        <f>7245.543-T59-S59</f>
        <v>2413.9879999999998</v>
      </c>
      <c r="V59" s="30">
        <f>F59-U59-T59-S59</f>
        <v>2491.721</v>
      </c>
      <c r="W59" s="4">
        <v>2469.69</v>
      </c>
      <c r="X59" s="4">
        <f>5289.045-W59</f>
        <v>2819.355</v>
      </c>
      <c r="Y59" s="4">
        <f>7818.925-X59-W59</f>
        <v>2529.8799999999997</v>
      </c>
      <c r="Z59" s="30">
        <f>G59-Y59-X59-W59</f>
        <v>2466.936000000002</v>
      </c>
      <c r="AA59" s="4">
        <v>2431.384</v>
      </c>
      <c r="AB59" s="4">
        <f>5028.302-AA59</f>
        <v>2596.9179999999997</v>
      </c>
      <c r="AC59" s="4">
        <f>7503.579-AB59-AA59</f>
        <v>2475.277</v>
      </c>
      <c r="AD59" s="30">
        <f>H59-AC59-AB59-AA59</f>
        <v>2719.1830000000009</v>
      </c>
      <c r="AE59" s="4">
        <v>2982.8009999999999</v>
      </c>
      <c r="AF59" s="4">
        <f>5990.596-AE59</f>
        <v>3007.7949999999996</v>
      </c>
      <c r="AG59" s="4">
        <f>9016.543-AE59-AF59</f>
        <v>3025.9470000000006</v>
      </c>
      <c r="AH59" s="30">
        <f>I59-AG59-AF59-AE59</f>
        <v>3083.2090000000003</v>
      </c>
      <c r="AI59" s="4">
        <v>3435.3119999999999</v>
      </c>
      <c r="AJ59" s="4">
        <f>6735.56-AI59</f>
        <v>3300.2480000000005</v>
      </c>
      <c r="AK59" s="4">
        <f>9952.725-AI59-AJ59</f>
        <v>3217.165</v>
      </c>
      <c r="AL59" s="30">
        <f>J59-AK59-AJ59-AI59</f>
        <v>3235.4929999999995</v>
      </c>
      <c r="AM59" s="4">
        <v>3592.39</v>
      </c>
      <c r="AN59" s="4">
        <f>7016.063-AM59</f>
        <v>3423.6730000000002</v>
      </c>
      <c r="AO59" s="4">
        <f>10473.25-AM59-AN59</f>
        <v>3457.1870000000004</v>
      </c>
      <c r="AP59" s="30">
        <f>K59-AO59-AN59-AM59</f>
        <v>3430.9209999999998</v>
      </c>
      <c r="AQ59" s="4">
        <v>3864.752</v>
      </c>
      <c r="AR59" s="4">
        <f>7390.989-AQ59</f>
        <v>3526.2369999999996</v>
      </c>
      <c r="AS59" s="4">
        <f>11022.803-AQ59-AR59</f>
        <v>3631.8139999999999</v>
      </c>
      <c r="AT59" s="30">
        <f>L59-AS59-AR59-AQ59</f>
        <v>3555.5300000000011</v>
      </c>
      <c r="AU59" s="4">
        <v>4142.2849999999999</v>
      </c>
      <c r="AW59" s="4">
        <v>2287.9140000000002</v>
      </c>
      <c r="AX59" s="4">
        <v>2544</v>
      </c>
    </row>
    <row r="60" spans="2:50" ht="13">
      <c r="B60" s="1" t="s">
        <v>323</v>
      </c>
      <c r="C60" s="4">
        <v>3745.732</v>
      </c>
      <c r="D60" s="4">
        <v>3480.654</v>
      </c>
      <c r="E60" s="4">
        <v>3090.4029999999998</v>
      </c>
      <c r="F60" s="4">
        <v>3164.3339999999998</v>
      </c>
      <c r="G60" s="4">
        <v>3198.21</v>
      </c>
      <c r="H60" s="4">
        <v>3121.348</v>
      </c>
      <c r="I60" s="4">
        <v>3642.59</v>
      </c>
      <c r="J60" s="4">
        <v>3865.7689999999998</v>
      </c>
      <c r="K60" s="4">
        <v>4282.6099999999997</v>
      </c>
      <c r="L60" s="4">
        <v>4547.8239999999996</v>
      </c>
      <c r="M60" s="76">
        <f>SUM(AR60:AU60)</f>
        <v>4571.7460000000001</v>
      </c>
      <c r="N60" s="149"/>
      <c r="O60" s="4">
        <v>750.09500000000003</v>
      </c>
      <c r="P60" s="4">
        <f>1562.604-O60</f>
        <v>812.50900000000001</v>
      </c>
      <c r="Q60" s="4">
        <f>2305.195-P60-O60</f>
        <v>742.59100000000012</v>
      </c>
      <c r="R60" s="30">
        <f>E60-Q60-P60-O60</f>
        <v>785.20799999999986</v>
      </c>
      <c r="S60" s="4">
        <v>749.24199999999996</v>
      </c>
      <c r="T60" s="4">
        <f>1589.364-S60</f>
        <v>840.12200000000007</v>
      </c>
      <c r="U60" s="4">
        <f>2351.71-T60-S60</f>
        <v>762.346</v>
      </c>
      <c r="V60" s="30">
        <f>F60-U60-T60-S60</f>
        <v>812.6239999999998</v>
      </c>
      <c r="W60" s="4">
        <v>781.74</v>
      </c>
      <c r="X60" s="4">
        <f>1614.817-W60</f>
        <v>833.077</v>
      </c>
      <c r="Y60" s="4">
        <f>2411.13-X60-W60</f>
        <v>796.3130000000001</v>
      </c>
      <c r="Z60" s="30">
        <f>G60-Y60-X60-W60</f>
        <v>787.07999999999993</v>
      </c>
      <c r="AA60" s="4">
        <v>712.35900000000004</v>
      </c>
      <c r="AB60" s="4">
        <f>1510.245-AA60</f>
        <v>797.88599999999985</v>
      </c>
      <c r="AC60" s="4">
        <f>2267.525-AB60-AA60</f>
        <v>757.28000000000009</v>
      </c>
      <c r="AD60" s="30">
        <f>H60-AC60-AB60-AA60</f>
        <v>853.82299999999975</v>
      </c>
      <c r="AE60" s="4">
        <v>883.24</v>
      </c>
      <c r="AF60" s="4">
        <f>1788.184-AE60</f>
        <v>904.94399999999996</v>
      </c>
      <c r="AG60" s="4">
        <f>2668.775-AE60-AF60</f>
        <v>880.59100000000012</v>
      </c>
      <c r="AH60" s="30">
        <f>I60-AG60-AF60-AE60</f>
        <v>973.81499999999983</v>
      </c>
      <c r="AI60" s="4">
        <v>1006.777</v>
      </c>
      <c r="AJ60" s="4">
        <f>1932.294-AI60</f>
        <v>925.51700000000005</v>
      </c>
      <c r="AK60" s="4">
        <f>2833.407-AI60-AJ60</f>
        <v>901.11300000000006</v>
      </c>
      <c r="AL60" s="30">
        <f>J60-AK60-AJ60-AI60</f>
        <v>1032.3619999999999</v>
      </c>
      <c r="AM60" s="4">
        <v>1100.6130000000001</v>
      </c>
      <c r="AN60" s="4">
        <f>2180.648-AM60</f>
        <v>1080.0350000000001</v>
      </c>
      <c r="AO60" s="4">
        <f>3201.771-AM60-AN60</f>
        <v>1021.1230000000003</v>
      </c>
      <c r="AP60" s="30">
        <f>K60-AO60-AN60-AM60</f>
        <v>1080.8389999999993</v>
      </c>
      <c r="AQ60" s="4">
        <v>1203.691</v>
      </c>
      <c r="AR60" s="4">
        <f>2321.469-AQ60</f>
        <v>1117.778</v>
      </c>
      <c r="AS60" s="4">
        <f>3432.716-AQ60-AR60</f>
        <v>1111.2469999999996</v>
      </c>
      <c r="AT60" s="30">
        <f>L60-AS60-AR60-AQ60</f>
        <v>1115.1079999999999</v>
      </c>
      <c r="AU60" s="4">
        <v>1227.6130000000001</v>
      </c>
      <c r="AW60" s="4">
        <v>734.31600000000003</v>
      </c>
      <c r="AX60" s="4">
        <v>855</v>
      </c>
    </row>
    <row r="61" spans="2:50" ht="13">
      <c r="B61" s="1" t="s">
        <v>324</v>
      </c>
      <c r="C61" s="4">
        <v>1535.7660000000001</v>
      </c>
      <c r="D61" s="4">
        <v>1154.8630000000001</v>
      </c>
      <c r="E61" s="4">
        <v>1287.6320000000001</v>
      </c>
      <c r="F61" s="4">
        <v>1449.6790000000001</v>
      </c>
      <c r="G61" s="4">
        <v>1872.877</v>
      </c>
      <c r="H61" s="4">
        <v>2505.61</v>
      </c>
      <c r="I61" s="4">
        <v>2979.9160000000002</v>
      </c>
      <c r="J61" s="4">
        <v>2521.598</v>
      </c>
      <c r="K61" s="4">
        <v>2792.7310000000002</v>
      </c>
      <c r="L61" s="4">
        <v>2938.7190000000001</v>
      </c>
      <c r="M61" s="76">
        <f>SUM(AR61:AU61)</f>
        <v>3030.2269999999999</v>
      </c>
      <c r="N61" s="4"/>
      <c r="O61" s="4">
        <v>264.93799999999999</v>
      </c>
      <c r="P61" s="4">
        <f>638.758-O61</f>
        <v>373.82000000000005</v>
      </c>
      <c r="Q61" s="4">
        <f>973.955-P61-O61</f>
        <v>335.197</v>
      </c>
      <c r="R61" s="30">
        <f>E61-Q61-P61-O61</f>
        <v>313.67700000000002</v>
      </c>
      <c r="S61" s="4">
        <v>293.33800000000002</v>
      </c>
      <c r="T61" s="4">
        <f>653.163-S61</f>
        <v>359.82499999999999</v>
      </c>
      <c r="U61" s="4">
        <f>1050.086-T61-S61</f>
        <v>396.92299999999994</v>
      </c>
      <c r="V61" s="30">
        <f>F61-U61-T61-S61</f>
        <v>399.59300000000002</v>
      </c>
      <c r="W61" s="4">
        <v>341.01</v>
      </c>
      <c r="X61" s="4">
        <f>770.422-W61</f>
        <v>429.41200000000003</v>
      </c>
      <c r="Y61" s="4">
        <f>1307.308-X61-W61</f>
        <v>536.88599999999997</v>
      </c>
      <c r="Z61" s="30">
        <f>G61-Y61-X61-W61</f>
        <v>565.56899999999996</v>
      </c>
      <c r="AA61" s="4">
        <v>501.27100000000002</v>
      </c>
      <c r="AB61" s="4">
        <f>1112.035-AA61</f>
        <v>610.76400000000012</v>
      </c>
      <c r="AC61" s="4">
        <f>1821.208-AB61-AA61</f>
        <v>709.173</v>
      </c>
      <c r="AD61" s="30">
        <f>H61-AC61-AB61-AA61</f>
        <v>684.40200000000004</v>
      </c>
      <c r="AE61" s="4">
        <v>637.41600000000005</v>
      </c>
      <c r="AF61" s="4">
        <f>1335.124-AE61</f>
        <v>697.70799999999997</v>
      </c>
      <c r="AG61" s="4">
        <f>2197.707-AE61-AF61</f>
        <v>862.58299999999974</v>
      </c>
      <c r="AH61" s="30">
        <f>I61-AG61-AF61-AE61</f>
        <v>782.2090000000004</v>
      </c>
      <c r="AI61" s="4">
        <v>624.47500000000002</v>
      </c>
      <c r="AJ61" s="4">
        <f>1191.059-AI61</f>
        <v>566.58399999999995</v>
      </c>
      <c r="AK61" s="4">
        <f>1869.715-AI61-AJ61</f>
        <v>678.65599999999984</v>
      </c>
      <c r="AL61" s="30">
        <f>J61-AK61-AJ61-AI61</f>
        <v>651.88300000000015</v>
      </c>
      <c r="AM61" s="4">
        <v>765.63800000000003</v>
      </c>
      <c r="AN61" s="4">
        <f>1416.551-AM61</f>
        <v>650.9129999999999</v>
      </c>
      <c r="AO61" s="4">
        <f>2147.162-AM61-AN61</f>
        <v>730.61099999999999</v>
      </c>
      <c r="AP61" s="30">
        <f>K61-AO61-AN61-AM61</f>
        <v>645.5690000000003</v>
      </c>
      <c r="AQ61" s="4">
        <v>698.64700000000005</v>
      </c>
      <c r="AR61" s="4">
        <f>1343.034-AQ61</f>
        <v>644.38700000000006</v>
      </c>
      <c r="AS61" s="4">
        <f>2152.572-AQ61-AR61</f>
        <v>809.53800000000012</v>
      </c>
      <c r="AT61" s="30">
        <f>L61-AS61-AR61-AQ61</f>
        <v>786.14699999999982</v>
      </c>
      <c r="AU61" s="4">
        <v>790.15499999999997</v>
      </c>
      <c r="AW61" s="4">
        <v>286.66199999999998</v>
      </c>
      <c r="AX61" s="4">
        <v>367</v>
      </c>
    </row>
    <row r="62" spans="2:50" ht="13">
      <c r="B62" s="5" t="s">
        <v>316</v>
      </c>
      <c r="C62" s="7">
        <f t="shared" ref="C62:M62" si="65">SUM(C59:C61)</f>
        <v>14338.579</v>
      </c>
      <c r="D62" s="7">
        <f t="shared" si="65"/>
        <v>13935.531999999999</v>
      </c>
      <c r="E62" s="7">
        <f t="shared" si="65"/>
        <v>13557.837</v>
      </c>
      <c r="F62" s="7">
        <f t="shared" si="65"/>
        <v>14351.276999999998</v>
      </c>
      <c r="G62" s="7">
        <f t="shared" si="65"/>
        <v>15356.948</v>
      </c>
      <c r="H62" s="7">
        <f t="shared" si="65"/>
        <v>15849.720000000001</v>
      </c>
      <c r="I62" s="7">
        <f t="shared" si="65"/>
        <v>18722.258000000002</v>
      </c>
      <c r="J62" s="7">
        <f t="shared" si="65"/>
        <v>19575.584999999999</v>
      </c>
      <c r="K62" s="7">
        <f>SUM(K59:K61)</f>
        <v>20979.511999999999</v>
      </c>
      <c r="L62" s="7">
        <f>SUM(L59:L61)</f>
        <v>22064.876</v>
      </c>
      <c r="M62" s="7">
        <f t="shared" si="65"/>
        <v>22457.839</v>
      </c>
      <c r="N62" s="7"/>
      <c r="O62" s="7">
        <f t="shared" ref="O62:V62" si="66">SUM(O59:O61)</f>
        <v>3232.2049999999999</v>
      </c>
      <c r="P62" s="7">
        <f t="shared" si="66"/>
        <v>3627.0879999999997</v>
      </c>
      <c r="Q62" s="7">
        <f t="shared" si="66"/>
        <v>3317.3600000000006</v>
      </c>
      <c r="R62" s="7">
        <f t="shared" si="66"/>
        <v>3381.1839999999997</v>
      </c>
      <c r="S62" s="7">
        <f t="shared" si="66"/>
        <v>3354.0830000000001</v>
      </c>
      <c r="T62" s="7">
        <f t="shared" si="66"/>
        <v>3719.9989999999998</v>
      </c>
      <c r="U62" s="7">
        <f t="shared" si="66"/>
        <v>3573.2569999999996</v>
      </c>
      <c r="V62" s="7">
        <f t="shared" si="66"/>
        <v>3703.9379999999996</v>
      </c>
      <c r="W62" s="7">
        <f t="shared" ref="W62:AC62" si="67">SUM(W59:W61)</f>
        <v>3592.4400000000005</v>
      </c>
      <c r="X62" s="7">
        <f t="shared" si="67"/>
        <v>4081.8440000000001</v>
      </c>
      <c r="Y62" s="7">
        <f t="shared" si="67"/>
        <v>3863.0789999999997</v>
      </c>
      <c r="Z62" s="7">
        <f t="shared" si="67"/>
        <v>3819.5850000000019</v>
      </c>
      <c r="AA62" s="7">
        <f t="shared" si="67"/>
        <v>3645.0140000000001</v>
      </c>
      <c r="AB62" s="7">
        <f t="shared" si="67"/>
        <v>4005.5679999999998</v>
      </c>
      <c r="AC62" s="7">
        <f t="shared" si="67"/>
        <v>3941.7300000000005</v>
      </c>
      <c r="AD62" s="7">
        <f t="shared" ref="AD62:AI62" si="68">SUM(AD59:AD61)</f>
        <v>4257.4080000000013</v>
      </c>
      <c r="AE62" s="7">
        <f t="shared" si="68"/>
        <v>4503.4570000000003</v>
      </c>
      <c r="AF62" s="7">
        <f t="shared" si="68"/>
        <v>4610.4469999999992</v>
      </c>
      <c r="AG62" s="7">
        <f t="shared" si="68"/>
        <v>4769.1210000000001</v>
      </c>
      <c r="AH62" s="7">
        <f t="shared" si="68"/>
        <v>4839.2330000000011</v>
      </c>
      <c r="AI62" s="7">
        <f t="shared" si="68"/>
        <v>5066.5640000000003</v>
      </c>
      <c r="AJ62" s="7">
        <f t="shared" ref="AJ62:AO62" si="69">SUM(AJ59:AJ61)</f>
        <v>4792.3490000000002</v>
      </c>
      <c r="AK62" s="7">
        <f t="shared" si="69"/>
        <v>4796.9340000000002</v>
      </c>
      <c r="AL62" s="7">
        <f t="shared" si="69"/>
        <v>4919.7379999999994</v>
      </c>
      <c r="AM62" s="7">
        <f t="shared" si="69"/>
        <v>5458.6409999999996</v>
      </c>
      <c r="AN62" s="7">
        <f t="shared" si="69"/>
        <v>5154.6210000000001</v>
      </c>
      <c r="AO62" s="7">
        <f t="shared" si="69"/>
        <v>5208.9210000000003</v>
      </c>
      <c r="AP62" s="7">
        <f t="shared" ref="AP62:AU62" si="70">SUM(AP59:AP61)</f>
        <v>5157.3289999999997</v>
      </c>
      <c r="AQ62" s="7">
        <f t="shared" si="70"/>
        <v>5767.09</v>
      </c>
      <c r="AR62" s="7">
        <f t="shared" si="70"/>
        <v>5288.4019999999991</v>
      </c>
      <c r="AS62" s="7">
        <f t="shared" si="70"/>
        <v>5552.5990000000002</v>
      </c>
      <c r="AT62" s="7">
        <f t="shared" si="70"/>
        <v>5456.7850000000008</v>
      </c>
      <c r="AU62" s="7">
        <f t="shared" si="70"/>
        <v>6160.0529999999999</v>
      </c>
      <c r="AW62" s="7">
        <f>SUM(AW59:AW61)</f>
        <v>3308.8920000000003</v>
      </c>
      <c r="AX62" s="7">
        <f>SUM(AX59:AX61)</f>
        <v>3766</v>
      </c>
    </row>
    <row r="64" spans="2:50" s="148" customFormat="1" ht="13">
      <c r="B64" s="167" t="s">
        <v>30</v>
      </c>
      <c r="C64" s="166">
        <f>C62-Model!C7</f>
        <v>0</v>
      </c>
      <c r="D64" s="166">
        <f>D62-Model!D7</f>
        <v>0</v>
      </c>
      <c r="E64" s="166">
        <f>E62-Model!E7</f>
        <v>0</v>
      </c>
      <c r="F64" s="166">
        <f>F62-Model!F7</f>
        <v>0</v>
      </c>
      <c r="G64" s="166">
        <f>G62-Model!G7</f>
        <v>0</v>
      </c>
      <c r="H64" s="166">
        <f>H62-Model!H7</f>
        <v>0</v>
      </c>
      <c r="I64" s="166">
        <f>I62-Model!I7</f>
        <v>0</v>
      </c>
      <c r="J64" s="166">
        <f>J62-Model!J7</f>
        <v>0</v>
      </c>
      <c r="K64" s="166">
        <f>K62-Model!K7</f>
        <v>0</v>
      </c>
      <c r="L64" s="166">
        <f>L62-Model!L7</f>
        <v>0</v>
      </c>
      <c r="M64" s="166">
        <f>M62-Model!M7</f>
        <v>0</v>
      </c>
      <c r="N64" s="166"/>
      <c r="O64" s="166">
        <f>O62-Model!O7</f>
        <v>0</v>
      </c>
      <c r="P64" s="166">
        <f>P62-Model!P7</f>
        <v>0</v>
      </c>
      <c r="Q64" s="166">
        <f>Q62-Model!Q7</f>
        <v>0</v>
      </c>
      <c r="R64" s="166">
        <f>R62-Model!R7</f>
        <v>0</v>
      </c>
      <c r="S64" s="166">
        <f>S62-Model!S7</f>
        <v>0</v>
      </c>
      <c r="T64" s="166">
        <f>T62-Model!T7</f>
        <v>0</v>
      </c>
      <c r="U64" s="166">
        <f>U62-Model!U7</f>
        <v>0</v>
      </c>
      <c r="V64" s="166">
        <f>V62-Model!V7</f>
        <v>0</v>
      </c>
      <c r="W64" s="166">
        <f>W62-Model!W7</f>
        <v>0</v>
      </c>
      <c r="X64" s="166">
        <f>X62-Model!X7</f>
        <v>0</v>
      </c>
      <c r="Y64" s="166">
        <f>Y62-Model!Y7</f>
        <v>0</v>
      </c>
      <c r="Z64" s="166">
        <f>Z62-Model!Z7</f>
        <v>0</v>
      </c>
      <c r="AA64" s="166">
        <f>AA62-Model!AA7</f>
        <v>0</v>
      </c>
      <c r="AB64" s="166">
        <f>AB62-Model!AB7</f>
        <v>0</v>
      </c>
      <c r="AC64" s="166">
        <f>AC62-Model!AC7</f>
        <v>0</v>
      </c>
      <c r="AD64" s="166">
        <f>AD62-Model!AD7</f>
        <v>0</v>
      </c>
      <c r="AE64" s="166">
        <f>AE62-Model!AE7</f>
        <v>0</v>
      </c>
      <c r="AF64" s="166">
        <f>AF62-Model!AF7</f>
        <v>0</v>
      </c>
      <c r="AG64" s="166">
        <f>AG62-Model!AG7</f>
        <v>0</v>
      </c>
      <c r="AH64" s="166">
        <f>AH62-Model!AH7</f>
        <v>0</v>
      </c>
      <c r="AI64" s="166">
        <f>AI62-Model!AI7</f>
        <v>0</v>
      </c>
      <c r="AJ64" s="166">
        <f>AJ62-Model!AJ7</f>
        <v>0</v>
      </c>
      <c r="AK64" s="166">
        <f>AK62-Model!AK7</f>
        <v>0</v>
      </c>
      <c r="AL64" s="166">
        <f>AL62-Model!AL7</f>
        <v>0</v>
      </c>
      <c r="AM64" s="166">
        <f>AM62-Model!AM7</f>
        <v>0</v>
      </c>
      <c r="AN64" s="166">
        <f>AN62-Model!AN7</f>
        <v>0</v>
      </c>
      <c r="AO64" s="166">
        <f>AO62-Model!AO7</f>
        <v>0</v>
      </c>
      <c r="AP64" s="166">
        <f>AP62-Model!AP7</f>
        <v>0</v>
      </c>
      <c r="AQ64" s="166">
        <f>AQ62-Model!AQ7</f>
        <v>0</v>
      </c>
      <c r="AR64" s="166">
        <f>AR62-Model!AR7</f>
        <v>0</v>
      </c>
      <c r="AS64" s="166">
        <f>AS62-Model!AS7</f>
        <v>0</v>
      </c>
      <c r="AT64" s="166">
        <f>AT62-Model!AT7</f>
        <v>0</v>
      </c>
      <c r="AU64" s="166">
        <f>AU62-Model!AU7</f>
        <v>0</v>
      </c>
      <c r="AW64" s="166">
        <f>AW62-Model!AW7</f>
        <v>0</v>
      </c>
      <c r="AX64" s="166">
        <f>AX62-Model!AX7</f>
        <v>-1.4239999999999782</v>
      </c>
    </row>
    <row r="65" spans="2:50" ht="13">
      <c r="V65" s="4"/>
      <c r="Z65" s="4"/>
      <c r="AD65" s="4"/>
      <c r="AH65" s="4"/>
      <c r="AL65" s="4"/>
      <c r="AP65" s="4"/>
      <c r="AT65" s="4"/>
    </row>
    <row r="66" spans="2:50" ht="13">
      <c r="B66" s="5" t="s">
        <v>317</v>
      </c>
    </row>
    <row r="67" spans="2:50" ht="13">
      <c r="B67" s="1" t="s">
        <v>322</v>
      </c>
      <c r="C67" s="92">
        <f t="shared" ref="C67:F69" si="71">C59/C$62</f>
        <v>0.63165819988159222</v>
      </c>
      <c r="D67" s="92">
        <f t="shared" si="71"/>
        <v>0.66735988263670165</v>
      </c>
      <c r="E67" s="92">
        <f t="shared" si="71"/>
        <v>0.67708455264656153</v>
      </c>
      <c r="F67" s="92">
        <f t="shared" si="71"/>
        <v>0.67849460365095038</v>
      </c>
      <c r="G67" s="92">
        <f>G59/G$62</f>
        <v>0.66978549383640551</v>
      </c>
      <c r="H67" s="92">
        <f t="shared" ref="H67:I69" si="72">H59/H$62</f>
        <v>0.64498060533561474</v>
      </c>
      <c r="I67" s="92">
        <f t="shared" si="72"/>
        <v>0.64627631987551926</v>
      </c>
      <c r="J67" s="92">
        <f t="shared" ref="J67:M69" si="73">J59/J$62</f>
        <v>0.67370747796298303</v>
      </c>
      <c r="K67" s="92">
        <f t="shared" ref="K67:L69" si="74">K59/K$62</f>
        <v>0.66274997244931155</v>
      </c>
      <c r="L67" s="92">
        <f t="shared" si="74"/>
        <v>0.66070314648493833</v>
      </c>
      <c r="M67" s="92">
        <f t="shared" si="73"/>
        <v>0.66150024497014159</v>
      </c>
      <c r="N67" s="92"/>
      <c r="O67" s="92">
        <f t="shared" ref="O67:V69" si="75">O59/O$62</f>
        <v>0.68596267872860794</v>
      </c>
      <c r="P67" s="92">
        <f t="shared" si="75"/>
        <v>0.67292522265795585</v>
      </c>
      <c r="Q67" s="92">
        <f t="shared" si="75"/>
        <v>0.67510671136084122</v>
      </c>
      <c r="R67" s="92">
        <f t="shared" si="75"/>
        <v>0.67499994084912263</v>
      </c>
      <c r="S67" s="92">
        <f t="shared" si="75"/>
        <v>0.68916094205182166</v>
      </c>
      <c r="T67" s="92">
        <f t="shared" si="75"/>
        <v>0.67743351543911712</v>
      </c>
      <c r="U67" s="92">
        <f t="shared" si="75"/>
        <v>0.67557077478614047</v>
      </c>
      <c r="V67" s="92">
        <f t="shared" si="75"/>
        <v>0.67272211359909384</v>
      </c>
      <c r="W67" s="92">
        <f t="shared" ref="W67:Z69" si="76">W59/W$62</f>
        <v>0.68746868423689744</v>
      </c>
      <c r="X67" s="92">
        <f t="shared" si="76"/>
        <v>0.69070621023243417</v>
      </c>
      <c r="Y67" s="92">
        <f t="shared" si="76"/>
        <v>0.65488694380829382</v>
      </c>
      <c r="Z67" s="92">
        <f t="shared" si="76"/>
        <v>0.64586493035238146</v>
      </c>
      <c r="AA67" s="92">
        <f t="shared" ref="AA67:AE69" si="77">AA59/AA$62</f>
        <v>0.66704380284959119</v>
      </c>
      <c r="AB67" s="92">
        <f t="shared" si="77"/>
        <v>0.64832702877594384</v>
      </c>
      <c r="AC67" s="92">
        <f t="shared" si="77"/>
        <v>0.62796716162700128</v>
      </c>
      <c r="AD67" s="92">
        <f t="shared" si="77"/>
        <v>0.63869448265235562</v>
      </c>
      <c r="AE67" s="92">
        <f t="shared" si="77"/>
        <v>0.66233584555153957</v>
      </c>
      <c r="AF67" s="92">
        <f t="shared" ref="AF67:AH69" si="78">AF59/AF$62</f>
        <v>0.65238685099297311</v>
      </c>
      <c r="AG67" s="92">
        <f t="shared" si="78"/>
        <v>0.63448736150749807</v>
      </c>
      <c r="AH67" s="92">
        <f t="shared" si="78"/>
        <v>0.63712761919089234</v>
      </c>
      <c r="AI67" s="92">
        <f t="shared" ref="AI67:AL69" si="79">AI59/AI$62</f>
        <v>0.67803584441053144</v>
      </c>
      <c r="AJ67" s="92">
        <f t="shared" si="79"/>
        <v>0.68864934502892017</v>
      </c>
      <c r="AK67" s="92">
        <f t="shared" si="79"/>
        <v>0.67067109949813775</v>
      </c>
      <c r="AL67" s="92">
        <f t="shared" si="79"/>
        <v>0.65765554995001763</v>
      </c>
      <c r="AM67" s="92">
        <f t="shared" ref="AM67:AP69" si="80">AM59/AM$62</f>
        <v>0.65811069092105523</v>
      </c>
      <c r="AN67" s="92">
        <f t="shared" si="80"/>
        <v>0.66419490395123137</v>
      </c>
      <c r="AO67" s="92">
        <f t="shared" si="80"/>
        <v>0.6637050168355404</v>
      </c>
      <c r="AP67" s="92">
        <f t="shared" si="80"/>
        <v>0.66525152845591196</v>
      </c>
      <c r="AQ67" s="92">
        <f t="shared" ref="AQ67:AT69" si="81">AQ59/AQ$62</f>
        <v>0.67013901291639277</v>
      </c>
      <c r="AR67" s="92">
        <f t="shared" si="81"/>
        <v>0.66678686680778054</v>
      </c>
      <c r="AS67" s="92">
        <f t="shared" si="81"/>
        <v>0.65407460542351425</v>
      </c>
      <c r="AT67" s="92">
        <f t="shared" si="81"/>
        <v>0.65157963892658421</v>
      </c>
      <c r="AU67" s="92">
        <f>AU59/AU$62</f>
        <v>0.67244307800598468</v>
      </c>
      <c r="AW67" s="92">
        <f t="shared" ref="AW67:AX69" si="82">AW59/AW$62</f>
        <v>0.69144414504915841</v>
      </c>
      <c r="AX67" s="92">
        <f t="shared" si="82"/>
        <v>0.67551779075942642</v>
      </c>
    </row>
    <row r="68" spans="2:50" ht="13">
      <c r="B68" s="1" t="s">
        <v>323</v>
      </c>
      <c r="C68" s="92">
        <f t="shared" si="71"/>
        <v>0.26123453377074535</v>
      </c>
      <c r="D68" s="92">
        <f t="shared" si="71"/>
        <v>0.24976829015210902</v>
      </c>
      <c r="E68" s="92">
        <f t="shared" si="71"/>
        <v>0.22794218576311251</v>
      </c>
      <c r="F68" s="92">
        <f t="shared" si="71"/>
        <v>0.22049145870433692</v>
      </c>
      <c r="G68" s="92">
        <f>G60/G$62</f>
        <v>0.20825817734096644</v>
      </c>
      <c r="H68" s="92">
        <f t="shared" si="72"/>
        <v>0.19693395214552684</v>
      </c>
      <c r="I68" s="92">
        <f t="shared" si="72"/>
        <v>0.19455933146525381</v>
      </c>
      <c r="J68" s="92">
        <f t="shared" si="73"/>
        <v>0.19747910471130237</v>
      </c>
      <c r="K68" s="92">
        <f t="shared" si="74"/>
        <v>0.20413296553323071</v>
      </c>
      <c r="L68" s="92">
        <f t="shared" si="74"/>
        <v>0.20611146874335481</v>
      </c>
      <c r="M68" s="92">
        <f t="shared" si="73"/>
        <v>0.20357016541083939</v>
      </c>
      <c r="N68" s="92"/>
      <c r="O68" s="92">
        <f t="shared" si="75"/>
        <v>0.23206912927861942</v>
      </c>
      <c r="P68" s="92">
        <f t="shared" si="75"/>
        <v>0.22401138323635933</v>
      </c>
      <c r="Q68" s="92">
        <f t="shared" si="75"/>
        <v>0.2238499891479972</v>
      </c>
      <c r="R68" s="92">
        <f t="shared" si="75"/>
        <v>0.23222871041623286</v>
      </c>
      <c r="S68" s="92">
        <f t="shared" si="75"/>
        <v>0.2233820689589375</v>
      </c>
      <c r="T68" s="92">
        <f t="shared" si="75"/>
        <v>0.22583930802131938</v>
      </c>
      <c r="U68" s="92">
        <f t="shared" si="75"/>
        <v>0.21334765453478441</v>
      </c>
      <c r="V68" s="92">
        <f t="shared" si="75"/>
        <v>0.21939460109753453</v>
      </c>
      <c r="W68" s="92">
        <f t="shared" si="76"/>
        <v>0.21760697464675816</v>
      </c>
      <c r="X68" s="92">
        <f t="shared" si="76"/>
        <v>0.2040932970490788</v>
      </c>
      <c r="Y68" s="92">
        <f t="shared" si="76"/>
        <v>0.2061342778648845</v>
      </c>
      <c r="Z68" s="92">
        <f t="shared" si="76"/>
        <v>0.20606427138026764</v>
      </c>
      <c r="AA68" s="92">
        <f t="shared" si="77"/>
        <v>0.19543381726380202</v>
      </c>
      <c r="AB68" s="92">
        <f t="shared" si="77"/>
        <v>0.19919422164347225</v>
      </c>
      <c r="AC68" s="92">
        <f t="shared" si="77"/>
        <v>0.19211868900203719</v>
      </c>
      <c r="AD68" s="92">
        <f t="shared" si="77"/>
        <v>0.20054995903610823</v>
      </c>
      <c r="AE68" s="92">
        <f t="shared" si="77"/>
        <v>0.19612488805821837</v>
      </c>
      <c r="AF68" s="92">
        <f t="shared" si="78"/>
        <v>0.19628118488294088</v>
      </c>
      <c r="AG68" s="92">
        <f t="shared" si="78"/>
        <v>0.18464429818408887</v>
      </c>
      <c r="AH68" s="92">
        <f t="shared" si="78"/>
        <v>0.2012333359439398</v>
      </c>
      <c r="AI68" s="92">
        <f t="shared" si="79"/>
        <v>0.19871001333448071</v>
      </c>
      <c r="AJ68" s="92">
        <f t="shared" si="79"/>
        <v>0.1931238730735178</v>
      </c>
      <c r="AK68" s="92">
        <f t="shared" si="79"/>
        <v>0.18785186537901086</v>
      </c>
      <c r="AL68" s="92">
        <f t="shared" si="79"/>
        <v>0.20984084924847624</v>
      </c>
      <c r="AM68" s="92">
        <f t="shared" si="80"/>
        <v>0.20162765787308601</v>
      </c>
      <c r="AN68" s="92">
        <f t="shared" si="80"/>
        <v>0.20952752879406655</v>
      </c>
      <c r="AO68" s="92">
        <f t="shared" si="80"/>
        <v>0.19603349714844978</v>
      </c>
      <c r="AP68" s="92">
        <f t="shared" si="80"/>
        <v>0.20957340514828496</v>
      </c>
      <c r="AQ68" s="92">
        <f t="shared" si="81"/>
        <v>0.20871722133693077</v>
      </c>
      <c r="AR68" s="92">
        <f t="shared" si="81"/>
        <v>0.2113640377565851</v>
      </c>
      <c r="AS68" s="92">
        <f t="shared" si="81"/>
        <v>0.20013096569732472</v>
      </c>
      <c r="AT68" s="92">
        <f t="shared" si="81"/>
        <v>0.20435256291021175</v>
      </c>
      <c r="AU68" s="92">
        <f>AU60/AU$62</f>
        <v>0.19928611003833896</v>
      </c>
      <c r="AW68" s="92">
        <f t="shared" si="82"/>
        <v>0.22192202102697819</v>
      </c>
      <c r="AX68" s="92">
        <f t="shared" si="82"/>
        <v>0.22703133297928837</v>
      </c>
    </row>
    <row r="69" spans="2:50" ht="13">
      <c r="B69" s="1" t="s">
        <v>324</v>
      </c>
      <c r="C69" s="92">
        <f t="shared" si="71"/>
        <v>0.10710726634766249</v>
      </c>
      <c r="D69" s="92">
        <f t="shared" si="71"/>
        <v>8.2871827211189367E-2</v>
      </c>
      <c r="E69" s="92">
        <f t="shared" si="71"/>
        <v>9.4973261590325958E-2</v>
      </c>
      <c r="F69" s="92">
        <f t="shared" si="71"/>
        <v>0.10101393764471275</v>
      </c>
      <c r="G69" s="92">
        <f>G61/G$62</f>
        <v>0.12195632882262804</v>
      </c>
      <c r="H69" s="92">
        <f t="shared" si="72"/>
        <v>0.15808544251885837</v>
      </c>
      <c r="I69" s="92">
        <f t="shared" si="72"/>
        <v>0.15916434865922688</v>
      </c>
      <c r="J69" s="92">
        <f t="shared" si="73"/>
        <v>0.12881341732571466</v>
      </c>
      <c r="K69" s="92">
        <f t="shared" si="74"/>
        <v>0.13311706201745782</v>
      </c>
      <c r="L69" s="92">
        <f t="shared" si="74"/>
        <v>0.13318538477170686</v>
      </c>
      <c r="M69" s="92">
        <f t="shared" si="73"/>
        <v>0.13492958961901899</v>
      </c>
      <c r="N69" s="92"/>
      <c r="O69" s="92">
        <f t="shared" si="75"/>
        <v>8.1968191992772735E-2</v>
      </c>
      <c r="P69" s="92">
        <f t="shared" si="75"/>
        <v>0.1030633941056848</v>
      </c>
      <c r="Q69" s="92">
        <f t="shared" si="75"/>
        <v>0.10104329949116163</v>
      </c>
      <c r="R69" s="92">
        <f t="shared" si="75"/>
        <v>9.2771348734644446E-2</v>
      </c>
      <c r="S69" s="92">
        <f t="shared" si="75"/>
        <v>8.7456988989240883E-2</v>
      </c>
      <c r="T69" s="92">
        <f t="shared" si="75"/>
        <v>9.6727176539563586E-2</v>
      </c>
      <c r="U69" s="92">
        <f t="shared" si="75"/>
        <v>0.11108157067907513</v>
      </c>
      <c r="V69" s="92">
        <f t="shared" si="75"/>
        <v>0.10788328530337173</v>
      </c>
      <c r="W69" s="92">
        <f t="shared" si="76"/>
        <v>9.4924341116344305E-2</v>
      </c>
      <c r="X69" s="92">
        <f t="shared" si="76"/>
        <v>0.10520049271848704</v>
      </c>
      <c r="Y69" s="92">
        <f t="shared" si="76"/>
        <v>0.13897877832682168</v>
      </c>
      <c r="Z69" s="92">
        <f t="shared" si="76"/>
        <v>0.14807079826735095</v>
      </c>
      <c r="AA69" s="92">
        <f t="shared" si="77"/>
        <v>0.13752237988660673</v>
      </c>
      <c r="AB69" s="92">
        <f t="shared" si="77"/>
        <v>0.15247874958058386</v>
      </c>
      <c r="AC69" s="92">
        <f t="shared" si="77"/>
        <v>0.17991414937096145</v>
      </c>
      <c r="AD69" s="92">
        <f t="shared" si="77"/>
        <v>0.16075555831153598</v>
      </c>
      <c r="AE69" s="92">
        <f t="shared" si="77"/>
        <v>0.14153926639024197</v>
      </c>
      <c r="AF69" s="92">
        <f t="shared" si="78"/>
        <v>0.15133196412408603</v>
      </c>
      <c r="AG69" s="92">
        <f t="shared" si="78"/>
        <v>0.18086834030841317</v>
      </c>
      <c r="AH69" s="92">
        <f t="shared" si="78"/>
        <v>0.16163904486516772</v>
      </c>
      <c r="AI69" s="92">
        <f t="shared" si="79"/>
        <v>0.12325414225498779</v>
      </c>
      <c r="AJ69" s="92">
        <f t="shared" si="79"/>
        <v>0.11822678189756212</v>
      </c>
      <c r="AK69" s="92">
        <f t="shared" si="79"/>
        <v>0.14147703512285134</v>
      </c>
      <c r="AL69" s="92">
        <f t="shared" si="79"/>
        <v>0.13250360080150614</v>
      </c>
      <c r="AM69" s="92">
        <f t="shared" si="80"/>
        <v>0.14026165120585876</v>
      </c>
      <c r="AN69" s="92">
        <f t="shared" si="80"/>
        <v>0.12627756725470213</v>
      </c>
      <c r="AO69" s="92">
        <f t="shared" si="80"/>
        <v>0.14026148601600982</v>
      </c>
      <c r="AP69" s="92">
        <f t="shared" si="80"/>
        <v>0.125175066395803</v>
      </c>
      <c r="AQ69" s="92">
        <f t="shared" si="81"/>
        <v>0.1211437657466764</v>
      </c>
      <c r="AR69" s="92">
        <f t="shared" si="81"/>
        <v>0.12184909543563446</v>
      </c>
      <c r="AS69" s="92">
        <f t="shared" si="81"/>
        <v>0.14579442887916094</v>
      </c>
      <c r="AT69" s="92">
        <f t="shared" si="81"/>
        <v>0.14406779816320411</v>
      </c>
      <c r="AU69" s="92">
        <f>AU61/AU$62</f>
        <v>0.12827081195567636</v>
      </c>
      <c r="AW69" s="92">
        <f t="shared" si="82"/>
        <v>8.6633833923863326E-2</v>
      </c>
      <c r="AX69" s="92">
        <f t="shared" si="82"/>
        <v>9.745087626128518E-2</v>
      </c>
    </row>
    <row r="70" spans="2:50" ht="13">
      <c r="B70" s="5" t="s">
        <v>316</v>
      </c>
      <c r="C70" s="149">
        <f t="shared" ref="C70:M70" si="83">SUM(C67:C69)</f>
        <v>1</v>
      </c>
      <c r="D70" s="149">
        <f t="shared" si="83"/>
        <v>1</v>
      </c>
      <c r="E70" s="149">
        <f t="shared" si="83"/>
        <v>1</v>
      </c>
      <c r="F70" s="149">
        <f t="shared" si="83"/>
        <v>1</v>
      </c>
      <c r="G70" s="149">
        <f t="shared" si="83"/>
        <v>1</v>
      </c>
      <c r="H70" s="149">
        <f t="shared" si="83"/>
        <v>0.99999999999999989</v>
      </c>
      <c r="I70" s="149">
        <f t="shared" si="83"/>
        <v>1</v>
      </c>
      <c r="J70" s="149">
        <f t="shared" si="83"/>
        <v>1</v>
      </c>
      <c r="K70" s="149">
        <f>SUM(K67:K69)</f>
        <v>1</v>
      </c>
      <c r="L70" s="149">
        <f>SUM(L67:L69)</f>
        <v>1</v>
      </c>
      <c r="M70" s="149">
        <f t="shared" si="83"/>
        <v>1</v>
      </c>
      <c r="N70" s="149"/>
      <c r="O70" s="149">
        <f t="shared" ref="O70:V70" si="84">SUM(O67:O69)</f>
        <v>1.0000000000000002</v>
      </c>
      <c r="P70" s="149">
        <f t="shared" si="84"/>
        <v>0.99999999999999989</v>
      </c>
      <c r="Q70" s="149">
        <f t="shared" si="84"/>
        <v>1</v>
      </c>
      <c r="R70" s="149">
        <f t="shared" si="84"/>
        <v>0.99999999999999989</v>
      </c>
      <c r="S70" s="149">
        <f t="shared" si="84"/>
        <v>1</v>
      </c>
      <c r="T70" s="149">
        <f t="shared" si="84"/>
        <v>1</v>
      </c>
      <c r="U70" s="149">
        <f t="shared" si="84"/>
        <v>1</v>
      </c>
      <c r="V70" s="149">
        <f t="shared" si="84"/>
        <v>1</v>
      </c>
      <c r="W70" s="149">
        <f t="shared" ref="W70:AC70" si="85">SUM(W67:W69)</f>
        <v>0.99999999999999989</v>
      </c>
      <c r="X70" s="149">
        <f t="shared" si="85"/>
        <v>1</v>
      </c>
      <c r="Y70" s="149">
        <f t="shared" si="85"/>
        <v>1</v>
      </c>
      <c r="Z70" s="149">
        <f t="shared" si="85"/>
        <v>1</v>
      </c>
      <c r="AA70" s="149">
        <f t="shared" si="85"/>
        <v>1</v>
      </c>
      <c r="AB70" s="149">
        <f t="shared" si="85"/>
        <v>0.99999999999999989</v>
      </c>
      <c r="AC70" s="149">
        <f t="shared" si="85"/>
        <v>1</v>
      </c>
      <c r="AD70" s="149">
        <f t="shared" ref="AD70:AI70" si="86">SUM(AD67:AD69)</f>
        <v>0.99999999999999989</v>
      </c>
      <c r="AE70" s="149">
        <f t="shared" si="86"/>
        <v>0.99999999999999989</v>
      </c>
      <c r="AF70" s="149">
        <f t="shared" si="86"/>
        <v>1</v>
      </c>
      <c r="AG70" s="149">
        <f t="shared" si="86"/>
        <v>1.0000000000000002</v>
      </c>
      <c r="AH70" s="149">
        <f t="shared" si="86"/>
        <v>0.99999999999999978</v>
      </c>
      <c r="AI70" s="149">
        <f t="shared" si="86"/>
        <v>0.99999999999999989</v>
      </c>
      <c r="AJ70" s="149">
        <f t="shared" ref="AJ70:AO70" si="87">SUM(AJ67:AJ69)</f>
        <v>1.0000000000000002</v>
      </c>
      <c r="AK70" s="149">
        <f t="shared" si="87"/>
        <v>1</v>
      </c>
      <c r="AL70" s="149">
        <f t="shared" si="87"/>
        <v>1</v>
      </c>
      <c r="AM70" s="149">
        <f t="shared" si="87"/>
        <v>1</v>
      </c>
      <c r="AN70" s="149">
        <f t="shared" si="87"/>
        <v>1</v>
      </c>
      <c r="AO70" s="149">
        <f t="shared" si="87"/>
        <v>1</v>
      </c>
      <c r="AP70" s="149">
        <f t="shared" ref="AP70:AU70" si="88">SUM(AP67:AP69)</f>
        <v>0.99999999999999989</v>
      </c>
      <c r="AQ70" s="149">
        <f t="shared" si="88"/>
        <v>0.99999999999999989</v>
      </c>
      <c r="AR70" s="149">
        <f t="shared" si="88"/>
        <v>1</v>
      </c>
      <c r="AS70" s="149">
        <f t="shared" si="88"/>
        <v>0.99999999999999989</v>
      </c>
      <c r="AT70" s="149">
        <f t="shared" si="88"/>
        <v>1</v>
      </c>
      <c r="AU70" s="149">
        <f t="shared" si="88"/>
        <v>1</v>
      </c>
      <c r="AW70" s="149">
        <f>SUM(AW67:AW69)</f>
        <v>1</v>
      </c>
      <c r="AX70" s="149">
        <f>SUM(AX67:AX69)</f>
        <v>1</v>
      </c>
    </row>
    <row r="72" spans="2:50" ht="13">
      <c r="B72" s="5" t="s">
        <v>318</v>
      </c>
    </row>
    <row r="73" spans="2:50" ht="13">
      <c r="B73" s="1" t="s">
        <v>322</v>
      </c>
      <c r="C73" s="150"/>
      <c r="D73" s="92">
        <f t="shared" ref="D73:F76" si="89">D59/C59-1</f>
        <v>2.6822549119302375E-2</v>
      </c>
      <c r="E73" s="92">
        <f t="shared" si="89"/>
        <v>-1.2926108183696439E-2</v>
      </c>
      <c r="F73" s="92">
        <f t="shared" si="89"/>
        <v>6.072701785942658E-2</v>
      </c>
      <c r="G73" s="92">
        <f t="shared" ref="G73:L76" si="90">G59/F59-1</f>
        <v>5.633995339964093E-2</v>
      </c>
      <c r="H73" s="92">
        <f>H59/G59-1</f>
        <v>-6.1345374976388145E-3</v>
      </c>
      <c r="I73" s="92">
        <f>I59/H59-1</f>
        <v>0.18360889160874527</v>
      </c>
      <c r="J73" s="92">
        <f>J59/I59-1</f>
        <v>8.9957711529955242E-2</v>
      </c>
      <c r="K73" s="92">
        <f>K59/J59-1</f>
        <v>5.4287319181408611E-2</v>
      </c>
      <c r="L73" s="92">
        <f>L59/K59-1</f>
        <v>4.8486313926950464E-2</v>
      </c>
      <c r="M73" s="289"/>
      <c r="N73" s="92"/>
      <c r="O73" s="150"/>
      <c r="P73" s="150"/>
      <c r="Q73" s="150"/>
      <c r="R73" s="150"/>
      <c r="S73" s="92">
        <f t="shared" ref="S73:AU76" si="91">S59/O59-1</f>
        <v>4.254563921969079E-2</v>
      </c>
      <c r="T73" s="92">
        <f t="shared" si="91"/>
        <v>3.2487025552297766E-2</v>
      </c>
      <c r="U73" s="92">
        <f t="shared" si="91"/>
        <v>7.7879166197826644E-2</v>
      </c>
      <c r="V73" s="92">
        <f t="shared" si="91"/>
        <v>9.1759230495215727E-2</v>
      </c>
      <c r="W73" s="92">
        <f t="shared" si="91"/>
        <v>6.843469379014433E-2</v>
      </c>
      <c r="X73" s="92">
        <f t="shared" si="91"/>
        <v>0.11876858096578946</v>
      </c>
      <c r="Y73" s="92">
        <f t="shared" si="91"/>
        <v>4.8008523654632818E-2</v>
      </c>
      <c r="Z73" s="92">
        <f t="shared" si="91"/>
        <v>-9.9469402874551305E-3</v>
      </c>
      <c r="AA73" s="92">
        <f t="shared" si="91"/>
        <v>-1.5510448679793787E-2</v>
      </c>
      <c r="AB73" s="92">
        <f t="shared" si="91"/>
        <v>-7.8896414250777314E-2</v>
      </c>
      <c r="AC73" s="92">
        <f t="shared" si="91"/>
        <v>-2.1583237149587986E-2</v>
      </c>
      <c r="AD73" s="92">
        <f t="shared" si="91"/>
        <v>0.10225113257903673</v>
      </c>
      <c r="AE73" s="92">
        <f>$AE59/$AA59-1</f>
        <v>0.22679140769207984</v>
      </c>
      <c r="AF73" s="92">
        <f t="shared" si="91"/>
        <v>0.15821716357620841</v>
      </c>
      <c r="AG73" s="92">
        <f t="shared" si="91"/>
        <v>0.22246803085068878</v>
      </c>
      <c r="AH73" s="92">
        <f t="shared" si="91"/>
        <v>0.13387329944325166</v>
      </c>
      <c r="AI73" s="92">
        <f t="shared" si="91"/>
        <v>0.15170673471009288</v>
      </c>
      <c r="AJ73" s="92">
        <f t="shared" si="91"/>
        <v>9.7231692984395934E-2</v>
      </c>
      <c r="AK73" s="92">
        <f t="shared" si="91"/>
        <v>6.3192778987867015E-2</v>
      </c>
      <c r="AL73" s="92">
        <f t="shared" si="91"/>
        <v>4.9391397080119859E-2</v>
      </c>
      <c r="AM73" s="92">
        <f t="shared" si="91"/>
        <v>4.5724522255911504E-2</v>
      </c>
      <c r="AN73" s="92">
        <f t="shared" si="91"/>
        <v>3.739870458220107E-2</v>
      </c>
      <c r="AO73" s="92">
        <f t="shared" si="91"/>
        <v>7.4606680104999379E-2</v>
      </c>
      <c r="AP73" s="92">
        <f t="shared" si="91"/>
        <v>6.0401305148859885E-2</v>
      </c>
      <c r="AQ73" s="92">
        <f t="shared" si="91"/>
        <v>7.5816378511241789E-2</v>
      </c>
      <c r="AR73" s="92">
        <f t="shared" si="91"/>
        <v>2.9957300244503271E-2</v>
      </c>
      <c r="AS73" s="92">
        <f t="shared" si="91"/>
        <v>5.0511297190461324E-2</v>
      </c>
      <c r="AT73" s="92">
        <f t="shared" si="91"/>
        <v>3.631940228294428E-2</v>
      </c>
      <c r="AU73" s="92">
        <f t="shared" si="91"/>
        <v>7.1811334854086306E-2</v>
      </c>
      <c r="AW73" s="92">
        <f t="shared" ref="AW73:AX76" si="92">AW59/O59-1</f>
        <v>3.1906410508521832E-2</v>
      </c>
      <c r="AX73" s="92">
        <f t="shared" si="92"/>
        <v>4.2298727567941174E-2</v>
      </c>
    </row>
    <row r="74" spans="2:50" ht="13">
      <c r="B74" s="1" t="s">
        <v>323</v>
      </c>
      <c r="C74" s="150"/>
      <c r="D74" s="92">
        <f t="shared" si="89"/>
        <v>-7.0768010097892797E-2</v>
      </c>
      <c r="E74" s="92">
        <f t="shared" si="89"/>
        <v>-0.11212002112246733</v>
      </c>
      <c r="F74" s="92">
        <f t="shared" si="89"/>
        <v>2.3922769942949174E-2</v>
      </c>
      <c r="G74" s="92">
        <f t="shared" si="90"/>
        <v>1.0705570271659193E-2</v>
      </c>
      <c r="H74" s="92">
        <f t="shared" si="90"/>
        <v>-2.4032818357768937E-2</v>
      </c>
      <c r="I74" s="92">
        <f t="shared" si="90"/>
        <v>0.16699259422531543</v>
      </c>
      <c r="J74" s="92">
        <f t="shared" si="90"/>
        <v>6.1269316612629909E-2</v>
      </c>
      <c r="K74" s="92">
        <f t="shared" si="90"/>
        <v>0.10782873989625341</v>
      </c>
      <c r="L74" s="92">
        <f t="shared" si="90"/>
        <v>6.1928123270622359E-2</v>
      </c>
      <c r="M74" s="289"/>
      <c r="N74" s="92"/>
      <c r="O74" s="150"/>
      <c r="P74" s="150"/>
      <c r="Q74" s="150"/>
      <c r="R74" s="150"/>
      <c r="S74" s="92">
        <f t="shared" si="91"/>
        <v>-1.1371892893567992E-3</v>
      </c>
      <c r="T74" s="92">
        <f t="shared" si="91"/>
        <v>3.3984854321613689E-2</v>
      </c>
      <c r="U74" s="92">
        <f t="shared" si="91"/>
        <v>2.6602800195531406E-2</v>
      </c>
      <c r="V74" s="92">
        <f t="shared" si="91"/>
        <v>3.4915589245142709E-2</v>
      </c>
      <c r="W74" s="92">
        <f t="shared" si="91"/>
        <v>4.3374503831872913E-2</v>
      </c>
      <c r="X74" s="92">
        <f t="shared" si="91"/>
        <v>-8.3856868407208296E-3</v>
      </c>
      <c r="Y74" s="92">
        <f t="shared" si="91"/>
        <v>4.4555884073635976E-2</v>
      </c>
      <c r="Z74" s="92">
        <f t="shared" si="91"/>
        <v>-3.1433971923054083E-2</v>
      </c>
      <c r="AA74" s="92">
        <f t="shared" si="91"/>
        <v>-8.8752014736357299E-2</v>
      </c>
      <c r="AB74" s="92">
        <f t="shared" si="91"/>
        <v>-4.2242193698781905E-2</v>
      </c>
      <c r="AC74" s="92">
        <f t="shared" si="91"/>
        <v>-4.9017157826131141E-2</v>
      </c>
      <c r="AD74" s="92">
        <f t="shared" si="91"/>
        <v>8.4798241601869995E-2</v>
      </c>
      <c r="AE74" s="92">
        <f>$AE60/$AA60-1</f>
        <v>0.23988045353536624</v>
      </c>
      <c r="AF74" s="92">
        <f t="shared" si="91"/>
        <v>0.13417706288868358</v>
      </c>
      <c r="AG74" s="92">
        <f t="shared" si="91"/>
        <v>0.1628340904289034</v>
      </c>
      <c r="AH74" s="92">
        <f t="shared" si="91"/>
        <v>0.14053498207473925</v>
      </c>
      <c r="AI74" s="92">
        <f t="shared" si="91"/>
        <v>0.13986798605135631</v>
      </c>
      <c r="AJ74" s="92">
        <f t="shared" si="91"/>
        <v>2.2734003430046501E-2</v>
      </c>
      <c r="AK74" s="92">
        <f t="shared" si="91"/>
        <v>2.3304803251452677E-2</v>
      </c>
      <c r="AL74" s="92">
        <f t="shared" si="91"/>
        <v>6.0121275601628721E-2</v>
      </c>
      <c r="AM74" s="92">
        <f t="shared" si="91"/>
        <v>9.3204354092316422E-2</v>
      </c>
      <c r="AN74" s="92">
        <f t="shared" si="91"/>
        <v>0.16695317319941183</v>
      </c>
      <c r="AO74" s="92">
        <f t="shared" si="91"/>
        <v>0.13317974549251899</v>
      </c>
      <c r="AP74" s="92">
        <f t="shared" si="91"/>
        <v>4.6957365730237566E-2</v>
      </c>
      <c r="AQ74" s="92">
        <f t="shared" si="91"/>
        <v>9.3655081304691024E-2</v>
      </c>
      <c r="AR74" s="92">
        <f t="shared" si="91"/>
        <v>3.4946089710055528E-2</v>
      </c>
      <c r="AS74" s="92">
        <f t="shared" si="91"/>
        <v>8.8259690556377057E-2</v>
      </c>
      <c r="AT74" s="92">
        <f t="shared" si="91"/>
        <v>3.1705924749200198E-2</v>
      </c>
      <c r="AU74" s="92">
        <f t="shared" si="91"/>
        <v>1.9873871284241673E-2</v>
      </c>
      <c r="AW74" s="92">
        <f t="shared" si="92"/>
        <v>-2.1036002106399887E-2</v>
      </c>
      <c r="AX74" s="92">
        <f t="shared" si="92"/>
        <v>5.2296036105446309E-2</v>
      </c>
    </row>
    <row r="75" spans="2:50" ht="13">
      <c r="B75" s="1" t="s">
        <v>324</v>
      </c>
      <c r="C75" s="150"/>
      <c r="D75" s="92">
        <f t="shared" si="89"/>
        <v>-0.24802150848501658</v>
      </c>
      <c r="E75" s="92">
        <f t="shared" si="89"/>
        <v>0.11496515171063582</v>
      </c>
      <c r="F75" s="92">
        <f t="shared" si="89"/>
        <v>0.12584884501161819</v>
      </c>
      <c r="G75" s="92">
        <f t="shared" si="90"/>
        <v>0.29192531588027415</v>
      </c>
      <c r="H75" s="92">
        <f t="shared" si="90"/>
        <v>0.33784012511232731</v>
      </c>
      <c r="I75" s="92">
        <f t="shared" si="90"/>
        <v>0.18929761614936091</v>
      </c>
      <c r="J75" s="92">
        <f t="shared" si="90"/>
        <v>-0.15380232194464549</v>
      </c>
      <c r="K75" s="92">
        <f t="shared" si="90"/>
        <v>0.10752427627242733</v>
      </c>
      <c r="L75" s="92">
        <f t="shared" si="90"/>
        <v>5.2274279191228956E-2</v>
      </c>
      <c r="M75" s="289"/>
      <c r="O75" s="150"/>
      <c r="P75" s="150"/>
      <c r="Q75" s="150"/>
      <c r="R75" s="150"/>
      <c r="S75" s="92">
        <f t="shared" si="91"/>
        <v>0.10719489088013057</v>
      </c>
      <c r="T75" s="92">
        <f t="shared" si="91"/>
        <v>-3.7437804290835319E-2</v>
      </c>
      <c r="U75" s="92">
        <f t="shared" si="91"/>
        <v>0.18414842614939864</v>
      </c>
      <c r="V75" s="92">
        <f t="shared" si="91"/>
        <v>0.27389958460454533</v>
      </c>
      <c r="W75" s="92">
        <f t="shared" si="91"/>
        <v>0.16251559634278534</v>
      </c>
      <c r="X75" s="92">
        <f t="shared" si="91"/>
        <v>0.19339123184881557</v>
      </c>
      <c r="Y75" s="92">
        <f t="shared" si="91"/>
        <v>0.35262002957752525</v>
      </c>
      <c r="Z75" s="92">
        <f t="shared" si="91"/>
        <v>0.41536263147752828</v>
      </c>
      <c r="AA75" s="92">
        <f t="shared" si="91"/>
        <v>0.46995982522506674</v>
      </c>
      <c r="AB75" s="92">
        <f t="shared" si="91"/>
        <v>0.42232634393077073</v>
      </c>
      <c r="AC75" s="92">
        <f t="shared" si="91"/>
        <v>0.32090052636872635</v>
      </c>
      <c r="AD75" s="92">
        <f t="shared" si="91"/>
        <v>0.2101122939906539</v>
      </c>
      <c r="AE75" s="92">
        <f>$AE61/$AA61-1</f>
        <v>0.271599593832478</v>
      </c>
      <c r="AF75" s="92">
        <f t="shared" si="91"/>
        <v>0.14235285642244766</v>
      </c>
      <c r="AG75" s="92">
        <f t="shared" si="91"/>
        <v>0.21632239242046691</v>
      </c>
      <c r="AH75" s="92">
        <f t="shared" si="91"/>
        <v>0.14290869985768651</v>
      </c>
      <c r="AI75" s="92">
        <f t="shared" si="91"/>
        <v>-2.0302282967481267E-2</v>
      </c>
      <c r="AJ75" s="92">
        <f t="shared" si="91"/>
        <v>-0.18793535404495865</v>
      </c>
      <c r="AK75" s="92">
        <f t="shared" si="91"/>
        <v>-0.21322817630303403</v>
      </c>
      <c r="AL75" s="92">
        <f t="shared" si="91"/>
        <v>-0.16661275950545207</v>
      </c>
      <c r="AM75" s="92">
        <f t="shared" si="91"/>
        <v>0.22605068257336169</v>
      </c>
      <c r="AN75" s="92">
        <f t="shared" si="91"/>
        <v>0.14883759513152506</v>
      </c>
      <c r="AO75" s="92">
        <f t="shared" si="91"/>
        <v>7.6555721897397344E-2</v>
      </c>
      <c r="AP75" s="92">
        <f t="shared" si="91"/>
        <v>-9.6857871734649104E-3</v>
      </c>
      <c r="AQ75" s="92">
        <f t="shared" si="91"/>
        <v>-8.7496963316867737E-2</v>
      </c>
      <c r="AR75" s="92">
        <f t="shared" si="91"/>
        <v>-1.0025917442115673E-2</v>
      </c>
      <c r="AS75" s="92">
        <f t="shared" si="91"/>
        <v>0.10802875949034463</v>
      </c>
      <c r="AT75" s="92">
        <f t="shared" si="91"/>
        <v>0.21775828765011873</v>
      </c>
      <c r="AU75" s="92">
        <f t="shared" si="91"/>
        <v>0.13097887774512729</v>
      </c>
      <c r="AW75" s="92">
        <f t="shared" si="92"/>
        <v>8.1996542587322363E-2</v>
      </c>
      <c r="AX75" s="92">
        <f t="shared" si="92"/>
        <v>-1.8244074688352763E-2</v>
      </c>
    </row>
    <row r="76" spans="2:50" ht="13">
      <c r="B76" s="5" t="s">
        <v>316</v>
      </c>
      <c r="C76" s="150"/>
      <c r="D76" s="149">
        <f t="shared" si="89"/>
        <v>-2.8109270800126041E-2</v>
      </c>
      <c r="E76" s="149">
        <f t="shared" si="89"/>
        <v>-2.7103019820125973E-2</v>
      </c>
      <c r="F76" s="149">
        <f t="shared" si="89"/>
        <v>5.852260946934229E-2</v>
      </c>
      <c r="G76" s="149">
        <f t="shared" si="90"/>
        <v>7.0075366812305528E-2</v>
      </c>
      <c r="H76" s="149">
        <f t="shared" si="90"/>
        <v>3.2087886212807337E-2</v>
      </c>
      <c r="I76" s="149">
        <f t="shared" si="90"/>
        <v>0.18123588303137228</v>
      </c>
      <c r="J76" s="149">
        <f t="shared" si="90"/>
        <v>4.5578209636893074E-2</v>
      </c>
      <c r="K76" s="149">
        <f t="shared" si="90"/>
        <v>7.1718265380063873E-2</v>
      </c>
      <c r="L76" s="149">
        <f t="shared" si="90"/>
        <v>5.1734473137411419E-2</v>
      </c>
      <c r="M76" s="289"/>
      <c r="O76" s="150"/>
      <c r="P76" s="150"/>
      <c r="Q76" s="150"/>
      <c r="R76" s="150"/>
      <c r="S76" s="149">
        <f t="shared" si="91"/>
        <v>3.7707385515460823E-2</v>
      </c>
      <c r="T76" s="149">
        <f t="shared" si="91"/>
        <v>2.56158659508674E-2</v>
      </c>
      <c r="U76" s="149">
        <f t="shared" si="91"/>
        <v>7.7138748884654884E-2</v>
      </c>
      <c r="V76" s="149">
        <f t="shared" si="91"/>
        <v>9.5455911302076313E-2</v>
      </c>
      <c r="W76" s="149">
        <f t="shared" si="91"/>
        <v>7.1064729167406027E-2</v>
      </c>
      <c r="X76" s="149">
        <f t="shared" si="91"/>
        <v>9.7270187438222466E-2</v>
      </c>
      <c r="Y76" s="149">
        <f t="shared" si="91"/>
        <v>8.1108635622906489E-2</v>
      </c>
      <c r="Z76" s="149">
        <f t="shared" si="91"/>
        <v>3.1222714851059097E-2</v>
      </c>
      <c r="AA76" s="149">
        <f t="shared" si="91"/>
        <v>1.4634621594236785E-2</v>
      </c>
      <c r="AB76" s="149">
        <f t="shared" si="91"/>
        <v>-1.868665240513856E-2</v>
      </c>
      <c r="AC76" s="149">
        <f t="shared" si="91"/>
        <v>2.0359666473297899E-2</v>
      </c>
      <c r="AD76" s="149">
        <f t="shared" si="91"/>
        <v>0.11462580358860963</v>
      </c>
      <c r="AE76" s="149">
        <f>$AE62/$AA62-1</f>
        <v>0.23551157828200386</v>
      </c>
      <c r="AF76" s="149">
        <f t="shared" si="91"/>
        <v>0.15100954471375827</v>
      </c>
      <c r="AG76" s="149">
        <f t="shared" si="91"/>
        <v>0.20990554908631487</v>
      </c>
      <c r="AH76" s="149">
        <f t="shared" si="91"/>
        <v>0.13666179046029869</v>
      </c>
      <c r="AI76" s="149">
        <f t="shared" si="91"/>
        <v>0.12503883128005877</v>
      </c>
      <c r="AJ76" s="149">
        <f t="shared" si="91"/>
        <v>3.9454308877208799E-2</v>
      </c>
      <c r="AK76" s="149">
        <f t="shared" si="91"/>
        <v>5.8318922921016814E-3</v>
      </c>
      <c r="AL76" s="149">
        <f t="shared" si="91"/>
        <v>1.6635900771878154E-2</v>
      </c>
      <c r="AM76" s="149">
        <f t="shared" si="91"/>
        <v>7.7385186489305147E-2</v>
      </c>
      <c r="AN76" s="149">
        <f t="shared" si="91"/>
        <v>7.5593826743419523E-2</v>
      </c>
      <c r="AO76" s="149">
        <f t="shared" si="91"/>
        <v>8.5885484353130481E-2</v>
      </c>
      <c r="AP76" s="149">
        <f t="shared" si="91"/>
        <v>4.8293425381595645E-2</v>
      </c>
      <c r="AQ76" s="149">
        <f t="shared" si="91"/>
        <v>5.6506555386221624E-2</v>
      </c>
      <c r="AR76" s="149">
        <f t="shared" si="91"/>
        <v>2.595360551241277E-2</v>
      </c>
      <c r="AS76" s="149">
        <f t="shared" si="91"/>
        <v>6.5978731487768671E-2</v>
      </c>
      <c r="AT76" s="149">
        <f t="shared" si="91"/>
        <v>5.80641646092388E-2</v>
      </c>
      <c r="AU76" s="149">
        <f t="shared" si="91"/>
        <v>6.8138870730299006E-2</v>
      </c>
      <c r="AW76" s="149">
        <f t="shared" si="92"/>
        <v>2.3725908474246049E-2</v>
      </c>
      <c r="AX76" s="149">
        <f t="shared" si="92"/>
        <v>3.8298491792865264E-2</v>
      </c>
    </row>
  </sheetData>
  <pageMargins left="0.7" right="0.7" top="0.75" bottom="0.75" header="0.3" footer="0.3"/>
  <pageSetup orientation="portrait" horizontalDpi="90" verticalDpi="90" r:id="rId1"/>
  <headerFooter>
    <oddFooter>&amp;C_x000D_&amp;1#&amp;"Aptos"&amp;10&amp;K000000 Barings-Corporate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24783E-EA52-47B7-9582-D0464F25C6F3}">
  <ds:schemaRefs>
    <ds:schemaRef ds:uri="http://schemas.microsoft.com/sharepoint/v3/contenttype/forms"/>
  </ds:schemaRefs>
</ds:datastoreItem>
</file>

<file path=customXml/itemProps2.xml><?xml version="1.0" encoding="utf-8"?>
<ds:datastoreItem xmlns:ds="http://schemas.openxmlformats.org/officeDocument/2006/customXml" ds:itemID="{992E9760-683C-4DAC-9ADE-C0597BBFBD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33d72f-12a9-4590-815a-2b1f92f4a7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Capitalisation</vt:lpstr>
      <vt:lpstr>Model</vt:lpstr>
      <vt:lpstr>KPIs</vt:lpstr>
      <vt:lpstr>Model!Print_Area</vt:lpstr>
      <vt:lpstr>Model!Print_Titles</vt:lpstr>
    </vt:vector>
  </TitlesOfParts>
  <Manager/>
  <Company>MassMutual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Kumar, Gunjan</cp:lastModifiedBy>
  <cp:revision/>
  <dcterms:created xsi:type="dcterms:W3CDTF">2008-03-12T15:44:19Z</dcterms:created>
  <dcterms:modified xsi:type="dcterms:W3CDTF">2026-10-05T15:42:31Z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{4EBE290E-4DA3-4A86-A5CA-D651638D9392}</vt:lpwstr>
  </property>
  <property fmtid="{D5CDD505-2E9C-101B-9397-08002B2CF9AE}" pid="3" name="WorkbookGuid">
    <vt:lpwstr>80e2a56f-7237-46a4-8ba5-1ae92b072202</vt:lpwstr>
  </property>
  <property fmtid="{D5CDD505-2E9C-101B-9397-08002B2CF9AE}" pid="4" name="MSIP_Label_e23aaa83-1940-48a9-a4d6-4a193a1929ec_Enabled">
    <vt:lpwstr>true</vt:lpwstr>
  </property>
  <property fmtid="{D5CDD505-2E9C-101B-9397-08002B2CF9AE}" pid="5" name="MSIP_Label_e23aaa83-1940-48a9-a4d6-4a193a1929ec_SetDate">
    <vt:lpwstr>2026-09-28T13:11:57Z</vt:lpwstr>
  </property>
  <property fmtid="{D5CDD505-2E9C-101B-9397-08002B2CF9AE}" pid="6" name="MSIP_Label_e23aaa83-1940-48a9-a4d6-4a193a1929ec_Method">
    <vt:lpwstr>Standard</vt:lpwstr>
  </property>
  <property fmtid="{D5CDD505-2E9C-101B-9397-08002B2CF9AE}" pid="7" name="MSIP_Label_e23aaa83-1940-48a9-a4d6-4a193a1929ec_Name">
    <vt:lpwstr>Corporate</vt:lpwstr>
  </property>
  <property fmtid="{D5CDD505-2E9C-101B-9397-08002B2CF9AE}" pid="8" name="MSIP_Label_e23aaa83-1940-48a9-a4d6-4a193a1929ec_SiteId">
    <vt:lpwstr>ce78e7b0-e32a-4428-9390-1c2ec8a59c47</vt:lpwstr>
  </property>
  <property fmtid="{D5CDD505-2E9C-101B-9397-08002B2CF9AE}" pid="9" name="MSIP_Label_e23aaa83-1940-48a9-a4d6-4a193a1929ec_ActionId">
    <vt:lpwstr>98d16ad6-2987-41fd-b9bf-dd2a3cc05b9a</vt:lpwstr>
  </property>
  <property fmtid="{D5CDD505-2E9C-101B-9397-08002B2CF9AE}" pid="10" name="MSIP_Label_e23aaa83-1940-48a9-a4d6-4a193a1929ec_ContentBits">
    <vt:lpwstr>2</vt:lpwstr>
  </property>
  <property fmtid="{D5CDD505-2E9C-101B-9397-08002B2CF9AE}" pid="11" name="MSIP_Label_e23aaa83-1940-48a9-a4d6-4a193a1929ec_Tag">
    <vt:lpwstr>10, 3, 0, 1</vt:lpwstr>
  </property>
</Properties>
</file>