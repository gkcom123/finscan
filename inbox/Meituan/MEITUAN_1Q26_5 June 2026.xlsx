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1"/>
  <workbookPr showObjects="none" codeName="ThisWorkbook"/>
  <mc:AlternateContent xmlns:mc="http://schemas.openxmlformats.org/markup-compatibility/2006">
    <mc:Choice Requires="x15">
      <x15ac:absPath xmlns:x15ac="http://schemas.microsoft.com/office/spreadsheetml/2010/11/ac" url="https://crisil-my.sharepoint.com/personal/lokeshk_ad_crisil_com/Documents/1_Team_Fixed Income (Credit)/Bara Model Work/Bara - Model Update/WIP/Jun 2026 - Meituan/1Q26/"/>
    </mc:Choice>
  </mc:AlternateContent>
  <xr:revisionPtr revIDLastSave="0" documentId="8_{A1DDA614-9241-4BEE-9612-66627B7E60B9}" xr6:coauthVersionLast="47" xr6:coauthVersionMax="47" xr10:uidLastSave="{00000000-0000-0000-0000-000000000000}"/>
  <bookViews>
    <workbookView xWindow="-120" yWindow="-120" windowWidth="29040" windowHeight="15720" xr2:uid="{00000000-000D-0000-FFFF-FFFF00000000}"/>
  </bookViews>
  <sheets>
    <sheet name="Capitalisation" sheetId="22" r:id="rId1"/>
    <sheet name="Model" sheetId="23" r:id="rId2"/>
    <sheet name="EBITDA" sheetId="26" r:id="rId3"/>
    <sheet name="KPIs" sheetId="25"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A">#REF!</definedName>
    <definedName name="\B">#REF!</definedName>
    <definedName name="\C">#REF!</definedName>
    <definedName name="\L">#REF!</definedName>
    <definedName name="\M">#REF!</definedName>
    <definedName name="\P">#REF!</definedName>
    <definedName name="\Y">#REF!</definedName>
    <definedName name="__FDS_HYPERLINK_TOGGLE_STATE__" hidden="1">"ON"</definedName>
    <definedName name="_01_30_04" localSheetId="3">MonthlyOpStats</definedName>
    <definedName name="_01_30_04">MonthlyOpStats</definedName>
    <definedName name="_1_30_01" localSheetId="3">MonthlyOpStats</definedName>
    <definedName name="_1_30_01">MonthlyOpStats</definedName>
    <definedName name="_1_30_02" localSheetId="3">MonthlyOpStats</definedName>
    <definedName name="_1_30_02">MonthlyOpStats</definedName>
    <definedName name="_1_31_01" localSheetId="3">MonthlyOpStats</definedName>
    <definedName name="_1_31_01">MonthlyOpStats</definedName>
    <definedName name="_1_31_02" localSheetId="3">MonthlyOpStats</definedName>
    <definedName name="_1_31_02">MonthlyOpStats</definedName>
    <definedName name="_12_31_05" localSheetId="3">MonthlyOpStats</definedName>
    <definedName name="_12_31_05">MonthlyOpStats</definedName>
    <definedName name="_A">#REF!</definedName>
    <definedName name="_A___0">#REF!</definedName>
    <definedName name="_B">#REF!</definedName>
    <definedName name="_B___0">#REF!</definedName>
    <definedName name="_C">#REF!</definedName>
    <definedName name="_C___0">#REF!</definedName>
    <definedName name="_ent1">[1]Inputs!$J$17</definedName>
    <definedName name="_ent10">[1]Inputs!$J$476</definedName>
    <definedName name="_ent11">[1]Inputs!$J$527</definedName>
    <definedName name="_ent12">[1]Inputs!$J$578</definedName>
    <definedName name="_ent13">[1]Inputs!$J$629</definedName>
    <definedName name="_ent14">[1]Inputs!$J$680</definedName>
    <definedName name="_ent15">[1]Inputs!$J$731</definedName>
    <definedName name="_ent2">[1]Inputs!$J$68</definedName>
    <definedName name="_ent3">[1]Inputs!$J$119</definedName>
    <definedName name="_ent4">[1]Inputs!$J$170</definedName>
    <definedName name="_ent5">[1]Inputs!$J$221</definedName>
    <definedName name="_ent6">[1]Inputs!$J$272</definedName>
    <definedName name="_ent7">[1]Inputs!$J$323</definedName>
    <definedName name="_ent8">[1]Inputs!$J$374</definedName>
    <definedName name="_ent9">[1]Inputs!$J$425</definedName>
    <definedName name="_eps1">[1]Inputs!$P$42</definedName>
    <definedName name="_eps10">[1]Inputs!$P$501</definedName>
    <definedName name="_eps11">[1]Inputs!$P$552</definedName>
    <definedName name="_eps12">[1]Inputs!$P$603</definedName>
    <definedName name="_eps13">[1]Inputs!$P$654</definedName>
    <definedName name="_eps14">[1]Inputs!$P$705</definedName>
    <definedName name="_eps15">[1]Inputs!$P$756</definedName>
    <definedName name="_eps2">[1]Inputs!$P$93</definedName>
    <definedName name="_eps3">[1]Inputs!$P$144</definedName>
    <definedName name="_eps4">[1]Inputs!$P$195</definedName>
    <definedName name="_eps5">[1]Inputs!$P$246</definedName>
    <definedName name="_eps6">[1]Inputs!$P$297</definedName>
    <definedName name="_eps7">[1]Inputs!$P$348</definedName>
    <definedName name="_eps8">[1]Inputs!$P$399</definedName>
    <definedName name="_eps9">[1]Inputs!$P$450</definedName>
    <definedName name="_Fill" hidden="1">[2]FxdChg!#REF!</definedName>
    <definedName name="_fye1">[1]Inputs!$E$12</definedName>
    <definedName name="_fye10">[1]Inputs!$E$471</definedName>
    <definedName name="_fye11">[1]Inputs!$E$522</definedName>
    <definedName name="_fye12">[1]Inputs!$E$573</definedName>
    <definedName name="_fye13">[1]Inputs!$E$624</definedName>
    <definedName name="_fye14">[1]Inputs!$E$675</definedName>
    <definedName name="_fye15">[1]Inputs!$E$726</definedName>
    <definedName name="_fye2">[1]Inputs!$E$63</definedName>
    <definedName name="_fye3">[1]Inputs!$E$114</definedName>
    <definedName name="_fye4">[1]Inputs!$E$165</definedName>
    <definedName name="_fye5">[1]Inputs!$E$216</definedName>
    <definedName name="_fye6">[1]Inputs!$E$267</definedName>
    <definedName name="_fye7">[1]Inputs!$E$318</definedName>
    <definedName name="_fye8">[1]Inputs!$E$369</definedName>
    <definedName name="_fye9">[1]Inputs!$E$420</definedName>
    <definedName name="_GEI_Returns">[3]Model!#REF!</definedName>
    <definedName name="_L">#REF!</definedName>
    <definedName name="_L___0">#REF!</definedName>
    <definedName name="_mv1">[1]Inputs!$J$16</definedName>
    <definedName name="_mv10">[1]Inputs!$J$475</definedName>
    <definedName name="_mv11">[1]Inputs!$J$526</definedName>
    <definedName name="_mv12">[1]Inputs!$J$577</definedName>
    <definedName name="_mv13">[1]Inputs!$J$628</definedName>
    <definedName name="_mv14">[1]Inputs!$J$679</definedName>
    <definedName name="_mv15">[1]Inputs!$J$730</definedName>
    <definedName name="_mv2">[1]Inputs!$J$67</definedName>
    <definedName name="_mv3">[1]Inputs!$J$118</definedName>
    <definedName name="_mv4">[1]Inputs!$J$169</definedName>
    <definedName name="_mv5">[1]Inputs!$J$220</definedName>
    <definedName name="_mv6">[1]Inputs!$J$271</definedName>
    <definedName name="_mv7">[1]Inputs!$J$322</definedName>
    <definedName name="_mv8">[1]Inputs!$J$373</definedName>
    <definedName name="_mv9">[1]Inputs!$J$424</definedName>
    <definedName name="_Order1" hidden="1">0</definedName>
    <definedName name="_Order2" hidden="1">0</definedName>
    <definedName name="_P">#REF!</definedName>
    <definedName name="_P___0">#REF!</definedName>
    <definedName name="_Table2_Out" hidden="1">#REF!</definedName>
    <definedName name="_Y">#REF!</definedName>
    <definedName name="_Y___0">#REF!</definedName>
    <definedName name="Aa_Recovery">#REF!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rued_Comp_Sales">'[4]Tanning Assumptions'!#REF!</definedName>
    <definedName name="acq">#REF!</definedName>
    <definedName name="acquiror">#REF!</definedName>
    <definedName name="AdSalesCash">#REF!</definedName>
    <definedName name="AdSalesTrade">#REF!</definedName>
    <definedName name="AdSalesWebsite">#REF!</definedName>
    <definedName name="AICORR">#REF!</definedName>
    <definedName name="AllBH">#REF!</definedName>
    <definedName name="allProjects">#REF!</definedName>
    <definedName name="amort">[5]Inputs!#REF!</definedName>
    <definedName name="AP_Sales">'[4]Tanning Assumptions'!#REF!</definedName>
    <definedName name="AR_Other_Sales">'[4]Tanning Assumptions'!#REF!</definedName>
    <definedName name="AR_Trade_Sales">'[4]Tanning Assumptions'!#REF!</definedName>
    <definedName name="As_Of_Date">[6]Selections!$C$2</definedName>
    <definedName name="asdfa">#REF!</definedName>
    <definedName name="AsOfDate">'[7]AUM YTD 2000'!$W$1</definedName>
    <definedName name="ASSUMPTIONS">#REF!</definedName>
    <definedName name="B_S">#REF!</definedName>
    <definedName name="Baa_Recovery">#REF!</definedName>
    <definedName name="bal">#REF!</definedName>
    <definedName name="banner2">[8]CONTROL!$D$10</definedName>
    <definedName name="banner2___0">[8]CONTROL!$D$10</definedName>
    <definedName name="Base_Case">#REF!</definedName>
    <definedName name="Billable">#REF!</definedName>
    <definedName name="BillableHeadcount">#REF!</definedName>
    <definedName name="body">#REF!</definedName>
    <definedName name="BREAK_EVEN">#REF!</definedName>
    <definedName name="BREAK_EVEN___0">#REF!</definedName>
    <definedName name="Broadwing__Inc__Cincinnati_Bell">#REF!</definedName>
    <definedName name="brob">#REF!</definedName>
    <definedName name="bs">[5]Inputs!#REF!</definedName>
    <definedName name="case">#REF!</definedName>
    <definedName name="case1">[9]CONTROL!$A$12</definedName>
    <definedName name="case2">[9]CONTROL!$A$13</definedName>
    <definedName name="case3">[9]CONTROL!$A$14</definedName>
    <definedName name="CASH_FLOW">#REF!</definedName>
    <definedName name="Cash_Sales">'[4]Tanning Assumptions'!#REF!</definedName>
    <definedName name="CASHBUDGET">#REF!</definedName>
    <definedName name="CASHBUDGET___0">#REF!</definedName>
    <definedName name="CASHFLOWS_MONTH">#REF!</definedName>
    <definedName name="CASHFLOWS_MONTH___0">#REF!</definedName>
    <definedName name="CASHFLOWS_YEARS">#REF!</definedName>
    <definedName name="CASHFLOWS_YEARS___0">#REF!</definedName>
    <definedName name="cashint">#REF!</definedName>
    <definedName name="cashint___0">#REF!</definedName>
    <definedName name="CBHC">#REF!</definedName>
    <definedName name="cfl">#REF!</definedName>
    <definedName name="ChartDataRange">#REF!</definedName>
    <definedName name="CINC">#REF!</definedName>
    <definedName name="CIQWBGuid" hidden="1">"a2053d85-6815-447c-8989-5e6595ddfa94"</definedName>
    <definedName name="circ">[5]Inputs!#REF!</definedName>
    <definedName name="CircRev">#REF!</definedName>
    <definedName name="Class_3_Agg_Cash">[10]Revolver!#REF!</definedName>
    <definedName name="Class_3_Amt_BET">[10]Revolver!#REF!</definedName>
    <definedName name="Class_A_Interest">#REF!</definedName>
    <definedName name="Class_A_Principal">#REF!</definedName>
    <definedName name="Class_B_Interest">#REF!</definedName>
    <definedName name="Class_B_Principal">#REF!</definedName>
    <definedName name="Class_C_Payment">#REF!</definedName>
    <definedName name="ClassABC">'[6]Debt Structure'!$AN$7</definedName>
    <definedName name="ClassABCD">'[6]Debt Structure'!$AN$8</definedName>
    <definedName name="ClassABCDE">'[6]Debt Structure'!$AN$9</definedName>
    <definedName name="Clients">#REF!</definedName>
    <definedName name="closing_date">#REF!</definedName>
    <definedName name="closingttmrevenue">#REF!</definedName>
    <definedName name="CMBSIG">#REF!</definedName>
    <definedName name="Column_Lookup">'[11]MASTER DRIVER'!$C$5:$D$29</definedName>
    <definedName name="COMBINED_J_W__3_111403_JUP_IND_PROFORMA_List">#REF!</definedName>
    <definedName name="company">[12]CONTROL!$D$7</definedName>
    <definedName name="company___0">[8]CONTROL!$D$7</definedName>
    <definedName name="cons">#REF!</definedName>
    <definedName name="consultants">#REF!</definedName>
    <definedName name="contrib2" localSheetId="3"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3" hidden="1">{"page1",#N/A,FALSE,"Temp";"page2",#N/A,FALSE,"Temp";"page3",#N/A,FALSE,"Temp";"page4",#N/A,FALSE,"Temp";"page5",#N/A,FALSE,"Temp";"page6",#N/A,FALSE,"Temp"}</definedName>
    <definedName name="contrib3" hidden="1">{"page1",#N/A,FALSE,"Temp";"page2",#N/A,FALSE,"Temp";"page3",#N/A,FALSE,"Temp";"page4",#N/A,FALSE,"Temp";"page5",#N/A,FALSE,"Temp";"page6",#N/A,FALSE,"Temp"}</definedName>
    <definedName name="convertamt">#REF!</definedName>
    <definedName name="convertamt___0">#REF!</definedName>
    <definedName name="convertper">#REF!</definedName>
    <definedName name="convertper___0">#REF!</definedName>
    <definedName name="CorpName">'[13]MASTER DRIVERS'!$A$1</definedName>
    <definedName name="COSTREPORT">#REF!</definedName>
    <definedName name="COSTREPORT___0">#REF!</definedName>
    <definedName name="counter">'[14]Portfolio Input'!#REF!</definedName>
    <definedName name="counter2">'[14]Portfolio Input'!#REF!</definedName>
    <definedName name="Coupon">[15]Inputs!$J$30</definedName>
    <definedName name="CSEnd">#REF!</definedName>
    <definedName name="CSHO">#REF!</definedName>
    <definedName name="CSHPRI">#REF!</definedName>
    <definedName name="current1">[1]Inputs!$E$21</definedName>
    <definedName name="current10">[1]Inputs!$E$480</definedName>
    <definedName name="current11">[1]Inputs!$E$531</definedName>
    <definedName name="current12">[1]Inputs!$E$582</definedName>
    <definedName name="current13">[1]Inputs!$E$633</definedName>
    <definedName name="current14">[1]Inputs!$E$684</definedName>
    <definedName name="current15">[1]Inputs!$E$735</definedName>
    <definedName name="current2">[1]Inputs!$E$72</definedName>
    <definedName name="current3">[1]Inputs!$E$123</definedName>
    <definedName name="current4">[1]Inputs!$E$174</definedName>
    <definedName name="current5">[1]Inputs!$E$225</definedName>
    <definedName name="current6">[1]Inputs!$E$276</definedName>
    <definedName name="current7">[1]Inputs!$E$327</definedName>
    <definedName name="current8">[1]Inputs!$E$378</definedName>
    <definedName name="current9">[1]Inputs!$E$429</definedName>
    <definedName name="CustomPubSales">#REF!</definedName>
    <definedName name="Date">[16]Comps!#REF!</definedName>
    <definedName name="Date_OC1">OFFSET([6]OCTrends!$B$2,0,0,COUNTA([6]OCTrends!$B$1:$B$65536)-1)</definedName>
    <definedName name="Date_OC2">OFFSET([6]OCTrends!$G$2,0,0,COUNTA([6]OCTrends!$G$1:$G$65536)-1)</definedName>
    <definedName name="Date_OC3">OFFSET([6]OCTrends!$L$2,0,0,COUNTA([6]OCTrends!$L$1:$L$65536)-1)</definedName>
    <definedName name="debtsched">[5]Inputs!#REF!</definedName>
    <definedName name="decconsultants">#REF!</definedName>
    <definedName name="decemberemployees">#REF!</definedName>
    <definedName name="decemployees">#REF!</definedName>
    <definedName name="default">#REF!</definedName>
    <definedName name="Default_Scenario">#REF!</definedName>
    <definedName name="Default_Table">#REF!</definedName>
    <definedName name="Default_Timing">#REF!</definedName>
    <definedName name="depsched">[5]Inputs!#REF!</definedName>
    <definedName name="DivActual">OFFSET([6]DivTrends!$C$2,0,0,COUNTA([6]DivTrends!$C$1:$C$65536)-1)</definedName>
    <definedName name="DivCovenant">OFFSET([6]DivTrends!$D$2,0,0,COUNTA([6]DivTrends!$D$1:$D$65536)-1)</definedName>
    <definedName name="DivDate">OFFSET([6]DivTrends!$B$2,0,0,COUNTA([6]DivTrends!$B$1:$B$65536)-1)</definedName>
    <definedName name="Diversity">'[7]Actual vs Covenant'!$P$41:$Q$48</definedName>
    <definedName name="DiversityScore">#REF!</definedName>
    <definedName name="earnout">#REF!</definedName>
    <definedName name="earnout___0">#REF!</definedName>
    <definedName name="EBIT">#REF!</definedName>
    <definedName name="EBITDA">#REF!</definedName>
    <definedName name="ebitda1">[1]Inputs!$P$46</definedName>
    <definedName name="ebitda10">[1]Inputs!$P$505</definedName>
    <definedName name="ebitda11">[1]Inputs!$P$556</definedName>
    <definedName name="ebitda12">[1]Inputs!$P$607</definedName>
    <definedName name="ebitda13">[1]Inputs!$P$658</definedName>
    <definedName name="ebitda14">[1]Inputs!$P$709</definedName>
    <definedName name="ebitda15">[1]Inputs!$P$760</definedName>
    <definedName name="ebitda2">[1]Inputs!$P$97</definedName>
    <definedName name="ebitda3">[1]Inputs!$P$148</definedName>
    <definedName name="ebitda4">[1]Inputs!$P$199</definedName>
    <definedName name="ebitda5">[1]Inputs!$P$250</definedName>
    <definedName name="ebitda6">[1]Inputs!$P$301</definedName>
    <definedName name="ebitda7">[1]Inputs!$P$352</definedName>
    <definedName name="ebitda8">[1]Inputs!$P$403</definedName>
    <definedName name="ebitda9">[1]Inputs!$P$454</definedName>
    <definedName name="effective_date">#REF!</definedName>
    <definedName name="ELC1_Top3">[7]TOP10!$D$3</definedName>
    <definedName name="ELC1_Top4">[7]TOP10!$D$8</definedName>
    <definedName name="ELC1FitchRatingChartData">[7]ELC1!$G$2:$H$11</definedName>
    <definedName name="ELC1FitchRatingChartSerial1">[7]ELC1!$H$2:$H$11</definedName>
    <definedName name="ELC1FitchRatingChartXScale">[7]ELC1!$G$2:$G$11</definedName>
    <definedName name="ELC1MoodyRatingChartData">[7]ELC1!$A$2:$B$14</definedName>
    <definedName name="ELC1MoodyRatingChartSerial1">[7]ELC1!$B$2:$B$14</definedName>
    <definedName name="ELC1MoodyRatingChartXScale">[7]ELC1!$A$2:$A$14</definedName>
    <definedName name="ELC1SPRatingChartData">[7]ELC1!$D$2:$E$14</definedName>
    <definedName name="ELC1SPRatingChartSerial1">[7]ELC1!$E$2:$E$14</definedName>
    <definedName name="ELC1SPRatingChartXScale">[7]ELC1!$D$2:$D$14</definedName>
    <definedName name="ELC2_Top3">[7]TOP10!$G$3</definedName>
    <definedName name="ELC2_Top4">[7]TOP10!$G$8</definedName>
    <definedName name="ELC2FitchRatingChartData">[7]ELC2!$G$2:$H$12</definedName>
    <definedName name="ELC2FitchRatingChartSerial1">[7]ELC2!$H$2:$H$12</definedName>
    <definedName name="ELC2FitchRatingChartXScale">[7]ELC2!$G$2:$G$12</definedName>
    <definedName name="ELC2MoodyRatingChartData">[7]ELC2!$A$2:$B$15</definedName>
    <definedName name="ELC2MoodyRatingChartSerial1">[7]ELC2!$B$2:$B$15</definedName>
    <definedName name="ELC2MoodyRatingChartXScale">[7]ELC2!$A$2:$A$15</definedName>
    <definedName name="ELC2SPRatingChartData">[7]ELC2!$D$2:$E$15</definedName>
    <definedName name="ELC2SPRatingChartSerial1">[7]ELC2!$E$2:$E$15</definedName>
    <definedName name="ELC2SPRatingChartXScale">[7]ELC2!$D$2:$D$15</definedName>
    <definedName name="ELC3_Top3">[7]TOP10!$J$3</definedName>
    <definedName name="ELC3_Top4">[7]TOP10!$J$8</definedName>
    <definedName name="ELC3FitchRatingChartData">[7]ELC3!$G$2:$H$14</definedName>
    <definedName name="ELC3FitchRatingChartSerial1">[7]ELC3!$H$2:$H$14</definedName>
    <definedName name="ELC3FitchRatingChartXScale">[7]ELC3!$G$2:$G$14</definedName>
    <definedName name="ELC3MoodyRatingChartData">[7]ELC3!$A$2:$B$15</definedName>
    <definedName name="ELC3MoodyRatingChartSerial1">[7]ELC3!$B$2:$B$15</definedName>
    <definedName name="ELC3MoodyRatingChartXScale">[7]ELC3!$A$2:$A$15</definedName>
    <definedName name="ELC3SPRatingChartData">[7]ELC3!$D$2:$E$16</definedName>
    <definedName name="ELC3SPRatingChartSerial1">[7]ELC3!$E$2:$E$16</definedName>
    <definedName name="ELC3SPRatingChartXScale">[7]ELC3!$D$2:$D$16</definedName>
    <definedName name="ELC4_Top3">[7]TOP10!$M$3</definedName>
    <definedName name="ELC4_Top4">[7]TOP10!$M$8</definedName>
    <definedName name="ELC4FitchRatingChartData">[7]ELC4!$G$2:$H$8</definedName>
    <definedName name="ELC4FitchRatingChartSerial1">[7]ELC4!$H$2:$H$8</definedName>
    <definedName name="ELC4FitchRatingChartXScale">[7]ELC4!$G$2:$G$8</definedName>
    <definedName name="ELC4MoodyRatingChartData">[7]ELC4!$A$2:$B$13</definedName>
    <definedName name="ELC4MoodyRatingChartSerial1">[7]ELC4!$B$2:$B$13</definedName>
    <definedName name="ELC4MoodyRatingChartXScale">[7]ELC4!$A$2:$A$13</definedName>
    <definedName name="ELC4SPRatingChartData">[7]ELC4!$D$2:$E$14</definedName>
    <definedName name="ELC4SPRatingChartSerial1">[7]ELC4!$E$2:$E$14</definedName>
    <definedName name="ELC4SPRatingChartXScale">[7]ELC4!$D$2:$D$14</definedName>
    <definedName name="ELC5_Top3">[7]TOP10!$P$3</definedName>
    <definedName name="ELC5_Top4">[7]TOP10!$P$8</definedName>
    <definedName name="ELC5FitchRatingChartData">[7]ELC5!$G$2:$H$9</definedName>
    <definedName name="ELC5FitchRatingChartSerial1">[7]ELC5!$H$2:$H$9</definedName>
    <definedName name="ELC5FitchRatingChartXScale">[7]ELC5!$G$2:$G$9</definedName>
    <definedName name="ELC5MoodyRatingChartData">[7]ELC5!$A$2:$B$14</definedName>
    <definedName name="ELC5MoodyRatingChartSerial1">[7]ELC5!$B$2:$B$14</definedName>
    <definedName name="ELC5MoodyRatingChartXScale">[7]ELC5!$A$2:$A$14</definedName>
    <definedName name="ELC5SPRatingChartData">[7]ELC5!$D$2:$E$14</definedName>
    <definedName name="ELC5SPRatingChartSerial1">[7]ELC5!$E$2:$E$14</definedName>
    <definedName name="ELC5SPRatingChartXScale">[7]ELC5!$D$2:$D$14</definedName>
    <definedName name="employees">#REF!</definedName>
    <definedName name="EndDay">[6]Selections!$R$3</definedName>
    <definedName name="EndMonth">[6]Selections!$R$2</definedName>
    <definedName name="EndYear">[6]Selections!$R$1</definedName>
    <definedName name="ePrint">[17]Consolidated!#REF!</definedName>
    <definedName name="EQUITY">'[9]S&amp;U'!$E$12</definedName>
    <definedName name="equityamt">#REF!</definedName>
    <definedName name="equityamt___0">#REF!</definedName>
    <definedName name="equityper">#REF!</definedName>
    <definedName name="equityper___0">#REF!</definedName>
    <definedName name="ev.Calculation" hidden="1">-4105</definedName>
    <definedName name="ev.Initialized" hidden="1">FALSE</definedName>
    <definedName name="exe">#REF!</definedName>
    <definedName name="fianal">[18]Preliminary!$A$1:$D$65</definedName>
    <definedName name="filename">[6]Selections!$U$2</definedName>
    <definedName name="Final_Number">#REF!</definedName>
    <definedName name="FinanceRev">#REF!</definedName>
    <definedName name="FinanceRev2">#REF!</definedName>
    <definedName name="firstHourDate">#REF!</definedName>
    <definedName name="firstProject">#REF!</definedName>
    <definedName name="Flat_Swap">#REF!</definedName>
    <definedName name="FSoPacific" localSheetId="3" hidden="1">{"BS",#N/A,FALSE,"USA"}</definedName>
    <definedName name="FSoPacific" hidden="1">{"BS",#N/A,FALSE,"USA"}</definedName>
    <definedName name="Fund">[6]Selections!$A$1</definedName>
    <definedName name="Fwd_Curve">#REF!</definedName>
    <definedName name="FYEMarker">#REF!</definedName>
    <definedName name="FYEMonth">#REF!</definedName>
    <definedName name="G_A_SUMMARY">#REF!</definedName>
    <definedName name="group_quarterly">#REF!</definedName>
    <definedName name="Header1">[19]_01_05_v_Wicks_xls__01_05_v_Wic!$N$1</definedName>
    <definedName name="high1">[1]Inputs!$E$23</definedName>
    <definedName name="high10">[1]Inputs!$E$482</definedName>
    <definedName name="high11">[1]Inputs!$E$533</definedName>
    <definedName name="high12">[1]Inputs!$E$584</definedName>
    <definedName name="high13">[1]Inputs!$E$635</definedName>
    <definedName name="high14">[1]Inputs!$E$686</definedName>
    <definedName name="high15">[1]Inputs!$E$737</definedName>
    <definedName name="high2">[1]Inputs!$E$74</definedName>
    <definedName name="high3">[1]Inputs!$E$125</definedName>
    <definedName name="high4">[1]Inputs!$E$176</definedName>
    <definedName name="high5">[1]Inputs!$E$227</definedName>
    <definedName name="high6">[1]Inputs!$E$278</definedName>
    <definedName name="high7">[1]Inputs!$E$329</definedName>
    <definedName name="high8">[1]Inputs!$E$380</definedName>
    <definedName name="high9">[1]Inputs!$E$431</definedName>
    <definedName name="hl">'[20]LBO Summary'!#REF!</definedName>
    <definedName name="hn.ExtDb" hidden="1">FALSE</definedName>
    <definedName name="hn.ModelType" hidden="1">"DEAL"</definedName>
    <definedName name="hn.ModelVersion" hidden="1">1</definedName>
    <definedName name="hn.NoUpload" hidden="1">0</definedName>
    <definedName name="IC1Actual">OFFSET([6]ICTrends!$C$2,0,0,COUNTA([6]ICTrends!$C$1:$C$65536)-1)</definedName>
    <definedName name="IC1ChartTitle">[6]ICTrends!$W$1</definedName>
    <definedName name="IC1Covenant">OFFSET([6]ICTrends!$D$2,0,0,COUNTA([6]ICTrends!$D$1:$D$65536)-1)</definedName>
    <definedName name="IC1Date">OFFSET([6]ICTrends!$B$2,0,0,COUNTA([6]ICTrends!$B$1:$B$65536)-1)</definedName>
    <definedName name="IC2Actual">OFFSET([6]ICTrends!$H$2,0,0,COUNTA([6]ICTrends!$H$1:$H$65536)-1)</definedName>
    <definedName name="IC2Covenant">OFFSET([6]ICTrends!$I$2,0,0,COUNTA([6]ICTrends!$I$1:$I$65536)-1)</definedName>
    <definedName name="IC2Date">OFFSET([6]ICTrends!$G$2,0,0,COUNTA([6]ICTrends!$G$1:$G$65536)-1)</definedName>
    <definedName name="IC3Actual">OFFSET([6]ICTrends!$M$2,0,0,COUNTA([6]ICTrends!$M$1:$M$65536)-1)</definedName>
    <definedName name="IC3Covenant">OFFSET([6]ICTrends!$N$2,0,0,COUNTA([6]ICTrends!$N$1:$N$65536)-1)</definedName>
    <definedName name="IC3Date">OFFSET([6]ICTrends!$L$2,0,0,COUNTA([6]ICTrends!$L$1:$L$65536)-1)</definedName>
    <definedName name="IC4Actual">OFFSET([6]ICTrends!$R$2,0,0,COUNTA([6]ICTrends!$R$1:$R$65536)-1)</definedName>
    <definedName name="IC4Covenant">OFFSET([6]ICTrends!$S$2,0,0,COUNTA([6]ICTrends!$S$1:$S$65536)-1)</definedName>
    <definedName name="IC4Date">OFFSET([6]ICTrends!$Q$2,0,0,COUNTA([6]ICTrends!$Q$1:$Q$65536)-1)</definedName>
    <definedName name="inc">#REF!</definedName>
    <definedName name="incsyntog">#REF!</definedName>
    <definedName name="incsyntog___0">#REF!</definedName>
    <definedName name="inputs">#REF!</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BONDRATING_FITCH" hidden="1">"IQ_BONDRATING_FITCH"</definedName>
    <definedName name="IQ_BONDRATING_SP" hidden="1">"IQ_BONDRATING_SP"</definedName>
    <definedName name="IQ_BOOK_VALUE" hidden="1">"IQ_BOOK_VALUE"</definedName>
    <definedName name="IQ_CAPEX_BR" hidden="1">"c111"</definedName>
    <definedName name="IQ_CH">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IT_10K" hidden="1">"IQ_EBIT_10K"</definedName>
    <definedName name="IQ_EBIT_10Q" hidden="1">"IQ_EBIT_10Q"</definedName>
    <definedName name="IQ_EBIT_10Q1" hidden="1">"IQ_EBIT_10Q1"</definedName>
    <definedName name="IQ_EBIT_GROWTH_1" hidden="1">"IQ_EBIT_GROWTH_1"</definedName>
    <definedName name="IQ_EBIT_GROWTH_2" hidden="1">"IQ_EBIT_GROWTH_2"</definedName>
    <definedName name="IQ_EBITDA_10K" hidden="1">"IQ_EBITDA_10K"</definedName>
    <definedName name="IQ_EBITDA_10Q" hidden="1">"IQ_EBITDA_10Q"</definedName>
    <definedName name="IQ_EBITDA_10Q1" hidden="1">"IQ_EBITDA_10Q1"</definedName>
    <definedName name="IQ_EBITDA_GROWTH_1" hidden="1">"IQ_EBITDA_GROWTH_1"</definedName>
    <definedName name="IQ_EBITDA_GROWTH_2" hidden="1">"IQ_EBITDA_GROWTH_2"</definedName>
    <definedName name="IQ_EBT_BR" hidden="1">"c378"</definedName>
    <definedName name="IQ_EBT_EXCL_BR" hidden="1">"c381"</definedName>
    <definedName name="IQ_EPS" hidden="1">"IQ_EPS"</definedName>
    <definedName name="IQ_EPS_10K" hidden="1">"IQ_EPS_10K"</definedName>
    <definedName name="IQ_EPS_10Q" hidden="1">"IQ_EPS_10Q"</definedName>
    <definedName name="IQ_EPS_10Q1" hidden="1">"IQ_EPS_10Q1"</definedName>
    <definedName name="IQ_EPS_EST_1" hidden="1">"IQ_EPS_EST_1"</definedName>
    <definedName name="IQ_EST_EPS_SURPRISE" hidden="1">"c1635"</definedName>
    <definedName name="IQ_EV_OVER_REVENUE_EST" hidden="1">"IQ_EV_OVER_REVENUE_EST"</definedName>
    <definedName name="IQ_EV_OVER_REVENUE_EST_1" hidden="1">"IQ_EV_OVER_REVENUE_EST_1"</definedName>
    <definedName name="IQ_EXTRA_ACC_ITEMS_BR" hidden="1">"c412"</definedName>
    <definedName name="IQ_FH">100000</definedName>
    <definedName name="IQ_FQ">500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TEREST_INC_10K" hidden="1">"IQ_INTEREST_INC_10K"</definedName>
    <definedName name="IQ_INTEREST_INC_10Q" hidden="1">"IQ_INTEREST_INC_10Q"</definedName>
    <definedName name="IQ_INTEREST_INC_10Q1" hidden="1">"IQ_INTEREST_INC_10Q1"</definedName>
    <definedName name="IQ_INVEST_LOANS_CF_BR" hidden="1">"c630"</definedName>
    <definedName name="IQ_INVEST_SECURITY_CF_BR" hidden="1">"c639"</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44297.3725</definedName>
    <definedName name="IQ_NET_DEBT_ISSUED_BR" hidden="1">"c753"</definedName>
    <definedName name="IQ_NET_INC_10K" hidden="1">"IQ_NET_INC_10K"</definedName>
    <definedName name="IQ_NET_INC_10Q" hidden="1">"IQ_NET_INC_10Q"</definedName>
    <definedName name="IQ_NET_INC_10Q1" hidden="1">"IQ_NET_INC_10Q1"</definedName>
    <definedName name="IQ_NET_INC_GROWTH_1" hidden="1">"IQ_NET_INC_GROWTH_1"</definedName>
    <definedName name="IQ_NET_INC_GROWTH_2" hidden="1">"IQ_NET_INC_GROWTH_2"</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ICE_OVER_EPS_EST" hidden="1">"IQ_PRICE_OVER_EPS_EST"</definedName>
    <definedName name="IQ_PRICE_OVER_EPS_EST_1" hidden="1">"IQ_PRICE_OVER_EPS_EST_1"</definedName>
    <definedName name="IQ_PRICEDATETIME" hidden="1">"IQ_PRICEDATETIME"</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REVENUE_10K" hidden="1">"IQ_REVENUE_10K"</definedName>
    <definedName name="IQ_REVENUE_10Q" hidden="1">"IQ_REVENUE_10Q"</definedName>
    <definedName name="IQ_REVENUE_10Q1" hidden="1">"IQ_REVENUE_10Q1"</definedName>
    <definedName name="IQ_REVENUE_EST_1" hidden="1">"IQ_REVENUE_EST_1"</definedName>
    <definedName name="IQ_REVENUE_GROWTH_1" hidden="1">"IQ_REVENUE_GROWTH_1"</definedName>
    <definedName name="IQ_REVENUE_GROWTH_2" hidden="1">"IQ_REVENUE_GROWTH_2"</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ColHidden" hidden="1">FALSE</definedName>
    <definedName name="IsLTMColHidden" hidden="1">FALSE</definedName>
    <definedName name="Item">#REF!</definedName>
    <definedName name="K2_WBEVMODE" hidden="1">-1</definedName>
    <definedName name="lastCol">#REF!</definedName>
    <definedName name="latest1">[1]Inputs!$E$13</definedName>
    <definedName name="latest10">[1]Inputs!$E$472</definedName>
    <definedName name="latest11">[1]Inputs!$E$523</definedName>
    <definedName name="latest12">[1]Inputs!$E$574</definedName>
    <definedName name="latest13">[1]Inputs!$E$625</definedName>
    <definedName name="latest14">[1]Inputs!$E$676</definedName>
    <definedName name="latest15">[1]Inputs!$E$727</definedName>
    <definedName name="latest2">[1]Inputs!$E$64</definedName>
    <definedName name="latest3">[1]Inputs!$E$115</definedName>
    <definedName name="latest4">[1]Inputs!$E$166</definedName>
    <definedName name="latest5">[1]Inputs!$E$217</definedName>
    <definedName name="latest6">[1]Inputs!$E$268</definedName>
    <definedName name="latest7">[1]Inputs!$E$319</definedName>
    <definedName name="latest8">[1]Inputs!$E$370</definedName>
    <definedName name="latest9">[1]Inputs!$E$421</definedName>
    <definedName name="LBO">'[9]S&amp;U'!#REF!</definedName>
    <definedName name="left">#REF!</definedName>
    <definedName name="lett">#REF!</definedName>
    <definedName name="LIBOR">[21]Portfolio!$E$2</definedName>
    <definedName name="Libor_Assumptions">#REF!</definedName>
    <definedName name="Libor_Curve">#REF!</definedName>
    <definedName name="Libor_Down">#REF!</definedName>
    <definedName name="Libor_Down_Up">#REF!</definedName>
    <definedName name="LIBOR_Minus_1SD">[10]Revolver!#REF!</definedName>
    <definedName name="Libor_Minus_2SD">[10]Revolver!#REF!</definedName>
    <definedName name="Libor_Plus_0SD">[10]Revolver!#REF!</definedName>
    <definedName name="Libor_Plus_1SD">[10]Revolver!#REF!</definedName>
    <definedName name="Libor_Plus_2SD">[10]Revolver!#REF!</definedName>
    <definedName name="Libor_Scenario">#REF!</definedName>
    <definedName name="Libor_Up">#REF!</definedName>
    <definedName name="longterm">[5]Inputs!#REF!</definedName>
    <definedName name="LTM_DATE">#REF!</definedName>
    <definedName name="Marketable_securities">'[22]Fly-by-night - problem 5'!#REF!</definedName>
    <definedName name="MaxMarkDate">[7]SaleData!$M$3</definedName>
    <definedName name="mcs03g.ReqArray" localSheetId="3">{"Price","ICTG","TS131","D","0","0","H"}</definedName>
    <definedName name="mcs03g.ReqArray">{"Price","ICTG","TS131","D","0","0","H"}</definedName>
    <definedName name="mcs03g.ReqArray___0">#N/A</definedName>
    <definedName name="mcs03g.ReqArray___12">#N/A</definedName>
    <definedName name="mcs03g.ReqArray___2">#N/A</definedName>
    <definedName name="MKVALM">#REF!</definedName>
    <definedName name="MONTHLYSALES">#REF!</definedName>
    <definedName name="MONTHLYSALES___0">#REF!</definedName>
    <definedName name="moodys">#REF!</definedName>
    <definedName name="mu">'[23]LBO Summary'!$G$130</definedName>
    <definedName name="Name">[5]Info!$C$8</definedName>
    <definedName name="name1">[1]Inputs!$E$10</definedName>
    <definedName name="name10">[1]Inputs!$E$469</definedName>
    <definedName name="name11">[1]Inputs!$E$520</definedName>
    <definedName name="name12">[1]Inputs!$E$571</definedName>
    <definedName name="name13">[1]Inputs!$E$622</definedName>
    <definedName name="name14">[1]Inputs!$E$673</definedName>
    <definedName name="name15">[1]Inputs!$E$724</definedName>
    <definedName name="name2">[1]Inputs!$E$61</definedName>
    <definedName name="name3">[1]Inputs!$E$112</definedName>
    <definedName name="name4">[1]Inputs!$E$163</definedName>
    <definedName name="name5">[1]Inputs!$E$214</definedName>
    <definedName name="name6">[1]Inputs!$E$265</definedName>
    <definedName name="name7">[1]Inputs!$E$316</definedName>
    <definedName name="name8">[1]Inputs!$E$367</definedName>
    <definedName name="name9">[1]Inputs!$E$418</definedName>
    <definedName name="NDY">#REF!</definedName>
    <definedName name="NDYWGT">#REF!</definedName>
    <definedName name="OC1Actual">OFFSET([6]OCTrends!$C$2,0,0,COUNTA([6]OCTrends!$C$1:$C$65536)-1)</definedName>
    <definedName name="OC1ChartTitle">[6]OCTrends!$W$1</definedName>
    <definedName name="OC1Covenant">OFFSET([6]OCTrends!$D$2,0,0,COUNTA([6]OCTrends!$D$1:$D$65536)-1)</definedName>
    <definedName name="OC1Date">OFFSET([6]OCTrends!$B$2,0,0,COUNTA([6]OCTrends!$B$1:$B$65536)-1)</definedName>
    <definedName name="OC2Actual">OFFSET([6]OCTrends!$H$2,0,0,COUNTA([6]OCTrends!$H$1:$H$65536)-1)</definedName>
    <definedName name="OC2Covenant">OFFSET([6]OCTrends!$I$2,0,0,COUNTA([6]OCTrends!$I$1:$I$65536)-1)</definedName>
    <definedName name="OC2Date">OFFSET([6]OCTrends!$G$2,0,0,COUNTA([6]OCTrends!$G$1:$G$65536)-1)</definedName>
    <definedName name="OC3Actual">OFFSET([6]OCTrends!$M$2,0,0,COUNTA([6]OCTrends!$M$1:$M$65536)-1)</definedName>
    <definedName name="OC3Covenant">OFFSET([6]OCTrends!$N$2,0,0,COUNTA([6]OCTrends!$N$1:$N$65536)-1)</definedName>
    <definedName name="OC3Date">OFFSET([6]OCTrends!$L$2,0,0,COUNTA([6]OCTrends!$L$1:$L$65536)-1)</definedName>
    <definedName name="OC4Actual">OFFSET([6]OCTrends!$R$2,0,0,COUNTA([6]OCTrends!$R$1:$R$65536)-1)</definedName>
    <definedName name="OC4Covenant">OFFSET([6]OCTrends!$S$2,0,0,COUNTA([6]OCTrends!$S$1:$S$65536)-1)</definedName>
    <definedName name="OC4Date">OFFSET([6]OCTrends!$Q$2,0,0,COUNTA([6]OCTrends!$Q$1:$Q$65536)-1)</definedName>
    <definedName name="Order">#REF!</definedName>
    <definedName name="Other_assets">'[22]Fly-by-night - problem 5'!#REF!</definedName>
    <definedName name="Other_current_liabilities_Sales">'[4]Tanning Assumptions'!#REF!</definedName>
    <definedName name="Other_long_term_liabilities">'[4]Tanning Assumptions'!#REF!</definedName>
    <definedName name="OtherRev">#REF!</definedName>
    <definedName name="P_L">#REF!</definedName>
    <definedName name="PCV">[6]Calcs!$B$1</definedName>
    <definedName name="Percentage">#REF!</definedName>
    <definedName name="Period">#REF!</definedName>
    <definedName name="Period1">#REF!</definedName>
    <definedName name="Period2">#REF!</definedName>
    <definedName name="Period3">#REF!</definedName>
    <definedName name="Period4">#REF!</definedName>
    <definedName name="Period5">#REF!</definedName>
    <definedName name="Period6">#REF!</definedName>
    <definedName name="Period7">#REF!</definedName>
    <definedName name="Period8">#REF!</definedName>
    <definedName name="PERSONAL_FINANCIAL">#REF!</definedName>
    <definedName name="PERSONAL_FINANCIAL___0">#REF!</definedName>
    <definedName name="PFLTM">'[24]VeCTOR Import'!#REF!</definedName>
    <definedName name="pik">'[9]S&amp;U'!#REF!</definedName>
    <definedName name="portion1">[1]Inputs!$E$14</definedName>
    <definedName name="portion10">[1]Inputs!$E$473</definedName>
    <definedName name="portion11">[1]Inputs!$E$524</definedName>
    <definedName name="portion12">[1]Inputs!$E$575</definedName>
    <definedName name="portion13">[1]Inputs!$E$626</definedName>
    <definedName name="portion14">[1]Inputs!$E$677</definedName>
    <definedName name="portion15">[1]Inputs!$E$728</definedName>
    <definedName name="portion2">[1]Inputs!$E$65</definedName>
    <definedName name="portion3">[1]Inputs!$E$116</definedName>
    <definedName name="portion4">[1]Inputs!$E$167</definedName>
    <definedName name="portion5">[1]Inputs!$E$218</definedName>
    <definedName name="portion6">[1]Inputs!$E$269</definedName>
    <definedName name="portion7">[1]Inputs!$E$320</definedName>
    <definedName name="portion8">[1]Inputs!$E$371</definedName>
    <definedName name="portion9">[1]Inputs!$E$422</definedName>
    <definedName name="PP_E_Sales">'[4]Tanning Assumptions'!#REF!</definedName>
    <definedName name="prefbamt">#REF!</definedName>
    <definedName name="prefbamt___0">#REF!</definedName>
    <definedName name="prefbper">#REF!</definedName>
    <definedName name="prefbper___0">#REF!</definedName>
    <definedName name="Preliminary">#REF!</definedName>
    <definedName name="Prepaids_Sales">'[4]Tanning Assumptions'!#REF!</definedName>
    <definedName name="PRICES">#REF!</definedName>
    <definedName name="PRICES___0">#REF!</definedName>
    <definedName name="_xlnm.Print_Area">#REF!</definedName>
    <definedName name="_xlnm.Print_Titles">#REF!</definedName>
    <definedName name="project">[12]CONTROL!$D$8</definedName>
    <definedName name="project___0">[8]CONTROL!$D$8</definedName>
    <definedName name="ProjList">#REF!</definedName>
    <definedName name="PublicCompany">#REF!</definedName>
    <definedName name="purchase">[25]TRANSACTION!$Q$2</definedName>
    <definedName name="PURCHASE_PRICE">[26]Sheet5:D!$A$1:$H$23</definedName>
    <definedName name="qryWSO_Positions_ByFunds_CrossTab">#REF!</definedName>
    <definedName name="quarterly">#REF!</definedName>
    <definedName name="rate">#REF!</definedName>
    <definedName name="RateTable">[27]MASTER!#REF!</definedName>
    <definedName name="Rating">'[7]Actual vs Covenant'!$P$11:$Q$18</definedName>
    <definedName name="RatingFactors">#REF!</definedName>
    <definedName name="RATIOS">#REF!</definedName>
    <definedName name="RATIOS___0">#REF!</definedName>
    <definedName name="recovery">#REF!</definedName>
    <definedName name="refi">'[28]OBS - REFI'!$AP$5</definedName>
    <definedName name="REPORT">#REF!</definedName>
    <definedName name="REPORT___0">#REF!</definedName>
    <definedName name="ReprintRev">#REF!</definedName>
    <definedName name="ret">#REF!</definedName>
    <definedName name="rhl">'[20]LBO Summary'!#REF!</definedName>
    <definedName name="RoyaltyRev">#REF!</definedName>
    <definedName name="rptData">#REF!</definedName>
    <definedName name="rr">'[20]LBO Summary'!#REF!</definedName>
    <definedName name="s">#REF!</definedName>
    <definedName name="s.outstand">[5]Inputs!#REF!</definedName>
    <definedName name="SALES">#REF!</definedName>
    <definedName name="SALES___0">#REF!</definedName>
    <definedName name="sales1">[1]Inputs!$P$29</definedName>
    <definedName name="sales10">[1]Inputs!$P$488</definedName>
    <definedName name="sales11">[1]Inputs!$P$539</definedName>
    <definedName name="sales12">[1]Inputs!$P$590</definedName>
    <definedName name="sales13">[1]Inputs!$P$641</definedName>
    <definedName name="sales14">[1]Inputs!$P$692</definedName>
    <definedName name="sales15">[1]Inputs!$P$743</definedName>
    <definedName name="sales2">[1]Inputs!$P$80</definedName>
    <definedName name="sales3">[1]Inputs!$P$131</definedName>
    <definedName name="sales4">[1]Inputs!$P$182</definedName>
    <definedName name="sales5">[1]Inputs!$P$233</definedName>
    <definedName name="sales6">[1]Inputs!$P$284</definedName>
    <definedName name="sales7">[1]Inputs!$P$335</definedName>
    <definedName name="sales8">[1]Inputs!$P$386</definedName>
    <definedName name="sales9">[1]Inputs!$P$437</definedName>
    <definedName name="scen">#REF!</definedName>
    <definedName name="Scenario_11">#REF!</definedName>
    <definedName name="Scenario_12">#REF!</definedName>
    <definedName name="Scenario_13">#REF!</definedName>
    <definedName name="Scenario_14">#REF!</definedName>
    <definedName name="Scenario_15">#REF!</definedName>
    <definedName name="Scenario_16">#REF!</definedName>
    <definedName name="Scenario_17">#REF!</definedName>
    <definedName name="Scenario_18">#REF!</definedName>
    <definedName name="Scenario_19">#REF!</definedName>
    <definedName name="Scenario_20">#REF!</definedName>
    <definedName name="Scenario_21">#REF!</definedName>
    <definedName name="Scenario_22">#REF!</definedName>
    <definedName name="Scenario_23">#REF!</definedName>
    <definedName name="Scenario_24">#REF!</definedName>
    <definedName name="Scenario_25">#REF!</definedName>
    <definedName name="Scenario_26">#REF!</definedName>
    <definedName name="Scenario_27">#REF!</definedName>
    <definedName name="Scenario_28">#REF!</definedName>
    <definedName name="Scenario_31">#REF!</definedName>
    <definedName name="Scenario_32">#REF!</definedName>
    <definedName name="Scenario_33">#REF!</definedName>
    <definedName name="Scenario_34">#REF!</definedName>
    <definedName name="Scenario_35">#REF!</definedName>
    <definedName name="Scenario_36">#REF!</definedName>
    <definedName name="Scenario_37">#REF!</definedName>
    <definedName name="Scenario_38">#REF!</definedName>
    <definedName name="Scenario_39">#REF!</definedName>
    <definedName name="Scenario_41">#REF!</definedName>
    <definedName name="Scenario_42">#REF!</definedName>
    <definedName name="Scenario_43">#REF!</definedName>
    <definedName name="Scenario_44">#REF!</definedName>
    <definedName name="Scenario_51">#REF!</definedName>
    <definedName name="Scenario_52">#REF!</definedName>
    <definedName name="Scenario_53">#REF!</definedName>
    <definedName name="Section">#REF!</definedName>
    <definedName name="SENSITIVITY">#REF!</definedName>
    <definedName name="SENSITIVITY___0">#REF!</definedName>
    <definedName name="sh.equity">[5]Inputs!#REF!</definedName>
    <definedName name="sl">'[20]LBO Summary'!#REF!</definedName>
    <definedName name="snapshotdate">#REF!</definedName>
    <definedName name="sort_range">#REF!</definedName>
    <definedName name="sponsor">'[9]S&amp;U'!$J$21</definedName>
    <definedName name="Start">#REF!</definedName>
    <definedName name="Start_Date">[6]Selections!$C$1</definedName>
    <definedName name="StartDay">[6]Selections!$P$3</definedName>
    <definedName name="StartMonth">[6]Selections!$P$2</definedName>
    <definedName name="StartRefresh">'[14]Portfolio Input'!#REF!</definedName>
    <definedName name="StartYear">[6]Selections!$P$1</definedName>
    <definedName name="Strip_Amount">#REF!</definedName>
    <definedName name="Strip_PV">#REF!</definedName>
    <definedName name="stub">#REF!</definedName>
    <definedName name="stubmonths">'[29]D&amp;A'!$C$5</definedName>
    <definedName name="sub">'[20]LBO Summary'!#REF!</definedName>
    <definedName name="subdebtamount">[15]Inputs!$J$26</definedName>
    <definedName name="subdebtdate">[15]Inputs!$J$28</definedName>
    <definedName name="Subhead1">[19]_01_05_v_Wicks_xls__01_05_v_Wic!$N$2</definedName>
    <definedName name="subHeading">#REF!</definedName>
    <definedName name="summary">#REF!</definedName>
    <definedName name="support">#REF!</definedName>
    <definedName name="sweep___9">[30]COVS_ACTUAL!#REF!</definedName>
    <definedName name="target">#REF!</definedName>
    <definedName name="tax">[31]ISCF!#REF!</definedName>
    <definedName name="Taxes_Receivable_Sales">'[4]Tanning Assumptions'!#REF!</definedName>
    <definedName name="Test">#REF!</definedName>
    <definedName name="tgt">#REF!</definedName>
    <definedName name="ticker1">[1]Inputs!$E$11</definedName>
    <definedName name="ticker10">[1]Inputs!$E$470</definedName>
    <definedName name="ticker11">[1]Inputs!$E$521</definedName>
    <definedName name="ticker12">[1]Inputs!$E$572</definedName>
    <definedName name="ticker13">[1]Inputs!$E$623</definedName>
    <definedName name="ticker14">[1]Inputs!$E$674</definedName>
    <definedName name="ticker15">[1]Inputs!$E$725</definedName>
    <definedName name="ticker2">[1]Inputs!$E$62</definedName>
    <definedName name="ticker3">[1]Inputs!$E$113</definedName>
    <definedName name="ticker4">[1]Inputs!$E$164</definedName>
    <definedName name="ticker5">[1]Inputs!$E$215</definedName>
    <definedName name="ticker6">[1]Inputs!$E$266</definedName>
    <definedName name="ticker7">[1]Inputs!$E$317</definedName>
    <definedName name="ticker8">[1]Inputs!$E$368</definedName>
    <definedName name="ticker9">[1]Inputs!$E$419</definedName>
    <definedName name="TimeEnd">[6]Selections!$L$3</definedName>
    <definedName name="TimeStart">[6]Selections!$L$2</definedName>
    <definedName name="title">[28]SUM!$A$2</definedName>
    <definedName name="today">#REF!</definedName>
    <definedName name="top">#REF!</definedName>
    <definedName name="TopIC">'[7]Actual vs Covenant'!$P$31:$Q$38</definedName>
    <definedName name="TopOC">'[7]Actual vs Covenant'!$P$21:$Q$28</definedName>
    <definedName name="TOTAL">#REF!</definedName>
    <definedName name="TOTAL___0">#REF!</definedName>
    <definedName name="Total_Europe">#REF!</definedName>
    <definedName name="TotalRev">#REF!</definedName>
    <definedName name="TradedCash">[6]Principal!$G$5</definedName>
    <definedName name="trigger">[8]OBS!$U$5</definedName>
    <definedName name="TRYN_Top3">[7]TOP10!$S$3</definedName>
    <definedName name="TRYN_Top4">[7]TOP10!$S$8</definedName>
    <definedName name="TryonFitchRatingChartData">[7]TRYN!$G$2:$H$9</definedName>
    <definedName name="TryonFitchRatingChartSerial1">[7]TRYN!$H$2:$H$9</definedName>
    <definedName name="TryonFitchRatingChartXScale">[7]TRYN!$G$2:$G$9</definedName>
    <definedName name="TryonMoodyRatingChartData">[7]TRYN!$A$2:$B$15</definedName>
    <definedName name="TryonMoodyRatingChartSerial1">[7]TRYN!$B$2:$B$15</definedName>
    <definedName name="TryonMoodyRatingChartXScale">[7]TRYN!$A$2:$A$15</definedName>
    <definedName name="TryonSPRatingChartData">[7]TRYN!$D$2:$E$15</definedName>
    <definedName name="TryonSPRatingChartSerial1">[7]TRYN!$E$2:$E$15</definedName>
    <definedName name="TryonSPRatingChartXScale">[7]TRYN!$D$2:$D$15</definedName>
    <definedName name="units">'[9]S&amp;U'!$K$2</definedName>
    <definedName name="version">[28]SUM!$AE$2</definedName>
    <definedName name="version___0">[8]CONTROL!$D$9</definedName>
    <definedName name="WACActual">OFFSET([6]WACTrends!$C$2,0,0,COUNTA([6]WACTrends!$C$1:$C$65536)-1)</definedName>
    <definedName name="WACCovenant">OFFSET([6]WACTrends!$D$2,0,0,COUNTA([6]WACTrends!$D$1:$D$65536)-1)</definedName>
    <definedName name="WACDate">OFFSET([6]WACTrends!$B$2,0,0,COUNTA([6]WACTrends!$B$1:$B$65536)-1)</definedName>
    <definedName name="WALActual">OFFSET([6]WALTrends!$C$2,0,0,COUNTA([6]WALTrends!$C$1:$C$65536)-1)</definedName>
    <definedName name="WALCovenant">OFFSET([6]WALTrends!$D$2,0,0,COUNTA([6]WALTrends!$D$1:$D$65536)-1)</definedName>
    <definedName name="WALDate">OFFSET([6]WALTrends!$B$2,0,0,COUNTA([6]WALTrends!$B$1:$B$65536)-1)</definedName>
    <definedName name="WARFActual">OFFSET([6]WARFTrends!$C$2,0,0,COUNTA([6]WARFTrends!$C$1:$C$65536)-1)</definedName>
    <definedName name="WARFCovenant">OFFSET([6]WARFTrends!$D$2,0,0,COUNTA([6]WARFTrends!$D$1:$D$65536)-1)</definedName>
    <definedName name="WARFDate">OFFSET([6]WARFTrends!$B$2,0,0,COUNTA([6]WARFTrends!$B$1:$B$65536)-1)</definedName>
    <definedName name="WARFFitchActual">OFFSET([6]WARFFitchTrends!$C$2,0,0,COUNTA([6]WARFFitchTrends!$C$1:$C$65536)-1)</definedName>
    <definedName name="WARFFitchCovenant">OFFSET([6]WARFFitchTrends!$D$2,0,0,COUNTA([6]WARFFitchTrends!$D$1:$D$65536)-1)</definedName>
    <definedName name="WARFFitchDate">OFFSET([6]WARFFitchTrends!$B$2,0,0,COUNTA([6]WARFFitchTrends!$B$1:$B$65536)-1)</definedName>
    <definedName name="warrants">[15]Inputs!$O$13</definedName>
    <definedName name="WASActual">OFFSET([6]WASTrends!$C$2,0,0,COUNTA([6]WASTrends!$C$1:$C$65536)-1)</definedName>
    <definedName name="WASCovenant">OFFSET([6]WASTrends!$D$2,0,0,COUNTA([6]WASTrends!$D$1:$D$65536)-1)</definedName>
    <definedName name="WASDate">OFFSET([6]WASTrends!$B$2,0,0,COUNTA([6]WASTrends!$B$1:$B$65536)-1)</definedName>
    <definedName name="WBMIN">'[14]Portfolio Input'!#REF!</definedName>
    <definedName name="WHAT_IF">#REF!</definedName>
    <definedName name="WHAT_IF___0">#REF!</definedName>
    <definedName name="whec">[28]WHEC!$AX$2</definedName>
    <definedName name="wicksequity">[15]Inputs!$E$35</definedName>
    <definedName name="WORKING_CAPITAL">#REF!</definedName>
    <definedName name="WORKING_CAPITAL___0">#REF!</definedName>
    <definedName name="wrn.Alloutput." localSheetId="3"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CGIC._.PLICO._.Statutory._.Results." localSheetId="3"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IS." localSheetId="3"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rossroads." localSheetId="3"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3" hidden="1">{#N/A,#N/A,FALSE,"RENT ROLL";#N/A,#N/A,FALSE,"CAM";#N/A,#N/A,FALSE,"TAXES";#N/A,#N/A,FALSE,"INSURANCE";#N/A,#N/A,FALSE,"HVAC";#N/A,#N/A,FALSE,"MARKETING"}</definedName>
    <definedName name="wrn.crossroads2" hidden="1">{#N/A,#N/A,FALSE,"RENT ROLL";#N/A,#N/A,FALSE,"CAM";#N/A,#N/A,FALSE,"TAXES";#N/A,#N/A,FALSE,"INSURANCE";#N/A,#N/A,FALSE,"HVAC";#N/A,#N/A,FALSE,"MARKETING"}</definedName>
    <definedName name="wrn.dcf." localSheetId="3"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print._.graphs." localSheetId="3"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3" hidden="1">{"inputs raw data",#N/A,TRUE,"INPUT"}</definedName>
    <definedName name="wrn.print._.raw._.data._.entry." hidden="1">{"inputs raw data",#N/A,TRUE,"INPUT"}</definedName>
    <definedName name="wrn.print._.summary._.sheets." localSheetId="3" hidden="1">{"summary1",#N/A,TRUE,"Comps";"summary2",#N/A,TRUE,"Comps";"summary3",#N/A,TRUE,"Comps"}</definedName>
    <definedName name="wrn.print._.summary._.sheets." hidden="1">{"summary1",#N/A,TRUE,"Comps";"summary2",#N/A,TRUE,"Comps";"summary3",#N/A,TRUE,"Comps"}</definedName>
    <definedName name="wrn.quick." localSheetId="3"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Sales._.Activity." localSheetId="3" hidden="1">{#N/A,#N/A,FALSE,"Integration Systems"}</definedName>
    <definedName name="wrn.Sales._.Activity." hidden="1">{#N/A,#N/A,FALSE,"Integration Systems"}</definedName>
    <definedName name="wrn.Summary." localSheetId="3"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UHCO._.Statutory._.Results." localSheetId="3"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Weekly._.Inventory._.Report." localSheetId="3" hidden="1">{#N/A,#N/A,FALSE,"Combo"}</definedName>
    <definedName name="wrn.Weekly._.Inventory._.Report." hidden="1">{#N/A,#N/A,FALSE,"Combo"}</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zip">#REF!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2" l="1"/>
  <c r="J2" i="22"/>
  <c r="AO209" i="23"/>
  <c r="AO210" i="23"/>
  <c r="AO212" i="23" s="1"/>
  <c r="AO86" i="23"/>
  <c r="C55" i="22"/>
  <c r="C28" i="22"/>
  <c r="C37" i="22" s="1"/>
  <c r="C36" i="22"/>
  <c r="C34" i="22"/>
  <c r="C32" i="22"/>
  <c r="C30" i="22"/>
  <c r="C29" i="22"/>
  <c r="D43" i="22"/>
  <c r="C44" i="22"/>
  <c r="K18" i="25"/>
  <c r="K17" i="25"/>
  <c r="K15" i="25"/>
  <c r="K10" i="25"/>
  <c r="K8" i="25"/>
  <c r="K3" i="25"/>
  <c r="AN27" i="25"/>
  <c r="AN26" i="25"/>
  <c r="AO46" i="25"/>
  <c r="AO45" i="25"/>
  <c r="J46" i="25"/>
  <c r="I46" i="25"/>
  <c r="J45" i="25"/>
  <c r="I45" i="25"/>
  <c r="AO47" i="25"/>
  <c r="AO42" i="25"/>
  <c r="AO29" i="25"/>
  <c r="AO36" i="25" s="1"/>
  <c r="AO19" i="25"/>
  <c r="AO20" i="25" s="1"/>
  <c r="AO11" i="25"/>
  <c r="AO12" i="25" s="1"/>
  <c r="O17" i="26"/>
  <c r="O27" i="26" s="1"/>
  <c r="J277" i="23"/>
  <c r="J278" i="23"/>
  <c r="K210" i="23"/>
  <c r="K209" i="23"/>
  <c r="K211" i="23" s="1"/>
  <c r="K128" i="23"/>
  <c r="K126" i="23"/>
  <c r="K123" i="23"/>
  <c r="K122" i="23"/>
  <c r="K115" i="23"/>
  <c r="K114" i="23"/>
  <c r="K110" i="23"/>
  <c r="K109" i="23"/>
  <c r="K100" i="23"/>
  <c r="K99" i="23"/>
  <c r="K98" i="23"/>
  <c r="K97" i="23"/>
  <c r="K54" i="23"/>
  <c r="K48" i="23"/>
  <c r="K28" i="23"/>
  <c r="K25" i="23"/>
  <c r="K23" i="23"/>
  <c r="K22" i="23"/>
  <c r="K21" i="23"/>
  <c r="K20" i="23"/>
  <c r="K18" i="23"/>
  <c r="K17" i="23"/>
  <c r="K16" i="23"/>
  <c r="K15" i="23"/>
  <c r="K14" i="23"/>
  <c r="K9" i="23"/>
  <c r="K3" i="23"/>
  <c r="AO139" i="23"/>
  <c r="AO134" i="23"/>
  <c r="AO110" i="23"/>
  <c r="AO109" i="23"/>
  <c r="AO100" i="23"/>
  <c r="AO101" i="23" s="1"/>
  <c r="AO48" i="23"/>
  <c r="AO7" i="23"/>
  <c r="AO34" i="23"/>
  <c r="AO264" i="23"/>
  <c r="AO260" i="23"/>
  <c r="AO255" i="23"/>
  <c r="AO231" i="23"/>
  <c r="AO232" i="23" s="1"/>
  <c r="AO225" i="23"/>
  <c r="AO214" i="23"/>
  <c r="AO188" i="23"/>
  <c r="AO164" i="23"/>
  <c r="AO158" i="23"/>
  <c r="AO152" i="23"/>
  <c r="AO219" i="23" s="1"/>
  <c r="AO147" i="23"/>
  <c r="AO131" i="23"/>
  <c r="AO120" i="23"/>
  <c r="AO119" i="23"/>
  <c r="AO116" i="23"/>
  <c r="AO111" i="23"/>
  <c r="AO38" i="23" s="1"/>
  <c r="AO104" i="23"/>
  <c r="AO106" i="23"/>
  <c r="AO95" i="23"/>
  <c r="AO85" i="23"/>
  <c r="AO61" i="23"/>
  <c r="AO55" i="23"/>
  <c r="AO165" i="23" s="1"/>
  <c r="AO46" i="23"/>
  <c r="C114" i="22"/>
  <c r="C115" i="22" s="1"/>
  <c r="D113" i="22"/>
  <c r="D112" i="22"/>
  <c r="D111" i="22"/>
  <c r="D110" i="22"/>
  <c r="C86" i="22"/>
  <c r="C84" i="22"/>
  <c r="C82" i="22"/>
  <c r="C106" i="22"/>
  <c r="C107" i="22" s="1"/>
  <c r="C98" i="22"/>
  <c r="AL42" i="25"/>
  <c r="AM42" i="25"/>
  <c r="AL43" i="25"/>
  <c r="AM43" i="25"/>
  <c r="AL44" i="25"/>
  <c r="AM44" i="25"/>
  <c r="AL47" i="25"/>
  <c r="AM47" i="25"/>
  <c r="AK43" i="25"/>
  <c r="AK44" i="25"/>
  <c r="AK47" i="25"/>
  <c r="AK42" i="25"/>
  <c r="J47" i="25"/>
  <c r="J44" i="25"/>
  <c r="J43" i="25"/>
  <c r="J42" i="25"/>
  <c r="I43" i="25"/>
  <c r="I44" i="25"/>
  <c r="I47" i="25"/>
  <c r="I42" i="25"/>
  <c r="AN28" i="25"/>
  <c r="AN25" i="25"/>
  <c r="AN24" i="25"/>
  <c r="AN23" i="25"/>
  <c r="AN42" i="25" s="1"/>
  <c r="AN18" i="25"/>
  <c r="AN17" i="25"/>
  <c r="AN16" i="25"/>
  <c r="AN15" i="25"/>
  <c r="AN10" i="25"/>
  <c r="AN9" i="25"/>
  <c r="AN8" i="25"/>
  <c r="J29" i="25"/>
  <c r="J19" i="25"/>
  <c r="J11" i="25"/>
  <c r="J12" i="25" s="1"/>
  <c r="N17" i="26"/>
  <c r="N27" i="26" s="1"/>
  <c r="E17" i="26"/>
  <c r="E27" i="26" s="1"/>
  <c r="AM212" i="23"/>
  <c r="AL212" i="23"/>
  <c r="AK212" i="23"/>
  <c r="AH212" i="23"/>
  <c r="AG212" i="23"/>
  <c r="AD212" i="23"/>
  <c r="AC212" i="23"/>
  <c r="AA212" i="23"/>
  <c r="Z212" i="23"/>
  <c r="Y212" i="23"/>
  <c r="W212" i="23"/>
  <c r="V212" i="23"/>
  <c r="U212" i="23"/>
  <c r="T212" i="23"/>
  <c r="S212" i="23"/>
  <c r="R212" i="23"/>
  <c r="Q212" i="23"/>
  <c r="P212" i="23"/>
  <c r="O212" i="23"/>
  <c r="N212" i="23"/>
  <c r="M212" i="23"/>
  <c r="E212" i="23"/>
  <c r="D212" i="23"/>
  <c r="C212" i="23"/>
  <c r="J209" i="23"/>
  <c r="AN209" i="23"/>
  <c r="AN210" i="23"/>
  <c r="AN212" i="23" s="1"/>
  <c r="AN128" i="23"/>
  <c r="AN126" i="23"/>
  <c r="AN123" i="23"/>
  <c r="AN122" i="23"/>
  <c r="AN115" i="23"/>
  <c r="AN114" i="23"/>
  <c r="K116" i="23" s="1"/>
  <c r="J110" i="23"/>
  <c r="J109" i="23"/>
  <c r="AN109" i="23" s="1"/>
  <c r="AN99" i="23"/>
  <c r="AN98" i="23"/>
  <c r="AN97" i="23"/>
  <c r="J100" i="23"/>
  <c r="AN100" i="23" s="1"/>
  <c r="G63" i="23"/>
  <c r="H63" i="23"/>
  <c r="I63" i="23"/>
  <c r="J72" i="23"/>
  <c r="J74" i="23"/>
  <c r="J71" i="23"/>
  <c r="J69" i="23"/>
  <c r="J67" i="23"/>
  <c r="J63" i="23"/>
  <c r="AN54" i="23"/>
  <c r="AO89" i="23" s="1"/>
  <c r="AO149" i="23" s="1"/>
  <c r="AN25" i="23"/>
  <c r="AN23" i="23"/>
  <c r="AN22" i="23"/>
  <c r="AN21" i="23"/>
  <c r="AN20" i="23"/>
  <c r="AN18" i="23"/>
  <c r="AN17" i="23"/>
  <c r="AN16" i="23"/>
  <c r="AN15" i="23"/>
  <c r="AN14" i="23"/>
  <c r="AN13" i="23"/>
  <c r="K13" i="23" s="1"/>
  <c r="AN9" i="23"/>
  <c r="AN7" i="23"/>
  <c r="K7" i="23" s="1"/>
  <c r="AN225" i="23"/>
  <c r="AN214" i="23"/>
  <c r="AN185" i="23"/>
  <c r="AN184" i="23"/>
  <c r="AN183" i="23"/>
  <c r="AN181" i="23"/>
  <c r="AN158" i="23"/>
  <c r="AN147" i="23"/>
  <c r="AN131" i="23"/>
  <c r="AN95" i="23"/>
  <c r="AN85" i="23"/>
  <c r="AN180" i="23"/>
  <c r="AN179" i="23"/>
  <c r="AN178" i="23"/>
  <c r="AN177" i="23"/>
  <c r="AN175" i="23"/>
  <c r="AN174" i="23"/>
  <c r="AN170" i="23"/>
  <c r="AN169" i="23"/>
  <c r="AN61" i="23"/>
  <c r="AN46" i="23"/>
  <c r="K225" i="23"/>
  <c r="K214" i="23"/>
  <c r="K158" i="23"/>
  <c r="K147" i="23"/>
  <c r="K131" i="23"/>
  <c r="K95" i="23"/>
  <c r="K85" i="23"/>
  <c r="K61" i="23"/>
  <c r="K165" i="23"/>
  <c r="K46" i="23"/>
  <c r="J225" i="23"/>
  <c r="J214" i="23"/>
  <c r="J188" i="23"/>
  <c r="J184" i="23"/>
  <c r="J179" i="23"/>
  <c r="J174" i="23"/>
  <c r="J171" i="23"/>
  <c r="J170" i="23"/>
  <c r="J164" i="23"/>
  <c r="J161" i="23"/>
  <c r="J158" i="23"/>
  <c r="J152" i="23"/>
  <c r="J147" i="23"/>
  <c r="J131" i="23"/>
  <c r="J116" i="23"/>
  <c r="J105" i="23"/>
  <c r="J104" i="23"/>
  <c r="J95" i="23"/>
  <c r="J90" i="23"/>
  <c r="J89" i="23"/>
  <c r="J86" i="23"/>
  <c r="J148" i="23" s="1"/>
  <c r="J85" i="23"/>
  <c r="J62" i="23"/>
  <c r="J61" i="23"/>
  <c r="J56" i="23"/>
  <c r="J166" i="23" s="1"/>
  <c r="J55" i="23"/>
  <c r="J165" i="23" s="1"/>
  <c r="J46" i="23"/>
  <c r="J40" i="23"/>
  <c r="J39" i="23"/>
  <c r="J37" i="23"/>
  <c r="J36" i="23"/>
  <c r="J35" i="23"/>
  <c r="J34" i="23"/>
  <c r="J33" i="23"/>
  <c r="J32" i="23"/>
  <c r="J10" i="23"/>
  <c r="J8" i="23"/>
  <c r="C151" i="22"/>
  <c r="C152" i="22" s="1"/>
  <c r="C143" i="22"/>
  <c r="C133" i="22"/>
  <c r="C131" i="22"/>
  <c r="C129" i="22"/>
  <c r="C128" i="22"/>
  <c r="I29" i="25"/>
  <c r="I38" i="25" s="1"/>
  <c r="H29" i="25"/>
  <c r="H34" i="25" s="1"/>
  <c r="AJ29" i="25"/>
  <c r="AJ35" i="25" s="1"/>
  <c r="AH29" i="25"/>
  <c r="AH35" i="25" s="1"/>
  <c r="AL29" i="25"/>
  <c r="AL35" i="25" s="1"/>
  <c r="AI29" i="25"/>
  <c r="AI35" i="25" s="1"/>
  <c r="AM29" i="25"/>
  <c r="AM35" i="25" s="1"/>
  <c r="AM19" i="25"/>
  <c r="AM11" i="25"/>
  <c r="AM12" i="25" s="1"/>
  <c r="I17" i="26"/>
  <c r="I27" i="26" s="1"/>
  <c r="H17" i="26"/>
  <c r="H27" i="26" s="1"/>
  <c r="M17" i="26"/>
  <c r="M27" i="26" s="1"/>
  <c r="AM209" i="23"/>
  <c r="AO211" i="23" s="1"/>
  <c r="AM210" i="23"/>
  <c r="AM110" i="23"/>
  <c r="AM120" i="23" s="1"/>
  <c r="C126" i="22" s="1"/>
  <c r="AM109" i="23"/>
  <c r="AM119" i="23" s="1"/>
  <c r="C125" i="22" s="1"/>
  <c r="AM100" i="23"/>
  <c r="AM101" i="23" s="1"/>
  <c r="AM48" i="23"/>
  <c r="I39" i="23"/>
  <c r="H39" i="23"/>
  <c r="AM225" i="23"/>
  <c r="AM214" i="23"/>
  <c r="AM188" i="23"/>
  <c r="AM164" i="23"/>
  <c r="AM161" i="23"/>
  <c r="AM158" i="23"/>
  <c r="AM152" i="23"/>
  <c r="AM147" i="23"/>
  <c r="AM131" i="23"/>
  <c r="AM116" i="23"/>
  <c r="AM105" i="23"/>
  <c r="AM104" i="23"/>
  <c r="AM95" i="23"/>
  <c r="AM85" i="23"/>
  <c r="AM61" i="23"/>
  <c r="AM56" i="23"/>
  <c r="AM166" i="23" s="1"/>
  <c r="AM55" i="23"/>
  <c r="AM165" i="23" s="1"/>
  <c r="AM46" i="23"/>
  <c r="AM44" i="23"/>
  <c r="AM43" i="23"/>
  <c r="AM40" i="23"/>
  <c r="AM37" i="23"/>
  <c r="AM36" i="23"/>
  <c r="AM35" i="23"/>
  <c r="AM34" i="23"/>
  <c r="AM33" i="23"/>
  <c r="AM32" i="23"/>
  <c r="AM10" i="23"/>
  <c r="AM8" i="23"/>
  <c r="C182" i="22"/>
  <c r="C183" i="22" s="1"/>
  <c r="C175" i="22"/>
  <c r="C168" i="22"/>
  <c r="C166" i="22"/>
  <c r="C164" i="22"/>
  <c r="C163" i="22"/>
  <c r="J156" i="22"/>
  <c r="C174" i="22"/>
  <c r="J162" i="22"/>
  <c r="AL19" i="25"/>
  <c r="AL11" i="25"/>
  <c r="AL12" i="25" s="1"/>
  <c r="L17" i="26"/>
  <c r="L27" i="26" s="1"/>
  <c r="AL241" i="23"/>
  <c r="AL110" i="23"/>
  <c r="AL120" i="23" s="1"/>
  <c r="C161" i="22" s="1"/>
  <c r="AL109" i="23"/>
  <c r="AL119" i="23" s="1"/>
  <c r="C160" i="22" s="1"/>
  <c r="AL100" i="23"/>
  <c r="AL101" i="23" s="1"/>
  <c r="AL116" i="23"/>
  <c r="AL48" i="23"/>
  <c r="AL28" i="23"/>
  <c r="AL264" i="23"/>
  <c r="AL263" i="23"/>
  <c r="AL260" i="23"/>
  <c r="AL255" i="23"/>
  <c r="AL225" i="23"/>
  <c r="AL214" i="23"/>
  <c r="AL188" i="23"/>
  <c r="AL184" i="23"/>
  <c r="AL179" i="23"/>
  <c r="AL178" i="23"/>
  <c r="AL175" i="23"/>
  <c r="AL174" i="23"/>
  <c r="AL171" i="23"/>
  <c r="AL170" i="23"/>
  <c r="AL169" i="23"/>
  <c r="AL164" i="23"/>
  <c r="AL161" i="23"/>
  <c r="AL158" i="23"/>
  <c r="AL152" i="23"/>
  <c r="AL219" i="23" s="1"/>
  <c r="AL147" i="23"/>
  <c r="AL131" i="23"/>
  <c r="AL105" i="23"/>
  <c r="AL104" i="23"/>
  <c r="AL95" i="23"/>
  <c r="AL85" i="23"/>
  <c r="AL61" i="23"/>
  <c r="AL56" i="23"/>
  <c r="AL166" i="23" s="1"/>
  <c r="AL55" i="23"/>
  <c r="AL165" i="23" s="1"/>
  <c r="AL46" i="23"/>
  <c r="AL43" i="23"/>
  <c r="AL40" i="23"/>
  <c r="AL37" i="23"/>
  <c r="AL36" i="23"/>
  <c r="AL35" i="23"/>
  <c r="AL34" i="23"/>
  <c r="AL33" i="23"/>
  <c r="AL32" i="23"/>
  <c r="AL10" i="23"/>
  <c r="AL11" i="23" s="1"/>
  <c r="AL8" i="23"/>
  <c r="C213" i="22"/>
  <c r="C214" i="22" s="1"/>
  <c r="C206" i="22"/>
  <c r="J187" i="22"/>
  <c r="C199" i="22"/>
  <c r="C197" i="22"/>
  <c r="C195" i="22"/>
  <c r="C194" i="22"/>
  <c r="C205" i="22"/>
  <c r="J193" i="22"/>
  <c r="AG29" i="25"/>
  <c r="AK29" i="25"/>
  <c r="AK37" i="25" s="1"/>
  <c r="AK19" i="25"/>
  <c r="AK11" i="25"/>
  <c r="AK12" i="25" s="1"/>
  <c r="C17" i="26"/>
  <c r="C27" i="26" s="1"/>
  <c r="D17" i="26"/>
  <c r="D27" i="26" s="1"/>
  <c r="J17" i="26"/>
  <c r="J27" i="26" s="1"/>
  <c r="G17" i="26"/>
  <c r="G27" i="26" s="1"/>
  <c r="K17" i="26"/>
  <c r="K27" i="26" s="1"/>
  <c r="AK110" i="23"/>
  <c r="AK120" i="23" s="1"/>
  <c r="C192" i="22" s="1"/>
  <c r="AK109" i="23"/>
  <c r="AK119" i="23" s="1"/>
  <c r="C191" i="22" s="1"/>
  <c r="AK100" i="23"/>
  <c r="AK101" i="23" s="1"/>
  <c r="AK48" i="23"/>
  <c r="I75" i="23"/>
  <c r="I74" i="23"/>
  <c r="I72" i="23"/>
  <c r="I67" i="23"/>
  <c r="I71" i="23" s="1"/>
  <c r="H73" i="23"/>
  <c r="H67" i="23"/>
  <c r="H71" i="23" s="1"/>
  <c r="I62" i="23"/>
  <c r="AK264" i="23"/>
  <c r="AK263" i="23"/>
  <c r="AK260" i="23"/>
  <c r="AK255" i="23"/>
  <c r="AK225" i="23"/>
  <c r="AK214" i="23"/>
  <c r="AK231" i="23"/>
  <c r="AK188" i="23"/>
  <c r="AK164" i="23"/>
  <c r="AK161" i="23"/>
  <c r="AK158" i="23"/>
  <c r="AK152" i="23"/>
  <c r="AK219" i="23" s="1"/>
  <c r="AK147" i="23"/>
  <c r="AK131" i="23"/>
  <c r="AK116" i="23"/>
  <c r="AK105" i="23"/>
  <c r="AK104" i="23"/>
  <c r="AK95" i="23"/>
  <c r="AK85" i="23"/>
  <c r="AK61" i="23"/>
  <c r="AK56" i="23"/>
  <c r="AK166" i="23" s="1"/>
  <c r="AK55" i="23"/>
  <c r="AK165" i="23" s="1"/>
  <c r="AK46" i="23"/>
  <c r="AK44" i="23"/>
  <c r="AK43" i="23"/>
  <c r="AK40" i="23"/>
  <c r="AK37" i="23"/>
  <c r="AK36" i="23"/>
  <c r="AK35" i="23"/>
  <c r="AK34" i="23"/>
  <c r="AK33" i="23"/>
  <c r="AK32" i="23"/>
  <c r="AK10" i="23"/>
  <c r="AK19" i="23" s="1"/>
  <c r="AK8" i="23"/>
  <c r="C242" i="22"/>
  <c r="AO263" i="23" l="1"/>
  <c r="D52" i="22"/>
  <c r="D53" i="22"/>
  <c r="E22" i="22"/>
  <c r="D48" i="22"/>
  <c r="D49" i="22"/>
  <c r="D50" i="22"/>
  <c r="D51" i="22"/>
  <c r="D54" i="22"/>
  <c r="E13" i="22"/>
  <c r="E18" i="22"/>
  <c r="E9" i="22"/>
  <c r="E17" i="22"/>
  <c r="E20" i="22"/>
  <c r="E36" i="22"/>
  <c r="E21" i="22"/>
  <c r="E7" i="22"/>
  <c r="E25" i="22"/>
  <c r="E26" i="22"/>
  <c r="E12" i="22"/>
  <c r="E30" i="22"/>
  <c r="E8" i="22"/>
  <c r="E11" i="22"/>
  <c r="D28" i="22"/>
  <c r="E16" i="22"/>
  <c r="E29" i="22"/>
  <c r="E32" i="22"/>
  <c r="E34" i="22"/>
  <c r="C31" i="22"/>
  <c r="D41" i="22"/>
  <c r="D42" i="22"/>
  <c r="AK36" i="25"/>
  <c r="AK48" i="25"/>
  <c r="AO37" i="25"/>
  <c r="AN19" i="25"/>
  <c r="AN44" i="25"/>
  <c r="AI34" i="25"/>
  <c r="J48" i="25"/>
  <c r="AL34" i="25"/>
  <c r="AM34" i="25"/>
  <c r="I35" i="25"/>
  <c r="I33" i="25"/>
  <c r="I48" i="25"/>
  <c r="AL48" i="25"/>
  <c r="AM48" i="25"/>
  <c r="AN43" i="25"/>
  <c r="AO48" i="25"/>
  <c r="AH34" i="25"/>
  <c r="AN47" i="25"/>
  <c r="AN29" i="25"/>
  <c r="AN48" i="25" s="1"/>
  <c r="AJ34" i="25"/>
  <c r="AO38" i="25"/>
  <c r="AO30" i="25"/>
  <c r="AO33" i="25"/>
  <c r="AO265" i="23"/>
  <c r="AO121" i="23"/>
  <c r="AO187" i="23" s="1"/>
  <c r="AO105" i="23"/>
  <c r="AO8" i="23"/>
  <c r="AO10" i="23"/>
  <c r="AO37" i="23"/>
  <c r="AO161" i="23"/>
  <c r="AO162" i="23" s="1"/>
  <c r="AO36" i="23"/>
  <c r="AO40" i="23"/>
  <c r="AO35" i="23"/>
  <c r="AO228" i="23"/>
  <c r="AO233" i="23" s="1"/>
  <c r="AO56" i="23"/>
  <c r="AO166" i="23" s="1"/>
  <c r="AO43" i="23"/>
  <c r="AO44" i="23"/>
  <c r="AO33" i="23"/>
  <c r="AO32" i="23"/>
  <c r="AO216" i="23"/>
  <c r="AO129" i="23"/>
  <c r="AO124" i="23"/>
  <c r="AO254" i="23"/>
  <c r="AO196" i="23"/>
  <c r="J61" i="22"/>
  <c r="AO39" i="23"/>
  <c r="AO148" i="23"/>
  <c r="AO215" i="23" s="1"/>
  <c r="C83" i="22"/>
  <c r="C88" i="22"/>
  <c r="D114" i="22"/>
  <c r="K11" i="25"/>
  <c r="K12" i="25" s="1"/>
  <c r="AN11" i="25"/>
  <c r="AN12" i="25" s="1"/>
  <c r="AG35" i="25"/>
  <c r="AG34" i="25"/>
  <c r="K19" i="25"/>
  <c r="J30" i="25"/>
  <c r="J38" i="25"/>
  <c r="J34" i="25"/>
  <c r="J33" i="25"/>
  <c r="J35" i="25"/>
  <c r="I30" i="25"/>
  <c r="I34" i="25"/>
  <c r="H30" i="25"/>
  <c r="H35" i="25"/>
  <c r="H38" i="25"/>
  <c r="H33" i="25"/>
  <c r="AJ38" i="25"/>
  <c r="AJ33" i="25"/>
  <c r="AH30" i="25"/>
  <c r="AH38" i="25"/>
  <c r="AH33" i="25"/>
  <c r="AL30" i="25"/>
  <c r="AL38" i="25"/>
  <c r="AL33" i="25"/>
  <c r="AI30" i="25"/>
  <c r="AI38" i="25"/>
  <c r="AI33" i="25"/>
  <c r="AM30" i="25"/>
  <c r="AM38" i="25"/>
  <c r="AM33" i="25"/>
  <c r="AG30" i="25"/>
  <c r="AG38" i="25"/>
  <c r="AG33" i="25"/>
  <c r="AK30" i="25"/>
  <c r="AK38" i="25"/>
  <c r="AK33" i="25"/>
  <c r="J210" i="23"/>
  <c r="J212" i="23" s="1"/>
  <c r="K104" i="23"/>
  <c r="AN211" i="23"/>
  <c r="J120" i="23"/>
  <c r="AN110" i="23"/>
  <c r="AN111" i="23" s="1"/>
  <c r="AN38" i="23" s="1"/>
  <c r="K39" i="23"/>
  <c r="K188" i="23"/>
  <c r="K152" i="23"/>
  <c r="K219" i="23" s="1"/>
  <c r="J175" i="23"/>
  <c r="AN89" i="23"/>
  <c r="C90" i="22" s="1"/>
  <c r="AN48" i="23"/>
  <c r="AN39" i="23"/>
  <c r="AN35" i="23"/>
  <c r="AN32" i="23"/>
  <c r="AN152" i="23"/>
  <c r="AN219" i="23" s="1"/>
  <c r="AN188" i="23"/>
  <c r="AN173" i="23"/>
  <c r="AN171" i="23"/>
  <c r="J58" i="23"/>
  <c r="J44" i="23"/>
  <c r="J59" i="23"/>
  <c r="J43" i="23"/>
  <c r="J121" i="22"/>
  <c r="AM255" i="23"/>
  <c r="AM264" i="23"/>
  <c r="AN28" i="23"/>
  <c r="K161" i="23"/>
  <c r="K105" i="23"/>
  <c r="K86" i="23"/>
  <c r="K148" i="23" s="1"/>
  <c r="K40" i="23"/>
  <c r="K34" i="23"/>
  <c r="K10" i="23"/>
  <c r="K59" i="23"/>
  <c r="K58" i="23"/>
  <c r="K56" i="23"/>
  <c r="K166" i="23" s="1"/>
  <c r="K44" i="23"/>
  <c r="K43" i="23"/>
  <c r="K37" i="23"/>
  <c r="K35" i="23"/>
  <c r="K32" i="23"/>
  <c r="K33" i="23"/>
  <c r="K36" i="23"/>
  <c r="AN105" i="23"/>
  <c r="AN40" i="23"/>
  <c r="AN37" i="23"/>
  <c r="AN36" i="23"/>
  <c r="AN34" i="23"/>
  <c r="AN33" i="23"/>
  <c r="AN255" i="23"/>
  <c r="AN264" i="23"/>
  <c r="AN260" i="23"/>
  <c r="AN248" i="23"/>
  <c r="AN240" i="23"/>
  <c r="AN235" i="23"/>
  <c r="AN244" i="23"/>
  <c r="AN252" i="23"/>
  <c r="AN231" i="23"/>
  <c r="AN236" i="23"/>
  <c r="AN241" i="23"/>
  <c r="AN247" i="23"/>
  <c r="AN245" i="23"/>
  <c r="AN251" i="23"/>
  <c r="AN237" i="23"/>
  <c r="AN250" i="23"/>
  <c r="AN246" i="23"/>
  <c r="AN242" i="23"/>
  <c r="AN228" i="23"/>
  <c r="AN238" i="23"/>
  <c r="AN104" i="23"/>
  <c r="AN168" i="23"/>
  <c r="AN164" i="23"/>
  <c r="AN56" i="23"/>
  <c r="AN166" i="23" s="1"/>
  <c r="AN161" i="23"/>
  <c r="AN10" i="23"/>
  <c r="AN86" i="23"/>
  <c r="AN148" i="23" s="1"/>
  <c r="AN43" i="23"/>
  <c r="AN44" i="23"/>
  <c r="K106" i="23"/>
  <c r="K101" i="23"/>
  <c r="AM231" i="23"/>
  <c r="AM228" i="23"/>
  <c r="K119" i="23"/>
  <c r="J111" i="23"/>
  <c r="J38" i="23" s="1"/>
  <c r="J119" i="23"/>
  <c r="J149" i="23"/>
  <c r="J150" i="23" s="1"/>
  <c r="J142" i="23"/>
  <c r="J204" i="23" s="1"/>
  <c r="AM11" i="23"/>
  <c r="AM19" i="23"/>
  <c r="AM20" i="25" s="1"/>
  <c r="J106" i="23"/>
  <c r="J101" i="23"/>
  <c r="J102" i="23" s="1"/>
  <c r="J181" i="23"/>
  <c r="J180" i="23"/>
  <c r="J178" i="23"/>
  <c r="J173" i="23"/>
  <c r="J92" i="23"/>
  <c r="J141" i="23" s="1"/>
  <c r="J203" i="23" s="1"/>
  <c r="J169" i="23"/>
  <c r="J168" i="23"/>
  <c r="J66" i="23"/>
  <c r="J19" i="23"/>
  <c r="J20" i="25" s="1"/>
  <c r="J11" i="23"/>
  <c r="D205" i="22"/>
  <c r="C127" i="22"/>
  <c r="C207" i="22"/>
  <c r="E163" i="22"/>
  <c r="AM121" i="23"/>
  <c r="AM106" i="23"/>
  <c r="AM111" i="23"/>
  <c r="AM260" i="23"/>
  <c r="AM263" i="23"/>
  <c r="AM219" i="23"/>
  <c r="C162" i="22"/>
  <c r="C165" i="22" s="1"/>
  <c r="AL106" i="23"/>
  <c r="E161" i="22"/>
  <c r="AL111" i="23"/>
  <c r="AK20" i="25"/>
  <c r="E195" i="22"/>
  <c r="E191" i="22"/>
  <c r="E197" i="22"/>
  <c r="E199" i="22"/>
  <c r="J163" i="22"/>
  <c r="C176" i="22"/>
  <c r="E164" i="22"/>
  <c r="E166" i="22"/>
  <c r="E160" i="22"/>
  <c r="D175" i="22"/>
  <c r="D179" i="22"/>
  <c r="D180" i="22"/>
  <c r="D181" i="22"/>
  <c r="D174" i="22"/>
  <c r="E168" i="22"/>
  <c r="D182" i="22"/>
  <c r="C193" i="22"/>
  <c r="C196" i="22" s="1"/>
  <c r="D210" i="22"/>
  <c r="AL240" i="23"/>
  <c r="AL245" i="23"/>
  <c r="AL247" i="23"/>
  <c r="AL251" i="23"/>
  <c r="AL248" i="23"/>
  <c r="AL231" i="23"/>
  <c r="AO267" i="23" s="1"/>
  <c r="AL236" i="23"/>
  <c r="AL242" i="23"/>
  <c r="AL246" i="23"/>
  <c r="AL237" i="23"/>
  <c r="AL228" i="23"/>
  <c r="AL238" i="23"/>
  <c r="AL235" i="23"/>
  <c r="AL265" i="23"/>
  <c r="AL121" i="23"/>
  <c r="AL124" i="23" s="1"/>
  <c r="AL127" i="23" s="1"/>
  <c r="AL243" i="23"/>
  <c r="AL19" i="23"/>
  <c r="AL180" i="23"/>
  <c r="AL239" i="23"/>
  <c r="AL44" i="23"/>
  <c r="AL173" i="23"/>
  <c r="AL181" i="23"/>
  <c r="D206" i="22"/>
  <c r="AL168" i="23"/>
  <c r="D213" i="22"/>
  <c r="J194" i="22"/>
  <c r="E194" i="22"/>
  <c r="D211" i="22"/>
  <c r="E192" i="22"/>
  <c r="D212" i="22"/>
  <c r="I66" i="23"/>
  <c r="AK265" i="23"/>
  <c r="AK121" i="23"/>
  <c r="AK187" i="23" s="1"/>
  <c r="AK111" i="23"/>
  <c r="AK47" i="23"/>
  <c r="AK49" i="23" s="1"/>
  <c r="AK24" i="23"/>
  <c r="AK11" i="23"/>
  <c r="AK106" i="23"/>
  <c r="AK228" i="23"/>
  <c r="C235" i="22"/>
  <c r="C243" i="22"/>
  <c r="C234" i="22"/>
  <c r="J222" i="22"/>
  <c r="AJ18" i="25"/>
  <c r="AJ17" i="25"/>
  <c r="AJ16" i="25"/>
  <c r="AJ15" i="25"/>
  <c r="AJ10" i="25"/>
  <c r="AJ9" i="25"/>
  <c r="AJ8" i="25"/>
  <c r="I19" i="25"/>
  <c r="I11" i="25"/>
  <c r="I12" i="25" s="1"/>
  <c r="AJ128" i="23"/>
  <c r="C228" i="22" s="1"/>
  <c r="AJ126" i="23"/>
  <c r="C226" i="22" s="1"/>
  <c r="AJ123" i="23"/>
  <c r="C224" i="22" s="1"/>
  <c r="AJ122" i="23"/>
  <c r="C223" i="22" s="1"/>
  <c r="AJ115" i="23"/>
  <c r="AJ114" i="23"/>
  <c r="AJ99" i="23"/>
  <c r="AJ98" i="23"/>
  <c r="AJ97" i="23"/>
  <c r="AJ54" i="23"/>
  <c r="AJ25" i="23"/>
  <c r="AJ23" i="23"/>
  <c r="AJ22" i="23"/>
  <c r="AJ21" i="23"/>
  <c r="AJ20" i="23"/>
  <c r="AJ18" i="23"/>
  <c r="AJ17" i="23"/>
  <c r="AJ16" i="23"/>
  <c r="AJ15" i="23"/>
  <c r="AJ14" i="23"/>
  <c r="AJ13" i="23"/>
  <c r="AJ9" i="23"/>
  <c r="AJ7" i="23"/>
  <c r="AN8" i="23" s="1"/>
  <c r="AH260" i="23"/>
  <c r="AG260" i="23"/>
  <c r="AD260" i="23"/>
  <c r="AC260" i="23"/>
  <c r="AA260" i="23"/>
  <c r="Z260" i="23"/>
  <c r="Y260" i="23"/>
  <c r="W260" i="23"/>
  <c r="V260" i="23"/>
  <c r="U260" i="23"/>
  <c r="S260" i="23"/>
  <c r="R260" i="23"/>
  <c r="Q260" i="23"/>
  <c r="O260" i="23"/>
  <c r="N260" i="23"/>
  <c r="M260" i="23"/>
  <c r="E260" i="23"/>
  <c r="D260" i="23"/>
  <c r="C260" i="23"/>
  <c r="AH264" i="23"/>
  <c r="AG264" i="23"/>
  <c r="AD264" i="23"/>
  <c r="AC264" i="23"/>
  <c r="AA264" i="23"/>
  <c r="Z264" i="23"/>
  <c r="Y264" i="23"/>
  <c r="W264" i="23"/>
  <c r="V264" i="23"/>
  <c r="U264" i="23"/>
  <c r="S264" i="23"/>
  <c r="R264" i="23"/>
  <c r="Q264" i="23"/>
  <c r="O264" i="23"/>
  <c r="N264" i="23"/>
  <c r="AH263" i="23"/>
  <c r="AG263" i="23"/>
  <c r="AD263" i="23"/>
  <c r="AC263" i="23"/>
  <c r="AA263" i="23"/>
  <c r="Z263" i="23"/>
  <c r="Y263" i="23"/>
  <c r="W263" i="23"/>
  <c r="V263" i="23"/>
  <c r="U263" i="23"/>
  <c r="S263" i="23"/>
  <c r="R263" i="23"/>
  <c r="Q263" i="23"/>
  <c r="O263" i="23"/>
  <c r="M264" i="23"/>
  <c r="E264" i="23"/>
  <c r="D264" i="23"/>
  <c r="E263" i="23"/>
  <c r="D263" i="23"/>
  <c r="C264" i="23"/>
  <c r="C263" i="23"/>
  <c r="AJ209" i="23"/>
  <c r="AM211" i="23" s="1"/>
  <c r="J122" i="22" s="1"/>
  <c r="AJ210" i="23"/>
  <c r="I110" i="23"/>
  <c r="AJ110" i="23" s="1"/>
  <c r="I109" i="23"/>
  <c r="AJ109" i="23" s="1"/>
  <c r="I100" i="23"/>
  <c r="I101" i="23" s="1"/>
  <c r="I48" i="23"/>
  <c r="AJ225" i="23"/>
  <c r="AJ214" i="23"/>
  <c r="AJ170" i="23"/>
  <c r="AJ169" i="23"/>
  <c r="AJ158" i="23"/>
  <c r="AJ147" i="23"/>
  <c r="AJ131" i="23"/>
  <c r="AJ95" i="23"/>
  <c r="AJ85" i="23"/>
  <c r="AJ184" i="23"/>
  <c r="AJ61" i="23"/>
  <c r="AJ46" i="23"/>
  <c r="I225" i="23"/>
  <c r="I214" i="23"/>
  <c r="I188" i="23"/>
  <c r="I184" i="23"/>
  <c r="I181" i="23"/>
  <c r="I178" i="23"/>
  <c r="I175" i="23"/>
  <c r="I174" i="23"/>
  <c r="I173" i="23"/>
  <c r="I171" i="23"/>
  <c r="I170" i="23"/>
  <c r="I164" i="23"/>
  <c r="I161" i="23"/>
  <c r="J162" i="23" s="1"/>
  <c r="I158" i="23"/>
  <c r="I152" i="23"/>
  <c r="I147" i="23"/>
  <c r="I131" i="23"/>
  <c r="I116" i="23"/>
  <c r="I105" i="23"/>
  <c r="I104" i="23"/>
  <c r="I95" i="23"/>
  <c r="I90" i="23"/>
  <c r="I89" i="23"/>
  <c r="I86" i="23"/>
  <c r="I148" i="23" s="1"/>
  <c r="I85" i="23"/>
  <c r="I179" i="23"/>
  <c r="I168" i="23"/>
  <c r="I61" i="23"/>
  <c r="I56" i="23"/>
  <c r="I166" i="23" s="1"/>
  <c r="I55" i="23"/>
  <c r="I165" i="23" s="1"/>
  <c r="I46" i="23"/>
  <c r="I44" i="23"/>
  <c r="I43" i="23"/>
  <c r="I40" i="23"/>
  <c r="I37" i="23"/>
  <c r="I36" i="23"/>
  <c r="I35" i="23"/>
  <c r="I34" i="23"/>
  <c r="I33" i="23"/>
  <c r="I32" i="23"/>
  <c r="I10" i="23"/>
  <c r="I19" i="23" s="1"/>
  <c r="I87" i="23" s="1"/>
  <c r="I8" i="23"/>
  <c r="C271" i="22"/>
  <c r="C272" i="22" s="1"/>
  <c r="C264" i="22"/>
  <c r="C257" i="22"/>
  <c r="C255" i="22"/>
  <c r="C253" i="22"/>
  <c r="C252" i="22"/>
  <c r="C263" i="22"/>
  <c r="J251" i="22"/>
  <c r="AI19" i="25"/>
  <c r="AI11" i="25"/>
  <c r="AI12" i="25" s="1"/>
  <c r="AI210" i="23"/>
  <c r="AI110" i="23"/>
  <c r="AI120" i="23" s="1"/>
  <c r="C250" i="22" s="1"/>
  <c r="AI109" i="23"/>
  <c r="AI119" i="23" s="1"/>
  <c r="C249" i="22" s="1"/>
  <c r="AI100" i="23"/>
  <c r="AI106" i="23" s="1"/>
  <c r="AI48" i="23"/>
  <c r="AI225" i="23"/>
  <c r="AI214" i="23"/>
  <c r="AI188" i="23"/>
  <c r="AI164" i="23"/>
  <c r="AI161" i="23"/>
  <c r="AM162" i="23" s="1"/>
  <c r="AI158" i="23"/>
  <c r="AI152" i="23"/>
  <c r="AI147" i="23"/>
  <c r="AI131" i="23"/>
  <c r="AI116" i="23"/>
  <c r="AI105" i="23"/>
  <c r="AI104" i="23"/>
  <c r="AI95" i="23"/>
  <c r="AI85" i="23"/>
  <c r="AI61" i="23"/>
  <c r="AI56" i="23"/>
  <c r="AI166" i="23" s="1"/>
  <c r="AI55" i="23"/>
  <c r="AI165" i="23" s="1"/>
  <c r="AI46" i="23"/>
  <c r="AI44" i="23"/>
  <c r="AI43" i="23"/>
  <c r="AI40" i="23"/>
  <c r="AI37" i="23"/>
  <c r="AI36" i="23"/>
  <c r="AI35" i="23"/>
  <c r="AI34" i="23"/>
  <c r="AI33" i="23"/>
  <c r="AI32" i="23"/>
  <c r="AI10" i="23"/>
  <c r="AI19" i="23" s="1"/>
  <c r="AI8" i="23"/>
  <c r="AH75" i="23"/>
  <c r="AH248" i="23" s="1"/>
  <c r="AH74" i="23"/>
  <c r="AH247" i="23" s="1"/>
  <c r="AH72" i="23"/>
  <c r="AH178" i="23" s="1"/>
  <c r="AH67" i="23"/>
  <c r="AH240" i="23" s="1"/>
  <c r="AH62" i="23"/>
  <c r="AH28" i="23"/>
  <c r="AJ28" i="23" s="1"/>
  <c r="AH100" i="23"/>
  <c r="AH106" i="23" s="1"/>
  <c r="AH110" i="23"/>
  <c r="AH111" i="23" s="1"/>
  <c r="C295" i="22"/>
  <c r="J276" i="22"/>
  <c r="D301" i="22" s="1"/>
  <c r="C288" i="22"/>
  <c r="C286" i="22"/>
  <c r="C284" i="22"/>
  <c r="C283" i="22"/>
  <c r="C303" i="22"/>
  <c r="C294" i="22"/>
  <c r="J282" i="22"/>
  <c r="AH19" i="25"/>
  <c r="AH11" i="25"/>
  <c r="AH12" i="25" s="1"/>
  <c r="AH48" i="23"/>
  <c r="AH255" i="23"/>
  <c r="AH251" i="23"/>
  <c r="AH246" i="23"/>
  <c r="AH242" i="23"/>
  <c r="AH241" i="23"/>
  <c r="AH238" i="23"/>
  <c r="AH237" i="23"/>
  <c r="AH236" i="23"/>
  <c r="AH231" i="23"/>
  <c r="AH228" i="23"/>
  <c r="AH225" i="23"/>
  <c r="AH214" i="23"/>
  <c r="AH188" i="23"/>
  <c r="AH184" i="23"/>
  <c r="AH179" i="23"/>
  <c r="AH175" i="23"/>
  <c r="AH174" i="23"/>
  <c r="AH171" i="23"/>
  <c r="AH170" i="23"/>
  <c r="AH169" i="23"/>
  <c r="AH164" i="23"/>
  <c r="AH161" i="23"/>
  <c r="AL162" i="23" s="1"/>
  <c r="AH158" i="23"/>
  <c r="AH152" i="23"/>
  <c r="AH219" i="23" s="1"/>
  <c r="AH147" i="23"/>
  <c r="AH131" i="23"/>
  <c r="AH119" i="23"/>
  <c r="C280" i="22" s="1"/>
  <c r="AH116" i="23"/>
  <c r="AH105" i="23"/>
  <c r="AH104" i="23"/>
  <c r="AH95" i="23"/>
  <c r="AH85" i="23"/>
  <c r="AH61" i="23"/>
  <c r="AH56" i="23"/>
  <c r="AH166" i="23" s="1"/>
  <c r="AH55" i="23"/>
  <c r="AH165" i="23" s="1"/>
  <c r="AH46" i="23"/>
  <c r="AH43" i="23"/>
  <c r="AH40" i="23"/>
  <c r="AH37" i="23"/>
  <c r="AH36" i="23"/>
  <c r="AH35" i="23"/>
  <c r="AH34" i="23"/>
  <c r="AH33" i="23"/>
  <c r="AH32" i="23"/>
  <c r="AH10" i="23"/>
  <c r="AH19" i="23" s="1"/>
  <c r="AH8" i="23"/>
  <c r="H75" i="23"/>
  <c r="H74" i="23"/>
  <c r="G75" i="23"/>
  <c r="C326" i="22"/>
  <c r="J307" i="22"/>
  <c r="D331" i="22" s="1"/>
  <c r="C319" i="22"/>
  <c r="C317" i="22"/>
  <c r="C315" i="22"/>
  <c r="C314" i="22"/>
  <c r="C334" i="22"/>
  <c r="C325" i="22"/>
  <c r="J313" i="22"/>
  <c r="AG19" i="25"/>
  <c r="AG11" i="25"/>
  <c r="AG12" i="25" s="1"/>
  <c r="AG209" i="23"/>
  <c r="AG110" i="23"/>
  <c r="AG109" i="23"/>
  <c r="AG119" i="23" s="1"/>
  <c r="C311" i="22" s="1"/>
  <c r="AG100" i="23"/>
  <c r="AG101" i="23" s="1"/>
  <c r="AG116" i="23"/>
  <c r="AG48" i="23"/>
  <c r="AG255" i="23"/>
  <c r="AG225" i="23"/>
  <c r="AG214" i="23"/>
  <c r="AG188" i="23"/>
  <c r="AG164" i="23"/>
  <c r="AG161" i="23"/>
  <c r="AK162" i="23" s="1"/>
  <c r="AG158" i="23"/>
  <c r="AG152" i="23"/>
  <c r="AG219" i="23" s="1"/>
  <c r="AG147" i="23"/>
  <c r="AG131" i="23"/>
  <c r="AG105" i="23"/>
  <c r="AG104" i="23"/>
  <c r="AG95" i="23"/>
  <c r="AG85" i="23"/>
  <c r="AG61" i="23"/>
  <c r="AG56" i="23"/>
  <c r="AG166" i="23" s="1"/>
  <c r="AG55" i="23"/>
  <c r="AG165" i="23" s="1"/>
  <c r="AG46" i="23"/>
  <c r="AG44" i="23"/>
  <c r="AG43" i="23"/>
  <c r="AG40" i="23"/>
  <c r="AG37" i="23"/>
  <c r="AG36" i="23"/>
  <c r="AG35" i="23"/>
  <c r="AG34" i="23"/>
  <c r="AG33" i="23"/>
  <c r="AG32" i="23"/>
  <c r="AG10" i="23"/>
  <c r="AG11" i="23" s="1"/>
  <c r="AG8" i="23"/>
  <c r="C356" i="22"/>
  <c r="C357" i="22"/>
  <c r="C365" i="22"/>
  <c r="J344" i="22"/>
  <c r="AF53" i="25"/>
  <c r="AF18" i="25"/>
  <c r="AF17" i="25"/>
  <c r="AF16" i="25"/>
  <c r="AF15" i="25"/>
  <c r="AF10" i="25"/>
  <c r="AF9" i="25"/>
  <c r="AF8" i="25"/>
  <c r="H19" i="25"/>
  <c r="H11" i="25"/>
  <c r="H12" i="25" s="1"/>
  <c r="H209" i="23"/>
  <c r="H210" i="23"/>
  <c r="AF209" i="23"/>
  <c r="AF210" i="23"/>
  <c r="D55" i="22" l="1"/>
  <c r="D44" i="22"/>
  <c r="D31" i="22"/>
  <c r="C33" i="22"/>
  <c r="D33" i="22" s="1"/>
  <c r="C35" i="22"/>
  <c r="AM39" i="25"/>
  <c r="AI39" i="25"/>
  <c r="AL39" i="25"/>
  <c r="H39" i="25"/>
  <c r="J39" i="25"/>
  <c r="AN38" i="25"/>
  <c r="AJ39" i="25"/>
  <c r="AN30" i="25"/>
  <c r="AG39" i="25"/>
  <c r="AN33" i="25"/>
  <c r="AH39" i="25"/>
  <c r="AN34" i="25"/>
  <c r="AK39" i="25"/>
  <c r="I39" i="25"/>
  <c r="AN35" i="25"/>
  <c r="AO39" i="25"/>
  <c r="E90" i="22"/>
  <c r="AO151" i="23"/>
  <c r="AO218" i="23" s="1"/>
  <c r="AO221" i="23" s="1"/>
  <c r="AO137" i="23"/>
  <c r="AO229" i="23"/>
  <c r="AO19" i="23"/>
  <c r="AO11" i="23"/>
  <c r="AO189" i="23"/>
  <c r="AO144" i="23"/>
  <c r="AO206" i="23" s="1"/>
  <c r="AO127" i="23"/>
  <c r="AO136" i="23"/>
  <c r="AO191" i="23"/>
  <c r="AO133" i="23"/>
  <c r="AO195" i="23" s="1"/>
  <c r="J245" i="22"/>
  <c r="D268" i="22" s="1"/>
  <c r="AI212" i="23"/>
  <c r="AO102" i="23"/>
  <c r="AN120" i="23"/>
  <c r="AM233" i="23"/>
  <c r="K212" i="23"/>
  <c r="J60" i="22"/>
  <c r="E65" i="22" s="1"/>
  <c r="AO273" i="23"/>
  <c r="AO270" i="23"/>
  <c r="AO256" i="23"/>
  <c r="I210" i="23"/>
  <c r="AJ212" i="23"/>
  <c r="AO153" i="23"/>
  <c r="AO220" i="23" s="1"/>
  <c r="AO150" i="23"/>
  <c r="J338" i="22"/>
  <c r="D362" i="22" s="1"/>
  <c r="AF212" i="23"/>
  <c r="H260" i="23"/>
  <c r="H212" i="23"/>
  <c r="AO199" i="23"/>
  <c r="AO154" i="23"/>
  <c r="AO217" i="23"/>
  <c r="D82" i="22"/>
  <c r="C85" i="22"/>
  <c r="D85" i="22" s="1"/>
  <c r="K264" i="23"/>
  <c r="K263" i="23"/>
  <c r="K260" i="23"/>
  <c r="K255" i="23"/>
  <c r="J264" i="23"/>
  <c r="J263" i="23"/>
  <c r="J260" i="23"/>
  <c r="J255" i="23"/>
  <c r="J219" i="23"/>
  <c r="AH66" i="23"/>
  <c r="AH235" i="23"/>
  <c r="J121" i="23"/>
  <c r="J129" i="23" s="1"/>
  <c r="K164" i="23"/>
  <c r="K89" i="23"/>
  <c r="K149" i="23" s="1"/>
  <c r="K150" i="23" s="1"/>
  <c r="AM151" i="23"/>
  <c r="AM187" i="23"/>
  <c r="AN215" i="23"/>
  <c r="K120" i="23"/>
  <c r="K121" i="23" s="1"/>
  <c r="K111" i="23"/>
  <c r="K38" i="23" s="1"/>
  <c r="AN149" i="23"/>
  <c r="J134" i="23"/>
  <c r="J196" i="23" s="1"/>
  <c r="J137" i="23"/>
  <c r="K102" i="23"/>
  <c r="AM265" i="23"/>
  <c r="AN267" i="23"/>
  <c r="D141" i="22"/>
  <c r="E129" i="22"/>
  <c r="D151" i="22"/>
  <c r="E131" i="22"/>
  <c r="E126" i="22"/>
  <c r="D150" i="22"/>
  <c r="E125" i="22"/>
  <c r="E128" i="22"/>
  <c r="D142" i="22"/>
  <c r="E133" i="22"/>
  <c r="D147" i="22"/>
  <c r="D149" i="22"/>
  <c r="D140" i="22"/>
  <c r="D148" i="22"/>
  <c r="AM47" i="23"/>
  <c r="AM49" i="23" s="1"/>
  <c r="AM24" i="23"/>
  <c r="K19" i="23"/>
  <c r="K20" i="25" s="1"/>
  <c r="K11" i="23"/>
  <c r="AN233" i="23"/>
  <c r="AN239" i="23"/>
  <c r="AN172" i="23"/>
  <c r="AN11" i="23"/>
  <c r="AN19" i="23"/>
  <c r="AO87" i="23" s="1"/>
  <c r="AL20" i="25"/>
  <c r="AM89" i="23"/>
  <c r="AN55" i="23"/>
  <c r="AN165" i="23" s="1"/>
  <c r="AL229" i="23"/>
  <c r="J177" i="23"/>
  <c r="J70" i="23"/>
  <c r="J172" i="23"/>
  <c r="J24" i="23"/>
  <c r="J87" i="23"/>
  <c r="J47" i="23"/>
  <c r="J49" i="23" s="1"/>
  <c r="C136" i="22"/>
  <c r="AM254" i="23"/>
  <c r="AM256" i="23" s="1"/>
  <c r="AM129" i="23"/>
  <c r="AM124" i="23"/>
  <c r="AM86" i="23"/>
  <c r="AJ30" i="25"/>
  <c r="D207" i="22"/>
  <c r="C130" i="22"/>
  <c r="AM38" i="23"/>
  <c r="AK38" i="23"/>
  <c r="AL38" i="23"/>
  <c r="AL39" i="23"/>
  <c r="AK39" i="23"/>
  <c r="AJ39" i="23"/>
  <c r="AM39" i="23"/>
  <c r="AL233" i="23"/>
  <c r="E193" i="22"/>
  <c r="E196" i="22" s="1"/>
  <c r="E162" i="22"/>
  <c r="E165" i="22" s="1"/>
  <c r="E169" i="22" s="1"/>
  <c r="C265" i="23"/>
  <c r="R265" i="23"/>
  <c r="C202" i="22"/>
  <c r="AJ241" i="23"/>
  <c r="AL176" i="23"/>
  <c r="AG265" i="23"/>
  <c r="V265" i="23"/>
  <c r="AH265" i="23"/>
  <c r="AL172" i="23"/>
  <c r="Y265" i="23"/>
  <c r="C171" i="22"/>
  <c r="D176" i="22"/>
  <c r="C169" i="22"/>
  <c r="C167" i="22"/>
  <c r="D183" i="22"/>
  <c r="AL129" i="23"/>
  <c r="AL249" i="23"/>
  <c r="AL182" i="23"/>
  <c r="AL254" i="23"/>
  <c r="AL187" i="23"/>
  <c r="AL151" i="23"/>
  <c r="AL47" i="23"/>
  <c r="AL49" i="23" s="1"/>
  <c r="AL24" i="23"/>
  <c r="AL232" i="23"/>
  <c r="I142" i="23"/>
  <c r="I204" i="23" s="1"/>
  <c r="AJ238" i="23"/>
  <c r="AJ237" i="23"/>
  <c r="AJ246" i="23"/>
  <c r="Z265" i="23"/>
  <c r="AK86" i="23"/>
  <c r="AK148" i="23" s="1"/>
  <c r="AL86" i="23"/>
  <c r="AJ248" i="23"/>
  <c r="AJ245" i="23"/>
  <c r="Q265" i="23"/>
  <c r="AA265" i="23"/>
  <c r="AJ263" i="23"/>
  <c r="AJ247" i="23"/>
  <c r="AK89" i="23"/>
  <c r="AK137" i="23" s="1"/>
  <c r="AL89" i="23"/>
  <c r="S265" i="23"/>
  <c r="AD265" i="23"/>
  <c r="AJ251" i="23"/>
  <c r="AL244" i="23"/>
  <c r="AL177" i="23"/>
  <c r="AJ242" i="23"/>
  <c r="AJ236" i="23"/>
  <c r="C296" i="22"/>
  <c r="D214" i="22"/>
  <c r="C200" i="22"/>
  <c r="C198" i="22"/>
  <c r="AJ11" i="25"/>
  <c r="AJ12" i="25" s="1"/>
  <c r="AJ19" i="25"/>
  <c r="I263" i="23"/>
  <c r="AJ86" i="23"/>
  <c r="AJ148" i="23" s="1"/>
  <c r="D265" i="23"/>
  <c r="AG231" i="23"/>
  <c r="AJ48" i="23"/>
  <c r="E265" i="23"/>
  <c r="AJ264" i="23"/>
  <c r="I120" i="23"/>
  <c r="I70" i="23"/>
  <c r="I76" i="23" s="1"/>
  <c r="AK124" i="23"/>
  <c r="AK189" i="23" s="1"/>
  <c r="AK151" i="23"/>
  <c r="AK218" i="23" s="1"/>
  <c r="AK129" i="23"/>
  <c r="AK254" i="23"/>
  <c r="U265" i="23"/>
  <c r="AC265" i="23"/>
  <c r="H264" i="23"/>
  <c r="O265" i="23"/>
  <c r="W265" i="23"/>
  <c r="AK41" i="23"/>
  <c r="AK26" i="23"/>
  <c r="AJ100" i="23"/>
  <c r="AK51" i="23"/>
  <c r="AK53" i="23"/>
  <c r="H263" i="23"/>
  <c r="AI260" i="23"/>
  <c r="AI264" i="23"/>
  <c r="AJ260" i="23"/>
  <c r="I20" i="25"/>
  <c r="AK233" i="23"/>
  <c r="AI263" i="23"/>
  <c r="J216" i="22"/>
  <c r="C236" i="22"/>
  <c r="J223" i="22"/>
  <c r="I106" i="23"/>
  <c r="AJ34" i="23"/>
  <c r="AJ33" i="23"/>
  <c r="AI209" i="23"/>
  <c r="AJ40" i="23"/>
  <c r="AI255" i="23"/>
  <c r="AG228" i="23"/>
  <c r="AK229" i="23" s="1"/>
  <c r="AJ105" i="23"/>
  <c r="AJ32" i="23"/>
  <c r="AJ120" i="23"/>
  <c r="C221" i="22" s="1"/>
  <c r="AJ231" i="23"/>
  <c r="AJ104" i="23"/>
  <c r="AJ35" i="23"/>
  <c r="AJ37" i="23"/>
  <c r="AJ89" i="23"/>
  <c r="AJ152" i="23"/>
  <c r="AJ219" i="23" s="1"/>
  <c r="I102" i="23"/>
  <c r="I11" i="23"/>
  <c r="C251" i="22"/>
  <c r="C254" i="22" s="1"/>
  <c r="I219" i="23"/>
  <c r="AJ43" i="23"/>
  <c r="AJ90" i="23"/>
  <c r="AJ111" i="23"/>
  <c r="AJ38" i="23" s="1"/>
  <c r="AJ161" i="23"/>
  <c r="AN162" i="23" s="1"/>
  <c r="AJ171" i="23"/>
  <c r="AJ179" i="23"/>
  <c r="AJ188" i="23"/>
  <c r="I111" i="23"/>
  <c r="I38" i="23" s="1"/>
  <c r="AJ36" i="23"/>
  <c r="AJ164" i="23"/>
  <c r="AJ228" i="23"/>
  <c r="AN229" i="23" s="1"/>
  <c r="AJ255" i="23"/>
  <c r="AJ10" i="23"/>
  <c r="AJ56" i="23"/>
  <c r="AJ166" i="23" s="1"/>
  <c r="AI20" i="25"/>
  <c r="I24" i="23"/>
  <c r="I41" i="23" s="1"/>
  <c r="I59" i="23"/>
  <c r="AH44" i="23"/>
  <c r="AH71" i="23"/>
  <c r="AI219" i="23"/>
  <c r="I119" i="23"/>
  <c r="I169" i="23"/>
  <c r="AH245" i="23"/>
  <c r="I47" i="23"/>
  <c r="I49" i="23" s="1"/>
  <c r="I58" i="23"/>
  <c r="I149" i="23"/>
  <c r="I92" i="23"/>
  <c r="I141" i="23" s="1"/>
  <c r="I180" i="23"/>
  <c r="AG111" i="23"/>
  <c r="J252" i="22"/>
  <c r="C265" i="22"/>
  <c r="AI121" i="23"/>
  <c r="AI111" i="23"/>
  <c r="AI24" i="23"/>
  <c r="AI47" i="23"/>
  <c r="AI49" i="23" s="1"/>
  <c r="AI101" i="23"/>
  <c r="AI11" i="23"/>
  <c r="AH120" i="23"/>
  <c r="C281" i="22" s="1"/>
  <c r="E281" i="22" s="1"/>
  <c r="AG120" i="23"/>
  <c r="C312" i="22" s="1"/>
  <c r="C313" i="22" s="1"/>
  <c r="C316" i="22" s="1"/>
  <c r="AH70" i="23"/>
  <c r="AH20" i="25"/>
  <c r="J283" i="22"/>
  <c r="E288" i="22"/>
  <c r="E283" i="22"/>
  <c r="E284" i="22"/>
  <c r="D295" i="22"/>
  <c r="E280" i="22"/>
  <c r="D294" i="22"/>
  <c r="E286" i="22"/>
  <c r="J314" i="22"/>
  <c r="D299" i="22"/>
  <c r="D300" i="22"/>
  <c r="E314" i="22"/>
  <c r="D302" i="22"/>
  <c r="AH239" i="23"/>
  <c r="AH233" i="23"/>
  <c r="AH11" i="23"/>
  <c r="AH24" i="23"/>
  <c r="AH47" i="23"/>
  <c r="AH49" i="23" s="1"/>
  <c r="AH168" i="23"/>
  <c r="AH101" i="23"/>
  <c r="AH180" i="23"/>
  <c r="AH173" i="23"/>
  <c r="AH181" i="23"/>
  <c r="C327" i="22"/>
  <c r="E317" i="22"/>
  <c r="E315" i="22"/>
  <c r="D330" i="22"/>
  <c r="E319" i="22"/>
  <c r="E311" i="22"/>
  <c r="D326" i="22"/>
  <c r="D333" i="22"/>
  <c r="D332" i="22"/>
  <c r="D325" i="22"/>
  <c r="AG19" i="23"/>
  <c r="AG106" i="23"/>
  <c r="AF19" i="25"/>
  <c r="AF11" i="25"/>
  <c r="H110" i="23"/>
  <c r="H109" i="23"/>
  <c r="H100" i="23"/>
  <c r="H48" i="23"/>
  <c r="E257" i="22" l="1"/>
  <c r="E252" i="22"/>
  <c r="D361" i="22"/>
  <c r="D364" i="22"/>
  <c r="D357" i="22"/>
  <c r="D363" i="22"/>
  <c r="E88" i="22"/>
  <c r="D270" i="22"/>
  <c r="E249" i="22"/>
  <c r="D271" i="22"/>
  <c r="E250" i="22"/>
  <c r="D264" i="22"/>
  <c r="E253" i="22"/>
  <c r="D263" i="22"/>
  <c r="D269" i="22"/>
  <c r="E255" i="22"/>
  <c r="E127" i="22"/>
  <c r="E130" i="22" s="1"/>
  <c r="AN39" i="25"/>
  <c r="AO47" i="23"/>
  <c r="AO49" i="23" s="1"/>
  <c r="AO24" i="23"/>
  <c r="J254" i="23"/>
  <c r="J256" i="23" s="1"/>
  <c r="J265" i="23"/>
  <c r="J124" i="23"/>
  <c r="AO280" i="23"/>
  <c r="AO272" i="23"/>
  <c r="AO269" i="23"/>
  <c r="AO155" i="23"/>
  <c r="AO198" i="23"/>
  <c r="AO222" i="23"/>
  <c r="AN87" i="23"/>
  <c r="AN20" i="25"/>
  <c r="J151" i="23"/>
  <c r="K265" i="23"/>
  <c r="AO258" i="23"/>
  <c r="AO275" i="23" s="1"/>
  <c r="AO201" i="23"/>
  <c r="AO193" i="23"/>
  <c r="J187" i="23"/>
  <c r="I255" i="23"/>
  <c r="I212" i="23"/>
  <c r="I264" i="23"/>
  <c r="E79" i="22"/>
  <c r="D104" i="22"/>
  <c r="E76" i="22"/>
  <c r="D105" i="22"/>
  <c r="E75" i="22"/>
  <c r="D97" i="22"/>
  <c r="E73" i="22"/>
  <c r="E84" i="22"/>
  <c r="D102" i="22"/>
  <c r="E72" i="22"/>
  <c r="E86" i="22"/>
  <c r="D95" i="22"/>
  <c r="E69" i="22"/>
  <c r="E83" i="22"/>
  <c r="E68" i="22"/>
  <c r="D96" i="22"/>
  <c r="E80" i="22"/>
  <c r="E66" i="22"/>
  <c r="D103" i="22"/>
  <c r="I260" i="23"/>
  <c r="C87" i="22"/>
  <c r="D87" i="22" s="1"/>
  <c r="C89" i="22"/>
  <c r="AM218" i="23"/>
  <c r="AM153" i="23"/>
  <c r="AM220" i="23" s="1"/>
  <c r="D143" i="22"/>
  <c r="K124" i="23"/>
  <c r="K127" i="23" s="1"/>
  <c r="K129" i="23"/>
  <c r="K134" i="23"/>
  <c r="K196" i="23" s="1"/>
  <c r="K137" i="23"/>
  <c r="K151" i="23"/>
  <c r="K187" i="23"/>
  <c r="K254" i="23"/>
  <c r="K256" i="23" s="1"/>
  <c r="AN150" i="23"/>
  <c r="AN216" i="23"/>
  <c r="AN217" i="23" s="1"/>
  <c r="D152" i="22"/>
  <c r="J153" i="23"/>
  <c r="J220" i="23" s="1"/>
  <c r="J218" i="23"/>
  <c r="J144" i="23"/>
  <c r="J206" i="23" s="1"/>
  <c r="J189" i="23"/>
  <c r="J191" i="23"/>
  <c r="J154" i="23"/>
  <c r="J199" i="23"/>
  <c r="AM267" i="23"/>
  <c r="AN232" i="23"/>
  <c r="J127" i="23"/>
  <c r="J258" i="23" s="1"/>
  <c r="J133" i="23"/>
  <c r="J195" i="23" s="1"/>
  <c r="J136" i="23"/>
  <c r="AM53" i="23"/>
  <c r="AM51" i="23"/>
  <c r="AM50" i="23"/>
  <c r="AM41" i="23"/>
  <c r="AM26" i="23"/>
  <c r="AM149" i="23"/>
  <c r="C135" i="22"/>
  <c r="D130" i="22" s="1"/>
  <c r="AM137" i="23"/>
  <c r="AM134" i="23"/>
  <c r="AM196" i="23" s="1"/>
  <c r="K24" i="23"/>
  <c r="K47" i="23"/>
  <c r="K49" i="23" s="1"/>
  <c r="K87" i="23"/>
  <c r="AN176" i="23"/>
  <c r="AN243" i="23"/>
  <c r="AN24" i="23"/>
  <c r="AN47" i="23"/>
  <c r="AM127" i="23"/>
  <c r="AM136" i="23"/>
  <c r="AM191" i="23"/>
  <c r="AM189" i="23"/>
  <c r="AM133" i="23"/>
  <c r="AM195" i="23" s="1"/>
  <c r="AM144" i="23"/>
  <c r="AM206" i="23" s="1"/>
  <c r="AM148" i="23"/>
  <c r="AM215" i="23" s="1"/>
  <c r="AM102" i="23"/>
  <c r="J243" i="23"/>
  <c r="J269" i="23"/>
  <c r="J272" i="23"/>
  <c r="J280" i="23"/>
  <c r="J76" i="23"/>
  <c r="J77" i="23" s="1"/>
  <c r="J93" i="23"/>
  <c r="J176" i="23"/>
  <c r="J26" i="23"/>
  <c r="J41" i="23"/>
  <c r="J51" i="23"/>
  <c r="J53" i="23"/>
  <c r="J50" i="23"/>
  <c r="J88" i="23"/>
  <c r="C134" i="22"/>
  <c r="C132" i="22"/>
  <c r="AM272" i="23"/>
  <c r="AM269" i="23"/>
  <c r="AM280" i="23"/>
  <c r="AK134" i="23"/>
  <c r="AK196" i="23" s="1"/>
  <c r="E167" i="22"/>
  <c r="AK136" i="23"/>
  <c r="AK155" i="23" s="1"/>
  <c r="AL137" i="23"/>
  <c r="AL154" i="23" s="1"/>
  <c r="C170" i="22"/>
  <c r="AK191" i="23"/>
  <c r="AK256" i="23"/>
  <c r="AL41" i="23"/>
  <c r="AL26" i="23"/>
  <c r="AL256" i="23"/>
  <c r="AL51" i="23"/>
  <c r="AL50" i="23"/>
  <c r="AL53" i="23"/>
  <c r="AH244" i="23"/>
  <c r="AJ244" i="23"/>
  <c r="I209" i="23"/>
  <c r="I251" i="23" s="1"/>
  <c r="AL211" i="23"/>
  <c r="J157" i="22" s="1"/>
  <c r="AJ235" i="23"/>
  <c r="AK102" i="23"/>
  <c r="AK153" i="23"/>
  <c r="AK220" i="23" s="1"/>
  <c r="AL136" i="23"/>
  <c r="AL144" i="23"/>
  <c r="AL206" i="23" s="1"/>
  <c r="AL133" i="23"/>
  <c r="AL195" i="23" s="1"/>
  <c r="AL191" i="23"/>
  <c r="AL189" i="23"/>
  <c r="AK232" i="23"/>
  <c r="AI211" i="23"/>
  <c r="J217" i="22" s="1"/>
  <c r="AK133" i="23"/>
  <c r="AK195" i="23" s="1"/>
  <c r="AL153" i="23"/>
  <c r="AL220" i="23" s="1"/>
  <c r="AL218" i="23"/>
  <c r="I203" i="23"/>
  <c r="AL149" i="23"/>
  <c r="AJ240" i="23"/>
  <c r="AL250" i="23"/>
  <c r="AL183" i="23"/>
  <c r="AG233" i="23"/>
  <c r="I265" i="23"/>
  <c r="AJ265" i="23"/>
  <c r="AK149" i="23"/>
  <c r="AK150" i="23" s="1"/>
  <c r="C201" i="22"/>
  <c r="D198" i="22" s="1"/>
  <c r="AL148" i="23"/>
  <c r="AL102" i="23"/>
  <c r="AL134" i="23"/>
  <c r="AL196" i="23" s="1"/>
  <c r="E200" i="22"/>
  <c r="E198" i="22"/>
  <c r="AK127" i="23"/>
  <c r="AK139" i="23" s="1"/>
  <c r="AK201" i="23" s="1"/>
  <c r="I121" i="23"/>
  <c r="I129" i="23" s="1"/>
  <c r="I77" i="23"/>
  <c r="AK144" i="23"/>
  <c r="AK206" i="23" s="1"/>
  <c r="D241" i="22"/>
  <c r="D239" i="22"/>
  <c r="E224" i="22"/>
  <c r="AI265" i="23"/>
  <c r="D242" i="22"/>
  <c r="AK27" i="23"/>
  <c r="AK29" i="23"/>
  <c r="D234" i="22"/>
  <c r="AI228" i="23"/>
  <c r="AM229" i="23" s="1"/>
  <c r="AK211" i="23"/>
  <c r="J188" i="22" s="1"/>
  <c r="D240" i="22"/>
  <c r="D235" i="22"/>
  <c r="E228" i="22"/>
  <c r="AJ149" i="23"/>
  <c r="AJ150" i="23" s="1"/>
  <c r="C230" i="22"/>
  <c r="E221" i="22"/>
  <c r="H265" i="23"/>
  <c r="E226" i="22"/>
  <c r="AK199" i="23"/>
  <c r="AK154" i="23"/>
  <c r="E223" i="22"/>
  <c r="AJ211" i="23"/>
  <c r="AJ215" i="23" s="1"/>
  <c r="AG121" i="23"/>
  <c r="AG124" i="23" s="1"/>
  <c r="AG127" i="23" s="1"/>
  <c r="AJ233" i="23"/>
  <c r="AI231" i="23"/>
  <c r="AM232" i="23" s="1"/>
  <c r="AH177" i="23"/>
  <c r="I26" i="23"/>
  <c r="I29" i="23" s="1"/>
  <c r="E312" i="22"/>
  <c r="E313" i="22" s="1"/>
  <c r="AJ11" i="23"/>
  <c r="AJ19" i="23"/>
  <c r="AM87" i="23" s="1"/>
  <c r="AJ178" i="23"/>
  <c r="AG24" i="23"/>
  <c r="AG26" i="23" s="1"/>
  <c r="AG27" i="23" s="1"/>
  <c r="AH121" i="23"/>
  <c r="AH124" i="23" s="1"/>
  <c r="AH133" i="23" s="1"/>
  <c r="AH195" i="23" s="1"/>
  <c r="I172" i="23"/>
  <c r="AH76" i="23"/>
  <c r="AH77" i="23" s="1"/>
  <c r="AH83" i="23" s="1"/>
  <c r="I150" i="23"/>
  <c r="I177" i="23"/>
  <c r="I88" i="23"/>
  <c r="I53" i="23"/>
  <c r="I51" i="23"/>
  <c r="C260" i="22"/>
  <c r="C258" i="22"/>
  <c r="C256" i="22"/>
  <c r="AI151" i="23"/>
  <c r="AI153" i="23" s="1"/>
  <c r="AI220" i="23" s="1"/>
  <c r="AI254" i="23"/>
  <c r="AI187" i="23"/>
  <c r="AI124" i="23"/>
  <c r="AI144" i="23" s="1"/>
  <c r="AI206" i="23" s="1"/>
  <c r="AI129" i="23"/>
  <c r="AI26" i="23"/>
  <c r="AI41" i="23"/>
  <c r="AI53" i="23"/>
  <c r="AI51" i="23"/>
  <c r="C282" i="22"/>
  <c r="D296" i="22"/>
  <c r="AG20" i="25"/>
  <c r="AH172" i="23"/>
  <c r="D334" i="22"/>
  <c r="E282" i="22"/>
  <c r="D303" i="22"/>
  <c r="D327" i="22"/>
  <c r="AH243" i="23"/>
  <c r="AH51" i="23"/>
  <c r="AH53" i="23"/>
  <c r="AH41" i="23"/>
  <c r="AH26" i="23"/>
  <c r="C320" i="22"/>
  <c r="C318" i="22"/>
  <c r="AG47" i="23"/>
  <c r="AG49" i="23" s="1"/>
  <c r="AK50" i="23" s="1"/>
  <c r="C358" i="22"/>
  <c r="D356" i="22"/>
  <c r="D358" i="22" s="1"/>
  <c r="AF128" i="23"/>
  <c r="AF126" i="23"/>
  <c r="C348" i="22" s="1"/>
  <c r="E348" i="22" s="1"/>
  <c r="AF123" i="23"/>
  <c r="C346" i="22" s="1"/>
  <c r="E346" i="22" s="1"/>
  <c r="AF122" i="23"/>
  <c r="C345" i="22" s="1"/>
  <c r="AF115" i="23"/>
  <c r="AF264" i="23" s="1"/>
  <c r="AF114" i="23"/>
  <c r="AF263" i="23" s="1"/>
  <c r="AF110" i="23"/>
  <c r="AF109" i="23"/>
  <c r="AF100" i="23"/>
  <c r="AF99" i="23"/>
  <c r="AF98" i="23"/>
  <c r="AF97" i="23"/>
  <c r="AF78" i="23"/>
  <c r="AF184" i="23" s="1"/>
  <c r="AF73" i="23"/>
  <c r="AF246" i="23" s="1"/>
  <c r="AF72" i="23"/>
  <c r="AF245" i="23" s="1"/>
  <c r="AF69" i="23"/>
  <c r="AF68" i="23"/>
  <c r="AF65" i="23"/>
  <c r="AF64" i="23"/>
  <c r="AF170" i="23" s="1"/>
  <c r="AF63" i="23"/>
  <c r="AF54" i="23"/>
  <c r="AF28" i="23"/>
  <c r="AF25" i="23"/>
  <c r="AF23" i="23"/>
  <c r="AF22" i="23"/>
  <c r="AF21" i="23"/>
  <c r="AF20" i="23"/>
  <c r="AF18" i="23"/>
  <c r="AF17" i="23"/>
  <c r="AF16" i="23"/>
  <c r="AF15" i="23"/>
  <c r="AF14" i="23"/>
  <c r="AF13" i="23"/>
  <c r="AF9" i="23"/>
  <c r="AF7" i="23"/>
  <c r="AF225" i="23"/>
  <c r="AF214" i="23"/>
  <c r="AF158" i="23"/>
  <c r="AF147" i="23"/>
  <c r="AF131" i="23"/>
  <c r="AF95" i="23"/>
  <c r="AF85" i="23"/>
  <c r="AF61" i="23"/>
  <c r="AF46" i="23"/>
  <c r="H225" i="23"/>
  <c r="H214" i="23"/>
  <c r="H231" i="23"/>
  <c r="H267" i="23" s="1"/>
  <c r="H184" i="23"/>
  <c r="H179" i="23"/>
  <c r="H178" i="23"/>
  <c r="H175" i="23"/>
  <c r="H174" i="23"/>
  <c r="H171" i="23"/>
  <c r="H170" i="23"/>
  <c r="H164" i="23"/>
  <c r="H161" i="23"/>
  <c r="I162" i="23" s="1"/>
  <c r="H158" i="23"/>
  <c r="H147" i="23"/>
  <c r="H131" i="23"/>
  <c r="H152" i="23"/>
  <c r="H120" i="23"/>
  <c r="H116" i="23"/>
  <c r="H111" i="23"/>
  <c r="H38" i="23" s="1"/>
  <c r="H119" i="23"/>
  <c r="H105" i="23"/>
  <c r="H104" i="23"/>
  <c r="H106" i="23"/>
  <c r="H95" i="23"/>
  <c r="H90" i="23"/>
  <c r="H89" i="23"/>
  <c r="H86" i="23"/>
  <c r="H148" i="23" s="1"/>
  <c r="H215" i="23" s="1"/>
  <c r="H85" i="23"/>
  <c r="H248" i="23"/>
  <c r="H247" i="23"/>
  <c r="H244" i="23"/>
  <c r="H240" i="23"/>
  <c r="H59" i="23"/>
  <c r="H62" i="23"/>
  <c r="H61" i="23"/>
  <c r="H56" i="23"/>
  <c r="H166" i="23" s="1"/>
  <c r="H55" i="23"/>
  <c r="H165" i="23" s="1"/>
  <c r="H46" i="23"/>
  <c r="H43" i="23"/>
  <c r="H40" i="23"/>
  <c r="H37" i="23"/>
  <c r="H36" i="23"/>
  <c r="H35" i="23"/>
  <c r="H34" i="23"/>
  <c r="H33" i="23"/>
  <c r="H32" i="23"/>
  <c r="H10" i="23"/>
  <c r="H19" i="23" s="1"/>
  <c r="H8" i="23"/>
  <c r="C392" i="22"/>
  <c r="C394" i="22" s="1"/>
  <c r="C386" i="22"/>
  <c r="C379" i="22"/>
  <c r="C377" i="22"/>
  <c r="C375" i="22"/>
  <c r="C374" i="22"/>
  <c r="J373" i="22"/>
  <c r="C408" i="22"/>
  <c r="C406" i="22"/>
  <c r="C404" i="22"/>
  <c r="C403" i="22"/>
  <c r="J396" i="22"/>
  <c r="D420" i="22" s="1"/>
  <c r="AE19" i="25"/>
  <c r="AE11" i="25"/>
  <c r="AE12" i="25" s="1"/>
  <c r="AE210" i="23"/>
  <c r="AE212" i="23" s="1"/>
  <c r="AE110" i="23"/>
  <c r="AE120" i="23" s="1"/>
  <c r="C372" i="22" s="1"/>
  <c r="AE109" i="23"/>
  <c r="AE119" i="23" s="1"/>
  <c r="C371" i="22" s="1"/>
  <c r="AE100" i="23"/>
  <c r="AE106" i="23" s="1"/>
  <c r="AE152" i="23"/>
  <c r="AE48" i="23"/>
  <c r="AE225" i="23"/>
  <c r="AE214" i="23"/>
  <c r="AE164" i="23"/>
  <c r="AE161" i="23"/>
  <c r="AI162" i="23" s="1"/>
  <c r="AE158" i="23"/>
  <c r="AE147" i="23"/>
  <c r="AE131" i="23"/>
  <c r="AE116" i="23"/>
  <c r="AE105" i="23"/>
  <c r="AE104" i="23"/>
  <c r="AE95" i="23"/>
  <c r="AE85" i="23"/>
  <c r="AE61" i="23"/>
  <c r="AE56" i="23"/>
  <c r="AE166" i="23" s="1"/>
  <c r="AE55" i="23"/>
  <c r="AE165" i="23" s="1"/>
  <c r="AE46" i="23"/>
  <c r="AE44" i="23"/>
  <c r="AE43" i="23"/>
  <c r="AE40" i="23"/>
  <c r="AE37" i="23"/>
  <c r="AE36" i="23"/>
  <c r="AE35" i="23"/>
  <c r="AE34" i="23"/>
  <c r="AE33" i="23"/>
  <c r="AE32" i="23"/>
  <c r="AE10" i="23"/>
  <c r="AE19" i="23" s="1"/>
  <c r="AE8" i="23"/>
  <c r="AD251" i="23"/>
  <c r="AD246" i="23"/>
  <c r="AD245" i="23"/>
  <c r="AD242" i="23"/>
  <c r="AD241" i="23"/>
  <c r="AD238" i="23"/>
  <c r="AD237" i="23"/>
  <c r="AD236" i="23"/>
  <c r="AD184" i="23"/>
  <c r="AD179" i="23"/>
  <c r="AD178" i="23"/>
  <c r="AD175" i="23"/>
  <c r="AD174" i="23"/>
  <c r="AD171" i="23"/>
  <c r="AD170" i="23"/>
  <c r="AD169" i="23"/>
  <c r="Z75" i="23"/>
  <c r="AD75" i="23"/>
  <c r="AD248" i="23" s="1"/>
  <c r="Z74" i="23"/>
  <c r="AD74" i="23"/>
  <c r="AD247" i="23" s="1"/>
  <c r="AD67" i="23"/>
  <c r="AD173" i="23" s="1"/>
  <c r="AC188" i="23"/>
  <c r="AD188" i="23"/>
  <c r="AC255" i="23"/>
  <c r="AD255" i="23"/>
  <c r="AC152" i="23"/>
  <c r="AD152" i="23"/>
  <c r="B201" i="23"/>
  <c r="B191" i="23"/>
  <c r="U191" i="23"/>
  <c r="T191" i="23"/>
  <c r="S191" i="23"/>
  <c r="R191" i="23"/>
  <c r="Q191" i="23"/>
  <c r="P191" i="23"/>
  <c r="O191" i="23"/>
  <c r="N191" i="23"/>
  <c r="M191" i="23"/>
  <c r="D191" i="23"/>
  <c r="C191" i="23"/>
  <c r="T126" i="23"/>
  <c r="AB126" i="23"/>
  <c r="U126" i="23"/>
  <c r="S126" i="23"/>
  <c r="R126" i="23"/>
  <c r="Q126" i="23"/>
  <c r="P126" i="23"/>
  <c r="X126" i="23"/>
  <c r="G122" i="23"/>
  <c r="D265" i="22" l="1"/>
  <c r="D365" i="22"/>
  <c r="D272" i="22"/>
  <c r="E251" i="22"/>
  <c r="E254" i="22" s="1"/>
  <c r="E256" i="22" s="1"/>
  <c r="E28" i="22"/>
  <c r="AO41" i="23"/>
  <c r="AO26" i="23"/>
  <c r="AO51" i="23"/>
  <c r="AO50" i="23"/>
  <c r="AO53" i="23"/>
  <c r="D98" i="22"/>
  <c r="D106" i="22"/>
  <c r="E82" i="22"/>
  <c r="E132" i="22"/>
  <c r="E134" i="22"/>
  <c r="K133" i="23"/>
  <c r="K195" i="23" s="1"/>
  <c r="K136" i="23"/>
  <c r="K155" i="23" s="1"/>
  <c r="K144" i="23"/>
  <c r="K206" i="23" s="1"/>
  <c r="K189" i="23"/>
  <c r="K191" i="23"/>
  <c r="K154" i="23"/>
  <c r="K199" i="23"/>
  <c r="K153" i="23"/>
  <c r="K220" i="23" s="1"/>
  <c r="K218" i="23"/>
  <c r="AM273" i="23"/>
  <c r="AM270" i="23"/>
  <c r="AM29" i="23"/>
  <c r="AM27" i="23"/>
  <c r="AM150" i="23"/>
  <c r="AM216" i="23"/>
  <c r="D132" i="22"/>
  <c r="J155" i="23"/>
  <c r="J198" i="23"/>
  <c r="J222" i="23"/>
  <c r="AM199" i="23"/>
  <c r="AM154" i="23"/>
  <c r="AM193" i="23"/>
  <c r="AM258" i="23"/>
  <c r="AM275" i="23" s="1"/>
  <c r="AM139" i="23"/>
  <c r="AM201" i="23" s="1"/>
  <c r="J139" i="23"/>
  <c r="J201" i="23" s="1"/>
  <c r="J193" i="23"/>
  <c r="J83" i="23"/>
  <c r="D127" i="22"/>
  <c r="E135" i="22"/>
  <c r="K41" i="23"/>
  <c r="K26" i="23"/>
  <c r="K27" i="23" s="1"/>
  <c r="K51" i="23"/>
  <c r="K53" i="23"/>
  <c r="K88" i="23"/>
  <c r="AN182" i="23"/>
  <c r="AN249" i="23"/>
  <c r="AN41" i="23"/>
  <c r="AN26" i="23"/>
  <c r="AM155" i="23"/>
  <c r="AM222" i="23"/>
  <c r="AM198" i="23"/>
  <c r="J239" i="23"/>
  <c r="J244" i="23"/>
  <c r="J235" i="23"/>
  <c r="J236" i="23"/>
  <c r="J240" i="23"/>
  <c r="J245" i="23"/>
  <c r="J247" i="23"/>
  <c r="J248" i="23"/>
  <c r="J211" i="23"/>
  <c r="J215" i="23"/>
  <c r="J216" i="23"/>
  <c r="J228" i="23"/>
  <c r="J231" i="23"/>
  <c r="J237" i="23"/>
  <c r="J238" i="23"/>
  <c r="J241" i="23"/>
  <c r="J242" i="23"/>
  <c r="J246" i="23"/>
  <c r="J251" i="23"/>
  <c r="K139" i="23"/>
  <c r="K201" i="23" s="1"/>
  <c r="K193" i="23"/>
  <c r="K258" i="23"/>
  <c r="K269" i="23"/>
  <c r="K272" i="23"/>
  <c r="K280" i="23"/>
  <c r="K215" i="23"/>
  <c r="K216" i="23"/>
  <c r="K228" i="23"/>
  <c r="K231" i="23"/>
  <c r="J79" i="23"/>
  <c r="J182" i="23"/>
  <c r="J249" i="23"/>
  <c r="J27" i="23"/>
  <c r="J91" i="23"/>
  <c r="J29" i="23"/>
  <c r="AK272" i="23"/>
  <c r="AK269" i="23"/>
  <c r="G152" i="23"/>
  <c r="G39" i="23"/>
  <c r="I137" i="23"/>
  <c r="AI38" i="23"/>
  <c r="AH38" i="23"/>
  <c r="AG38" i="23"/>
  <c r="I124" i="23"/>
  <c r="I133" i="23" s="1"/>
  <c r="AL199" i="23"/>
  <c r="AK222" i="23"/>
  <c r="I254" i="23"/>
  <c r="I256" i="23" s="1"/>
  <c r="I151" i="23"/>
  <c r="AK280" i="23"/>
  <c r="AL272" i="23"/>
  <c r="AL269" i="23"/>
  <c r="AG39" i="23"/>
  <c r="AI39" i="23"/>
  <c r="AH39" i="23"/>
  <c r="AF39" i="23"/>
  <c r="I236" i="23"/>
  <c r="I240" i="23"/>
  <c r="I134" i="23"/>
  <c r="I196" i="23" s="1"/>
  <c r="I187" i="23"/>
  <c r="AL87" i="23"/>
  <c r="AJ267" i="23"/>
  <c r="AK198" i="23"/>
  <c r="AK193" i="23"/>
  <c r="AK258" i="23"/>
  <c r="E170" i="22"/>
  <c r="D162" i="22"/>
  <c r="D165" i="22"/>
  <c r="J246" i="22"/>
  <c r="D167" i="22"/>
  <c r="AL215" i="23"/>
  <c r="AL252" i="23"/>
  <c r="AL185" i="23"/>
  <c r="AL216" i="23"/>
  <c r="AL150" i="23"/>
  <c r="AL267" i="23"/>
  <c r="AK267" i="23"/>
  <c r="AL29" i="23"/>
  <c r="AL27" i="23"/>
  <c r="AJ239" i="23"/>
  <c r="AL193" i="23"/>
  <c r="AL258" i="23"/>
  <c r="AL139" i="23"/>
  <c r="AL201" i="23" s="1"/>
  <c r="AJ216" i="23"/>
  <c r="AJ217" i="23" s="1"/>
  <c r="AL280" i="23"/>
  <c r="AL222" i="23"/>
  <c r="AL198" i="23"/>
  <c r="AL155" i="23"/>
  <c r="I83" i="23"/>
  <c r="AJ250" i="23"/>
  <c r="E201" i="22"/>
  <c r="D193" i="22"/>
  <c r="D196" i="22"/>
  <c r="AG189" i="23"/>
  <c r="AF265" i="23"/>
  <c r="D243" i="22"/>
  <c r="AG144" i="23"/>
  <c r="AG206" i="23" s="1"/>
  <c r="AG129" i="23"/>
  <c r="I79" i="23"/>
  <c r="AI233" i="23"/>
  <c r="D236" i="22"/>
  <c r="J367" i="22"/>
  <c r="D390" i="22" s="1"/>
  <c r="AE264" i="23"/>
  <c r="AE263" i="23"/>
  <c r="AE260" i="23"/>
  <c r="E230" i="22"/>
  <c r="AI256" i="23"/>
  <c r="AK215" i="23"/>
  <c r="AK216" i="23"/>
  <c r="C350" i="22"/>
  <c r="E350" i="22" s="1"/>
  <c r="AF260" i="23"/>
  <c r="AJ87" i="23"/>
  <c r="AJ20" i="25"/>
  <c r="AK87" i="23"/>
  <c r="C322" i="22"/>
  <c r="I216" i="23"/>
  <c r="AG136" i="23"/>
  <c r="AG222" i="23" s="1"/>
  <c r="AG151" i="23"/>
  <c r="AG218" i="23" s="1"/>
  <c r="AG187" i="23"/>
  <c r="AG191" i="23"/>
  <c r="AG133" i="23"/>
  <c r="AG195" i="23" s="1"/>
  <c r="I237" i="23"/>
  <c r="AG254" i="23"/>
  <c r="I238" i="23"/>
  <c r="I245" i="23"/>
  <c r="I239" i="23"/>
  <c r="I235" i="23"/>
  <c r="I244" i="23"/>
  <c r="AG29" i="23"/>
  <c r="I246" i="23"/>
  <c r="I228" i="23"/>
  <c r="I231" i="23"/>
  <c r="I241" i="23"/>
  <c r="I211" i="23"/>
  <c r="I215" i="23"/>
  <c r="I247" i="23"/>
  <c r="AG41" i="23"/>
  <c r="I242" i="23"/>
  <c r="I248" i="23"/>
  <c r="C291" i="22"/>
  <c r="AH151" i="23"/>
  <c r="AH153" i="23" s="1"/>
  <c r="AH220" i="23" s="1"/>
  <c r="I91" i="23"/>
  <c r="I27" i="23"/>
  <c r="AH254" i="23"/>
  <c r="AI133" i="23"/>
  <c r="AI195" i="23" s="1"/>
  <c r="AH129" i="23"/>
  <c r="AH187" i="23"/>
  <c r="AI89" i="23"/>
  <c r="AI149" i="23" s="1"/>
  <c r="AJ55" i="23"/>
  <c r="AJ165" i="23" s="1"/>
  <c r="AG53" i="23"/>
  <c r="AI86" i="23"/>
  <c r="AI148" i="23" s="1"/>
  <c r="AI215" i="23" s="1"/>
  <c r="AJ8" i="23"/>
  <c r="I176" i="23"/>
  <c r="I93" i="23"/>
  <c r="I243" i="23"/>
  <c r="AJ47" i="23"/>
  <c r="AJ24" i="23"/>
  <c r="C285" i="22"/>
  <c r="AI191" i="23"/>
  <c r="AI136" i="23"/>
  <c r="AI222" i="23" s="1"/>
  <c r="AI218" i="23"/>
  <c r="AI189" i="23"/>
  <c r="AI127" i="23"/>
  <c r="AI193" i="23" s="1"/>
  <c r="AI29" i="23"/>
  <c r="AI27" i="23"/>
  <c r="AH79" i="23"/>
  <c r="AF89" i="23"/>
  <c r="C352" i="22" s="1"/>
  <c r="AH89" i="23"/>
  <c r="AG89" i="23"/>
  <c r="AG139" i="23" s="1"/>
  <c r="AG201" i="23" s="1"/>
  <c r="AE47" i="23"/>
  <c r="AE49" i="23" s="1"/>
  <c r="AI50" i="23" s="1"/>
  <c r="AF12" i="25"/>
  <c r="AH86" i="23"/>
  <c r="AG86" i="23"/>
  <c r="AF104" i="23"/>
  <c r="AF90" i="23"/>
  <c r="AH90" i="23"/>
  <c r="H168" i="23"/>
  <c r="H66" i="23"/>
  <c r="E285" i="22"/>
  <c r="E287" i="22" s="1"/>
  <c r="AH144" i="23"/>
  <c r="AH206" i="23" s="1"/>
  <c r="AH191" i="23"/>
  <c r="AH136" i="23"/>
  <c r="AH222" i="23" s="1"/>
  <c r="AH189" i="23"/>
  <c r="AH127" i="23"/>
  <c r="AH258" i="23" s="1"/>
  <c r="E316" i="22"/>
  <c r="AH176" i="23"/>
  <c r="AH249" i="23"/>
  <c r="AH182" i="23"/>
  <c r="AH29" i="23"/>
  <c r="AH27" i="23"/>
  <c r="AG51" i="23"/>
  <c r="AG193" i="23"/>
  <c r="AG258" i="23"/>
  <c r="AF32" i="23"/>
  <c r="AF67" i="23"/>
  <c r="AH92" i="23" s="1"/>
  <c r="AF152" i="23"/>
  <c r="AF219" i="23" s="1"/>
  <c r="AF33" i="23"/>
  <c r="AF40" i="23"/>
  <c r="AF105" i="23"/>
  <c r="AE209" i="23"/>
  <c r="AF211" i="23" s="1"/>
  <c r="J339" i="22" s="1"/>
  <c r="AF35" i="23"/>
  <c r="AF36" i="23"/>
  <c r="J345" i="22"/>
  <c r="E345" i="22"/>
  <c r="AD240" i="23"/>
  <c r="H142" i="23"/>
  <c r="H204" i="23" s="1"/>
  <c r="H87" i="23"/>
  <c r="H20" i="25"/>
  <c r="AF59" i="23"/>
  <c r="AF74" i="23"/>
  <c r="AF75" i="23"/>
  <c r="H121" i="23"/>
  <c r="H129" i="23" s="1"/>
  <c r="AF111" i="23"/>
  <c r="AF38" i="23" s="1"/>
  <c r="AF37" i="23"/>
  <c r="AF204" i="23"/>
  <c r="AF238" i="23"/>
  <c r="AF120" i="23"/>
  <c r="C343" i="22" s="1"/>
  <c r="E343" i="22" s="1"/>
  <c r="AF231" i="23"/>
  <c r="H177" i="23"/>
  <c r="AF43" i="23"/>
  <c r="AF178" i="23"/>
  <c r="D422" i="22"/>
  <c r="H11" i="23"/>
  <c r="AF161" i="23"/>
  <c r="AJ162" i="23" s="1"/>
  <c r="AF171" i="23"/>
  <c r="AF179" i="23"/>
  <c r="AF188" i="23"/>
  <c r="AF236" i="23"/>
  <c r="AF169" i="23"/>
  <c r="H101" i="23"/>
  <c r="H102" i="23" s="1"/>
  <c r="H219" i="23"/>
  <c r="H169" i="23"/>
  <c r="AF10" i="23"/>
  <c r="AF56" i="23"/>
  <c r="AF166" i="23" s="1"/>
  <c r="AF237" i="23"/>
  <c r="AF34" i="23"/>
  <c r="D419" i="22"/>
  <c r="AF251" i="23"/>
  <c r="J374" i="22"/>
  <c r="AF86" i="23"/>
  <c r="AF148" i="23" s="1"/>
  <c r="AF164" i="23"/>
  <c r="AF228" i="23"/>
  <c r="AJ229" i="23" s="1"/>
  <c r="AF255" i="23"/>
  <c r="AD71" i="23"/>
  <c r="AF71" i="23" s="1"/>
  <c r="AE20" i="25"/>
  <c r="H44" i="23"/>
  <c r="H211" i="23"/>
  <c r="H47" i="23"/>
  <c r="H49" i="23" s="1"/>
  <c r="I50" i="23" s="1"/>
  <c r="H58" i="23"/>
  <c r="H92" i="23"/>
  <c r="H141" i="23" s="1"/>
  <c r="H203" i="23" s="1"/>
  <c r="H149" i="23"/>
  <c r="H188" i="23"/>
  <c r="H236" i="23"/>
  <c r="H251" i="23"/>
  <c r="H180" i="23"/>
  <c r="H237" i="23"/>
  <c r="H245" i="23"/>
  <c r="H235" i="23"/>
  <c r="H173" i="23"/>
  <c r="H181" i="23"/>
  <c r="H228" i="23"/>
  <c r="H238" i="23"/>
  <c r="H278" i="23" s="1"/>
  <c r="H246" i="23"/>
  <c r="H255" i="23"/>
  <c r="H24" i="23"/>
  <c r="H241" i="23"/>
  <c r="H242" i="23"/>
  <c r="C373" i="22"/>
  <c r="C385" i="22"/>
  <c r="AE219" i="23"/>
  <c r="AE188" i="23"/>
  <c r="AE121" i="23"/>
  <c r="AE124" i="23" s="1"/>
  <c r="AE11" i="23"/>
  <c r="AD180" i="23"/>
  <c r="AE24" i="23"/>
  <c r="AE111" i="23"/>
  <c r="AD181" i="23"/>
  <c r="AE101" i="23"/>
  <c r="AE255" i="23"/>
  <c r="G188" i="23"/>
  <c r="C421" i="22"/>
  <c r="C415" i="22"/>
  <c r="D415" i="22" s="1"/>
  <c r="C469" i="22"/>
  <c r="E406" i="22"/>
  <c r="C432" i="22"/>
  <c r="J402" i="22"/>
  <c r="AD19" i="25"/>
  <c r="AD11" i="25"/>
  <c r="AD12" i="25" s="1"/>
  <c r="V62" i="23"/>
  <c r="Z62" i="23"/>
  <c r="AD110" i="23"/>
  <c r="AD100" i="23"/>
  <c r="AD48" i="23"/>
  <c r="AD231" i="23"/>
  <c r="AD228" i="23"/>
  <c r="AH229" i="23" s="1"/>
  <c r="AD225" i="23"/>
  <c r="AD214" i="23"/>
  <c r="AD164" i="23"/>
  <c r="AD161" i="23"/>
  <c r="AH162" i="23" s="1"/>
  <c r="AD158" i="23"/>
  <c r="AD219" i="23"/>
  <c r="AD147" i="23"/>
  <c r="AD131" i="23"/>
  <c r="AD119" i="23"/>
  <c r="C400" i="22" s="1"/>
  <c r="AD116" i="23"/>
  <c r="AD105" i="23"/>
  <c r="AD104" i="23"/>
  <c r="AD95" i="23"/>
  <c r="AD85" i="23"/>
  <c r="AD62" i="23"/>
  <c r="AF62" i="23" s="1"/>
  <c r="AD61" i="23"/>
  <c r="AD56" i="23"/>
  <c r="AD166" i="23" s="1"/>
  <c r="AD55" i="23"/>
  <c r="AD165" i="23" s="1"/>
  <c r="AD46" i="23"/>
  <c r="AD43" i="23"/>
  <c r="AD40" i="23"/>
  <c r="AD37" i="23"/>
  <c r="AD36" i="23"/>
  <c r="AD35" i="23"/>
  <c r="AD34" i="23"/>
  <c r="AD33" i="23"/>
  <c r="AD32" i="23"/>
  <c r="AD10" i="23"/>
  <c r="AD19" i="23" s="1"/>
  <c r="AD8" i="23"/>
  <c r="J426" i="22"/>
  <c r="C435" i="22"/>
  <c r="C433" i="22"/>
  <c r="C442" i="22"/>
  <c r="AC110" i="23"/>
  <c r="AC111" i="23" s="1"/>
  <c r="AC100" i="23"/>
  <c r="AC101" i="23" s="1"/>
  <c r="AC48" i="23"/>
  <c r="J431" i="22"/>
  <c r="AC231" i="23"/>
  <c r="AC228" i="23"/>
  <c r="AG229" i="23" s="1"/>
  <c r="AC225" i="23"/>
  <c r="AC214" i="23"/>
  <c r="AC164" i="23"/>
  <c r="AC161" i="23"/>
  <c r="AG162" i="23" s="1"/>
  <c r="AC158" i="23"/>
  <c r="AC147" i="23"/>
  <c r="AC131" i="23"/>
  <c r="AC219" i="23"/>
  <c r="AC119" i="23"/>
  <c r="C429" i="22" s="1"/>
  <c r="AC116" i="23"/>
  <c r="AC105" i="23"/>
  <c r="AC104" i="23"/>
  <c r="AC95" i="23"/>
  <c r="AC85" i="23"/>
  <c r="AC61" i="23"/>
  <c r="AC56" i="23"/>
  <c r="AC166" i="23" s="1"/>
  <c r="AC55" i="23"/>
  <c r="AC165" i="23" s="1"/>
  <c r="AC46" i="23"/>
  <c r="AC44" i="23"/>
  <c r="AC43" i="23"/>
  <c r="AC40" i="23"/>
  <c r="AC37" i="23"/>
  <c r="AC36" i="23"/>
  <c r="AC35" i="23"/>
  <c r="AC34" i="23"/>
  <c r="AC33" i="23"/>
  <c r="AC32" i="23"/>
  <c r="AC10" i="23"/>
  <c r="AC19" i="23" s="1"/>
  <c r="AC8" i="23"/>
  <c r="AC19" i="25"/>
  <c r="AC11" i="25"/>
  <c r="AC12" i="25" s="1"/>
  <c r="Q56" i="23"/>
  <c r="Q55" i="23"/>
  <c r="R55" i="23"/>
  <c r="S55" i="23"/>
  <c r="U55" i="23"/>
  <c r="V55" i="23"/>
  <c r="W55" i="23"/>
  <c r="Y55" i="23"/>
  <c r="Z55" i="23"/>
  <c r="AA55" i="23"/>
  <c r="AA165" i="23" s="1"/>
  <c r="AA8" i="23"/>
  <c r="Z8" i="23"/>
  <c r="Y8" i="23"/>
  <c r="W8" i="23"/>
  <c r="V8" i="23"/>
  <c r="U8" i="23"/>
  <c r="S8" i="23"/>
  <c r="R8" i="23"/>
  <c r="Q8" i="23"/>
  <c r="G8" i="23"/>
  <c r="F8" i="23"/>
  <c r="E8" i="23"/>
  <c r="D8" i="23"/>
  <c r="C609" i="22"/>
  <c r="C592" i="22"/>
  <c r="C575" i="22"/>
  <c r="C566" i="22"/>
  <c r="C527" i="22"/>
  <c r="C507" i="22"/>
  <c r="C487" i="22"/>
  <c r="C556" i="22"/>
  <c r="C536" i="22"/>
  <c r="C516" i="22"/>
  <c r="C496" i="22"/>
  <c r="J458" i="22"/>
  <c r="Q122" i="23"/>
  <c r="P123" i="23"/>
  <c r="R122" i="23"/>
  <c r="S122" i="23"/>
  <c r="T123" i="23"/>
  <c r="U122" i="23"/>
  <c r="V122" i="23"/>
  <c r="V188" i="23" s="1"/>
  <c r="W122" i="23"/>
  <c r="W188" i="23" s="1"/>
  <c r="X123" i="23"/>
  <c r="C547" i="22" s="1"/>
  <c r="Y122" i="23"/>
  <c r="Y188" i="23" s="1"/>
  <c r="Z122" i="23"/>
  <c r="Z188" i="23" s="1"/>
  <c r="AB123" i="23"/>
  <c r="C460" i="22" s="1"/>
  <c r="AA122" i="23"/>
  <c r="AA188" i="23" s="1"/>
  <c r="C122" i="23"/>
  <c r="C39" i="23" s="1"/>
  <c r="D122" i="23"/>
  <c r="D39" i="23" s="1"/>
  <c r="E122" i="23"/>
  <c r="E39" i="23" s="1"/>
  <c r="F122" i="23"/>
  <c r="C476" i="22"/>
  <c r="C475" i="22"/>
  <c r="C474" i="22"/>
  <c r="C473" i="22"/>
  <c r="G184" i="23"/>
  <c r="G179" i="23"/>
  <c r="G178" i="23"/>
  <c r="G175" i="23"/>
  <c r="G174" i="23"/>
  <c r="G171" i="23"/>
  <c r="G170" i="23"/>
  <c r="AB78" i="23"/>
  <c r="AB73" i="23"/>
  <c r="AB72" i="23"/>
  <c r="AB69" i="23"/>
  <c r="AB68" i="23"/>
  <c r="AB65" i="23"/>
  <c r="AB64" i="23"/>
  <c r="G74" i="23"/>
  <c r="G71" i="23"/>
  <c r="G67" i="23"/>
  <c r="G43" i="23"/>
  <c r="G62" i="23"/>
  <c r="G168" i="23" s="1"/>
  <c r="Y53" i="25"/>
  <c r="N104" i="23"/>
  <c r="O104" i="23"/>
  <c r="Q104" i="23"/>
  <c r="R104" i="23"/>
  <c r="S104" i="23"/>
  <c r="U104" i="23"/>
  <c r="V104" i="23"/>
  <c r="W104" i="23"/>
  <c r="Y104" i="23"/>
  <c r="Z104" i="23"/>
  <c r="AA104" i="23"/>
  <c r="N105" i="23"/>
  <c r="O105" i="23"/>
  <c r="Q105" i="23"/>
  <c r="R105" i="23"/>
  <c r="S105" i="23"/>
  <c r="U105" i="23"/>
  <c r="V105" i="23"/>
  <c r="W105" i="23"/>
  <c r="Y105" i="23"/>
  <c r="Z105" i="23"/>
  <c r="AA105" i="23"/>
  <c r="M105" i="23"/>
  <c r="M104" i="23"/>
  <c r="D104" i="23"/>
  <c r="E104" i="23"/>
  <c r="F104" i="23"/>
  <c r="G104" i="23"/>
  <c r="D105" i="23"/>
  <c r="E105" i="23"/>
  <c r="F105" i="23"/>
  <c r="G105" i="23"/>
  <c r="C105" i="23"/>
  <c r="C104" i="23"/>
  <c r="G109" i="23"/>
  <c r="AB109" i="23" s="1"/>
  <c r="AB19" i="25"/>
  <c r="AB11" i="25"/>
  <c r="G19" i="25"/>
  <c r="G11" i="25"/>
  <c r="G12" i="25" s="1"/>
  <c r="AB128" i="23"/>
  <c r="AB115" i="23"/>
  <c r="AB114" i="23"/>
  <c r="AB98" i="23"/>
  <c r="AB99" i="23"/>
  <c r="AB97" i="23"/>
  <c r="AB54" i="23"/>
  <c r="AF55" i="23" s="1"/>
  <c r="AF165" i="23" s="1"/>
  <c r="AB28" i="23"/>
  <c r="AB25" i="23"/>
  <c r="AB23" i="23"/>
  <c r="AB22" i="23"/>
  <c r="AB21" i="23"/>
  <c r="AB20" i="23"/>
  <c r="AB14" i="23"/>
  <c r="AB15" i="23"/>
  <c r="AB16" i="23"/>
  <c r="AB17" i="23"/>
  <c r="AB18" i="23"/>
  <c r="AB13" i="23"/>
  <c r="AB9" i="23"/>
  <c r="AB7" i="23"/>
  <c r="AF8" i="23" s="1"/>
  <c r="AB209" i="23"/>
  <c r="G209" i="23"/>
  <c r="G211" i="23" s="1"/>
  <c r="AB210" i="23"/>
  <c r="AB212" i="23" s="1"/>
  <c r="G210" i="23"/>
  <c r="G212" i="23" s="1"/>
  <c r="AB122" i="23"/>
  <c r="G110" i="23"/>
  <c r="G100" i="23"/>
  <c r="G101" i="23" s="1"/>
  <c r="G48" i="23"/>
  <c r="AB225" i="23"/>
  <c r="AB214" i="23"/>
  <c r="AB158" i="23"/>
  <c r="AB147" i="23"/>
  <c r="AB131" i="23"/>
  <c r="AB95" i="23"/>
  <c r="AB85" i="23"/>
  <c r="AB61" i="23"/>
  <c r="AB46" i="23"/>
  <c r="G225" i="23"/>
  <c r="G214" i="23"/>
  <c r="G164" i="23"/>
  <c r="G161" i="23"/>
  <c r="H162" i="23" s="1"/>
  <c r="G158" i="23"/>
  <c r="G147" i="23"/>
  <c r="G131" i="23"/>
  <c r="G116" i="23"/>
  <c r="G95" i="23"/>
  <c r="G90" i="23"/>
  <c r="G89" i="23"/>
  <c r="G149" i="23" s="1"/>
  <c r="G86" i="23"/>
  <c r="G148" i="23" s="1"/>
  <c r="G85" i="23"/>
  <c r="G61" i="23"/>
  <c r="G56" i="23"/>
  <c r="G166" i="23" s="1"/>
  <c r="G55" i="23"/>
  <c r="G165" i="23" s="1"/>
  <c r="G46" i="23"/>
  <c r="G40" i="23"/>
  <c r="G37" i="23"/>
  <c r="G36" i="23"/>
  <c r="G35" i="23"/>
  <c r="G34" i="23"/>
  <c r="G33" i="23"/>
  <c r="G32" i="23"/>
  <c r="G10" i="23"/>
  <c r="G19" i="23" s="1"/>
  <c r="C489" i="22"/>
  <c r="J479" i="22"/>
  <c r="J485" i="22"/>
  <c r="AA19" i="25"/>
  <c r="AA11" i="25"/>
  <c r="AA12" i="25" s="1"/>
  <c r="AA110" i="23"/>
  <c r="AA120" i="23" s="1"/>
  <c r="C484" i="22" s="1"/>
  <c r="AA100" i="23"/>
  <c r="AA101" i="23" s="1"/>
  <c r="AA48" i="23"/>
  <c r="Z67" i="23"/>
  <c r="AA231" i="23"/>
  <c r="AA228" i="23"/>
  <c r="AA225" i="23"/>
  <c r="AA214" i="23"/>
  <c r="AA164" i="23"/>
  <c r="AA161" i="23"/>
  <c r="AE162" i="23" s="1"/>
  <c r="AA158" i="23"/>
  <c r="AA147" i="23"/>
  <c r="AA131" i="23"/>
  <c r="AA119" i="23"/>
  <c r="C483" i="22" s="1"/>
  <c r="AA116" i="23"/>
  <c r="AA95" i="23"/>
  <c r="AA85" i="23"/>
  <c r="AA61" i="23"/>
  <c r="AA56" i="23"/>
  <c r="AA166" i="23" s="1"/>
  <c r="AA46" i="23"/>
  <c r="AA44" i="23"/>
  <c r="AA43" i="23"/>
  <c r="AA40" i="23"/>
  <c r="AA37" i="23"/>
  <c r="AA36" i="23"/>
  <c r="AA35" i="23"/>
  <c r="AA34" i="23"/>
  <c r="AA33" i="23"/>
  <c r="AA32" i="23"/>
  <c r="AA10" i="23"/>
  <c r="AA19" i="23" s="1"/>
  <c r="E258" i="22" l="1"/>
  <c r="F28" i="22"/>
  <c r="E31" i="22"/>
  <c r="K222" i="23"/>
  <c r="K29" i="23"/>
  <c r="K91" i="23"/>
  <c r="AO91" i="23"/>
  <c r="AO29" i="23"/>
  <c r="AO27" i="23"/>
  <c r="K198" i="23"/>
  <c r="F82" i="22"/>
  <c r="E85" i="22"/>
  <c r="AM217" i="23"/>
  <c r="AM221" i="23"/>
  <c r="J217" i="23"/>
  <c r="J221" i="23"/>
  <c r="J233" i="23"/>
  <c r="J267" i="23"/>
  <c r="J275" i="23" s="1"/>
  <c r="F130" i="22"/>
  <c r="F132" i="22"/>
  <c r="F127" i="22"/>
  <c r="J229" i="23"/>
  <c r="AN91" i="23"/>
  <c r="AN27" i="23"/>
  <c r="AN29" i="23"/>
  <c r="K221" i="23"/>
  <c r="K217" i="23"/>
  <c r="K233" i="23"/>
  <c r="K267" i="23"/>
  <c r="I154" i="23"/>
  <c r="I199" i="23"/>
  <c r="I144" i="23"/>
  <c r="I206" i="23" s="1"/>
  <c r="I195" i="23"/>
  <c r="I191" i="23"/>
  <c r="I127" i="23"/>
  <c r="I189" i="23"/>
  <c r="I136" i="23"/>
  <c r="I218" i="23"/>
  <c r="I221" i="23" s="1"/>
  <c r="I153" i="23"/>
  <c r="I220" i="23" s="1"/>
  <c r="J183" i="23"/>
  <c r="J250" i="23"/>
  <c r="J185" i="23"/>
  <c r="J252" i="23"/>
  <c r="J273" i="23"/>
  <c r="J270" i="23"/>
  <c r="AF48" i="23"/>
  <c r="I267" i="23"/>
  <c r="I273" i="23" s="1"/>
  <c r="J232" i="23"/>
  <c r="F188" i="23"/>
  <c r="F39" i="23"/>
  <c r="AK270" i="23"/>
  <c r="AK273" i="23"/>
  <c r="I270" i="23"/>
  <c r="AC38" i="23"/>
  <c r="AE38" i="23"/>
  <c r="AI272" i="23"/>
  <c r="AI269" i="23"/>
  <c r="AL273" i="23"/>
  <c r="AL270" i="23"/>
  <c r="I272" i="23"/>
  <c r="I269" i="23"/>
  <c r="AD39" i="23"/>
  <c r="AC39" i="23"/>
  <c r="AB39" i="23"/>
  <c r="AE39" i="23"/>
  <c r="AG198" i="23"/>
  <c r="AL275" i="23"/>
  <c r="AG155" i="23"/>
  <c r="H277" i="23"/>
  <c r="F165" i="22"/>
  <c r="F162" i="22"/>
  <c r="F167" i="22"/>
  <c r="AK275" i="23"/>
  <c r="D391" i="22"/>
  <c r="AL217" i="23"/>
  <c r="AJ252" i="23"/>
  <c r="AJ232" i="23"/>
  <c r="AI267" i="23"/>
  <c r="AJ243" i="23"/>
  <c r="AJ249" i="23"/>
  <c r="AG232" i="23"/>
  <c r="AL221" i="23"/>
  <c r="AH232" i="23"/>
  <c r="F193" i="22"/>
  <c r="F196" i="22"/>
  <c r="F198" i="22"/>
  <c r="E374" i="22"/>
  <c r="E377" i="22"/>
  <c r="AB260" i="23"/>
  <c r="I217" i="23"/>
  <c r="E379" i="22"/>
  <c r="I280" i="23"/>
  <c r="AE265" i="23"/>
  <c r="E372" i="22"/>
  <c r="AK217" i="23"/>
  <c r="AK221" i="23"/>
  <c r="D386" i="22"/>
  <c r="E371" i="22"/>
  <c r="AB263" i="23"/>
  <c r="E375" i="22"/>
  <c r="AG256" i="23"/>
  <c r="AB264" i="23"/>
  <c r="D393" i="22"/>
  <c r="AG153" i="23"/>
  <c r="AG220" i="23" s="1"/>
  <c r="G255" i="23"/>
  <c r="G264" i="23"/>
  <c r="G260" i="23"/>
  <c r="G263" i="23"/>
  <c r="D392" i="22"/>
  <c r="AH256" i="23"/>
  <c r="AI280" i="23"/>
  <c r="I229" i="23"/>
  <c r="I233" i="23"/>
  <c r="AH218" i="23"/>
  <c r="I232" i="23"/>
  <c r="AI102" i="23"/>
  <c r="AF149" i="23"/>
  <c r="AF216" i="23" s="1"/>
  <c r="I249" i="23"/>
  <c r="I182" i="23"/>
  <c r="AI137" i="23"/>
  <c r="AI199" i="23" s="1"/>
  <c r="C382" i="22"/>
  <c r="AI134" i="23"/>
  <c r="AI196" i="23" s="1"/>
  <c r="C259" i="22"/>
  <c r="D256" i="22" s="1"/>
  <c r="AE231" i="23"/>
  <c r="AG267" i="23" s="1"/>
  <c r="AG273" i="23" s="1"/>
  <c r="AJ26" i="23"/>
  <c r="AM91" i="23" s="1"/>
  <c r="AJ41" i="23"/>
  <c r="AI155" i="23"/>
  <c r="AI150" i="23"/>
  <c r="AI216" i="23"/>
  <c r="E352" i="22"/>
  <c r="C287" i="22"/>
  <c r="C289" i="22"/>
  <c r="AI139" i="23"/>
  <c r="AI201" i="23" s="1"/>
  <c r="AI198" i="23"/>
  <c r="AI258" i="23"/>
  <c r="AE51" i="23"/>
  <c r="AE53" i="23"/>
  <c r="H70" i="23"/>
  <c r="H93" i="23" s="1"/>
  <c r="H239" i="23"/>
  <c r="AE228" i="23"/>
  <c r="AI229" i="23" s="1"/>
  <c r="AH211" i="23"/>
  <c r="J277" i="22" s="1"/>
  <c r="AG211" i="23"/>
  <c r="J308" i="22" s="1"/>
  <c r="E289" i="22"/>
  <c r="AG149" i="23"/>
  <c r="C321" i="22"/>
  <c r="AG134" i="23"/>
  <c r="AG196" i="23" s="1"/>
  <c r="AG137" i="23"/>
  <c r="AG148" i="23"/>
  <c r="AG102" i="23"/>
  <c r="C290" i="22"/>
  <c r="AH149" i="23"/>
  <c r="AH134" i="23"/>
  <c r="AH196" i="23" s="1"/>
  <c r="AH137" i="23"/>
  <c r="AH148" i="23"/>
  <c r="AH102" i="23"/>
  <c r="AH198" i="23"/>
  <c r="AH155" i="23"/>
  <c r="AH139" i="23"/>
  <c r="AH201" i="23" s="1"/>
  <c r="AH193" i="23"/>
  <c r="E318" i="22"/>
  <c r="E320" i="22"/>
  <c r="AH250" i="23"/>
  <c r="AH183" i="23"/>
  <c r="AF215" i="23"/>
  <c r="G111" i="23"/>
  <c r="G38" i="23" s="1"/>
  <c r="G119" i="23"/>
  <c r="H137" i="23"/>
  <c r="H199" i="23" s="1"/>
  <c r="H254" i="23"/>
  <c r="H151" i="23"/>
  <c r="H218" i="23" s="1"/>
  <c r="H124" i="23"/>
  <c r="H189" i="23" s="1"/>
  <c r="H134" i="23"/>
  <c r="H196" i="23" s="1"/>
  <c r="H187" i="23"/>
  <c r="H172" i="23"/>
  <c r="AF11" i="23"/>
  <c r="AF19" i="23"/>
  <c r="AD177" i="23"/>
  <c r="AD244" i="23"/>
  <c r="AF233" i="23"/>
  <c r="AB188" i="23"/>
  <c r="H88" i="23"/>
  <c r="H51" i="23"/>
  <c r="H53" i="23"/>
  <c r="H216" i="23"/>
  <c r="H217" i="23" s="1"/>
  <c r="H150" i="23"/>
  <c r="H41" i="23"/>
  <c r="H26" i="23"/>
  <c r="H233" i="23"/>
  <c r="C423" i="22"/>
  <c r="D421" i="22"/>
  <c r="C387" i="22"/>
  <c r="D385" i="22"/>
  <c r="C376" i="22"/>
  <c r="AE129" i="23"/>
  <c r="AE254" i="23"/>
  <c r="AE187" i="23"/>
  <c r="AE151" i="23"/>
  <c r="AE218" i="23" s="1"/>
  <c r="AB184" i="23"/>
  <c r="AD120" i="23"/>
  <c r="C401" i="22" s="1"/>
  <c r="C402" i="22" s="1"/>
  <c r="AE41" i="23"/>
  <c r="AE26" i="23"/>
  <c r="AC89" i="23"/>
  <c r="C437" i="22" s="1"/>
  <c r="E437" i="22" s="1"/>
  <c r="AE89" i="23"/>
  <c r="C381" i="22" s="1"/>
  <c r="AB179" i="23"/>
  <c r="AC86" i="23"/>
  <c r="AC148" i="23" s="1"/>
  <c r="AE86" i="23"/>
  <c r="AE148" i="23" s="1"/>
  <c r="AB211" i="23"/>
  <c r="J453" i="22" s="1"/>
  <c r="AE211" i="23"/>
  <c r="J368" i="22" s="1"/>
  <c r="AD90" i="23"/>
  <c r="AD168" i="23"/>
  <c r="AD235" i="23"/>
  <c r="AE136" i="23"/>
  <c r="AE191" i="23"/>
  <c r="AE189" i="23"/>
  <c r="AE133" i="23"/>
  <c r="AE195" i="23" s="1"/>
  <c r="AE127" i="23"/>
  <c r="AE144" i="23"/>
  <c r="AE206" i="23" s="1"/>
  <c r="E255" i="23"/>
  <c r="E188" i="23"/>
  <c r="AA152" i="23"/>
  <c r="AA219" i="23" s="1"/>
  <c r="AA255" i="23"/>
  <c r="AD101" i="23"/>
  <c r="AB255" i="23"/>
  <c r="AB152" i="23"/>
  <c r="AB219" i="23" s="1"/>
  <c r="Z152" i="23"/>
  <c r="Z255" i="23"/>
  <c r="Y152" i="23"/>
  <c r="Y255" i="23"/>
  <c r="F152" i="23"/>
  <c r="W255" i="23"/>
  <c r="W152" i="23"/>
  <c r="V255" i="23"/>
  <c r="V152" i="23"/>
  <c r="E408" i="22"/>
  <c r="J403" i="22"/>
  <c r="AB245" i="23"/>
  <c r="E400" i="22"/>
  <c r="E403" i="22"/>
  <c r="AD20" i="25"/>
  <c r="E404" i="22"/>
  <c r="C414" i="22"/>
  <c r="D414" i="22" s="1"/>
  <c r="G240" i="23"/>
  <c r="G247" i="23"/>
  <c r="G251" i="23"/>
  <c r="AB62" i="23"/>
  <c r="E487" i="22"/>
  <c r="AD66" i="23"/>
  <c r="AD11" i="23"/>
  <c r="AD47" i="23"/>
  <c r="AD49" i="23" s="1"/>
  <c r="AD24" i="23"/>
  <c r="AB105" i="23"/>
  <c r="AB241" i="23"/>
  <c r="G180" i="23"/>
  <c r="G245" i="23"/>
  <c r="AD44" i="23"/>
  <c r="AB242" i="23"/>
  <c r="AC233" i="23"/>
  <c r="AD106" i="23"/>
  <c r="AD233" i="23"/>
  <c r="AD211" i="23"/>
  <c r="J397" i="22" s="1"/>
  <c r="G142" i="23"/>
  <c r="G204" i="23" s="1"/>
  <c r="AB104" i="23"/>
  <c r="G244" i="23"/>
  <c r="AB246" i="23"/>
  <c r="AD86" i="23"/>
  <c r="AD148" i="23" s="1"/>
  <c r="AD111" i="23"/>
  <c r="AD38" i="23" s="1"/>
  <c r="AB74" i="23"/>
  <c r="AB75" i="23"/>
  <c r="AB86" i="23"/>
  <c r="AB148" i="23" s="1"/>
  <c r="G235" i="23"/>
  <c r="AB32" i="23"/>
  <c r="AB237" i="23"/>
  <c r="AB89" i="23"/>
  <c r="G237" i="23"/>
  <c r="AC211" i="23"/>
  <c r="AD89" i="23"/>
  <c r="C410" i="22" s="1"/>
  <c r="G58" i="23"/>
  <c r="AB35" i="23"/>
  <c r="AB238" i="23"/>
  <c r="G241" i="23"/>
  <c r="G11" i="23"/>
  <c r="J432" i="22"/>
  <c r="AC24" i="23"/>
  <c r="AC26" i="23" s="1"/>
  <c r="AC29" i="23" s="1"/>
  <c r="AC47" i="23"/>
  <c r="AC49" i="23" s="1"/>
  <c r="AG50" i="23" s="1"/>
  <c r="AC20" i="25"/>
  <c r="AC11" i="23"/>
  <c r="C441" i="22"/>
  <c r="C450" i="22"/>
  <c r="AC120" i="23"/>
  <c r="AC106" i="23"/>
  <c r="C477" i="22"/>
  <c r="AA106" i="23"/>
  <c r="AB67" i="23"/>
  <c r="AB90" i="23"/>
  <c r="AB251" i="23"/>
  <c r="AB63" i="23"/>
  <c r="G169" i="23"/>
  <c r="G173" i="23"/>
  <c r="G177" i="23"/>
  <c r="G181" i="23"/>
  <c r="AB170" i="23"/>
  <c r="AB174" i="23"/>
  <c r="AB178" i="23"/>
  <c r="G236" i="23"/>
  <c r="G238" i="23"/>
  <c r="G242" i="23"/>
  <c r="G246" i="23"/>
  <c r="G248" i="23"/>
  <c r="AB36" i="23"/>
  <c r="G106" i="23"/>
  <c r="G66" i="23"/>
  <c r="AB171" i="23"/>
  <c r="AB175" i="23"/>
  <c r="E483" i="22"/>
  <c r="G120" i="23"/>
  <c r="D496" i="22"/>
  <c r="AB110" i="23"/>
  <c r="G20" i="25"/>
  <c r="AB228" i="23"/>
  <c r="AF229" i="23" s="1"/>
  <c r="AB12" i="25"/>
  <c r="J452" i="22"/>
  <c r="C459" i="22"/>
  <c r="J459" i="22" s="1"/>
  <c r="AB100" i="23"/>
  <c r="AB106" i="23" s="1"/>
  <c r="C462" i="22"/>
  <c r="AA111" i="23"/>
  <c r="E484" i="22"/>
  <c r="G44" i="23"/>
  <c r="AB37" i="23"/>
  <c r="AB10" i="23"/>
  <c r="AB19" i="23" s="1"/>
  <c r="G102" i="23"/>
  <c r="E489" i="22"/>
  <c r="AB40" i="23"/>
  <c r="AB33" i="23"/>
  <c r="G59" i="23"/>
  <c r="AA20" i="25"/>
  <c r="C486" i="22"/>
  <c r="E486" i="22" s="1"/>
  <c r="AB56" i="23"/>
  <c r="AB166" i="23" s="1"/>
  <c r="AB231" i="23"/>
  <c r="G92" i="23"/>
  <c r="G141" i="23" s="1"/>
  <c r="G203" i="23" s="1"/>
  <c r="AB34" i="23"/>
  <c r="AB161" i="23"/>
  <c r="AF162" i="23" s="1"/>
  <c r="G231" i="23"/>
  <c r="G215" i="23"/>
  <c r="G219" i="23"/>
  <c r="AB164" i="23"/>
  <c r="G24" i="23"/>
  <c r="G87" i="23"/>
  <c r="G47" i="23"/>
  <c r="G49" i="23" s="1"/>
  <c r="H50" i="23" s="1"/>
  <c r="G150" i="23"/>
  <c r="G216" i="23"/>
  <c r="G228" i="23"/>
  <c r="H229" i="23" s="1"/>
  <c r="Z71" i="23"/>
  <c r="AB71" i="23" s="1"/>
  <c r="C485" i="22"/>
  <c r="AA121" i="23"/>
  <c r="AA187" i="23" s="1"/>
  <c r="AA233" i="23"/>
  <c r="AA24" i="23"/>
  <c r="AA47" i="23"/>
  <c r="AA49" i="23" s="1"/>
  <c r="AE50" i="23" s="1"/>
  <c r="AA11" i="23"/>
  <c r="J499" i="22"/>
  <c r="E507" i="22" s="1"/>
  <c r="C509" i="22"/>
  <c r="J505" i="22"/>
  <c r="Z19" i="25"/>
  <c r="Z11" i="25"/>
  <c r="Z12" i="25" s="1"/>
  <c r="C506" i="22"/>
  <c r="C515" i="22" s="1"/>
  <c r="Z110" i="23"/>
  <c r="Z120" i="23" s="1"/>
  <c r="C504" i="22" s="1"/>
  <c r="Z100" i="23"/>
  <c r="Z48" i="23"/>
  <c r="Z251" i="23"/>
  <c r="Z246" i="23"/>
  <c r="Z242" i="23"/>
  <c r="Z241" i="23"/>
  <c r="Z238" i="23"/>
  <c r="Z237" i="23"/>
  <c r="Z236" i="23"/>
  <c r="Z231" i="23"/>
  <c r="Z228" i="23"/>
  <c r="AD229" i="23" s="1"/>
  <c r="Z225" i="23"/>
  <c r="Z214" i="23"/>
  <c r="Z184" i="23"/>
  <c r="Z181" i="23"/>
  <c r="Z179" i="23"/>
  <c r="Z175" i="23"/>
  <c r="Z174" i="23"/>
  <c r="Z173" i="23"/>
  <c r="Z171" i="23"/>
  <c r="Z170" i="23"/>
  <c r="Z169" i="23"/>
  <c r="Z164" i="23"/>
  <c r="Z161" i="23"/>
  <c r="Z158" i="23"/>
  <c r="Z147" i="23"/>
  <c r="Z131" i="23"/>
  <c r="Z116" i="23"/>
  <c r="Z119" i="23"/>
  <c r="C503" i="22" s="1"/>
  <c r="Z95" i="23"/>
  <c r="Z85" i="23"/>
  <c r="Z248" i="23"/>
  <c r="Z247" i="23"/>
  <c r="Z178" i="23"/>
  <c r="Z240" i="23"/>
  <c r="Z61" i="23"/>
  <c r="Z59" i="23"/>
  <c r="Z58" i="23"/>
  <c r="Z56" i="23"/>
  <c r="Z166" i="23" s="1"/>
  <c r="Z165" i="23"/>
  <c r="Z46" i="23"/>
  <c r="Z44" i="23"/>
  <c r="Z43" i="23"/>
  <c r="Z40" i="23"/>
  <c r="Z37" i="23"/>
  <c r="Z36" i="23"/>
  <c r="Z35" i="23"/>
  <c r="Z34" i="23"/>
  <c r="Z33" i="23"/>
  <c r="Z32" i="23"/>
  <c r="Z10" i="23"/>
  <c r="Z19" i="23" s="1"/>
  <c r="F31" i="22" l="1"/>
  <c r="E33" i="22"/>
  <c r="F33" i="22" s="1"/>
  <c r="E35" i="22"/>
  <c r="F85" i="22"/>
  <c r="E87" i="22"/>
  <c r="F87" i="22" s="1"/>
  <c r="E89" i="22"/>
  <c r="K275" i="23"/>
  <c r="K270" i="23"/>
  <c r="K273" i="23"/>
  <c r="I258" i="23"/>
  <c r="I275" i="23" s="1"/>
  <c r="I193" i="23"/>
  <c r="I139" i="23"/>
  <c r="I201" i="23" s="1"/>
  <c r="I222" i="23"/>
  <c r="I198" i="23"/>
  <c r="I155" i="23"/>
  <c r="I277" i="23"/>
  <c r="I278" i="23"/>
  <c r="H270" i="23"/>
  <c r="H273" i="23"/>
  <c r="AG270" i="23"/>
  <c r="AH272" i="23"/>
  <c r="AH269" i="23"/>
  <c r="AI273" i="23"/>
  <c r="AI270" i="23"/>
  <c r="AG272" i="23"/>
  <c r="AG269" i="23"/>
  <c r="AI275" i="23"/>
  <c r="AG275" i="23"/>
  <c r="AK91" i="23"/>
  <c r="AL91" i="23"/>
  <c r="AF232" i="23"/>
  <c r="AE267" i="23"/>
  <c r="AI232" i="23"/>
  <c r="AH267" i="23"/>
  <c r="AF267" i="23"/>
  <c r="AD232" i="23"/>
  <c r="AC267" i="23"/>
  <c r="H232" i="23"/>
  <c r="G267" i="23"/>
  <c r="D387" i="22"/>
  <c r="AD267" i="23"/>
  <c r="E373" i="22"/>
  <c r="E376" i="22" s="1"/>
  <c r="E380" i="22" s="1"/>
  <c r="D394" i="22"/>
  <c r="AG280" i="23"/>
  <c r="H256" i="23"/>
  <c r="AH280" i="23"/>
  <c r="AE256" i="23"/>
  <c r="AB265" i="23"/>
  <c r="G265" i="23"/>
  <c r="D251" i="22"/>
  <c r="D254" i="22"/>
  <c r="G121" i="23"/>
  <c r="AE233" i="23"/>
  <c r="AE229" i="23"/>
  <c r="AE232" i="23"/>
  <c r="AI154" i="23"/>
  <c r="AF150" i="23"/>
  <c r="E259" i="22"/>
  <c r="F251" i="22" s="1"/>
  <c r="I252" i="23"/>
  <c r="I185" i="23"/>
  <c r="AJ29" i="23"/>
  <c r="AJ27" i="23"/>
  <c r="AJ91" i="23"/>
  <c r="I250" i="23"/>
  <c r="I183" i="23"/>
  <c r="AH87" i="23"/>
  <c r="AI87" i="23"/>
  <c r="AI217" i="23"/>
  <c r="AF217" i="23"/>
  <c r="AI221" i="23"/>
  <c r="AG87" i="23"/>
  <c r="E290" i="22"/>
  <c r="D282" i="22"/>
  <c r="D285" i="22"/>
  <c r="D287" i="22"/>
  <c r="E321" i="22"/>
  <c r="F318" i="22" s="1"/>
  <c r="D313" i="22"/>
  <c r="D316" i="22"/>
  <c r="D318" i="22"/>
  <c r="AG150" i="23"/>
  <c r="AG216" i="23"/>
  <c r="AG215" i="23"/>
  <c r="AH215" i="23"/>
  <c r="AH199" i="23"/>
  <c r="AH154" i="23"/>
  <c r="AH150" i="23"/>
  <c r="AH216" i="23"/>
  <c r="AG199" i="23"/>
  <c r="AG154" i="23"/>
  <c r="H76" i="23"/>
  <c r="H243" i="23"/>
  <c r="H176" i="23"/>
  <c r="AH50" i="23"/>
  <c r="AE29" i="23"/>
  <c r="AH252" i="23"/>
  <c r="AH185" i="23"/>
  <c r="AB215" i="23"/>
  <c r="AD121" i="23"/>
  <c r="C411" i="22" s="1"/>
  <c r="E401" i="22"/>
  <c r="E402" i="22" s="1"/>
  <c r="E405" i="22" s="1"/>
  <c r="E407" i="22" s="1"/>
  <c r="AC149" i="23"/>
  <c r="AC150" i="23" s="1"/>
  <c r="AF87" i="23"/>
  <c r="AF20" i="25"/>
  <c r="E381" i="22"/>
  <c r="H154" i="23"/>
  <c r="H127" i="23"/>
  <c r="AF127" i="23" s="1"/>
  <c r="H191" i="23"/>
  <c r="H153" i="23"/>
  <c r="H220" i="23" s="1"/>
  <c r="H136" i="23"/>
  <c r="H155" i="23" s="1"/>
  <c r="H144" i="23"/>
  <c r="H206" i="23" s="1"/>
  <c r="H133" i="23"/>
  <c r="H195" i="23" s="1"/>
  <c r="D373" i="22"/>
  <c r="AC53" i="23"/>
  <c r="AF24" i="23"/>
  <c r="AF47" i="23"/>
  <c r="H91" i="23"/>
  <c r="H29" i="23"/>
  <c r="H27" i="23"/>
  <c r="H221" i="23"/>
  <c r="C380" i="22"/>
  <c r="D376" i="22"/>
  <c r="C378" i="22"/>
  <c r="D378" i="22" s="1"/>
  <c r="AE153" i="23"/>
  <c r="AE220" i="23" s="1"/>
  <c r="AB59" i="23"/>
  <c r="AE222" i="23"/>
  <c r="AE155" i="23"/>
  <c r="AE198" i="23"/>
  <c r="AC102" i="23"/>
  <c r="AE149" i="23"/>
  <c r="AE134" i="23"/>
  <c r="AE196" i="23" s="1"/>
  <c r="AE137" i="23"/>
  <c r="AE27" i="23"/>
  <c r="AD92" i="23"/>
  <c r="AD141" i="23" s="1"/>
  <c r="AD203" i="23" s="1"/>
  <c r="AE193" i="23"/>
  <c r="AE258" i="23"/>
  <c r="AE139" i="23"/>
  <c r="AE201" i="23" s="1"/>
  <c r="AB20" i="25"/>
  <c r="AE87" i="23"/>
  <c r="AD142" i="23"/>
  <c r="AD204" i="23" s="1"/>
  <c r="AB248" i="23"/>
  <c r="AD239" i="23"/>
  <c r="AD172" i="23"/>
  <c r="AB247" i="23"/>
  <c r="AE215" i="23"/>
  <c r="AE102" i="23"/>
  <c r="E410" i="22"/>
  <c r="AB142" i="23"/>
  <c r="AB204" i="23" s="1"/>
  <c r="D402" i="22"/>
  <c r="AB180" i="23"/>
  <c r="J425" i="22"/>
  <c r="E435" i="22" s="1"/>
  <c r="C405" i="22"/>
  <c r="C416" i="22"/>
  <c r="D447" i="22"/>
  <c r="AC87" i="23"/>
  <c r="E460" i="22"/>
  <c r="AD70" i="23"/>
  <c r="AD102" i="23"/>
  <c r="AD149" i="23"/>
  <c r="AD87" i="23"/>
  <c r="AD215" i="23"/>
  <c r="AD26" i="23"/>
  <c r="AD41" i="23"/>
  <c r="AC121" i="23"/>
  <c r="AC124" i="23" s="1"/>
  <c r="AC127" i="23" s="1"/>
  <c r="C430" i="22"/>
  <c r="AD162" i="23"/>
  <c r="AB43" i="23"/>
  <c r="AB181" i="23"/>
  <c r="AD53" i="23"/>
  <c r="AD51" i="23"/>
  <c r="AB58" i="23"/>
  <c r="AA124" i="23"/>
  <c r="AC215" i="23"/>
  <c r="AC41" i="23"/>
  <c r="AC51" i="23"/>
  <c r="D448" i="22"/>
  <c r="D449" i="22"/>
  <c r="D446" i="22"/>
  <c r="E462" i="22"/>
  <c r="C443" i="22"/>
  <c r="AC27" i="23"/>
  <c r="J506" i="22"/>
  <c r="C488" i="22"/>
  <c r="C490" i="22" s="1"/>
  <c r="J486" i="22"/>
  <c r="AB168" i="23"/>
  <c r="AB66" i="23"/>
  <c r="AB235" i="23"/>
  <c r="AB44" i="23"/>
  <c r="G172" i="23"/>
  <c r="G239" i="23"/>
  <c r="AB240" i="23"/>
  <c r="AB173" i="23"/>
  <c r="Z101" i="23"/>
  <c r="Z106" i="23"/>
  <c r="G70" i="23"/>
  <c r="G93" i="23" s="1"/>
  <c r="AB236" i="23"/>
  <c r="AB169" i="23"/>
  <c r="AB244" i="23"/>
  <c r="AB177" i="23"/>
  <c r="AB92" i="23"/>
  <c r="AB141" i="23" s="1"/>
  <c r="AB203" i="23" s="1"/>
  <c r="D476" i="22"/>
  <c r="D473" i="22"/>
  <c r="D474" i="22"/>
  <c r="D475" i="22"/>
  <c r="D469" i="22"/>
  <c r="AB111" i="23"/>
  <c r="AB38" i="23" s="1"/>
  <c r="AB233" i="23"/>
  <c r="C495" i="22"/>
  <c r="D495" i="22" s="1"/>
  <c r="E459" i="22"/>
  <c r="AB120" i="23"/>
  <c r="C457" i="22" s="1"/>
  <c r="E457" i="22" s="1"/>
  <c r="C468" i="22"/>
  <c r="C464" i="22"/>
  <c r="E464" i="22" s="1"/>
  <c r="G217" i="23"/>
  <c r="D515" i="22"/>
  <c r="E503" i="22"/>
  <c r="E509" i="22"/>
  <c r="Z177" i="23"/>
  <c r="AB11" i="23"/>
  <c r="AB149" i="23"/>
  <c r="AB24" i="23"/>
  <c r="AB47" i="23"/>
  <c r="G233" i="23"/>
  <c r="G88" i="23"/>
  <c r="G53" i="23"/>
  <c r="G51" i="23"/>
  <c r="G41" i="23"/>
  <c r="G26" i="23"/>
  <c r="Z168" i="23"/>
  <c r="Z66" i="23"/>
  <c r="Z239" i="23" s="1"/>
  <c r="Z219" i="23"/>
  <c r="D516" i="22"/>
  <c r="AA129" i="23"/>
  <c r="C492" i="22"/>
  <c r="E504" i="22"/>
  <c r="AA254" i="23"/>
  <c r="E506" i="22"/>
  <c r="AA151" i="23"/>
  <c r="AA153" i="23" s="1"/>
  <c r="AA220" i="23" s="1"/>
  <c r="Z20" i="25"/>
  <c r="AA41" i="23"/>
  <c r="AA26" i="23"/>
  <c r="AA29" i="23" s="1"/>
  <c r="AA53" i="23"/>
  <c r="AA51" i="23"/>
  <c r="C505" i="22"/>
  <c r="C508" i="22" s="1"/>
  <c r="C517" i="22"/>
  <c r="Z233" i="23"/>
  <c r="Z121" i="23"/>
  <c r="Z11" i="23"/>
  <c r="Z180" i="23"/>
  <c r="Z235" i="23"/>
  <c r="Z24" i="23"/>
  <c r="Z111" i="23"/>
  <c r="Z244" i="23"/>
  <c r="Z245" i="23"/>
  <c r="Z47" i="23"/>
  <c r="Z49" i="23" s="1"/>
  <c r="AD50" i="23" s="1"/>
  <c r="J519" i="22"/>
  <c r="E527" i="22" s="1"/>
  <c r="C529" i="22"/>
  <c r="J525" i="22"/>
  <c r="Y19" i="25"/>
  <c r="Y11" i="25"/>
  <c r="Y12" i="25" s="1"/>
  <c r="G124" i="23" l="1"/>
  <c r="G137" i="23"/>
  <c r="G254" i="23"/>
  <c r="G256" i="23" s="1"/>
  <c r="G134" i="23"/>
  <c r="G196" i="23" s="1"/>
  <c r="AE275" i="23"/>
  <c r="AE273" i="23"/>
  <c r="AE270" i="23"/>
  <c r="H269" i="23"/>
  <c r="H272" i="23"/>
  <c r="G273" i="23"/>
  <c r="AE272" i="23"/>
  <c r="AE269" i="23"/>
  <c r="AH273" i="23"/>
  <c r="AH270" i="23"/>
  <c r="E378" i="22"/>
  <c r="F378" i="22" s="1"/>
  <c r="AD278" i="23"/>
  <c r="AD277" i="23"/>
  <c r="AH275" i="23"/>
  <c r="F373" i="22"/>
  <c r="G278" i="23"/>
  <c r="G277" i="23"/>
  <c r="AF278" i="23"/>
  <c r="G151" i="23"/>
  <c r="G218" i="23" s="1"/>
  <c r="G221" i="23" s="1"/>
  <c r="H280" i="23"/>
  <c r="AE280" i="23"/>
  <c r="G129" i="23"/>
  <c r="AA256" i="23"/>
  <c r="G187" i="23"/>
  <c r="AD254" i="23"/>
  <c r="F256" i="22"/>
  <c r="F254" i="22"/>
  <c r="AC216" i="23"/>
  <c r="AC217" i="23" s="1"/>
  <c r="F282" i="22"/>
  <c r="F285" i="22"/>
  <c r="F287" i="22"/>
  <c r="AD129" i="23"/>
  <c r="AH217" i="23"/>
  <c r="AH221" i="23"/>
  <c r="AD187" i="23"/>
  <c r="AD29" i="23"/>
  <c r="F313" i="22"/>
  <c r="F316" i="22"/>
  <c r="H77" i="23"/>
  <c r="H79" i="23" s="1"/>
  <c r="H249" i="23"/>
  <c r="H182" i="23"/>
  <c r="AD124" i="23"/>
  <c r="AD127" i="23" s="1"/>
  <c r="AD139" i="23" s="1"/>
  <c r="AD201" i="23" s="1"/>
  <c r="AD134" i="23"/>
  <c r="AD196" i="23" s="1"/>
  <c r="AD151" i="23"/>
  <c r="AD153" i="23" s="1"/>
  <c r="AD220" i="23" s="1"/>
  <c r="AD137" i="23"/>
  <c r="AD199" i="23" s="1"/>
  <c r="AG217" i="23"/>
  <c r="AG221" i="23"/>
  <c r="F376" i="22"/>
  <c r="H193" i="23"/>
  <c r="H222" i="23"/>
  <c r="H198" i="23"/>
  <c r="H258" i="23"/>
  <c r="H275" i="23" s="1"/>
  <c r="H139" i="23"/>
  <c r="H201" i="23" s="1"/>
  <c r="AF41" i="23"/>
  <c r="AF26" i="23"/>
  <c r="AE199" i="23"/>
  <c r="AE154" i="23"/>
  <c r="AD243" i="23"/>
  <c r="AD176" i="23"/>
  <c r="AE150" i="23"/>
  <c r="AE216" i="23"/>
  <c r="AA191" i="23"/>
  <c r="AA127" i="23"/>
  <c r="AA258" i="23" s="1"/>
  <c r="AC129" i="23"/>
  <c r="AC191" i="23"/>
  <c r="AC187" i="23"/>
  <c r="F407" i="22"/>
  <c r="C409" i="22"/>
  <c r="C407" i="22"/>
  <c r="D407" i="22" s="1"/>
  <c r="AC254" i="23"/>
  <c r="F402" i="22"/>
  <c r="E429" i="22"/>
  <c r="D442" i="22"/>
  <c r="E433" i="22"/>
  <c r="E432" i="22"/>
  <c r="D441" i="22"/>
  <c r="D405" i="22"/>
  <c r="D423" i="22"/>
  <c r="F405" i="22"/>
  <c r="E409" i="22"/>
  <c r="D416" i="22"/>
  <c r="AC137" i="23"/>
  <c r="AC154" i="23" s="1"/>
  <c r="AA144" i="23"/>
  <c r="AA206" i="23" s="1"/>
  <c r="AC134" i="23"/>
  <c r="AC196" i="23" s="1"/>
  <c r="AC151" i="23"/>
  <c r="AC218" i="23" s="1"/>
  <c r="AD76" i="23"/>
  <c r="C431" i="22"/>
  <c r="E430" i="22"/>
  <c r="Z187" i="23"/>
  <c r="Z124" i="23"/>
  <c r="AD27" i="23"/>
  <c r="AD216" i="23"/>
  <c r="AD217" i="23" s="1"/>
  <c r="AD150" i="23"/>
  <c r="D450" i="22"/>
  <c r="AC133" i="23"/>
  <c r="AC195" i="23" s="1"/>
  <c r="AC144" i="23"/>
  <c r="AC206" i="23" s="1"/>
  <c r="AC139" i="23"/>
  <c r="AC201" i="23" s="1"/>
  <c r="AC136" i="23"/>
  <c r="AC222" i="23" s="1"/>
  <c r="AC189" i="23"/>
  <c r="AA133" i="23"/>
  <c r="AA195" i="23" s="1"/>
  <c r="G76" i="23"/>
  <c r="G176" i="23"/>
  <c r="G243" i="23"/>
  <c r="Z254" i="23"/>
  <c r="AA136" i="23"/>
  <c r="AA189" i="23"/>
  <c r="AB70" i="23"/>
  <c r="AB172" i="23"/>
  <c r="AB239" i="23"/>
  <c r="D477" i="22"/>
  <c r="C470" i="22"/>
  <c r="D468" i="22"/>
  <c r="D470" i="22" s="1"/>
  <c r="C497" i="22"/>
  <c r="Z151" i="23"/>
  <c r="Z153" i="23" s="1"/>
  <c r="Z220" i="23" s="1"/>
  <c r="E529" i="22"/>
  <c r="Z129" i="23"/>
  <c r="AB216" i="23"/>
  <c r="AB150" i="23"/>
  <c r="AB26" i="23"/>
  <c r="AB41" i="23"/>
  <c r="G144" i="23"/>
  <c r="G206" i="23" s="1"/>
  <c r="G189" i="23"/>
  <c r="G136" i="23"/>
  <c r="G222" i="23" s="1"/>
  <c r="G133" i="23"/>
  <c r="G195" i="23" s="1"/>
  <c r="G27" i="23"/>
  <c r="G29" i="23"/>
  <c r="G91" i="23"/>
  <c r="Z70" i="23"/>
  <c r="AA218" i="23"/>
  <c r="Z172" i="23"/>
  <c r="D497" i="22"/>
  <c r="E485" i="22"/>
  <c r="E488" i="22" s="1"/>
  <c r="C510" i="22"/>
  <c r="C512" i="22"/>
  <c r="AA27" i="23"/>
  <c r="D517" i="22"/>
  <c r="E505" i="22"/>
  <c r="E508" i="22" s="1"/>
  <c r="Z41" i="23"/>
  <c r="Z26" i="23"/>
  <c r="Z51" i="23"/>
  <c r="Z53" i="23"/>
  <c r="D536" i="22"/>
  <c r="G270" i="23" l="1"/>
  <c r="G191" i="23"/>
  <c r="G127" i="23"/>
  <c r="G193" i="23" s="1"/>
  <c r="G199" i="23"/>
  <c r="G154" i="23"/>
  <c r="G269" i="23"/>
  <c r="G272" i="23"/>
  <c r="AC273" i="23"/>
  <c r="AC270" i="23"/>
  <c r="AA272" i="23"/>
  <c r="AA269" i="23"/>
  <c r="AD273" i="23"/>
  <c r="AD270" i="23"/>
  <c r="G153" i="23"/>
  <c r="G220" i="23" s="1"/>
  <c r="AD154" i="23"/>
  <c r="AD256" i="23"/>
  <c r="AD280" i="23" s="1"/>
  <c r="AA280" i="23"/>
  <c r="G280" i="23"/>
  <c r="Z256" i="23"/>
  <c r="AC221" i="23"/>
  <c r="AH91" i="23"/>
  <c r="AI91" i="23"/>
  <c r="AD218" i="23"/>
  <c r="AD221" i="23" s="1"/>
  <c r="AD189" i="23"/>
  <c r="H83" i="23"/>
  <c r="H183" i="23"/>
  <c r="H250" i="23"/>
  <c r="AD191" i="23"/>
  <c r="H252" i="23"/>
  <c r="H185" i="23"/>
  <c r="AG91" i="23"/>
  <c r="AD133" i="23"/>
  <c r="AD195" i="23" s="1"/>
  <c r="AD136" i="23"/>
  <c r="AD222" i="23" s="1"/>
  <c r="AD144" i="23"/>
  <c r="AD206" i="23" s="1"/>
  <c r="AA193" i="23"/>
  <c r="AF91" i="23"/>
  <c r="AF29" i="23"/>
  <c r="AE91" i="23"/>
  <c r="AB29" i="23"/>
  <c r="AF27" i="23"/>
  <c r="AD91" i="23"/>
  <c r="AD77" i="23"/>
  <c r="AF77" i="23" s="1"/>
  <c r="AD182" i="23"/>
  <c r="AD249" i="23"/>
  <c r="AD93" i="23"/>
  <c r="AE217" i="23"/>
  <c r="AE221" i="23"/>
  <c r="AA198" i="23"/>
  <c r="AA222" i="23"/>
  <c r="Z191" i="23"/>
  <c r="Z127" i="23"/>
  <c r="Z258" i="23" s="1"/>
  <c r="AC256" i="23"/>
  <c r="AB127" i="23"/>
  <c r="AB139" i="23" s="1"/>
  <c r="AB201" i="23" s="1"/>
  <c r="Z144" i="23"/>
  <c r="Z206" i="23" s="1"/>
  <c r="D443" i="22"/>
  <c r="AC199" i="23"/>
  <c r="Z136" i="23"/>
  <c r="Z133" i="23"/>
  <c r="Z195" i="23" s="1"/>
  <c r="Z218" i="23"/>
  <c r="E431" i="22"/>
  <c r="E434" i="22" s="1"/>
  <c r="AC91" i="23"/>
  <c r="Z189" i="23"/>
  <c r="AC153" i="23"/>
  <c r="AC220" i="23" s="1"/>
  <c r="C434" i="22"/>
  <c r="C438" i="22"/>
  <c r="D431" i="22"/>
  <c r="AD258" i="23"/>
  <c r="AD275" i="23" s="1"/>
  <c r="AD193" i="23"/>
  <c r="AC155" i="23"/>
  <c r="AC198" i="23"/>
  <c r="AC193" i="23"/>
  <c r="AC258" i="23"/>
  <c r="AC275" i="23" s="1"/>
  <c r="AA155" i="23"/>
  <c r="G182" i="23"/>
  <c r="G249" i="23"/>
  <c r="G77" i="23"/>
  <c r="G79" i="23" s="1"/>
  <c r="Z176" i="23"/>
  <c r="AB93" i="23"/>
  <c r="AB243" i="23"/>
  <c r="AB76" i="23"/>
  <c r="AB176" i="23"/>
  <c r="Z76" i="23"/>
  <c r="Z77" i="23" s="1"/>
  <c r="AB217" i="23"/>
  <c r="AB27" i="23"/>
  <c r="G198" i="23"/>
  <c r="G155" i="23"/>
  <c r="Z243" i="23"/>
  <c r="Z29" i="23"/>
  <c r="Z27" i="23"/>
  <c r="C526" i="22"/>
  <c r="J526" i="22" s="1"/>
  <c r="Y110" i="23"/>
  <c r="Y120" i="23" s="1"/>
  <c r="Y100" i="23"/>
  <c r="Y48" i="23"/>
  <c r="AB48" i="23" s="1"/>
  <c r="Y231" i="23"/>
  <c r="Y228" i="23"/>
  <c r="AC229" i="23" s="1"/>
  <c r="Y225" i="23"/>
  <c r="Y214" i="23"/>
  <c r="Y164" i="23"/>
  <c r="Y161" i="23"/>
  <c r="Y158" i="23"/>
  <c r="Y147" i="23"/>
  <c r="Y131" i="23"/>
  <c r="Y119" i="23"/>
  <c r="Y116" i="23"/>
  <c r="Y95" i="23"/>
  <c r="Y85" i="23"/>
  <c r="Y61" i="23"/>
  <c r="Y56" i="23"/>
  <c r="Y166" i="23" s="1"/>
  <c r="Y165" i="23"/>
  <c r="Y46" i="23"/>
  <c r="Y44" i="23"/>
  <c r="Y43" i="23"/>
  <c r="Y40" i="23"/>
  <c r="Y37" i="23"/>
  <c r="Y36" i="23"/>
  <c r="Y35" i="23"/>
  <c r="Y34" i="23"/>
  <c r="Y33" i="23"/>
  <c r="Y32" i="23"/>
  <c r="Y10" i="23"/>
  <c r="Y19" i="23" s="1"/>
  <c r="AB87" i="23" s="1"/>
  <c r="J543" i="22"/>
  <c r="J545" i="22" s="1"/>
  <c r="F72" i="23"/>
  <c r="F75" i="23"/>
  <c r="F74" i="23"/>
  <c r="F71" i="23"/>
  <c r="F67" i="23"/>
  <c r="G139" i="23" l="1"/>
  <c r="G201" i="23" s="1"/>
  <c r="G258" i="23"/>
  <c r="G275" i="23" s="1"/>
  <c r="AC272" i="23"/>
  <c r="AC269" i="23"/>
  <c r="AD272" i="23"/>
  <c r="AD269" i="23"/>
  <c r="Z272" i="23"/>
  <c r="Z269" i="23"/>
  <c r="AC232" i="23"/>
  <c r="AB267" i="23"/>
  <c r="Z280" i="23"/>
  <c r="AC280" i="23"/>
  <c r="AD198" i="23"/>
  <c r="AD155" i="23"/>
  <c r="AD250" i="23"/>
  <c r="AD183" i="23"/>
  <c r="AD83" i="23"/>
  <c r="AD79" i="23"/>
  <c r="Z155" i="23"/>
  <c r="Z222" i="23"/>
  <c r="Z198" i="23"/>
  <c r="Z193" i="23"/>
  <c r="F431" i="22"/>
  <c r="AC162" i="23"/>
  <c r="E436" i="22"/>
  <c r="F434" i="22"/>
  <c r="D434" i="22"/>
  <c r="C436" i="22"/>
  <c r="G252" i="23"/>
  <c r="G185" i="23"/>
  <c r="AB249" i="23"/>
  <c r="AB182" i="23"/>
  <c r="G250" i="23"/>
  <c r="G183" i="23"/>
  <c r="AB77" i="23"/>
  <c r="G83" i="23"/>
  <c r="Y101" i="23"/>
  <c r="Y106" i="23"/>
  <c r="Z79" i="23"/>
  <c r="Z185" i="23" s="1"/>
  <c r="Y20" i="25"/>
  <c r="Z249" i="23"/>
  <c r="Z182" i="23"/>
  <c r="Z250" i="23"/>
  <c r="Z83" i="23"/>
  <c r="Z183" i="23"/>
  <c r="E490" i="22"/>
  <c r="E510" i="22"/>
  <c r="C523" i="22"/>
  <c r="C524" i="22"/>
  <c r="E524" i="22" s="1"/>
  <c r="C535" i="22"/>
  <c r="E526" i="22"/>
  <c r="Y111" i="23"/>
  <c r="Y121" i="23"/>
  <c r="Y233" i="23"/>
  <c r="Y24" i="23"/>
  <c r="Y47" i="23"/>
  <c r="Y49" i="23" s="1"/>
  <c r="Y219" i="23"/>
  <c r="Y11" i="23"/>
  <c r="F63" i="23"/>
  <c r="F109" i="23"/>
  <c r="F119" i="23" s="1"/>
  <c r="X19" i="25"/>
  <c r="X11" i="25"/>
  <c r="F19" i="25"/>
  <c r="F11" i="25"/>
  <c r="F12" i="25" s="1"/>
  <c r="X209" i="23"/>
  <c r="X210" i="23"/>
  <c r="F209" i="23"/>
  <c r="F231" i="23" s="1"/>
  <c r="F210" i="23"/>
  <c r="F212" i="23" s="1"/>
  <c r="F110" i="23"/>
  <c r="F120" i="23" s="1"/>
  <c r="F100" i="23"/>
  <c r="F48" i="23"/>
  <c r="X225" i="23"/>
  <c r="X214" i="23"/>
  <c r="X158" i="23"/>
  <c r="X147" i="23"/>
  <c r="X131" i="23"/>
  <c r="X128" i="23"/>
  <c r="X122" i="23"/>
  <c r="X188" i="23" s="1"/>
  <c r="X115" i="23"/>
  <c r="X114" i="23"/>
  <c r="X99" i="23"/>
  <c r="X98" i="23"/>
  <c r="X97" i="23"/>
  <c r="X95" i="23"/>
  <c r="X85" i="23"/>
  <c r="X78" i="23"/>
  <c r="X73" i="23"/>
  <c r="X69" i="23"/>
  <c r="X68" i="23"/>
  <c r="X65" i="23"/>
  <c r="Z90" i="23" s="1"/>
  <c r="X64" i="23"/>
  <c r="X61" i="23"/>
  <c r="X54" i="23"/>
  <c r="X46" i="23"/>
  <c r="X28" i="23"/>
  <c r="X25" i="23"/>
  <c r="X23" i="23"/>
  <c r="X21" i="23"/>
  <c r="X20" i="23"/>
  <c r="X18" i="23"/>
  <c r="X17" i="23"/>
  <c r="X16" i="23"/>
  <c r="X15" i="23"/>
  <c r="X14" i="23"/>
  <c r="X13" i="23"/>
  <c r="X9" i="23"/>
  <c r="X7" i="23"/>
  <c r="F225" i="23"/>
  <c r="F214" i="23"/>
  <c r="F184" i="23"/>
  <c r="F179" i="23"/>
  <c r="F178" i="23"/>
  <c r="F175" i="23"/>
  <c r="F174" i="23"/>
  <c r="F171" i="23"/>
  <c r="F170" i="23"/>
  <c r="F164" i="23"/>
  <c r="F161" i="23"/>
  <c r="G162" i="23" s="1"/>
  <c r="F158" i="23"/>
  <c r="F147" i="23"/>
  <c r="F131" i="23"/>
  <c r="F116" i="23"/>
  <c r="F95" i="23"/>
  <c r="F90" i="23"/>
  <c r="F89" i="23"/>
  <c r="F86" i="23"/>
  <c r="F148" i="23" s="1"/>
  <c r="F85" i="23"/>
  <c r="F177" i="23"/>
  <c r="F92" i="23"/>
  <c r="F62" i="23"/>
  <c r="X62" i="23" s="1"/>
  <c r="F61" i="23"/>
  <c r="F56" i="23"/>
  <c r="F166" i="23" s="1"/>
  <c r="F55" i="23"/>
  <c r="F165" i="23" s="1"/>
  <c r="F46" i="23"/>
  <c r="F40" i="23"/>
  <c r="F37" i="23"/>
  <c r="F36" i="23"/>
  <c r="F35" i="23"/>
  <c r="F34" i="23"/>
  <c r="F33" i="23"/>
  <c r="F32" i="23"/>
  <c r="F10" i="23"/>
  <c r="C604" i="22"/>
  <c r="V109" i="23"/>
  <c r="C587" i="22"/>
  <c r="C591" i="22"/>
  <c r="U255" i="23"/>
  <c r="S255" i="23"/>
  <c r="R255" i="23"/>
  <c r="Q255" i="23"/>
  <c r="O255" i="23"/>
  <c r="N255" i="23"/>
  <c r="M255" i="23"/>
  <c r="D255" i="23"/>
  <c r="C255" i="23"/>
  <c r="T78" i="23"/>
  <c r="P78" i="23"/>
  <c r="V75" i="23"/>
  <c r="R75" i="23"/>
  <c r="N75" i="23"/>
  <c r="E75" i="23"/>
  <c r="D75" i="23"/>
  <c r="C75" i="23"/>
  <c r="V74" i="23"/>
  <c r="R74" i="23"/>
  <c r="N74" i="23"/>
  <c r="E74" i="23"/>
  <c r="D74" i="23"/>
  <c r="C74" i="23"/>
  <c r="T73" i="23"/>
  <c r="P73" i="23"/>
  <c r="C73" i="23"/>
  <c r="V72" i="23"/>
  <c r="R72" i="23"/>
  <c r="T72" i="23" s="1"/>
  <c r="P72" i="23"/>
  <c r="C72" i="23"/>
  <c r="V71" i="23"/>
  <c r="R71" i="23"/>
  <c r="N71" i="23"/>
  <c r="E71" i="23"/>
  <c r="D71" i="23"/>
  <c r="C71" i="23"/>
  <c r="T69" i="23"/>
  <c r="N69" i="23"/>
  <c r="T68" i="23"/>
  <c r="N68" i="23"/>
  <c r="D68" i="23"/>
  <c r="C68" i="23"/>
  <c r="V67" i="23"/>
  <c r="R67" i="23"/>
  <c r="N67" i="23"/>
  <c r="E67" i="23"/>
  <c r="D67" i="23"/>
  <c r="C67" i="23"/>
  <c r="T65" i="23"/>
  <c r="P65" i="23"/>
  <c r="T64" i="23"/>
  <c r="P64" i="23"/>
  <c r="E63" i="23"/>
  <c r="T63" i="23" s="1"/>
  <c r="D63" i="23"/>
  <c r="P63" i="23" s="1"/>
  <c r="C63" i="23"/>
  <c r="R62" i="23"/>
  <c r="R66" i="23" s="1"/>
  <c r="N62" i="23"/>
  <c r="E62" i="23"/>
  <c r="D62" i="23"/>
  <c r="C62" i="23"/>
  <c r="J539" i="22" l="1"/>
  <c r="E547" i="22" s="1"/>
  <c r="X212" i="23"/>
  <c r="AA38" i="23"/>
  <c r="Z38" i="23"/>
  <c r="Y38" i="23"/>
  <c r="Y39" i="23"/>
  <c r="AA39" i="23"/>
  <c r="Z39" i="23"/>
  <c r="X39" i="23"/>
  <c r="G232" i="23"/>
  <c r="F267" i="23"/>
  <c r="AB278" i="23"/>
  <c r="AB277" i="23"/>
  <c r="X263" i="23"/>
  <c r="X264" i="23"/>
  <c r="X260" i="23"/>
  <c r="F255" i="23"/>
  <c r="F260" i="23"/>
  <c r="F263" i="23"/>
  <c r="F264" i="23"/>
  <c r="AJ177" i="23"/>
  <c r="AJ168" i="23"/>
  <c r="AJ174" i="23"/>
  <c r="AJ181" i="23"/>
  <c r="AJ180" i="23"/>
  <c r="AJ175" i="23"/>
  <c r="AJ173" i="23"/>
  <c r="AJ44" i="23"/>
  <c r="AJ92" i="23"/>
  <c r="AF240" i="23"/>
  <c r="AF173" i="23"/>
  <c r="AF58" i="23"/>
  <c r="AF44" i="23"/>
  <c r="AF92" i="23"/>
  <c r="AF203" i="23" s="1"/>
  <c r="N66" i="23"/>
  <c r="N70" i="23" s="1"/>
  <c r="N76" i="23" s="1"/>
  <c r="N77" i="23" s="1"/>
  <c r="AF248" i="23"/>
  <c r="AF181" i="23"/>
  <c r="P69" i="23"/>
  <c r="AF241" i="23"/>
  <c r="AF174" i="23"/>
  <c r="AF247" i="23"/>
  <c r="AF180" i="23"/>
  <c r="AF177" i="23"/>
  <c r="AF244" i="23"/>
  <c r="AB79" i="23"/>
  <c r="AD185" i="23"/>
  <c r="AD252" i="23"/>
  <c r="X152" i="23"/>
  <c r="X219" i="23" s="1"/>
  <c r="X255" i="23"/>
  <c r="AC50" i="23"/>
  <c r="AB55" i="23"/>
  <c r="AB165" i="23" s="1"/>
  <c r="Y129" i="23"/>
  <c r="Y124" i="23"/>
  <c r="AB8" i="23"/>
  <c r="X105" i="23"/>
  <c r="X104" i="23"/>
  <c r="F101" i="23"/>
  <c r="F102" i="23" s="1"/>
  <c r="F106" i="23"/>
  <c r="AB250" i="23"/>
  <c r="AB183" i="23"/>
  <c r="Z252" i="23"/>
  <c r="AA89" i="23"/>
  <c r="Z89" i="23"/>
  <c r="F238" i="23"/>
  <c r="AA211" i="23"/>
  <c r="J480" i="22" s="1"/>
  <c r="Z211" i="23"/>
  <c r="J500" i="22" s="1"/>
  <c r="AA86" i="23"/>
  <c r="Z86" i="23"/>
  <c r="F211" i="23"/>
  <c r="Y211" i="23"/>
  <c r="J520" i="22" s="1"/>
  <c r="C537" i="22"/>
  <c r="D535" i="22"/>
  <c r="D537" i="22" s="1"/>
  <c r="E523" i="22"/>
  <c r="E525" i="22" s="1"/>
  <c r="E528" i="22" s="1"/>
  <c r="C525" i="22"/>
  <c r="C528" i="22" s="1"/>
  <c r="Y187" i="23"/>
  <c r="X175" i="23"/>
  <c r="X90" i="23"/>
  <c r="X72" i="23"/>
  <c r="X245" i="23" s="1"/>
  <c r="X34" i="23"/>
  <c r="X246" i="23"/>
  <c r="X184" i="23"/>
  <c r="X237" i="23"/>
  <c r="X174" i="23"/>
  <c r="X211" i="23"/>
  <c r="J540" i="22" s="1"/>
  <c r="C549" i="22"/>
  <c r="Y254" i="23"/>
  <c r="Y151" i="23"/>
  <c r="F242" i="23"/>
  <c r="X36" i="23"/>
  <c r="Y89" i="23"/>
  <c r="C531" i="22" s="1"/>
  <c r="X89" i="23"/>
  <c r="C551" i="22" s="1"/>
  <c r="X12" i="25"/>
  <c r="F245" i="23"/>
  <c r="C546" i="22"/>
  <c r="F247" i="23"/>
  <c r="X228" i="23"/>
  <c r="Y86" i="23"/>
  <c r="F248" i="23"/>
  <c r="Y53" i="23"/>
  <c r="Y51" i="23"/>
  <c r="F237" i="23"/>
  <c r="Y41" i="23"/>
  <c r="Y26" i="23"/>
  <c r="AB91" i="23" s="1"/>
  <c r="F241" i="23"/>
  <c r="D556" i="22"/>
  <c r="F215" i="23"/>
  <c r="F228" i="23"/>
  <c r="F251" i="23"/>
  <c r="F246" i="23"/>
  <c r="F219" i="23"/>
  <c r="X32" i="23"/>
  <c r="X40" i="23"/>
  <c r="X35" i="23"/>
  <c r="X37" i="23"/>
  <c r="X33" i="23"/>
  <c r="X116" i="23"/>
  <c r="C66" i="23"/>
  <c r="C70" i="23" s="1"/>
  <c r="C76" i="23" s="1"/>
  <c r="X168" i="23"/>
  <c r="X242" i="23"/>
  <c r="X170" i="23"/>
  <c r="X231" i="23"/>
  <c r="AA267" i="23" s="1"/>
  <c r="X241" i="23"/>
  <c r="X56" i="23"/>
  <c r="X166" i="23" s="1"/>
  <c r="X74" i="23"/>
  <c r="X109" i="23"/>
  <c r="X251" i="23"/>
  <c r="X179" i="23"/>
  <c r="X67" i="23"/>
  <c r="Z92" i="23" s="1"/>
  <c r="X75" i="23"/>
  <c r="X86" i="23"/>
  <c r="X148" i="23" s="1"/>
  <c r="X110" i="23"/>
  <c r="X161" i="23"/>
  <c r="X171" i="23"/>
  <c r="X164" i="23"/>
  <c r="X10" i="23"/>
  <c r="X238" i="23"/>
  <c r="X71" i="23"/>
  <c r="X100" i="23"/>
  <c r="X106" i="23" s="1"/>
  <c r="F44" i="23"/>
  <c r="R70" i="23"/>
  <c r="R76" i="23" s="1"/>
  <c r="R77" i="23" s="1"/>
  <c r="R79" i="23" s="1"/>
  <c r="F121" i="23"/>
  <c r="F142" i="23"/>
  <c r="F204" i="23" s="1"/>
  <c r="P67" i="23"/>
  <c r="F244" i="23"/>
  <c r="T62" i="23"/>
  <c r="T66" i="23" s="1"/>
  <c r="T74" i="23"/>
  <c r="F180" i="23"/>
  <c r="F181" i="23"/>
  <c r="T71" i="23"/>
  <c r="F173" i="23"/>
  <c r="P68" i="23"/>
  <c r="F149" i="23"/>
  <c r="F216" i="23" s="1"/>
  <c r="F240" i="23"/>
  <c r="C565" i="22"/>
  <c r="C574" i="22" s="1"/>
  <c r="F168" i="23"/>
  <c r="F235" i="23"/>
  <c r="F66" i="23"/>
  <c r="F19" i="23"/>
  <c r="F20" i="25" s="1"/>
  <c r="F11" i="23"/>
  <c r="F169" i="23"/>
  <c r="F59" i="23"/>
  <c r="F236" i="23"/>
  <c r="F43" i="23"/>
  <c r="D66" i="23"/>
  <c r="D70" i="23" s="1"/>
  <c r="D76" i="23" s="1"/>
  <c r="F141" i="23"/>
  <c r="F203" i="23" s="1"/>
  <c r="F58" i="23"/>
  <c r="F111" i="23"/>
  <c r="F38" i="23" s="1"/>
  <c r="E66" i="23"/>
  <c r="E70" i="23" s="1"/>
  <c r="E76" i="23" s="1"/>
  <c r="E77" i="23" s="1"/>
  <c r="P71" i="23"/>
  <c r="T67" i="23"/>
  <c r="P74" i="23"/>
  <c r="P75" i="23"/>
  <c r="T75" i="23"/>
  <c r="P62" i="23"/>
  <c r="P66" i="23" s="1"/>
  <c r="U152" i="23"/>
  <c r="S152" i="23"/>
  <c r="R152" i="23"/>
  <c r="Q152" i="23"/>
  <c r="O152" i="23"/>
  <c r="N152" i="23"/>
  <c r="M152" i="23"/>
  <c r="E152" i="23"/>
  <c r="D152" i="23"/>
  <c r="C152" i="23"/>
  <c r="W211" i="23"/>
  <c r="V211" i="23"/>
  <c r="U211" i="23"/>
  <c r="T211" i="23"/>
  <c r="S211" i="23"/>
  <c r="R211" i="23"/>
  <c r="Q211" i="23"/>
  <c r="P211" i="23"/>
  <c r="O211" i="23"/>
  <c r="N211" i="23"/>
  <c r="M211" i="23"/>
  <c r="E211" i="23"/>
  <c r="D211" i="23"/>
  <c r="C211" i="23"/>
  <c r="E109" i="23"/>
  <c r="E549" i="22" l="1"/>
  <c r="AA270" i="23"/>
  <c r="AA273" i="23"/>
  <c r="F265" i="23"/>
  <c r="AF277" i="23"/>
  <c r="X265" i="23"/>
  <c r="AA275" i="23"/>
  <c r="F278" i="23"/>
  <c r="F277" i="23"/>
  <c r="Y256" i="23"/>
  <c r="AJ172" i="23"/>
  <c r="AJ183" i="23"/>
  <c r="AF168" i="23"/>
  <c r="AF235" i="23"/>
  <c r="AF66" i="23"/>
  <c r="AF175" i="23"/>
  <c r="AF242" i="23"/>
  <c r="AF183" i="23"/>
  <c r="AF250" i="23"/>
  <c r="AB185" i="23"/>
  <c r="AB252" i="23"/>
  <c r="Y191" i="23"/>
  <c r="Y127" i="23"/>
  <c r="Z139" i="23"/>
  <c r="Z201" i="23" s="1"/>
  <c r="AA139" i="23"/>
  <c r="AA201" i="23" s="1"/>
  <c r="Y136" i="23"/>
  <c r="Z141" i="23"/>
  <c r="Z203" i="23" s="1"/>
  <c r="AB232" i="23"/>
  <c r="F254" i="23"/>
  <c r="F124" i="23"/>
  <c r="AB162" i="23"/>
  <c r="AB229" i="23"/>
  <c r="C555" i="22"/>
  <c r="D555" i="22" s="1"/>
  <c r="D557" i="22" s="1"/>
  <c r="J546" i="22"/>
  <c r="X178" i="23"/>
  <c r="F217" i="23"/>
  <c r="X215" i="23"/>
  <c r="X233" i="23"/>
  <c r="F233" i="23"/>
  <c r="G229" i="23"/>
  <c r="E531" i="22"/>
  <c r="F525" i="22" s="1"/>
  <c r="Z149" i="23"/>
  <c r="C511" i="22"/>
  <c r="Z137" i="23"/>
  <c r="Z142" i="23"/>
  <c r="Z204" i="23" s="1"/>
  <c r="Z134" i="23"/>
  <c r="Z196" i="23" s="1"/>
  <c r="X149" i="23"/>
  <c r="X150" i="23" s="1"/>
  <c r="Z148" i="23"/>
  <c r="Z215" i="23" s="1"/>
  <c r="Z102" i="23"/>
  <c r="X142" i="23"/>
  <c r="X204" i="23" s="1"/>
  <c r="AA148" i="23"/>
  <c r="AA215" i="23" s="1"/>
  <c r="AA102" i="23"/>
  <c r="AA149" i="23"/>
  <c r="C491" i="22"/>
  <c r="AA137" i="23"/>
  <c r="AA134" i="23"/>
  <c r="AA196" i="23" s="1"/>
  <c r="E546" i="22"/>
  <c r="C532" i="22"/>
  <c r="D525" i="22"/>
  <c r="Y189" i="23"/>
  <c r="Y144" i="23"/>
  <c r="Y206" i="23" s="1"/>
  <c r="Y133" i="23"/>
  <c r="Y195" i="23" s="1"/>
  <c r="E551" i="22"/>
  <c r="Y218" i="23"/>
  <c r="Y153" i="23"/>
  <c r="Y220" i="23" s="1"/>
  <c r="Y29" i="23"/>
  <c r="Y27" i="23"/>
  <c r="F137" i="23"/>
  <c r="F199" i="23" s="1"/>
  <c r="Y149" i="23"/>
  <c r="Y134" i="23"/>
  <c r="Y196" i="23" s="1"/>
  <c r="Y137" i="23"/>
  <c r="Y148" i="23"/>
  <c r="Y215" i="23" s="1"/>
  <c r="Y102" i="23"/>
  <c r="F134" i="23"/>
  <c r="F196" i="23" s="1"/>
  <c r="F187" i="23"/>
  <c r="X101" i="23"/>
  <c r="X102" i="23" s="1"/>
  <c r="X120" i="23"/>
  <c r="X235" i="23"/>
  <c r="X11" i="23"/>
  <c r="X19" i="23"/>
  <c r="X111" i="23"/>
  <c r="X38" i="23" s="1"/>
  <c r="X119" i="23"/>
  <c r="C543" i="22" s="1"/>
  <c r="X177" i="23"/>
  <c r="X244" i="23"/>
  <c r="F129" i="23"/>
  <c r="X248" i="23"/>
  <c r="X181" i="23"/>
  <c r="X247" i="23"/>
  <c r="X180" i="23"/>
  <c r="F151" i="23"/>
  <c r="F153" i="23" s="1"/>
  <c r="F220" i="23" s="1"/>
  <c r="X240" i="23"/>
  <c r="X173" i="23"/>
  <c r="X58" i="23"/>
  <c r="X44" i="23"/>
  <c r="X92" i="23"/>
  <c r="X141" i="23" s="1"/>
  <c r="X203" i="23" s="1"/>
  <c r="P70" i="23"/>
  <c r="P76" i="23" s="1"/>
  <c r="F150" i="23"/>
  <c r="E79" i="23"/>
  <c r="E83" i="23"/>
  <c r="F47" i="23"/>
  <c r="F49" i="23" s="1"/>
  <c r="G50" i="23" s="1"/>
  <c r="F24" i="23"/>
  <c r="F87" i="23"/>
  <c r="F239" i="23"/>
  <c r="F70" i="23"/>
  <c r="F172" i="23"/>
  <c r="T70" i="23"/>
  <c r="T76" i="23" s="1"/>
  <c r="R83" i="23"/>
  <c r="C576" i="22"/>
  <c r="D77" i="23"/>
  <c r="D79" i="23" s="1"/>
  <c r="N83" i="23"/>
  <c r="T77" i="23"/>
  <c r="C77" i="23"/>
  <c r="C83" i="23" s="1"/>
  <c r="F270" i="23" l="1"/>
  <c r="F273" i="23"/>
  <c r="Y272" i="23"/>
  <c r="Y269" i="23"/>
  <c r="Y280" i="23"/>
  <c r="AJ176" i="23"/>
  <c r="AJ93" i="23"/>
  <c r="AF70" i="23"/>
  <c r="AH93" i="23" s="1"/>
  <c r="AF239" i="23"/>
  <c r="AF172" i="23"/>
  <c r="Y155" i="23"/>
  <c r="Y222" i="23"/>
  <c r="F191" i="23"/>
  <c r="F127" i="23"/>
  <c r="Y139" i="23"/>
  <c r="Y201" i="23" s="1"/>
  <c r="Y198" i="23"/>
  <c r="F136" i="23"/>
  <c r="F256" i="23"/>
  <c r="C557" i="22"/>
  <c r="X216" i="23"/>
  <c r="X217" i="23" s="1"/>
  <c r="Y193" i="23"/>
  <c r="Y258" i="23"/>
  <c r="D485" i="22"/>
  <c r="D488" i="22"/>
  <c r="Z154" i="23"/>
  <c r="Z199" i="23"/>
  <c r="X20" i="25"/>
  <c r="AA87" i="23"/>
  <c r="E511" i="22"/>
  <c r="D505" i="22"/>
  <c r="D508" i="22"/>
  <c r="AA216" i="23"/>
  <c r="AA150" i="23"/>
  <c r="Z150" i="23"/>
  <c r="Z216" i="23"/>
  <c r="AA154" i="23"/>
  <c r="AA199" i="23"/>
  <c r="E491" i="22"/>
  <c r="D528" i="22"/>
  <c r="C530" i="22"/>
  <c r="E530" i="22"/>
  <c r="F528" i="22"/>
  <c r="F189" i="23"/>
  <c r="F154" i="23"/>
  <c r="Y154" i="23"/>
  <c r="Y199" i="23"/>
  <c r="Y216" i="23"/>
  <c r="Y150" i="23"/>
  <c r="C544" i="22"/>
  <c r="E544" i="22" s="1"/>
  <c r="E543" i="22"/>
  <c r="F133" i="23"/>
  <c r="F195" i="23" s="1"/>
  <c r="F144" i="23"/>
  <c r="F206" i="23" s="1"/>
  <c r="F218" i="23"/>
  <c r="F221" i="23" s="1"/>
  <c r="X121" i="23"/>
  <c r="X47" i="23"/>
  <c r="X24" i="23"/>
  <c r="F26" i="23"/>
  <c r="F91" i="23" s="1"/>
  <c r="F41" i="23"/>
  <c r="F93" i="23"/>
  <c r="F176" i="23"/>
  <c r="F243" i="23"/>
  <c r="F76" i="23"/>
  <c r="F77" i="23" s="1"/>
  <c r="F83" i="23" s="1"/>
  <c r="F53" i="23"/>
  <c r="F51" i="23"/>
  <c r="F88" i="23"/>
  <c r="C79" i="23"/>
  <c r="C80" i="23" s="1"/>
  <c r="C82" i="23" s="1"/>
  <c r="P77" i="23"/>
  <c r="P79" i="23" s="1"/>
  <c r="D83" i="23"/>
  <c r="T79" i="23"/>
  <c r="N79" i="23"/>
  <c r="C48" i="23"/>
  <c r="F269" i="23" l="1"/>
  <c r="F272" i="23"/>
  <c r="F280" i="23"/>
  <c r="AJ182" i="23"/>
  <c r="AF176" i="23"/>
  <c r="AF76" i="23"/>
  <c r="AF243" i="23"/>
  <c r="AF93" i="23"/>
  <c r="F198" i="23"/>
  <c r="F222" i="23"/>
  <c r="F155" i="23"/>
  <c r="X127" i="23"/>
  <c r="X258" i="23" s="1"/>
  <c r="F139" i="23"/>
  <c r="F201" i="23" s="1"/>
  <c r="X187" i="23"/>
  <c r="X124" i="23"/>
  <c r="X191" i="23" s="1"/>
  <c r="F193" i="23"/>
  <c r="F485" i="22"/>
  <c r="F488" i="22"/>
  <c r="F505" i="22"/>
  <c r="F508" i="22"/>
  <c r="Z217" i="23"/>
  <c r="Z221" i="23"/>
  <c r="AA217" i="23"/>
  <c r="AA221" i="23"/>
  <c r="E545" i="22"/>
  <c r="C545" i="22"/>
  <c r="Y217" i="23"/>
  <c r="Y221" i="23"/>
  <c r="F258" i="23"/>
  <c r="F275" i="23" s="1"/>
  <c r="X134" i="23"/>
  <c r="X196" i="23" s="1"/>
  <c r="X137" i="23"/>
  <c r="X154" i="23" s="1"/>
  <c r="X151" i="23"/>
  <c r="X153" i="23" s="1"/>
  <c r="X220" i="23" s="1"/>
  <c r="X129" i="23"/>
  <c r="X254" i="23"/>
  <c r="X26" i="23"/>
  <c r="AA91" i="23" s="1"/>
  <c r="X41" i="23"/>
  <c r="F29" i="23"/>
  <c r="F27" i="23"/>
  <c r="F182" i="23"/>
  <c r="F249" i="23"/>
  <c r="N80" i="23"/>
  <c r="P80" i="23" s="1"/>
  <c r="D80" i="23"/>
  <c r="D82" i="23" s="1"/>
  <c r="W19" i="25"/>
  <c r="V19" i="25"/>
  <c r="U19" i="25"/>
  <c r="T19" i="25"/>
  <c r="S19" i="25"/>
  <c r="R19" i="25"/>
  <c r="Q19" i="25"/>
  <c r="P19" i="25"/>
  <c r="O19" i="25"/>
  <c r="N19" i="25"/>
  <c r="M19" i="25"/>
  <c r="E19" i="25"/>
  <c r="D19" i="25"/>
  <c r="W11" i="25"/>
  <c r="W12" i="25" s="1"/>
  <c r="V11" i="25"/>
  <c r="V12" i="25" s="1"/>
  <c r="U11" i="25"/>
  <c r="U12" i="25" s="1"/>
  <c r="T11" i="25"/>
  <c r="S11" i="25"/>
  <c r="S12" i="25" s="1"/>
  <c r="R11" i="25"/>
  <c r="R12" i="25" s="1"/>
  <c r="Q11" i="25"/>
  <c r="Q12" i="25" s="1"/>
  <c r="P11" i="25"/>
  <c r="O11" i="25"/>
  <c r="O12" i="25" s="1"/>
  <c r="N11" i="25"/>
  <c r="N12" i="25" s="1"/>
  <c r="M11" i="25"/>
  <c r="M12" i="25" s="1"/>
  <c r="E11" i="25"/>
  <c r="E12" i="25" s="1"/>
  <c r="D11" i="25"/>
  <c r="D12" i="25" s="1"/>
  <c r="C11" i="25"/>
  <c r="C12" i="25" s="1"/>
  <c r="W119" i="23"/>
  <c r="W116" i="23"/>
  <c r="W110" i="23"/>
  <c r="W120" i="23" s="1"/>
  <c r="W100" i="23"/>
  <c r="T54" i="23"/>
  <c r="P54" i="23"/>
  <c r="W48" i="23"/>
  <c r="V48" i="23"/>
  <c r="U48" i="23"/>
  <c r="S48" i="23"/>
  <c r="R48" i="23"/>
  <c r="Q48" i="23"/>
  <c r="O48" i="23"/>
  <c r="N48" i="23"/>
  <c r="M48" i="23"/>
  <c r="AN49" i="23" s="1"/>
  <c r="AO88" i="23" s="1"/>
  <c r="E48" i="23"/>
  <c r="D48" i="23"/>
  <c r="W10" i="23"/>
  <c r="W11" i="23" s="1"/>
  <c r="AN53" i="23" l="1"/>
  <c r="AN51" i="23"/>
  <c r="AN88" i="23"/>
  <c r="X256" i="23"/>
  <c r="AF49" i="23"/>
  <c r="AI88" i="23" s="1"/>
  <c r="AJ49" i="23"/>
  <c r="AJ185" i="23"/>
  <c r="AF249" i="23"/>
  <c r="AF182" i="23"/>
  <c r="AF79" i="23"/>
  <c r="X193" i="23"/>
  <c r="X139" i="23"/>
  <c r="X201" i="23" s="1"/>
  <c r="X133" i="23"/>
  <c r="X195" i="23" s="1"/>
  <c r="T55" i="23"/>
  <c r="T165" i="23" s="1"/>
  <c r="X55" i="23"/>
  <c r="X165" i="23" s="1"/>
  <c r="F545" i="22"/>
  <c r="E548" i="22"/>
  <c r="E550" i="22" s="1"/>
  <c r="C552" i="22"/>
  <c r="C548" i="22"/>
  <c r="D548" i="22" s="1"/>
  <c r="W101" i="23"/>
  <c r="W106" i="23"/>
  <c r="AB49" i="23"/>
  <c r="AE88" i="23" s="1"/>
  <c r="R80" i="23"/>
  <c r="R82" i="23" s="1"/>
  <c r="D545" i="22"/>
  <c r="X136" i="23"/>
  <c r="X144" i="23"/>
  <c r="X206" i="23" s="1"/>
  <c r="X189" i="23"/>
  <c r="X199" i="23"/>
  <c r="X218" i="23"/>
  <c r="X221" i="23" s="1"/>
  <c r="X29" i="23"/>
  <c r="X27" i="23"/>
  <c r="X48" i="23"/>
  <c r="T48" i="23"/>
  <c r="F183" i="23"/>
  <c r="F250" i="23"/>
  <c r="F79" i="23"/>
  <c r="N82" i="23"/>
  <c r="E80" i="23"/>
  <c r="E82" i="23" s="1"/>
  <c r="W111" i="23"/>
  <c r="W121" i="23"/>
  <c r="P48" i="23"/>
  <c r="W19" i="23"/>
  <c r="Z87" i="23" s="1"/>
  <c r="AM88" i="23" l="1"/>
  <c r="AN50" i="23"/>
  <c r="X272" i="23"/>
  <c r="X269" i="23"/>
  <c r="AK88" i="23"/>
  <c r="AL88" i="23"/>
  <c r="X280" i="23"/>
  <c r="AF88" i="23"/>
  <c r="AF53" i="23"/>
  <c r="AF51" i="23"/>
  <c r="AG88" i="23"/>
  <c r="AH88" i="23"/>
  <c r="AJ51" i="23"/>
  <c r="AJ53" i="23"/>
  <c r="AJ50" i="23"/>
  <c r="AJ88" i="23"/>
  <c r="AF185" i="23"/>
  <c r="AF252" i="23"/>
  <c r="AF50" i="23"/>
  <c r="X198" i="23"/>
  <c r="X222" i="23"/>
  <c r="W124" i="23"/>
  <c r="AB88" i="23"/>
  <c r="AB51" i="23"/>
  <c r="AD88" i="23"/>
  <c r="AC88" i="23"/>
  <c r="C550" i="22"/>
  <c r="F548" i="22"/>
  <c r="AB53" i="23"/>
  <c r="T80" i="23"/>
  <c r="X49" i="23"/>
  <c r="X155" i="23"/>
  <c r="F185" i="23"/>
  <c r="F252" i="23"/>
  <c r="F80" i="23"/>
  <c r="W129" i="23"/>
  <c r="W24" i="23"/>
  <c r="W26" i="23" s="1"/>
  <c r="W20" i="25"/>
  <c r="W191" i="23" l="1"/>
  <c r="W127" i="23"/>
  <c r="AB50" i="23"/>
  <c r="G80" i="23"/>
  <c r="H80" i="23" s="1"/>
  <c r="I80" i="23" s="1"/>
  <c r="F82" i="23"/>
  <c r="X53" i="23"/>
  <c r="X51" i="23"/>
  <c r="W29" i="23"/>
  <c r="Z91" i="23"/>
  <c r="AA88" i="23"/>
  <c r="W27" i="23"/>
  <c r="J560" i="22"/>
  <c r="J559" i="22"/>
  <c r="E566" i="22" s="1"/>
  <c r="J581" i="22"/>
  <c r="J580" i="22"/>
  <c r="C568" i="22"/>
  <c r="C563" i="22"/>
  <c r="C562" i="22"/>
  <c r="I82" i="23" l="1"/>
  <c r="J80" i="23"/>
  <c r="G82" i="23"/>
  <c r="H82" i="23"/>
  <c r="E591" i="22"/>
  <c r="E592" i="22"/>
  <c r="E565" i="22"/>
  <c r="D574" i="22"/>
  <c r="D575" i="22"/>
  <c r="E568" i="22"/>
  <c r="E563" i="22"/>
  <c r="E562" i="22"/>
  <c r="C564" i="22"/>
  <c r="C567" i="22" s="1"/>
  <c r="J82" i="23" l="1"/>
  <c r="D576" i="22"/>
  <c r="C571" i="22"/>
  <c r="C20" i="23"/>
  <c r="C594" i="22"/>
  <c r="C589" i="22"/>
  <c r="T128" i="23"/>
  <c r="T260" i="23" s="1"/>
  <c r="P128" i="23"/>
  <c r="P260" i="23" s="1"/>
  <c r="T122" i="23"/>
  <c r="P122" i="23"/>
  <c r="U120" i="23"/>
  <c r="S120" i="23"/>
  <c r="R120" i="23"/>
  <c r="Q120" i="23"/>
  <c r="O120" i="23"/>
  <c r="N120" i="23"/>
  <c r="M120" i="23"/>
  <c r="D120" i="23"/>
  <c r="P120" i="23" s="1"/>
  <c r="C120" i="23"/>
  <c r="V119" i="23"/>
  <c r="U119" i="23"/>
  <c r="S119" i="23"/>
  <c r="R119" i="23"/>
  <c r="Q119" i="23"/>
  <c r="O119" i="23"/>
  <c r="E119" i="23"/>
  <c r="D119" i="23"/>
  <c r="P119" i="23" s="1"/>
  <c r="C119" i="23"/>
  <c r="V116" i="23"/>
  <c r="U116" i="23"/>
  <c r="S116" i="23"/>
  <c r="R116" i="23"/>
  <c r="Q116" i="23"/>
  <c r="O116" i="23"/>
  <c r="E116" i="23"/>
  <c r="D116" i="23"/>
  <c r="C116" i="23"/>
  <c r="T115" i="23"/>
  <c r="T264" i="23" s="1"/>
  <c r="P115" i="23"/>
  <c r="P264" i="23" s="1"/>
  <c r="T114" i="23"/>
  <c r="T263" i="23" s="1"/>
  <c r="P114" i="23"/>
  <c r="P263" i="23" s="1"/>
  <c r="N114" i="23"/>
  <c r="N263" i="23" s="1"/>
  <c r="N265" i="23" s="1"/>
  <c r="M114" i="23"/>
  <c r="U111" i="23"/>
  <c r="S111" i="23"/>
  <c r="R111" i="23"/>
  <c r="Q111" i="23"/>
  <c r="O111" i="23"/>
  <c r="N111" i="23"/>
  <c r="M111" i="23"/>
  <c r="D111" i="23"/>
  <c r="D38" i="23" s="1"/>
  <c r="C111" i="23"/>
  <c r="V110" i="23"/>
  <c r="V120" i="23" s="1"/>
  <c r="P110" i="23"/>
  <c r="E110" i="23"/>
  <c r="E111" i="23" s="1"/>
  <c r="E38" i="23" s="1"/>
  <c r="T109" i="23"/>
  <c r="P109" i="23"/>
  <c r="V100" i="23"/>
  <c r="U100" i="23"/>
  <c r="S100" i="23"/>
  <c r="R100" i="23"/>
  <c r="Q100" i="23"/>
  <c r="O100" i="23"/>
  <c r="N100" i="23"/>
  <c r="M100" i="23"/>
  <c r="E100" i="23"/>
  <c r="D100" i="23"/>
  <c r="C100" i="23"/>
  <c r="T99" i="23"/>
  <c r="P99" i="23"/>
  <c r="T98" i="23"/>
  <c r="P98" i="23"/>
  <c r="T97" i="23"/>
  <c r="P97" i="23"/>
  <c r="V251" i="23"/>
  <c r="T251" i="23"/>
  <c r="V248" i="23"/>
  <c r="V247" i="23"/>
  <c r="T247" i="23"/>
  <c r="V246" i="23"/>
  <c r="V245" i="23"/>
  <c r="T245" i="23"/>
  <c r="V244" i="23"/>
  <c r="V242" i="23"/>
  <c r="T242" i="23"/>
  <c r="V241" i="23"/>
  <c r="T241" i="23"/>
  <c r="V240" i="23"/>
  <c r="V238" i="23"/>
  <c r="V237" i="23"/>
  <c r="T237" i="23"/>
  <c r="W228" i="23"/>
  <c r="AA229" i="23" s="1"/>
  <c r="V228" i="23"/>
  <c r="Z229" i="23" s="1"/>
  <c r="U228" i="23"/>
  <c r="Y229" i="23" s="1"/>
  <c r="W225" i="23"/>
  <c r="V225" i="23"/>
  <c r="U225" i="23"/>
  <c r="T225" i="23"/>
  <c r="W214" i="23"/>
  <c r="V214" i="23"/>
  <c r="U214" i="23"/>
  <c r="T214" i="23"/>
  <c r="U188" i="23"/>
  <c r="V184" i="23"/>
  <c r="V181" i="23"/>
  <c r="V180" i="23"/>
  <c r="T180" i="23"/>
  <c r="V179" i="23"/>
  <c r="V178" i="23"/>
  <c r="V177" i="23"/>
  <c r="V175" i="23"/>
  <c r="V174" i="23"/>
  <c r="V173" i="23"/>
  <c r="V171" i="23"/>
  <c r="V170" i="23"/>
  <c r="T170" i="23"/>
  <c r="W161" i="23"/>
  <c r="AA162" i="23" s="1"/>
  <c r="V161" i="23"/>
  <c r="Z162" i="23" s="1"/>
  <c r="U161" i="23"/>
  <c r="Y162" i="23" s="1"/>
  <c r="W158" i="23"/>
  <c r="V158" i="23"/>
  <c r="U158" i="23"/>
  <c r="T158" i="23"/>
  <c r="W219" i="23"/>
  <c r="V219" i="23"/>
  <c r="U219" i="23"/>
  <c r="W147" i="23"/>
  <c r="V147" i="23"/>
  <c r="U147" i="23"/>
  <c r="T147" i="23"/>
  <c r="W131" i="23"/>
  <c r="V131" i="23"/>
  <c r="U131" i="23"/>
  <c r="T131" i="23"/>
  <c r="W95" i="23"/>
  <c r="V95" i="23"/>
  <c r="U95" i="23"/>
  <c r="T95" i="23"/>
  <c r="W85" i="23"/>
  <c r="V85" i="23"/>
  <c r="U85" i="23"/>
  <c r="T85" i="23"/>
  <c r="T184" i="23"/>
  <c r="T179" i="23"/>
  <c r="T178" i="23"/>
  <c r="T177" i="23"/>
  <c r="T175" i="23"/>
  <c r="T174" i="23"/>
  <c r="V92" i="23"/>
  <c r="T169" i="23"/>
  <c r="W61" i="23"/>
  <c r="V61" i="23"/>
  <c r="U61" i="23"/>
  <c r="T61" i="23"/>
  <c r="U59" i="23"/>
  <c r="V58" i="23"/>
  <c r="U58" i="23"/>
  <c r="W47" i="23"/>
  <c r="W49" i="23" s="1"/>
  <c r="AA50" i="23" s="1"/>
  <c r="W46" i="23"/>
  <c r="V46" i="23"/>
  <c r="U46" i="23"/>
  <c r="T46" i="23"/>
  <c r="W44" i="23"/>
  <c r="V44" i="23"/>
  <c r="U44" i="23"/>
  <c r="W43" i="23"/>
  <c r="U43" i="23"/>
  <c r="W41" i="23"/>
  <c r="W40" i="23"/>
  <c r="V40" i="23"/>
  <c r="U40" i="23"/>
  <c r="W37" i="23"/>
  <c r="V37" i="23"/>
  <c r="U37" i="23"/>
  <c r="W36" i="23"/>
  <c r="V36" i="23"/>
  <c r="U36" i="23"/>
  <c r="W35" i="23"/>
  <c r="V35" i="23"/>
  <c r="U35" i="23"/>
  <c r="W34" i="23"/>
  <c r="V34" i="23"/>
  <c r="U34" i="23"/>
  <c r="W33" i="23"/>
  <c r="V33" i="23"/>
  <c r="U33" i="23"/>
  <c r="W32" i="23"/>
  <c r="V32" i="23"/>
  <c r="U32" i="23"/>
  <c r="T28" i="23"/>
  <c r="P28" i="23"/>
  <c r="T25" i="23"/>
  <c r="P25" i="23"/>
  <c r="T23" i="23"/>
  <c r="P23" i="23"/>
  <c r="T21" i="23"/>
  <c r="P21" i="23"/>
  <c r="T20" i="23"/>
  <c r="P20" i="23"/>
  <c r="T18" i="23"/>
  <c r="P18" i="23"/>
  <c r="T17" i="23"/>
  <c r="P17" i="23"/>
  <c r="T16" i="23"/>
  <c r="P16" i="23"/>
  <c r="T15" i="23"/>
  <c r="P15" i="23"/>
  <c r="T14" i="23"/>
  <c r="P14" i="23"/>
  <c r="T13" i="23"/>
  <c r="P13" i="23"/>
  <c r="V10" i="23"/>
  <c r="V19" i="23" s="1"/>
  <c r="Y87" i="23" s="1"/>
  <c r="U10" i="23"/>
  <c r="U19" i="23" s="1"/>
  <c r="S10" i="23"/>
  <c r="S11" i="23" s="1"/>
  <c r="R10" i="23"/>
  <c r="R19" i="23" s="1"/>
  <c r="Q10" i="23"/>
  <c r="Q11" i="23" s="1"/>
  <c r="O10" i="23"/>
  <c r="O19" i="23" s="1"/>
  <c r="N10" i="23"/>
  <c r="N11" i="23" s="1"/>
  <c r="M10" i="23"/>
  <c r="M19" i="23" s="1"/>
  <c r="E10" i="23"/>
  <c r="E11" i="23" s="1"/>
  <c r="D10" i="23"/>
  <c r="D19" i="23" s="1"/>
  <c r="C10" i="23"/>
  <c r="C19" i="23" s="1"/>
  <c r="T9" i="23"/>
  <c r="P9" i="23"/>
  <c r="T7" i="23"/>
  <c r="P7" i="23"/>
  <c r="M263" i="23" l="1"/>
  <c r="M265" i="23" s="1"/>
  <c r="M106" i="23"/>
  <c r="S38" i="23"/>
  <c r="R38" i="23"/>
  <c r="Q38" i="23"/>
  <c r="U38" i="23"/>
  <c r="W38" i="23"/>
  <c r="P39" i="23"/>
  <c r="Q39" i="23"/>
  <c r="S39" i="23"/>
  <c r="R39" i="23"/>
  <c r="C38" i="23"/>
  <c r="V39" i="23"/>
  <c r="U39" i="23"/>
  <c r="T39" i="23"/>
  <c r="W39" i="23"/>
  <c r="T265" i="23"/>
  <c r="P265" i="23"/>
  <c r="AJ106" i="23"/>
  <c r="AJ101" i="23"/>
  <c r="AJ102" i="23" s="1"/>
  <c r="AJ116" i="23"/>
  <c r="AJ119" i="23"/>
  <c r="N116" i="23"/>
  <c r="AF106" i="23"/>
  <c r="AF101" i="23"/>
  <c r="AF102" i="23" s="1"/>
  <c r="T8" i="23"/>
  <c r="X8" i="23"/>
  <c r="P104" i="23"/>
  <c r="P82" i="23"/>
  <c r="T82" i="23"/>
  <c r="N101" i="23"/>
  <c r="N106" i="23"/>
  <c r="T104" i="23"/>
  <c r="P100" i="23"/>
  <c r="P106" i="23" s="1"/>
  <c r="D106" i="23"/>
  <c r="O101" i="23"/>
  <c r="O106" i="23"/>
  <c r="U101" i="23"/>
  <c r="U106" i="23"/>
  <c r="P105" i="23"/>
  <c r="T100" i="23"/>
  <c r="T106" i="23" s="1"/>
  <c r="E106" i="23"/>
  <c r="Q101" i="23"/>
  <c r="Q106" i="23"/>
  <c r="V101" i="23"/>
  <c r="V106" i="23"/>
  <c r="C101" i="23"/>
  <c r="C106" i="23"/>
  <c r="S101" i="23"/>
  <c r="S106" i="23"/>
  <c r="T105" i="23"/>
  <c r="R101" i="23"/>
  <c r="R106" i="23"/>
  <c r="T119" i="23"/>
  <c r="C121" i="23"/>
  <c r="M116" i="23"/>
  <c r="M101" i="23"/>
  <c r="W53" i="23"/>
  <c r="Z88" i="23"/>
  <c r="U47" i="23"/>
  <c r="U49" i="23" s="1"/>
  <c r="Y50" i="23" s="1"/>
  <c r="X87" i="23"/>
  <c r="T12" i="25"/>
  <c r="R121" i="23"/>
  <c r="U121" i="23"/>
  <c r="T35" i="23"/>
  <c r="C11" i="23"/>
  <c r="T116" i="23"/>
  <c r="O121" i="23"/>
  <c r="D101" i="23"/>
  <c r="V86" i="23"/>
  <c r="V148" i="23" s="1"/>
  <c r="V215" i="23" s="1"/>
  <c r="P121" i="23"/>
  <c r="P124" i="23" s="1"/>
  <c r="P144" i="23" s="1"/>
  <c r="V121" i="23"/>
  <c r="V124" i="23" s="1"/>
  <c r="V189" i="23" s="1"/>
  <c r="W86" i="23"/>
  <c r="W148" i="23" s="1"/>
  <c r="W215" i="23" s="1"/>
  <c r="T188" i="23"/>
  <c r="T255" i="23"/>
  <c r="T152" i="23"/>
  <c r="T219" i="23" s="1"/>
  <c r="P255" i="23"/>
  <c r="P152" i="23"/>
  <c r="T40" i="23"/>
  <c r="T33" i="23"/>
  <c r="E120" i="23"/>
  <c r="E121" i="23" s="1"/>
  <c r="E124" i="23" s="1"/>
  <c r="T37" i="23"/>
  <c r="T161" i="23"/>
  <c r="P111" i="23"/>
  <c r="P38" i="23" s="1"/>
  <c r="P116" i="23"/>
  <c r="Q19" i="23"/>
  <c r="Q24" i="23" s="1"/>
  <c r="Q26" i="23" s="1"/>
  <c r="Q29" i="23" s="1"/>
  <c r="V20" i="25"/>
  <c r="V24" i="23"/>
  <c r="V47" i="23"/>
  <c r="V49" i="23" s="1"/>
  <c r="Z50" i="23" s="1"/>
  <c r="O24" i="23"/>
  <c r="O26" i="23" s="1"/>
  <c r="O27" i="23" s="1"/>
  <c r="O20" i="25"/>
  <c r="V11" i="23"/>
  <c r="O11" i="23"/>
  <c r="R24" i="23"/>
  <c r="R26" i="23" s="1"/>
  <c r="R29" i="23" s="1"/>
  <c r="R20" i="25"/>
  <c r="T32" i="23"/>
  <c r="T34" i="23"/>
  <c r="E101" i="23"/>
  <c r="Q121" i="23"/>
  <c r="P10" i="23"/>
  <c r="P11" i="23" s="1"/>
  <c r="P12" i="25"/>
  <c r="D121" i="23"/>
  <c r="D124" i="23" s="1"/>
  <c r="D24" i="23"/>
  <c r="D26" i="23" s="1"/>
  <c r="D27" i="23" s="1"/>
  <c r="D20" i="25"/>
  <c r="T10" i="23"/>
  <c r="T11" i="23" s="1"/>
  <c r="N19" i="23"/>
  <c r="T86" i="23"/>
  <c r="T148" i="23" s="1"/>
  <c r="T215" i="23" s="1"/>
  <c r="U24" i="23"/>
  <c r="U20" i="25"/>
  <c r="U11" i="23"/>
  <c r="U86" i="23"/>
  <c r="U148" i="23" s="1"/>
  <c r="U215" i="23" s="1"/>
  <c r="T228" i="23"/>
  <c r="S121" i="23"/>
  <c r="M24" i="23"/>
  <c r="M26" i="23" s="1"/>
  <c r="M20" i="25"/>
  <c r="M11" i="23"/>
  <c r="T36" i="23"/>
  <c r="T59" i="23"/>
  <c r="C569" i="22"/>
  <c r="C24" i="23"/>
  <c r="C26" i="23" s="1"/>
  <c r="C29" i="23" s="1"/>
  <c r="V111" i="23"/>
  <c r="V38" i="23" s="1"/>
  <c r="T110" i="23"/>
  <c r="N119" i="23"/>
  <c r="N121" i="23" s="1"/>
  <c r="N124" i="23" s="1"/>
  <c r="N144" i="23" s="1"/>
  <c r="N206" i="23" s="1"/>
  <c r="M119" i="23"/>
  <c r="M121" i="23" s="1"/>
  <c r="M124" i="23" s="1"/>
  <c r="M144" i="23" s="1"/>
  <c r="M206" i="23" s="1"/>
  <c r="V90" i="23"/>
  <c r="T171" i="23"/>
  <c r="T90" i="23"/>
  <c r="T238" i="23"/>
  <c r="T181" i="23"/>
  <c r="T248" i="23"/>
  <c r="W51" i="23"/>
  <c r="T43" i="23"/>
  <c r="T236" i="23"/>
  <c r="T240" i="23"/>
  <c r="T244" i="23"/>
  <c r="T246" i="23"/>
  <c r="T92" i="23"/>
  <c r="T58" i="23"/>
  <c r="T173" i="23"/>
  <c r="T44" i="23"/>
  <c r="E19" i="23"/>
  <c r="S19" i="23"/>
  <c r="D11" i="23"/>
  <c r="R11" i="23"/>
  <c r="AN119" i="23" l="1"/>
  <c r="AN121" i="23" s="1"/>
  <c r="C91" i="22" s="1"/>
  <c r="AN116" i="23"/>
  <c r="AN263" i="23"/>
  <c r="AN265" i="23" s="1"/>
  <c r="AN101" i="23"/>
  <c r="AN102" i="23" s="1"/>
  <c r="AN106" i="23"/>
  <c r="AJ121" i="23"/>
  <c r="AJ129" i="23" s="1"/>
  <c r="C220" i="22"/>
  <c r="AJ151" i="23"/>
  <c r="AJ137" i="23"/>
  <c r="AJ254" i="23"/>
  <c r="AJ124" i="23"/>
  <c r="AJ187" i="23"/>
  <c r="AJ134" i="23"/>
  <c r="AJ196" i="23" s="1"/>
  <c r="AF116" i="23"/>
  <c r="AF119" i="23"/>
  <c r="P101" i="23"/>
  <c r="V191" i="23"/>
  <c r="V127" i="23"/>
  <c r="E191" i="23"/>
  <c r="E127" i="23"/>
  <c r="R129" i="23"/>
  <c r="R124" i="23"/>
  <c r="R127" i="23" s="1"/>
  <c r="Q124" i="23"/>
  <c r="Q127" i="23" s="1"/>
  <c r="X162" i="23"/>
  <c r="C124" i="23"/>
  <c r="C127" i="23" s="1"/>
  <c r="S124" i="23"/>
  <c r="S127" i="23" s="1"/>
  <c r="O124" i="23"/>
  <c r="O144" i="23" s="1"/>
  <c r="O206" i="23" s="1"/>
  <c r="X229" i="23"/>
  <c r="T101" i="23"/>
  <c r="T102" i="23" s="1"/>
  <c r="U187" i="23"/>
  <c r="U124" i="23"/>
  <c r="U127" i="23" s="1"/>
  <c r="M29" i="23"/>
  <c r="M27" i="23"/>
  <c r="C129" i="23"/>
  <c r="AB101" i="23"/>
  <c r="AB102" i="23" s="1"/>
  <c r="AB116" i="23"/>
  <c r="AB119" i="23"/>
  <c r="C456" i="22" s="1"/>
  <c r="U51" i="23"/>
  <c r="V53" i="23"/>
  <c r="Y88" i="23"/>
  <c r="V151" i="23"/>
  <c r="V218" i="23" s="1"/>
  <c r="U151" i="23"/>
  <c r="U218" i="23" s="1"/>
  <c r="U129" i="23"/>
  <c r="U254" i="23"/>
  <c r="W102" i="23"/>
  <c r="U53" i="23"/>
  <c r="X88" i="23"/>
  <c r="V102" i="23"/>
  <c r="Q129" i="23"/>
  <c r="O129" i="23"/>
  <c r="V129" i="23"/>
  <c r="D29" i="23"/>
  <c r="O29" i="23"/>
  <c r="P19" i="23"/>
  <c r="P24" i="23" s="1"/>
  <c r="P26" i="23" s="1"/>
  <c r="V254" i="23"/>
  <c r="V187" i="23"/>
  <c r="P129" i="23"/>
  <c r="E129" i="23"/>
  <c r="T19" i="23"/>
  <c r="T20" i="25" s="1"/>
  <c r="S129" i="23"/>
  <c r="R27" i="23"/>
  <c r="Q20" i="25"/>
  <c r="V51" i="23"/>
  <c r="N24" i="23"/>
  <c r="N26" i="23" s="1"/>
  <c r="N20" i="25"/>
  <c r="S24" i="23"/>
  <c r="S26" i="23" s="1"/>
  <c r="S29" i="23" s="1"/>
  <c r="S20" i="25"/>
  <c r="Q27" i="23"/>
  <c r="U26" i="23"/>
  <c r="U41" i="23"/>
  <c r="V26" i="23"/>
  <c r="Y91" i="23" s="1"/>
  <c r="V41" i="23"/>
  <c r="E24" i="23"/>
  <c r="E26" i="23" s="1"/>
  <c r="E29" i="23" s="1"/>
  <c r="E20" i="25"/>
  <c r="D129" i="23"/>
  <c r="D127" i="23"/>
  <c r="P127" i="23" s="1"/>
  <c r="U102" i="23"/>
  <c r="C27" i="23"/>
  <c r="M127" i="23"/>
  <c r="M129" i="23"/>
  <c r="T111" i="23"/>
  <c r="T38" i="23" s="1"/>
  <c r="T120" i="23"/>
  <c r="T121" i="23" s="1"/>
  <c r="T124" i="23" s="1"/>
  <c r="N129" i="23"/>
  <c r="N127" i="23"/>
  <c r="AJ127" i="23" s="1"/>
  <c r="V231" i="23"/>
  <c r="V56" i="23"/>
  <c r="V166" i="23" s="1"/>
  <c r="V164" i="23"/>
  <c r="W187" i="23"/>
  <c r="W254" i="23"/>
  <c r="W151" i="23"/>
  <c r="T164" i="23"/>
  <c r="T231" i="23"/>
  <c r="W89" i="23"/>
  <c r="W139" i="23" s="1"/>
  <c r="W201" i="23" s="1"/>
  <c r="T56" i="23"/>
  <c r="T166" i="23" s="1"/>
  <c r="V144" i="23"/>
  <c r="V206" i="23" s="1"/>
  <c r="W56" i="23"/>
  <c r="W166" i="23" s="1"/>
  <c r="W231" i="23"/>
  <c r="Z267" i="23" s="1"/>
  <c r="W164" i="23"/>
  <c r="U231" i="23"/>
  <c r="U56" i="23"/>
  <c r="U166" i="23" s="1"/>
  <c r="U164" i="23"/>
  <c r="AN254" i="23" l="1"/>
  <c r="AN187" i="23"/>
  <c r="AN151" i="23"/>
  <c r="AN137" i="23"/>
  <c r="AN134" i="23"/>
  <c r="AN196" i="23" s="1"/>
  <c r="AN129" i="23"/>
  <c r="AN124" i="23"/>
  <c r="AN127" i="23" s="1"/>
  <c r="Y267" i="23"/>
  <c r="Y273" i="23" s="1"/>
  <c r="AJ273" i="23"/>
  <c r="AJ270" i="23"/>
  <c r="Z273" i="23"/>
  <c r="Z270" i="23"/>
  <c r="X267" i="23"/>
  <c r="W267" i="23"/>
  <c r="W273" i="23" s="1"/>
  <c r="Z278" i="23"/>
  <c r="Z277" i="23"/>
  <c r="Z275" i="23"/>
  <c r="U256" i="23"/>
  <c r="AA232" i="23"/>
  <c r="V256" i="23"/>
  <c r="Y232" i="23"/>
  <c r="C222" i="22"/>
  <c r="E220" i="22"/>
  <c r="E222" i="22" s="1"/>
  <c r="Z232" i="23"/>
  <c r="AJ144" i="23"/>
  <c r="AJ206" i="23" s="1"/>
  <c r="AJ191" i="23"/>
  <c r="AJ189" i="23"/>
  <c r="AJ136" i="23"/>
  <c r="AJ133" i="23"/>
  <c r="AJ195" i="23" s="1"/>
  <c r="AJ256" i="23"/>
  <c r="AJ154" i="23"/>
  <c r="AJ199" i="23"/>
  <c r="AJ218" i="23"/>
  <c r="AJ221" i="23" s="1"/>
  <c r="AJ153" i="23"/>
  <c r="AJ220" i="23" s="1"/>
  <c r="AJ258" i="23"/>
  <c r="AJ275" i="23" s="1"/>
  <c r="AJ139" i="23"/>
  <c r="AJ201" i="23" s="1"/>
  <c r="AJ193" i="23"/>
  <c r="AF121" i="23"/>
  <c r="AF254" i="23" s="1"/>
  <c r="C342" i="22"/>
  <c r="AF258" i="23"/>
  <c r="AF275" i="23" s="1"/>
  <c r="AF193" i="23"/>
  <c r="AF139" i="23"/>
  <c r="AF201" i="23" s="1"/>
  <c r="V153" i="23"/>
  <c r="V220" i="23" s="1"/>
  <c r="T127" i="23"/>
  <c r="T258" i="23" s="1"/>
  <c r="C570" i="22"/>
  <c r="E570" i="22" s="1"/>
  <c r="T233" i="23"/>
  <c r="X232" i="23"/>
  <c r="O127" i="23"/>
  <c r="E456" i="22"/>
  <c r="E458" i="22" s="1"/>
  <c r="E461" i="22" s="1"/>
  <c r="C458" i="22"/>
  <c r="AB121" i="23"/>
  <c r="AB124" i="23" s="1"/>
  <c r="U144" i="23"/>
  <c r="U206" i="23" s="1"/>
  <c r="AB258" i="23"/>
  <c r="AB275" i="23" s="1"/>
  <c r="AB193" i="23"/>
  <c r="U189" i="23"/>
  <c r="U153" i="23"/>
  <c r="U220" i="23" s="1"/>
  <c r="X91" i="23"/>
  <c r="U87" i="23"/>
  <c r="V87" i="23"/>
  <c r="W87" i="23"/>
  <c r="T87" i="23"/>
  <c r="P20" i="25"/>
  <c r="P27" i="23"/>
  <c r="P29" i="23"/>
  <c r="S27" i="23"/>
  <c r="T24" i="23"/>
  <c r="T26" i="23" s="1"/>
  <c r="E27" i="23"/>
  <c r="T47" i="23"/>
  <c r="T49" i="23" s="1"/>
  <c r="X50" i="23" s="1"/>
  <c r="V29" i="23"/>
  <c r="V27" i="23"/>
  <c r="U29" i="23"/>
  <c r="U27" i="23"/>
  <c r="N27" i="23"/>
  <c r="N29" i="23"/>
  <c r="T129" i="23"/>
  <c r="T151" i="23"/>
  <c r="T187" i="23"/>
  <c r="T254" i="23"/>
  <c r="W149" i="23"/>
  <c r="W153" i="23"/>
  <c r="W220" i="23" s="1"/>
  <c r="W218" i="23"/>
  <c r="W144" i="23"/>
  <c r="W206" i="23" s="1"/>
  <c r="W189" i="23"/>
  <c r="W136" i="23"/>
  <c r="W222" i="23" s="1"/>
  <c r="W133" i="23"/>
  <c r="W195" i="23" s="1"/>
  <c r="V258" i="23"/>
  <c r="V193" i="23"/>
  <c r="W256" i="23"/>
  <c r="V233" i="23"/>
  <c r="W134" i="23"/>
  <c r="W196" i="23" s="1"/>
  <c r="U233" i="23"/>
  <c r="W233" i="23"/>
  <c r="T168" i="23"/>
  <c r="T235" i="23"/>
  <c r="W137" i="23"/>
  <c r="V168" i="23"/>
  <c r="V235" i="23"/>
  <c r="U193" i="23"/>
  <c r="U258" i="23"/>
  <c r="Y270" i="23" l="1"/>
  <c r="X278" i="23"/>
  <c r="X277" i="23"/>
  <c r="AN258" i="23"/>
  <c r="AN275" i="23" s="1"/>
  <c r="AN193" i="23"/>
  <c r="AN139" i="23"/>
  <c r="AN201" i="23" s="1"/>
  <c r="Y275" i="23"/>
  <c r="AN256" i="23"/>
  <c r="AN270" i="23"/>
  <c r="AN273" i="23"/>
  <c r="AN153" i="23"/>
  <c r="AN220" i="23" s="1"/>
  <c r="AN218" i="23"/>
  <c r="AN221" i="23" s="1"/>
  <c r="AN154" i="23"/>
  <c r="AN199" i="23"/>
  <c r="AN133" i="23"/>
  <c r="AN195" i="23" s="1"/>
  <c r="AN136" i="23"/>
  <c r="AN144" i="23"/>
  <c r="AN206" i="23" s="1"/>
  <c r="AN189" i="23"/>
  <c r="AN191" i="23"/>
  <c r="AF273" i="23"/>
  <c r="AF270" i="23"/>
  <c r="AJ272" i="23"/>
  <c r="AJ269" i="23"/>
  <c r="X273" i="23"/>
  <c r="X270" i="23"/>
  <c r="W270" i="23"/>
  <c r="V272" i="23"/>
  <c r="V269" i="23"/>
  <c r="W272" i="23"/>
  <c r="W269" i="23"/>
  <c r="U272" i="23"/>
  <c r="U269" i="23"/>
  <c r="X275" i="23"/>
  <c r="F222" i="22"/>
  <c r="E225" i="22"/>
  <c r="C231" i="22"/>
  <c r="D222" i="22"/>
  <c r="C225" i="22"/>
  <c r="AF124" i="23"/>
  <c r="V280" i="23"/>
  <c r="W280" i="23"/>
  <c r="T256" i="23"/>
  <c r="U280" i="23"/>
  <c r="AJ280" i="23"/>
  <c r="AF187" i="23"/>
  <c r="AF151" i="23"/>
  <c r="AF218" i="23" s="1"/>
  <c r="AF221" i="23" s="1"/>
  <c r="AF129" i="23"/>
  <c r="AF134" i="23"/>
  <c r="AF196" i="23" s="1"/>
  <c r="AF137" i="23"/>
  <c r="AF154" i="23" s="1"/>
  <c r="AJ198" i="23"/>
  <c r="AJ222" i="23"/>
  <c r="AJ155" i="23"/>
  <c r="T193" i="23"/>
  <c r="C344" i="22"/>
  <c r="E342" i="22"/>
  <c r="E344" i="22" s="1"/>
  <c r="AF256" i="23"/>
  <c r="D567" i="22"/>
  <c r="D564" i="22"/>
  <c r="AB191" i="23"/>
  <c r="C465" i="22"/>
  <c r="C461" i="22"/>
  <c r="AB129" i="23"/>
  <c r="AB137" i="23"/>
  <c r="AB199" i="23" s="1"/>
  <c r="AB134" i="23"/>
  <c r="AB196" i="23" s="1"/>
  <c r="AB151" i="23"/>
  <c r="AB153" i="23" s="1"/>
  <c r="AB220" i="23" s="1"/>
  <c r="D458" i="22"/>
  <c r="F458" i="22"/>
  <c r="AB187" i="23"/>
  <c r="AB254" i="23"/>
  <c r="T53" i="23"/>
  <c r="T41" i="23"/>
  <c r="T51" i="23"/>
  <c r="W88" i="23"/>
  <c r="T91" i="23"/>
  <c r="T139" i="23" s="1"/>
  <c r="T201" i="23" s="1"/>
  <c r="U91" i="23"/>
  <c r="U139" i="23" s="1"/>
  <c r="U201" i="23" s="1"/>
  <c r="W91" i="23"/>
  <c r="V91" i="23"/>
  <c r="T29" i="23"/>
  <c r="T27" i="23"/>
  <c r="T153" i="23"/>
  <c r="T220" i="23" s="1"/>
  <c r="T218" i="23"/>
  <c r="T144" i="23"/>
  <c r="T206" i="23" s="1"/>
  <c r="T189" i="23"/>
  <c r="W198" i="23"/>
  <c r="W155" i="23"/>
  <c r="W150" i="23"/>
  <c r="W216" i="23"/>
  <c r="W221" i="23" s="1"/>
  <c r="W154" i="23"/>
  <c r="W199" i="23"/>
  <c r="W258" i="23"/>
  <c r="W275" i="23" s="1"/>
  <c r="W193" i="23"/>
  <c r="T239" i="23"/>
  <c r="T172" i="23"/>
  <c r="AN280" i="23" l="1"/>
  <c r="AN269" i="23"/>
  <c r="AN272" i="23"/>
  <c r="AN155" i="23"/>
  <c r="AN222" i="23"/>
  <c r="AN198" i="23"/>
  <c r="AF144" i="23"/>
  <c r="AF206" i="23" s="1"/>
  <c r="AF136" i="23"/>
  <c r="AF272" i="23"/>
  <c r="AF269" i="23"/>
  <c r="AB273" i="23"/>
  <c r="AB270" i="23"/>
  <c r="AB256" i="23"/>
  <c r="AF189" i="23"/>
  <c r="AF191" i="23"/>
  <c r="C229" i="22"/>
  <c r="D225" i="22"/>
  <c r="C227" i="22"/>
  <c r="D227" i="22" s="1"/>
  <c r="AF133" i="23"/>
  <c r="AF195" i="23" s="1"/>
  <c r="T280" i="23"/>
  <c r="AF280" i="23"/>
  <c r="F225" i="22"/>
  <c r="E227" i="22"/>
  <c r="F227" i="22" s="1"/>
  <c r="E229" i="22"/>
  <c r="AF153" i="23"/>
  <c r="AF220" i="23" s="1"/>
  <c r="AF199" i="23"/>
  <c r="E347" i="22"/>
  <c r="F344" i="22"/>
  <c r="D344" i="22"/>
  <c r="C353" i="22"/>
  <c r="C347" i="22"/>
  <c r="AB218" i="23"/>
  <c r="AB221" i="23" s="1"/>
  <c r="AB144" i="23"/>
  <c r="AB206" i="23" s="1"/>
  <c r="AB133" i="23"/>
  <c r="AB195" i="23" s="1"/>
  <c r="AB136" i="23"/>
  <c r="E463" i="22"/>
  <c r="F461" i="22"/>
  <c r="D461" i="22"/>
  <c r="C463" i="22"/>
  <c r="AB189" i="23"/>
  <c r="AB154" i="23"/>
  <c r="T243" i="23"/>
  <c r="T176" i="23"/>
  <c r="W217" i="23"/>
  <c r="AF198" i="23" l="1"/>
  <c r="AF155" i="23"/>
  <c r="AF222" i="23"/>
  <c r="AB272" i="23"/>
  <c r="AB269" i="23"/>
  <c r="AB280" i="23"/>
  <c r="C351" i="22"/>
  <c r="D347" i="22"/>
  <c r="C349" i="22"/>
  <c r="D349" i="22" s="1"/>
  <c r="E351" i="22"/>
  <c r="F347" i="22"/>
  <c r="E349" i="22"/>
  <c r="F349" i="22" s="1"/>
  <c r="AB155" i="23"/>
  <c r="AB222" i="23"/>
  <c r="AB198" i="23"/>
  <c r="T249" i="23"/>
  <c r="T182" i="23"/>
  <c r="S36" i="23" l="1"/>
  <c r="R36" i="23"/>
  <c r="Q36" i="23"/>
  <c r="O36" i="23"/>
  <c r="N36" i="23"/>
  <c r="M36" i="23"/>
  <c r="S35" i="23"/>
  <c r="R35" i="23"/>
  <c r="Q35" i="23"/>
  <c r="O35" i="23"/>
  <c r="N35" i="23"/>
  <c r="M35" i="23"/>
  <c r="E36" i="23"/>
  <c r="D36" i="23"/>
  <c r="E35" i="23"/>
  <c r="D35" i="23"/>
  <c r="C36" i="23"/>
  <c r="C35" i="23"/>
  <c r="B35" i="23"/>
  <c r="B36" i="23"/>
  <c r="D603" i="22" l="1"/>
  <c r="E589" i="22"/>
  <c r="D601" i="22"/>
  <c r="E584" i="22"/>
  <c r="E588" i="22"/>
  <c r="E594" i="22"/>
  <c r="E586" i="22"/>
  <c r="D609" i="22"/>
  <c r="E585" i="22"/>
  <c r="E587" i="22"/>
  <c r="C608" i="22"/>
  <c r="D608" i="22" s="1"/>
  <c r="D602" i="22"/>
  <c r="E564" i="22" l="1"/>
  <c r="E567" i="22" s="1"/>
  <c r="D604" i="22"/>
  <c r="D610" i="22"/>
  <c r="E583" i="22"/>
  <c r="E590" i="22" s="1"/>
  <c r="E593" i="22" s="1"/>
  <c r="F564" i="22" l="1"/>
  <c r="E595" i="22"/>
  <c r="F567" i="22" l="1"/>
  <c r="E569" i="22"/>
  <c r="C610" i="22" l="1"/>
  <c r="C583" i="22" l="1"/>
  <c r="C590" i="22" s="1"/>
  <c r="C597" i="22" l="1"/>
  <c r="C593" i="22"/>
  <c r="E33" i="23" l="1"/>
  <c r="D33" i="23"/>
  <c r="C33" i="23"/>
  <c r="S33" i="23"/>
  <c r="R33" i="23"/>
  <c r="Q33" i="23"/>
  <c r="O33" i="23"/>
  <c r="N33" i="23"/>
  <c r="M33" i="23"/>
  <c r="B33" i="23"/>
  <c r="S47" i="23" l="1"/>
  <c r="S34" i="23"/>
  <c r="R34" i="23"/>
  <c r="Q34" i="23"/>
  <c r="O34" i="23"/>
  <c r="N34" i="23"/>
  <c r="M34" i="23"/>
  <c r="D34" i="23"/>
  <c r="C34" i="23"/>
  <c r="E34" i="23"/>
  <c r="B34" i="23"/>
  <c r="Q47" i="23" l="1"/>
  <c r="M47" i="23"/>
  <c r="R47" i="23"/>
  <c r="O47" i="23"/>
  <c r="E40" i="23"/>
  <c r="D40" i="23"/>
  <c r="C40" i="23"/>
  <c r="E37" i="23"/>
  <c r="D37" i="23"/>
  <c r="C37" i="23"/>
  <c r="E32" i="23"/>
  <c r="D32" i="23"/>
  <c r="C32" i="23"/>
  <c r="S40" i="23"/>
  <c r="R40" i="23"/>
  <c r="Q40" i="23"/>
  <c r="O40" i="23"/>
  <c r="N40" i="23"/>
  <c r="M40" i="23"/>
  <c r="S37" i="23"/>
  <c r="R37" i="23"/>
  <c r="Q37" i="23"/>
  <c r="O37" i="23"/>
  <c r="N37" i="23"/>
  <c r="M37" i="23"/>
  <c r="S32" i="23"/>
  <c r="R32" i="23"/>
  <c r="Q32" i="23"/>
  <c r="O32" i="23"/>
  <c r="N32" i="23"/>
  <c r="M32" i="23"/>
  <c r="B37" i="23"/>
  <c r="P36" i="23" l="1"/>
  <c r="P35" i="23"/>
  <c r="P33" i="23"/>
  <c r="N47" i="23"/>
  <c r="P34" i="23"/>
  <c r="E87" i="23"/>
  <c r="E47" i="23"/>
  <c r="C87" i="23"/>
  <c r="C47" i="23"/>
  <c r="D87" i="23"/>
  <c r="D47" i="23"/>
  <c r="P37" i="23"/>
  <c r="D41" i="23" l="1"/>
  <c r="E41" i="23"/>
  <c r="C41" i="23"/>
  <c r="Q41" i="23"/>
  <c r="O41" i="23"/>
  <c r="N41" i="23"/>
  <c r="R41" i="23"/>
  <c r="S41" i="23"/>
  <c r="M41" i="23"/>
  <c r="P40" i="23"/>
  <c r="B32" i="23"/>
  <c r="B40" i="23"/>
  <c r="C46" i="23"/>
  <c r="D46" i="23"/>
  <c r="E46" i="23"/>
  <c r="M46" i="23"/>
  <c r="N46" i="23"/>
  <c r="O46" i="23"/>
  <c r="P46" i="23"/>
  <c r="Q46" i="23"/>
  <c r="R46" i="23"/>
  <c r="S46" i="23"/>
  <c r="C61" i="23"/>
  <c r="D61" i="23"/>
  <c r="E61" i="23"/>
  <c r="M61" i="23"/>
  <c r="N61" i="23"/>
  <c r="O61" i="23"/>
  <c r="P61" i="23"/>
  <c r="Q61" i="23"/>
  <c r="R61" i="23"/>
  <c r="S61" i="23"/>
  <c r="C43" i="23"/>
  <c r="E43" i="23"/>
  <c r="M43" i="23"/>
  <c r="Q43" i="23"/>
  <c r="P237" i="23"/>
  <c r="R90" i="23"/>
  <c r="C44" i="23"/>
  <c r="D44" i="23"/>
  <c r="E44" i="23"/>
  <c r="M44" i="23"/>
  <c r="Q44" i="23"/>
  <c r="P241" i="23"/>
  <c r="N242" i="23"/>
  <c r="R242" i="23"/>
  <c r="N178" i="23"/>
  <c r="P179" i="23"/>
  <c r="D180" i="23"/>
  <c r="N180" i="23"/>
  <c r="D248" i="23"/>
  <c r="R181" i="23"/>
  <c r="N251" i="23"/>
  <c r="C85" i="23"/>
  <c r="D85" i="23"/>
  <c r="E85" i="23"/>
  <c r="M85" i="23"/>
  <c r="N85" i="23"/>
  <c r="O85" i="23"/>
  <c r="P85" i="23"/>
  <c r="Q85" i="23"/>
  <c r="R85" i="23"/>
  <c r="S85" i="23"/>
  <c r="B86" i="23"/>
  <c r="C86" i="23"/>
  <c r="E86" i="23"/>
  <c r="S86" i="23"/>
  <c r="C90" i="23"/>
  <c r="D90" i="23"/>
  <c r="E90" i="23"/>
  <c r="C95" i="23"/>
  <c r="D95" i="23"/>
  <c r="E95" i="23"/>
  <c r="M95" i="23"/>
  <c r="N95" i="23"/>
  <c r="O95" i="23"/>
  <c r="P95" i="23"/>
  <c r="Q95" i="23"/>
  <c r="R95" i="23"/>
  <c r="S95" i="23"/>
  <c r="C131" i="23"/>
  <c r="D131" i="23"/>
  <c r="E131" i="23"/>
  <c r="M131" i="23"/>
  <c r="N131" i="23"/>
  <c r="O131" i="23"/>
  <c r="P131" i="23"/>
  <c r="Q131" i="23"/>
  <c r="R131" i="23"/>
  <c r="S131" i="23"/>
  <c r="C147" i="23"/>
  <c r="D147" i="23"/>
  <c r="E147" i="23"/>
  <c r="M147" i="23"/>
  <c r="N147" i="23"/>
  <c r="O147" i="23"/>
  <c r="P147" i="23"/>
  <c r="Q147" i="23"/>
  <c r="R147" i="23"/>
  <c r="S147" i="23"/>
  <c r="C219" i="23"/>
  <c r="E219" i="23"/>
  <c r="M219" i="23"/>
  <c r="N219" i="23"/>
  <c r="O219" i="23"/>
  <c r="Q219" i="23"/>
  <c r="R219" i="23"/>
  <c r="S219" i="23"/>
  <c r="C158" i="23"/>
  <c r="D158" i="23"/>
  <c r="E158" i="23"/>
  <c r="M158" i="23"/>
  <c r="N158" i="23"/>
  <c r="O158" i="23"/>
  <c r="P158" i="23"/>
  <c r="Q158" i="23"/>
  <c r="R158" i="23"/>
  <c r="S158" i="23"/>
  <c r="B161" i="23"/>
  <c r="C161" i="23"/>
  <c r="E161" i="23"/>
  <c r="F162" i="23" s="1"/>
  <c r="M161" i="23"/>
  <c r="O161" i="23"/>
  <c r="P161" i="23"/>
  <c r="T162" i="23" s="1"/>
  <c r="Q161" i="23"/>
  <c r="U162" i="23" s="1"/>
  <c r="S161" i="23"/>
  <c r="W162" i="23" s="1"/>
  <c r="B164" i="23"/>
  <c r="B165" i="23"/>
  <c r="B166" i="23"/>
  <c r="B168" i="23"/>
  <c r="B169" i="23"/>
  <c r="B170" i="23"/>
  <c r="C170" i="23"/>
  <c r="D170" i="23"/>
  <c r="E170" i="23"/>
  <c r="N170" i="23"/>
  <c r="R170" i="23"/>
  <c r="B171" i="23"/>
  <c r="C171" i="23"/>
  <c r="D171" i="23"/>
  <c r="E171" i="23"/>
  <c r="N171" i="23"/>
  <c r="R171" i="23"/>
  <c r="B172" i="23"/>
  <c r="B173" i="23"/>
  <c r="C173" i="23"/>
  <c r="B174" i="23"/>
  <c r="C174" i="23"/>
  <c r="D174" i="23"/>
  <c r="E174" i="23"/>
  <c r="N174" i="23"/>
  <c r="R174" i="23"/>
  <c r="B175" i="23"/>
  <c r="C175" i="23"/>
  <c r="D175" i="23"/>
  <c r="E175" i="23"/>
  <c r="B176" i="23"/>
  <c r="B177" i="23"/>
  <c r="C177" i="23"/>
  <c r="D177" i="23"/>
  <c r="E177" i="23"/>
  <c r="N177" i="23"/>
  <c r="B178" i="23"/>
  <c r="C178" i="23"/>
  <c r="D178" i="23"/>
  <c r="B179" i="23"/>
  <c r="C179" i="23"/>
  <c r="D179" i="23"/>
  <c r="E179" i="23"/>
  <c r="N179" i="23"/>
  <c r="B180" i="23"/>
  <c r="B181" i="23"/>
  <c r="C181" i="23"/>
  <c r="B182" i="23"/>
  <c r="B183" i="23"/>
  <c r="B184" i="23"/>
  <c r="C184" i="23"/>
  <c r="D184" i="23"/>
  <c r="E184" i="23"/>
  <c r="B185" i="23"/>
  <c r="B187" i="23"/>
  <c r="B188" i="23"/>
  <c r="C188" i="23"/>
  <c r="D188" i="23"/>
  <c r="M188" i="23"/>
  <c r="N188" i="23"/>
  <c r="O188" i="23"/>
  <c r="Q188" i="23"/>
  <c r="R188" i="23"/>
  <c r="S188" i="23"/>
  <c r="B189" i="23"/>
  <c r="B193" i="23"/>
  <c r="B195" i="23"/>
  <c r="B196" i="23"/>
  <c r="B198" i="23"/>
  <c r="B199" i="23"/>
  <c r="B203" i="23"/>
  <c r="B204" i="23"/>
  <c r="B206" i="23"/>
  <c r="C214" i="23"/>
  <c r="D214" i="23"/>
  <c r="E214" i="23"/>
  <c r="M214" i="23"/>
  <c r="N214" i="23"/>
  <c r="O214" i="23"/>
  <c r="P214" i="23"/>
  <c r="Q214" i="23"/>
  <c r="R214" i="23"/>
  <c r="S214" i="23"/>
  <c r="C225" i="23"/>
  <c r="D225" i="23"/>
  <c r="E225" i="23"/>
  <c r="M225" i="23"/>
  <c r="N225" i="23"/>
  <c r="O225" i="23"/>
  <c r="P225" i="23"/>
  <c r="Q225" i="23"/>
  <c r="R225" i="23"/>
  <c r="S225" i="23"/>
  <c r="B228" i="23"/>
  <c r="C228" i="23"/>
  <c r="E228" i="23"/>
  <c r="F229" i="23" s="1"/>
  <c r="M228" i="23"/>
  <c r="O228" i="23"/>
  <c r="P228" i="23"/>
  <c r="T229" i="23" s="1"/>
  <c r="Q228" i="23"/>
  <c r="U229" i="23" s="1"/>
  <c r="S228" i="23"/>
  <c r="W229" i="23" s="1"/>
  <c r="B231" i="23"/>
  <c r="B232" i="23"/>
  <c r="B233" i="23"/>
  <c r="B235" i="23"/>
  <c r="B236" i="23"/>
  <c r="E236" i="23"/>
  <c r="B237" i="23"/>
  <c r="C237" i="23"/>
  <c r="D237" i="23"/>
  <c r="E237" i="23"/>
  <c r="N237" i="23"/>
  <c r="R237" i="23"/>
  <c r="B238" i="23"/>
  <c r="C238" i="23"/>
  <c r="D238" i="23"/>
  <c r="E238" i="23"/>
  <c r="N238" i="23"/>
  <c r="R238" i="23"/>
  <c r="B239" i="23"/>
  <c r="B240" i="23"/>
  <c r="B241" i="23"/>
  <c r="C241" i="23"/>
  <c r="D241" i="23"/>
  <c r="E241" i="23"/>
  <c r="N241" i="23"/>
  <c r="R241" i="23"/>
  <c r="B242" i="23"/>
  <c r="C242" i="23"/>
  <c r="D242" i="23"/>
  <c r="E242" i="23"/>
  <c r="B243" i="23"/>
  <c r="B244" i="23"/>
  <c r="C244" i="23"/>
  <c r="D244" i="23"/>
  <c r="N244" i="23"/>
  <c r="B245" i="23"/>
  <c r="C245" i="23"/>
  <c r="D245" i="23"/>
  <c r="B246" i="23"/>
  <c r="C246" i="23"/>
  <c r="D246" i="23"/>
  <c r="E246" i="23"/>
  <c r="N246" i="23"/>
  <c r="B247" i="23"/>
  <c r="D247" i="23"/>
  <c r="B248" i="23"/>
  <c r="C248" i="23"/>
  <c r="B249" i="23"/>
  <c r="B250" i="23"/>
  <c r="B251" i="23"/>
  <c r="C251" i="23"/>
  <c r="D251" i="23"/>
  <c r="E251" i="23"/>
  <c r="B252" i="23"/>
  <c r="B254" i="23"/>
  <c r="B255" i="23"/>
  <c r="B256" i="23"/>
  <c r="B258" i="23"/>
  <c r="B269" i="23"/>
  <c r="B270" i="23"/>
  <c r="B272" i="23"/>
  <c r="B273" i="23"/>
  <c r="B277" i="23"/>
  <c r="B278" i="23"/>
  <c r="B280" i="23"/>
  <c r="S148" i="23" l="1"/>
  <c r="S215" i="23" s="1"/>
  <c r="S102" i="23"/>
  <c r="E148" i="23"/>
  <c r="E215" i="23" s="1"/>
  <c r="E102" i="23"/>
  <c r="C148" i="23"/>
  <c r="C215" i="23" s="1"/>
  <c r="C102" i="23"/>
  <c r="P32" i="23"/>
  <c r="P171" i="23"/>
  <c r="C240" i="23"/>
  <c r="D181" i="23"/>
  <c r="C92" i="23"/>
  <c r="N184" i="23"/>
  <c r="D236" i="23"/>
  <c r="D43" i="23"/>
  <c r="P170" i="23"/>
  <c r="E169" i="23"/>
  <c r="R184" i="23"/>
  <c r="P174" i="23"/>
  <c r="E247" i="23"/>
  <c r="R175" i="23"/>
  <c r="P246" i="23"/>
  <c r="E180" i="23"/>
  <c r="M151" i="23"/>
  <c r="N247" i="23"/>
  <c r="N245" i="23"/>
  <c r="E244" i="23"/>
  <c r="N151" i="23"/>
  <c r="D59" i="23"/>
  <c r="D169" i="23"/>
  <c r="R244" i="23"/>
  <c r="R177" i="23"/>
  <c r="R245" i="23"/>
  <c r="R178" i="23"/>
  <c r="R43" i="23"/>
  <c r="R44" i="23"/>
  <c r="D240" i="23"/>
  <c r="N43" i="23"/>
  <c r="C236" i="23"/>
  <c r="C169" i="23"/>
  <c r="Q229" i="23"/>
  <c r="N175" i="23"/>
  <c r="E173" i="23"/>
  <c r="P219" i="23"/>
  <c r="P188" i="23"/>
  <c r="R248" i="23"/>
  <c r="E178" i="23"/>
  <c r="E245" i="23"/>
  <c r="P238" i="23"/>
  <c r="P90" i="23"/>
  <c r="E248" i="23"/>
  <c r="E92" i="23"/>
  <c r="E240" i="23"/>
  <c r="E181" i="23"/>
  <c r="D173" i="23"/>
  <c r="D219" i="23"/>
  <c r="D92" i="23"/>
  <c r="C180" i="23"/>
  <c r="C247" i="23"/>
  <c r="S229" i="23"/>
  <c r="Q162" i="23"/>
  <c r="E49" i="23"/>
  <c r="F50" i="23" s="1"/>
  <c r="R246" i="23"/>
  <c r="R179" i="23"/>
  <c r="D58" i="23"/>
  <c r="D86" i="23"/>
  <c r="D161" i="23"/>
  <c r="D162" i="23" s="1"/>
  <c r="D228" i="23"/>
  <c r="D229" i="23" s="1"/>
  <c r="R59" i="23"/>
  <c r="R86" i="23"/>
  <c r="R102" i="23" s="1"/>
  <c r="R161" i="23"/>
  <c r="V162" i="23" s="1"/>
  <c r="R228" i="23"/>
  <c r="V229" i="23" s="1"/>
  <c r="Q86" i="23"/>
  <c r="Q102" i="23" s="1"/>
  <c r="P86" i="23"/>
  <c r="N161" i="23"/>
  <c r="N228" i="23"/>
  <c r="N248" i="23"/>
  <c r="O43" i="23"/>
  <c r="R247" i="23"/>
  <c r="S162" i="23"/>
  <c r="N181" i="23"/>
  <c r="R180" i="23"/>
  <c r="R251" i="23"/>
  <c r="M49" i="23"/>
  <c r="Q59" i="23"/>
  <c r="M59" i="23"/>
  <c r="C59" i="23"/>
  <c r="Q58" i="23"/>
  <c r="M58" i="23"/>
  <c r="C58" i="23"/>
  <c r="E59" i="23"/>
  <c r="E58" i="23"/>
  <c r="D148" i="23" l="1"/>
  <c r="D215" i="23" s="1"/>
  <c r="D102" i="23"/>
  <c r="P148" i="23"/>
  <c r="P215" i="23" s="1"/>
  <c r="P102" i="23"/>
  <c r="M53" i="23"/>
  <c r="E53" i="23"/>
  <c r="P254" i="23"/>
  <c r="S151" i="23"/>
  <c r="S153" i="23" s="1"/>
  <c r="S220" i="23" s="1"/>
  <c r="Q187" i="23"/>
  <c r="P47" i="23"/>
  <c r="S87" i="23"/>
  <c r="Q87" i="23"/>
  <c r="R87" i="23"/>
  <c r="P87" i="23"/>
  <c r="M189" i="23"/>
  <c r="O254" i="23"/>
  <c r="O256" i="23" s="1"/>
  <c r="O280" i="23" s="1"/>
  <c r="O187" i="23"/>
  <c r="O151" i="23"/>
  <c r="O153" i="23" s="1"/>
  <c r="O220" i="23" s="1"/>
  <c r="S187" i="23"/>
  <c r="R254" i="23"/>
  <c r="R187" i="23"/>
  <c r="R151" i="23"/>
  <c r="R153" i="23" s="1"/>
  <c r="R220" i="23" s="1"/>
  <c r="Q151" i="23"/>
  <c r="Q218" i="23" s="1"/>
  <c r="P151" i="23"/>
  <c r="P153" i="23" s="1"/>
  <c r="P220" i="23" s="1"/>
  <c r="C254" i="23"/>
  <c r="C144" i="23"/>
  <c r="C206" i="23" s="1"/>
  <c r="N254" i="23"/>
  <c r="N256" i="23" s="1"/>
  <c r="N280" i="23" s="1"/>
  <c r="Q254" i="23"/>
  <c r="C187" i="23"/>
  <c r="C151" i="23"/>
  <c r="N173" i="23"/>
  <c r="N44" i="23"/>
  <c r="P187" i="23"/>
  <c r="O58" i="23"/>
  <c r="N189" i="23"/>
  <c r="N187" i="23"/>
  <c r="S43" i="23"/>
  <c r="S254" i="23"/>
  <c r="R193" i="23"/>
  <c r="R189" i="23"/>
  <c r="R144" i="23"/>
  <c r="R206" i="23" s="1"/>
  <c r="N58" i="23"/>
  <c r="M187" i="23"/>
  <c r="M254" i="23"/>
  <c r="M256" i="23" s="1"/>
  <c r="M280" i="23" s="1"/>
  <c r="N240" i="23"/>
  <c r="M258" i="23"/>
  <c r="C189" i="23"/>
  <c r="C258" i="23"/>
  <c r="R169" i="23"/>
  <c r="R236" i="23"/>
  <c r="M218" i="23"/>
  <c r="M153" i="23"/>
  <c r="M220" i="23" s="1"/>
  <c r="N236" i="23"/>
  <c r="N169" i="23"/>
  <c r="S44" i="23"/>
  <c r="R173" i="23"/>
  <c r="R58" i="23"/>
  <c r="R240" i="23"/>
  <c r="P177" i="23"/>
  <c r="P244" i="23"/>
  <c r="E229" i="23"/>
  <c r="N218" i="23"/>
  <c r="N153" i="23"/>
  <c r="N220" i="23" s="1"/>
  <c r="N59" i="23"/>
  <c r="D187" i="23"/>
  <c r="D254" i="23"/>
  <c r="D151" i="23"/>
  <c r="E88" i="23"/>
  <c r="E51" i="23"/>
  <c r="E162" i="23"/>
  <c r="R229" i="23"/>
  <c r="S49" i="23"/>
  <c r="S53" i="23" s="1"/>
  <c r="P245" i="23"/>
  <c r="P178" i="23"/>
  <c r="P184" i="23"/>
  <c r="P251" i="23"/>
  <c r="P248" i="23"/>
  <c r="P181" i="23"/>
  <c r="Q148" i="23"/>
  <c r="Q215" i="23" s="1"/>
  <c r="O49" i="23"/>
  <c r="S59" i="23"/>
  <c r="P180" i="23"/>
  <c r="P247" i="23"/>
  <c r="Q49" i="23"/>
  <c r="Q53" i="23" s="1"/>
  <c r="M51" i="23"/>
  <c r="C49" i="23"/>
  <c r="O59" i="23"/>
  <c r="R162" i="23"/>
  <c r="R148" i="23"/>
  <c r="R215" i="23" s="1"/>
  <c r="P256" i="23" l="1"/>
  <c r="D256" i="23"/>
  <c r="Q256" i="23"/>
  <c r="R256" i="23"/>
  <c r="S256" i="23"/>
  <c r="C256" i="23"/>
  <c r="O53" i="23"/>
  <c r="C53" i="23"/>
  <c r="U50" i="23"/>
  <c r="W50" i="23"/>
  <c r="V88" i="23"/>
  <c r="S218" i="23"/>
  <c r="S189" i="23"/>
  <c r="Q144" i="23"/>
  <c r="Q206" i="23" s="1"/>
  <c r="P189" i="23"/>
  <c r="C595" i="22"/>
  <c r="O218" i="23"/>
  <c r="P218" i="23"/>
  <c r="O189" i="23"/>
  <c r="P206" i="23"/>
  <c r="R258" i="23"/>
  <c r="Q189" i="23"/>
  <c r="R218" i="23"/>
  <c r="Q193" i="23"/>
  <c r="M193" i="23"/>
  <c r="Q153" i="23"/>
  <c r="Q220" i="23" s="1"/>
  <c r="P49" i="23"/>
  <c r="P53" i="23" s="1"/>
  <c r="E254" i="23"/>
  <c r="M56" i="23"/>
  <c r="M166" i="23" s="1"/>
  <c r="M164" i="23"/>
  <c r="M231" i="23"/>
  <c r="C153" i="23"/>
  <c r="C220" i="23" s="1"/>
  <c r="C218" i="23"/>
  <c r="C193" i="23"/>
  <c r="O44" i="23"/>
  <c r="S258" i="23"/>
  <c r="S144" i="23"/>
  <c r="S206" i="23" s="1"/>
  <c r="P44" i="23"/>
  <c r="E187" i="23"/>
  <c r="P59" i="23"/>
  <c r="P43" i="23"/>
  <c r="E151" i="23"/>
  <c r="P41" i="23"/>
  <c r="E89" i="23"/>
  <c r="E139" i="23" s="1"/>
  <c r="E201" i="23" s="1"/>
  <c r="E231" i="23"/>
  <c r="E267" i="23" s="1"/>
  <c r="E56" i="23"/>
  <c r="E166" i="23" s="1"/>
  <c r="E164" i="23"/>
  <c r="D189" i="23"/>
  <c r="D144" i="23"/>
  <c r="D206" i="23" s="1"/>
  <c r="P169" i="23"/>
  <c r="D218" i="23"/>
  <c r="D153" i="23"/>
  <c r="D220" i="23" s="1"/>
  <c r="P236" i="23"/>
  <c r="N258" i="23"/>
  <c r="N193" i="23"/>
  <c r="P175" i="23"/>
  <c r="P242" i="23"/>
  <c r="S58" i="23"/>
  <c r="O193" i="23"/>
  <c r="O258" i="23"/>
  <c r="Q50" i="23"/>
  <c r="Q51" i="23"/>
  <c r="O51" i="23"/>
  <c r="D49" i="23"/>
  <c r="E193" i="23"/>
  <c r="E258" i="23"/>
  <c r="C51" i="23"/>
  <c r="C88" i="23"/>
  <c r="N49" i="23"/>
  <c r="S50" i="23"/>
  <c r="S51" i="23"/>
  <c r="R49" i="23"/>
  <c r="R53" i="23" s="1"/>
  <c r="D269" i="23" l="1"/>
  <c r="D272" i="23"/>
  <c r="C269" i="23"/>
  <c r="C272" i="23"/>
  <c r="E270" i="23"/>
  <c r="E273" i="23"/>
  <c r="S272" i="23"/>
  <c r="S269" i="23"/>
  <c r="Q272" i="23"/>
  <c r="Q269" i="23"/>
  <c r="R272" i="23"/>
  <c r="R269" i="23"/>
  <c r="P272" i="23"/>
  <c r="P269" i="23"/>
  <c r="E275" i="23"/>
  <c r="M233" i="23"/>
  <c r="E277" i="23"/>
  <c r="E278" i="23"/>
  <c r="E256" i="23"/>
  <c r="C280" i="23"/>
  <c r="D280" i="23"/>
  <c r="R280" i="23"/>
  <c r="P280" i="23"/>
  <c r="Q280" i="23"/>
  <c r="S280" i="23"/>
  <c r="E233" i="23"/>
  <c r="F232" i="23"/>
  <c r="N53" i="23"/>
  <c r="D53" i="23"/>
  <c r="V89" i="23"/>
  <c r="V139" i="23" s="1"/>
  <c r="V201" i="23" s="1"/>
  <c r="W165" i="23"/>
  <c r="T89" i="23"/>
  <c r="V50" i="23"/>
  <c r="U88" i="23"/>
  <c r="T88" i="23"/>
  <c r="U165" i="23"/>
  <c r="E133" i="23"/>
  <c r="E195" i="23" s="1"/>
  <c r="E136" i="23"/>
  <c r="E144" i="23"/>
  <c r="E206" i="23" s="1"/>
  <c r="E189" i="23"/>
  <c r="R92" i="23"/>
  <c r="P92" i="23"/>
  <c r="C164" i="23"/>
  <c r="C165" i="23"/>
  <c r="O231" i="23"/>
  <c r="P58" i="23"/>
  <c r="C89" i="23"/>
  <c r="C56" i="23"/>
  <c r="C166" i="23" s="1"/>
  <c r="O56" i="23"/>
  <c r="O166" i="23" s="1"/>
  <c r="O164" i="23"/>
  <c r="C231" i="23"/>
  <c r="C267" i="23" s="1"/>
  <c r="S165" i="23"/>
  <c r="S231" i="23"/>
  <c r="V267" i="23" s="1"/>
  <c r="S56" i="23"/>
  <c r="S166" i="23" s="1"/>
  <c r="S164" i="23"/>
  <c r="C168" i="23"/>
  <c r="Q258" i="23"/>
  <c r="S193" i="23"/>
  <c r="P51" i="23"/>
  <c r="P173" i="23"/>
  <c r="P240" i="23"/>
  <c r="Q164" i="23"/>
  <c r="Q166" i="23"/>
  <c r="Q231" i="23"/>
  <c r="Q165" i="23"/>
  <c r="E218" i="23"/>
  <c r="E153" i="23"/>
  <c r="E220" i="23" s="1"/>
  <c r="E142" i="23"/>
  <c r="E204" i="23" s="1"/>
  <c r="E149" i="23"/>
  <c r="E141" i="23"/>
  <c r="E203" i="23" s="1"/>
  <c r="E134" i="23"/>
  <c r="E196" i="23" s="1"/>
  <c r="E137" i="23"/>
  <c r="E235" i="23"/>
  <c r="E168" i="23"/>
  <c r="D258" i="23"/>
  <c r="D193" i="23"/>
  <c r="S88" i="23"/>
  <c r="N51" i="23"/>
  <c r="Q88" i="23"/>
  <c r="P88" i="23"/>
  <c r="D51" i="23"/>
  <c r="D50" i="23"/>
  <c r="E50" i="23"/>
  <c r="D88" i="23"/>
  <c r="R50" i="23"/>
  <c r="R51" i="23"/>
  <c r="R88" i="23"/>
  <c r="E269" i="23" l="1"/>
  <c r="E272" i="23"/>
  <c r="C270" i="23"/>
  <c r="C273" i="23"/>
  <c r="V270" i="23"/>
  <c r="V273" i="23"/>
  <c r="C278" i="23"/>
  <c r="C277" i="23"/>
  <c r="C275" i="23"/>
  <c r="V277" i="23"/>
  <c r="V278" i="23"/>
  <c r="V275" i="23"/>
  <c r="U232" i="23"/>
  <c r="O233" i="23"/>
  <c r="E280" i="23"/>
  <c r="C596" i="22"/>
  <c r="V136" i="23"/>
  <c r="V222" i="23" s="1"/>
  <c r="V133" i="23"/>
  <c r="V195" i="23" s="1"/>
  <c r="V142" i="23"/>
  <c r="V204" i="23" s="1"/>
  <c r="V137" i="23"/>
  <c r="V134" i="23"/>
  <c r="V196" i="23" s="1"/>
  <c r="V141" i="23"/>
  <c r="V203" i="23" s="1"/>
  <c r="V149" i="23"/>
  <c r="S233" i="23"/>
  <c r="W232" i="23"/>
  <c r="U89" i="23"/>
  <c r="V165" i="23"/>
  <c r="T136" i="23"/>
  <c r="T137" i="23"/>
  <c r="T134" i="23"/>
  <c r="T196" i="23" s="1"/>
  <c r="T142" i="23"/>
  <c r="T204" i="23" s="1"/>
  <c r="T141" i="23"/>
  <c r="T203" i="23" s="1"/>
  <c r="T133" i="23"/>
  <c r="T195" i="23" s="1"/>
  <c r="T149" i="23"/>
  <c r="C133" i="23"/>
  <c r="C195" i="23" s="1"/>
  <c r="C136" i="23"/>
  <c r="C198" i="23" s="1"/>
  <c r="C134" i="23"/>
  <c r="C196" i="23" s="1"/>
  <c r="R56" i="23"/>
  <c r="R166" i="23" s="1"/>
  <c r="D231" i="23"/>
  <c r="D267" i="23" s="1"/>
  <c r="C233" i="23"/>
  <c r="S232" i="23"/>
  <c r="C141" i="23"/>
  <c r="C203" i="23" s="1"/>
  <c r="C142" i="23"/>
  <c r="C204" i="23" s="1"/>
  <c r="C137" i="23"/>
  <c r="C154" i="23" s="1"/>
  <c r="C149" i="23"/>
  <c r="C150" i="23" s="1"/>
  <c r="D56" i="23"/>
  <c r="D166" i="23" s="1"/>
  <c r="C235" i="23"/>
  <c r="R231" i="23"/>
  <c r="U267" i="23" s="1"/>
  <c r="R164" i="23"/>
  <c r="D55" i="23"/>
  <c r="D165" i="23" s="1"/>
  <c r="D164" i="23"/>
  <c r="D89" i="23"/>
  <c r="E55" i="23"/>
  <c r="E165" i="23" s="1"/>
  <c r="N231" i="23"/>
  <c r="N164" i="23"/>
  <c r="N235" i="23"/>
  <c r="R165" i="23"/>
  <c r="N56" i="23"/>
  <c r="N166" i="23" s="1"/>
  <c r="Q232" i="23"/>
  <c r="Q233" i="23"/>
  <c r="E172" i="23"/>
  <c r="E239" i="23"/>
  <c r="E155" i="23"/>
  <c r="E198" i="23"/>
  <c r="E150" i="23"/>
  <c r="E216" i="23"/>
  <c r="E199" i="23"/>
  <c r="E154" i="23"/>
  <c r="P193" i="23"/>
  <c r="P258" i="23"/>
  <c r="D270" i="23" l="1"/>
  <c r="D273" i="23"/>
  <c r="U273" i="23"/>
  <c r="U270" i="23"/>
  <c r="U275" i="23"/>
  <c r="D277" i="23"/>
  <c r="D278" i="23"/>
  <c r="D275" i="23"/>
  <c r="T267" i="23"/>
  <c r="E232" i="23"/>
  <c r="N233" i="23"/>
  <c r="T198" i="23"/>
  <c r="T155" i="23"/>
  <c r="T150" i="23"/>
  <c r="T216" i="23"/>
  <c r="V150" i="23"/>
  <c r="V216" i="23"/>
  <c r="U136" i="23"/>
  <c r="U133" i="23"/>
  <c r="U195" i="23" s="1"/>
  <c r="U134" i="23"/>
  <c r="U196" i="23" s="1"/>
  <c r="U137" i="23"/>
  <c r="U149" i="23"/>
  <c r="R233" i="23"/>
  <c r="V232" i="23"/>
  <c r="T93" i="23"/>
  <c r="V154" i="23"/>
  <c r="V199" i="23"/>
  <c r="T199" i="23"/>
  <c r="T154" i="23"/>
  <c r="V198" i="23"/>
  <c r="V155" i="23"/>
  <c r="D133" i="23"/>
  <c r="D195" i="23" s="1"/>
  <c r="D136" i="23"/>
  <c r="D198" i="23" s="1"/>
  <c r="P89" i="23"/>
  <c r="C172" i="23"/>
  <c r="S89" i="23"/>
  <c r="P231" i="23"/>
  <c r="Q267" i="23" s="1"/>
  <c r="P56" i="23"/>
  <c r="P166" i="23" s="1"/>
  <c r="R89" i="23"/>
  <c r="E596" i="22" s="1"/>
  <c r="P235" i="23"/>
  <c r="P164" i="23"/>
  <c r="Q89" i="23"/>
  <c r="C243" i="23"/>
  <c r="D149" i="23"/>
  <c r="D150" i="23" s="1"/>
  <c r="C239" i="23"/>
  <c r="D168" i="23"/>
  <c r="C155" i="23"/>
  <c r="N168" i="23"/>
  <c r="R168" i="23"/>
  <c r="R235" i="23"/>
  <c r="D233" i="23"/>
  <c r="D232" i="23"/>
  <c r="C216" i="23"/>
  <c r="C221" i="23" s="1"/>
  <c r="C199" i="23"/>
  <c r="D235" i="23"/>
  <c r="D137" i="23"/>
  <c r="D199" i="23" s="1"/>
  <c r="D134" i="23"/>
  <c r="D196" i="23" s="1"/>
  <c r="D141" i="23"/>
  <c r="D203" i="23" s="1"/>
  <c r="D142" i="23"/>
  <c r="D204" i="23" s="1"/>
  <c r="R232" i="23"/>
  <c r="D172" i="23"/>
  <c r="D239" i="23"/>
  <c r="R239" i="23"/>
  <c r="R172" i="23"/>
  <c r="E217" i="23"/>
  <c r="E221" i="23"/>
  <c r="E222" i="23"/>
  <c r="E243" i="23"/>
  <c r="E176" i="23"/>
  <c r="E93" i="23"/>
  <c r="Q270" i="23" l="1"/>
  <c r="Q273" i="23"/>
  <c r="T270" i="23"/>
  <c r="T273" i="23"/>
  <c r="T272" i="23"/>
  <c r="T269" i="23"/>
  <c r="S267" i="23"/>
  <c r="R267" i="23"/>
  <c r="Q275" i="23"/>
  <c r="T278" i="23"/>
  <c r="T277" i="23"/>
  <c r="T275" i="23"/>
  <c r="P267" i="23"/>
  <c r="P233" i="23"/>
  <c r="T232" i="23"/>
  <c r="U216" i="23"/>
  <c r="U150" i="23"/>
  <c r="V217" i="23"/>
  <c r="V221" i="23"/>
  <c r="U199" i="23"/>
  <c r="U154" i="23"/>
  <c r="U198" i="23"/>
  <c r="U155" i="23"/>
  <c r="T217" i="23"/>
  <c r="T221" i="23"/>
  <c r="T222" i="23"/>
  <c r="F590" i="22"/>
  <c r="F593" i="22"/>
  <c r="Q133" i="23"/>
  <c r="Q195" i="23" s="1"/>
  <c r="Q136" i="23"/>
  <c r="Q198" i="23" s="1"/>
  <c r="R136" i="23"/>
  <c r="R155" i="23" s="1"/>
  <c r="R133" i="23"/>
  <c r="R195" i="23" s="1"/>
  <c r="S136" i="23"/>
  <c r="S155" i="23" s="1"/>
  <c r="S133" i="23"/>
  <c r="S195" i="23" s="1"/>
  <c r="P149" i="23"/>
  <c r="P216" i="23" s="1"/>
  <c r="P133" i="23"/>
  <c r="P195" i="23" s="1"/>
  <c r="P136" i="23"/>
  <c r="P198" i="23" s="1"/>
  <c r="P141" i="23"/>
  <c r="P203" i="23" s="1"/>
  <c r="D216" i="23"/>
  <c r="P134" i="23"/>
  <c r="P196" i="23" s="1"/>
  <c r="P142" i="23"/>
  <c r="P204" i="23" s="1"/>
  <c r="P137" i="23"/>
  <c r="P154" i="23" s="1"/>
  <c r="S137" i="23"/>
  <c r="S199" i="23" s="1"/>
  <c r="S149" i="23"/>
  <c r="S216" i="23" s="1"/>
  <c r="S134" i="23"/>
  <c r="S196" i="23" s="1"/>
  <c r="C176" i="23"/>
  <c r="R142" i="23"/>
  <c r="R204" i="23" s="1"/>
  <c r="Q137" i="23"/>
  <c r="Q154" i="23" s="1"/>
  <c r="Q134" i="23"/>
  <c r="Q196" i="23" s="1"/>
  <c r="R149" i="23"/>
  <c r="R216" i="23" s="1"/>
  <c r="R134" i="23"/>
  <c r="R196" i="23" s="1"/>
  <c r="C93" i="23"/>
  <c r="P168" i="23"/>
  <c r="R137" i="23"/>
  <c r="R199" i="23" s="1"/>
  <c r="Q149" i="23"/>
  <c r="Q150" i="23" s="1"/>
  <c r="N176" i="23"/>
  <c r="R141" i="23"/>
  <c r="R203" i="23" s="1"/>
  <c r="D590" i="22"/>
  <c r="D593" i="22"/>
  <c r="N239" i="23"/>
  <c r="N172" i="23"/>
  <c r="C222" i="23"/>
  <c r="C217" i="23"/>
  <c r="D154" i="23"/>
  <c r="D155" i="23"/>
  <c r="D93" i="23"/>
  <c r="D243" i="23"/>
  <c r="D176" i="23"/>
  <c r="R176" i="23"/>
  <c r="R243" i="23"/>
  <c r="E182" i="23"/>
  <c r="E249" i="23"/>
  <c r="R270" i="23" l="1"/>
  <c r="R273" i="23"/>
  <c r="P273" i="23"/>
  <c r="P270" i="23"/>
  <c r="S273" i="23"/>
  <c r="S270" i="23"/>
  <c r="R278" i="23"/>
  <c r="R277" i="23"/>
  <c r="R275" i="23"/>
  <c r="P277" i="23"/>
  <c r="P278" i="23"/>
  <c r="P275" i="23"/>
  <c r="S275" i="23"/>
  <c r="U217" i="23"/>
  <c r="U222" i="23"/>
  <c r="U221" i="23"/>
  <c r="Q155" i="23"/>
  <c r="P150" i="23"/>
  <c r="D222" i="23"/>
  <c r="P155" i="23"/>
  <c r="D221" i="23"/>
  <c r="D217" i="23"/>
  <c r="P199" i="23"/>
  <c r="S154" i="23"/>
  <c r="R150" i="23"/>
  <c r="S198" i="23"/>
  <c r="S150" i="23"/>
  <c r="N243" i="23"/>
  <c r="Q199" i="23"/>
  <c r="C249" i="23"/>
  <c r="R154" i="23"/>
  <c r="C182" i="23"/>
  <c r="P239" i="23"/>
  <c r="P172" i="23"/>
  <c r="R198" i="23"/>
  <c r="Q216" i="23"/>
  <c r="Q221" i="23" s="1"/>
  <c r="E185" i="23"/>
  <c r="S221" i="23"/>
  <c r="S222" i="23"/>
  <c r="S217" i="23"/>
  <c r="R217" i="23"/>
  <c r="R222" i="23"/>
  <c r="R221" i="23"/>
  <c r="R93" i="23"/>
  <c r="P93" i="23"/>
  <c r="P222" i="23"/>
  <c r="P221" i="23"/>
  <c r="P217" i="23"/>
  <c r="P243" i="23"/>
  <c r="P176" i="23"/>
  <c r="D182" i="23"/>
  <c r="D249" i="23"/>
  <c r="R182" i="23"/>
  <c r="R249" i="23"/>
  <c r="E183" i="23"/>
  <c r="E250" i="23"/>
  <c r="T250" i="23" l="1"/>
  <c r="C250" i="23"/>
  <c r="C183" i="23"/>
  <c r="N182" i="23"/>
  <c r="N249" i="23"/>
  <c r="Q217" i="23"/>
  <c r="Q222" i="23"/>
  <c r="E252" i="23"/>
  <c r="P249" i="23"/>
  <c r="P182" i="23"/>
  <c r="D250" i="23"/>
  <c r="D183" i="23"/>
  <c r="C185" i="23"/>
  <c r="C252" i="23"/>
  <c r="T183" i="23" l="1"/>
  <c r="T252" i="23"/>
  <c r="T185" i="23"/>
  <c r="N183" i="23"/>
  <c r="N250" i="23"/>
  <c r="R183" i="23"/>
  <c r="R250" i="23"/>
  <c r="N252" i="23"/>
  <c r="N185" i="23"/>
  <c r="D185" i="23"/>
  <c r="D252" i="23"/>
  <c r="R185" i="23" l="1"/>
  <c r="R252" i="23"/>
  <c r="P250" i="23" l="1"/>
  <c r="P183" i="23"/>
  <c r="P185" i="23"/>
  <c r="P252" i="23"/>
  <c r="P91" i="23" l="1"/>
  <c r="P139" i="23" s="1"/>
  <c r="P201" i="23" s="1"/>
  <c r="Q91" i="23"/>
  <c r="Q139" i="23" s="1"/>
  <c r="Q201" i="23" s="1"/>
  <c r="R91" i="23"/>
  <c r="R139" i="23" s="1"/>
  <c r="R201" i="23" s="1"/>
  <c r="S91" i="23"/>
  <c r="S139" i="23" s="1"/>
  <c r="S201" i="23" s="1"/>
  <c r="D91" i="23"/>
  <c r="D139" i="23" s="1"/>
  <c r="D201" i="23" s="1"/>
  <c r="C91" i="23" l="1"/>
  <c r="C139" i="23" s="1"/>
  <c r="C201" i="23" s="1"/>
  <c r="E91" i="23"/>
  <c r="V66" i="23"/>
  <c r="V239" i="23" s="1"/>
  <c r="X63" i="23"/>
  <c r="X43" i="23" s="1"/>
  <c r="V59" i="23"/>
  <c r="V236" i="23"/>
  <c r="V43" i="23"/>
  <c r="V169" i="23"/>
  <c r="X169" i="23" l="1"/>
  <c r="X66" i="23"/>
  <c r="V172" i="23"/>
  <c r="V70" i="23"/>
  <c r="X236" i="23"/>
  <c r="X59" i="23"/>
  <c r="V243" i="23" l="1"/>
  <c r="V176" i="23"/>
  <c r="V76" i="23"/>
  <c r="V93" i="23"/>
  <c r="X70" i="23"/>
  <c r="Z93" i="23" s="1"/>
  <c r="X172" i="23"/>
  <c r="X239" i="23"/>
  <c r="X76" i="23" l="1"/>
  <c r="X243" i="23"/>
  <c r="X176" i="23"/>
  <c r="V77" i="23"/>
  <c r="V79" i="23" s="1"/>
  <c r="V80" i="23" s="1"/>
  <c r="V82" i="23" s="1"/>
  <c r="V182" i="23"/>
  <c r="V249" i="23"/>
  <c r="X93" i="23"/>
  <c r="V252" i="23" l="1"/>
  <c r="V185" i="23"/>
  <c r="V250" i="23"/>
  <c r="X77" i="23"/>
  <c r="V183" i="23"/>
  <c r="V83" i="23"/>
  <c r="X249" i="23"/>
  <c r="X182" i="23"/>
  <c r="X183" i="23" l="1"/>
  <c r="X250" i="23"/>
  <c r="X79" i="23"/>
  <c r="X80" i="23" s="1"/>
  <c r="X82" i="23" s="1"/>
  <c r="X252" i="23" l="1"/>
  <c r="X185" i="23"/>
  <c r="Z80" i="23" l="1"/>
  <c r="AB80" i="23" l="1"/>
  <c r="Z82" i="23"/>
  <c r="AD80" i="23" l="1"/>
  <c r="AB82" i="23"/>
  <c r="AD82" i="23" l="1"/>
  <c r="AF80" i="23"/>
  <c r="AH80" i="23" s="1"/>
  <c r="AH82" i="23" l="1"/>
  <c r="AF82"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author>
    <author>Vaishali Dhar</author>
    <author>Crisil GR&amp;RS</author>
    <author>CRISIL GR&amp;A</author>
  </authors>
  <commentList>
    <comment ref="B47" authorId="0" shapeId="0" xr:uid="{2778CEAB-1319-486D-A23E-8CDCC3C515C6}">
      <text>
        <r>
          <rPr>
            <b/>
            <sz val="9"/>
            <color indexed="81"/>
            <rFont val="Tahoma"/>
            <family val="2"/>
          </rPr>
          <t>CRISIL:</t>
        </r>
        <r>
          <rPr>
            <sz val="9"/>
            <color indexed="81"/>
            <rFont val="Tahoma"/>
            <family val="2"/>
          </rPr>
          <t xml:space="preserve">
Data N/A in report</t>
        </r>
      </text>
    </comment>
    <comment ref="B146" authorId="0" shapeId="0" xr:uid="{BE4ABB1D-9F55-41EC-9E3D-D29E2D2C338B}">
      <text>
        <r>
          <rPr>
            <b/>
            <sz val="9"/>
            <color indexed="81"/>
            <rFont val="Tahoma"/>
            <family val="2"/>
          </rPr>
          <t>CRISIL:</t>
        </r>
        <r>
          <rPr>
            <sz val="9"/>
            <color indexed="81"/>
            <rFont val="Tahoma"/>
            <family val="2"/>
          </rPr>
          <t xml:space="preserve">
Data N/A in report</t>
        </r>
      </text>
    </comment>
    <comment ref="C175" authorId="1" shapeId="0" xr:uid="{0195F958-FE72-49CD-9A66-2577262CE694}">
      <text>
        <r>
          <rPr>
            <b/>
            <sz val="9"/>
            <color indexed="81"/>
            <rFont val="Tahoma"/>
            <family val="2"/>
          </rPr>
          <t>CRISIL:</t>
        </r>
        <r>
          <rPr>
            <sz val="9"/>
            <color indexed="81"/>
            <rFont val="Tahoma"/>
            <family val="2"/>
          </rPr>
          <t xml:space="preserve">
Including restricted cash
</t>
        </r>
      </text>
    </comment>
    <comment ref="D178" authorId="2" shapeId="0" xr:uid="{68B4EDC7-8209-44BB-B28E-E289D91CD556}">
      <text>
        <r>
          <rPr>
            <b/>
            <sz val="9"/>
            <color indexed="81"/>
            <rFont val="Tahoma"/>
            <family val="2"/>
          </rPr>
          <t>Crisil GR&amp;RS:</t>
        </r>
        <r>
          <rPr>
            <sz val="9"/>
            <color indexed="81"/>
            <rFont val="Tahoma"/>
            <family val="2"/>
          </rPr>
          <t xml:space="preserve">
Source - Bloomberg</t>
        </r>
      </text>
    </comment>
    <comment ref="C206" authorId="1" shapeId="0" xr:uid="{9CEC3B0A-F05A-4E67-877B-55967D96C2B9}">
      <text>
        <r>
          <rPr>
            <b/>
            <sz val="9"/>
            <color indexed="81"/>
            <rFont val="Tahoma"/>
            <family val="2"/>
          </rPr>
          <t>CRISIL:</t>
        </r>
        <r>
          <rPr>
            <sz val="9"/>
            <color indexed="81"/>
            <rFont val="Tahoma"/>
            <family val="2"/>
          </rPr>
          <t xml:space="preserve">
Including restricted cash
</t>
        </r>
      </text>
    </comment>
    <comment ref="D209" authorId="2" shapeId="0" xr:uid="{4B4C370B-E3B3-40D3-A943-6142B1660A28}">
      <text>
        <r>
          <rPr>
            <b/>
            <sz val="9"/>
            <color indexed="81"/>
            <rFont val="Tahoma"/>
            <family val="2"/>
          </rPr>
          <t>Crisil GR&amp;RS:</t>
        </r>
        <r>
          <rPr>
            <sz val="9"/>
            <color indexed="81"/>
            <rFont val="Tahoma"/>
            <family val="2"/>
          </rPr>
          <t xml:space="preserve">
Source - Bloomberg</t>
        </r>
      </text>
    </comment>
    <comment ref="C235" authorId="1" shapeId="0" xr:uid="{7DB4276E-F368-4DA2-8515-9316D94B3E55}">
      <text>
        <r>
          <rPr>
            <b/>
            <sz val="9"/>
            <color indexed="81"/>
            <rFont val="Tahoma"/>
            <family val="2"/>
          </rPr>
          <t>CRISIL:</t>
        </r>
        <r>
          <rPr>
            <sz val="9"/>
            <color indexed="81"/>
            <rFont val="Tahoma"/>
            <family val="2"/>
          </rPr>
          <t xml:space="preserve">
Including restricted cash
</t>
        </r>
      </text>
    </comment>
    <comment ref="D238" authorId="2" shapeId="0" xr:uid="{39D8C26F-76DF-4545-B3DD-1087665CE9E1}">
      <text>
        <r>
          <rPr>
            <b/>
            <sz val="9"/>
            <color indexed="81"/>
            <rFont val="Tahoma"/>
            <family val="2"/>
          </rPr>
          <t>Crisil GR&amp;RS:</t>
        </r>
        <r>
          <rPr>
            <sz val="9"/>
            <color indexed="81"/>
            <rFont val="Tahoma"/>
            <family val="2"/>
          </rPr>
          <t xml:space="preserve">
Source - Bloomberg</t>
        </r>
      </text>
    </comment>
    <comment ref="C264" authorId="1" shapeId="0" xr:uid="{1E363BF1-17E1-49C4-B879-255A865AF0AE}">
      <text>
        <r>
          <rPr>
            <b/>
            <sz val="9"/>
            <color indexed="81"/>
            <rFont val="Tahoma"/>
            <family val="2"/>
          </rPr>
          <t>CRISIL:</t>
        </r>
        <r>
          <rPr>
            <sz val="9"/>
            <color indexed="81"/>
            <rFont val="Tahoma"/>
            <family val="2"/>
          </rPr>
          <t xml:space="preserve">
Including restricted cash
</t>
        </r>
      </text>
    </comment>
    <comment ref="D267" authorId="2" shapeId="0" xr:uid="{3EE37E7D-CA3C-4A44-BB17-08ED857637F7}">
      <text>
        <r>
          <rPr>
            <b/>
            <sz val="9"/>
            <color indexed="81"/>
            <rFont val="Tahoma"/>
            <family val="2"/>
          </rPr>
          <t>Crisil GR&amp;RS:</t>
        </r>
        <r>
          <rPr>
            <sz val="9"/>
            <color indexed="81"/>
            <rFont val="Tahoma"/>
            <family val="2"/>
          </rPr>
          <t xml:space="preserve">
Source - Bloomberg</t>
        </r>
      </text>
    </comment>
    <comment ref="C295" authorId="1" shapeId="0" xr:uid="{0E94C44B-9222-468F-9A5A-E757994E7624}">
      <text>
        <r>
          <rPr>
            <b/>
            <sz val="9"/>
            <color indexed="81"/>
            <rFont val="Tahoma"/>
            <family val="2"/>
          </rPr>
          <t>CRISIL:</t>
        </r>
        <r>
          <rPr>
            <sz val="9"/>
            <color indexed="81"/>
            <rFont val="Tahoma"/>
            <family val="2"/>
          </rPr>
          <t xml:space="preserve">
Including restricted cash
</t>
        </r>
      </text>
    </comment>
    <comment ref="D298" authorId="2" shapeId="0" xr:uid="{2112D38D-F67C-4BDF-9B91-D944D5EFDF89}">
      <text>
        <r>
          <rPr>
            <b/>
            <sz val="9"/>
            <color indexed="81"/>
            <rFont val="Tahoma"/>
            <family val="2"/>
          </rPr>
          <t>Crisil GR&amp;RS:</t>
        </r>
        <r>
          <rPr>
            <sz val="9"/>
            <color indexed="81"/>
            <rFont val="Tahoma"/>
            <family val="2"/>
          </rPr>
          <t xml:space="preserve">
Source - Bloomberg</t>
        </r>
      </text>
    </comment>
    <comment ref="C326" authorId="1" shapeId="0" xr:uid="{94E7A1FD-49B8-4FFE-8BDE-26D7A528CE77}">
      <text>
        <r>
          <rPr>
            <b/>
            <sz val="9"/>
            <color indexed="81"/>
            <rFont val="Tahoma"/>
            <family val="2"/>
          </rPr>
          <t>CRISIL:</t>
        </r>
        <r>
          <rPr>
            <sz val="9"/>
            <color indexed="81"/>
            <rFont val="Tahoma"/>
            <family val="2"/>
          </rPr>
          <t xml:space="preserve">
Including restricted cash
</t>
        </r>
      </text>
    </comment>
    <comment ref="D329" authorId="2" shapeId="0" xr:uid="{94026DED-16EA-4D27-BBA6-2F8B247DFAE7}">
      <text>
        <r>
          <rPr>
            <b/>
            <sz val="9"/>
            <color indexed="81"/>
            <rFont val="Tahoma"/>
            <family val="2"/>
          </rPr>
          <t>Crisil GR&amp;RS:</t>
        </r>
        <r>
          <rPr>
            <sz val="9"/>
            <color indexed="81"/>
            <rFont val="Tahoma"/>
            <family val="2"/>
          </rPr>
          <t xml:space="preserve">
Source - Bloomberg</t>
        </r>
      </text>
    </comment>
    <comment ref="C357" authorId="1" shapeId="0" xr:uid="{31094B6A-56B0-46D0-981F-377A763192AB}">
      <text>
        <r>
          <rPr>
            <b/>
            <sz val="9"/>
            <color indexed="81"/>
            <rFont val="Tahoma"/>
            <family val="2"/>
          </rPr>
          <t>CRISIL:</t>
        </r>
        <r>
          <rPr>
            <sz val="9"/>
            <color indexed="81"/>
            <rFont val="Tahoma"/>
            <family val="2"/>
          </rPr>
          <t xml:space="preserve">
Including restricted cash
</t>
        </r>
      </text>
    </comment>
    <comment ref="D360" authorId="2" shapeId="0" xr:uid="{C1063020-943A-42F0-A877-9E535E41FBCE}">
      <text>
        <r>
          <rPr>
            <b/>
            <sz val="9"/>
            <color indexed="81"/>
            <rFont val="Tahoma"/>
            <family val="2"/>
          </rPr>
          <t>Crisil GR&amp;RS:</t>
        </r>
        <r>
          <rPr>
            <sz val="9"/>
            <color indexed="81"/>
            <rFont val="Tahoma"/>
            <family val="2"/>
          </rPr>
          <t xml:space="preserve">
Source - Bloomberg</t>
        </r>
      </text>
    </comment>
    <comment ref="D389" authorId="2" shapeId="0" xr:uid="{140A3984-C711-43E2-A031-78D4F4E76376}">
      <text>
        <r>
          <rPr>
            <b/>
            <sz val="9"/>
            <color indexed="81"/>
            <rFont val="Tahoma"/>
            <family val="2"/>
          </rPr>
          <t>Crisil GR&amp;RS:</t>
        </r>
        <r>
          <rPr>
            <sz val="9"/>
            <color indexed="81"/>
            <rFont val="Tahoma"/>
            <family val="2"/>
          </rPr>
          <t xml:space="preserve">
Source - Bloomberg</t>
        </r>
      </text>
    </comment>
    <comment ref="D418" authorId="2" shapeId="0" xr:uid="{CFEA8B63-C1E5-4340-9278-09D0E3DA281F}">
      <text>
        <r>
          <rPr>
            <b/>
            <sz val="9"/>
            <color indexed="81"/>
            <rFont val="Tahoma"/>
            <family val="2"/>
          </rPr>
          <t>Crisil GR&amp;RS:</t>
        </r>
        <r>
          <rPr>
            <sz val="9"/>
            <color indexed="81"/>
            <rFont val="Tahoma"/>
            <family val="2"/>
          </rPr>
          <t xml:space="preserve">
Source - Bloomberg</t>
        </r>
      </text>
    </comment>
    <comment ref="D445" authorId="2" shapeId="0" xr:uid="{39666389-B929-4F98-B293-9602BDA01482}">
      <text>
        <r>
          <rPr>
            <b/>
            <sz val="9"/>
            <color indexed="81"/>
            <rFont val="Tahoma"/>
            <family val="2"/>
          </rPr>
          <t>Crisil GR&amp;RS:</t>
        </r>
        <r>
          <rPr>
            <sz val="9"/>
            <color indexed="81"/>
            <rFont val="Tahoma"/>
            <family val="2"/>
          </rPr>
          <t xml:space="preserve">
Data Not Available</t>
        </r>
      </text>
    </comment>
    <comment ref="D472" authorId="2" shapeId="0" xr:uid="{2824418B-F459-473D-A4DB-BC71CC0E349E}">
      <text>
        <r>
          <rPr>
            <b/>
            <sz val="9"/>
            <color indexed="81"/>
            <rFont val="Tahoma"/>
            <family val="2"/>
          </rPr>
          <t>Crisil GR&amp;RS:</t>
        </r>
        <r>
          <rPr>
            <sz val="9"/>
            <color indexed="81"/>
            <rFont val="Tahoma"/>
            <family val="2"/>
          </rPr>
          <t xml:space="preserve">
Taken from Page 241/321 of AR</t>
        </r>
      </text>
    </comment>
    <comment ref="D505" authorId="3" shapeId="0" xr:uid="{5381505C-7648-4EC0-ACB1-0C1D87F2BC91}">
      <text>
        <r>
          <rPr>
            <b/>
            <sz val="9"/>
            <color indexed="81"/>
            <rFont val="Tahoma"/>
            <family val="2"/>
          </rPr>
          <t>CRISIL GR&amp;A:</t>
        </r>
        <r>
          <rPr>
            <sz val="9"/>
            <color indexed="81"/>
            <rFont val="Tahoma"/>
            <family val="2"/>
          </rPr>
          <t xml:space="preserve">
Due to Negative EBITDA</t>
        </r>
      </text>
    </comment>
    <comment ref="D508" authorId="3" shapeId="0" xr:uid="{5717143C-C3CF-4945-87E1-4AA84B99C811}">
      <text>
        <r>
          <rPr>
            <b/>
            <sz val="9"/>
            <color indexed="81"/>
            <rFont val="Tahoma"/>
            <family val="2"/>
          </rPr>
          <t>CRISIL GR&amp;A:</t>
        </r>
        <r>
          <rPr>
            <sz val="9"/>
            <color indexed="81"/>
            <rFont val="Tahoma"/>
            <family val="2"/>
          </rPr>
          <t xml:space="preserve">
Due to Net cash position and Negative EBITDA</t>
        </r>
      </text>
    </comment>
    <comment ref="D525" authorId="3" shapeId="0" xr:uid="{E30757D7-9D96-42C2-9D4B-B36B8D4398BF}">
      <text>
        <r>
          <rPr>
            <b/>
            <sz val="9"/>
            <color indexed="81"/>
            <rFont val="Tahoma"/>
            <family val="2"/>
          </rPr>
          <t>CRISIL GR&amp;A:</t>
        </r>
        <r>
          <rPr>
            <sz val="9"/>
            <color indexed="81"/>
            <rFont val="Tahoma"/>
            <family val="2"/>
          </rPr>
          <t xml:space="preserve">
Due to Negative EBITDA</t>
        </r>
      </text>
    </comment>
    <comment ref="D528" authorId="3" shapeId="0" xr:uid="{D5D894CD-5F63-4008-B93F-35FA9BC797F4}">
      <text>
        <r>
          <rPr>
            <b/>
            <sz val="9"/>
            <color indexed="81"/>
            <rFont val="Tahoma"/>
            <family val="2"/>
          </rPr>
          <t>CRISIL GR&amp;A:</t>
        </r>
        <r>
          <rPr>
            <sz val="9"/>
            <color indexed="81"/>
            <rFont val="Tahoma"/>
            <family val="2"/>
          </rPr>
          <t xml:space="preserve">
Due to Net cash position and Negative EBITDA</t>
        </r>
      </text>
    </comment>
    <comment ref="D545" authorId="3" shapeId="0" xr:uid="{CCA1128B-4E22-44DA-AFCD-6DF3FE385120}">
      <text>
        <r>
          <rPr>
            <b/>
            <sz val="9"/>
            <color indexed="81"/>
            <rFont val="Tahoma"/>
            <family val="2"/>
          </rPr>
          <t>CRISIL GR&amp;A:</t>
        </r>
        <r>
          <rPr>
            <sz val="9"/>
            <color indexed="81"/>
            <rFont val="Tahoma"/>
            <family val="2"/>
          </rPr>
          <t xml:space="preserve">
Due to Negative EBITDA</t>
        </r>
      </text>
    </comment>
    <comment ref="D548" authorId="3" shapeId="0" xr:uid="{D924B6C2-9386-425A-A637-E257F57C60E6}">
      <text>
        <r>
          <rPr>
            <b/>
            <sz val="9"/>
            <color indexed="81"/>
            <rFont val="Tahoma"/>
            <family val="2"/>
          </rPr>
          <t>CRISIL GR&amp;A:</t>
        </r>
        <r>
          <rPr>
            <sz val="9"/>
            <color indexed="81"/>
            <rFont val="Tahoma"/>
            <family val="2"/>
          </rPr>
          <t xml:space="preserve">
Due to Net cash position and Negative EBITDA</t>
        </r>
      </text>
    </comment>
    <comment ref="D564" authorId="3" shapeId="0" xr:uid="{00000000-0006-0000-0000-000001000000}">
      <text>
        <r>
          <rPr>
            <b/>
            <sz val="9"/>
            <color indexed="81"/>
            <rFont val="Tahoma"/>
            <family val="2"/>
          </rPr>
          <t>CRISIL GR&amp;A:</t>
        </r>
        <r>
          <rPr>
            <sz val="9"/>
            <color indexed="81"/>
            <rFont val="Tahoma"/>
            <family val="2"/>
          </rPr>
          <t xml:space="preserve">
Due to Negative EBITDA</t>
        </r>
      </text>
    </comment>
    <comment ref="D567" authorId="3" shapeId="0" xr:uid="{00000000-0006-0000-0000-000002000000}">
      <text>
        <r>
          <rPr>
            <b/>
            <sz val="9"/>
            <color indexed="81"/>
            <rFont val="Tahoma"/>
            <family val="2"/>
          </rPr>
          <t>CRISIL GR&amp;A:</t>
        </r>
        <r>
          <rPr>
            <sz val="9"/>
            <color indexed="81"/>
            <rFont val="Tahoma"/>
            <family val="2"/>
          </rPr>
          <t xml:space="preserve">
Due to Negative EBITDA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CRISIL</author>
    <author>GR&amp;RS</author>
    <author>CRISIL GR&amp;A</author>
    <author>Crisil Intergral IQ</author>
    <author>CRISL GR&amp;RS</author>
    <author>Priyanka N</author>
    <author>CRISIL GR&amp;RS</author>
  </authors>
  <commentList>
    <comment ref="I54" authorId="0" shapeId="0" xr:uid="{F032DEEB-7340-4F6D-A81F-BE0A4B759AEF}">
      <text>
        <r>
          <rPr>
            <b/>
            <sz val="9"/>
            <color indexed="81"/>
            <rFont val="Tahoma"/>
            <family val="2"/>
          </rPr>
          <t>CRISIL:</t>
        </r>
        <r>
          <rPr>
            <sz val="9"/>
            <color indexed="81"/>
            <rFont val="Tahoma"/>
            <family val="2"/>
          </rPr>
          <t xml:space="preserve">
Reported by company: Adjusted EBITDA represents profit/(loss) for the year/period adjusted for (i) fair value changes of
other financial investments at fair value through profit or loss, certain items in other gains/(losses),
net, finance income, finance costs, share of profits/(losses) of investments accounted for using
the equity method and income tax credits/(expenses); and (ii) certain non-cash or one-off items,
consisting of share-based compensation expenses, amortisation of intangible assets, depreciation of
property, plant and equipment, and certain impairment and expense reversal/(provision).</t>
        </r>
      </text>
    </comment>
    <comment ref="J54" authorId="0" shapeId="0" xr:uid="{8CA10E13-0DDF-4090-AD10-DE8DD9585FA7}">
      <text>
        <r>
          <rPr>
            <b/>
            <sz val="9"/>
            <color indexed="81"/>
            <rFont val="Tahoma"/>
            <family val="2"/>
          </rPr>
          <t>CRISIL:</t>
        </r>
        <r>
          <rPr>
            <sz val="9"/>
            <color indexed="81"/>
            <rFont val="Tahoma"/>
            <family val="2"/>
          </rPr>
          <t xml:space="preserve">
Reported by company: Adjusted EBITDA represents profit/(loss) for the year/period adjusted for (i) fair value changes of
other financial investments at fair value through profit or loss, certain items in other gains/(losses),
net, finance income, finance costs, share of profits/(losses) of investments accounted for using
the equity method and income tax credits/(expenses); and (ii) certain non-cash or one-off items,
consisting of share-based compensation expenses, amortisation of intangible assets, depreciation of
property, plant and equipment, and certain impairment and expense reversal/(provision).</t>
        </r>
      </text>
    </comment>
    <comment ref="AC61" authorId="1" shapeId="0" xr:uid="{8F796AA8-7DED-439E-8D8C-FA65AC520A60}">
      <text>
        <r>
          <rPr>
            <b/>
            <sz val="9"/>
            <color indexed="81"/>
            <rFont val="Tahoma"/>
            <family val="2"/>
          </rPr>
          <t>GR&amp;RS:</t>
        </r>
        <r>
          <rPr>
            <sz val="9"/>
            <color indexed="81"/>
            <rFont val="Tahoma"/>
            <family val="2"/>
          </rPr>
          <t xml:space="preserve">
Data Not Available</t>
        </r>
      </text>
    </comment>
    <comment ref="AG61" authorId="1" shapeId="0" xr:uid="{B718F797-31A8-4DEE-95C7-58DFD822C60D}">
      <text>
        <r>
          <rPr>
            <b/>
            <sz val="9"/>
            <color indexed="81"/>
            <rFont val="Tahoma"/>
            <family val="2"/>
          </rPr>
          <t>GR&amp;RS:</t>
        </r>
        <r>
          <rPr>
            <sz val="9"/>
            <color indexed="81"/>
            <rFont val="Tahoma"/>
            <family val="2"/>
          </rPr>
          <t xml:space="preserve">
Data Not Available</t>
        </r>
      </text>
    </comment>
    <comment ref="AI61" authorId="1" shapeId="0" xr:uid="{C7FA89B2-AC0A-4DF6-A746-8CCE666D1F22}">
      <text>
        <r>
          <rPr>
            <b/>
            <sz val="9"/>
            <color indexed="81"/>
            <rFont val="Tahoma"/>
            <family val="2"/>
          </rPr>
          <t>GR&amp;RS:</t>
        </r>
        <r>
          <rPr>
            <sz val="9"/>
            <color indexed="81"/>
            <rFont val="Tahoma"/>
            <family val="2"/>
          </rPr>
          <t xml:space="preserve">
Data Not Available</t>
        </r>
      </text>
    </comment>
    <comment ref="AK61" authorId="1" shapeId="0" xr:uid="{9C04E063-A996-4C78-88B7-8A0EA09A9339}">
      <text>
        <r>
          <rPr>
            <b/>
            <sz val="9"/>
            <color indexed="81"/>
            <rFont val="Tahoma"/>
            <family val="2"/>
          </rPr>
          <t>GR&amp;RS:</t>
        </r>
        <r>
          <rPr>
            <sz val="9"/>
            <color indexed="81"/>
            <rFont val="Tahoma"/>
            <family val="2"/>
          </rPr>
          <t xml:space="preserve">
Data Not Available</t>
        </r>
      </text>
    </comment>
    <comment ref="AL61" authorId="1" shapeId="0" xr:uid="{B4C03D33-7657-4D19-B25C-8CB7CC9FD01F}">
      <text>
        <r>
          <rPr>
            <b/>
            <sz val="9"/>
            <color indexed="81"/>
            <rFont val="Tahoma"/>
            <family val="2"/>
          </rPr>
          <t>GR&amp;RS:</t>
        </r>
        <r>
          <rPr>
            <sz val="9"/>
            <color indexed="81"/>
            <rFont val="Tahoma"/>
            <family val="2"/>
          </rPr>
          <t xml:space="preserve">
Data Not Available</t>
        </r>
      </text>
    </comment>
    <comment ref="AM61" authorId="1" shapeId="0" xr:uid="{CCFA2E7D-13EF-433E-B42B-923168C0C166}">
      <text>
        <r>
          <rPr>
            <b/>
            <sz val="9"/>
            <color indexed="81"/>
            <rFont val="Tahoma"/>
            <family val="2"/>
          </rPr>
          <t>GR&amp;RS:</t>
        </r>
        <r>
          <rPr>
            <sz val="9"/>
            <color indexed="81"/>
            <rFont val="Tahoma"/>
            <family val="2"/>
          </rPr>
          <t xml:space="preserve">
Data Not Available</t>
        </r>
      </text>
    </comment>
    <comment ref="AO61" authorId="1" shapeId="0" xr:uid="{C92F34FD-7E11-4328-81C5-7DE30606A005}">
      <text>
        <r>
          <rPr>
            <b/>
            <sz val="9"/>
            <color indexed="81"/>
            <rFont val="Tahoma"/>
            <family val="2"/>
          </rPr>
          <t>GR&amp;RS:</t>
        </r>
        <r>
          <rPr>
            <sz val="9"/>
            <color indexed="81"/>
            <rFont val="Tahoma"/>
            <family val="2"/>
          </rPr>
          <t xml:space="preserve">
Data Not Available</t>
        </r>
      </text>
    </comment>
    <comment ref="I62" authorId="0" shapeId="0" xr:uid="{C0C48DC2-3827-4F38-BAC2-6801F9D06585}">
      <text>
        <r>
          <rPr>
            <b/>
            <sz val="9"/>
            <color indexed="81"/>
            <rFont val="Tahoma"/>
            <family val="2"/>
          </rPr>
          <t>CRISIL:</t>
        </r>
        <r>
          <rPr>
            <sz val="9"/>
            <color indexed="81"/>
            <rFont val="Tahoma"/>
            <family val="2"/>
          </rPr>
          <t xml:space="preserve">
to be updated once Annual report is released</t>
        </r>
      </text>
    </comment>
    <comment ref="J62" authorId="0" shapeId="0" xr:uid="{81F74836-C604-4D80-9D97-ACE2D57D737E}">
      <text>
        <r>
          <rPr>
            <b/>
            <sz val="9"/>
            <color indexed="81"/>
            <rFont val="Tahoma"/>
            <family val="2"/>
          </rPr>
          <t>CRISIL:</t>
        </r>
        <r>
          <rPr>
            <sz val="9"/>
            <color indexed="81"/>
            <rFont val="Tahoma"/>
            <family val="2"/>
          </rPr>
          <t xml:space="preserve">
to be updated once Annual report is released</t>
        </r>
      </text>
    </comment>
    <comment ref="K62" authorId="1" shapeId="0" xr:uid="{68253228-24A2-4BB9-8F5E-35B6ED2C8916}">
      <text>
        <r>
          <rPr>
            <b/>
            <sz val="9"/>
            <color indexed="81"/>
            <rFont val="Tahoma"/>
            <family val="2"/>
          </rPr>
          <t>GR&amp;RS:</t>
        </r>
        <r>
          <rPr>
            <sz val="9"/>
            <color indexed="81"/>
            <rFont val="Tahoma"/>
            <family val="2"/>
          </rPr>
          <t xml:space="preserve">
Data Not Available</t>
        </r>
      </text>
    </comment>
    <comment ref="B63" authorId="0" shapeId="0" xr:uid="{3CF0E688-E0E7-47DA-B888-39B335227C99}">
      <text>
        <r>
          <rPr>
            <b/>
            <sz val="9"/>
            <color indexed="81"/>
            <rFont val="Tahoma"/>
            <family val="2"/>
          </rPr>
          <t>CRISIL:</t>
        </r>
        <r>
          <rPr>
            <sz val="9"/>
            <color indexed="81"/>
            <rFont val="Tahoma"/>
            <family val="2"/>
          </rPr>
          <t xml:space="preserve">
Includes:
1. inventories
2. trade receivables
3. trade payables
4. payables to merchants</t>
        </r>
      </text>
    </comment>
    <comment ref="G63" authorId="0" shapeId="0" xr:uid="{A680F4F6-93EE-4CDD-B055-6323A9274496}">
      <text>
        <r>
          <rPr>
            <b/>
            <sz val="9"/>
            <color indexed="81"/>
            <rFont val="Tahoma"/>
            <family val="2"/>
          </rPr>
          <t>CRISIL:</t>
        </r>
        <r>
          <rPr>
            <sz val="9"/>
            <color indexed="81"/>
            <rFont val="Tahoma"/>
            <family val="2"/>
          </rPr>
          <t xml:space="preserve">
includes (as reported by company):
* Increase in restricted cash
* Increase in trade receivables
* Increase in prepayments, deposits and other assets
* Increase in inventories
* Increase in trade payables
* Increase in payables to merchants
* Increase in advances from transacting users
* Increase in deferred revenues
* Increase in other payables and accruals
* Increase/(decrease) in other non-current liabilities</t>
        </r>
      </text>
    </comment>
    <comment ref="H63" authorId="0" shapeId="0" xr:uid="{E0D70DD0-9C43-4FE7-91AB-B16D6F8F27B2}">
      <text>
        <r>
          <rPr>
            <b/>
            <sz val="9"/>
            <color indexed="81"/>
            <rFont val="Tahoma"/>
            <family val="2"/>
          </rPr>
          <t>CRISIL:</t>
        </r>
        <r>
          <rPr>
            <sz val="9"/>
            <color indexed="81"/>
            <rFont val="Tahoma"/>
            <family val="2"/>
          </rPr>
          <t xml:space="preserve">
includes (as reported by company):
* Increase in restricted cash
* Increase in trade receivables
* Increase in prepayments, deposits and other assets
* Increase in inventories
* Increase in trade payables
* Increase in payables to merchants
* Increase in advances from transacting users
* Increase in deferred revenues
* Increase in other payables and accruals
* Increase/(decrease) in other non-current liabilities</t>
        </r>
      </text>
    </comment>
    <comment ref="I63" authorId="0" shapeId="0" xr:uid="{96D0E425-DB12-461B-828B-0DC7E4B8B462}">
      <text>
        <r>
          <rPr>
            <b/>
            <sz val="9"/>
            <color indexed="81"/>
            <rFont val="Tahoma"/>
            <family val="2"/>
          </rPr>
          <t>CRISIL:</t>
        </r>
        <r>
          <rPr>
            <sz val="9"/>
            <color indexed="81"/>
            <rFont val="Tahoma"/>
            <family val="2"/>
          </rPr>
          <t xml:space="preserve">
includes (as reported by company):
* Increase in restricted cash
* Increase in trade receivables
* Increase in prepayments, deposits and other assets
* Increase in inventories
* Increase in trade payables
* Increase in payables to merchants
* Increase in advances from transacting users
* Increase in deferred revenues
* Increase in other payables and accruals
* Increase/(decrease) in other non-current liabilities</t>
        </r>
      </text>
    </comment>
    <comment ref="J63" authorId="0" shapeId="0" xr:uid="{7B076853-5D48-4B88-B50B-7E09636EA1CF}">
      <text>
        <r>
          <rPr>
            <b/>
            <sz val="9"/>
            <color indexed="81"/>
            <rFont val="Tahoma"/>
            <family val="2"/>
          </rPr>
          <t>CRISIL:</t>
        </r>
        <r>
          <rPr>
            <sz val="9"/>
            <color indexed="81"/>
            <rFont val="Tahoma"/>
            <family val="2"/>
          </rPr>
          <t xml:space="preserve">
includes (as reported by company):
* Increase in restricted cash
* Increase in trade receivables
* Increase in prepayments, deposits and other assets
* Increase in inventories
* Increase in trade payables
* Increase in payables to merchants
* Increase in advances from transacting users
* Increase in deferred revenues
* Increase in other payables and accruals
* Increase/(decrease) in other non-current liabilities</t>
        </r>
      </text>
    </comment>
    <comment ref="E67" authorId="2" shapeId="0" xr:uid="{00000000-0006-0000-0100-000001000000}">
      <text>
        <r>
          <rPr>
            <b/>
            <sz val="9"/>
            <color indexed="81"/>
            <rFont val="Tahoma"/>
            <family val="2"/>
          </rPr>
          <t>CRISIL GR&amp;A:</t>
        </r>
        <r>
          <rPr>
            <sz val="9"/>
            <color indexed="81"/>
            <rFont val="Tahoma"/>
            <family val="2"/>
          </rPr>
          <t xml:space="preserve">
includes transactions related to land use rights</t>
        </r>
      </text>
    </comment>
    <comment ref="I71" authorId="0" shapeId="0" xr:uid="{8C60ED1C-4943-407E-AFFD-5E22CA8D5947}">
      <text>
        <r>
          <rPr>
            <b/>
            <sz val="9"/>
            <color indexed="81"/>
            <rFont val="Tahoma"/>
            <family val="2"/>
          </rPr>
          <t>CRISIL:</t>
        </r>
        <r>
          <rPr>
            <sz val="9"/>
            <color indexed="81"/>
            <rFont val="Tahoma"/>
            <family val="2"/>
          </rPr>
          <t xml:space="preserve">
Majolry includes 
1. Purchases of treasury investments and others, 
2. Sales or maturities of treasury investments and others
3. Purchases and prepayments of other financial investments at fair value
4. Gains received from treasury investments and other financial instruments</t>
        </r>
      </text>
    </comment>
    <comment ref="J71" authorId="0" shapeId="0" xr:uid="{9C24DF34-777E-457B-92A3-7ED37B295FD8}">
      <text>
        <r>
          <rPr>
            <b/>
            <sz val="9"/>
            <color indexed="81"/>
            <rFont val="Tahoma"/>
            <family val="2"/>
          </rPr>
          <t>CRISIL:</t>
        </r>
        <r>
          <rPr>
            <sz val="9"/>
            <color indexed="81"/>
            <rFont val="Tahoma"/>
            <family val="2"/>
          </rPr>
          <t xml:space="preserve">
FY includes:
* Purchases of treasury investments and others: (84,812.835)  
* Sales or maturities of treasury investments and others: 127,476.188
* Gains received from treasury investments and other financial instruments: 3,143.852 
* Proceeds from disposals of investments in associates and others: 956.884
* Purchases or prepayments of other financial investments at fair value: (4,011.142)
* Dividends received: 164.484
* Payments for loans to investees or others: (230.000)
* Loans repayments from investees or others: 10.839</t>
        </r>
      </text>
    </comment>
    <comment ref="AH72" authorId="3" shapeId="0" xr:uid="{8E9401F8-E416-4D18-95D1-D95E1842B1E7}">
      <text>
        <r>
          <rPr>
            <b/>
            <sz val="9"/>
            <color indexed="81"/>
            <rFont val="Tahoma"/>
            <family val="2"/>
          </rPr>
          <t>Crisil Intergral IQ:</t>
        </r>
        <r>
          <rPr>
            <sz val="9"/>
            <color indexed="81"/>
            <rFont val="Tahoma"/>
            <family val="2"/>
          </rPr>
          <t xml:space="preserve">
includes Repurchase and cancellation of ordinary shares</t>
        </r>
      </text>
    </comment>
    <comment ref="C77" authorId="4" shapeId="0" xr:uid="{EEFA6F08-06FB-4549-8EB9-41ABC130419F}">
      <text>
        <r>
          <rPr>
            <b/>
            <sz val="9"/>
            <color indexed="81"/>
            <rFont val="Tahoma"/>
            <family val="2"/>
          </rPr>
          <t>CRISL GR&amp;RS:</t>
        </r>
        <r>
          <rPr>
            <sz val="9"/>
            <color indexed="81"/>
            <rFont val="Tahoma"/>
            <family val="2"/>
          </rPr>
          <t xml:space="preserve">
Difference due to the difference in adjusted EBITDA and reported operating profit before WC changes</t>
        </r>
      </text>
    </comment>
    <comment ref="D77" authorId="4" shapeId="0" xr:uid="{0F43BE07-2284-489E-8858-CC0289572348}">
      <text>
        <r>
          <rPr>
            <b/>
            <sz val="9"/>
            <color indexed="81"/>
            <rFont val="Tahoma"/>
            <family val="2"/>
          </rPr>
          <t>CRISL GR&amp;RS:</t>
        </r>
        <r>
          <rPr>
            <sz val="9"/>
            <color indexed="81"/>
            <rFont val="Tahoma"/>
            <family val="2"/>
          </rPr>
          <t xml:space="preserve">
Difference due to the difference in adjusted EBITDA and reported operating profit before WC changes</t>
        </r>
      </text>
    </comment>
    <comment ref="I77" authorId="0" shapeId="0" xr:uid="{3FACAED7-C026-4C48-812B-97A0AE70142B}">
      <text>
        <r>
          <rPr>
            <b/>
            <sz val="9"/>
            <color indexed="81"/>
            <rFont val="Tahoma"/>
            <family val="2"/>
          </rPr>
          <t>CRISIL:</t>
        </r>
        <r>
          <rPr>
            <sz val="9"/>
            <color indexed="81"/>
            <rFont val="Tahoma"/>
            <family val="2"/>
          </rPr>
          <t xml:space="preserve">
Diffrence is due to consideration of EBITDA while company used PBT</t>
        </r>
      </text>
    </comment>
    <comment ref="J77" authorId="0" shapeId="0" xr:uid="{513B5AEB-A205-4EFC-BB02-CD92EC784C76}">
      <text>
        <r>
          <rPr>
            <b/>
            <sz val="9"/>
            <color indexed="81"/>
            <rFont val="Tahoma"/>
            <family val="2"/>
          </rPr>
          <t>CRISIL:</t>
        </r>
        <r>
          <rPr>
            <sz val="9"/>
            <color indexed="81"/>
            <rFont val="Tahoma"/>
            <family val="2"/>
          </rPr>
          <t xml:space="preserve">
It is due to use of EBITDA instead of EBIT to calculate CFO and other adjustments apart from working capital, majorly:
* Net provisions for impairment losses on financial and contract assets: 872.035
* Share-based compensation expenses: 6,001.867
* Net losses arising from disposals or deemed disposals of subsidiaries and investees: 150.433
* Fair value changes of other financial investments at fair value through profit or loss: (2,393.393)
* Fair value changes and interest income related to treasury investments and others: (1,935.965)
* Foreign exchange (gains)/losses, net: (1,760.809)
* Net gains on sales of non-current assets: (180.018)</t>
        </r>
      </text>
    </comment>
    <comment ref="C80" authorId="2" shapeId="0" xr:uid="{00000000-0006-0000-0100-000002000000}">
      <text>
        <r>
          <rPr>
            <b/>
            <sz val="9"/>
            <color indexed="81"/>
            <rFont val="Tahoma"/>
            <family val="2"/>
          </rPr>
          <t>CRISIL GR&amp;A:</t>
        </r>
        <r>
          <rPr>
            <sz val="9"/>
            <color indexed="81"/>
            <rFont val="Tahoma"/>
            <family val="2"/>
          </rPr>
          <t xml:space="preserve">
adjusted for Cash and cash equivalents reclassified from the assets classified as held for sale</t>
        </r>
      </text>
    </comment>
    <comment ref="D80" authorId="2" shapeId="0" xr:uid="{00000000-0006-0000-0100-000003000000}">
      <text>
        <r>
          <rPr>
            <b/>
            <sz val="9"/>
            <color indexed="81"/>
            <rFont val="Tahoma"/>
            <family val="2"/>
          </rPr>
          <t>CRISIL GR&amp;A:</t>
        </r>
        <r>
          <rPr>
            <sz val="9"/>
            <color indexed="81"/>
            <rFont val="Tahoma"/>
            <family val="2"/>
          </rPr>
          <t xml:space="preserve">
adjusted for Cash and cash equivalents reclassified from the assets classified as held for sale</t>
        </r>
      </text>
    </comment>
    <comment ref="N80" authorId="2" shapeId="0" xr:uid="{00000000-0006-0000-0100-000004000000}">
      <text>
        <r>
          <rPr>
            <b/>
            <sz val="9"/>
            <color indexed="81"/>
            <rFont val="Tahoma"/>
            <family val="2"/>
          </rPr>
          <t>CRISIL GR&amp;A:</t>
        </r>
        <r>
          <rPr>
            <sz val="9"/>
            <color indexed="81"/>
            <rFont val="Tahoma"/>
            <family val="2"/>
          </rPr>
          <t xml:space="preserve">
adjusted for Cash and cash equivalents reclassified from the assets classified as held for sale</t>
        </r>
      </text>
    </comment>
    <comment ref="P80" authorId="2" shapeId="0" xr:uid="{00000000-0006-0000-0100-000005000000}">
      <text>
        <r>
          <rPr>
            <b/>
            <sz val="9"/>
            <color indexed="81"/>
            <rFont val="Tahoma"/>
            <family val="2"/>
          </rPr>
          <t>CRISIL GR&amp;A:</t>
        </r>
        <r>
          <rPr>
            <sz val="9"/>
            <color indexed="81"/>
            <rFont val="Tahoma"/>
            <family val="2"/>
          </rPr>
          <t xml:space="preserve">
adjusted for Cash and cash equivalents reclassified from the assets classified as held for sale</t>
        </r>
      </text>
    </comment>
    <comment ref="B100" authorId="0" shapeId="0" xr:uid="{A861E9C9-C144-471D-8645-EAFDF83824C8}">
      <text>
        <r>
          <rPr>
            <b/>
            <sz val="9"/>
            <color indexed="81"/>
            <rFont val="Tahoma"/>
            <family val="2"/>
          </rPr>
          <t>CRISIL:</t>
        </r>
        <r>
          <rPr>
            <sz val="9"/>
            <color indexed="81"/>
            <rFont val="Tahoma"/>
            <family val="2"/>
          </rPr>
          <t xml:space="preserve">
Includes:
* Trade payables
* Payables to merchants</t>
        </r>
      </text>
    </comment>
    <comment ref="E100" authorId="5" shapeId="0" xr:uid="{00000000-0006-0000-0100-000006000000}">
      <text>
        <r>
          <rPr>
            <b/>
            <sz val="9"/>
            <color indexed="81"/>
            <rFont val="Tahoma"/>
            <family val="2"/>
          </rPr>
          <t>CRISIL:</t>
        </r>
        <r>
          <rPr>
            <sz val="9"/>
            <color indexed="81"/>
            <rFont val="Tahoma"/>
            <family val="2"/>
          </rPr>
          <t xml:space="preserve">
Includes Payables to merchants</t>
        </r>
      </text>
    </comment>
    <comment ref="F100" authorId="5" shapeId="0" xr:uid="{0E656148-17F6-49A7-ABA7-515F458C6FDB}">
      <text>
        <r>
          <rPr>
            <b/>
            <sz val="9"/>
            <color indexed="81"/>
            <rFont val="Tahoma"/>
            <family val="2"/>
          </rPr>
          <t>CRISIL:</t>
        </r>
        <r>
          <rPr>
            <sz val="9"/>
            <color indexed="81"/>
            <rFont val="Tahoma"/>
            <family val="2"/>
          </rPr>
          <t xml:space="preserve">
Includes Payables to merchants</t>
        </r>
      </text>
    </comment>
    <comment ref="G100" authorId="5" shapeId="0" xr:uid="{3EBEC964-8DA1-44E4-BFD4-6BC26B461583}">
      <text>
        <r>
          <rPr>
            <b/>
            <sz val="9"/>
            <color indexed="81"/>
            <rFont val="Tahoma"/>
            <family val="2"/>
          </rPr>
          <t>CRISIL:</t>
        </r>
        <r>
          <rPr>
            <sz val="9"/>
            <color indexed="81"/>
            <rFont val="Tahoma"/>
            <family val="2"/>
          </rPr>
          <t xml:space="preserve">
Includes Payables to merchants</t>
        </r>
      </text>
    </comment>
    <comment ref="H100" authorId="5" shapeId="0" xr:uid="{AAAD2828-31F2-4FB2-834C-2EDD5B8E6500}">
      <text>
        <r>
          <rPr>
            <b/>
            <sz val="9"/>
            <color indexed="81"/>
            <rFont val="Tahoma"/>
            <family val="2"/>
          </rPr>
          <t>CRISIL:</t>
        </r>
        <r>
          <rPr>
            <sz val="9"/>
            <color indexed="81"/>
            <rFont val="Tahoma"/>
            <family val="2"/>
          </rPr>
          <t xml:space="preserve">
Includes Payables to merchants</t>
        </r>
      </text>
    </comment>
    <comment ref="I100" authorId="5" shapeId="0" xr:uid="{8B95E071-7347-492F-8562-B31D135C14B7}">
      <text>
        <r>
          <rPr>
            <b/>
            <sz val="9"/>
            <color indexed="81"/>
            <rFont val="Tahoma"/>
            <family val="2"/>
          </rPr>
          <t>CRISIL:</t>
        </r>
        <r>
          <rPr>
            <sz val="9"/>
            <color indexed="81"/>
            <rFont val="Tahoma"/>
            <family val="2"/>
          </rPr>
          <t xml:space="preserve">
Includes Payables to merchants</t>
        </r>
      </text>
    </comment>
    <comment ref="J100" authorId="5" shapeId="0" xr:uid="{486EAB9D-AD67-44A2-8164-DAB2FF1DE891}">
      <text>
        <r>
          <rPr>
            <b/>
            <sz val="9"/>
            <color indexed="81"/>
            <rFont val="Tahoma"/>
            <family val="2"/>
          </rPr>
          <t>CRISIL:</t>
        </r>
        <r>
          <rPr>
            <sz val="9"/>
            <color indexed="81"/>
            <rFont val="Tahoma"/>
            <family val="2"/>
          </rPr>
          <t xml:space="preserve">
Includes Payables to merchants</t>
        </r>
      </text>
    </comment>
    <comment ref="Z100" authorId="5" shapeId="0" xr:uid="{E3199E4E-A10F-4C56-8314-1F6B24E74907}">
      <text>
        <r>
          <rPr>
            <b/>
            <sz val="9"/>
            <color indexed="81"/>
            <rFont val="Tahoma"/>
            <family val="2"/>
          </rPr>
          <t>CRISIL:</t>
        </r>
        <r>
          <rPr>
            <sz val="9"/>
            <color indexed="81"/>
            <rFont val="Tahoma"/>
            <family val="2"/>
          </rPr>
          <t xml:space="preserve">
Includes Payables to merchants</t>
        </r>
      </text>
    </comment>
    <comment ref="AD100" authorId="5" shapeId="0" xr:uid="{3409CAE7-ABD2-4493-8A26-F82FE1935F04}">
      <text>
        <r>
          <rPr>
            <b/>
            <sz val="9"/>
            <color indexed="81"/>
            <rFont val="Tahoma"/>
            <family val="2"/>
          </rPr>
          <t>CRISIL:</t>
        </r>
        <r>
          <rPr>
            <sz val="9"/>
            <color indexed="81"/>
            <rFont val="Tahoma"/>
            <family val="2"/>
          </rPr>
          <t xml:space="preserve">
Includes Payables to merchants</t>
        </r>
      </text>
    </comment>
    <comment ref="AE100" authorId="5" shapeId="0" xr:uid="{90DF26F0-344E-473B-A2E7-29EF7DA9DE63}">
      <text>
        <r>
          <rPr>
            <b/>
            <sz val="9"/>
            <color indexed="81"/>
            <rFont val="Tahoma"/>
            <family val="2"/>
          </rPr>
          <t>CRISIL:</t>
        </r>
        <r>
          <rPr>
            <sz val="9"/>
            <color indexed="81"/>
            <rFont val="Tahoma"/>
            <family val="2"/>
          </rPr>
          <t xml:space="preserve">
Includes Payables to merchants</t>
        </r>
      </text>
    </comment>
    <comment ref="AG100" authorId="5" shapeId="0" xr:uid="{B2F65908-D47E-4130-85C0-3F1BE2A3D7C3}">
      <text>
        <r>
          <rPr>
            <b/>
            <sz val="9"/>
            <color indexed="81"/>
            <rFont val="Tahoma"/>
            <family val="2"/>
          </rPr>
          <t>CRISIL:</t>
        </r>
        <r>
          <rPr>
            <sz val="9"/>
            <color indexed="81"/>
            <rFont val="Tahoma"/>
            <family val="2"/>
          </rPr>
          <t xml:space="preserve">
Includes Payables to merchants</t>
        </r>
      </text>
    </comment>
    <comment ref="AH100" authorId="5" shapeId="0" xr:uid="{31F2B928-9E64-4093-85BB-C814363A35FC}">
      <text>
        <r>
          <rPr>
            <b/>
            <sz val="9"/>
            <color indexed="81"/>
            <rFont val="Tahoma"/>
            <family val="2"/>
          </rPr>
          <t>CRISIL:</t>
        </r>
        <r>
          <rPr>
            <sz val="9"/>
            <color indexed="81"/>
            <rFont val="Tahoma"/>
            <family val="2"/>
          </rPr>
          <t xml:space="preserve">
Includes Payables to merchants</t>
        </r>
      </text>
    </comment>
    <comment ref="AI100" authorId="5" shapeId="0" xr:uid="{97CBB111-2555-4D0C-957B-A177D60E7B7B}">
      <text>
        <r>
          <rPr>
            <b/>
            <sz val="9"/>
            <color indexed="81"/>
            <rFont val="Tahoma"/>
            <family val="2"/>
          </rPr>
          <t>CRISIL:</t>
        </r>
        <r>
          <rPr>
            <sz val="9"/>
            <color indexed="81"/>
            <rFont val="Tahoma"/>
            <family val="2"/>
          </rPr>
          <t xml:space="preserve">
Includes Payables to merchants</t>
        </r>
      </text>
    </comment>
    <comment ref="AK100" authorId="5" shapeId="0" xr:uid="{313888E7-BEB2-4F1F-8E97-B72DA7B1EA0A}">
      <text>
        <r>
          <rPr>
            <b/>
            <sz val="9"/>
            <color indexed="81"/>
            <rFont val="Tahoma"/>
            <family val="2"/>
          </rPr>
          <t>CRISIL:</t>
        </r>
        <r>
          <rPr>
            <sz val="9"/>
            <color indexed="81"/>
            <rFont val="Tahoma"/>
            <family val="2"/>
          </rPr>
          <t xml:space="preserve">
Includes Payables to merchants</t>
        </r>
      </text>
    </comment>
    <comment ref="AL100" authorId="5" shapeId="0" xr:uid="{791CFFCB-50BC-40C3-8F4B-333D4B180E65}">
      <text>
        <r>
          <rPr>
            <b/>
            <sz val="9"/>
            <color indexed="81"/>
            <rFont val="Tahoma"/>
            <family val="2"/>
          </rPr>
          <t>CRISIL:</t>
        </r>
        <r>
          <rPr>
            <sz val="9"/>
            <color indexed="81"/>
            <rFont val="Tahoma"/>
            <family val="2"/>
          </rPr>
          <t xml:space="preserve">
Includes Payables to merchants</t>
        </r>
      </text>
    </comment>
    <comment ref="AO100" authorId="5" shapeId="0" xr:uid="{1F270615-2EA2-4F2B-A5A5-37880D6277E4}">
      <text>
        <r>
          <rPr>
            <b/>
            <sz val="9"/>
            <color indexed="81"/>
            <rFont val="Tahoma"/>
            <family val="2"/>
          </rPr>
          <t>CRISIL:</t>
        </r>
        <r>
          <rPr>
            <sz val="9"/>
            <color indexed="81"/>
            <rFont val="Tahoma"/>
            <family val="2"/>
          </rPr>
          <t xml:space="preserve">
Includes Payables to merchants</t>
        </r>
      </text>
    </comment>
    <comment ref="E109" authorId="2" shapeId="0" xr:uid="{00000000-0006-0000-0100-000007000000}">
      <text>
        <r>
          <rPr>
            <b/>
            <sz val="9"/>
            <color indexed="81"/>
            <rFont val="Tahoma"/>
            <family val="2"/>
          </rPr>
          <t>CRISIL GR&amp;A:</t>
        </r>
        <r>
          <rPr>
            <sz val="9"/>
            <color indexed="81"/>
            <rFont val="Tahoma"/>
            <family val="2"/>
          </rPr>
          <t xml:space="preserve">
includes undue interests accrued for notes payable</t>
        </r>
      </text>
    </comment>
    <comment ref="F109" authorId="2" shapeId="0" xr:uid="{730C0F4F-53F4-4E6B-B3DB-8E9CF0BBA467}">
      <text>
        <r>
          <rPr>
            <b/>
            <sz val="9"/>
            <color indexed="81"/>
            <rFont val="Tahoma"/>
            <family val="2"/>
          </rPr>
          <t>CRISIL GR&amp;A:</t>
        </r>
        <r>
          <rPr>
            <sz val="9"/>
            <color indexed="81"/>
            <rFont val="Tahoma"/>
            <family val="2"/>
          </rPr>
          <t xml:space="preserve">
includes undue interests accrued for notes payable</t>
        </r>
      </text>
    </comment>
    <comment ref="I109" authorId="0" shapeId="0" xr:uid="{B27AF867-B7E4-47A1-9FA1-BE55043CB39C}">
      <text>
        <r>
          <rPr>
            <b/>
            <sz val="9"/>
            <color indexed="81"/>
            <rFont val="Tahoma"/>
            <family val="2"/>
          </rPr>
          <t>CRISIL:</t>
        </r>
        <r>
          <rPr>
            <sz val="9"/>
            <color indexed="81"/>
            <rFont val="Tahoma"/>
            <family val="2"/>
          </rPr>
          <t xml:space="preserve">
Includes notes payable</t>
        </r>
      </text>
    </comment>
    <comment ref="J109" authorId="0" shapeId="0" xr:uid="{43BF1ADF-7A30-444E-B532-F35CCFB0C704}">
      <text>
        <r>
          <rPr>
            <b/>
            <sz val="9"/>
            <color indexed="81"/>
            <rFont val="Tahoma"/>
            <family val="2"/>
          </rPr>
          <t>CRISIL:</t>
        </r>
        <r>
          <rPr>
            <sz val="9"/>
            <color indexed="81"/>
            <rFont val="Tahoma"/>
            <family val="2"/>
          </rPr>
          <t xml:space="preserve">
Includes notes payable</t>
        </r>
      </text>
    </comment>
    <comment ref="AK109" authorId="0" shapeId="0" xr:uid="{B9B60B99-86B4-425F-8864-862D1C745D42}">
      <text>
        <r>
          <rPr>
            <b/>
            <sz val="9"/>
            <color indexed="81"/>
            <rFont val="Tahoma"/>
            <family val="2"/>
          </rPr>
          <t>CRISIL:</t>
        </r>
        <r>
          <rPr>
            <sz val="9"/>
            <color indexed="81"/>
            <rFont val="Tahoma"/>
            <family val="2"/>
          </rPr>
          <t xml:space="preserve">
Includes notes payable</t>
        </r>
      </text>
    </comment>
    <comment ref="AL109" authorId="0" shapeId="0" xr:uid="{39912D66-9D08-4FD2-87CD-FEDCBCB904D2}">
      <text>
        <r>
          <rPr>
            <b/>
            <sz val="9"/>
            <color indexed="81"/>
            <rFont val="Tahoma"/>
            <family val="2"/>
          </rPr>
          <t>CRISIL:</t>
        </r>
        <r>
          <rPr>
            <sz val="9"/>
            <color indexed="81"/>
            <rFont val="Tahoma"/>
            <family val="2"/>
          </rPr>
          <t xml:space="preserve">
Includes notes payable</t>
        </r>
      </text>
    </comment>
    <comment ref="AM109" authorId="0" shapeId="0" xr:uid="{74E1BE2A-7C75-4167-8FAB-01C480C078BD}">
      <text>
        <r>
          <rPr>
            <b/>
            <sz val="9"/>
            <color indexed="81"/>
            <rFont val="Tahoma"/>
            <family val="2"/>
          </rPr>
          <t>CRISIL:</t>
        </r>
        <r>
          <rPr>
            <sz val="9"/>
            <color indexed="81"/>
            <rFont val="Tahoma"/>
            <family val="2"/>
          </rPr>
          <t xml:space="preserve">
Includes
* Notes payable
* Borrowings</t>
        </r>
      </text>
    </comment>
    <comment ref="AO109" authorId="0" shapeId="0" xr:uid="{98845FBD-35F8-4C41-BFF0-B34DA1F695BA}">
      <text>
        <r>
          <rPr>
            <b/>
            <sz val="9"/>
            <color indexed="81"/>
            <rFont val="Tahoma"/>
            <family val="2"/>
          </rPr>
          <t>CRISIL:</t>
        </r>
        <r>
          <rPr>
            <sz val="9"/>
            <color indexed="81"/>
            <rFont val="Tahoma"/>
            <family val="2"/>
          </rPr>
          <t xml:space="preserve">
Includes notes payable</t>
        </r>
      </text>
    </comment>
    <comment ref="I110" authorId="0" shapeId="0" xr:uid="{F19E2431-9806-48A7-8060-B5AEC48CC6DC}">
      <text>
        <r>
          <rPr>
            <b/>
            <sz val="9"/>
            <color indexed="81"/>
            <rFont val="Tahoma"/>
            <family val="2"/>
          </rPr>
          <t>CRISIL:</t>
        </r>
        <r>
          <rPr>
            <sz val="9"/>
            <color indexed="81"/>
            <rFont val="Tahoma"/>
            <family val="2"/>
          </rPr>
          <t xml:space="preserve">
Includes notes payable</t>
        </r>
      </text>
    </comment>
    <comment ref="J110" authorId="0" shapeId="0" xr:uid="{18D70BCF-C4AA-4D90-B2A4-4E4D440FAA09}">
      <text>
        <r>
          <rPr>
            <b/>
            <sz val="9"/>
            <color indexed="81"/>
            <rFont val="Tahoma"/>
            <family val="2"/>
          </rPr>
          <t>CRISIL:</t>
        </r>
        <r>
          <rPr>
            <sz val="9"/>
            <color indexed="81"/>
            <rFont val="Tahoma"/>
            <family val="2"/>
          </rPr>
          <t xml:space="preserve">
Includes notes payable</t>
        </r>
      </text>
    </comment>
    <comment ref="AK110" authorId="0" shapeId="0" xr:uid="{7391F41A-3C54-4746-8432-A61D749B2ACD}">
      <text>
        <r>
          <rPr>
            <b/>
            <sz val="9"/>
            <color indexed="81"/>
            <rFont val="Tahoma"/>
            <family val="2"/>
          </rPr>
          <t>CRISIL:</t>
        </r>
        <r>
          <rPr>
            <sz val="9"/>
            <color indexed="81"/>
            <rFont val="Tahoma"/>
            <family val="2"/>
          </rPr>
          <t xml:space="preserve">
Includes notes payable</t>
        </r>
      </text>
    </comment>
    <comment ref="AL110" authorId="0" shapeId="0" xr:uid="{AEEED37F-D720-4864-A102-9755C9CBD3F1}">
      <text>
        <r>
          <rPr>
            <b/>
            <sz val="9"/>
            <color indexed="81"/>
            <rFont val="Tahoma"/>
            <family val="2"/>
          </rPr>
          <t>CRISIL:</t>
        </r>
        <r>
          <rPr>
            <sz val="9"/>
            <color indexed="81"/>
            <rFont val="Tahoma"/>
            <family val="2"/>
          </rPr>
          <t xml:space="preserve">
Includes notes payable</t>
        </r>
      </text>
    </comment>
    <comment ref="AM110" authorId="0" shapeId="0" xr:uid="{AAB9645E-F8C5-4570-9718-023DB7AA3280}">
      <text>
        <r>
          <rPr>
            <b/>
            <sz val="9"/>
            <color indexed="81"/>
            <rFont val="Tahoma"/>
            <family val="2"/>
          </rPr>
          <t>CRISIL:</t>
        </r>
        <r>
          <rPr>
            <sz val="9"/>
            <color indexed="81"/>
            <rFont val="Tahoma"/>
            <family val="2"/>
          </rPr>
          <t xml:space="preserve">
Includes
* Notes payable
* Borrowings</t>
        </r>
      </text>
    </comment>
    <comment ref="AO110" authorId="0" shapeId="0" xr:uid="{326A2B4E-BDAD-4903-948F-A9C8F71617CD}">
      <text>
        <r>
          <rPr>
            <b/>
            <sz val="9"/>
            <color indexed="81"/>
            <rFont val="Tahoma"/>
            <family val="2"/>
          </rPr>
          <t>CRISIL:</t>
        </r>
        <r>
          <rPr>
            <sz val="9"/>
            <color indexed="81"/>
            <rFont val="Tahoma"/>
            <family val="2"/>
          </rPr>
          <t xml:space="preserve">
Includes notes payable</t>
        </r>
      </text>
    </comment>
    <comment ref="B152" authorId="6" shapeId="0" xr:uid="{FC6FC0C9-F561-48C2-9F9F-6BD9EC24D0CB}">
      <text>
        <r>
          <rPr>
            <b/>
            <sz val="9"/>
            <color indexed="81"/>
            <rFont val="Tahoma"/>
            <family val="2"/>
          </rPr>
          <t>CRISIL GR&amp;RS:</t>
        </r>
        <r>
          <rPr>
            <sz val="9"/>
            <color indexed="81"/>
            <rFont val="Tahoma"/>
            <family val="2"/>
          </rPr>
          <t xml:space="preserve">
Including Short term Investments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author>
  </authors>
  <commentList>
    <comment ref="K23" authorId="0" shapeId="0" xr:uid="{A51E2380-3B69-4F8C-9849-BACEA1A5CB37}">
      <text>
        <r>
          <rPr>
            <b/>
            <sz val="9"/>
            <color indexed="81"/>
            <rFont val="Tahoma"/>
            <family val="2"/>
          </rPr>
          <t>CRISIL:</t>
        </r>
        <r>
          <rPr>
            <sz val="9"/>
            <color indexed="81"/>
            <rFont val="Tahoma"/>
            <family val="2"/>
          </rPr>
          <t xml:space="preserve">
To be updated once new segment classification is released for atleast 4 quarters</t>
        </r>
      </text>
    </comment>
    <comment ref="B26" authorId="0" shapeId="0" xr:uid="{5C388063-8AB7-46AC-BF3B-BF0FC20F31CF}">
      <text>
        <r>
          <rPr>
            <b/>
            <sz val="9"/>
            <color indexed="81"/>
            <rFont val="Tahoma"/>
            <family val="2"/>
          </rPr>
          <t>CRISIL:</t>
        </r>
        <r>
          <rPr>
            <sz val="9"/>
            <color indexed="81"/>
            <rFont val="Tahoma"/>
            <family val="2"/>
          </rPr>
          <t xml:space="preserve">
Starting in 1Q26, the segment combines commission and online market services</t>
        </r>
      </text>
    </comment>
    <comment ref="AN26" authorId="0" shapeId="0" xr:uid="{BA594351-7AA4-4E47-AB6D-735F376A80E6}">
      <text>
        <r>
          <rPr>
            <b/>
            <sz val="9"/>
            <color indexed="81"/>
            <rFont val="Tahoma"/>
            <family val="2"/>
          </rPr>
          <t>CRISIL:</t>
        </r>
        <r>
          <rPr>
            <sz val="9"/>
            <color indexed="81"/>
            <rFont val="Tahoma"/>
            <family val="2"/>
          </rPr>
          <t xml:space="preserve">
Currently negative as segment numbers are not available for new classification for 2Q/3Q. Will be updated once restated numbers are released</t>
        </r>
      </text>
    </comment>
    <comment ref="B27" authorId="0" shapeId="0" xr:uid="{0315CDE8-6B04-47EE-B64C-983B72FECAC8}">
      <text>
        <r>
          <rPr>
            <b/>
            <sz val="9"/>
            <color indexed="81"/>
            <rFont val="Tahoma"/>
            <family val="2"/>
          </rPr>
          <t>CRISIL:</t>
        </r>
        <r>
          <rPr>
            <sz val="9"/>
            <color indexed="81"/>
            <rFont val="Tahoma"/>
            <family val="2"/>
          </rPr>
          <t xml:space="preserve">
New segment added in 1Q26</t>
        </r>
      </text>
    </comment>
    <comment ref="AN27" authorId="0" shapeId="0" xr:uid="{11253996-D078-44FC-89B1-D621B0510DE9}">
      <text>
        <r>
          <rPr>
            <b/>
            <sz val="9"/>
            <color indexed="81"/>
            <rFont val="Tahoma"/>
            <family val="2"/>
          </rPr>
          <t>CRISIL:</t>
        </r>
        <r>
          <rPr>
            <sz val="9"/>
            <color indexed="81"/>
            <rFont val="Tahoma"/>
            <family val="2"/>
          </rPr>
          <t xml:space="preserve">
Currently negative as segment numbers are not available for new classification for 2Q/3Q. Will be updated once restated numbers are released</t>
        </r>
      </text>
    </comment>
    <comment ref="B36" authorId="0" shapeId="0" xr:uid="{82163D74-3395-4462-803D-FB2857D77F28}">
      <text>
        <r>
          <rPr>
            <b/>
            <sz val="9"/>
            <color indexed="81"/>
            <rFont val="Tahoma"/>
            <family val="2"/>
          </rPr>
          <t>CRISIL:</t>
        </r>
        <r>
          <rPr>
            <sz val="9"/>
            <color indexed="81"/>
            <rFont val="Tahoma"/>
            <family val="2"/>
          </rPr>
          <t xml:space="preserve">
Starting in 1Q26, the segment combines commission and online market services</t>
        </r>
      </text>
    </comment>
    <comment ref="B37" authorId="0" shapeId="0" xr:uid="{DE95AFA7-6477-4BFE-A88A-A62007F66BDC}">
      <text>
        <r>
          <rPr>
            <b/>
            <sz val="9"/>
            <color indexed="81"/>
            <rFont val="Tahoma"/>
            <family val="2"/>
          </rPr>
          <t>CRISIL:</t>
        </r>
        <r>
          <rPr>
            <sz val="9"/>
            <color indexed="81"/>
            <rFont val="Tahoma"/>
            <family val="2"/>
          </rPr>
          <t xml:space="preserve">
New segment added in 1Q26</t>
        </r>
      </text>
    </comment>
    <comment ref="B45" authorId="0" shapeId="0" xr:uid="{936EDACF-80E2-4116-A43C-83AD2EB916AB}">
      <text>
        <r>
          <rPr>
            <b/>
            <sz val="9"/>
            <color indexed="81"/>
            <rFont val="Tahoma"/>
            <family val="2"/>
          </rPr>
          <t>CRISIL:</t>
        </r>
        <r>
          <rPr>
            <sz val="9"/>
            <color indexed="81"/>
            <rFont val="Tahoma"/>
            <family val="2"/>
          </rPr>
          <t xml:space="preserve">
Starting in 1Q26, the segment combines commission and online market services</t>
        </r>
      </text>
    </comment>
    <comment ref="B46" authorId="0" shapeId="0" xr:uid="{30A3DF54-702F-4E55-A588-0619ACC9EAAD}">
      <text>
        <r>
          <rPr>
            <b/>
            <sz val="9"/>
            <color indexed="81"/>
            <rFont val="Tahoma"/>
            <family val="2"/>
          </rPr>
          <t>CRISIL:</t>
        </r>
        <r>
          <rPr>
            <sz val="9"/>
            <color indexed="81"/>
            <rFont val="Tahoma"/>
            <family val="2"/>
          </rPr>
          <t xml:space="preserve">
New segment added in 1Q26</t>
        </r>
      </text>
    </comment>
    <comment ref="I53" authorId="0" shapeId="0" xr:uid="{B67C9BF8-F41E-4FF6-B523-1242E4A2F36C}">
      <text>
        <r>
          <rPr>
            <b/>
            <sz val="9"/>
            <color indexed="81"/>
            <rFont val="Tahoma"/>
            <family val="2"/>
          </rPr>
          <t>CRISIL:</t>
        </r>
        <r>
          <rPr>
            <sz val="9"/>
            <color indexed="81"/>
            <rFont val="Tahoma"/>
            <family val="2"/>
          </rPr>
          <t xml:space="preserve">
Not disclosed</t>
        </r>
      </text>
    </comment>
    <comment ref="J53" authorId="0" shapeId="0" xr:uid="{FD9E26EB-31E2-4E25-990B-ACFEB5C908DE}">
      <text>
        <r>
          <rPr>
            <b/>
            <sz val="9"/>
            <color indexed="81"/>
            <rFont val="Tahoma"/>
            <family val="2"/>
          </rPr>
          <t>CRISIL:</t>
        </r>
        <r>
          <rPr>
            <sz val="9"/>
            <color indexed="81"/>
            <rFont val="Tahoma"/>
            <family val="2"/>
          </rPr>
          <t xml:space="preserve">
Not disclosed</t>
        </r>
      </text>
    </comment>
    <comment ref="K53" authorId="0" shapeId="0" xr:uid="{F5856502-5644-4035-8B5A-8D79CA8269B9}">
      <text>
        <r>
          <rPr>
            <b/>
            <sz val="9"/>
            <color indexed="81"/>
            <rFont val="Tahoma"/>
            <family val="2"/>
          </rPr>
          <t>CRISIL:</t>
        </r>
        <r>
          <rPr>
            <sz val="9"/>
            <color indexed="81"/>
            <rFont val="Tahoma"/>
            <family val="2"/>
          </rPr>
          <t xml:space="preserve">
Not disclosed</t>
        </r>
      </text>
    </comment>
    <comment ref="AJ53" authorId="0" shapeId="0" xr:uid="{93BCFBBA-4B4D-4E8C-84B4-74034635DCC9}">
      <text>
        <r>
          <rPr>
            <b/>
            <sz val="9"/>
            <color indexed="81"/>
            <rFont val="Tahoma"/>
            <family val="2"/>
          </rPr>
          <t>CRISIL:</t>
        </r>
        <r>
          <rPr>
            <sz val="9"/>
            <color indexed="81"/>
            <rFont val="Tahoma"/>
            <family val="2"/>
          </rPr>
          <t xml:space="preserve">
Not disclosed</t>
        </r>
      </text>
    </comment>
    <comment ref="AK53" authorId="0" shapeId="0" xr:uid="{94899F02-5E49-40D4-88D7-57DE5B8B447C}">
      <text>
        <r>
          <rPr>
            <b/>
            <sz val="9"/>
            <color indexed="81"/>
            <rFont val="Tahoma"/>
            <family val="2"/>
          </rPr>
          <t>CRISIL:</t>
        </r>
        <r>
          <rPr>
            <sz val="9"/>
            <color indexed="81"/>
            <rFont val="Tahoma"/>
            <family val="2"/>
          </rPr>
          <t xml:space="preserve">
Not disclosed</t>
        </r>
      </text>
    </comment>
    <comment ref="AL53" authorId="0" shapeId="0" xr:uid="{BBF4EAF3-9E78-4F73-9E46-EED5D894C508}">
      <text>
        <r>
          <rPr>
            <b/>
            <sz val="9"/>
            <color indexed="81"/>
            <rFont val="Tahoma"/>
            <family val="2"/>
          </rPr>
          <t>CRISIL:</t>
        </r>
        <r>
          <rPr>
            <sz val="9"/>
            <color indexed="81"/>
            <rFont val="Tahoma"/>
            <family val="2"/>
          </rPr>
          <t xml:space="preserve">
Not disclosed</t>
        </r>
      </text>
    </comment>
    <comment ref="AM53" authorId="0" shapeId="0" xr:uid="{518A693E-CD8E-4263-A0E6-00EC9364A60B}">
      <text>
        <r>
          <rPr>
            <b/>
            <sz val="9"/>
            <color indexed="81"/>
            <rFont val="Tahoma"/>
            <family val="2"/>
          </rPr>
          <t>CRISIL:</t>
        </r>
        <r>
          <rPr>
            <sz val="9"/>
            <color indexed="81"/>
            <rFont val="Tahoma"/>
            <family val="2"/>
          </rPr>
          <t xml:space="preserve">
Not disclosed</t>
        </r>
      </text>
    </comment>
    <comment ref="AN53" authorId="0" shapeId="0" xr:uid="{3851D3A2-41AA-4574-8498-96B1F2C3303E}">
      <text>
        <r>
          <rPr>
            <b/>
            <sz val="9"/>
            <color indexed="81"/>
            <rFont val="Tahoma"/>
            <family val="2"/>
          </rPr>
          <t>CRISIL:</t>
        </r>
        <r>
          <rPr>
            <sz val="9"/>
            <color indexed="81"/>
            <rFont val="Tahoma"/>
            <family val="2"/>
          </rPr>
          <t xml:space="preserve">
Not disclosed</t>
        </r>
      </text>
    </comment>
    <comment ref="AO53" authorId="0" shapeId="0" xr:uid="{BB2B8DC2-EBF8-4EA5-85C4-77144B24A06D}">
      <text>
        <r>
          <rPr>
            <b/>
            <sz val="9"/>
            <color indexed="81"/>
            <rFont val="Tahoma"/>
            <family val="2"/>
          </rPr>
          <t>CRISIL:</t>
        </r>
        <r>
          <rPr>
            <sz val="9"/>
            <color indexed="81"/>
            <rFont val="Tahoma"/>
            <family val="2"/>
          </rPr>
          <t xml:space="preserve">
Not disclosed</t>
        </r>
      </text>
    </comment>
  </commentList>
</comments>
</file>

<file path=xl/sharedStrings.xml><?xml version="1.0" encoding="utf-8"?>
<sst xmlns="http://schemas.openxmlformats.org/spreadsheetml/2006/main" count="1295" uniqueCount="346">
  <si>
    <t>1Q26</t>
  </si>
  <si>
    <t>Exchange rate as at end 1Q26</t>
  </si>
  <si>
    <t>LTM Average exchange rate</t>
  </si>
  <si>
    <t>Debt Breakdown as on 31-Mar-2026</t>
  </si>
  <si>
    <t>RMB mn</t>
  </si>
  <si>
    <t xml:space="preserve">Leverage </t>
  </si>
  <si>
    <t>USD mn</t>
  </si>
  <si>
    <t>current liabilities</t>
  </si>
  <si>
    <t>RMB bank borrowings – unsecured</t>
  </si>
  <si>
    <t>RMB bank borrowings – secured</t>
  </si>
  <si>
    <t>Total bank borrowings</t>
  </si>
  <si>
    <t>Current portion of long-term convertible bonds</t>
  </si>
  <si>
    <t>Current portion of long-term senior notes</t>
  </si>
  <si>
    <t>Total bonds and notes</t>
  </si>
  <si>
    <t>non-current liabilities:</t>
  </si>
  <si>
    <t>Non-current portion of long-term convertible bonds</t>
  </si>
  <si>
    <t>Non-current portion of long-term senior notes</t>
  </si>
  <si>
    <t>lease liabilities:</t>
  </si>
  <si>
    <t>current lease liabilities</t>
  </si>
  <si>
    <t>non- current lease liabilities</t>
  </si>
  <si>
    <t>Total Loans &amp; Borrowings</t>
  </si>
  <si>
    <t>Cash and Cash Equivalents</t>
  </si>
  <si>
    <t>Short term Investments</t>
  </si>
  <si>
    <t>Net debt</t>
  </si>
  <si>
    <t>Restricted cash</t>
  </si>
  <si>
    <t>Net debt (including restricted cash)</t>
  </si>
  <si>
    <t>Equity</t>
  </si>
  <si>
    <t xml:space="preserve">Total Capitalisation </t>
  </si>
  <si>
    <t>LTM Adjusted EBITDA</t>
  </si>
  <si>
    <t>check</t>
  </si>
  <si>
    <t>Liquidity at end-1Q26</t>
  </si>
  <si>
    <t>Short-term treasury investments</t>
  </si>
  <si>
    <t>Total liquidity</t>
  </si>
  <si>
    <r>
      <t xml:space="preserve">Debt Maturity at end-1Q26 </t>
    </r>
    <r>
      <rPr>
        <b/>
        <sz val="10"/>
        <color rgb="FFFF0000"/>
        <rFont val="Calibri"/>
        <family val="2"/>
        <scheme val="minor"/>
      </rPr>
      <t>(from BBG)</t>
    </r>
  </si>
  <si>
    <t>2032+</t>
  </si>
  <si>
    <t>Total debt</t>
  </si>
  <si>
    <t>FY25</t>
  </si>
  <si>
    <t>Exchange rate as at end</t>
  </si>
  <si>
    <t>Debt Breakdown as on 31-Dec-2025</t>
  </si>
  <si>
    <t>Liquidity at end-FY25</t>
  </si>
  <si>
    <t>Bank borrowings Debt Maturity at end-FY25</t>
  </si>
  <si>
    <t>Within 1 year</t>
  </si>
  <si>
    <t>Between 1 and 2 years</t>
  </si>
  <si>
    <t>Between 2 and 5 years</t>
  </si>
  <si>
    <t>More than 5 years</t>
  </si>
  <si>
    <t>Notes payable Debt Maturity at end-FY25</t>
  </si>
  <si>
    <t>3Q25</t>
  </si>
  <si>
    <t>Exchange rate as at end 3Q25</t>
  </si>
  <si>
    <t>LTM Average exchange rate 3Q25</t>
  </si>
  <si>
    <t>Debt Breakdown as on 30-Sep-2025</t>
  </si>
  <si>
    <t>Short term debt</t>
  </si>
  <si>
    <t>Long term debt</t>
  </si>
  <si>
    <t>Net debt (compnay reported)</t>
  </si>
  <si>
    <t>Liquidity at end-3Q25</t>
  </si>
  <si>
    <r>
      <t xml:space="preserve">Debt Maturity at end-3Q25 </t>
    </r>
    <r>
      <rPr>
        <b/>
        <sz val="10"/>
        <color rgb="FFFF0000"/>
        <rFont val="Calibri"/>
        <family val="2"/>
        <scheme val="minor"/>
      </rPr>
      <t>(from BBG)</t>
    </r>
  </si>
  <si>
    <t>2030+</t>
  </si>
  <si>
    <t>2Q25</t>
  </si>
  <si>
    <t>Exchange rate as at end 2Q25</t>
  </si>
  <si>
    <t>LTM Average exchange rate 2Q25</t>
  </si>
  <si>
    <t>Debt Breakdown as on 30-June-2025</t>
  </si>
  <si>
    <t>Liquidity Breakdown as on 30-June-2025</t>
  </si>
  <si>
    <t>Short-term Investments</t>
  </si>
  <si>
    <t>Total Liquidity</t>
  </si>
  <si>
    <t>Check</t>
  </si>
  <si>
    <t>Liquidity at end-2Q25</t>
  </si>
  <si>
    <t>Investments</t>
  </si>
  <si>
    <t>Debt Maturity at end-2Q25</t>
  </si>
  <si>
    <t>2029+</t>
  </si>
  <si>
    <t>1Q25</t>
  </si>
  <si>
    <t>Exchange rate as at end 1Q25</t>
  </si>
  <si>
    <t>LTM Average exchange rate 1Q25</t>
  </si>
  <si>
    <t>Debt Breakdown as on 31-Mar-2025</t>
  </si>
  <si>
    <t>Liquidity Breakdown as on 31-Mar-2025</t>
  </si>
  <si>
    <t>Liquidity at end-1Q25</t>
  </si>
  <si>
    <t>Debt Maturity at end-1Q25</t>
  </si>
  <si>
    <t>FY24</t>
  </si>
  <si>
    <t>Exchange rate as at end FY 2024</t>
  </si>
  <si>
    <t>LTM Average exchange rate FY 2024</t>
  </si>
  <si>
    <t>Debt Breakdown as on 31-Dec-2024</t>
  </si>
  <si>
    <t>Liquidity Breakdown as on 31-Dec-2024</t>
  </si>
  <si>
    <t>Liquidity at end-FY24</t>
  </si>
  <si>
    <t>Debt Maturity at end-FY24</t>
  </si>
  <si>
    <t>3Q24</t>
  </si>
  <si>
    <t>Exchange rate as at end 3Q 2024</t>
  </si>
  <si>
    <t>LTM Average exchange rate 3Q 2024</t>
  </si>
  <si>
    <t>Debt Breakdown as on 30-Sept-2024</t>
  </si>
  <si>
    <t>Liquidity Breakdown as on 30-Sept-2024</t>
  </si>
  <si>
    <t>Liquidity at end-3Q24</t>
  </si>
  <si>
    <t>Debt Maturity at end-3Q24</t>
  </si>
  <si>
    <t>2028+</t>
  </si>
  <si>
    <t>2Q24</t>
  </si>
  <si>
    <t>Exchange rate as at end 2Q 2024</t>
  </si>
  <si>
    <t>LTM Average exchange rate 2Q 2024</t>
  </si>
  <si>
    <t>Debt Breakdown as on 30-Jun-2024</t>
  </si>
  <si>
    <t>Liquidity Breakdown as on 30-Jun-2024</t>
  </si>
  <si>
    <t>Liquidity at end-2Q24</t>
  </si>
  <si>
    <t>Debt Maturity at end-2Q24</t>
  </si>
  <si>
    <t>Less than 1 year</t>
  </si>
  <si>
    <t>Over 5 years</t>
  </si>
  <si>
    <t>1Q24</t>
  </si>
  <si>
    <t>Exchange rate as at end 1Q 2024</t>
  </si>
  <si>
    <t>LTM Average exchange rate 1Q 2024</t>
  </si>
  <si>
    <t>Debt Breakdown as on 31-Mar-2024</t>
  </si>
  <si>
    <t>Liquidity Breakdown as on 31-Mar-2024</t>
  </si>
  <si>
    <t>Liquidity at end-1Q24</t>
  </si>
  <si>
    <t>Debt Maturity at end-1Q24</t>
  </si>
  <si>
    <t>4Q23</t>
  </si>
  <si>
    <t>Exchange rate as at end 4Q 2023</t>
  </si>
  <si>
    <t>LTM Average exchange rate 4Q 2023</t>
  </si>
  <si>
    <t>Debt Breakdown as on 31-Dec-2023</t>
  </si>
  <si>
    <t>Liquidity Breakdown as on 31-Dec-2023</t>
  </si>
  <si>
    <t>Liquidity at end-4Q23</t>
  </si>
  <si>
    <t>Debt Maturity at end-4Q23</t>
  </si>
  <si>
    <t>3Q23</t>
  </si>
  <si>
    <t>Exchange rate as at end 3Q 2023</t>
  </si>
  <si>
    <t>LTM Average exchange rate 3Q 2023</t>
  </si>
  <si>
    <t>Debt Breakdown as on 30-Sep-2023</t>
  </si>
  <si>
    <t>Liquidity Breakdown as on 30-Sep-2023</t>
  </si>
  <si>
    <t>Liquidity at end-3Q23</t>
  </si>
  <si>
    <t>Debt Maturity at end-3Q23</t>
  </si>
  <si>
    <t>2Q23</t>
  </si>
  <si>
    <t>Exchange rate as at end 2Q 2023</t>
  </si>
  <si>
    <t>LTM Average exchange rate 2Q 2023</t>
  </si>
  <si>
    <t>Debt Breakdown as on 30-Jun-2023</t>
  </si>
  <si>
    <t>Liquidity Breakdown as on 30-Jun-2023</t>
  </si>
  <si>
    <t>Liquidity at end-2Q23</t>
  </si>
  <si>
    <t>Debt Maturity at end-2Q23</t>
  </si>
  <si>
    <t>1Q23</t>
  </si>
  <si>
    <t>Exchange rate as at end 1Q 2023</t>
  </si>
  <si>
    <t>LTM Average exchange rate 1Q 2023</t>
  </si>
  <si>
    <t>Debt Breakdown as on 31-Mar-2023</t>
  </si>
  <si>
    <t>Liquidity Breakdown as on 31-Mar-2023</t>
  </si>
  <si>
    <t>Liquidity at end-1Q23</t>
  </si>
  <si>
    <t>Debt Maturity</t>
  </si>
  <si>
    <t>FY22</t>
  </si>
  <si>
    <t>Exchange rate as at end FY 2022</t>
  </si>
  <si>
    <t>LTM Average exchange rate FY 2022</t>
  </si>
  <si>
    <t>Debt Breakdown as on 31-Dec-2022</t>
  </si>
  <si>
    <t>Liquidity Breakdown as on 31-Dec-2022</t>
  </si>
  <si>
    <t>Liquidity at end-FY22</t>
  </si>
  <si>
    <t>3Q22</t>
  </si>
  <si>
    <t>Exchange rate as at end 3Q 2022</t>
  </si>
  <si>
    <t>LTM Average exchange rate 3Q 2022</t>
  </si>
  <si>
    <t>Debt Breakdown as on 30-Sep-2022</t>
  </si>
  <si>
    <t>Liquidity Breakdown as on 30-Sep-2022</t>
  </si>
  <si>
    <t>Liquidity at end-3Q22</t>
  </si>
  <si>
    <t>2Q22</t>
  </si>
  <si>
    <t>Exchange rate as at end 2Q 2022</t>
  </si>
  <si>
    <t>LTM Average exchange rate 2Q 2022</t>
  </si>
  <si>
    <t>Debt Breakdown as on 30-Jun-2022</t>
  </si>
  <si>
    <t>Liquidity Breakdown as on 30-Jun-2022</t>
  </si>
  <si>
    <t>Liquidity at end-2Q22</t>
  </si>
  <si>
    <t>1Q22</t>
  </si>
  <si>
    <t>Exchange rate as at end 1Q 2022</t>
  </si>
  <si>
    <t>LTM Average exchange rate 1Q 2022</t>
  </si>
  <si>
    <t>Debt Breakdown as on 31-Mar-2022</t>
  </si>
  <si>
    <t>Liquidity Breakdown as on 31-Mar-2022</t>
  </si>
  <si>
    <t>Liquidity at end-1Q22</t>
  </si>
  <si>
    <t>4Q21</t>
  </si>
  <si>
    <t>Exchange rate as at end 4Q 2021</t>
  </si>
  <si>
    <t>LTM Average exchange rate 4Q 2021</t>
  </si>
  <si>
    <t>Debt Breakdown as on 31-Dec-2021</t>
  </si>
  <si>
    <t>Liquidity Breakdown as on 31-Dec-2021</t>
  </si>
  <si>
    <t>Liquidity at end-4Q21</t>
  </si>
  <si>
    <t>3Q21</t>
  </si>
  <si>
    <t>Exchange rate as at end 3Q 2021</t>
  </si>
  <si>
    <t>LTM Average exchange rate 3Q 2021</t>
  </si>
  <si>
    <t>Debt Breakdown as on 30-Sep-2021</t>
  </si>
  <si>
    <t>Liquidity at end-3Q21</t>
  </si>
  <si>
    <t>2Q21</t>
  </si>
  <si>
    <t>Exchange rate as at end 2Q 2021</t>
  </si>
  <si>
    <t>LTM Average exchange rate 2Q 2021</t>
  </si>
  <si>
    <t>Debt Breakdown as on 30-Jun-2021</t>
  </si>
  <si>
    <t>Loans</t>
  </si>
  <si>
    <t>USD Short term bank loans – unsecured</t>
  </si>
  <si>
    <t>USD Long term bank loans – unsecured</t>
  </si>
  <si>
    <t>RMB Long term bank loans – unsecured</t>
  </si>
  <si>
    <t>USD notes payable</t>
  </si>
  <si>
    <t>USD convertible bonds</t>
  </si>
  <si>
    <t>Operating lease liabilities</t>
  </si>
  <si>
    <t>Notes Maturity at end-2Q21</t>
  </si>
  <si>
    <t>Between 2 - 5 years</t>
  </si>
  <si>
    <t>Liquidity at end-2Q21</t>
  </si>
  <si>
    <t>Meituan</t>
  </si>
  <si>
    <t>Annual</t>
  </si>
  <si>
    <t>LTM</t>
  </si>
  <si>
    <t xml:space="preserve">Quarters </t>
  </si>
  <si>
    <t>(RMB million)</t>
  </si>
  <si>
    <t>Act</t>
  </si>
  <si>
    <t>FY</t>
  </si>
  <si>
    <t>1Q</t>
  </si>
  <si>
    <t>2Q</t>
  </si>
  <si>
    <t>3Q</t>
  </si>
  <si>
    <t>4Q</t>
  </si>
  <si>
    <t>INCOME STATEMENT</t>
  </si>
  <si>
    <t>Revenue</t>
  </si>
  <si>
    <t xml:space="preserve">% of growth </t>
  </si>
  <si>
    <t>Cost of revenues</t>
  </si>
  <si>
    <t>Gross Profit</t>
  </si>
  <si>
    <t>Gross Profit margin</t>
  </si>
  <si>
    <t>Operating expenses:</t>
  </si>
  <si>
    <t>Selling and marketing expenses</t>
  </si>
  <si>
    <t>Research and development expenses</t>
  </si>
  <si>
    <t>General and administrative expenses</t>
  </si>
  <si>
    <t>Net provision for impairment losses on financial assets</t>
  </si>
  <si>
    <t>Fair value changes on other financial investments</t>
  </si>
  <si>
    <t>Other operating income/(loss), net</t>
  </si>
  <si>
    <t xml:space="preserve">Operating profit </t>
  </si>
  <si>
    <t>Finance exps</t>
  </si>
  <si>
    <t>Finance income</t>
  </si>
  <si>
    <t>Fair value changes of convertible redeemable preferred shares</t>
  </si>
  <si>
    <t>Share of net profit /(loss) of associates</t>
  </si>
  <si>
    <t>Profit before tax</t>
  </si>
  <si>
    <t>Income tax credits/(expenses) / Current and deferred income tax and social contribution</t>
  </si>
  <si>
    <t>Net profit/loss</t>
  </si>
  <si>
    <t>% margin</t>
  </si>
  <si>
    <t>Non-controlling interest</t>
  </si>
  <si>
    <t>As % of sales unless stated otherwise</t>
  </si>
  <si>
    <t>Finance exps as % of debt</t>
  </si>
  <si>
    <t>Finance income as% of cash and cash equivalents</t>
  </si>
  <si>
    <t>Tax %  of PBT</t>
  </si>
  <si>
    <t>Working capital /sales</t>
  </si>
  <si>
    <t>Capex/sales</t>
  </si>
  <si>
    <t xml:space="preserve">EBITDA </t>
  </si>
  <si>
    <t>Depreciation, depletion &amp; amortization</t>
  </si>
  <si>
    <t xml:space="preserve">% growth </t>
  </si>
  <si>
    <t>Adjustment</t>
  </si>
  <si>
    <t xml:space="preserve">Adj. EBITDA </t>
  </si>
  <si>
    <t>Capex sales</t>
  </si>
  <si>
    <t xml:space="preserve">WC SALES </t>
  </si>
  <si>
    <t>CASH FLOW</t>
  </si>
  <si>
    <t>Working Capital</t>
  </si>
  <si>
    <t>Taxes</t>
  </si>
  <si>
    <t>Cash interest paid</t>
  </si>
  <si>
    <t xml:space="preserve">Net cash from operations </t>
  </si>
  <si>
    <t>Net Capex</t>
  </si>
  <si>
    <t>Purchase of intangible assets</t>
  </si>
  <si>
    <t>Disposals/ Acquistion, of subsidiaries, businesses</t>
  </si>
  <si>
    <t xml:space="preserve">Free cash flow </t>
  </si>
  <si>
    <t xml:space="preserve">Other Investing </t>
  </si>
  <si>
    <t>Equity Issuance</t>
  </si>
  <si>
    <t>Dividends</t>
  </si>
  <si>
    <t>Net Change in debt</t>
  </si>
  <si>
    <t>Other financing activities</t>
  </si>
  <si>
    <t>Cash flow after financing activities</t>
  </si>
  <si>
    <t>Balancing figure</t>
  </si>
  <si>
    <t xml:space="preserve">FX </t>
  </si>
  <si>
    <t xml:space="preserve">Net change in cash </t>
  </si>
  <si>
    <t>Cash and cash equivalents</t>
  </si>
  <si>
    <t>check 1</t>
  </si>
  <si>
    <t>check 2</t>
  </si>
  <si>
    <t xml:space="preserve">LTM </t>
  </si>
  <si>
    <t>EBITDA</t>
  </si>
  <si>
    <t>Adjusted EBITDA</t>
  </si>
  <si>
    <t>Net Income</t>
  </si>
  <si>
    <t>Capex</t>
  </si>
  <si>
    <t xml:space="preserve">BALANCE SHEET </t>
  </si>
  <si>
    <t>Tangible fixed assets</t>
  </si>
  <si>
    <t>Inventory</t>
  </si>
  <si>
    <t>Trade accounts receivable</t>
  </si>
  <si>
    <t>Trade accounts payable</t>
  </si>
  <si>
    <t>Net working capital</t>
  </si>
  <si>
    <t>% of revenues</t>
  </si>
  <si>
    <t>Inventory Days</t>
  </si>
  <si>
    <t>Receivable Days</t>
  </si>
  <si>
    <t>Payable Days</t>
  </si>
  <si>
    <t xml:space="preserve">Debt  Breakdown </t>
  </si>
  <si>
    <t>Short-term debt</t>
  </si>
  <si>
    <t>Long-term debt</t>
  </si>
  <si>
    <t>Total Debt</t>
  </si>
  <si>
    <t>Lease Obligations</t>
  </si>
  <si>
    <t>Short-term</t>
  </si>
  <si>
    <t>Long-term</t>
  </si>
  <si>
    <t>Total Lease</t>
  </si>
  <si>
    <t>Debt  Including Lease obligations</t>
  </si>
  <si>
    <t xml:space="preserve">Retricted Cash </t>
  </si>
  <si>
    <t>Net debt including Restricted Cash</t>
  </si>
  <si>
    <t>Equity (as reported on balance sheet)</t>
  </si>
  <si>
    <t>Total debt + Equity</t>
  </si>
  <si>
    <t>CREDIT RATIOS</t>
  </si>
  <si>
    <t>Net Leverage excluding lease obligations</t>
  </si>
  <si>
    <t>Gross Leverage  excluding lease obligations</t>
  </si>
  <si>
    <t>Net Leverage including lease obligations</t>
  </si>
  <si>
    <t>Gross Leverage  including lease obligations</t>
  </si>
  <si>
    <t>Net leverage including Restricted Cash</t>
  </si>
  <si>
    <t>EBITDA - Capex / Interest</t>
  </si>
  <si>
    <t>EBITDA/Interest</t>
  </si>
  <si>
    <t xml:space="preserve">Gearing (Net debt / Equity) </t>
  </si>
  <si>
    <t>Key  Credit Metrics (RMB million)</t>
  </si>
  <si>
    <t xml:space="preserve">Revenues </t>
  </si>
  <si>
    <t>Adj. EBITDA</t>
  </si>
  <si>
    <t>Adj. EBITDA Margin</t>
  </si>
  <si>
    <t>Cash</t>
  </si>
  <si>
    <t>Net Debt</t>
  </si>
  <si>
    <t>Gross Leverage</t>
  </si>
  <si>
    <t xml:space="preserve">Net Leverage </t>
  </si>
  <si>
    <t>Summary Financials</t>
  </si>
  <si>
    <t>% growth</t>
  </si>
  <si>
    <t>FX rate average - RMB/USD</t>
  </si>
  <si>
    <t>FX rate  - RMB/USD (as at end of period)</t>
  </si>
  <si>
    <t>LTM - RMB/USD</t>
  </si>
  <si>
    <t>USD to RMB (EOP)</t>
  </si>
  <si>
    <t>Key  Credit Metrics (USD Mn where applicable)</t>
  </si>
  <si>
    <t>(USD millions)</t>
  </si>
  <si>
    <t>LTM EBITDA</t>
  </si>
  <si>
    <t>Profit for the period</t>
  </si>
  <si>
    <t>Adjusted for:</t>
  </si>
  <si>
    <t>Share-based compensation expenses</t>
  </si>
  <si>
    <t>Foreign exchange (gains)/losses from intercompany balances</t>
  </si>
  <si>
    <t>Net (gains)/losses from investments</t>
  </si>
  <si>
    <t>Impairment and expense provision</t>
  </si>
  <si>
    <t>Amortisation of intangible assets resulting from acquisitions</t>
  </si>
  <si>
    <t>Tax effects</t>
  </si>
  <si>
    <t>Adjusted net profit</t>
  </si>
  <si>
    <t>Income tax expenses not adjusted for adjusted net profit</t>
  </si>
  <si>
    <t>Share of profits of investments accounted for using the equity method not adjusted for adjusted net profit</t>
  </si>
  <si>
    <t>Finance costs</t>
  </si>
  <si>
    <t>Certain items in other gains, net</t>
  </si>
  <si>
    <t>Amortisation of software and others</t>
  </si>
  <si>
    <t>Depreciation of property, plant and equipment</t>
  </si>
  <si>
    <t>Revenue by segment</t>
  </si>
  <si>
    <t>Food delivery / Core local commerce</t>
  </si>
  <si>
    <t>In-store, hotel &amp; travel</t>
  </si>
  <si>
    <t>New initiatives and others</t>
  </si>
  <si>
    <t xml:space="preserve">Total </t>
  </si>
  <si>
    <t xml:space="preserve"> </t>
  </si>
  <si>
    <t>Operating profit by segment</t>
  </si>
  <si>
    <t>Unallocated items</t>
  </si>
  <si>
    <t>Revenues:</t>
  </si>
  <si>
    <t>Delivery services</t>
  </si>
  <si>
    <t>Commission</t>
  </si>
  <si>
    <t>Online marketing services</t>
  </si>
  <si>
    <t>Merchant services</t>
  </si>
  <si>
    <t>Product sales</t>
  </si>
  <si>
    <t>Other services and sales ((including interest revenue)</t>
  </si>
  <si>
    <t>Revenues (% Share)</t>
  </si>
  <si>
    <t>Productt sales</t>
  </si>
  <si>
    <t>Revenues (% YoY Growth)</t>
  </si>
  <si>
    <t>Operating Metrics</t>
  </si>
  <si>
    <t>Gross Transaction Volume of food delivery</t>
  </si>
  <si>
    <t>Number of food delivery transactions</t>
  </si>
  <si>
    <t>Number of domestic hotel room nights</t>
  </si>
  <si>
    <t>Operating Metrics (LTM)</t>
  </si>
  <si>
    <t>Number of Transacting Users</t>
  </si>
  <si>
    <t>Number of Active Merchants</t>
  </si>
  <si>
    <t>Average number of transactions per annual Transacting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</si>
</sst>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6">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0.0_);\(#,##0.0\)"/>
    <numFmt numFmtId="166" formatCode="#0.0%_);\(#0.0%\)"/>
    <numFmt numFmtId="167" formatCode="#0.00\x"/>
    <numFmt numFmtId="168" formatCode="mmm\ yyyy"/>
    <numFmt numFmtId="169" formatCode="0.0%"/>
    <numFmt numFmtId="170" formatCode="_(* #,##0.0_);_(* \(#,##0.0\);_(* &quot;-&quot;??_);_(@_)"/>
    <numFmt numFmtId="171" formatCode="_(* #,##0.000_);_(* \(#,##0.000\);_(* &quot;-&quot;??_);_(@_)"/>
    <numFmt numFmtId="172" formatCode="_(* #,##0_);_(* \(#,##0\);_(* &quot;-&quot;??_);_(@_)"/>
    <numFmt numFmtId="173" formatCode="#,##0.0\ ;\(#,##0.0\)"/>
    <numFmt numFmtId="174" formatCode="&quot;$&quot;#,##0.00_)&quot;per share&quot;;\(&quot;$&quot;#,##0.00\)&quot; per share&quot;"/>
    <numFmt numFmtId="175" formatCode="0.0_)\%;\(0.0\)\%;0.0_)\%;@_)_%"/>
    <numFmt numFmtId="176" formatCode="#,##0.0_)_%;\(#,##0.0\)_%;0.0_)_%;@_)_%"/>
    <numFmt numFmtId="177" formatCode="#,##0.0_);\(#,##0.0\);#,##0.0_);@_)"/>
    <numFmt numFmtId="178" formatCode="&quot;$&quot;_(#,##0.00_);&quot;$&quot;\(#,##0.00\);&quot;$&quot;_(0.00_);@_)"/>
    <numFmt numFmtId="179" formatCode="&quot;$&quot;_(#,##0.00_);&quot;$&quot;\(#,##0.00\)"/>
    <numFmt numFmtId="180" formatCode="#,##0.00_);\(#,##0.00\);0.00_);@_)"/>
    <numFmt numFmtId="181" formatCode="\€_(#,##0.00_);\€\(#,##0.00\);\€_(0.00_);@_)"/>
    <numFmt numFmtId="182" formatCode="#,##0_)\x;\(#,##0\)\x;0_)\x;@_)_x"/>
    <numFmt numFmtId="183" formatCode="#,##0.0_)\x;\(#,##0.0\)\x"/>
    <numFmt numFmtId="184" formatCode="#,##0_)_x;\(#,##0\)_x;0_)_x;@_)_x"/>
    <numFmt numFmtId="185" formatCode="#,##0.0_)_x;\(#,##0.0\)_x"/>
    <numFmt numFmtId="186" formatCode="0.0_)\%;\(0.0\)\%"/>
    <numFmt numFmtId="187" formatCode="#,##0.0_)_%;\(#,##0.0\)_%"/>
    <numFmt numFmtId="188" formatCode="_(\£* #,##0_);_(\£* \(#,##0\);_(\£* &quot;-&quot;_);_(@_)"/>
    <numFmt numFmtId="189" formatCode="_(\£* #,##0.0_);_(\£* \(#,##0.0\);_(\£* &quot;-&quot;_);_(@_)"/>
    <numFmt numFmtId="190" formatCode="_(\£* #,##0.00_);_(\£* \(#,##0.00\);_(\£* &quot;-&quot;_);_(@_)"/>
    <numFmt numFmtId="191" formatCode="_(* #,##0\p_);_(* \(#,##0\p\);_(* &quot;-&quot;\ \p_);_(@_)"/>
    <numFmt numFmtId="192" formatCode="_(* #,##0.00\p_);_(* \(#,##0.00\p\);_(* &quot;-&quot;\ \p_);_(@_)"/>
    <numFmt numFmtId="193" formatCode="\£#,##0.00"/>
    <numFmt numFmtId="194" formatCode="&quot;$&quot;&quot; &quot;#,##0_);\(&quot;$&quot;&quot; &quot;#,##0\);\-_)"/>
    <numFmt numFmtId="195" formatCode="#,##0_);\(#,##0\);\-_)"/>
    <numFmt numFmtId="196" formatCode="&quot;$&quot;#,##0_);[Red]\(&quot;$&quot;#,##0\);&quot;-&quot;"/>
    <numFmt numFmtId="197" formatCode="[Blue]0.0%;[Blue]\-0.0%"/>
    <numFmt numFmtId="198" formatCode="\£#,##0_);\(\£#,##0\)"/>
    <numFmt numFmtId="199" formatCode="&quot;fl&quot;#,##0_);\(&quot;fl&quot;#,##0\)"/>
    <numFmt numFmtId="200" formatCode="&quot;$&quot;\ #,##0_);\(&quot;$&quot;\ #,##0\)"/>
    <numFmt numFmtId="201" formatCode="_(&quot;R$&quot;* #,##0.00_);_(&quot;R$&quot;* \(#,##0.00\);_(&quot;R$&quot;* &quot;-&quot;??_);_(@_)"/>
    <numFmt numFmtId="202" formatCode="0.0\x;[Red]\(0.0\x\)"/>
    <numFmt numFmtId="203" formatCode="#,##0.0_);\(#,##0.0\);&quot;—&quot;_)"/>
    <numFmt numFmtId="204" formatCode="&quot;$&quot;#,##0.0_);\(&quot;$&quot;#,##0.0\);&quot;—&quot;_)"/>
    <numFmt numFmtId="205" formatCode="0.000000000%"/>
    <numFmt numFmtId="206" formatCode="#,##0.0000"/>
    <numFmt numFmtId="207" formatCode="mm/dd/yy"/>
    <numFmt numFmtId="208" formatCode="&quot;$&quot;#,##0.00"/>
    <numFmt numFmtId="209" formatCode="_([$€-2]* #,##0.00_);_([$€-2]* \(#,##0.00\);_([$€-2]* &quot;-&quot;??_)"/>
    <numFmt numFmtId="210" formatCode="#&quot; mon&quot;"/>
    <numFmt numFmtId="211" formatCode="#,##0\ &quot;F&quot;;[Red]\-#,##0\ &quot;F&quot;"/>
    <numFmt numFmtId="212" formatCode="#,##0.00\ &quot;F&quot;;[Red]\-#,##0.00\ &quot;F&quot;"/>
    <numFmt numFmtId="213" formatCode="#,##0.0\x_)_);\(#,##0.0\x\)_);#,##0.0\x_)_);@_%_)"/>
    <numFmt numFmtId="214" formatCode="_(* #,##0.00\ ___);_(* \(#,##0.00\ __\);_(* &quot;-&quot;??_);_(@_)"/>
    <numFmt numFmtId="215" formatCode="0%\);[Red]\(0%"/>
    <numFmt numFmtId="216" formatCode="_(* #,##0\ ___);_(* \(#,##0\ __\);_(* &quot;-&quot;??_);_(@_)"/>
    <numFmt numFmtId="217" formatCode="_(* #,##0\ \x_);_(* \(#,##0\ \x\);_(* &quot;-&quot;??_);_(@_)"/>
    <numFmt numFmtId="218" formatCode="0%_);[Red]\(0%\)"/>
    <numFmt numFmtId="219" formatCode="_(* #,##0.0\ ___);_(* \(#,##0.0\ __\);_(* &quot;-&quot;??_);_(@_)"/>
    <numFmt numFmtId="220" formatCode="_(* #,##0.0\ \x_);_(* \(#,##0.0\ \x\);_(* &quot;-&quot;??_);_(@_)"/>
    <numFmt numFmtId="221" formatCode="#,##0&quot; F&quot;_);\(#,##0&quot; F&quot;\)"/>
    <numFmt numFmtId="222" formatCode="_(* #,##0.00_);_(* \(\ #,##0.00\ \);_(* &quot;&quot;??_);_(\ @_ \)"/>
    <numFmt numFmtId="223" formatCode="0.00_)"/>
    <numFmt numFmtId="224" formatCode="_(* #,##0.0_);_(* \(#,##0.0\);_(* &quot;-&quot;?_);_(@_)"/>
    <numFmt numFmtId="225" formatCode="0.00%\ &quot;Ramped&quot;\ "/>
    <numFmt numFmtId="226" formatCode="0.00%\ &quot;Ramped&quot;"/>
    <numFmt numFmtId="227" formatCode="0.0000"/>
    <numFmt numFmtId="228" formatCode="0.000"/>
    <numFmt numFmtId="229" formatCode="&quot;Diversity =&quot;\ #.0"/>
    <numFmt numFmtId="230" formatCode="&quot;Ratings Factor =&quot;\ #"/>
    <numFmt numFmtId="231" formatCode="&quot;Page &quot;0"/>
    <numFmt numFmtId="232" formatCode="&quot;\&quot;#,##0.00;[Red]\-&quot;\&quot;#,##0.00"/>
    <numFmt numFmtId="233" formatCode="0.0_%"/>
    <numFmt numFmtId="234" formatCode="_(0.0%;_(* \(0.0\)%"/>
    <numFmt numFmtId="235" formatCode="_(* #,##0.0000_);_(* \(#,##0.0000\);_(* &quot;-&quot;??_);_(@_)"/>
    <numFmt numFmtId="236" formatCode="0&quot; bps&quot;"/>
    <numFmt numFmtId="237" formatCode="&quot;WAS =&quot;\ #.00"/>
    <numFmt numFmtId="238" formatCode="&quot;Avg. Px.=&quot;#.00"/>
    <numFmt numFmtId="239" formatCode="&quot;WAL=&quot;#.00"/>
    <numFmt numFmtId="240" formatCode="#.00\ &quot;years&quot;"/>
    <numFmt numFmtId="241" formatCode="&quot;2nd Lien=&quot;#"/>
    <numFmt numFmtId="242" formatCode="&quot;WAPP=&quot;#.00"/>
    <numFmt numFmtId="243" formatCode="&quot;WAS=&quot;#.00"/>
    <numFmt numFmtId="244" formatCode="&quot;WAC=&quot;#.00"/>
    <numFmt numFmtId="245" formatCode="&quot;$&quot;#,##0.0_);\(&quot;$&quot;#,##0.0\)"/>
    <numFmt numFmtId="246" formatCode="#,###,;\(#,###,\)"/>
    <numFmt numFmtId="247" formatCode="000\-00\-0000"/>
    <numFmt numFmtId="248" formatCode="&quot;$&quot;#,##0.0000"/>
    <numFmt numFmtId="249" formatCode="&quot;$&quot;#,##0.000000"/>
    <numFmt numFmtId="250" formatCode="&quot;$&quot;#,##0.000"/>
    <numFmt numFmtId="251" formatCode="000000000"/>
    <numFmt numFmtId="252" formatCode="000"/>
    <numFmt numFmtId="253" formatCode="hh:mm\ AM/PM_)"/>
    <numFmt numFmtId="254" formatCode="#.0&quot;x&quot;"/>
    <numFmt numFmtId="255" formatCode="yyyy"/>
    <numFmt numFmtId="256" formatCode="\¥#,##0_);\(\¥#,##0\)"/>
    <numFmt numFmtId="257" formatCode="#0.0\x"/>
    <numFmt numFmtId="258" formatCode="0.0\x"/>
    <numFmt numFmtId="259" formatCode="0.0"/>
    <numFmt numFmtId="260" formatCode="#,##0.000_);\(#,##0.000\)"/>
    <numFmt numFmtId="261" formatCode="#,##0.0"/>
  </numFmts>
  <fonts count="132">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indexed="12"/>
      <name val="Arial"/>
      <family val="2"/>
    </font>
    <font>
      <sz val="10"/>
      <color indexed="8"/>
      <name val="Arial"/>
      <family val="2"/>
    </font>
    <font>
      <b/>
      <sz val="10"/>
      <name val="Arial"/>
      <family val="2"/>
    </font>
    <font>
      <sz val="10"/>
      <name val="Arial"/>
      <family val="2"/>
    </font>
    <font>
      <b/>
      <i/>
      <sz val="9"/>
      <name val="Arial"/>
      <family val="2"/>
    </font>
    <font>
      <b/>
      <u val="singleAccounting"/>
      <sz val="8"/>
      <color indexed="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name val="Arial"/>
      <family val="2"/>
    </font>
    <font>
      <u val="singleAccounting"/>
      <sz val="10"/>
      <name val="Arial"/>
      <family val="2"/>
    </font>
    <font>
      <sz val="10"/>
      <name val="Times New Roman"/>
      <family val="1"/>
    </font>
    <font>
      <b/>
      <sz val="10"/>
      <name val="Times New Roman"/>
      <family val="1"/>
    </font>
    <font>
      <b/>
      <sz val="10"/>
      <color indexed="12"/>
      <name val="Times New Roman"/>
      <family val="1"/>
    </font>
    <font>
      <i/>
      <sz val="10"/>
      <name val="Times New Roman"/>
      <family val="1"/>
    </font>
    <font>
      <sz val="9"/>
      <name val="Arial"/>
      <family val="2"/>
    </font>
    <font>
      <sz val="8"/>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0"/>
      <name val="Book Antiqua"/>
      <family val="1"/>
    </font>
    <font>
      <sz val="8"/>
      <name val="Times"/>
      <family val="1"/>
    </font>
    <font>
      <b/>
      <sz val="12"/>
      <name val="Times"/>
      <family val="1"/>
    </font>
    <font>
      <sz val="12"/>
      <name val="Arial"/>
      <family val="2"/>
    </font>
    <font>
      <sz val="10"/>
      <color indexed="8"/>
      <name val="Times New Roman"/>
      <family val="1"/>
    </font>
    <font>
      <sz val="8"/>
      <color indexed="12"/>
      <name val="Times"/>
      <family val="1"/>
    </font>
    <font>
      <sz val="8"/>
      <name val="Helv"/>
    </font>
    <font>
      <sz val="12"/>
      <name val="Times"/>
      <family val="1"/>
    </font>
    <font>
      <b/>
      <i/>
      <sz val="10"/>
      <name val="Arial"/>
      <family val="2"/>
    </font>
    <font>
      <b/>
      <i/>
      <sz val="12"/>
      <name val="Times New Roman"/>
      <family val="1"/>
    </font>
    <font>
      <b/>
      <u/>
      <sz val="8"/>
      <color indexed="8"/>
      <name val="Times New Roman"/>
      <family val="1"/>
    </font>
    <font>
      <b/>
      <sz val="9"/>
      <color indexed="8"/>
      <name val="Times New Roman"/>
      <family val="1"/>
    </font>
    <font>
      <i/>
      <sz val="8"/>
      <name val="Arial"/>
      <family val="2"/>
    </font>
    <font>
      <b/>
      <i/>
      <sz val="8"/>
      <name val="Arial"/>
      <family val="2"/>
    </font>
    <font>
      <b/>
      <sz val="8"/>
      <name val="Book Antiqua"/>
      <family val="1"/>
    </font>
    <font>
      <sz val="14"/>
      <name val="Arial"/>
      <family val="2"/>
    </font>
    <font>
      <sz val="8"/>
      <color indexed="12"/>
      <name val="Times New Roman"/>
      <family val="1"/>
    </font>
    <font>
      <b/>
      <sz val="14"/>
      <name val="Book Antiqua"/>
      <family val="1"/>
    </font>
    <font>
      <sz val="10"/>
      <name val="MS Serif"/>
      <family val="1"/>
    </font>
    <font>
      <sz val="10"/>
      <name val="MS Sans Serif"/>
      <family val="2"/>
    </font>
    <font>
      <sz val="12"/>
      <name val="Times New Roman"/>
      <family val="1"/>
    </font>
    <font>
      <u val="doubleAccounting"/>
      <sz val="10"/>
      <name val="Arial"/>
      <family val="2"/>
    </font>
    <font>
      <sz val="10"/>
      <color indexed="16"/>
      <name val="MS Serif"/>
      <family val="1"/>
    </font>
    <font>
      <b/>
      <i/>
      <sz val="9"/>
      <color indexed="4"/>
      <name val="Times New Roman"/>
      <family val="1"/>
    </font>
    <font>
      <sz val="7"/>
      <name val="Arial"/>
      <family val="2"/>
    </font>
    <font>
      <b/>
      <sz val="14"/>
      <name val="Arial"/>
      <family val="2"/>
    </font>
    <font>
      <u/>
      <sz val="8"/>
      <name val="Times New Roman"/>
      <family val="1"/>
    </font>
    <font>
      <b/>
      <sz val="12"/>
      <color indexed="9"/>
      <name val="Times"/>
      <family val="1"/>
    </font>
    <font>
      <b/>
      <i/>
      <sz val="18"/>
      <color indexed="4"/>
      <name val="Times New Roman"/>
      <family val="1"/>
    </font>
    <font>
      <b/>
      <sz val="12"/>
      <name val="Arial"/>
      <family val="2"/>
    </font>
    <font>
      <b/>
      <sz val="8"/>
      <name val="Palatino"/>
      <family val="1"/>
    </font>
    <font>
      <b/>
      <sz val="9"/>
      <name val="Arial"/>
      <family val="2"/>
    </font>
    <font>
      <b/>
      <sz val="8"/>
      <name val="MS Sans Serif"/>
      <family val="2"/>
    </font>
    <font>
      <b/>
      <i/>
      <sz val="10"/>
      <name val="Times New Roman"/>
      <family val="1"/>
    </font>
    <font>
      <b/>
      <sz val="10"/>
      <name val="Palatino"/>
      <family val="1"/>
    </font>
    <font>
      <sz val="8"/>
      <name val="Book Antiqua"/>
      <family val="1"/>
    </font>
    <font>
      <sz val="10"/>
      <name val="Geneva"/>
      <family val="2"/>
    </font>
    <font>
      <i/>
      <sz val="7"/>
      <name val="Book Antiqua"/>
      <family val="1"/>
    </font>
    <font>
      <sz val="8"/>
      <name val="Palatino"/>
      <family val="1"/>
    </font>
    <font>
      <b/>
      <i/>
      <sz val="16"/>
      <name val="Helv"/>
    </font>
    <font>
      <sz val="10"/>
      <color indexed="12"/>
      <name val="Times New Roman"/>
      <family val="1"/>
    </font>
    <font>
      <b/>
      <sz val="11"/>
      <name val="Times New Roman"/>
      <family val="1"/>
    </font>
    <font>
      <sz val="11"/>
      <name val="Times New Roman"/>
      <family val="1"/>
    </font>
    <font>
      <b/>
      <u/>
      <sz val="10"/>
      <color indexed="12"/>
      <name val="Times New Roman"/>
      <family val="1"/>
    </font>
    <font>
      <b/>
      <sz val="12"/>
      <name val="Times New Roman"/>
      <family val="1"/>
    </font>
    <font>
      <b/>
      <sz val="15"/>
      <name val="Times New Roman"/>
      <family val="1"/>
    </font>
    <font>
      <sz val="8"/>
      <color indexed="72"/>
      <name val="Arial"/>
      <family val="2"/>
    </font>
    <font>
      <sz val="11"/>
      <color indexed="8"/>
      <name val="Times New Roman"/>
      <family val="1"/>
    </font>
    <font>
      <b/>
      <i/>
      <sz val="11"/>
      <color indexed="8"/>
      <name val="Times New Roman"/>
      <family val="1"/>
    </font>
    <font>
      <b/>
      <sz val="11"/>
      <color indexed="16"/>
      <name val="Times New Roman"/>
      <family val="1"/>
    </font>
    <font>
      <u/>
      <sz val="8"/>
      <name val="Book Antiqua"/>
      <family val="1"/>
    </font>
    <font>
      <sz val="9"/>
      <name val="Times New Roman"/>
      <family val="1"/>
    </font>
    <font>
      <b/>
      <sz val="9"/>
      <name val="Times New Roman"/>
      <family val="1"/>
    </font>
    <font>
      <sz val="12"/>
      <name val="Arial MT"/>
    </font>
    <font>
      <b/>
      <sz val="10"/>
      <color indexed="8"/>
      <name val="Arial Narrow"/>
      <family val="2"/>
    </font>
    <font>
      <b/>
      <sz val="10"/>
      <name val="MS Sans Serif"/>
      <family val="2"/>
    </font>
    <font>
      <sz val="7"/>
      <color indexed="12"/>
      <name val="Arial"/>
      <family val="2"/>
    </font>
    <font>
      <sz val="8"/>
      <name val="Wingdings"/>
      <charset val="2"/>
    </font>
    <font>
      <sz val="9"/>
      <color indexed="8"/>
      <name val="Times New Roman"/>
      <family val="1"/>
    </font>
    <font>
      <sz val="8"/>
      <name val="MS Sans Serif"/>
      <family val="2"/>
    </font>
    <font>
      <b/>
      <sz val="8"/>
      <color indexed="10"/>
      <name val="Times New Roman"/>
      <family val="1"/>
    </font>
    <font>
      <b/>
      <sz val="8"/>
      <color indexed="8"/>
      <name val="Helv"/>
    </font>
    <font>
      <b/>
      <sz val="14"/>
      <color indexed="8"/>
      <name val="Times New Roman"/>
      <family val="1"/>
    </font>
    <font>
      <b/>
      <u/>
      <sz val="14"/>
      <name val="Book Antiqua"/>
      <family val="1"/>
    </font>
    <font>
      <b/>
      <sz val="10"/>
      <name val="Book Antiqua"/>
      <family val="1"/>
    </font>
    <font>
      <b/>
      <sz val="7"/>
      <name val="Arial"/>
      <family val="2"/>
    </font>
    <font>
      <b/>
      <sz val="7"/>
      <color indexed="12"/>
      <name val="Arial"/>
      <family val="2"/>
    </font>
    <font>
      <b/>
      <u/>
      <sz val="10"/>
      <name val="Book Antiqua"/>
      <family val="1"/>
    </font>
    <font>
      <b/>
      <sz val="8"/>
      <name val="Times New Roman"/>
      <family val="1"/>
    </font>
    <font>
      <b/>
      <sz val="11"/>
      <color indexed="9"/>
      <name val="Calibri"/>
      <family val="2"/>
    </font>
    <font>
      <sz val="10"/>
      <name val="Calibri"/>
      <family val="2"/>
      <scheme val="minor"/>
    </font>
    <font>
      <b/>
      <sz val="10"/>
      <color indexed="9"/>
      <name val="Calibri"/>
      <family val="2"/>
      <scheme val="minor"/>
    </font>
    <font>
      <b/>
      <sz val="10"/>
      <color indexed="12"/>
      <name val="Calibri"/>
      <family val="2"/>
      <scheme val="minor"/>
    </font>
    <font>
      <sz val="10"/>
      <color indexed="12"/>
      <name val="Calibri"/>
      <family val="2"/>
      <scheme val="minor"/>
    </font>
    <font>
      <b/>
      <sz val="10"/>
      <name val="Calibri"/>
      <family val="2"/>
      <scheme val="minor"/>
    </font>
    <font>
      <i/>
      <sz val="10"/>
      <name val="Calibri"/>
      <family val="2"/>
      <scheme val="minor"/>
    </font>
    <font>
      <i/>
      <sz val="10"/>
      <color indexed="8"/>
      <name val="Calibri"/>
      <family val="2"/>
      <scheme val="minor"/>
    </font>
    <font>
      <sz val="10"/>
      <color rgb="FFFF0000"/>
      <name val="Calibri"/>
      <family val="2"/>
      <scheme val="minor"/>
    </font>
    <font>
      <b/>
      <sz val="10"/>
      <color indexed="8"/>
      <name val="Calibri"/>
      <family val="2"/>
      <scheme val="minor"/>
    </font>
    <font>
      <i/>
      <sz val="10"/>
      <color rgb="FFFF0000"/>
      <name val="Calibri"/>
      <family val="2"/>
      <scheme val="minor"/>
    </font>
    <font>
      <sz val="10"/>
      <color rgb="FF0000FF"/>
      <name val="Calibri"/>
      <family val="2"/>
      <scheme val="minor"/>
    </font>
    <font>
      <i/>
      <sz val="8"/>
      <color rgb="FFFF0000"/>
      <name val="Calibri"/>
      <family val="2"/>
      <scheme val="minor"/>
    </font>
    <font>
      <b/>
      <sz val="10"/>
      <color rgb="FF0000FF"/>
      <name val="Calibri"/>
      <family val="2"/>
      <scheme val="minor"/>
    </font>
    <font>
      <b/>
      <sz val="10"/>
      <color theme="1"/>
      <name val="Calibri"/>
      <family val="2"/>
      <scheme val="minor"/>
    </font>
    <font>
      <sz val="10"/>
      <color theme="1"/>
      <name val="Calibri"/>
      <family val="2"/>
      <scheme val="minor"/>
    </font>
    <font>
      <sz val="9"/>
      <color indexed="81"/>
      <name val="Tahoma"/>
      <family val="2"/>
    </font>
    <font>
      <b/>
      <sz val="9"/>
      <color indexed="81"/>
      <name val="Tahoma"/>
      <family val="2"/>
    </font>
    <font>
      <b/>
      <u/>
      <sz val="16"/>
      <name val="Calibri"/>
      <family val="2"/>
      <scheme val="minor"/>
    </font>
    <font>
      <i/>
      <sz val="8"/>
      <color theme="1"/>
      <name val="Calibri"/>
      <family val="2"/>
      <scheme val="minor"/>
    </font>
    <font>
      <b/>
      <sz val="10"/>
      <color rgb="FFFF0000"/>
      <name val="Calibri"/>
      <family val="2"/>
      <scheme val="minor"/>
    </font>
    <font>
      <b/>
      <i/>
      <sz val="10"/>
      <name val="Calibri"/>
      <family val="2"/>
      <scheme val="minor"/>
    </font>
    <font>
      <i/>
      <sz val="8"/>
      <name val="Calibri"/>
      <family val="2"/>
      <scheme val="minor"/>
    </font>
    <font>
      <b/>
      <sz val="11"/>
      <color theme="1"/>
      <name val="Calibri"/>
      <family val="2"/>
      <scheme val="minor"/>
    </font>
    <font>
      <i/>
      <sz val="10"/>
      <color theme="1"/>
      <name val="Calibri"/>
      <family val="2"/>
      <scheme val="minor"/>
    </font>
  </fonts>
  <fills count="31">
    <fill>
      <patternFill patternType="none"/>
    </fill>
    <fill>
      <patternFill patternType="gray125"/>
    </fill>
    <fill>
      <patternFill patternType="solid">
        <fgColor indexed="43"/>
      </patternFill>
    </fill>
    <fill>
      <patternFill patternType="solid">
        <fgColor indexed="44"/>
      </patternFill>
    </fill>
    <fill>
      <patternFill patternType="lightGray">
        <fgColor indexed="15"/>
      </patternFill>
    </fill>
    <fill>
      <patternFill patternType="solid">
        <fgColor indexed="60"/>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62"/>
        <bgColor indexed="64"/>
      </patternFill>
    </fill>
    <fill>
      <patternFill patternType="solid">
        <fgColor indexed="63"/>
        <bgColor indexed="64"/>
      </patternFill>
    </fill>
    <fill>
      <patternFill patternType="solid">
        <fgColor indexed="13"/>
        <bgColor indexed="64"/>
      </patternFill>
    </fill>
    <fill>
      <patternFill patternType="solid">
        <fgColor indexed="4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50"/>
        <bgColor indexed="64"/>
      </patternFill>
    </fill>
    <fill>
      <patternFill patternType="mediumGray">
        <fgColor indexed="22"/>
      </patternFill>
    </fill>
    <fill>
      <patternFill patternType="darkVertical"/>
    </fill>
    <fill>
      <patternFill patternType="solid">
        <fgColor indexed="56"/>
        <bgColor indexed="64"/>
      </patternFill>
    </fill>
    <fill>
      <patternFill patternType="solid">
        <fgColor indexed="15"/>
        <bgColor indexed="64"/>
      </patternFill>
    </fill>
    <fill>
      <patternFill patternType="lightGray">
        <fgColor indexed="13"/>
      </patternFill>
    </fill>
    <fill>
      <patternFill patternType="solid">
        <fgColor rgb="FF4F81BD"/>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DDEBF7"/>
        <bgColor indexed="64"/>
      </patternFill>
    </fill>
    <fill>
      <patternFill patternType="solid">
        <fgColor theme="9" tint="0.79998168889431442"/>
        <bgColor indexed="64"/>
      </patternFill>
    </fill>
    <fill>
      <patternFill patternType="solid">
        <fgColor theme="0" tint="-0.14999847407452621"/>
        <bgColor indexed="64"/>
      </patternFill>
    </fill>
  </fills>
  <borders count="45">
    <border>
      <left/>
      <right/>
      <top/>
      <bottom/>
      <diagonal/>
    </border>
    <border>
      <left/>
      <right/>
      <top style="hair">
        <color indexed="8"/>
      </top>
      <bottom style="hair">
        <color indexed="8"/>
      </bottom>
      <diagonal/>
    </border>
    <border>
      <left/>
      <right/>
      <top/>
      <bottom style="medium">
        <color indexed="18"/>
      </bottom>
      <diagonal/>
    </border>
    <border>
      <left/>
      <right/>
      <top/>
      <bottom style="thin">
        <color indexed="64"/>
      </bottom>
      <diagonal/>
    </border>
    <border>
      <left/>
      <right/>
      <top style="thin">
        <color indexed="8"/>
      </top>
      <bottom/>
      <diagonal/>
    </border>
    <border>
      <left/>
      <right/>
      <top/>
      <bottom style="thin">
        <color indexed="8"/>
      </bottom>
      <diagonal/>
    </border>
    <border>
      <left/>
      <right/>
      <top style="double">
        <color indexed="64"/>
      </top>
      <bottom style="double">
        <color indexed="64"/>
      </bottom>
      <diagonal/>
    </border>
    <border>
      <left/>
      <right/>
      <top/>
      <bottom style="double">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45"/>
      </bottom>
      <diagonal/>
    </border>
    <border>
      <left style="thin">
        <color indexed="64"/>
      </left>
      <right style="thin">
        <color indexed="64"/>
      </right>
      <top/>
      <bottom/>
      <diagonal/>
    </border>
    <border>
      <left/>
      <right/>
      <top/>
      <bottom style="thin">
        <color indexed="45"/>
      </bottom>
      <diagonal/>
    </border>
    <border>
      <left/>
      <right/>
      <top style="medium">
        <color indexed="45"/>
      </top>
      <bottom/>
      <diagonal/>
    </border>
    <border>
      <left/>
      <right/>
      <top/>
      <bottom style="double">
        <color indexed="45"/>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bottom style="thin">
        <color indexed="9"/>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s>
  <cellStyleXfs count="902">
    <xf numFmtId="0" fontId="0" fillId="0" borderId="0"/>
    <xf numFmtId="173" fontId="29" fillId="0" borderId="0"/>
    <xf numFmtId="0" fontId="30" fillId="0" borderId="0">
      <alignment horizontal="right"/>
    </xf>
    <xf numFmtId="0" fontId="9" fillId="0" borderId="0"/>
    <xf numFmtId="174" fontId="25" fillId="0" borderId="0" applyFont="0" applyFill="0" applyBorder="0" applyAlignment="0"/>
    <xf numFmtId="175" fontId="9" fillId="0" borderId="0" applyFont="0" applyFill="0" applyBorder="0" applyAlignment="0" applyProtection="0"/>
    <xf numFmtId="176" fontId="9" fillId="0" borderId="0" applyFont="0" applyFill="0" applyBorder="0" applyAlignment="0" applyProtection="0"/>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pplyNumberFormat="0" applyFill="0" applyBorder="0" applyAlignment="0" applyProtection="0">
      <alignment horizontal="left" wrapText="1"/>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9" fillId="0" borderId="0" applyNumberFormat="0" applyFill="0" applyBorder="0" applyAlignment="0" applyProtection="0">
      <alignment horizontal="left" wrapText="1"/>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vertical="top"/>
    </xf>
    <xf numFmtId="0" fontId="9" fillId="0" borderId="0" applyNumberFormat="0" applyFill="0" applyBorder="0" applyAlignment="0" applyProtection="0">
      <alignment horizontal="left" wrapText="1"/>
    </xf>
    <xf numFmtId="0" fontId="9" fillId="0" borderId="0">
      <alignment vertical="top"/>
    </xf>
    <xf numFmtId="177" fontId="9" fillId="0" borderId="0" applyFont="0" applyFill="0" applyBorder="0" applyAlignment="0" applyProtection="0"/>
    <xf numFmtId="165" fontId="9" fillId="0" borderId="0" applyFont="0" applyFill="0" applyBorder="0" applyAlignment="0" applyProtection="0"/>
    <xf numFmtId="178" fontId="9" fillId="0" borderId="0" applyFont="0" applyFill="0" applyBorder="0" applyAlignment="0" applyProtection="0"/>
    <xf numFmtId="179" fontId="9" fillId="0" borderId="0" applyFont="0" applyFill="0" applyBorder="0" applyAlignment="0" applyProtection="0"/>
    <xf numFmtId="180" fontId="9" fillId="0" borderId="0" applyFont="0" applyFill="0" applyBorder="0" applyAlignment="0" applyProtection="0"/>
    <xf numFmtId="39" fontId="9" fillId="0" borderId="0" applyFont="0" applyFill="0" applyBorder="0" applyAlignment="0" applyProtection="0"/>
    <xf numFmtId="181" fontId="9" fillId="0" borderId="0" applyFont="0" applyFill="0" applyBorder="0" applyAlignment="0" applyProtection="0"/>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31" fillId="0" borderId="0" applyNumberFormat="0" applyFill="0" applyBorder="0" applyAlignment="0" applyProtection="0"/>
    <xf numFmtId="0" fontId="31" fillId="0" borderId="0" applyNumberFormat="0" applyFill="0" applyBorder="0" applyAlignment="0" applyProtection="0"/>
    <xf numFmtId="0" fontId="9" fillId="2" borderId="0" applyNumberFormat="0" applyFont="0" applyAlignment="0" applyProtection="0"/>
    <xf numFmtId="0" fontId="9" fillId="0" borderId="0" applyFont="0" applyFill="0" applyBorder="0" applyAlignment="0" applyProtection="0"/>
    <xf numFmtId="182"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Protection="0">
      <alignment horizontal="right"/>
    </xf>
    <xf numFmtId="185" fontId="9" fillId="0" borderId="0" applyFont="0" applyFill="0" applyBorder="0" applyAlignment="0" applyProtection="0"/>
    <xf numFmtId="0" fontId="9" fillId="0" borderId="0">
      <alignment horizontal="left" wrapText="1"/>
    </xf>
    <xf numFmtId="0" fontId="9" fillId="0" borderId="0">
      <alignment horizontal="left" wrapText="1"/>
    </xf>
    <xf numFmtId="186" fontId="9" fillId="0" borderId="0" applyFont="0" applyFill="0" applyBorder="0" applyAlignment="0" applyProtection="0"/>
    <xf numFmtId="187" fontId="9" fillId="0" borderId="0" applyFont="0" applyFill="0" applyBorder="0" applyAlignment="0" applyProtection="0"/>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pplyFont="0" applyFill="0" applyBorder="0" applyAlignment="0" applyProtection="0"/>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32" fillId="0" borderId="0" applyNumberFormat="0" applyFill="0" applyBorder="0" applyProtection="0">
      <alignment vertical="top"/>
    </xf>
    <xf numFmtId="0" fontId="32" fillId="0" borderId="0" applyNumberFormat="0" applyFill="0" applyBorder="0" applyProtection="0">
      <alignment vertical="top"/>
    </xf>
    <xf numFmtId="0" fontId="33" fillId="0" borderId="1" applyNumberFormat="0" applyFill="0" applyAlignment="0" applyProtection="0"/>
    <xf numFmtId="0" fontId="34" fillId="0" borderId="2" applyNumberFormat="0" applyFill="0" applyProtection="0">
      <alignment horizontal="center"/>
    </xf>
    <xf numFmtId="0" fontId="34" fillId="0" borderId="0" applyNumberFormat="0" applyFill="0" applyBorder="0" applyProtection="0">
      <alignment horizontal="left"/>
    </xf>
    <xf numFmtId="0" fontId="35" fillId="0" borderId="0" applyNumberFormat="0" applyFill="0" applyBorder="0" applyProtection="0">
      <alignment horizontal="centerContinuous"/>
    </xf>
    <xf numFmtId="188" fontId="36" fillId="0" borderId="0" applyFont="0" applyFill="0" applyBorder="0" applyAlignment="0" applyProtection="0"/>
    <xf numFmtId="189" fontId="36" fillId="0" borderId="0" applyFont="0" applyFill="0" applyBorder="0" applyAlignment="0" applyProtection="0"/>
    <xf numFmtId="190" fontId="36" fillId="0" borderId="0" applyFont="0" applyFill="0" applyBorder="0" applyAlignment="0" applyProtection="0"/>
    <xf numFmtId="191" fontId="36" fillId="0" borderId="0" applyFont="0" applyFill="0" applyBorder="0" applyAlignment="0" applyProtection="0"/>
    <xf numFmtId="192" fontId="36" fillId="0" borderId="0" applyFont="0" applyFill="0" applyBorder="0" applyAlignment="0" applyProtection="0"/>
    <xf numFmtId="193" fontId="37" fillId="0" borderId="0" applyFont="0" applyFill="0" applyBorder="0" applyAlignment="0" applyProtection="0"/>
    <xf numFmtId="42" fontId="9" fillId="0" borderId="0" applyFont="0" applyFill="0" applyBorder="0" applyAlignment="0" applyProtection="0"/>
    <xf numFmtId="0" fontId="38" fillId="0" borderId="0" applyNumberFormat="0" applyFont="0" applyFill="0" applyBorder="0" applyProtection="0">
      <alignment horizontal="centerContinuous"/>
    </xf>
    <xf numFmtId="0" fontId="6" fillId="0" borderId="0" applyNumberFormat="0" applyFill="0" applyBorder="0" applyAlignment="0">
      <protection locked="0"/>
    </xf>
    <xf numFmtId="0" fontId="39" fillId="0" borderId="0"/>
    <xf numFmtId="0" fontId="40" fillId="0" borderId="0"/>
    <xf numFmtId="0" fontId="30" fillId="0" borderId="0">
      <alignment horizontal="center" wrapText="1"/>
      <protection locked="0"/>
    </xf>
    <xf numFmtId="0" fontId="9" fillId="0" borderId="0" applyNumberFormat="0" applyFill="0" applyBorder="0" applyAlignment="0" applyProtection="0"/>
    <xf numFmtId="0" fontId="41" fillId="0" borderId="0" applyNumberFormat="0" applyFill="0" applyBorder="0" applyAlignment="0" applyProtection="0"/>
    <xf numFmtId="0" fontId="25" fillId="3" borderId="0" applyNumberFormat="0" applyBorder="0" applyAlignment="0">
      <protection locked="0"/>
    </xf>
    <xf numFmtId="194" fontId="25" fillId="0" borderId="0" applyFont="0" applyFill="0" applyBorder="0" applyAlignment="0" applyProtection="0"/>
    <xf numFmtId="195" fontId="42" fillId="0" borderId="0" applyFont="0" applyFill="0" applyBorder="0" applyAlignment="0" applyProtection="0"/>
    <xf numFmtId="196" fontId="25" fillId="0" borderId="0" applyFont="0" applyFill="0" applyBorder="0" applyAlignment="0" applyProtection="0"/>
    <xf numFmtId="0" fontId="107" fillId="25" borderId="0"/>
    <xf numFmtId="0" fontId="43" fillId="0" borderId="0" applyNumberFormat="0" applyFill="0" applyBorder="0" applyAlignment="0" applyProtection="0"/>
    <xf numFmtId="197" fontId="44" fillId="0" borderId="0"/>
    <xf numFmtId="0" fontId="45" fillId="0" borderId="0" applyNumberFormat="0" applyFill="0" applyBorder="0" applyAlignment="0" applyProtection="0"/>
    <xf numFmtId="0" fontId="8" fillId="0" borderId="0"/>
    <xf numFmtId="0" fontId="46" fillId="0" borderId="0"/>
    <xf numFmtId="0" fontId="38" fillId="0" borderId="3" applyNumberFormat="0" applyFont="0" applyFill="0" applyAlignment="0" applyProtection="0"/>
    <xf numFmtId="0" fontId="47" fillId="0" borderId="4" applyFill="0" applyProtection="0">
      <alignment horizontal="right"/>
    </xf>
    <xf numFmtId="198" fontId="24" fillId="0" borderId="0" applyFont="0" applyFill="0" applyBorder="0" applyAlignment="0" applyProtection="0"/>
    <xf numFmtId="0" fontId="10" fillId="0" borderId="0" applyNumberFormat="0" applyFill="0" applyBorder="0" applyAlignment="0" applyProtection="0"/>
    <xf numFmtId="0" fontId="48" fillId="0" borderId="0"/>
    <xf numFmtId="0" fontId="29" fillId="0" borderId="0" applyFill="0" applyBorder="0" applyAlignment="0"/>
    <xf numFmtId="0" fontId="29" fillId="0" borderId="0" applyFill="0" applyBorder="0" applyAlignment="0"/>
    <xf numFmtId="199" fontId="29" fillId="0" borderId="0" applyFill="0" applyBorder="0" applyAlignment="0"/>
    <xf numFmtId="200" fontId="29" fillId="0" borderId="0" applyFill="0" applyBorder="0" applyAlignment="0"/>
    <xf numFmtId="201" fontId="9" fillId="0" borderId="0" applyFill="0" applyBorder="0" applyAlignment="0"/>
    <xf numFmtId="0" fontId="29" fillId="0" borderId="0" applyFill="0" applyBorder="0" applyAlignment="0"/>
    <xf numFmtId="0" fontId="29" fillId="0" borderId="0" applyFill="0" applyBorder="0" applyAlignment="0"/>
    <xf numFmtId="0" fontId="29" fillId="0" borderId="0" applyFill="0" applyBorder="0" applyAlignment="0"/>
    <xf numFmtId="39" fontId="30" fillId="4" borderId="0" applyNumberFormat="0" applyFont="0" applyBorder="0" applyAlignment="0"/>
    <xf numFmtId="0" fontId="49" fillId="0" borderId="0"/>
    <xf numFmtId="0" fontId="38" fillId="0" borderId="0" applyNumberFormat="0" applyFont="0" applyFill="0" applyBorder="0" applyProtection="0">
      <alignment horizontal="center"/>
    </xf>
    <xf numFmtId="49" fontId="23" fillId="0" borderId="0" applyFill="0" applyBorder="0" applyProtection="0">
      <alignment horizontal="center"/>
    </xf>
    <xf numFmtId="49" fontId="50" fillId="0" borderId="0" applyFill="0" applyBorder="0" applyProtection="0">
      <alignment horizontal="center"/>
    </xf>
    <xf numFmtId="8" fontId="9" fillId="0" borderId="5" applyFont="0" applyFill="0" applyBorder="0" applyProtection="0">
      <alignment horizontal="right"/>
    </xf>
    <xf numFmtId="0" fontId="7" fillId="0" borderId="0"/>
    <xf numFmtId="0" fontId="5" fillId="0" borderId="0" applyNumberFormat="0" applyFill="0" applyBorder="0" applyAlignment="0" applyProtection="0"/>
    <xf numFmtId="0" fontId="51" fillId="0" borderId="0" applyNumberFormat="0" applyFill="0" applyBorder="0" applyAlignment="0" applyProtection="0"/>
    <xf numFmtId="0" fontId="5" fillId="0" borderId="0" applyNumberFormat="0" applyFill="0" applyBorder="0" applyAlignment="0" applyProtection="0"/>
    <xf numFmtId="0" fontId="52" fillId="0" borderId="3" applyNumberFormat="0" applyFill="0" applyBorder="0" applyAlignment="0" applyProtection="0">
      <alignment horizontal="center"/>
    </xf>
    <xf numFmtId="0" fontId="11" fillId="5" borderId="0"/>
    <xf numFmtId="202" fontId="9" fillId="0" borderId="0"/>
    <xf numFmtId="202" fontId="9" fillId="0" borderId="0"/>
    <xf numFmtId="202" fontId="9" fillId="0" borderId="0"/>
    <xf numFmtId="202" fontId="9" fillId="0" borderId="0"/>
    <xf numFmtId="202" fontId="9" fillId="0" borderId="0"/>
    <xf numFmtId="202" fontId="9" fillId="0" borderId="0"/>
    <xf numFmtId="202" fontId="9" fillId="0" borderId="0"/>
    <xf numFmtId="202" fontId="9" fillId="0" borderId="0"/>
    <xf numFmtId="203" fontId="53" fillId="0" borderId="0"/>
    <xf numFmtId="0" fontId="29" fillId="0" borderId="0" applyFont="0" applyFill="0" applyBorder="0" applyAlignment="0" applyProtection="0"/>
    <xf numFmtId="170" fontId="54" fillId="0" borderId="0" applyFont="0" applyFill="0" applyBorder="0" applyAlignment="0" applyProtection="0"/>
    <xf numFmtId="40" fontId="9" fillId="0" borderId="0" applyFont="0" applyFill="0" applyBorder="0" applyProtection="0">
      <alignment horizontal="right"/>
    </xf>
    <xf numFmtId="3" fontId="9" fillId="0" borderId="0" applyFill="0" applyBorder="0" applyAlignment="0" applyProtection="0"/>
    <xf numFmtId="3" fontId="5" fillId="0" borderId="0" applyFont="0" applyFill="0" applyBorder="0" applyAlignment="0" applyProtection="0"/>
    <xf numFmtId="3" fontId="23" fillId="0" borderId="0" applyFill="0" applyBorder="0" applyAlignment="0" applyProtection="0"/>
    <xf numFmtId="38" fontId="55" fillId="0" borderId="0" applyNumberFormat="0" applyFill="0" applyBorder="0">
      <alignment vertical="center"/>
    </xf>
    <xf numFmtId="0" fontId="56" fillId="0" borderId="0" applyNumberFormat="0" applyAlignment="0">
      <alignment horizontal="left"/>
    </xf>
    <xf numFmtId="7" fontId="9" fillId="0" borderId="0" applyFont="0" applyFill="0" applyBorder="0" applyAlignment="0" applyProtection="0"/>
    <xf numFmtId="204" fontId="53" fillId="0" borderId="0"/>
    <xf numFmtId="0" fontId="29" fillId="0" borderId="0" applyFont="0" applyFill="0" applyBorder="0" applyAlignment="0" applyProtection="0"/>
    <xf numFmtId="205" fontId="25" fillId="0" borderId="0" applyFont="0" applyFill="0" applyBorder="0" applyAlignment="0" applyProtection="0"/>
    <xf numFmtId="8" fontId="38" fillId="0" borderId="0" applyBorder="0"/>
    <xf numFmtId="206" fontId="9" fillId="0" borderId="0" applyNumberFormat="0">
      <alignment horizontal="right"/>
    </xf>
    <xf numFmtId="15" fontId="9" fillId="0" borderId="0" applyFont="0" applyFill="0" applyBorder="0" applyProtection="0">
      <alignment horizontal="right"/>
    </xf>
    <xf numFmtId="14" fontId="7" fillId="0" borderId="0" applyFill="0" applyBorder="0" applyAlignment="0"/>
    <xf numFmtId="15" fontId="9" fillId="0" borderId="0" applyFont="0" applyFill="0" applyBorder="0" applyProtection="0">
      <alignment horizontal="right"/>
    </xf>
    <xf numFmtId="207" fontId="23" fillId="0" borderId="0" applyFill="0" applyBorder="0" applyProtection="0">
      <alignment horizontal="left"/>
    </xf>
    <xf numFmtId="0" fontId="9" fillId="0" borderId="0">
      <alignment horizontal="left"/>
    </xf>
    <xf numFmtId="38" fontId="57" fillId="0" borderId="6">
      <alignment vertical="center"/>
    </xf>
    <xf numFmtId="208" fontId="37" fillId="0" borderId="0" applyFont="0" applyFill="0" applyBorder="0" applyAlignment="0" applyProtection="0"/>
    <xf numFmtId="4" fontId="58" fillId="0" borderId="0" applyFont="0" applyFill="0" applyBorder="0" applyAlignment="0" applyProtection="0"/>
    <xf numFmtId="0" fontId="37" fillId="0" borderId="0" applyFont="0" applyFill="0" applyBorder="0" applyAlignment="0" applyProtection="0"/>
    <xf numFmtId="0" fontId="38" fillId="0" borderId="7" applyNumberFormat="0" applyFont="0" applyFill="0" applyAlignment="0" applyProtection="0"/>
    <xf numFmtId="42" fontId="59" fillId="0" borderId="0" applyFill="0" applyBorder="0" applyAlignment="0" applyProtection="0"/>
    <xf numFmtId="0" fontId="29" fillId="0" borderId="0" applyFill="0" applyBorder="0" applyAlignment="0"/>
    <xf numFmtId="0" fontId="29" fillId="0" borderId="0" applyFill="0" applyBorder="0" applyAlignment="0"/>
    <xf numFmtId="0" fontId="29" fillId="0" borderId="0" applyFill="0" applyBorder="0" applyAlignment="0"/>
    <xf numFmtId="0" fontId="29" fillId="0" borderId="0" applyFill="0" applyBorder="0" applyAlignment="0"/>
    <xf numFmtId="0" fontId="29" fillId="0" borderId="0" applyFill="0" applyBorder="0" applyAlignment="0"/>
    <xf numFmtId="0" fontId="60" fillId="0" borderId="0" applyNumberFormat="0" applyAlignment="0">
      <alignment horizontal="left"/>
    </xf>
    <xf numFmtId="209" fontId="9" fillId="0" borderId="0" applyFont="0" applyFill="0" applyBorder="0" applyAlignment="0" applyProtection="0"/>
    <xf numFmtId="169" fontId="38" fillId="0" borderId="0" applyNumberFormat="0" applyFont="0" applyAlignment="0">
      <alignment vertical="center"/>
    </xf>
    <xf numFmtId="0" fontId="61" fillId="0" borderId="0">
      <alignment horizontal="center"/>
    </xf>
    <xf numFmtId="0" fontId="62" fillId="0" borderId="0" applyNumberFormat="0" applyFill="0" applyBorder="0" applyAlignment="0" applyProtection="0"/>
    <xf numFmtId="38" fontId="5" fillId="6" borderId="0" applyNumberFormat="0" applyBorder="0" applyAlignment="0" applyProtection="0"/>
    <xf numFmtId="0" fontId="8" fillId="7" borderId="8" applyAlignment="0" applyProtection="0"/>
    <xf numFmtId="0" fontId="63" fillId="0" borderId="3" applyFill="0" applyProtection="0">
      <alignment horizontal="centerContinuous"/>
    </xf>
    <xf numFmtId="41" fontId="64" fillId="0" borderId="0">
      <alignment horizontal="center"/>
    </xf>
    <xf numFmtId="0" fontId="9" fillId="0" borderId="0">
      <alignment horizontal="center"/>
    </xf>
    <xf numFmtId="0" fontId="9" fillId="0" borderId="0">
      <alignment horizontal="left"/>
    </xf>
    <xf numFmtId="0" fontId="9" fillId="0" borderId="0">
      <alignment horizontal="right"/>
    </xf>
    <xf numFmtId="0" fontId="65" fillId="8" borderId="0"/>
    <xf numFmtId="0" fontId="66" fillId="0" borderId="0">
      <alignment horizontal="center" vertical="center"/>
    </xf>
    <xf numFmtId="0" fontId="67" fillId="0" borderId="9" applyNumberFormat="0" applyAlignment="0" applyProtection="0">
      <alignment horizontal="left" vertical="center"/>
    </xf>
    <xf numFmtId="0" fontId="67" fillId="0" borderId="8">
      <alignment horizontal="left" vertical="center"/>
    </xf>
    <xf numFmtId="0" fontId="68" fillId="0" borderId="0">
      <alignment horizontal="center"/>
    </xf>
    <xf numFmtId="0" fontId="69" fillId="0" borderId="0" applyFill="0" applyBorder="0" applyProtection="0">
      <alignment horizontal="right"/>
    </xf>
    <xf numFmtId="0" fontId="70" fillId="0" borderId="10">
      <alignment horizontal="center"/>
    </xf>
    <xf numFmtId="0" fontId="70" fillId="0" borderId="0">
      <alignment horizontal="center"/>
    </xf>
    <xf numFmtId="10" fontId="43" fillId="0" borderId="0" applyNumberFormat="0" applyFill="0" applyBorder="0" applyAlignment="0" applyProtection="0">
      <alignment horizontal="right"/>
    </xf>
    <xf numFmtId="10" fontId="5" fillId="9" borderId="11" applyNumberFormat="0" applyBorder="0" applyAlignment="0" applyProtection="0"/>
    <xf numFmtId="0" fontId="12" fillId="0" borderId="0"/>
    <xf numFmtId="0" fontId="71" fillId="0" borderId="0"/>
    <xf numFmtId="0" fontId="5" fillId="0" borderId="0" applyNumberFormat="0" applyFill="0" applyBorder="0" applyAlignment="0" applyProtection="0"/>
    <xf numFmtId="0" fontId="23" fillId="0" borderId="0" applyNumberFormat="0" applyFill="0" applyBorder="0" applyAlignment="0" applyProtection="0"/>
    <xf numFmtId="0" fontId="5" fillId="0" borderId="0" applyNumberFormat="0" applyFill="0" applyBorder="0" applyAlignment="0" applyProtection="0"/>
    <xf numFmtId="49" fontId="5" fillId="0" borderId="0" applyFont="0" applyFill="0" applyBorder="0" applyProtection="0">
      <alignment horizontal="left"/>
    </xf>
    <xf numFmtId="49" fontId="23" fillId="0" borderId="0" applyFill="0" applyBorder="0" applyProtection="0">
      <alignment horizontal="left"/>
    </xf>
    <xf numFmtId="49" fontId="23" fillId="0" borderId="3" applyFill="0" applyProtection="0">
      <alignment horizontal="left"/>
    </xf>
    <xf numFmtId="49" fontId="23" fillId="0" borderId="12" applyFill="0" applyProtection="0">
      <alignment horizontal="left"/>
    </xf>
    <xf numFmtId="0" fontId="72" fillId="0" borderId="0"/>
    <xf numFmtId="0" fontId="29" fillId="0" borderId="0" applyFill="0" applyBorder="0" applyAlignment="0"/>
    <xf numFmtId="0" fontId="29" fillId="0" borderId="0" applyFill="0" applyBorder="0" applyAlignment="0"/>
    <xf numFmtId="0" fontId="29" fillId="0" borderId="0" applyFill="0" applyBorder="0" applyAlignment="0"/>
    <xf numFmtId="0" fontId="29" fillId="0" borderId="0" applyFill="0" applyBorder="0" applyAlignment="0"/>
    <xf numFmtId="0" fontId="29" fillId="0" borderId="0" applyFill="0" applyBorder="0" applyAlignment="0"/>
    <xf numFmtId="165" fontId="9" fillId="0" borderId="0" applyNumberFormat="0" applyFont="0" applyFill="0" applyBorder="0" applyAlignment="0"/>
    <xf numFmtId="17" fontId="25" fillId="0" borderId="0"/>
    <xf numFmtId="0" fontId="30" fillId="0" borderId="0" applyNumberFormat="0" applyFill="0" applyBorder="0" applyProtection="0"/>
    <xf numFmtId="0" fontId="25" fillId="0" borderId="0" applyNumberFormat="0" applyFill="0" applyBorder="0" applyProtection="0"/>
    <xf numFmtId="38" fontId="73" fillId="0" borderId="0" applyNumberFormat="0" applyFill="0" applyBorder="0">
      <alignment horizontal="left" vertical="center"/>
    </xf>
    <xf numFmtId="164" fontId="9" fillId="0" borderId="0" applyFont="0" applyFill="0" applyBorder="0" applyAlignment="0" applyProtection="0"/>
    <xf numFmtId="38" fontId="74" fillId="0" borderId="0" applyFont="0" applyFill="0" applyBorder="0" applyAlignment="0" applyProtection="0"/>
    <xf numFmtId="40" fontId="74" fillId="0" borderId="0" applyFont="0" applyFill="0" applyBorder="0" applyAlignment="0" applyProtection="0"/>
    <xf numFmtId="169" fontId="75" fillId="0" borderId="0" applyFill="0" applyBorder="0">
      <alignment vertical="center"/>
    </xf>
    <xf numFmtId="210" fontId="30" fillId="0" borderId="0">
      <alignment horizontal="center"/>
    </xf>
    <xf numFmtId="211" fontId="74" fillId="0" borderId="0" applyFont="0" applyFill="0" applyBorder="0" applyAlignment="0" applyProtection="0"/>
    <xf numFmtId="212" fontId="74" fillId="0" borderId="0" applyFont="0" applyFill="0" applyBorder="0" applyAlignment="0" applyProtection="0"/>
    <xf numFmtId="7" fontId="9" fillId="0" borderId="0"/>
    <xf numFmtId="213" fontId="76" fillId="0" borderId="0" applyFont="0" applyFill="0" applyBorder="0" applyProtection="0">
      <alignment horizontal="right"/>
    </xf>
    <xf numFmtId="214" fontId="58" fillId="0" borderId="0" applyFont="0" applyFill="0" applyBorder="0" applyAlignment="0" applyProtection="0"/>
    <xf numFmtId="215" fontId="25" fillId="0" borderId="0" applyFont="0" applyFill="0" applyBorder="0" applyAlignment="0" applyProtection="0"/>
    <xf numFmtId="216" fontId="58" fillId="0" borderId="0" applyFont="0" applyFill="0" applyBorder="0" applyAlignment="0" applyProtection="0"/>
    <xf numFmtId="217" fontId="30" fillId="0" borderId="0" applyFont="0" applyFill="0" applyBorder="0" applyAlignment="0" applyProtection="0"/>
    <xf numFmtId="218" fontId="25" fillId="0" borderId="0" applyFont="0" applyFill="0" applyBorder="0" applyAlignment="0" applyProtection="0"/>
    <xf numFmtId="219" fontId="58" fillId="0" borderId="0" applyFont="0" applyFill="0" applyBorder="0" applyAlignment="0" applyProtection="0"/>
    <xf numFmtId="220" fontId="58" fillId="0" borderId="0" applyFont="0" applyFill="0" applyBorder="0" applyAlignment="0" applyProtection="0"/>
    <xf numFmtId="221" fontId="25" fillId="0" borderId="0" applyFont="0" applyFill="0" applyBorder="0" applyAlignment="0" applyProtection="0"/>
    <xf numFmtId="222" fontId="9" fillId="0" borderId="0"/>
    <xf numFmtId="0" fontId="13" fillId="10" borderId="0"/>
    <xf numFmtId="0" fontId="14" fillId="11" borderId="0"/>
    <xf numFmtId="0" fontId="15" fillId="0" borderId="0"/>
    <xf numFmtId="223" fontId="77" fillId="0" borderId="0"/>
    <xf numFmtId="0" fontId="9" fillId="0" borderId="0"/>
    <xf numFmtId="0" fontId="9" fillId="0" borderId="0"/>
    <xf numFmtId="0" fontId="78" fillId="0" borderId="0">
      <alignment horizontal="center"/>
    </xf>
    <xf numFmtId="0" fontId="26" fillId="0" borderId="0">
      <alignment horizontal="center" vertical="center"/>
    </xf>
    <xf numFmtId="0" fontId="25" fillId="0" borderId="13"/>
    <xf numFmtId="0" fontId="25" fillId="0" borderId="14"/>
    <xf numFmtId="49" fontId="25" fillId="0" borderId="14">
      <alignment horizontal="left"/>
    </xf>
    <xf numFmtId="0" fontId="25" fillId="0" borderId="15"/>
    <xf numFmtId="0" fontId="25" fillId="0" borderId="3"/>
    <xf numFmtId="0" fontId="25" fillId="0" borderId="16"/>
    <xf numFmtId="0" fontId="25" fillId="6" borderId="17"/>
    <xf numFmtId="0" fontId="26" fillId="6" borderId="12">
      <alignment horizontal="left"/>
    </xf>
    <xf numFmtId="0" fontId="26" fillId="6" borderId="18">
      <alignment horizontal="left"/>
    </xf>
    <xf numFmtId="0" fontId="25" fillId="6" borderId="12"/>
    <xf numFmtId="0" fontId="25" fillId="0" borderId="0">
      <alignment horizontal="left"/>
    </xf>
    <xf numFmtId="0" fontId="26" fillId="6" borderId="12">
      <alignment horizontal="left"/>
    </xf>
    <xf numFmtId="0" fontId="42" fillId="6" borderId="12">
      <alignment horizontal="left"/>
    </xf>
    <xf numFmtId="0" fontId="25" fillId="6" borderId="18"/>
    <xf numFmtId="0" fontId="25" fillId="0" borderId="13">
      <alignment horizontal="left"/>
    </xf>
    <xf numFmtId="0" fontId="25" fillId="0" borderId="0">
      <alignment horizontal="left"/>
    </xf>
    <xf numFmtId="0" fontId="25" fillId="0" borderId="14">
      <alignment horizontal="center"/>
    </xf>
    <xf numFmtId="0" fontId="25" fillId="0" borderId="0">
      <alignment horizontal="left"/>
    </xf>
    <xf numFmtId="0" fontId="26" fillId="6" borderId="17">
      <alignment horizontal="left"/>
    </xf>
    <xf numFmtId="0" fontId="25" fillId="0" borderId="13">
      <alignment horizontal="left"/>
    </xf>
    <xf numFmtId="0" fontId="25" fillId="0" borderId="13">
      <alignment horizontal="right"/>
    </xf>
    <xf numFmtId="172" fontId="26" fillId="0" borderId="0"/>
    <xf numFmtId="0" fontId="25" fillId="0" borderId="13"/>
    <xf numFmtId="169" fontId="25" fillId="0" borderId="14"/>
    <xf numFmtId="0" fontId="25" fillId="0" borderId="13"/>
    <xf numFmtId="0" fontId="25" fillId="0" borderId="13">
      <alignment horizontal="left"/>
    </xf>
    <xf numFmtId="0" fontId="26" fillId="6" borderId="17"/>
    <xf numFmtId="0" fontId="79" fillId="6" borderId="13">
      <alignment horizontal="left"/>
    </xf>
    <xf numFmtId="0" fontId="25" fillId="6" borderId="14"/>
    <xf numFmtId="0" fontId="26" fillId="6" borderId="13">
      <alignment horizontal="left"/>
    </xf>
    <xf numFmtId="0" fontId="25" fillId="0" borderId="13">
      <alignment horizontal="left"/>
    </xf>
    <xf numFmtId="0" fontId="25" fillId="0" borderId="13">
      <alignment horizontal="left"/>
    </xf>
    <xf numFmtId="14" fontId="78" fillId="0" borderId="0">
      <alignment horizontal="center"/>
    </xf>
    <xf numFmtId="49" fontId="80" fillId="0" borderId="13">
      <alignment horizontal="left"/>
    </xf>
    <xf numFmtId="0" fontId="80" fillId="0" borderId="13"/>
    <xf numFmtId="0" fontId="26" fillId="6" borderId="13">
      <alignment horizontal="left"/>
    </xf>
    <xf numFmtId="0" fontId="26" fillId="6" borderId="13"/>
    <xf numFmtId="49" fontId="25" fillId="0" borderId="14">
      <alignment horizontal="left"/>
    </xf>
    <xf numFmtId="0" fontId="78" fillId="0" borderId="13"/>
    <xf numFmtId="0" fontId="78" fillId="0" borderId="0">
      <alignment horizontal="center"/>
    </xf>
    <xf numFmtId="14" fontId="78" fillId="0" borderId="0">
      <alignment horizontal="center"/>
    </xf>
    <xf numFmtId="0" fontId="78" fillId="0" borderId="15"/>
    <xf numFmtId="0" fontId="25" fillId="0" borderId="3">
      <alignment horizontal="center"/>
    </xf>
    <xf numFmtId="0" fontId="25" fillId="0" borderId="0"/>
    <xf numFmtId="0" fontId="78" fillId="0" borderId="3">
      <alignment horizontal="center"/>
    </xf>
    <xf numFmtId="14" fontId="78" fillId="0" borderId="3">
      <alignment horizontal="center"/>
    </xf>
    <xf numFmtId="0" fontId="26" fillId="0" borderId="0">
      <alignment horizontal="left" vertical="center" wrapText="1"/>
    </xf>
    <xf numFmtId="0" fontId="26" fillId="6" borderId="9">
      <alignment horizontal="left" wrapText="1"/>
    </xf>
    <xf numFmtId="0" fontId="26" fillId="0" borderId="0">
      <alignment horizontal="right" vertical="center"/>
    </xf>
    <xf numFmtId="172" fontId="26" fillId="0" borderId="0">
      <alignment horizontal="right"/>
    </xf>
    <xf numFmtId="14" fontId="81" fillId="0" borderId="0">
      <alignment horizontal="center"/>
    </xf>
    <xf numFmtId="0" fontId="26" fillId="6" borderId="19">
      <alignment horizontal="center" wrapText="1"/>
    </xf>
    <xf numFmtId="0" fontId="58" fillId="0" borderId="0">
      <alignment horizontal="center" vertical="center"/>
    </xf>
    <xf numFmtId="1" fontId="82" fillId="0" borderId="0">
      <alignment horizontal="center" wrapText="1"/>
    </xf>
    <xf numFmtId="0" fontId="26" fillId="6" borderId="9">
      <alignment horizontal="center" wrapText="1"/>
    </xf>
    <xf numFmtId="0" fontId="82" fillId="6" borderId="20">
      <alignment horizontal="center" wrapText="1"/>
    </xf>
    <xf numFmtId="0" fontId="82" fillId="6" borderId="19">
      <alignment horizontal="left" wrapText="1"/>
    </xf>
    <xf numFmtId="0" fontId="25" fillId="0" borderId="14">
      <alignment horizontal="left"/>
    </xf>
    <xf numFmtId="0" fontId="58" fillId="0" borderId="0">
      <alignment horizontal="center"/>
    </xf>
    <xf numFmtId="2" fontId="58" fillId="12" borderId="0">
      <alignment horizontal="center"/>
    </xf>
    <xf numFmtId="0" fontId="25" fillId="0" borderId="0">
      <alignment horizontal="left" vertical="top"/>
    </xf>
    <xf numFmtId="16" fontId="25" fillId="0" borderId="0"/>
    <xf numFmtId="0" fontId="25" fillId="12" borderId="0"/>
    <xf numFmtId="14" fontId="25" fillId="0" borderId="0">
      <alignment horizontal="center"/>
    </xf>
    <xf numFmtId="2" fontId="58" fillId="0" borderId="12">
      <alignment horizontal="center" vertical="center"/>
    </xf>
    <xf numFmtId="0" fontId="26" fillId="6" borderId="0">
      <alignment horizontal="center"/>
    </xf>
    <xf numFmtId="2" fontId="58" fillId="0" borderId="0">
      <alignment horizontal="center"/>
    </xf>
    <xf numFmtId="2" fontId="58" fillId="0" borderId="0">
      <alignment horizontal="center"/>
    </xf>
    <xf numFmtId="0" fontId="25" fillId="0" borderId="0">
      <alignment horizontal="left" vertical="top"/>
    </xf>
    <xf numFmtId="15" fontId="25" fillId="0" borderId="0">
      <alignment horizontal="left" vertical="top"/>
    </xf>
    <xf numFmtId="0" fontId="25" fillId="0" borderId="0">
      <alignment horizontal="left" vertical="top"/>
    </xf>
    <xf numFmtId="14" fontId="25" fillId="0" borderId="0">
      <alignment horizontal="center" vertical="top"/>
    </xf>
    <xf numFmtId="0" fontId="58" fillId="0" borderId="0"/>
    <xf numFmtId="0" fontId="82" fillId="0" borderId="3"/>
    <xf numFmtId="14" fontId="82" fillId="0" borderId="3"/>
    <xf numFmtId="2" fontId="58" fillId="0" borderId="3">
      <alignment horizontal="center"/>
    </xf>
    <xf numFmtId="0" fontId="25" fillId="0" borderId="0">
      <alignment horizontal="center"/>
    </xf>
    <xf numFmtId="2" fontId="58" fillId="0" borderId="3">
      <alignment horizontal="center"/>
    </xf>
    <xf numFmtId="0" fontId="58" fillId="0" borderId="3"/>
    <xf numFmtId="0" fontId="58" fillId="0" borderId="3">
      <alignment horizontal="center"/>
    </xf>
    <xf numFmtId="0" fontId="58" fillId="0" borderId="3">
      <alignment horizontal="center"/>
    </xf>
    <xf numFmtId="0" fontId="26" fillId="0" borderId="0">
      <alignment horizontal="left" vertical="top"/>
    </xf>
    <xf numFmtId="0" fontId="26" fillId="0" borderId="0">
      <alignment horizontal="left" vertical="top"/>
    </xf>
    <xf numFmtId="0" fontId="25" fillId="0" borderId="0">
      <alignment horizontal="center" vertical="top"/>
    </xf>
    <xf numFmtId="43" fontId="58" fillId="0" borderId="0">
      <alignment horizontal="left"/>
    </xf>
    <xf numFmtId="172" fontId="25" fillId="0" borderId="0"/>
    <xf numFmtId="0" fontId="25" fillId="0" borderId="0">
      <alignment horizontal="center"/>
    </xf>
    <xf numFmtId="0" fontId="78" fillId="0" borderId="0"/>
    <xf numFmtId="43" fontId="25" fillId="0" borderId="0"/>
    <xf numFmtId="1" fontId="25" fillId="0" borderId="0"/>
    <xf numFmtId="0" fontId="26" fillId="0" borderId="0"/>
    <xf numFmtId="43" fontId="25" fillId="0" borderId="0">
      <alignment horizontal="center"/>
    </xf>
    <xf numFmtId="43" fontId="25" fillId="0" borderId="21"/>
    <xf numFmtId="43" fontId="25" fillId="0" borderId="22"/>
    <xf numFmtId="0" fontId="25" fillId="0" borderId="10"/>
    <xf numFmtId="43" fontId="25" fillId="0" borderId="0"/>
    <xf numFmtId="1" fontId="82" fillId="0" borderId="16">
      <alignment horizontal="center" wrapText="1"/>
    </xf>
    <xf numFmtId="0" fontId="58" fillId="0" borderId="0">
      <alignment horizontal="center"/>
    </xf>
    <xf numFmtId="0" fontId="25" fillId="0" borderId="0">
      <alignment horizontal="left"/>
    </xf>
    <xf numFmtId="0" fontId="58" fillId="0" borderId="0"/>
    <xf numFmtId="43" fontId="25" fillId="0" borderId="0">
      <alignment horizontal="center"/>
    </xf>
    <xf numFmtId="0" fontId="26" fillId="0" borderId="3">
      <alignment horizontal="left" vertical="top"/>
    </xf>
    <xf numFmtId="0" fontId="25" fillId="0" borderId="3">
      <alignment horizontal="center" vertical="top"/>
    </xf>
    <xf numFmtId="14" fontId="25" fillId="0" borderId="3">
      <alignment horizontal="center" vertical="top"/>
    </xf>
    <xf numFmtId="15" fontId="25" fillId="0" borderId="3">
      <alignment horizontal="left" vertical="top"/>
    </xf>
    <xf numFmtId="0" fontId="28" fillId="0" borderId="0"/>
    <xf numFmtId="224" fontId="25" fillId="0" borderId="0">
      <alignment vertical="top"/>
    </xf>
    <xf numFmtId="0" fontId="25" fillId="0" borderId="3">
      <alignment horizontal="left" vertical="top"/>
    </xf>
    <xf numFmtId="0" fontId="25" fillId="0" borderId="0">
      <alignment horizontal="center" wrapText="1"/>
    </xf>
    <xf numFmtId="0" fontId="25" fillId="0" borderId="0">
      <alignment horizontal="center"/>
    </xf>
    <xf numFmtId="0" fontId="25" fillId="0" borderId="0">
      <alignment horizontal="center" vertical="top"/>
    </xf>
    <xf numFmtId="0" fontId="26" fillId="0" borderId="0"/>
    <xf numFmtId="14" fontId="25" fillId="0" borderId="0">
      <alignment horizontal="center"/>
    </xf>
    <xf numFmtId="14" fontId="25" fillId="0" borderId="0">
      <alignment horizontal="left" vertical="top"/>
    </xf>
    <xf numFmtId="41" fontId="25" fillId="0" borderId="0"/>
    <xf numFmtId="3" fontId="26" fillId="0" borderId="23">
      <alignment horizontal="right" vertical="center"/>
    </xf>
    <xf numFmtId="172" fontId="26" fillId="0" borderId="22">
      <alignment horizontal="right"/>
    </xf>
    <xf numFmtId="225" fontId="82" fillId="0" borderId="0">
      <alignment wrapText="1"/>
    </xf>
    <xf numFmtId="0" fontId="25" fillId="0" borderId="0">
      <alignment horizontal="center"/>
    </xf>
    <xf numFmtId="226" fontId="26" fillId="0" borderId="10"/>
    <xf numFmtId="226" fontId="26" fillId="0" borderId="0"/>
    <xf numFmtId="0" fontId="25" fillId="0" borderId="0">
      <alignment vertical="top"/>
    </xf>
    <xf numFmtId="3" fontId="26" fillId="0" borderId="21">
      <alignment horizontal="right" vertical="center"/>
    </xf>
    <xf numFmtId="0" fontId="82" fillId="0" borderId="15">
      <alignment horizontal="center" wrapText="1"/>
    </xf>
    <xf numFmtId="3" fontId="26" fillId="0" borderId="24">
      <alignment horizontal="right" vertical="center"/>
    </xf>
    <xf numFmtId="3" fontId="26" fillId="0" borderId="0">
      <alignment horizontal="right" vertical="center"/>
    </xf>
    <xf numFmtId="172" fontId="26" fillId="0" borderId="10">
      <alignment horizontal="right"/>
    </xf>
    <xf numFmtId="0" fontId="7" fillId="0" borderId="25">
      <alignment wrapText="1"/>
    </xf>
    <xf numFmtId="227" fontId="7" fillId="0" borderId="25">
      <alignment horizontal="right" wrapText="1"/>
    </xf>
    <xf numFmtId="4" fontId="25" fillId="0" borderId="0">
      <alignment horizontal="center"/>
    </xf>
    <xf numFmtId="0" fontId="26" fillId="6" borderId="9">
      <alignment horizontal="center"/>
    </xf>
    <xf numFmtId="0" fontId="26" fillId="6" borderId="20">
      <alignment horizontal="center"/>
    </xf>
    <xf numFmtId="14" fontId="25" fillId="0" borderId="0">
      <alignment horizontal="center" vertical="top"/>
    </xf>
    <xf numFmtId="0" fontId="25" fillId="13" borderId="0">
      <alignment vertical="top"/>
    </xf>
    <xf numFmtId="0" fontId="25" fillId="13" borderId="0"/>
    <xf numFmtId="0" fontId="7" fillId="0" borderId="25">
      <alignment wrapText="1"/>
    </xf>
    <xf numFmtId="228" fontId="29" fillId="0" borderId="0">
      <alignment horizontal="right" vertical="center" wrapText="1"/>
    </xf>
    <xf numFmtId="0" fontId="29" fillId="0" borderId="0">
      <alignment horizontal="right" vertical="center" wrapText="1"/>
    </xf>
    <xf numFmtId="0" fontId="7" fillId="0" borderId="0">
      <alignment wrapText="1"/>
    </xf>
    <xf numFmtId="172" fontId="25" fillId="0" borderId="0"/>
    <xf numFmtId="0" fontId="25" fillId="13" borderId="0">
      <alignment horizontal="center"/>
    </xf>
    <xf numFmtId="0" fontId="26" fillId="13" borderId="0"/>
    <xf numFmtId="0" fontId="25" fillId="13" borderId="0">
      <alignment horizontal="center" vertical="top"/>
    </xf>
    <xf numFmtId="0" fontId="25" fillId="0" borderId="0">
      <alignment vertical="top"/>
    </xf>
    <xf numFmtId="14" fontId="25" fillId="13" borderId="0">
      <alignment horizontal="center" vertical="top"/>
    </xf>
    <xf numFmtId="15" fontId="25" fillId="13" borderId="0">
      <alignment horizontal="left" vertical="top"/>
    </xf>
    <xf numFmtId="0" fontId="25" fillId="13" borderId="0">
      <alignment horizontal="left" vertical="top"/>
    </xf>
    <xf numFmtId="14" fontId="25" fillId="13" borderId="0">
      <alignment horizontal="left" vertical="top"/>
    </xf>
    <xf numFmtId="0" fontId="25" fillId="14" borderId="0">
      <alignment horizontal="center"/>
    </xf>
    <xf numFmtId="0" fontId="26" fillId="14" borderId="0"/>
    <xf numFmtId="0" fontId="25" fillId="14" borderId="0">
      <alignment horizontal="center" vertical="top"/>
    </xf>
    <xf numFmtId="14" fontId="25" fillId="14" borderId="0">
      <alignment horizontal="center" vertical="top"/>
    </xf>
    <xf numFmtId="0" fontId="25" fillId="14" borderId="0">
      <alignment vertical="top"/>
    </xf>
    <xf numFmtId="15" fontId="25" fillId="14" borderId="0">
      <alignment horizontal="left" vertical="top"/>
    </xf>
    <xf numFmtId="15" fontId="78" fillId="0" borderId="0">
      <alignment horizontal="left"/>
    </xf>
    <xf numFmtId="0" fontId="25" fillId="14" borderId="0">
      <alignment horizontal="left" vertical="top"/>
    </xf>
    <xf numFmtId="172" fontId="25" fillId="14" borderId="0">
      <alignment vertical="top"/>
    </xf>
    <xf numFmtId="14" fontId="25" fillId="14" borderId="0">
      <alignment horizontal="left" vertical="top"/>
    </xf>
    <xf numFmtId="0" fontId="25" fillId="14" borderId="0">
      <alignment horizontal="center"/>
    </xf>
    <xf numFmtId="0" fontId="25" fillId="14" borderId="0"/>
    <xf numFmtId="0" fontId="26" fillId="14" borderId="0">
      <alignment horizontal="left" vertical="top"/>
    </xf>
    <xf numFmtId="14" fontId="25" fillId="14" borderId="0">
      <alignment horizontal="center" vertical="top"/>
    </xf>
    <xf numFmtId="0" fontId="58" fillId="14" borderId="0">
      <alignment horizontal="center"/>
    </xf>
    <xf numFmtId="0" fontId="78" fillId="14" borderId="0">
      <alignment horizontal="center"/>
    </xf>
    <xf numFmtId="0" fontId="25" fillId="14" borderId="0"/>
    <xf numFmtId="0" fontId="58" fillId="0" borderId="0"/>
    <xf numFmtId="0" fontId="26" fillId="0" borderId="0">
      <alignment horizontal="center"/>
    </xf>
    <xf numFmtId="0" fontId="26" fillId="0" borderId="0">
      <alignment horizontal="center"/>
    </xf>
    <xf numFmtId="172" fontId="26" fillId="6" borderId="23">
      <alignment horizontal="center"/>
    </xf>
    <xf numFmtId="172" fontId="26" fillId="6" borderId="24">
      <alignment horizontal="center"/>
    </xf>
    <xf numFmtId="2" fontId="58" fillId="0" borderId="0"/>
    <xf numFmtId="0" fontId="58" fillId="0" borderId="0"/>
    <xf numFmtId="2" fontId="58" fillId="0" borderId="0">
      <alignment horizontal="center"/>
    </xf>
    <xf numFmtId="0" fontId="58" fillId="0" borderId="0">
      <alignment horizontal="center"/>
    </xf>
    <xf numFmtId="0" fontId="78" fillId="0" borderId="0">
      <alignment wrapText="1"/>
    </xf>
    <xf numFmtId="0" fontId="58" fillId="0" borderId="0">
      <alignment horizontal="center"/>
    </xf>
    <xf numFmtId="0" fontId="82" fillId="0" borderId="0">
      <alignment horizontal="left" vertical="center"/>
    </xf>
    <xf numFmtId="2" fontId="58" fillId="0" borderId="12">
      <alignment horizontal="center" vertical="center"/>
    </xf>
    <xf numFmtId="0" fontId="58" fillId="0" borderId="12">
      <alignment horizontal="center" vertical="center"/>
    </xf>
    <xf numFmtId="0" fontId="58" fillId="0" borderId="18">
      <alignment horizontal="center" vertical="center"/>
    </xf>
    <xf numFmtId="0" fontId="58" fillId="0" borderId="0">
      <alignment horizontal="center" vertical="center"/>
    </xf>
    <xf numFmtId="0" fontId="58" fillId="0" borderId="0">
      <alignment horizontal="left" vertical="center"/>
    </xf>
    <xf numFmtId="0" fontId="82" fillId="0" borderId="0">
      <alignment horizontal="left"/>
    </xf>
    <xf numFmtId="0" fontId="82" fillId="0" borderId="0">
      <alignment horizontal="left"/>
    </xf>
    <xf numFmtId="0" fontId="82" fillId="0" borderId="0">
      <alignment horizontal="center"/>
    </xf>
    <xf numFmtId="0" fontId="25" fillId="0" borderId="0">
      <alignment horizontal="center" vertical="center" wrapText="1"/>
    </xf>
    <xf numFmtId="0" fontId="82" fillId="0" borderId="0">
      <alignment horizontal="center" wrapText="1"/>
    </xf>
    <xf numFmtId="0" fontId="82" fillId="0" borderId="13">
      <alignment horizontal="center" wrapText="1"/>
    </xf>
    <xf numFmtId="1" fontId="82" fillId="0" borderId="14">
      <alignment horizontal="center" wrapText="1"/>
    </xf>
    <xf numFmtId="0" fontId="82" fillId="0" borderId="0">
      <alignment horizontal="center"/>
    </xf>
    <xf numFmtId="229" fontId="82" fillId="0" borderId="0">
      <alignment horizontal="center" wrapText="1"/>
    </xf>
    <xf numFmtId="43" fontId="82" fillId="0" borderId="0"/>
    <xf numFmtId="0" fontId="82" fillId="0" borderId="0"/>
    <xf numFmtId="0" fontId="58" fillId="0" borderId="0">
      <alignment wrapText="1"/>
    </xf>
    <xf numFmtId="0" fontId="82" fillId="0" borderId="0">
      <alignment horizontal="center" wrapText="1"/>
    </xf>
    <xf numFmtId="0" fontId="82" fillId="0" borderId="0">
      <alignment horizontal="center" wrapText="1"/>
    </xf>
    <xf numFmtId="43" fontId="25" fillId="0" borderId="0">
      <alignment horizontal="center" vertical="center" wrapText="1"/>
    </xf>
    <xf numFmtId="0" fontId="82" fillId="0" borderId="0">
      <alignment horizontal="center" wrapText="1"/>
    </xf>
    <xf numFmtId="230" fontId="82" fillId="0" borderId="0">
      <alignment horizontal="center" wrapText="1"/>
    </xf>
    <xf numFmtId="0" fontId="82" fillId="6" borderId="9">
      <alignment horizontal="center" wrapText="1"/>
    </xf>
    <xf numFmtId="2" fontId="82" fillId="6" borderId="9">
      <alignment horizontal="center" wrapText="1"/>
    </xf>
    <xf numFmtId="0" fontId="82" fillId="6" borderId="9">
      <alignment horizontal="center" wrapText="1"/>
    </xf>
    <xf numFmtId="0" fontId="82" fillId="0" borderId="0">
      <alignment horizontal="center" wrapText="1"/>
    </xf>
    <xf numFmtId="0" fontId="25" fillId="0" borderId="0"/>
    <xf numFmtId="0" fontId="25" fillId="0" borderId="0"/>
    <xf numFmtId="0" fontId="83" fillId="0" borderId="0">
      <alignment horizontal="left" vertical="center"/>
    </xf>
    <xf numFmtId="172" fontId="83" fillId="0" borderId="0">
      <alignment horizontal="left" vertical="center"/>
    </xf>
    <xf numFmtId="0" fontId="26" fillId="0" borderId="0">
      <alignment horizontal="center" vertical="center" wrapText="1"/>
    </xf>
    <xf numFmtId="0" fontId="83" fillId="0" borderId="0">
      <alignment horizontal="center" vertical="center"/>
    </xf>
    <xf numFmtId="0" fontId="26" fillId="0" borderId="23">
      <alignment horizontal="left"/>
    </xf>
    <xf numFmtId="41" fontId="26" fillId="0" borderId="26"/>
    <xf numFmtId="0" fontId="26" fillId="0" borderId="23"/>
    <xf numFmtId="41" fontId="26" fillId="0" borderId="0"/>
    <xf numFmtId="0" fontId="26" fillId="0" borderId="21"/>
    <xf numFmtId="172" fontId="26" fillId="0" borderId="27"/>
    <xf numFmtId="172" fontId="26" fillId="0" borderId="0"/>
    <xf numFmtId="43" fontId="26" fillId="0" borderId="27"/>
    <xf numFmtId="43" fontId="26" fillId="0" borderId="0"/>
    <xf numFmtId="0" fontId="25" fillId="0" borderId="0">
      <alignment wrapText="1"/>
    </xf>
    <xf numFmtId="0" fontId="26" fillId="0" borderId="22"/>
    <xf numFmtId="43" fontId="26" fillId="0" borderId="28"/>
    <xf numFmtId="0" fontId="26" fillId="0" borderId="0">
      <alignment horizontal="center"/>
    </xf>
    <xf numFmtId="0" fontId="26" fillId="6" borderId="23">
      <alignment horizontal="center"/>
    </xf>
    <xf numFmtId="172" fontId="26" fillId="6" borderId="24">
      <alignment horizontal="center"/>
    </xf>
    <xf numFmtId="0" fontId="26" fillId="6" borderId="24">
      <alignment horizontal="center"/>
    </xf>
    <xf numFmtId="0" fontId="26" fillId="6" borderId="26">
      <alignment horizontal="center"/>
    </xf>
    <xf numFmtId="0" fontId="26" fillId="6" borderId="22">
      <alignment horizontal="center"/>
    </xf>
    <xf numFmtId="172" fontId="26" fillId="6" borderId="10">
      <alignment horizontal="right"/>
    </xf>
    <xf numFmtId="0" fontId="26" fillId="6" borderId="10">
      <alignment horizontal="center"/>
    </xf>
    <xf numFmtId="0" fontId="25" fillId="0" borderId="0">
      <alignment horizontal="left" vertical="center" wrapText="1"/>
    </xf>
    <xf numFmtId="0" fontId="26" fillId="6" borderId="28">
      <alignment horizontal="center"/>
    </xf>
    <xf numFmtId="0" fontId="26" fillId="15" borderId="0">
      <alignment horizontal="center"/>
    </xf>
    <xf numFmtId="172" fontId="26" fillId="6" borderId="22">
      <alignment horizontal="center"/>
    </xf>
    <xf numFmtId="172" fontId="26" fillId="6" borderId="10">
      <alignment horizontal="center"/>
    </xf>
    <xf numFmtId="0" fontId="26" fillId="6" borderId="10">
      <alignment horizontal="center"/>
    </xf>
    <xf numFmtId="172" fontId="26" fillId="6" borderId="28">
      <alignment horizontal="center"/>
    </xf>
    <xf numFmtId="0" fontId="26" fillId="6" borderId="29">
      <alignment horizontal="center"/>
    </xf>
    <xf numFmtId="0" fontId="26" fillId="6" borderId="3">
      <alignment horizontal="center"/>
    </xf>
    <xf numFmtId="0" fontId="26" fillId="6" borderId="3">
      <alignment horizontal="center"/>
    </xf>
    <xf numFmtId="0" fontId="26" fillId="6" borderId="30">
      <alignment horizontal="center"/>
    </xf>
    <xf numFmtId="0" fontId="25" fillId="0" borderId="0"/>
    <xf numFmtId="0" fontId="26" fillId="6" borderId="21">
      <alignment horizontal="center"/>
    </xf>
    <xf numFmtId="0" fontId="26" fillId="6" borderId="0">
      <alignment horizontal="center"/>
    </xf>
    <xf numFmtId="0" fontId="26" fillId="6" borderId="27">
      <alignment horizontal="center"/>
    </xf>
    <xf numFmtId="0" fontId="42" fillId="0" borderId="0">
      <alignment horizontal="left"/>
    </xf>
    <xf numFmtId="49" fontId="25" fillId="0" borderId="0">
      <alignment horizontal="left"/>
    </xf>
    <xf numFmtId="0" fontId="42" fillId="0" borderId="0">
      <alignment horizontal="left"/>
    </xf>
    <xf numFmtId="15" fontId="78" fillId="15" borderId="0">
      <alignment horizontal="left"/>
    </xf>
    <xf numFmtId="0" fontId="25" fillId="0" borderId="0">
      <alignment horizontal="right"/>
    </xf>
    <xf numFmtId="49" fontId="25" fillId="0" borderId="0">
      <alignment horizontal="left"/>
    </xf>
    <xf numFmtId="49" fontId="25" fillId="0" borderId="0">
      <alignment horizontal="left"/>
    </xf>
    <xf numFmtId="10" fontId="78" fillId="0" borderId="0"/>
    <xf numFmtId="0" fontId="5" fillId="0" borderId="0" applyNumberFormat="0" applyFill="0" applyBorder="0" applyAlignment="0" applyProtection="0"/>
    <xf numFmtId="0" fontId="9" fillId="0" borderId="0" applyNumberFormat="0" applyFill="0" applyBorder="0" applyAlignment="0" applyProtection="0"/>
    <xf numFmtId="0" fontId="51" fillId="0" borderId="0" applyNumberFormat="0" applyFill="0" applyBorder="0" applyAlignment="0" applyProtection="0"/>
    <xf numFmtId="0" fontId="9" fillId="0" borderId="0" applyNumberFormat="0" applyFill="0" applyBorder="0" applyAlignment="0" applyProtection="0"/>
    <xf numFmtId="0" fontId="73" fillId="0" borderId="0" applyNumberFormat="0" applyFill="0" applyBorder="0" applyAlignment="0" applyProtection="0"/>
    <xf numFmtId="0" fontId="5" fillId="0" borderId="0" applyNumberFormat="0" applyFill="0" applyBorder="0" applyAlignment="0" applyProtection="0"/>
    <xf numFmtId="0" fontId="84" fillId="0" borderId="0">
      <alignment horizontal="left" vertical="top"/>
      <protection locked="0"/>
    </xf>
    <xf numFmtId="0" fontId="38" fillId="0" borderId="11" applyNumberFormat="0" applyFont="0" applyFill="0" applyAlignment="0" applyProtection="0"/>
    <xf numFmtId="40" fontId="85" fillId="15" borderId="0">
      <alignment horizontal="right"/>
    </xf>
    <xf numFmtId="0" fontId="86" fillId="15" borderId="0">
      <alignment horizontal="right"/>
    </xf>
    <xf numFmtId="0" fontId="87" fillId="15" borderId="14"/>
    <xf numFmtId="0" fontId="87" fillId="0" borderId="0" applyBorder="0">
      <alignment horizontal="centerContinuous"/>
    </xf>
    <xf numFmtId="231" fontId="88" fillId="0" borderId="0" applyFill="0">
      <alignment horizontal="center" vertical="center"/>
    </xf>
    <xf numFmtId="0" fontId="26" fillId="0" borderId="31" applyNumberFormat="0" applyAlignment="0" applyProtection="0"/>
    <xf numFmtId="0" fontId="25" fillId="16" borderId="0" applyNumberFormat="0" applyFont="0" applyBorder="0" applyAlignment="0" applyProtection="0"/>
    <xf numFmtId="0" fontId="5" fillId="17" borderId="32" applyNumberFormat="0" applyFont="0" applyBorder="0" applyAlignment="0" applyProtection="0">
      <alignment horizontal="center"/>
    </xf>
    <xf numFmtId="0" fontId="5" fillId="18" borderId="32" applyNumberFormat="0" applyFont="0" applyBorder="0" applyAlignment="0" applyProtection="0">
      <alignment horizontal="center"/>
    </xf>
    <xf numFmtId="0" fontId="25" fillId="0" borderId="33" applyNumberFormat="0" applyAlignment="0" applyProtection="0"/>
    <xf numFmtId="0" fontId="25" fillId="0" borderId="34" applyNumberFormat="0" applyAlignment="0" applyProtection="0"/>
    <xf numFmtId="0" fontId="26" fillId="0" borderId="35" applyNumberFormat="0" applyAlignment="0" applyProtection="0"/>
    <xf numFmtId="14" fontId="30" fillId="0" borderId="0">
      <alignment horizontal="center" wrapText="1"/>
      <protection locked="0"/>
    </xf>
    <xf numFmtId="9" fontId="58" fillId="0" borderId="0" applyFont="0" applyFill="0" applyBorder="0" applyAlignment="0" applyProtection="0"/>
    <xf numFmtId="232" fontId="89" fillId="0" borderId="0" applyFont="0" applyFill="0" applyBorder="0" applyAlignment="0" applyProtection="0"/>
    <xf numFmtId="169" fontId="58" fillId="0" borderId="0" applyFont="0" applyFill="0" applyBorder="0" applyAlignment="0" applyProtection="0"/>
    <xf numFmtId="233" fontId="58" fillId="0" borderId="0" applyFont="0" applyFill="0" applyBorder="0" applyAlignment="0" applyProtection="0"/>
    <xf numFmtId="234" fontId="58" fillId="0" borderId="0" applyFont="0" applyFill="0" applyBorder="0" applyAlignment="0" applyProtection="0"/>
    <xf numFmtId="10" fontId="9" fillId="0" borderId="0" applyFont="0" applyFill="0" applyBorder="0" applyAlignment="0" applyProtection="0"/>
    <xf numFmtId="0" fontId="9" fillId="0" borderId="0" applyFont="0" applyFill="0" applyBorder="0" applyProtection="0">
      <alignment horizontal="right"/>
    </xf>
    <xf numFmtId="172" fontId="78" fillId="0" borderId="0">
      <alignment horizontal="right"/>
    </xf>
    <xf numFmtId="172" fontId="26" fillId="0" borderId="0">
      <alignment horizontal="left" vertical="center"/>
    </xf>
    <xf numFmtId="171" fontId="5" fillId="0" borderId="0"/>
    <xf numFmtId="172" fontId="78" fillId="0" borderId="0">
      <alignment horizontal="right"/>
    </xf>
    <xf numFmtId="172" fontId="78" fillId="0" borderId="0">
      <alignment horizontal="center"/>
    </xf>
    <xf numFmtId="170" fontId="78" fillId="0" borderId="0">
      <alignment horizontal="right"/>
    </xf>
    <xf numFmtId="172" fontId="78" fillId="0" borderId="3">
      <alignment horizontal="right"/>
    </xf>
    <xf numFmtId="172" fontId="78" fillId="0" borderId="3">
      <alignment horizontal="center"/>
    </xf>
    <xf numFmtId="170" fontId="78" fillId="0" borderId="3">
      <alignment horizontal="right"/>
    </xf>
    <xf numFmtId="43" fontId="78" fillId="0" borderId="3">
      <alignment horizontal="center"/>
    </xf>
    <xf numFmtId="235" fontId="78" fillId="0" borderId="12"/>
    <xf numFmtId="236" fontId="78" fillId="0" borderId="12">
      <alignment horizontal="center"/>
    </xf>
    <xf numFmtId="172" fontId="26" fillId="0" borderId="0">
      <alignment horizontal="right" vertical="center"/>
    </xf>
    <xf numFmtId="236" fontId="78" fillId="0" borderId="18">
      <alignment horizontal="center" wrapText="1"/>
    </xf>
    <xf numFmtId="236" fontId="78" fillId="0" borderId="0">
      <alignment horizontal="center"/>
    </xf>
    <xf numFmtId="236" fontId="78" fillId="0" borderId="14">
      <alignment horizontal="center" wrapText="1"/>
    </xf>
    <xf numFmtId="235" fontId="78" fillId="0" borderId="14">
      <alignment wrapText="1"/>
    </xf>
    <xf numFmtId="235" fontId="78" fillId="0" borderId="3"/>
    <xf numFmtId="235" fontId="78" fillId="0" borderId="16">
      <alignment wrapText="1"/>
    </xf>
    <xf numFmtId="237" fontId="26" fillId="0" borderId="0">
      <alignment horizontal="left"/>
    </xf>
    <xf numFmtId="238" fontId="26" fillId="0" borderId="0">
      <alignment horizontal="left"/>
    </xf>
    <xf numFmtId="239" fontId="26" fillId="0" borderId="0">
      <alignment horizontal="left"/>
    </xf>
    <xf numFmtId="172" fontId="25" fillId="0" borderId="0">
      <alignment vertical="top"/>
    </xf>
    <xf numFmtId="240" fontId="26" fillId="0" borderId="0">
      <alignment horizontal="center"/>
    </xf>
    <xf numFmtId="235" fontId="81" fillId="0" borderId="0"/>
    <xf numFmtId="172" fontId="58" fillId="0" borderId="0">
      <alignment horizontal="right"/>
    </xf>
    <xf numFmtId="172" fontId="58" fillId="0" borderId="0">
      <alignment horizontal="center"/>
    </xf>
    <xf numFmtId="236" fontId="25" fillId="0" borderId="0">
      <alignment horizontal="center" vertical="top"/>
    </xf>
    <xf numFmtId="172" fontId="23" fillId="0" borderId="3">
      <alignment horizontal="centerContinuous"/>
    </xf>
    <xf numFmtId="172" fontId="5" fillId="0" borderId="3">
      <alignment horizontal="center"/>
    </xf>
    <xf numFmtId="172" fontId="5" fillId="0" borderId="0"/>
    <xf numFmtId="172" fontId="5" fillId="0" borderId="3"/>
    <xf numFmtId="43" fontId="5" fillId="0" borderId="3"/>
    <xf numFmtId="43" fontId="23" fillId="0" borderId="0">
      <alignment horizontal="right"/>
    </xf>
    <xf numFmtId="170" fontId="26" fillId="0" borderId="0">
      <alignment horizontal="right" vertical="center"/>
    </xf>
    <xf numFmtId="165" fontId="82" fillId="0" borderId="0">
      <alignment horizontal="center" wrapText="1"/>
    </xf>
    <xf numFmtId="2" fontId="82" fillId="0" borderId="0">
      <alignment horizontal="center"/>
    </xf>
    <xf numFmtId="43" fontId="58" fillId="0" borderId="0"/>
    <xf numFmtId="0" fontId="5" fillId="0" borderId="0">
      <alignment horizontal="center"/>
    </xf>
    <xf numFmtId="43" fontId="25" fillId="0" borderId="0">
      <alignment horizontal="center" vertical="top"/>
    </xf>
    <xf numFmtId="235" fontId="25" fillId="0" borderId="0">
      <alignment horizontal="center" vertical="top"/>
    </xf>
    <xf numFmtId="236" fontId="25" fillId="0" borderId="0">
      <alignment horizontal="center" vertical="top" wrapText="1"/>
    </xf>
    <xf numFmtId="43" fontId="25" fillId="0" borderId="0">
      <alignment horizontal="left" vertical="top"/>
    </xf>
    <xf numFmtId="172" fontId="25" fillId="0" borderId="0">
      <alignment horizontal="right" vertical="top"/>
    </xf>
    <xf numFmtId="43" fontId="25" fillId="0" borderId="0">
      <alignment horizontal="center" vertical="top"/>
    </xf>
    <xf numFmtId="43" fontId="26" fillId="0" borderId="0">
      <alignment horizontal="center"/>
    </xf>
    <xf numFmtId="235" fontId="25" fillId="0" borderId="0">
      <alignment horizontal="center" vertical="top"/>
    </xf>
    <xf numFmtId="236" fontId="25" fillId="0" borderId="0">
      <alignment horizontal="center" vertical="top" wrapText="1"/>
    </xf>
    <xf numFmtId="172" fontId="25" fillId="0" borderId="0">
      <alignment horizontal="left" vertical="top"/>
    </xf>
    <xf numFmtId="43" fontId="25" fillId="0" borderId="0">
      <alignment horizontal="left" vertical="top"/>
    </xf>
    <xf numFmtId="172" fontId="5" fillId="0" borderId="0">
      <alignment horizontal="left"/>
    </xf>
    <xf numFmtId="172" fontId="23" fillId="0" borderId="0">
      <alignment horizontal="centerContinuous"/>
    </xf>
    <xf numFmtId="172" fontId="23" fillId="0" borderId="0">
      <alignment horizontal="left"/>
    </xf>
    <xf numFmtId="172" fontId="23" fillId="0" borderId="3">
      <alignment horizontal="left"/>
    </xf>
    <xf numFmtId="43" fontId="58" fillId="0" borderId="0"/>
    <xf numFmtId="43" fontId="58" fillId="0" borderId="3">
      <alignment horizontal="center"/>
    </xf>
    <xf numFmtId="235" fontId="26" fillId="0" borderId="0">
      <alignment horizontal="center"/>
    </xf>
    <xf numFmtId="43" fontId="58" fillId="0" borderId="3"/>
    <xf numFmtId="43" fontId="23" fillId="0" borderId="0"/>
    <xf numFmtId="172" fontId="5" fillId="14" borderId="0">
      <alignment horizontal="center"/>
    </xf>
    <xf numFmtId="172" fontId="5" fillId="14" borderId="0">
      <alignment horizontal="center"/>
    </xf>
    <xf numFmtId="172" fontId="23" fillId="14" borderId="0">
      <alignment horizontal="centerContinuous"/>
    </xf>
    <xf numFmtId="172" fontId="23" fillId="14" borderId="3">
      <alignment horizontal="center" wrapText="1"/>
    </xf>
    <xf numFmtId="172" fontId="5" fillId="19" borderId="0">
      <alignment horizontal="center"/>
    </xf>
    <xf numFmtId="172" fontId="5" fillId="19" borderId="0">
      <alignment horizontal="center"/>
    </xf>
    <xf numFmtId="172" fontId="23" fillId="19" borderId="0">
      <alignment horizontal="centerContinuous"/>
    </xf>
    <xf numFmtId="172" fontId="23" fillId="19" borderId="3">
      <alignment horizontal="centerContinuous"/>
    </xf>
    <xf numFmtId="235" fontId="26" fillId="0" borderId="0">
      <alignment horizontal="center" wrapText="1"/>
    </xf>
    <xf numFmtId="172" fontId="25" fillId="0" borderId="0"/>
    <xf numFmtId="43" fontId="25" fillId="0" borderId="0"/>
    <xf numFmtId="43" fontId="25" fillId="0" borderId="0">
      <alignment horizontal="center"/>
    </xf>
    <xf numFmtId="172" fontId="25" fillId="0" borderId="0"/>
    <xf numFmtId="171" fontId="25" fillId="0" borderId="0"/>
    <xf numFmtId="43" fontId="25" fillId="0" borderId="27"/>
    <xf numFmtId="172" fontId="25" fillId="0" borderId="3"/>
    <xf numFmtId="43" fontId="25" fillId="0" borderId="28"/>
    <xf numFmtId="171" fontId="25" fillId="0" borderId="10"/>
    <xf numFmtId="10" fontId="25" fillId="0" borderId="0"/>
    <xf numFmtId="237" fontId="26" fillId="0" borderId="0">
      <alignment horizontal="center"/>
    </xf>
    <xf numFmtId="43" fontId="25" fillId="0" borderId="0"/>
    <xf numFmtId="241" fontId="26" fillId="0" borderId="0">
      <alignment horizontal="center" vertical="top"/>
    </xf>
    <xf numFmtId="14" fontId="23" fillId="0" borderId="0">
      <alignment horizontal="center"/>
    </xf>
    <xf numFmtId="4" fontId="58" fillId="0" borderId="0">
      <alignment horizontal="right" vertical="top"/>
    </xf>
    <xf numFmtId="172" fontId="58" fillId="0" borderId="0">
      <alignment horizontal="center" vertical="top"/>
    </xf>
    <xf numFmtId="172" fontId="25" fillId="0" borderId="3">
      <alignment horizontal="right" vertical="top"/>
    </xf>
    <xf numFmtId="170" fontId="25" fillId="0" borderId="3">
      <alignment horizontal="center" vertical="top"/>
    </xf>
    <xf numFmtId="43" fontId="25" fillId="0" borderId="3">
      <alignment horizontal="center" vertical="top"/>
    </xf>
    <xf numFmtId="235" fontId="25" fillId="0" borderId="3">
      <alignment horizontal="center" vertical="top"/>
    </xf>
    <xf numFmtId="236" fontId="25" fillId="0" borderId="3">
      <alignment horizontal="center" vertical="top" wrapText="1"/>
    </xf>
    <xf numFmtId="237" fontId="26" fillId="0" borderId="0">
      <alignment horizontal="center" wrapText="1"/>
    </xf>
    <xf numFmtId="172" fontId="25" fillId="0" borderId="3">
      <alignment horizontal="center" vertical="top"/>
    </xf>
    <xf numFmtId="172" fontId="25" fillId="0" borderId="3">
      <alignment horizontal="left" vertical="top"/>
    </xf>
    <xf numFmtId="172" fontId="25" fillId="0" borderId="3">
      <alignment vertical="top"/>
    </xf>
    <xf numFmtId="43" fontId="25" fillId="0" borderId="3">
      <alignment horizontal="left" vertical="top"/>
    </xf>
    <xf numFmtId="236" fontId="25" fillId="0" borderId="3">
      <alignment horizontal="center" vertical="top"/>
    </xf>
    <xf numFmtId="43" fontId="5" fillId="0" borderId="0">
      <alignment horizontal="center"/>
    </xf>
    <xf numFmtId="172" fontId="26" fillId="0" borderId="24">
      <alignment horizontal="right" vertical="center"/>
    </xf>
    <xf numFmtId="239" fontId="26" fillId="0" borderId="24">
      <alignment horizontal="left"/>
    </xf>
    <xf numFmtId="242" fontId="26" fillId="0" borderId="24">
      <alignment horizontal="left"/>
    </xf>
    <xf numFmtId="170" fontId="26" fillId="0" borderId="24">
      <alignment horizontal="right" vertical="center"/>
    </xf>
    <xf numFmtId="172" fontId="26" fillId="0" borderId="0">
      <alignment horizontal="left"/>
    </xf>
    <xf numFmtId="172" fontId="26" fillId="0" borderId="10">
      <alignment horizontal="right" vertical="center"/>
    </xf>
    <xf numFmtId="239" fontId="26" fillId="0" borderId="10">
      <alignment horizontal="left"/>
    </xf>
    <xf numFmtId="242" fontId="26" fillId="0" borderId="10">
      <alignment horizontal="left"/>
    </xf>
    <xf numFmtId="170" fontId="26" fillId="0" borderId="10">
      <alignment horizontal="right"/>
    </xf>
    <xf numFmtId="243" fontId="26" fillId="0" borderId="28">
      <alignment horizontal="left"/>
    </xf>
    <xf numFmtId="172" fontId="26" fillId="0" borderId="10">
      <alignment horizontal="left" vertical="center"/>
    </xf>
    <xf numFmtId="171" fontId="5" fillId="0" borderId="0">
      <alignment horizontal="center"/>
    </xf>
    <xf numFmtId="43" fontId="5" fillId="14" borderId="0">
      <alignment horizontal="center"/>
    </xf>
    <xf numFmtId="43" fontId="5" fillId="19" borderId="0">
      <alignment horizontal="center"/>
    </xf>
    <xf numFmtId="242" fontId="26" fillId="0" borderId="0">
      <alignment horizontal="left"/>
    </xf>
    <xf numFmtId="169" fontId="23" fillId="0" borderId="0" applyFill="0" applyBorder="0" applyAlignment="0" applyProtection="0"/>
    <xf numFmtId="172" fontId="78" fillId="0" borderId="0">
      <alignment horizontal="center"/>
    </xf>
    <xf numFmtId="172" fontId="26" fillId="0" borderId="0">
      <alignment horizontal="right"/>
    </xf>
    <xf numFmtId="243" fontId="26" fillId="0" borderId="27">
      <alignment horizontal="left"/>
    </xf>
    <xf numFmtId="43" fontId="25" fillId="0" borderId="26">
      <alignment horizontal="center"/>
    </xf>
    <xf numFmtId="172" fontId="26" fillId="0" borderId="3">
      <alignment horizontal="right" vertical="center"/>
    </xf>
    <xf numFmtId="244" fontId="26" fillId="0" borderId="27">
      <alignment horizontal="left"/>
    </xf>
    <xf numFmtId="172" fontId="25" fillId="13" borderId="0"/>
    <xf numFmtId="172" fontId="25" fillId="13" borderId="0">
      <alignment horizontal="center" vertical="top"/>
    </xf>
    <xf numFmtId="172" fontId="25" fillId="0" borderId="10"/>
    <xf numFmtId="172" fontId="25" fillId="13" borderId="0">
      <alignment horizontal="center" vertical="top"/>
    </xf>
    <xf numFmtId="172" fontId="25" fillId="13" borderId="0">
      <alignment horizontal="right" vertical="top"/>
    </xf>
    <xf numFmtId="170" fontId="25" fillId="13" borderId="0">
      <alignment horizontal="center" vertical="top"/>
    </xf>
    <xf numFmtId="170" fontId="26" fillId="0" borderId="0">
      <alignment horizontal="right"/>
    </xf>
    <xf numFmtId="43" fontId="25" fillId="13" borderId="0">
      <alignment horizontal="center" vertical="top"/>
    </xf>
    <xf numFmtId="235" fontId="25" fillId="13" borderId="0">
      <alignment horizontal="center" vertical="top"/>
    </xf>
    <xf numFmtId="236" fontId="25" fillId="13" borderId="0">
      <alignment horizontal="center" vertical="top"/>
    </xf>
    <xf numFmtId="236" fontId="25" fillId="13" borderId="0">
      <alignment horizontal="center" vertical="top" wrapText="1"/>
    </xf>
    <xf numFmtId="172" fontId="25" fillId="13" borderId="0">
      <alignment horizontal="left" vertical="top"/>
    </xf>
    <xf numFmtId="43" fontId="25" fillId="13" borderId="0">
      <alignment horizontal="left" vertical="top"/>
    </xf>
    <xf numFmtId="43" fontId="25" fillId="13" borderId="0"/>
    <xf numFmtId="172" fontId="25" fillId="14" borderId="0">
      <alignment horizontal="center" vertical="top"/>
    </xf>
    <xf numFmtId="172" fontId="25" fillId="14" borderId="0">
      <alignment horizontal="right" vertical="top"/>
    </xf>
    <xf numFmtId="170" fontId="25" fillId="14" borderId="0">
      <alignment horizontal="center" vertical="top"/>
    </xf>
    <xf numFmtId="172" fontId="25" fillId="0" borderId="0">
      <alignment horizontal="right"/>
    </xf>
    <xf numFmtId="43" fontId="25" fillId="14" borderId="0">
      <alignment horizontal="center" vertical="top"/>
    </xf>
    <xf numFmtId="235" fontId="25" fillId="14" borderId="0">
      <alignment horizontal="center" vertical="top"/>
    </xf>
    <xf numFmtId="236" fontId="25" fillId="14" borderId="0">
      <alignment horizontal="center" vertical="top"/>
    </xf>
    <xf numFmtId="236" fontId="25" fillId="14" borderId="0">
      <alignment horizontal="center" vertical="top" wrapText="1"/>
    </xf>
    <xf numFmtId="172" fontId="25" fillId="14" borderId="0">
      <alignment horizontal="center" vertical="top"/>
    </xf>
    <xf numFmtId="172" fontId="25" fillId="14" borderId="0">
      <alignment horizontal="left" vertical="top"/>
    </xf>
    <xf numFmtId="172" fontId="25" fillId="14" borderId="0"/>
    <xf numFmtId="43" fontId="25" fillId="14" borderId="0">
      <alignment horizontal="left" vertical="top"/>
    </xf>
    <xf numFmtId="235" fontId="25" fillId="14" borderId="0">
      <alignment horizontal="center" vertical="top"/>
    </xf>
    <xf numFmtId="236" fontId="78" fillId="14" borderId="0">
      <alignment horizontal="center" wrapText="1"/>
    </xf>
    <xf numFmtId="172" fontId="25" fillId="0" borderId="0"/>
    <xf numFmtId="172" fontId="25" fillId="14" borderId="0">
      <alignment horizontal="left" vertical="top"/>
    </xf>
    <xf numFmtId="172" fontId="25" fillId="14" borderId="0">
      <alignment horizontal="right"/>
    </xf>
    <xf numFmtId="172" fontId="25" fillId="14" borderId="0">
      <alignment horizontal="right"/>
    </xf>
    <xf numFmtId="4" fontId="58" fillId="14" borderId="0">
      <alignment horizontal="right" vertical="top"/>
    </xf>
    <xf numFmtId="43" fontId="25" fillId="14" borderId="0">
      <alignment horizontal="center" vertical="top"/>
    </xf>
    <xf numFmtId="236" fontId="25" fillId="14" borderId="0">
      <alignment horizontal="center" vertical="top" wrapText="1"/>
    </xf>
    <xf numFmtId="43" fontId="25" fillId="14" borderId="0">
      <alignment horizontal="left" vertical="top"/>
    </xf>
    <xf numFmtId="172" fontId="26" fillId="6" borderId="9">
      <alignment horizontal="right" wrapText="1"/>
    </xf>
    <xf numFmtId="172" fontId="26" fillId="6" borderId="9">
      <alignment horizontal="center" wrapText="1"/>
    </xf>
    <xf numFmtId="170" fontId="26" fillId="6" borderId="9">
      <alignment horizontal="right" wrapText="1"/>
    </xf>
    <xf numFmtId="43" fontId="26" fillId="6" borderId="9">
      <alignment horizontal="center" wrapText="1"/>
    </xf>
    <xf numFmtId="235" fontId="26" fillId="6" borderId="9">
      <alignment horizontal="center" wrapText="1"/>
    </xf>
    <xf numFmtId="235" fontId="26" fillId="6" borderId="9">
      <alignment horizontal="center" wrapText="1"/>
    </xf>
    <xf numFmtId="207" fontId="27" fillId="0" borderId="0">
      <alignment horizontal="left" vertical="center" wrapText="1"/>
    </xf>
    <xf numFmtId="172" fontId="25" fillId="0" borderId="0">
      <alignment horizontal="right"/>
    </xf>
    <xf numFmtId="172" fontId="25" fillId="0" borderId="0"/>
    <xf numFmtId="170" fontId="25" fillId="0" borderId="0">
      <alignment horizontal="right"/>
    </xf>
    <xf numFmtId="43" fontId="25" fillId="0" borderId="0">
      <alignment horizontal="center"/>
    </xf>
    <xf numFmtId="235" fontId="25" fillId="0" borderId="0"/>
    <xf numFmtId="235" fontId="25" fillId="0" borderId="0">
      <alignment wrapText="1"/>
    </xf>
    <xf numFmtId="170" fontId="25" fillId="0" borderId="0">
      <alignment horizontal="center" vertical="top"/>
    </xf>
    <xf numFmtId="172" fontId="25" fillId="0" borderId="0">
      <alignment horizontal="center" vertical="top"/>
    </xf>
    <xf numFmtId="172" fontId="25" fillId="0" borderId="0">
      <alignment horizontal="center" vertical="top"/>
    </xf>
    <xf numFmtId="172" fontId="25" fillId="0" borderId="0">
      <alignment horizontal="left" vertical="top"/>
    </xf>
    <xf numFmtId="172" fontId="25" fillId="0" borderId="0">
      <alignment horizontal="right" vertical="center" wrapText="1"/>
    </xf>
    <xf numFmtId="172" fontId="25" fillId="0" borderId="0">
      <alignment horizontal="right" vertical="top"/>
    </xf>
    <xf numFmtId="170" fontId="25" fillId="0" borderId="0">
      <alignment horizontal="center" vertical="top"/>
    </xf>
    <xf numFmtId="170" fontId="78" fillId="0" borderId="0">
      <alignment horizontal="right"/>
    </xf>
    <xf numFmtId="43" fontId="78" fillId="0" borderId="0">
      <alignment horizontal="center"/>
    </xf>
    <xf numFmtId="235" fontId="78" fillId="0" borderId="0"/>
    <xf numFmtId="236" fontId="78" fillId="0" borderId="0">
      <alignment horizontal="center"/>
    </xf>
    <xf numFmtId="236" fontId="78" fillId="0" borderId="0">
      <alignment horizontal="center" wrapText="1"/>
    </xf>
    <xf numFmtId="235" fontId="78" fillId="0" borderId="0">
      <alignment wrapText="1"/>
    </xf>
    <xf numFmtId="43" fontId="58" fillId="0" borderId="0">
      <alignment horizontal="center"/>
    </xf>
    <xf numFmtId="43" fontId="58" fillId="0" borderId="0"/>
    <xf numFmtId="172" fontId="25" fillId="0" borderId="0">
      <alignment horizontal="center" vertical="center" wrapText="1"/>
    </xf>
    <xf numFmtId="43" fontId="58" fillId="0" borderId="17">
      <alignment horizontal="center" vertical="center"/>
    </xf>
    <xf numFmtId="43" fontId="58" fillId="0" borderId="12">
      <alignment horizontal="center" vertical="center"/>
    </xf>
    <xf numFmtId="43" fontId="82" fillId="0" borderId="12">
      <alignment horizontal="center" vertical="center"/>
    </xf>
    <xf numFmtId="43" fontId="82" fillId="0" borderId="13">
      <alignment horizontal="center"/>
    </xf>
    <xf numFmtId="43" fontId="82" fillId="0" borderId="0">
      <alignment horizontal="center"/>
    </xf>
    <xf numFmtId="2" fontId="82" fillId="0" borderId="0">
      <alignment horizontal="center"/>
    </xf>
    <xf numFmtId="43" fontId="82" fillId="0" borderId="14">
      <alignment horizontal="center"/>
    </xf>
    <xf numFmtId="43" fontId="82" fillId="0" borderId="0">
      <alignment horizontal="center"/>
    </xf>
    <xf numFmtId="172" fontId="82" fillId="0" borderId="0">
      <alignment horizontal="center" wrapText="1"/>
    </xf>
    <xf numFmtId="172" fontId="82" fillId="0" borderId="3">
      <alignment horizontal="center" wrapText="1"/>
    </xf>
    <xf numFmtId="170" fontId="25" fillId="0" borderId="0">
      <alignment horizontal="right" vertical="center" wrapText="1"/>
    </xf>
    <xf numFmtId="165" fontId="82" fillId="0" borderId="3">
      <alignment horizontal="center" wrapText="1"/>
    </xf>
    <xf numFmtId="43" fontId="90" fillId="0" borderId="0">
      <alignment horizontal="left"/>
    </xf>
    <xf numFmtId="43" fontId="82" fillId="0" borderId="0">
      <alignment horizontal="center" wrapText="1"/>
    </xf>
    <xf numFmtId="43" fontId="82" fillId="0" borderId="0">
      <alignment wrapText="1"/>
    </xf>
    <xf numFmtId="43" fontId="82" fillId="6" borderId="9">
      <alignment horizontal="right" wrapText="1"/>
    </xf>
    <xf numFmtId="43" fontId="82" fillId="6" borderId="9">
      <alignment horizontal="center" wrapText="1"/>
    </xf>
    <xf numFmtId="172" fontId="5" fillId="0" borderId="0"/>
    <xf numFmtId="172" fontId="5" fillId="0" borderId="0">
      <alignment horizontal="center"/>
    </xf>
    <xf numFmtId="172" fontId="5" fillId="0" borderId="0">
      <alignment horizontal="left"/>
    </xf>
    <xf numFmtId="172" fontId="5" fillId="0" borderId="0">
      <alignment horizontal="center"/>
    </xf>
    <xf numFmtId="43" fontId="26" fillId="0" borderId="0">
      <alignment horizontal="center" vertical="center" wrapText="1"/>
    </xf>
    <xf numFmtId="172" fontId="23" fillId="0" borderId="0">
      <alignment horizontal="center"/>
    </xf>
    <xf numFmtId="172" fontId="5" fillId="0" borderId="0"/>
    <xf numFmtId="172" fontId="83" fillId="0" borderId="0">
      <alignment horizontal="left" vertical="center"/>
    </xf>
    <xf numFmtId="172" fontId="26" fillId="0" borderId="27"/>
    <xf numFmtId="172" fontId="26" fillId="0" borderId="0"/>
    <xf numFmtId="43" fontId="26" fillId="0" borderId="0"/>
    <xf numFmtId="43" fontId="26" fillId="0" borderId="0">
      <alignment horizontal="center"/>
    </xf>
    <xf numFmtId="172" fontId="26" fillId="0" borderId="0">
      <alignment horizontal="center"/>
    </xf>
    <xf numFmtId="172" fontId="26" fillId="6" borderId="24">
      <alignment horizontal="center"/>
    </xf>
    <xf numFmtId="49" fontId="25" fillId="0" borderId="0">
      <alignment horizontal="left"/>
    </xf>
    <xf numFmtId="235" fontId="26" fillId="0" borderId="0">
      <alignment horizontal="center" vertical="center" wrapText="1"/>
    </xf>
    <xf numFmtId="49" fontId="25" fillId="0" borderId="13">
      <alignment horizontal="left"/>
    </xf>
    <xf numFmtId="49" fontId="25" fillId="0" borderId="15">
      <alignment horizontal="left"/>
    </xf>
    <xf numFmtId="172" fontId="80" fillId="0" borderId="14"/>
    <xf numFmtId="49" fontId="25" fillId="0" borderId="14">
      <alignment horizontal="left"/>
    </xf>
    <xf numFmtId="172" fontId="5" fillId="0" borderId="0">
      <alignment horizontal="center"/>
    </xf>
    <xf numFmtId="172" fontId="5" fillId="0" borderId="0"/>
    <xf numFmtId="172" fontId="5" fillId="0" borderId="0"/>
    <xf numFmtId="172" fontId="23" fillId="0" borderId="0">
      <alignment horizontal="right"/>
    </xf>
    <xf numFmtId="172" fontId="23" fillId="0" borderId="0">
      <alignment horizontal="center"/>
    </xf>
    <xf numFmtId="172" fontId="23" fillId="0" borderId="3"/>
    <xf numFmtId="172" fontId="26" fillId="0" borderId="0">
      <alignment horizontal="left" vertical="center" wrapText="1"/>
    </xf>
    <xf numFmtId="172" fontId="23" fillId="0" borderId="3">
      <alignment horizontal="center"/>
    </xf>
    <xf numFmtId="172" fontId="23" fillId="0" borderId="3">
      <alignment horizontal="center" wrapText="1"/>
    </xf>
    <xf numFmtId="172" fontId="23" fillId="0" borderId="0"/>
    <xf numFmtId="172" fontId="23" fillId="0" borderId="3">
      <alignment horizontal="center" wrapText="1"/>
    </xf>
    <xf numFmtId="172" fontId="23" fillId="0" borderId="0">
      <alignment horizontal="center"/>
    </xf>
    <xf numFmtId="172" fontId="23" fillId="0" borderId="3">
      <alignment horizontal="center"/>
    </xf>
    <xf numFmtId="172" fontId="23" fillId="0" borderId="0"/>
    <xf numFmtId="172" fontId="23" fillId="0" borderId="3">
      <alignment horizontal="left" wrapText="1"/>
    </xf>
    <xf numFmtId="236" fontId="5" fillId="0" borderId="0">
      <alignment horizontal="center"/>
    </xf>
    <xf numFmtId="236" fontId="5" fillId="0" borderId="0">
      <alignment horizontal="left"/>
    </xf>
    <xf numFmtId="0" fontId="91" fillId="0" borderId="0"/>
    <xf numFmtId="10" fontId="9" fillId="0" borderId="0"/>
    <xf numFmtId="0" fontId="29" fillId="0" borderId="0" applyFill="0" applyBorder="0" applyAlignment="0"/>
    <xf numFmtId="0" fontId="29" fillId="0" borderId="0" applyFill="0" applyBorder="0" applyAlignment="0"/>
    <xf numFmtId="0" fontId="29" fillId="0" borderId="0" applyFill="0" applyBorder="0" applyAlignment="0"/>
    <xf numFmtId="0" fontId="29" fillId="0" borderId="0" applyFill="0" applyBorder="0" applyAlignment="0"/>
    <xf numFmtId="0" fontId="29" fillId="0" borderId="0" applyFill="0" applyBorder="0" applyAlignment="0"/>
    <xf numFmtId="227" fontId="9" fillId="0" borderId="0"/>
    <xf numFmtId="0" fontId="92" fillId="6" borderId="0"/>
    <xf numFmtId="0" fontId="57" fillId="0" borderId="0" applyNumberFormat="0" applyFont="0" applyFill="0" applyBorder="0" applyAlignment="0" applyProtection="0">
      <alignment horizontal="left"/>
    </xf>
    <xf numFmtId="15" fontId="57" fillId="0" borderId="0" applyFont="0" applyFill="0" applyBorder="0" applyAlignment="0" applyProtection="0"/>
    <xf numFmtId="4" fontId="57" fillId="0" borderId="0" applyFont="0" applyFill="0" applyBorder="0" applyAlignment="0" applyProtection="0"/>
    <xf numFmtId="0" fontId="93" fillId="0" borderId="10">
      <alignment horizontal="center"/>
    </xf>
    <xf numFmtId="3" fontId="57" fillId="0" borderId="0" applyFont="0" applyFill="0" applyBorder="0" applyAlignment="0" applyProtection="0"/>
    <xf numFmtId="0" fontId="57" fillId="20" borderId="0" applyNumberFormat="0" applyFont="0" applyBorder="0" applyAlignment="0" applyProtection="0"/>
    <xf numFmtId="0" fontId="25" fillId="0" borderId="0">
      <alignment vertical="top"/>
    </xf>
    <xf numFmtId="0" fontId="25" fillId="0" borderId="0">
      <alignment vertical="top"/>
    </xf>
    <xf numFmtId="0" fontId="25" fillId="0" borderId="0">
      <alignment vertical="top"/>
    </xf>
    <xf numFmtId="0" fontId="25" fillId="0" borderId="0">
      <alignment vertical="top"/>
    </xf>
    <xf numFmtId="245" fontId="94" fillId="0" borderId="0"/>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95" fillId="21" borderId="0" applyNumberFormat="0" applyFont="0" applyBorder="0" applyAlignment="0">
      <alignment horizontal="center"/>
    </xf>
    <xf numFmtId="14" fontId="44" fillId="0" borderId="0" applyNumberFormat="0" applyFill="0" applyBorder="0" applyAlignment="0" applyProtection="0">
      <alignment horizontal="left"/>
    </xf>
    <xf numFmtId="49" fontId="5" fillId="0" borderId="0" applyFont="0" applyFill="0" applyBorder="0" applyProtection="0">
      <alignment horizontal="right"/>
    </xf>
    <xf numFmtId="49" fontId="23" fillId="0" borderId="0" applyFill="0" applyBorder="0" applyProtection="0">
      <alignment horizontal="right"/>
    </xf>
    <xf numFmtId="49" fontId="23" fillId="0" borderId="3" applyFill="0" applyProtection="0">
      <alignment horizontal="right"/>
    </xf>
    <xf numFmtId="49" fontId="23" fillId="0" borderId="12" applyFill="0" applyProtection="0">
      <alignment horizontal="right"/>
    </xf>
    <xf numFmtId="0" fontId="67" fillId="0" borderId="0" applyFill="0" applyBorder="0" applyProtection="0">
      <alignment horizontal="left"/>
    </xf>
    <xf numFmtId="0" fontId="16" fillId="22" borderId="0"/>
    <xf numFmtId="0" fontId="95" fillId="1" borderId="8" applyNumberFormat="0" applyFont="0" applyAlignment="0">
      <alignment horizontal="center"/>
    </xf>
    <xf numFmtId="246" fontId="96" fillId="0" borderId="0" applyFont="0" applyFill="0" applyBorder="0" applyAlignment="0" applyProtection="0"/>
    <xf numFmtId="1" fontId="9" fillId="0" borderId="0"/>
    <xf numFmtId="0" fontId="5" fillId="0" borderId="0" applyFont="0" applyFill="0" applyBorder="0" applyAlignment="0" applyProtection="0"/>
    <xf numFmtId="0" fontId="23" fillId="0" borderId="0" applyFill="0" applyBorder="0" applyAlignment="0" applyProtection="0"/>
    <xf numFmtId="42" fontId="24" fillId="0" borderId="0" applyFill="0" applyBorder="0" applyAlignment="0" applyProtection="0"/>
    <xf numFmtId="0" fontId="97" fillId="0" borderId="0" applyNumberFormat="0" applyFill="0" applyBorder="0" applyAlignment="0">
      <alignment horizontal="center"/>
    </xf>
    <xf numFmtId="12" fontId="9" fillId="0" borderId="0" applyFont="0" applyFill="0" applyBorder="0" applyProtection="0">
      <alignment horizontal="right"/>
    </xf>
    <xf numFmtId="0" fontId="9" fillId="23" borderId="0" applyFont="0" applyFill="0" applyBorder="0" applyProtection="0">
      <alignment horizontal="right"/>
    </xf>
    <xf numFmtId="0" fontId="7" fillId="0" borderId="0">
      <alignment vertical="top"/>
    </xf>
    <xf numFmtId="0" fontId="82" fillId="0" borderId="0" applyNumberFormat="0" applyFill="0" applyBorder="0" applyProtection="0">
      <alignment horizontal="left"/>
    </xf>
    <xf numFmtId="0" fontId="25" fillId="0" borderId="0" applyNumberFormat="0" applyFill="0" applyBorder="0" applyProtection="0">
      <alignment horizontal="left"/>
    </xf>
    <xf numFmtId="0" fontId="25" fillId="0" borderId="0" applyNumberFormat="0" applyFill="0" applyBorder="0" applyProtection="0">
      <alignment horizontal="left"/>
    </xf>
    <xf numFmtId="0" fontId="26" fillId="0" borderId="0" applyNumberFormat="0" applyFill="0" applyBorder="0" applyProtection="0">
      <alignment horizontal="left"/>
    </xf>
    <xf numFmtId="0" fontId="26" fillId="0" borderId="0" applyFill="0" applyBorder="0" applyProtection="0">
      <alignment horizontal="left" wrapText="1"/>
    </xf>
    <xf numFmtId="0" fontId="26" fillId="0" borderId="0" applyNumberFormat="0" applyFill="0" applyBorder="0" applyProtection="0">
      <alignment horizontal="right" wrapText="1"/>
    </xf>
    <xf numFmtId="1" fontId="25" fillId="0" borderId="0" applyFill="0" applyBorder="0" applyProtection="0">
      <alignment horizontal="left"/>
    </xf>
    <xf numFmtId="49" fontId="25" fillId="0" borderId="0" applyFill="0" applyBorder="0" applyProtection="0">
      <alignment horizontal="left"/>
    </xf>
    <xf numFmtId="1" fontId="25" fillId="0" borderId="0" applyFill="0" applyBorder="0" applyProtection="0">
      <alignment horizontal="center"/>
    </xf>
    <xf numFmtId="37" fontId="25" fillId="0" borderId="0" applyFill="0" applyBorder="0" applyProtection="0">
      <alignment horizontal="right"/>
    </xf>
    <xf numFmtId="7" fontId="25" fillId="0" borderId="0" applyFill="0" applyBorder="0" applyProtection="0">
      <alignment horizontal="right"/>
    </xf>
    <xf numFmtId="247" fontId="25" fillId="0" borderId="0" applyFill="0" applyBorder="0" applyProtection="0">
      <alignment horizontal="left"/>
    </xf>
    <xf numFmtId="37" fontId="26" fillId="0" borderId="0" applyFill="0" applyBorder="0" applyProtection="0">
      <alignment horizontal="right"/>
    </xf>
    <xf numFmtId="7" fontId="26" fillId="0" borderId="0" applyFill="0" applyBorder="0" applyProtection="0">
      <alignment horizontal="right"/>
    </xf>
    <xf numFmtId="248" fontId="25" fillId="0" borderId="0" applyFill="0" applyBorder="0" applyProtection="0">
      <alignment horizontal="right"/>
    </xf>
    <xf numFmtId="249" fontId="25" fillId="0" borderId="0" applyFill="0" applyBorder="0" applyProtection="0">
      <alignment horizontal="right"/>
    </xf>
    <xf numFmtId="250" fontId="25" fillId="0" borderId="0" applyFill="0" applyBorder="0" applyProtection="0">
      <alignment horizontal="right"/>
    </xf>
    <xf numFmtId="14" fontId="25" fillId="0" borderId="0" applyFill="0" applyBorder="0" applyProtection="0">
      <alignment horizontal="right"/>
    </xf>
    <xf numFmtId="14" fontId="25" fillId="0" borderId="0" applyFill="0" applyBorder="0" applyProtection="0">
      <alignment horizontal="right"/>
    </xf>
    <xf numFmtId="251" fontId="25" fillId="0" borderId="0" applyFill="0" applyBorder="0" applyProtection="0">
      <alignment horizontal="left"/>
    </xf>
    <xf numFmtId="252" fontId="25" fillId="0" borderId="0" applyFill="0" applyBorder="0" applyProtection="0">
      <alignment horizontal="left"/>
    </xf>
    <xf numFmtId="248" fontId="26" fillId="0" borderId="0" applyFill="0" applyBorder="0" applyProtection="0">
      <alignment horizontal="right"/>
    </xf>
    <xf numFmtId="1" fontId="26" fillId="0" borderId="0" applyFill="0" applyBorder="0" applyProtection="0">
      <alignment horizontal="left"/>
    </xf>
    <xf numFmtId="247" fontId="26" fillId="0" borderId="0" applyFill="0" applyBorder="0" applyProtection="0">
      <alignment horizontal="left"/>
    </xf>
    <xf numFmtId="37" fontId="26" fillId="0" borderId="0" applyFill="0" applyBorder="0" applyProtection="0">
      <alignment horizontal="right"/>
    </xf>
    <xf numFmtId="1" fontId="98" fillId="0" borderId="0" applyFill="0" applyBorder="0" applyProtection="0">
      <alignment horizontal="left"/>
    </xf>
    <xf numFmtId="49" fontId="25" fillId="0" borderId="0" applyFill="0" applyBorder="0" applyProtection="0">
      <alignment horizontal="left"/>
    </xf>
    <xf numFmtId="252" fontId="25" fillId="0" borderId="0" applyFill="0" applyBorder="0" applyProtection="0">
      <alignment horizontal="left"/>
    </xf>
    <xf numFmtId="0" fontId="7" fillId="0" borderId="0" applyNumberFormat="0" applyBorder="0" applyAlignment="0"/>
    <xf numFmtId="0" fontId="17" fillId="0" borderId="0"/>
    <xf numFmtId="40" fontId="99" fillId="0" borderId="0" applyBorder="0">
      <alignment horizontal="right"/>
    </xf>
    <xf numFmtId="6" fontId="73" fillId="0" borderId="36" applyFill="0">
      <alignment vertical="center"/>
    </xf>
    <xf numFmtId="0" fontId="18" fillId="0" borderId="0"/>
    <xf numFmtId="0" fontId="100" fillId="0" borderId="0"/>
    <xf numFmtId="0" fontId="5" fillId="0" borderId="0"/>
    <xf numFmtId="49" fontId="7" fillId="0" borderId="0" applyFill="0" applyBorder="0" applyAlignment="0"/>
    <xf numFmtId="0" fontId="29" fillId="0" borderId="0" applyFill="0" applyBorder="0" applyAlignment="0"/>
    <xf numFmtId="201" fontId="9" fillId="0" borderId="0" applyFill="0" applyBorder="0" applyAlignment="0"/>
    <xf numFmtId="0" fontId="19" fillId="0" borderId="0"/>
    <xf numFmtId="0" fontId="20" fillId="0" borderId="0"/>
    <xf numFmtId="0" fontId="21" fillId="0" borderId="0">
      <alignment vertical="top"/>
    </xf>
    <xf numFmtId="253" fontId="73" fillId="0" borderId="0" applyFill="0" applyBorder="0">
      <alignment vertical="center"/>
    </xf>
    <xf numFmtId="0" fontId="25" fillId="0" borderId="0" applyNumberFormat="0" applyFill="0" applyBorder="0" applyAlignment="0" applyProtection="0"/>
    <xf numFmtId="0" fontId="5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38" fontId="101" fillId="0" borderId="0" applyNumberFormat="0" applyFill="0" applyBorder="0">
      <alignment horizontal="left" vertical="center"/>
    </xf>
    <xf numFmtId="38" fontId="102" fillId="0" borderId="0" applyNumberFormat="0" applyFill="0" applyBorder="0">
      <alignment horizontal="centerContinuous" vertical="center"/>
    </xf>
    <xf numFmtId="0" fontId="22" fillId="0" borderId="0">
      <alignment vertical="top"/>
    </xf>
    <xf numFmtId="0" fontId="103" fillId="0" borderId="0" applyNumberFormat="0" applyFill="0" applyBorder="0" applyAlignment="0" applyProtection="0"/>
    <xf numFmtId="0" fontId="9" fillId="0" borderId="0" applyNumberFormat="0" applyFill="0" applyBorder="0" applyAlignment="0" applyProtection="0"/>
    <xf numFmtId="0" fontId="28" fillId="0" borderId="0" applyFill="0" applyBorder="0" applyAlignment="0" applyProtection="0"/>
    <xf numFmtId="0" fontId="19" fillId="0" borderId="0">
      <alignment wrapText="1"/>
    </xf>
    <xf numFmtId="0" fontId="104" fillId="0" borderId="0">
      <alignment horizontal="left"/>
      <protection locked="0"/>
    </xf>
    <xf numFmtId="5" fontId="89" fillId="0" borderId="0">
      <alignment vertical="center"/>
    </xf>
    <xf numFmtId="223" fontId="29" fillId="0" borderId="0"/>
    <xf numFmtId="254" fontId="30" fillId="0" borderId="0" applyFill="0" applyBorder="0" applyAlignment="0" applyProtection="0"/>
    <xf numFmtId="14" fontId="25" fillId="0" borderId="0" applyFont="0" applyFill="0" applyBorder="0" applyProtection="0"/>
    <xf numFmtId="255" fontId="105" fillId="0" borderId="0" applyFill="0" applyBorder="0">
      <alignment vertical="center"/>
    </xf>
    <xf numFmtId="0" fontId="73" fillId="24" borderId="37" applyNumberFormat="0" applyFont="0" applyBorder="0" applyAlignment="0" applyProtection="0">
      <alignment horizontal="right"/>
    </xf>
    <xf numFmtId="256" fontId="24" fillId="0" borderId="0" applyFont="0" applyFill="0" applyBorder="0" applyAlignment="0" applyProtection="0"/>
    <xf numFmtId="255" fontId="106" fillId="0" borderId="0">
      <alignment horizontal="center"/>
    </xf>
    <xf numFmtId="43" fontId="9" fillId="0" borderId="0" applyFont="0" applyFill="0" applyBorder="0" applyAlignment="0" applyProtection="0"/>
    <xf numFmtId="41" fontId="9" fillId="0" borderId="0" applyFont="0" applyFill="0" applyBorder="0" applyAlignment="0" applyProtection="0"/>
    <xf numFmtId="0" fontId="9" fillId="0" borderId="0"/>
    <xf numFmtId="44" fontId="9" fillId="0" borderId="0" applyFont="0" applyFill="0" applyBorder="0" applyAlignment="0" applyProtection="0"/>
    <xf numFmtId="42" fontId="9" fillId="0" borderId="0" applyFont="0" applyFill="0" applyBorder="0" applyAlignment="0" applyProtection="0"/>
    <xf numFmtId="0" fontId="3" fillId="0" borderId="0"/>
    <xf numFmtId="43" fontId="3" fillId="0" borderId="0" applyFont="0" applyFill="0" applyBorder="0" applyAlignment="0" applyProtection="0"/>
    <xf numFmtId="0" fontId="4" fillId="0" borderId="0"/>
    <xf numFmtId="9" fontId="3" fillId="0" borderId="0" applyFont="0" applyFill="0" applyBorder="0" applyAlignment="0" applyProtection="0"/>
    <xf numFmtId="0" fontId="2" fillId="0" borderId="0"/>
    <xf numFmtId="43" fontId="2"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230">
    <xf numFmtId="0" fontId="0" fillId="0" borderId="0" xfId="0"/>
    <xf numFmtId="0" fontId="3" fillId="0" borderId="0" xfId="894"/>
    <xf numFmtId="170" fontId="112" fillId="0" borderId="43" xfId="895" applyNumberFormat="1" applyFont="1" applyFill="1" applyBorder="1" applyAlignment="1">
      <alignment horizontal="right" wrapText="1"/>
    </xf>
    <xf numFmtId="0" fontId="112" fillId="0" borderId="42" xfId="896" applyFont="1" applyBorder="1"/>
    <xf numFmtId="170" fontId="118" fillId="0" borderId="27" xfId="895" applyNumberFormat="1" applyFont="1" applyFill="1" applyBorder="1" applyAlignment="1">
      <alignment horizontal="left" wrapText="1"/>
    </xf>
    <xf numFmtId="0" fontId="108" fillId="0" borderId="21" xfId="896" applyFont="1" applyBorder="1" applyAlignment="1">
      <alignment horizontal="left" wrapText="1"/>
    </xf>
    <xf numFmtId="0" fontId="112" fillId="0" borderId="40" xfId="896" applyFont="1" applyBorder="1" applyAlignment="1">
      <alignment horizontal="left" wrapText="1"/>
    </xf>
    <xf numFmtId="170" fontId="112" fillId="0" borderId="0" xfId="895" applyNumberFormat="1" applyFont="1" applyFill="1" applyBorder="1" applyAlignment="1">
      <alignment horizontal="right" wrapText="1"/>
    </xf>
    <xf numFmtId="0" fontId="112" fillId="0" borderId="0" xfId="896" applyFont="1"/>
    <xf numFmtId="0" fontId="112" fillId="0" borderId="41" xfId="896" applyFont="1" applyBorder="1" applyAlignment="1">
      <alignment horizontal="right" wrapText="1"/>
    </xf>
    <xf numFmtId="0" fontId="115" fillId="0" borderId="0" xfId="896" applyFont="1"/>
    <xf numFmtId="172" fontId="119" fillId="0" borderId="0" xfId="895" applyNumberFormat="1" applyFont="1" applyFill="1"/>
    <xf numFmtId="0" fontId="119" fillId="0" borderId="0" xfId="896" applyFont="1"/>
    <xf numFmtId="0" fontId="108" fillId="0" borderId="0" xfId="896" applyFont="1"/>
    <xf numFmtId="165" fontId="108" fillId="0" borderId="0" xfId="894" applyNumberFormat="1" applyFont="1"/>
    <xf numFmtId="258" fontId="112" fillId="0" borderId="0" xfId="896" applyNumberFormat="1" applyFont="1"/>
    <xf numFmtId="170" fontId="112" fillId="0" borderId="0" xfId="895" applyNumberFormat="1" applyFont="1" applyFill="1" applyBorder="1"/>
    <xf numFmtId="258" fontId="112" fillId="0" borderId="8" xfId="896" applyNumberFormat="1" applyFont="1" applyBorder="1"/>
    <xf numFmtId="170" fontId="112" fillId="0" borderId="8" xfId="895" applyNumberFormat="1" applyFont="1" applyFill="1" applyBorder="1"/>
    <xf numFmtId="0" fontId="112" fillId="0" borderId="8" xfId="896" applyFont="1" applyBorder="1"/>
    <xf numFmtId="258" fontId="108" fillId="0" borderId="0" xfId="896" applyNumberFormat="1" applyFont="1"/>
    <xf numFmtId="170" fontId="108" fillId="0" borderId="0" xfId="895" applyNumberFormat="1" applyFont="1" applyFill="1"/>
    <xf numFmtId="170" fontId="112" fillId="0" borderId="0" xfId="896" applyNumberFormat="1" applyFont="1" applyAlignment="1">
      <alignment horizontal="center" vertical="center" wrapText="1"/>
    </xf>
    <xf numFmtId="0" fontId="112" fillId="0" borderId="0" xfId="896" applyFont="1" applyAlignment="1">
      <alignment horizontal="left" wrapText="1"/>
    </xf>
    <xf numFmtId="170" fontId="118" fillId="0" borderId="0" xfId="895" applyNumberFormat="1" applyFont="1" applyFill="1" applyBorder="1" applyAlignment="1">
      <alignment horizontal="center" wrapText="1"/>
    </xf>
    <xf numFmtId="0" fontId="108" fillId="0" borderId="0" xfId="896" applyFont="1" applyAlignment="1">
      <alignment horizontal="left" wrapText="1"/>
    </xf>
    <xf numFmtId="0" fontId="112" fillId="0" borderId="0" xfId="896" applyFont="1" applyAlignment="1">
      <alignment horizontal="right" wrapText="1"/>
    </xf>
    <xf numFmtId="17" fontId="112" fillId="0" borderId="8" xfId="896" applyNumberFormat="1" applyFont="1" applyBorder="1" applyAlignment="1">
      <alignment horizontal="left" vertical="center" wrapText="1"/>
    </xf>
    <xf numFmtId="0" fontId="112" fillId="0" borderId="0" xfId="896" applyFont="1" applyAlignment="1">
      <alignment wrapText="1"/>
    </xf>
    <xf numFmtId="0" fontId="108" fillId="0" borderId="0" xfId="894" applyFont="1"/>
    <xf numFmtId="169" fontId="108" fillId="0" borderId="0" xfId="897" applyNumberFormat="1" applyFont="1" applyFill="1" applyBorder="1"/>
    <xf numFmtId="0" fontId="108" fillId="0" borderId="0" xfId="894" applyFont="1" applyAlignment="1">
      <alignment horizontal="right"/>
    </xf>
    <xf numFmtId="0" fontId="112" fillId="0" borderId="0" xfId="894" applyFont="1"/>
    <xf numFmtId="259" fontId="112" fillId="0" borderId="0" xfId="894" applyNumberFormat="1" applyFont="1" applyAlignment="1">
      <alignment horizontal="right"/>
    </xf>
    <xf numFmtId="258" fontId="112" fillId="0" borderId="0" xfId="894" applyNumberFormat="1" applyFont="1" applyAlignment="1">
      <alignment horizontal="right"/>
    </xf>
    <xf numFmtId="259" fontId="108" fillId="0" borderId="0" xfId="894" applyNumberFormat="1" applyFont="1" applyAlignment="1">
      <alignment horizontal="right"/>
    </xf>
    <xf numFmtId="258" fontId="108" fillId="0" borderId="0" xfId="894" applyNumberFormat="1" applyFont="1" applyAlignment="1">
      <alignment horizontal="right"/>
    </xf>
    <xf numFmtId="170" fontId="108" fillId="0" borderId="0" xfId="895" applyNumberFormat="1" applyFont="1" applyFill="1" applyBorder="1" applyAlignment="1">
      <alignment horizontal="right"/>
    </xf>
    <xf numFmtId="170" fontId="112" fillId="0" borderId="39" xfId="895" applyNumberFormat="1" applyFont="1" applyFill="1" applyBorder="1" applyAlignment="1">
      <alignment horizontal="right"/>
    </xf>
    <xf numFmtId="0" fontId="112" fillId="0" borderId="39" xfId="894" applyFont="1" applyBorder="1"/>
    <xf numFmtId="170" fontId="112" fillId="0" borderId="0" xfId="895" applyNumberFormat="1" applyFont="1" applyFill="1" applyBorder="1" applyAlignment="1">
      <alignment horizontal="right"/>
    </xf>
    <xf numFmtId="170" fontId="108" fillId="0" borderId="0" xfId="895" applyNumberFormat="1" applyFont="1"/>
    <xf numFmtId="170" fontId="112" fillId="0" borderId="0" xfId="895" applyNumberFormat="1" applyFont="1" applyFill="1"/>
    <xf numFmtId="37" fontId="108" fillId="0" borderId="0" xfId="894" applyNumberFormat="1" applyFont="1" applyAlignment="1">
      <alignment horizontal="right"/>
    </xf>
    <xf numFmtId="0" fontId="113" fillId="0" borderId="0" xfId="894" applyFont="1"/>
    <xf numFmtId="9" fontId="113" fillId="27" borderId="0" xfId="897" applyFont="1" applyFill="1" applyAlignment="1">
      <alignment horizontal="right"/>
    </xf>
    <xf numFmtId="0" fontId="113" fillId="27" borderId="0" xfId="894" applyFont="1" applyFill="1"/>
    <xf numFmtId="165" fontId="112" fillId="0" borderId="39" xfId="894" applyNumberFormat="1" applyFont="1" applyBorder="1"/>
    <xf numFmtId="165" fontId="112" fillId="0" borderId="0" xfId="894" applyNumberFormat="1" applyFont="1" applyAlignment="1">
      <alignment horizontal="right"/>
    </xf>
    <xf numFmtId="0" fontId="113" fillId="27" borderId="0" xfId="894" applyFont="1" applyFill="1" applyAlignment="1">
      <alignment horizontal="left" indent="1"/>
    </xf>
    <xf numFmtId="168" fontId="112" fillId="26" borderId="0" xfId="894" applyNumberFormat="1" applyFont="1" applyFill="1" applyAlignment="1">
      <alignment horizontal="center"/>
    </xf>
    <xf numFmtId="0" fontId="112" fillId="26" borderId="0" xfId="894" applyFont="1" applyFill="1"/>
    <xf numFmtId="0" fontId="109" fillId="0" borderId="0" xfId="894" applyFont="1"/>
    <xf numFmtId="168" fontId="112" fillId="26" borderId="3" xfId="894" applyNumberFormat="1" applyFont="1" applyFill="1" applyBorder="1" applyAlignment="1">
      <alignment horizontal="centerContinuous"/>
    </xf>
    <xf numFmtId="0" fontId="112" fillId="26" borderId="3" xfId="894" applyFont="1" applyFill="1" applyBorder="1"/>
    <xf numFmtId="0" fontId="112" fillId="28" borderId="0" xfId="894" applyFont="1" applyFill="1"/>
    <xf numFmtId="169" fontId="113" fillId="27" borderId="0" xfId="897" applyNumberFormat="1" applyFont="1" applyFill="1" applyAlignment="1">
      <alignment horizontal="right"/>
    </xf>
    <xf numFmtId="165" fontId="112" fillId="0" borderId="0" xfId="894" applyNumberFormat="1" applyFont="1"/>
    <xf numFmtId="168" fontId="112" fillId="26" borderId="3" xfId="894" applyNumberFormat="1" applyFont="1" applyFill="1" applyBorder="1" applyAlignment="1">
      <alignment horizontal="center"/>
    </xf>
    <xf numFmtId="166" fontId="112" fillId="0" borderId="0" xfId="894" applyNumberFormat="1" applyFont="1"/>
    <xf numFmtId="166" fontId="112" fillId="0" borderId="3" xfId="894" applyNumberFormat="1" applyFont="1" applyBorder="1" applyAlignment="1">
      <alignment horizontal="right"/>
    </xf>
    <xf numFmtId="0" fontId="112" fillId="0" borderId="3" xfId="894" applyFont="1" applyBorder="1"/>
    <xf numFmtId="167" fontId="108" fillId="0" borderId="0" xfId="894" applyNumberFormat="1" applyFont="1"/>
    <xf numFmtId="257" fontId="108" fillId="0" borderId="0" xfId="894" applyNumberFormat="1" applyFont="1"/>
    <xf numFmtId="257" fontId="112" fillId="0" borderId="0" xfId="894" applyNumberFormat="1" applyFont="1"/>
    <xf numFmtId="165" fontId="111" fillId="0" borderId="0" xfId="894" applyNumberFormat="1" applyFont="1"/>
    <xf numFmtId="169" fontId="114" fillId="0" borderId="0" xfId="897" applyNumberFormat="1" applyFont="1" applyFill="1"/>
    <xf numFmtId="169" fontId="114" fillId="0" borderId="0" xfId="897" applyNumberFormat="1" applyFont="1" applyFill="1" applyBorder="1"/>
    <xf numFmtId="9" fontId="108" fillId="0" borderId="0" xfId="897" applyFont="1" applyFill="1" applyBorder="1"/>
    <xf numFmtId="9" fontId="108" fillId="0" borderId="0" xfId="897" applyFont="1" applyFill="1"/>
    <xf numFmtId="0" fontId="108" fillId="0" borderId="0" xfId="894" applyFont="1" applyAlignment="1">
      <alignment horizontal="left"/>
    </xf>
    <xf numFmtId="169" fontId="114" fillId="27" borderId="0" xfId="897" applyNumberFormat="1" applyFont="1" applyFill="1"/>
    <xf numFmtId="9" fontId="108" fillId="0" borderId="0" xfId="897" applyFont="1"/>
    <xf numFmtId="0" fontId="113" fillId="0" borderId="0" xfId="894" applyFont="1" applyAlignment="1">
      <alignment horizontal="left" indent="1"/>
    </xf>
    <xf numFmtId="169" fontId="113" fillId="27" borderId="0" xfId="897" applyNumberFormat="1" applyFont="1" applyFill="1"/>
    <xf numFmtId="37" fontId="108" fillId="0" borderId="0" xfId="894" applyNumberFormat="1" applyFont="1"/>
    <xf numFmtId="169" fontId="114" fillId="27" borderId="0" xfId="897" applyNumberFormat="1" applyFont="1" applyFill="1" applyBorder="1"/>
    <xf numFmtId="0" fontId="108" fillId="0" borderId="0" xfId="894" applyFont="1" applyAlignment="1">
      <alignment horizontal="left" indent="1"/>
    </xf>
    <xf numFmtId="0" fontId="108" fillId="26" borderId="0" xfId="894" applyFont="1" applyFill="1"/>
    <xf numFmtId="0" fontId="108" fillId="26" borderId="3" xfId="894" applyFont="1" applyFill="1" applyBorder="1"/>
    <xf numFmtId="0" fontId="110" fillId="0" borderId="0" xfId="894" applyFont="1"/>
    <xf numFmtId="43" fontId="112" fillId="0" borderId="0" xfId="895" applyFont="1" applyFill="1" applyBorder="1" applyAlignment="1">
      <alignment horizontal="center"/>
    </xf>
    <xf numFmtId="43" fontId="110" fillId="0" borderId="0" xfId="895" applyFont="1" applyFill="1" applyBorder="1" applyAlignment="1">
      <alignment horizontal="center"/>
    </xf>
    <xf numFmtId="0" fontId="112" fillId="26" borderId="38" xfId="894" applyFont="1" applyFill="1" applyBorder="1" applyAlignment="1">
      <alignment horizontal="center"/>
    </xf>
    <xf numFmtId="43" fontId="111" fillId="0" borderId="0" xfId="895" applyFont="1" applyFill="1" applyBorder="1" applyAlignment="1">
      <alignment horizontal="center"/>
    </xf>
    <xf numFmtId="0" fontId="108" fillId="0" borderId="0" xfId="898" applyFont="1"/>
    <xf numFmtId="172" fontId="108" fillId="0" borderId="0" xfId="899" applyNumberFormat="1" applyFont="1" applyFill="1" applyBorder="1"/>
    <xf numFmtId="261" fontId="118" fillId="0" borderId="0" xfId="898" applyNumberFormat="1" applyFont="1" applyAlignment="1">
      <alignment horizontal="right"/>
    </xf>
    <xf numFmtId="261" fontId="108" fillId="0" borderId="0" xfId="898" applyNumberFormat="1" applyFont="1" applyAlignment="1">
      <alignment horizontal="right"/>
    </xf>
    <xf numFmtId="0" fontId="110" fillId="0" borderId="0" xfId="898" applyFont="1"/>
    <xf numFmtId="43" fontId="110" fillId="0" borderId="0" xfId="899" applyFont="1" applyFill="1" applyBorder="1" applyAlignment="1">
      <alignment horizontal="center"/>
    </xf>
    <xf numFmtId="43" fontId="112" fillId="0" borderId="0" xfId="899" applyFont="1" applyFill="1" applyBorder="1" applyAlignment="1">
      <alignment horizontal="center"/>
    </xf>
    <xf numFmtId="261" fontId="112" fillId="0" borderId="0" xfId="899" applyNumberFormat="1" applyFont="1" applyFill="1" applyBorder="1" applyAlignment="1">
      <alignment horizontal="right"/>
    </xf>
    <xf numFmtId="0" fontId="120" fillId="0" borderId="0" xfId="898" applyFont="1" applyAlignment="1">
      <alignment horizontal="center"/>
    </xf>
    <xf numFmtId="43" fontId="117" fillId="0" borderId="0" xfId="899" applyFont="1" applyFill="1" applyBorder="1" applyAlignment="1">
      <alignment horizontal="left"/>
    </xf>
    <xf numFmtId="43" fontId="121" fillId="0" borderId="0" xfId="899" applyFont="1" applyFill="1" applyBorder="1" applyAlignment="1">
      <alignment horizontal="left"/>
    </xf>
    <xf numFmtId="0" fontId="112" fillId="0" borderId="0" xfId="898" applyFont="1"/>
    <xf numFmtId="168" fontId="112" fillId="26" borderId="0" xfId="898" applyNumberFormat="1" applyFont="1" applyFill="1" applyAlignment="1">
      <alignment horizontal="center"/>
    </xf>
    <xf numFmtId="0" fontId="109" fillId="0" borderId="0" xfId="898" applyFont="1"/>
    <xf numFmtId="0" fontId="112" fillId="26" borderId="38" xfId="898" applyFont="1" applyFill="1" applyBorder="1" applyAlignment="1">
      <alignment horizontal="center"/>
    </xf>
    <xf numFmtId="17" fontId="112" fillId="0" borderId="8" xfId="896" applyNumberFormat="1" applyFont="1" applyBorder="1" applyAlignment="1">
      <alignment horizontal="right" vertical="center" wrapText="1"/>
    </xf>
    <xf numFmtId="16" fontId="108" fillId="0" borderId="21" xfId="896" applyNumberFormat="1" applyFont="1" applyBorder="1" applyAlignment="1">
      <alignment horizontal="left" wrapText="1"/>
    </xf>
    <xf numFmtId="257" fontId="112" fillId="0" borderId="0" xfId="894" applyNumberFormat="1" applyFont="1" applyAlignment="1">
      <alignment horizontal="center"/>
    </xf>
    <xf numFmtId="170" fontId="120" fillId="0" borderId="0" xfId="895" applyNumberFormat="1" applyFont="1" applyFill="1" applyBorder="1" applyAlignment="1">
      <alignment horizontal="center" wrapText="1"/>
    </xf>
    <xf numFmtId="170" fontId="108" fillId="0" borderId="0" xfId="895" applyNumberFormat="1" applyFont="1" applyFill="1" applyBorder="1" applyAlignment="1">
      <alignment horizontal="center" wrapText="1"/>
    </xf>
    <xf numFmtId="170" fontId="112" fillId="0" borderId="0" xfId="895" applyNumberFormat="1" applyFont="1" applyFill="1" applyBorder="1" applyAlignment="1">
      <alignment horizontal="center" wrapText="1"/>
    </xf>
    <xf numFmtId="170" fontId="108" fillId="0" borderId="27" xfId="895" applyNumberFormat="1" applyFont="1" applyFill="1" applyBorder="1" applyAlignment="1">
      <alignment horizontal="left" wrapText="1"/>
    </xf>
    <xf numFmtId="165" fontId="115" fillId="0" borderId="0" xfId="894" applyNumberFormat="1" applyFont="1"/>
    <xf numFmtId="165" fontId="110" fillId="0" borderId="0" xfId="894" applyNumberFormat="1" applyFont="1"/>
    <xf numFmtId="0" fontId="117" fillId="0" borderId="0" xfId="898" applyFont="1"/>
    <xf numFmtId="261" fontId="117" fillId="0" borderId="0" xfId="898" applyNumberFormat="1" applyFont="1"/>
    <xf numFmtId="0" fontId="125" fillId="26" borderId="0" xfId="894" applyFont="1" applyFill="1" applyAlignment="1">
      <alignment horizontal="left"/>
    </xf>
    <xf numFmtId="165" fontId="116" fillId="0" borderId="0" xfId="894" applyNumberFormat="1" applyFont="1"/>
    <xf numFmtId="165" fontId="111" fillId="0" borderId="0" xfId="894" applyNumberFormat="1" applyFont="1" applyAlignment="1">
      <alignment wrapText="1"/>
    </xf>
    <xf numFmtId="0" fontId="112" fillId="0" borderId="0" xfId="894" applyFont="1" applyAlignment="1">
      <alignment horizontal="left"/>
    </xf>
    <xf numFmtId="0" fontId="119" fillId="0" borderId="0" xfId="894" applyFont="1"/>
    <xf numFmtId="165" fontId="111" fillId="0" borderId="30" xfId="894" applyNumberFormat="1" applyFont="1" applyBorder="1"/>
    <xf numFmtId="39" fontId="122" fillId="0" borderId="0" xfId="894" applyNumberFormat="1" applyFont="1"/>
    <xf numFmtId="0" fontId="126" fillId="0" borderId="0" xfId="894" applyFont="1"/>
    <xf numFmtId="224" fontId="126" fillId="0" borderId="0" xfId="894" applyNumberFormat="1" applyFont="1"/>
    <xf numFmtId="170" fontId="122" fillId="0" borderId="0" xfId="895" applyNumberFormat="1" applyFont="1" applyFill="1" applyBorder="1" applyAlignment="1">
      <alignment horizontal="center" wrapText="1"/>
    </xf>
    <xf numFmtId="170" fontId="110" fillId="0" borderId="0" xfId="895" applyNumberFormat="1" applyFont="1" applyFill="1" applyBorder="1" applyAlignment="1">
      <alignment horizontal="center"/>
    </xf>
    <xf numFmtId="170" fontId="112" fillId="0" borderId="0" xfId="894" applyNumberFormat="1" applyFont="1"/>
    <xf numFmtId="0" fontId="108" fillId="0" borderId="0" xfId="0" applyFont="1"/>
    <xf numFmtId="170" fontId="112" fillId="0" borderId="43" xfId="900" applyNumberFormat="1" applyFont="1" applyFill="1" applyBorder="1" applyAlignment="1">
      <alignment horizontal="left" wrapText="1"/>
    </xf>
    <xf numFmtId="170" fontId="112" fillId="0" borderId="0" xfId="900" applyNumberFormat="1" applyFont="1" applyFill="1" applyBorder="1" applyAlignment="1">
      <alignment horizontal="left" wrapText="1"/>
    </xf>
    <xf numFmtId="170" fontId="118" fillId="0" borderId="27" xfId="900" applyNumberFormat="1" applyFont="1" applyFill="1" applyBorder="1" applyAlignment="1">
      <alignment horizontal="left" wrapText="1"/>
    </xf>
    <xf numFmtId="0" fontId="108" fillId="0" borderId="44" xfId="896" applyFont="1" applyBorder="1" applyAlignment="1">
      <alignment horizontal="left" wrapText="1"/>
    </xf>
    <xf numFmtId="170" fontId="108" fillId="0" borderId="0" xfId="895" applyNumberFormat="1" applyFont="1" applyFill="1" applyBorder="1"/>
    <xf numFmtId="10" fontId="109" fillId="0" borderId="0" xfId="898" applyNumberFormat="1" applyFont="1"/>
    <xf numFmtId="10" fontId="112" fillId="0" borderId="0" xfId="898" applyNumberFormat="1" applyFont="1"/>
    <xf numFmtId="10" fontId="110" fillId="0" borderId="0" xfId="898" applyNumberFormat="1" applyFont="1"/>
    <xf numFmtId="10" fontId="108" fillId="0" borderId="0" xfId="898" applyNumberFormat="1" applyFont="1"/>
    <xf numFmtId="10" fontId="108" fillId="0" borderId="0" xfId="899" applyNumberFormat="1" applyFont="1" applyFill="1" applyBorder="1"/>
    <xf numFmtId="10" fontId="117" fillId="0" borderId="0" xfId="898" applyNumberFormat="1" applyFont="1"/>
    <xf numFmtId="0" fontId="1" fillId="0" borderId="0" xfId="894" applyFont="1"/>
    <xf numFmtId="260" fontId="111" fillId="0" borderId="0" xfId="894" applyNumberFormat="1" applyFont="1"/>
    <xf numFmtId="3" fontId="0" fillId="0" borderId="0" xfId="0" applyNumberFormat="1"/>
    <xf numFmtId="0" fontId="112" fillId="0" borderId="0" xfId="0" applyFont="1"/>
    <xf numFmtId="0" fontId="108" fillId="0" borderId="0" xfId="0" applyFont="1" applyAlignment="1">
      <alignment horizontal="left" indent="1"/>
    </xf>
    <xf numFmtId="43" fontId="122" fillId="0" borderId="0" xfId="899" applyFont="1" applyFill="1" applyBorder="1" applyAlignment="1">
      <alignment horizontal="left" indent="1"/>
    </xf>
    <xf numFmtId="172" fontId="112" fillId="0" borderId="0" xfId="899" applyNumberFormat="1" applyFont="1" applyFill="1" applyBorder="1" applyAlignment="1">
      <alignment horizontal="left" indent="1"/>
    </xf>
    <xf numFmtId="224" fontId="119" fillId="0" borderId="0" xfId="894" applyNumberFormat="1" applyFont="1"/>
    <xf numFmtId="0" fontId="112" fillId="0" borderId="38" xfId="898" applyFont="1" applyBorder="1" applyAlignment="1">
      <alignment horizontal="center"/>
    </xf>
    <xf numFmtId="168" fontId="112" fillId="0" borderId="0" xfId="898" applyNumberFormat="1" applyFont="1" applyAlignment="1">
      <alignment horizontal="center"/>
    </xf>
    <xf numFmtId="0" fontId="112" fillId="0" borderId="0" xfId="894" applyFont="1" applyAlignment="1">
      <alignment horizontal="center"/>
    </xf>
    <xf numFmtId="168" fontId="112" fillId="0" borderId="0" xfId="894" applyNumberFormat="1" applyFont="1" applyAlignment="1">
      <alignment horizontal="center"/>
    </xf>
    <xf numFmtId="261" fontId="108" fillId="0" borderId="0" xfId="894" applyNumberFormat="1" applyFont="1"/>
    <xf numFmtId="169" fontId="117" fillId="0" borderId="0" xfId="897" applyNumberFormat="1" applyFont="1" applyFill="1" applyBorder="1"/>
    <xf numFmtId="169" fontId="113" fillId="0" borderId="0" xfId="897" applyNumberFormat="1" applyFont="1" applyFill="1" applyBorder="1"/>
    <xf numFmtId="260" fontId="108" fillId="0" borderId="0" xfId="894" applyNumberFormat="1" applyFont="1"/>
    <xf numFmtId="165" fontId="121" fillId="0" borderId="0" xfId="894" applyNumberFormat="1" applyFont="1"/>
    <xf numFmtId="166" fontId="112" fillId="0" borderId="0" xfId="894" applyNumberFormat="1" applyFont="1" applyAlignment="1">
      <alignment horizontal="right"/>
    </xf>
    <xf numFmtId="168" fontId="112" fillId="0" borderId="0" xfId="894" applyNumberFormat="1" applyFont="1" applyAlignment="1">
      <alignment horizontal="centerContinuous"/>
    </xf>
    <xf numFmtId="169" fontId="113" fillId="0" borderId="0" xfId="897" applyNumberFormat="1" applyFont="1" applyFill="1" applyBorder="1" applyAlignment="1">
      <alignment horizontal="right"/>
    </xf>
    <xf numFmtId="9" fontId="113" fillId="0" borderId="0" xfId="897" applyFont="1" applyFill="1" applyBorder="1" applyAlignment="1">
      <alignment horizontal="right"/>
    </xf>
    <xf numFmtId="39" fontId="118" fillId="29" borderId="0" xfId="894" applyNumberFormat="1" applyFont="1" applyFill="1" applyAlignment="1">
      <alignment horizontal="right"/>
    </xf>
    <xf numFmtId="39" fontId="108" fillId="29" borderId="0" xfId="894" applyNumberFormat="1" applyFont="1" applyFill="1" applyAlignment="1">
      <alignment horizontal="right"/>
    </xf>
    <xf numFmtId="0" fontId="110" fillId="26" borderId="0" xfId="898" applyFont="1" applyFill="1"/>
    <xf numFmtId="43" fontId="110" fillId="26" borderId="0" xfId="899" applyFont="1" applyFill="1" applyBorder="1" applyAlignment="1">
      <alignment horizontal="center"/>
    </xf>
    <xf numFmtId="43" fontId="110" fillId="26" borderId="0" xfId="895" applyFont="1" applyFill="1" applyBorder="1" applyAlignment="1">
      <alignment horizontal="center"/>
    </xf>
    <xf numFmtId="43" fontId="112" fillId="26" borderId="0" xfId="895" applyFont="1" applyFill="1" applyBorder="1" applyAlignment="1">
      <alignment horizontal="center"/>
    </xf>
    <xf numFmtId="17" fontId="112" fillId="26" borderId="8" xfId="896" applyNumberFormat="1" applyFont="1" applyFill="1" applyBorder="1" applyAlignment="1">
      <alignment horizontal="left" vertical="center" wrapText="1"/>
    </xf>
    <xf numFmtId="17" fontId="112" fillId="26" borderId="8" xfId="896" applyNumberFormat="1" applyFont="1" applyFill="1" applyBorder="1" applyAlignment="1">
      <alignment horizontal="center" vertical="center" wrapText="1"/>
    </xf>
    <xf numFmtId="0" fontId="112" fillId="26" borderId="40" xfId="896" applyFont="1" applyFill="1" applyBorder="1" applyAlignment="1">
      <alignment horizontal="left" wrapText="1"/>
    </xf>
    <xf numFmtId="0" fontId="112" fillId="26" borderId="41" xfId="896" applyFont="1" applyFill="1" applyBorder="1" applyAlignment="1">
      <alignment horizontal="center" wrapText="1"/>
    </xf>
    <xf numFmtId="165" fontId="118" fillId="0" borderId="30" xfId="894" applyNumberFormat="1" applyFont="1" applyBorder="1"/>
    <xf numFmtId="0" fontId="128" fillId="0" borderId="0" xfId="894" applyFont="1"/>
    <xf numFmtId="169" fontId="113" fillId="27" borderId="0" xfId="897" applyNumberFormat="1" applyFont="1" applyFill="1" applyBorder="1"/>
    <xf numFmtId="169" fontId="113" fillId="0" borderId="0" xfId="897" applyNumberFormat="1" applyFont="1" applyFill="1"/>
    <xf numFmtId="165" fontId="111" fillId="29" borderId="0" xfId="894" applyNumberFormat="1" applyFont="1" applyFill="1"/>
    <xf numFmtId="165" fontId="108" fillId="29" borderId="0" xfId="894" applyNumberFormat="1" applyFont="1" applyFill="1"/>
    <xf numFmtId="37" fontId="108" fillId="29" borderId="0" xfId="894" applyNumberFormat="1" applyFont="1" applyFill="1"/>
    <xf numFmtId="0" fontId="108" fillId="27" borderId="0" xfId="894" applyFont="1" applyFill="1"/>
    <xf numFmtId="0" fontId="108" fillId="27" borderId="0" xfId="894" applyFont="1" applyFill="1" applyAlignment="1">
      <alignment horizontal="left"/>
    </xf>
    <xf numFmtId="0" fontId="112" fillId="29" borderId="0" xfId="894" applyFont="1" applyFill="1" applyAlignment="1">
      <alignment horizontal="left"/>
    </xf>
    <xf numFmtId="169" fontId="108" fillId="27" borderId="0" xfId="897" applyNumberFormat="1" applyFont="1" applyFill="1" applyBorder="1" applyAlignment="1">
      <alignment horizontal="right"/>
    </xf>
    <xf numFmtId="169" fontId="128" fillId="0" borderId="0" xfId="897" applyNumberFormat="1" applyFont="1" applyFill="1" applyBorder="1"/>
    <xf numFmtId="3" fontId="8" fillId="0" borderId="0" xfId="0" applyNumberFormat="1" applyFont="1"/>
    <xf numFmtId="165" fontId="112" fillId="27" borderId="0" xfId="894" applyNumberFormat="1" applyFont="1" applyFill="1"/>
    <xf numFmtId="165" fontId="108" fillId="27" borderId="0" xfId="894" applyNumberFormat="1" applyFont="1" applyFill="1"/>
    <xf numFmtId="170" fontId="119" fillId="0" borderId="0" xfId="895" applyNumberFormat="1" applyFont="1" applyFill="1" applyBorder="1"/>
    <xf numFmtId="172" fontId="119" fillId="0" borderId="0" xfId="895" applyNumberFormat="1" applyFont="1" applyFill="1" applyBorder="1"/>
    <xf numFmtId="37" fontId="119" fillId="0" borderId="0" xfId="894" applyNumberFormat="1" applyFont="1"/>
    <xf numFmtId="37" fontId="129" fillId="0" borderId="0" xfId="894" applyNumberFormat="1" applyFont="1"/>
    <xf numFmtId="165" fontId="129" fillId="0" borderId="0" xfId="894" applyNumberFormat="1" applyFont="1"/>
    <xf numFmtId="165" fontId="119" fillId="0" borderId="0" xfId="894" applyNumberFormat="1" applyFont="1"/>
    <xf numFmtId="165" fontId="118" fillId="0" borderId="0" xfId="894" applyNumberFormat="1" applyFont="1"/>
    <xf numFmtId="165" fontId="118" fillId="27" borderId="0" xfId="894" applyNumberFormat="1" applyFont="1" applyFill="1"/>
    <xf numFmtId="0" fontId="118" fillId="0" borderId="0" xfId="894" applyFont="1"/>
    <xf numFmtId="0" fontId="113" fillId="27" borderId="0" xfId="894" applyFont="1" applyFill="1" applyAlignment="1">
      <alignment horizontal="left"/>
    </xf>
    <xf numFmtId="257" fontId="112" fillId="27" borderId="0" xfId="896" applyNumberFormat="1" applyFont="1" applyFill="1"/>
    <xf numFmtId="169" fontId="108" fillId="27" borderId="0" xfId="897" applyNumberFormat="1" applyFont="1" applyFill="1" applyBorder="1"/>
    <xf numFmtId="258" fontId="108" fillId="27" borderId="0" xfId="894" applyNumberFormat="1" applyFont="1" applyFill="1"/>
    <xf numFmtId="258" fontId="108" fillId="27" borderId="0" xfId="894" applyNumberFormat="1" applyFont="1" applyFill="1" applyAlignment="1">
      <alignment horizontal="right"/>
    </xf>
    <xf numFmtId="170" fontId="112" fillId="27" borderId="0" xfId="895" applyNumberFormat="1" applyFont="1" applyFill="1"/>
    <xf numFmtId="170" fontId="108" fillId="27" borderId="0" xfId="895" applyNumberFormat="1" applyFont="1" applyFill="1"/>
    <xf numFmtId="170" fontId="112" fillId="27" borderId="39" xfId="895" applyNumberFormat="1" applyFont="1" applyFill="1" applyBorder="1" applyAlignment="1">
      <alignment horizontal="right"/>
    </xf>
    <xf numFmtId="258" fontId="112" fillId="27" borderId="0" xfId="894" applyNumberFormat="1" applyFont="1" applyFill="1" applyAlignment="1">
      <alignment horizontal="right"/>
    </xf>
    <xf numFmtId="261" fontId="117" fillId="27" borderId="0" xfId="898" applyNumberFormat="1" applyFont="1" applyFill="1"/>
    <xf numFmtId="261" fontId="118" fillId="27" borderId="0" xfId="898" applyNumberFormat="1" applyFont="1" applyFill="1" applyAlignment="1">
      <alignment horizontal="right"/>
    </xf>
    <xf numFmtId="257" fontId="112" fillId="0" borderId="0" xfId="894" applyNumberFormat="1" applyFont="1" applyAlignment="1">
      <alignment horizontal="left" indent="2"/>
    </xf>
    <xf numFmtId="257" fontId="112" fillId="27" borderId="0" xfId="896" applyNumberFormat="1" applyFont="1" applyFill="1" applyAlignment="1">
      <alignment horizontal="left" indent="2"/>
    </xf>
    <xf numFmtId="165" fontId="108" fillId="27" borderId="0" xfId="894" applyNumberFormat="1" applyFont="1" applyFill="1" applyAlignment="1">
      <alignment horizontal="left" indent="2"/>
    </xf>
    <xf numFmtId="170" fontId="108" fillId="0" borderId="0" xfId="895" applyNumberFormat="1" applyFont="1" applyAlignment="1">
      <alignment horizontal="right"/>
    </xf>
    <xf numFmtId="169" fontId="112" fillId="0" borderId="3" xfId="897" applyNumberFormat="1" applyFont="1" applyFill="1" applyBorder="1"/>
    <xf numFmtId="169" fontId="112" fillId="0" borderId="0" xfId="897" applyNumberFormat="1" applyFont="1" applyFill="1" applyBorder="1"/>
    <xf numFmtId="0" fontId="108" fillId="29" borderId="0" xfId="894" applyFont="1" applyFill="1"/>
    <xf numFmtId="39" fontId="108" fillId="27" borderId="0" xfId="894" applyNumberFormat="1" applyFont="1" applyFill="1" applyAlignment="1">
      <alignment horizontal="right"/>
    </xf>
    <xf numFmtId="0" fontId="112" fillId="0" borderId="0" xfId="894" applyFont="1" applyAlignment="1">
      <alignment horizontal="right"/>
    </xf>
    <xf numFmtId="43" fontId="119" fillId="0" borderId="0" xfId="899" applyFont="1" applyFill="1" applyBorder="1" applyAlignment="1">
      <alignment horizontal="left" indent="1"/>
    </xf>
    <xf numFmtId="261" fontId="119" fillId="0" borderId="0" xfId="898" applyNumberFormat="1" applyFont="1"/>
    <xf numFmtId="10" fontId="119" fillId="0" borderId="0" xfId="898" applyNumberFormat="1" applyFont="1"/>
    <xf numFmtId="0" fontId="119" fillId="0" borderId="0" xfId="898" applyFont="1"/>
    <xf numFmtId="261" fontId="119" fillId="27" borderId="0" xfId="898" applyNumberFormat="1" applyFont="1" applyFill="1"/>
    <xf numFmtId="169" fontId="108" fillId="0" borderId="0" xfId="901" applyNumberFormat="1" applyFont="1" applyFill="1"/>
    <xf numFmtId="169" fontId="112" fillId="0" borderId="0" xfId="901" applyNumberFormat="1" applyFont="1" applyFill="1"/>
    <xf numFmtId="169" fontId="108" fillId="27" borderId="0" xfId="901" applyNumberFormat="1" applyFont="1" applyFill="1"/>
    <xf numFmtId="169" fontId="112" fillId="27" borderId="0" xfId="901" applyNumberFormat="1" applyFont="1" applyFill="1"/>
    <xf numFmtId="43" fontId="121" fillId="27" borderId="0" xfId="899" applyFont="1" applyFill="1" applyBorder="1" applyAlignment="1">
      <alignment horizontal="left"/>
    </xf>
    <xf numFmtId="0" fontId="108" fillId="0" borderId="0" xfId="896" applyFont="1" applyAlignment="1">
      <alignment horizontal="left" wrapText="1" indent="1"/>
    </xf>
    <xf numFmtId="0" fontId="130" fillId="0" borderId="0" xfId="894" applyFont="1"/>
    <xf numFmtId="258" fontId="112" fillId="0" borderId="8" xfId="896" applyNumberFormat="1" applyFont="1" applyBorder="1" applyAlignment="1">
      <alignment horizontal="right"/>
    </xf>
    <xf numFmtId="169" fontId="108" fillId="0" borderId="0" xfId="901" applyNumberFormat="1" applyFont="1" applyFill="1" applyAlignment="1">
      <alignment horizontal="right"/>
    </xf>
    <xf numFmtId="0" fontId="112" fillId="0" borderId="0" xfId="896" applyFont="1" applyAlignment="1">
      <alignment horizontal="left" wrapText="1" indent="1"/>
    </xf>
    <xf numFmtId="170" fontId="118" fillId="30" borderId="0" xfId="895" applyNumberFormat="1" applyFont="1" applyFill="1" applyBorder="1" applyAlignment="1">
      <alignment horizontal="center" wrapText="1"/>
    </xf>
    <xf numFmtId="0" fontId="113" fillId="0" borderId="0" xfId="0" applyFont="1"/>
    <xf numFmtId="165" fontId="131" fillId="0" borderId="0" xfId="0" applyNumberFormat="1" applyFont="1"/>
    <xf numFmtId="165" fontId="113" fillId="0" borderId="0" xfId="0" applyNumberFormat="1" applyFont="1"/>
    <xf numFmtId="165" fontId="113" fillId="0" borderId="0" xfId="894" applyNumberFormat="1" applyFont="1"/>
  </cellXfs>
  <cellStyles count="902">
    <cellStyle name="$" xfId="1" xr:uid="{00000000-0005-0000-0000-000000000000}"/>
    <cellStyle name="$_TSA Model - 1 8 06 - v2" xfId="2" xr:uid="{00000000-0005-0000-0000-000001000000}"/>
    <cellStyle name="%" xfId="3" xr:uid="{00000000-0005-0000-0000-000002000000}"/>
    <cellStyle name=";;;" xfId="4" xr:uid="{00000000-0005-0000-0000-000003000000}"/>
    <cellStyle name="_%(SignOnly)" xfId="5" xr:uid="{00000000-0005-0000-0000-000004000000}"/>
    <cellStyle name="_%(SignSpaceOnly)" xfId="6" xr:uid="{00000000-0005-0000-0000-000005000000}"/>
    <cellStyle name="_0% CADR" xfId="7" xr:uid="{00000000-0005-0000-0000-000006000000}"/>
    <cellStyle name="_0% IRR" xfId="8" xr:uid="{00000000-0005-0000-0000-000007000000}"/>
    <cellStyle name="_1% CADR" xfId="9" xr:uid="{00000000-0005-0000-0000-000008000000}"/>
    <cellStyle name="_10% CADR" xfId="10" xr:uid="{00000000-0005-0000-0000-000009000000}"/>
    <cellStyle name="_10% CDR" xfId="11" xr:uid="{00000000-0005-0000-0000-00000A000000}"/>
    <cellStyle name="_11% CADR" xfId="12" xr:uid="{00000000-0005-0000-0000-00000B000000}"/>
    <cellStyle name="_12% CADR" xfId="13" xr:uid="{00000000-0005-0000-0000-00000C000000}"/>
    <cellStyle name="_12% CDR" xfId="14" xr:uid="{00000000-0005-0000-0000-00000D000000}"/>
    <cellStyle name="_13% CADR" xfId="15" xr:uid="{00000000-0005-0000-0000-00000E000000}"/>
    <cellStyle name="_14% CADR" xfId="16" xr:uid="{00000000-0005-0000-0000-00000F000000}"/>
    <cellStyle name="_14% CDR" xfId="17" xr:uid="{00000000-0005-0000-0000-000010000000}"/>
    <cellStyle name="_16% CDR" xfId="18" xr:uid="{00000000-0005-0000-0000-000011000000}"/>
    <cellStyle name="_18% CDR" xfId="19" xr:uid="{00000000-0005-0000-0000-000012000000}"/>
    <cellStyle name="_19.6% CDR BBB Break In Yield" xfId="20" xr:uid="{00000000-0005-0000-0000-000013000000}"/>
    <cellStyle name="_2% CADR" xfId="21" xr:uid="{00000000-0005-0000-0000-000014000000}"/>
    <cellStyle name="_20% CDR" xfId="22" xr:uid="{00000000-0005-0000-0000-000015000000}"/>
    <cellStyle name="_21.5% CDR BBB Break In Yield" xfId="23" xr:uid="{00000000-0005-0000-0000-000016000000}"/>
    <cellStyle name="_3% CADR" xfId="24" xr:uid="{00000000-0005-0000-0000-000017000000}"/>
    <cellStyle name="_3% CDR" xfId="25" xr:uid="{00000000-0005-0000-0000-000018000000}"/>
    <cellStyle name="_4% CADR" xfId="26" xr:uid="{00000000-0005-0000-0000-000019000000}"/>
    <cellStyle name="_5% CADR" xfId="27" xr:uid="{00000000-0005-0000-0000-00001A000000}"/>
    <cellStyle name="_5% CDR" xfId="28" xr:uid="{00000000-0005-0000-0000-00001B000000}"/>
    <cellStyle name="_6% CADR" xfId="29" xr:uid="{00000000-0005-0000-0000-00001C000000}"/>
    <cellStyle name="_7% CADR" xfId="30" xr:uid="{00000000-0005-0000-0000-00001D000000}"/>
    <cellStyle name="_7% CDR" xfId="31" xr:uid="{00000000-0005-0000-0000-00001E000000}"/>
    <cellStyle name="_8% CADR" xfId="32" xr:uid="{00000000-0005-0000-0000-00001F000000}"/>
    <cellStyle name="_8.0% CDR BB Break In Yield" xfId="33" xr:uid="{00000000-0005-0000-0000-000020000000}"/>
    <cellStyle name="_8.1% CDR BB Break In Yield" xfId="34" xr:uid="{00000000-0005-0000-0000-000021000000}"/>
    <cellStyle name="_9% CADR" xfId="35" xr:uid="{00000000-0005-0000-0000-000022000000}"/>
    <cellStyle name="_Assets" xfId="36" xr:uid="{00000000-0005-0000-0000-000023000000}"/>
    <cellStyle name="_Assets_1" xfId="37" xr:uid="{00000000-0005-0000-0000-000024000000}"/>
    <cellStyle name="_Assets_1_COMPS - B2B Publishers" xfId="38" xr:uid="{00000000-0005-0000-0000-000025000000}"/>
    <cellStyle name="_Assets_1_COMPS - Directories" xfId="39" xr:uid="{00000000-0005-0000-0000-000026000000}"/>
    <cellStyle name="_Assets_1_F&amp;W Servicing Model" xfId="40" xr:uid="{00000000-0005-0000-0000-000027000000}"/>
    <cellStyle name="_Assets_1_F&amp;W Servicing Model v2" xfId="41" xr:uid="{00000000-0005-0000-0000-000028000000}"/>
    <cellStyle name="_Assets_1_S&amp;P Analysis" xfId="42" xr:uid="{00000000-0005-0000-0000-000029000000}"/>
    <cellStyle name="_Assets_1_Univision Annual Model" xfId="43" xr:uid="{00000000-0005-0000-0000-00002A000000}"/>
    <cellStyle name="_Assets_1_Yell Servicing Model" xfId="44" xr:uid="{00000000-0005-0000-0000-00002B000000}"/>
    <cellStyle name="_Assets_S&amp;P Analysis" xfId="45" xr:uid="{00000000-0005-0000-0000-00002C000000}"/>
    <cellStyle name="_Assets_S&amp;P Analysis_COMPS - B2B Publishers" xfId="46" xr:uid="{00000000-0005-0000-0000-00002D000000}"/>
    <cellStyle name="_Assets_S&amp;P Analysis_COMPS - Directories" xfId="47" xr:uid="{00000000-0005-0000-0000-00002E000000}"/>
    <cellStyle name="_Assets_S&amp;P Analysis_F&amp;W Servicing Model" xfId="48" xr:uid="{00000000-0005-0000-0000-00002F000000}"/>
    <cellStyle name="_Assets_S&amp;P Analysis_F&amp;W Servicing Model v2" xfId="49" xr:uid="{00000000-0005-0000-0000-000030000000}"/>
    <cellStyle name="_Assets_S&amp;P Analysis_Univision Annual Model" xfId="50" xr:uid="{00000000-0005-0000-0000-000031000000}"/>
    <cellStyle name="_Assets_S&amp;P Analysis_Yell Servicing Model" xfId="51" xr:uid="{00000000-0005-0000-0000-000032000000}"/>
    <cellStyle name="_Assumptions" xfId="52" xr:uid="{00000000-0005-0000-0000-000033000000}"/>
    <cellStyle name="_Assumptions_1" xfId="53" xr:uid="{00000000-0005-0000-0000-000034000000}"/>
    <cellStyle name="_Assumptions_1_COMPS - B2B Publishers" xfId="54" xr:uid="{00000000-0005-0000-0000-000035000000}"/>
    <cellStyle name="_Assumptions_1_COMPS - Directories" xfId="55" xr:uid="{00000000-0005-0000-0000-000036000000}"/>
    <cellStyle name="_Assumptions_1_F&amp;W Servicing Model" xfId="56" xr:uid="{00000000-0005-0000-0000-000037000000}"/>
    <cellStyle name="_Assumptions_1_F&amp;W Servicing Model v2" xfId="57" xr:uid="{00000000-0005-0000-0000-000038000000}"/>
    <cellStyle name="_Assumptions_1_Univision Annual Model" xfId="58" xr:uid="{00000000-0005-0000-0000-000039000000}"/>
    <cellStyle name="_Assumptions_1_Yell Servicing Model" xfId="59" xr:uid="{00000000-0005-0000-0000-00003A000000}"/>
    <cellStyle name="_Blue Mountain TRS (7-5-05)" xfId="60" xr:uid="{00000000-0005-0000-0000-00003B000000}"/>
    <cellStyle name="_Book2" xfId="61" xr:uid="{00000000-0005-0000-0000-00003C000000}"/>
    <cellStyle name="_CDO of CDO" xfId="62" xr:uid="{00000000-0005-0000-0000-00003D000000}"/>
    <cellStyle name="_CLO Portfolio 10_07_2005" xfId="63" xr:uid="{00000000-0005-0000-0000-00003E000000}"/>
    <cellStyle name="_Comma" xfId="64" xr:uid="{00000000-0005-0000-0000-00003F000000}"/>
    <cellStyle name="_Comma_dcf" xfId="65" xr:uid="{00000000-0005-0000-0000-000040000000}"/>
    <cellStyle name="_Currency" xfId="66" xr:uid="{00000000-0005-0000-0000-000041000000}"/>
    <cellStyle name="_Currency_dcf" xfId="67" xr:uid="{00000000-0005-0000-0000-000042000000}"/>
    <cellStyle name="_CurrencySpace" xfId="68" xr:uid="{00000000-0005-0000-0000-000043000000}"/>
    <cellStyle name="_CurrencySpace_dcf" xfId="69" xr:uid="{00000000-0005-0000-0000-000044000000}"/>
    <cellStyle name="_Euro" xfId="70" xr:uid="{00000000-0005-0000-0000-000045000000}"/>
    <cellStyle name="_EV8 Assumption List" xfId="71" xr:uid="{00000000-0005-0000-0000-000046000000}"/>
    <cellStyle name="_Exhibit I Babson Warehouse 2006-II CLO 8 18 06" xfId="72" xr:uid="{00000000-0005-0000-0000-000047000000}"/>
    <cellStyle name="_First PIK" xfId="73" xr:uid="{00000000-0005-0000-0000-000048000000}"/>
    <cellStyle name="_Galaxy VI CLO - WestLB Request" xfId="74" xr:uid="{00000000-0005-0000-0000-000049000000}"/>
    <cellStyle name="_Heading" xfId="75" xr:uid="{00000000-0005-0000-0000-00004A000000}"/>
    <cellStyle name="_Heading_prestemp" xfId="76" xr:uid="{00000000-0005-0000-0000-00004B000000}"/>
    <cellStyle name="_Highlight" xfId="77" xr:uid="{00000000-0005-0000-0000-00004C000000}"/>
    <cellStyle name="_Model FINAL (2)" xfId="78" xr:uid="{00000000-0005-0000-0000-00004D000000}"/>
    <cellStyle name="_Multiple" xfId="79" xr:uid="{00000000-0005-0000-0000-00004E000000}"/>
    <cellStyle name="_Multiple_dcf" xfId="80" xr:uid="{00000000-0005-0000-0000-00004F000000}"/>
    <cellStyle name="_MultipleSpace" xfId="81" xr:uid="{00000000-0005-0000-0000-000050000000}"/>
    <cellStyle name="_MultipleSpace_dcf" xfId="82" xr:uid="{00000000-0005-0000-0000-000051000000}"/>
    <cellStyle name="_Other Defafult Scenario 1" xfId="83" xr:uid="{00000000-0005-0000-0000-000052000000}"/>
    <cellStyle name="_Other Default Scenario 2" xfId="84" xr:uid="{00000000-0005-0000-0000-000053000000}"/>
    <cellStyle name="_Percent" xfId="85" xr:uid="{00000000-0005-0000-0000-000054000000}"/>
    <cellStyle name="_PercentSpace" xfId="86" xr:uid="{00000000-0005-0000-0000-000055000000}"/>
    <cellStyle name="_Port" xfId="87" xr:uid="{00000000-0005-0000-0000-000056000000}"/>
    <cellStyle name="_Port For S&amp;P" xfId="88" xr:uid="{00000000-0005-0000-0000-000057000000}"/>
    <cellStyle name="_Port_COMPS - B2B Publishers" xfId="89" xr:uid="{00000000-0005-0000-0000-000058000000}"/>
    <cellStyle name="_Port_COMPS - Directories" xfId="90" xr:uid="{00000000-0005-0000-0000-000059000000}"/>
    <cellStyle name="_Port_F&amp;W Servicing Model" xfId="91" xr:uid="{00000000-0005-0000-0000-00005A000000}"/>
    <cellStyle name="_Port_F&amp;W Servicing Model v2" xfId="92" xr:uid="{00000000-0005-0000-0000-00005B000000}"/>
    <cellStyle name="_Port_Univision Annual Model" xfId="93" xr:uid="{00000000-0005-0000-0000-00005C000000}"/>
    <cellStyle name="_Port_Yell Servicing Model" xfId="94" xr:uid="{00000000-0005-0000-0000-00005D000000}"/>
    <cellStyle name="_Pro Forma TTM 9.30.07 (CW NEIRB Acquisition)" xfId="95" xr:uid="{00000000-0005-0000-0000-00005E000000}"/>
    <cellStyle name="_S&amp;P Analysis" xfId="96" xr:uid="{00000000-0005-0000-0000-00005F000000}"/>
    <cellStyle name="_S&amp;P Analysis_COMPS - B2B Publishers" xfId="97" xr:uid="{00000000-0005-0000-0000-000060000000}"/>
    <cellStyle name="_S&amp;P Analysis_COMPS - Directories" xfId="98" xr:uid="{00000000-0005-0000-0000-000061000000}"/>
    <cellStyle name="_S&amp;P Analysis_F&amp;W Servicing Model" xfId="99" xr:uid="{00000000-0005-0000-0000-000062000000}"/>
    <cellStyle name="_S&amp;P Analysis_F&amp;W Servicing Model v2" xfId="100" xr:uid="{00000000-0005-0000-0000-000063000000}"/>
    <cellStyle name="_S&amp;P Analysis_Univision Annual Model" xfId="101" xr:uid="{00000000-0005-0000-0000-000064000000}"/>
    <cellStyle name="_S&amp;P Analysis_Yell Servicing Model" xfId="102" xr:uid="{00000000-0005-0000-0000-000065000000}"/>
    <cellStyle name="_S&amp;P Hypothetical Port Summary" xfId="103" xr:uid="{00000000-0005-0000-0000-000066000000}"/>
    <cellStyle name="_S&amp;P Port 80Div_2099WARF" xfId="104" xr:uid="{00000000-0005-0000-0000-000067000000}"/>
    <cellStyle name="_S&amp;P Stress Scenarios" xfId="105" xr:uid="{00000000-0005-0000-0000-000068000000}"/>
    <cellStyle name="_Sources and Uses" xfId="106" xr:uid="{00000000-0005-0000-0000-000069000000}"/>
    <cellStyle name="_SubHeading" xfId="107" xr:uid="{00000000-0005-0000-0000-00006A000000}"/>
    <cellStyle name="_SubHeading_prestemp" xfId="108" xr:uid="{00000000-0005-0000-0000-00006B000000}"/>
    <cellStyle name="_Table" xfId="109" xr:uid="{00000000-0005-0000-0000-00006C000000}"/>
    <cellStyle name="_TableHead" xfId="110" xr:uid="{00000000-0005-0000-0000-00006D000000}"/>
    <cellStyle name="_TableRowHead" xfId="111" xr:uid="{00000000-0005-0000-0000-00006E000000}"/>
    <cellStyle name="_TableSuperHead" xfId="112" xr:uid="{00000000-0005-0000-0000-00006F000000}"/>
    <cellStyle name="£Currency [0]" xfId="113" xr:uid="{00000000-0005-0000-0000-000070000000}"/>
    <cellStyle name="£Currency [1]" xfId="114" xr:uid="{00000000-0005-0000-0000-000071000000}"/>
    <cellStyle name="£Currency [2]" xfId="115" xr:uid="{00000000-0005-0000-0000-000072000000}"/>
    <cellStyle name="£Currency [p]" xfId="116" xr:uid="{00000000-0005-0000-0000-000073000000}"/>
    <cellStyle name="£Currency [p2]" xfId="117" xr:uid="{00000000-0005-0000-0000-000074000000}"/>
    <cellStyle name="£Pounds" xfId="118" xr:uid="{00000000-0005-0000-0000-000075000000}"/>
    <cellStyle name="Accounting $" xfId="119" xr:uid="{00000000-0005-0000-0000-000076000000}"/>
    <cellStyle name="Across" xfId="120" xr:uid="{00000000-0005-0000-0000-000077000000}"/>
    <cellStyle name="Adjustable" xfId="121" xr:uid="{00000000-0005-0000-0000-000078000000}"/>
    <cellStyle name="AFE" xfId="122" xr:uid="{00000000-0005-0000-0000-000079000000}"/>
    <cellStyle name="Andre's Title" xfId="123" xr:uid="{00000000-0005-0000-0000-00007A000000}"/>
    <cellStyle name="args.style" xfId="124" xr:uid="{00000000-0005-0000-0000-00007B000000}"/>
    <cellStyle name="Arial 10" xfId="125" xr:uid="{00000000-0005-0000-0000-00007C000000}"/>
    <cellStyle name="Arial 12" xfId="126" xr:uid="{00000000-0005-0000-0000-00007D000000}"/>
    <cellStyle name="Best" xfId="127" xr:uid="{00000000-0005-0000-0000-00007E000000}"/>
    <cellStyle name="Blank [$]" xfId="128" xr:uid="{00000000-0005-0000-0000-00007F000000}"/>
    <cellStyle name="Blank [,]" xfId="129" xr:uid="{00000000-0005-0000-0000-000080000000}"/>
    <cellStyle name="BlankedZeros" xfId="130" xr:uid="{00000000-0005-0000-0000-000081000000}"/>
    <cellStyle name="blp_column_header" xfId="131" xr:uid="{00000000-0005-0000-0000-000082000000}"/>
    <cellStyle name="Blue" xfId="132" xr:uid="{00000000-0005-0000-0000-000083000000}"/>
    <cellStyle name="bluepercent" xfId="133" xr:uid="{00000000-0005-0000-0000-000084000000}"/>
    <cellStyle name="Body" xfId="134" xr:uid="{00000000-0005-0000-0000-000085000000}"/>
    <cellStyle name="Bold" xfId="135" xr:uid="{00000000-0005-0000-0000-000086000000}"/>
    <cellStyle name="BoldItalic" xfId="136" xr:uid="{00000000-0005-0000-0000-000087000000}"/>
    <cellStyle name="Bottom" xfId="137" xr:uid="{00000000-0005-0000-0000-000088000000}"/>
    <cellStyle name="Bottom Edge" xfId="138" xr:uid="{00000000-0005-0000-0000-000089000000}"/>
    <cellStyle name="British Pound" xfId="139" xr:uid="{00000000-0005-0000-0000-00008A000000}"/>
    <cellStyle name="Business Description" xfId="140" xr:uid="{00000000-0005-0000-0000-00008B000000}"/>
    <cellStyle name="c" xfId="141" xr:uid="{00000000-0005-0000-0000-00008C000000}"/>
    <cellStyle name="Calc Currency (0)" xfId="142" xr:uid="{00000000-0005-0000-0000-00008D000000}"/>
    <cellStyle name="Calc Currency (2)" xfId="143" xr:uid="{00000000-0005-0000-0000-00008E000000}"/>
    <cellStyle name="Calc Percent (0)" xfId="144" xr:uid="{00000000-0005-0000-0000-00008F000000}"/>
    <cellStyle name="Calc Percent (1)" xfId="145" xr:uid="{00000000-0005-0000-0000-000090000000}"/>
    <cellStyle name="Calc Percent (2)" xfId="146" xr:uid="{00000000-0005-0000-0000-000091000000}"/>
    <cellStyle name="Calc Units (0)" xfId="147" xr:uid="{00000000-0005-0000-0000-000092000000}"/>
    <cellStyle name="Calc Units (1)" xfId="148" xr:uid="{00000000-0005-0000-0000-000093000000}"/>
    <cellStyle name="Calc Units (2)" xfId="149" xr:uid="{00000000-0005-0000-0000-000094000000}"/>
    <cellStyle name="Case" xfId="150" xr:uid="{00000000-0005-0000-0000-000095000000}"/>
    <cellStyle name="cc" xfId="151" xr:uid="{00000000-0005-0000-0000-000096000000}"/>
    <cellStyle name="Center" xfId="152" xr:uid="{00000000-0005-0000-0000-000097000000}"/>
    <cellStyle name="CenterBold" xfId="153" xr:uid="{00000000-0005-0000-0000-000098000000}"/>
    <cellStyle name="CenterItalic" xfId="154" xr:uid="{00000000-0005-0000-0000-000099000000}"/>
    <cellStyle name="Cents" xfId="155" xr:uid="{00000000-0005-0000-0000-00009A000000}"/>
    <cellStyle name="ChartingText" xfId="156" xr:uid="{00000000-0005-0000-0000-00009B000000}"/>
    <cellStyle name="Co. Names" xfId="157" xr:uid="{00000000-0005-0000-0000-00009C000000}"/>
    <cellStyle name="Co. Names - Bold" xfId="158" xr:uid="{00000000-0005-0000-0000-00009D000000}"/>
    <cellStyle name="Co. Names_Break-Up" xfId="159" xr:uid="{00000000-0005-0000-0000-00009E000000}"/>
    <cellStyle name="COL HEADINGS" xfId="160" xr:uid="{00000000-0005-0000-0000-00009F000000}"/>
    <cellStyle name="ColumnHeaderNormal" xfId="161" xr:uid="{00000000-0005-0000-0000-0000A0000000}"/>
    <cellStyle name="Comma" xfId="900" builtinId="3"/>
    <cellStyle name="Comma  - Style1" xfId="162" xr:uid="{00000000-0005-0000-0000-0000A1000000}"/>
    <cellStyle name="Comma  - Style2" xfId="163" xr:uid="{00000000-0005-0000-0000-0000A2000000}"/>
    <cellStyle name="Comma  - Style3" xfId="164" xr:uid="{00000000-0005-0000-0000-0000A3000000}"/>
    <cellStyle name="Comma  - Style4" xfId="165" xr:uid="{00000000-0005-0000-0000-0000A4000000}"/>
    <cellStyle name="Comma  - Style5" xfId="166" xr:uid="{00000000-0005-0000-0000-0000A5000000}"/>
    <cellStyle name="Comma  - Style6" xfId="167" xr:uid="{00000000-0005-0000-0000-0000A6000000}"/>
    <cellStyle name="Comma  - Style7" xfId="168" xr:uid="{00000000-0005-0000-0000-0000A7000000}"/>
    <cellStyle name="Comma  - Style8" xfId="169" xr:uid="{00000000-0005-0000-0000-0000A8000000}"/>
    <cellStyle name="Comma [0]; --" xfId="170" xr:uid="{00000000-0005-0000-0000-0000A9000000}"/>
    <cellStyle name="Comma [00]" xfId="171" xr:uid="{00000000-0005-0000-0000-0000AA000000}"/>
    <cellStyle name="Comma [1]" xfId="172" xr:uid="{00000000-0005-0000-0000-0000AB000000}"/>
    <cellStyle name="Comma 2" xfId="895" xr:uid="{00000000-0005-0000-0000-0000AC000000}"/>
    <cellStyle name="Comma 2 2" xfId="899" xr:uid="{00000000-0005-0000-0000-0000AD000000}"/>
    <cellStyle name="Comma Cents" xfId="173" xr:uid="{00000000-0005-0000-0000-0000AE000000}"/>
    <cellStyle name="Comma0" xfId="174" xr:uid="{00000000-0005-0000-0000-0000AF000000}"/>
    <cellStyle name="Commas" xfId="175" xr:uid="{00000000-0005-0000-0000-0000B0000000}"/>
    <cellStyle name="CommasBold" xfId="176" xr:uid="{00000000-0005-0000-0000-0000B1000000}"/>
    <cellStyle name="CompanyTitle" xfId="177" xr:uid="{00000000-0005-0000-0000-0000B2000000}"/>
    <cellStyle name="Copied" xfId="178" xr:uid="{00000000-0005-0000-0000-0000B3000000}"/>
    <cellStyle name="Currency $" xfId="179" xr:uid="{00000000-0005-0000-0000-0000B4000000}"/>
    <cellStyle name="Currency [0]; --" xfId="180" xr:uid="{00000000-0005-0000-0000-0000B5000000}"/>
    <cellStyle name="Currency [00]" xfId="181" xr:uid="{00000000-0005-0000-0000-0000B6000000}"/>
    <cellStyle name="Currency [1]" xfId="182" xr:uid="{00000000-0005-0000-0000-0000B7000000}"/>
    <cellStyle name="Currency [2]" xfId="183" xr:uid="{00000000-0005-0000-0000-0000B8000000}"/>
    <cellStyle name="data" xfId="184" xr:uid="{00000000-0005-0000-0000-0000B9000000}"/>
    <cellStyle name="Date" xfId="185" xr:uid="{00000000-0005-0000-0000-0000BA000000}"/>
    <cellStyle name="Date Short" xfId="186" xr:uid="{00000000-0005-0000-0000-0000BB000000}"/>
    <cellStyle name="Date_COMPS - Directories" xfId="187" xr:uid="{00000000-0005-0000-0000-0000BC000000}"/>
    <cellStyle name="DateLeftBold" xfId="188" xr:uid="{00000000-0005-0000-0000-0000BD000000}"/>
    <cellStyle name="Default" xfId="189" xr:uid="{00000000-0005-0000-0000-0000BE000000}"/>
    <cellStyle name="DELTA" xfId="190" xr:uid="{00000000-0005-0000-0000-0000BF000000}"/>
    <cellStyle name="Dollars" xfId="191" xr:uid="{00000000-0005-0000-0000-0000C0000000}"/>
    <cellStyle name="Dollars []" xfId="192" xr:uid="{00000000-0005-0000-0000-0000C1000000}"/>
    <cellStyle name="Dollars_Pro Forma TTM 9.30.07 (CW NEIRB Acquisition)" xfId="193" xr:uid="{00000000-0005-0000-0000-0000C2000000}"/>
    <cellStyle name="Double" xfId="194" xr:uid="{00000000-0005-0000-0000-0000C3000000}"/>
    <cellStyle name="Double Accounting" xfId="195" xr:uid="{00000000-0005-0000-0000-0000C4000000}"/>
    <cellStyle name="Enter Currency (0)" xfId="196" xr:uid="{00000000-0005-0000-0000-0000C5000000}"/>
    <cellStyle name="Enter Currency (2)" xfId="197" xr:uid="{00000000-0005-0000-0000-0000C6000000}"/>
    <cellStyle name="Enter Units (0)" xfId="198" xr:uid="{00000000-0005-0000-0000-0000C7000000}"/>
    <cellStyle name="Enter Units (1)" xfId="199" xr:uid="{00000000-0005-0000-0000-0000C8000000}"/>
    <cellStyle name="Enter Units (2)" xfId="200" xr:uid="{00000000-0005-0000-0000-0000C9000000}"/>
    <cellStyle name="Entered" xfId="201" xr:uid="{00000000-0005-0000-0000-0000CA000000}"/>
    <cellStyle name="Euro" xfId="202" xr:uid="{00000000-0005-0000-0000-0000CB000000}"/>
    <cellStyle name="Fit" xfId="203" xr:uid="{00000000-0005-0000-0000-0000CC000000}"/>
    <cellStyle name="Footer" xfId="204" xr:uid="{00000000-0005-0000-0000-0000CD000000}"/>
    <cellStyle name="Footnotes" xfId="205" xr:uid="{00000000-0005-0000-0000-0000CE000000}"/>
    <cellStyle name="Grey" xfId="206" xr:uid="{00000000-0005-0000-0000-0000CF000000}"/>
    <cellStyle name="GreybarHeader" xfId="207" xr:uid="{00000000-0005-0000-0000-0000D0000000}"/>
    <cellStyle name="Grouped Head" xfId="208" xr:uid="{00000000-0005-0000-0000-0000D1000000}"/>
    <cellStyle name="h" xfId="209" xr:uid="{00000000-0005-0000-0000-0000D2000000}"/>
    <cellStyle name="HAlignCenter" xfId="210" xr:uid="{00000000-0005-0000-0000-0000D3000000}"/>
    <cellStyle name="HAlignLeft" xfId="211" xr:uid="{00000000-0005-0000-0000-0000D4000000}"/>
    <cellStyle name="HAlignRight" xfId="212" xr:uid="{00000000-0005-0000-0000-0000D5000000}"/>
    <cellStyle name="Head 1" xfId="213" xr:uid="{00000000-0005-0000-0000-0000D6000000}"/>
    <cellStyle name="Header" xfId="214" xr:uid="{00000000-0005-0000-0000-0000D7000000}"/>
    <cellStyle name="Header1" xfId="215" xr:uid="{00000000-0005-0000-0000-0000D8000000}"/>
    <cellStyle name="Header2" xfId="216" xr:uid="{00000000-0005-0000-0000-0000D9000000}"/>
    <cellStyle name="headers" xfId="217" xr:uid="{00000000-0005-0000-0000-0000DA000000}"/>
    <cellStyle name="Heading" xfId="218" xr:uid="{00000000-0005-0000-0000-0000DB000000}"/>
    <cellStyle name="HEADINGS" xfId="219" xr:uid="{00000000-0005-0000-0000-0000DC000000}"/>
    <cellStyle name="HEADINGSTOP" xfId="220" xr:uid="{00000000-0005-0000-0000-0000DD000000}"/>
    <cellStyle name="imput" xfId="221" xr:uid="{00000000-0005-0000-0000-0000DE000000}"/>
    <cellStyle name="Input [yellow]" xfId="222" xr:uid="{00000000-0005-0000-0000-0000DF000000}"/>
    <cellStyle name="Invisible" xfId="223" xr:uid="{00000000-0005-0000-0000-0000E0000000}"/>
    <cellStyle name="ItalicHeader" xfId="224" xr:uid="{00000000-0005-0000-0000-0000E1000000}"/>
    <cellStyle name="Item Descriptions" xfId="225" xr:uid="{00000000-0005-0000-0000-0000E2000000}"/>
    <cellStyle name="Item Descriptions - Bold" xfId="226" xr:uid="{00000000-0005-0000-0000-0000E3000000}"/>
    <cellStyle name="Item Descriptions_6079BX" xfId="227" xr:uid="{00000000-0005-0000-0000-0000E4000000}"/>
    <cellStyle name="Left" xfId="228" xr:uid="{00000000-0005-0000-0000-0000E5000000}"/>
    <cellStyle name="LeftBold" xfId="229" xr:uid="{00000000-0005-0000-0000-0000E6000000}"/>
    <cellStyle name="LeftBoldBottomRule" xfId="230" xr:uid="{00000000-0005-0000-0000-0000E7000000}"/>
    <cellStyle name="LeftBoldCenterRule" xfId="231" xr:uid="{00000000-0005-0000-0000-0000E8000000}"/>
    <cellStyle name="Line" xfId="232" xr:uid="{00000000-0005-0000-0000-0000E9000000}"/>
    <cellStyle name="Link Currency (0)" xfId="233" xr:uid="{00000000-0005-0000-0000-0000EA000000}"/>
    <cellStyle name="Link Currency (2)" xfId="234" xr:uid="{00000000-0005-0000-0000-0000EB000000}"/>
    <cellStyle name="Link Units (0)" xfId="235" xr:uid="{00000000-0005-0000-0000-0000EC000000}"/>
    <cellStyle name="Link Units (1)" xfId="236" xr:uid="{00000000-0005-0000-0000-0000ED000000}"/>
    <cellStyle name="Link Units (2)" xfId="237" xr:uid="{00000000-0005-0000-0000-0000EE000000}"/>
    <cellStyle name="locked" xfId="238" xr:uid="{00000000-0005-0000-0000-0000EF000000}"/>
    <cellStyle name="m&amp;a" xfId="239" xr:uid="{00000000-0005-0000-0000-0000F0000000}"/>
    <cellStyle name="Map Labels" xfId="240" xr:uid="{00000000-0005-0000-0000-0000F1000000}"/>
    <cellStyle name="Map Legend" xfId="241" xr:uid="{00000000-0005-0000-0000-0000F2000000}"/>
    <cellStyle name="Merrill" xfId="242" xr:uid="{00000000-0005-0000-0000-0000F3000000}"/>
    <cellStyle name="Millares_Inv Detail A7" xfId="243" xr:uid="{00000000-0005-0000-0000-0000F4000000}"/>
    <cellStyle name="Milliers [0]_r00SC" xfId="244" xr:uid="{00000000-0005-0000-0000-0000F5000000}"/>
    <cellStyle name="Milliers_r00SC" xfId="245" xr:uid="{00000000-0005-0000-0000-0000F6000000}"/>
    <cellStyle name="Mix" xfId="246" xr:uid="{00000000-0005-0000-0000-0000F7000000}"/>
    <cellStyle name="mon" xfId="247" xr:uid="{00000000-0005-0000-0000-0000F8000000}"/>
    <cellStyle name="Monétaire [0]_r00SC" xfId="248" xr:uid="{00000000-0005-0000-0000-0000F9000000}"/>
    <cellStyle name="Monétaire_r00SC" xfId="249" xr:uid="{00000000-0005-0000-0000-0000FA000000}"/>
    <cellStyle name="Money" xfId="250" xr:uid="{00000000-0005-0000-0000-0000FB000000}"/>
    <cellStyle name="Multiple" xfId="251" xr:uid="{00000000-0005-0000-0000-0000FC000000}"/>
    <cellStyle name="Multiple []" xfId="252" xr:uid="{00000000-0005-0000-0000-0000FD000000}"/>
    <cellStyle name="Multiple [0]" xfId="253" xr:uid="{00000000-0005-0000-0000-0000FE000000}"/>
    <cellStyle name="Multiple [0] []" xfId="254" xr:uid="{00000000-0005-0000-0000-0000FF000000}"/>
    <cellStyle name="Multiple [0]_New MA Public Comps and WACC Model" xfId="255" xr:uid="{00000000-0005-0000-0000-000000010000}"/>
    <cellStyle name="Multiple [1]" xfId="256" xr:uid="{00000000-0005-0000-0000-000001010000}"/>
    <cellStyle name="Multiple [1] []" xfId="257" xr:uid="{00000000-0005-0000-0000-000002010000}"/>
    <cellStyle name="Multiple [1]_New MA Public Comps and WACC Model" xfId="258" xr:uid="{00000000-0005-0000-0000-000003010000}"/>
    <cellStyle name="Multiple_CapitalSum" xfId="259" xr:uid="{00000000-0005-0000-0000-000004010000}"/>
    <cellStyle name="N2Style" xfId="260" xr:uid="{00000000-0005-0000-0000-000005010000}"/>
    <cellStyle name="NewColumnHeaderNormal" xfId="261" xr:uid="{00000000-0005-0000-0000-000006010000}"/>
    <cellStyle name="NewSectionHeaderNormal" xfId="262" xr:uid="{00000000-0005-0000-0000-000007010000}"/>
    <cellStyle name="NewTitleNormal" xfId="263" xr:uid="{00000000-0005-0000-0000-000008010000}"/>
    <cellStyle name="Normal" xfId="0" builtinId="0"/>
    <cellStyle name="Normal - Style1" xfId="264" xr:uid="{00000000-0005-0000-0000-00000A010000}"/>
    <cellStyle name="Normal 2" xfId="265" xr:uid="{00000000-0005-0000-0000-00000B010000}"/>
    <cellStyle name="Normal 2 2" xfId="266" xr:uid="{00000000-0005-0000-0000-00000C010000}"/>
    <cellStyle name="Normal 2 2 2" xfId="896" xr:uid="{00000000-0005-0000-0000-00000D010000}"/>
    <cellStyle name="Normal 3" xfId="894" xr:uid="{00000000-0005-0000-0000-00000E010000}"/>
    <cellStyle name="Normal 3 2" xfId="898" xr:uid="{00000000-0005-0000-0000-00000F010000}"/>
    <cellStyle name="Normal1" xfId="267" xr:uid="{00000000-0005-0000-0000-000010010000}"/>
    <cellStyle name="Normal10" xfId="268" xr:uid="{00000000-0005-0000-0000-000011010000}"/>
    <cellStyle name="Normal100" xfId="269" xr:uid="{00000000-0005-0000-0000-000012010000}"/>
    <cellStyle name="Normal101" xfId="270" xr:uid="{00000000-0005-0000-0000-000013010000}"/>
    <cellStyle name="Normal102" xfId="271" xr:uid="{00000000-0005-0000-0000-000014010000}"/>
    <cellStyle name="Normal103" xfId="272" xr:uid="{00000000-0005-0000-0000-000015010000}"/>
    <cellStyle name="Normal104" xfId="273" xr:uid="{00000000-0005-0000-0000-000016010000}"/>
    <cellStyle name="Normal105" xfId="274" xr:uid="{00000000-0005-0000-0000-000017010000}"/>
    <cellStyle name="Normal106" xfId="275" xr:uid="{00000000-0005-0000-0000-000018010000}"/>
    <cellStyle name="Normal107" xfId="276" xr:uid="{00000000-0005-0000-0000-000019010000}"/>
    <cellStyle name="Normal108" xfId="277" xr:uid="{00000000-0005-0000-0000-00001A010000}"/>
    <cellStyle name="Normal109" xfId="278" xr:uid="{00000000-0005-0000-0000-00001B010000}"/>
    <cellStyle name="Normal11" xfId="279" xr:uid="{00000000-0005-0000-0000-00001C010000}"/>
    <cellStyle name="Normal110" xfId="280" xr:uid="{00000000-0005-0000-0000-00001D010000}"/>
    <cellStyle name="Normal111" xfId="281" xr:uid="{00000000-0005-0000-0000-00001E010000}"/>
    <cellStyle name="Normal112" xfId="282" xr:uid="{00000000-0005-0000-0000-00001F010000}"/>
    <cellStyle name="Normal113" xfId="283" xr:uid="{00000000-0005-0000-0000-000020010000}"/>
    <cellStyle name="Normal114" xfId="284" xr:uid="{00000000-0005-0000-0000-000021010000}"/>
    <cellStyle name="Normal115" xfId="285" xr:uid="{00000000-0005-0000-0000-000022010000}"/>
    <cellStyle name="Normal116" xfId="286" xr:uid="{00000000-0005-0000-0000-000023010000}"/>
    <cellStyle name="Normal117" xfId="287" xr:uid="{00000000-0005-0000-0000-000024010000}"/>
    <cellStyle name="Normal118" xfId="288" xr:uid="{00000000-0005-0000-0000-000025010000}"/>
    <cellStyle name="Normal119" xfId="289" xr:uid="{00000000-0005-0000-0000-000026010000}"/>
    <cellStyle name="Normal12" xfId="290" xr:uid="{00000000-0005-0000-0000-000027010000}"/>
    <cellStyle name="Normal120" xfId="291" xr:uid="{00000000-0005-0000-0000-000028010000}"/>
    <cellStyle name="Normal121" xfId="292" xr:uid="{00000000-0005-0000-0000-000029010000}"/>
    <cellStyle name="Normal122" xfId="293" xr:uid="{00000000-0005-0000-0000-00002A010000}"/>
    <cellStyle name="Normal123" xfId="294" xr:uid="{00000000-0005-0000-0000-00002B010000}"/>
    <cellStyle name="Normal124" xfId="295" xr:uid="{00000000-0005-0000-0000-00002C010000}"/>
    <cellStyle name="Normal125" xfId="296" xr:uid="{00000000-0005-0000-0000-00002D010000}"/>
    <cellStyle name="Normal126" xfId="297" xr:uid="{00000000-0005-0000-0000-00002E010000}"/>
    <cellStyle name="Normal127" xfId="298" xr:uid="{00000000-0005-0000-0000-00002F010000}"/>
    <cellStyle name="Normal128" xfId="299" xr:uid="{00000000-0005-0000-0000-000030010000}"/>
    <cellStyle name="Normal129" xfId="300" xr:uid="{00000000-0005-0000-0000-000031010000}"/>
    <cellStyle name="Normal13" xfId="301" xr:uid="{00000000-0005-0000-0000-000032010000}"/>
    <cellStyle name="Normal130" xfId="302" xr:uid="{00000000-0005-0000-0000-000033010000}"/>
    <cellStyle name="Normal131" xfId="303" xr:uid="{00000000-0005-0000-0000-000034010000}"/>
    <cellStyle name="Normal132" xfId="304" xr:uid="{00000000-0005-0000-0000-000035010000}"/>
    <cellStyle name="Normal133" xfId="305" xr:uid="{00000000-0005-0000-0000-000036010000}"/>
    <cellStyle name="Normal134" xfId="306" xr:uid="{00000000-0005-0000-0000-000037010000}"/>
    <cellStyle name="Normal135" xfId="307" xr:uid="{00000000-0005-0000-0000-000038010000}"/>
    <cellStyle name="Normal136" xfId="308" xr:uid="{00000000-0005-0000-0000-000039010000}"/>
    <cellStyle name="Normal137" xfId="309" xr:uid="{00000000-0005-0000-0000-00003A010000}"/>
    <cellStyle name="Normal138" xfId="310" xr:uid="{00000000-0005-0000-0000-00003B010000}"/>
    <cellStyle name="Normal139" xfId="311" xr:uid="{00000000-0005-0000-0000-00003C010000}"/>
    <cellStyle name="Normal14" xfId="312" xr:uid="{00000000-0005-0000-0000-00003D010000}"/>
    <cellStyle name="Normal140" xfId="313" xr:uid="{00000000-0005-0000-0000-00003E010000}"/>
    <cellStyle name="Normal141" xfId="314" xr:uid="{00000000-0005-0000-0000-00003F010000}"/>
    <cellStyle name="Normal142" xfId="315" xr:uid="{00000000-0005-0000-0000-000040010000}"/>
    <cellStyle name="Normal143" xfId="316" xr:uid="{00000000-0005-0000-0000-000041010000}"/>
    <cellStyle name="Normal144" xfId="317" xr:uid="{00000000-0005-0000-0000-000042010000}"/>
    <cellStyle name="Normal145" xfId="318" xr:uid="{00000000-0005-0000-0000-000043010000}"/>
    <cellStyle name="Normal146" xfId="319" xr:uid="{00000000-0005-0000-0000-000044010000}"/>
    <cellStyle name="Normal147" xfId="320" xr:uid="{00000000-0005-0000-0000-000045010000}"/>
    <cellStyle name="Normal148" xfId="321" xr:uid="{00000000-0005-0000-0000-000046010000}"/>
    <cellStyle name="Normal149" xfId="322" xr:uid="{00000000-0005-0000-0000-000047010000}"/>
    <cellStyle name="Normal15" xfId="323" xr:uid="{00000000-0005-0000-0000-000048010000}"/>
    <cellStyle name="Normal150" xfId="324" xr:uid="{00000000-0005-0000-0000-000049010000}"/>
    <cellStyle name="Normal151" xfId="325" xr:uid="{00000000-0005-0000-0000-00004A010000}"/>
    <cellStyle name="Normal152" xfId="326" xr:uid="{00000000-0005-0000-0000-00004B010000}"/>
    <cellStyle name="Normal153" xfId="327" xr:uid="{00000000-0005-0000-0000-00004C010000}"/>
    <cellStyle name="Normal154" xfId="328" xr:uid="{00000000-0005-0000-0000-00004D010000}"/>
    <cellStyle name="Normal155" xfId="329" xr:uid="{00000000-0005-0000-0000-00004E010000}"/>
    <cellStyle name="Normal156" xfId="330" xr:uid="{00000000-0005-0000-0000-00004F010000}"/>
    <cellStyle name="Normal157" xfId="331" xr:uid="{00000000-0005-0000-0000-000050010000}"/>
    <cellStyle name="Normal158" xfId="332" xr:uid="{00000000-0005-0000-0000-000051010000}"/>
    <cellStyle name="Normal159" xfId="333" xr:uid="{00000000-0005-0000-0000-000052010000}"/>
    <cellStyle name="Normal16" xfId="334" xr:uid="{00000000-0005-0000-0000-000053010000}"/>
    <cellStyle name="Normal160" xfId="335" xr:uid="{00000000-0005-0000-0000-000054010000}"/>
    <cellStyle name="Normal161" xfId="336" xr:uid="{00000000-0005-0000-0000-000055010000}"/>
    <cellStyle name="Normal162" xfId="337" xr:uid="{00000000-0005-0000-0000-000056010000}"/>
    <cellStyle name="Normal163" xfId="338" xr:uid="{00000000-0005-0000-0000-000057010000}"/>
    <cellStyle name="Normal164" xfId="339" xr:uid="{00000000-0005-0000-0000-000058010000}"/>
    <cellStyle name="Normal165" xfId="340" xr:uid="{00000000-0005-0000-0000-000059010000}"/>
    <cellStyle name="Normal166" xfId="341" xr:uid="{00000000-0005-0000-0000-00005A010000}"/>
    <cellStyle name="Normal167" xfId="342" xr:uid="{00000000-0005-0000-0000-00005B010000}"/>
    <cellStyle name="Normal168" xfId="343" xr:uid="{00000000-0005-0000-0000-00005C010000}"/>
    <cellStyle name="Normal169" xfId="344" xr:uid="{00000000-0005-0000-0000-00005D010000}"/>
    <cellStyle name="Normal17" xfId="345" xr:uid="{00000000-0005-0000-0000-00005E010000}"/>
    <cellStyle name="Normal170" xfId="346" xr:uid="{00000000-0005-0000-0000-00005F010000}"/>
    <cellStyle name="Normal171" xfId="347" xr:uid="{00000000-0005-0000-0000-000060010000}"/>
    <cellStyle name="Normal172" xfId="348" xr:uid="{00000000-0005-0000-0000-000061010000}"/>
    <cellStyle name="Normal173" xfId="349" xr:uid="{00000000-0005-0000-0000-000062010000}"/>
    <cellStyle name="Normal174" xfId="350" xr:uid="{00000000-0005-0000-0000-000063010000}"/>
    <cellStyle name="Normal175" xfId="351" xr:uid="{00000000-0005-0000-0000-000064010000}"/>
    <cellStyle name="Normal176" xfId="352" xr:uid="{00000000-0005-0000-0000-000065010000}"/>
    <cellStyle name="Normal177" xfId="353" xr:uid="{00000000-0005-0000-0000-000066010000}"/>
    <cellStyle name="Normal178" xfId="354" xr:uid="{00000000-0005-0000-0000-000067010000}"/>
    <cellStyle name="Normal179" xfId="355" xr:uid="{00000000-0005-0000-0000-000068010000}"/>
    <cellStyle name="Normal18" xfId="356" xr:uid="{00000000-0005-0000-0000-000069010000}"/>
    <cellStyle name="Normal180" xfId="357" xr:uid="{00000000-0005-0000-0000-00006A010000}"/>
    <cellStyle name="Normal181" xfId="358" xr:uid="{00000000-0005-0000-0000-00006B010000}"/>
    <cellStyle name="Normal182" xfId="359" xr:uid="{00000000-0005-0000-0000-00006C010000}"/>
    <cellStyle name="Normal183" xfId="360" xr:uid="{00000000-0005-0000-0000-00006D010000}"/>
    <cellStyle name="Normal184" xfId="361" xr:uid="{00000000-0005-0000-0000-00006E010000}"/>
    <cellStyle name="Normal185" xfId="362" xr:uid="{00000000-0005-0000-0000-00006F010000}"/>
    <cellStyle name="Normal186" xfId="363" xr:uid="{00000000-0005-0000-0000-000070010000}"/>
    <cellStyle name="Normal187" xfId="364" xr:uid="{00000000-0005-0000-0000-000071010000}"/>
    <cellStyle name="Normal188" xfId="365" xr:uid="{00000000-0005-0000-0000-000072010000}"/>
    <cellStyle name="Normal189" xfId="366" xr:uid="{00000000-0005-0000-0000-000073010000}"/>
    <cellStyle name="Normal19" xfId="367" xr:uid="{00000000-0005-0000-0000-000074010000}"/>
    <cellStyle name="Normal190" xfId="368" xr:uid="{00000000-0005-0000-0000-000075010000}"/>
    <cellStyle name="Normal191" xfId="369" xr:uid="{00000000-0005-0000-0000-000076010000}"/>
    <cellStyle name="Normal192" xfId="370" xr:uid="{00000000-0005-0000-0000-000077010000}"/>
    <cellStyle name="Normal193" xfId="371" xr:uid="{00000000-0005-0000-0000-000078010000}"/>
    <cellStyle name="Normal194" xfId="372" xr:uid="{00000000-0005-0000-0000-000079010000}"/>
    <cellStyle name="Normal195" xfId="373" xr:uid="{00000000-0005-0000-0000-00007A010000}"/>
    <cellStyle name="Normal196" xfId="374" xr:uid="{00000000-0005-0000-0000-00007B010000}"/>
    <cellStyle name="Normal197" xfId="375" xr:uid="{00000000-0005-0000-0000-00007C010000}"/>
    <cellStyle name="Normal198" xfId="376" xr:uid="{00000000-0005-0000-0000-00007D010000}"/>
    <cellStyle name="Normal199" xfId="377" xr:uid="{00000000-0005-0000-0000-00007E010000}"/>
    <cellStyle name="Normal2" xfId="378" xr:uid="{00000000-0005-0000-0000-00007F010000}"/>
    <cellStyle name="Normal20" xfId="379" xr:uid="{00000000-0005-0000-0000-000080010000}"/>
    <cellStyle name="Normal200" xfId="380" xr:uid="{00000000-0005-0000-0000-000081010000}"/>
    <cellStyle name="Normal201" xfId="381" xr:uid="{00000000-0005-0000-0000-000082010000}"/>
    <cellStyle name="Normal202" xfId="382" xr:uid="{00000000-0005-0000-0000-000083010000}"/>
    <cellStyle name="Normal203" xfId="383" xr:uid="{00000000-0005-0000-0000-000084010000}"/>
    <cellStyle name="Normal204" xfId="384" xr:uid="{00000000-0005-0000-0000-000085010000}"/>
    <cellStyle name="Normal205" xfId="385" xr:uid="{00000000-0005-0000-0000-000086010000}"/>
    <cellStyle name="Normal206" xfId="386" xr:uid="{00000000-0005-0000-0000-000087010000}"/>
    <cellStyle name="Normal207" xfId="387" xr:uid="{00000000-0005-0000-0000-000088010000}"/>
    <cellStyle name="Normal208" xfId="388" xr:uid="{00000000-0005-0000-0000-000089010000}"/>
    <cellStyle name="Normal209" xfId="389" xr:uid="{00000000-0005-0000-0000-00008A010000}"/>
    <cellStyle name="Normal21" xfId="390" xr:uid="{00000000-0005-0000-0000-00008B010000}"/>
    <cellStyle name="Normal210" xfId="391" xr:uid="{00000000-0005-0000-0000-00008C010000}"/>
    <cellStyle name="Normal211" xfId="392" xr:uid="{00000000-0005-0000-0000-00008D010000}"/>
    <cellStyle name="Normal212" xfId="393" xr:uid="{00000000-0005-0000-0000-00008E010000}"/>
    <cellStyle name="Normal213" xfId="394" xr:uid="{00000000-0005-0000-0000-00008F010000}"/>
    <cellStyle name="Normal214" xfId="395" xr:uid="{00000000-0005-0000-0000-000090010000}"/>
    <cellStyle name="Normal215" xfId="396" xr:uid="{00000000-0005-0000-0000-000091010000}"/>
    <cellStyle name="Normal216" xfId="397" xr:uid="{00000000-0005-0000-0000-000092010000}"/>
    <cellStyle name="Normal217" xfId="398" xr:uid="{00000000-0005-0000-0000-000093010000}"/>
    <cellStyle name="Normal218" xfId="399" xr:uid="{00000000-0005-0000-0000-000094010000}"/>
    <cellStyle name="Normal219" xfId="400" xr:uid="{00000000-0005-0000-0000-000095010000}"/>
    <cellStyle name="Normal22" xfId="401" xr:uid="{00000000-0005-0000-0000-000096010000}"/>
    <cellStyle name="Normal220" xfId="402" xr:uid="{00000000-0005-0000-0000-000097010000}"/>
    <cellStyle name="Normal221" xfId="403" xr:uid="{00000000-0005-0000-0000-000098010000}"/>
    <cellStyle name="Normal222" xfId="404" xr:uid="{00000000-0005-0000-0000-000099010000}"/>
    <cellStyle name="Normal223" xfId="405" xr:uid="{00000000-0005-0000-0000-00009A010000}"/>
    <cellStyle name="Normal224" xfId="406" xr:uid="{00000000-0005-0000-0000-00009B010000}"/>
    <cellStyle name="Normal225" xfId="407" xr:uid="{00000000-0005-0000-0000-00009C010000}"/>
    <cellStyle name="Normal226" xfId="408" xr:uid="{00000000-0005-0000-0000-00009D010000}"/>
    <cellStyle name="Normal227" xfId="409" xr:uid="{00000000-0005-0000-0000-00009E010000}"/>
    <cellStyle name="Normal228" xfId="410" xr:uid="{00000000-0005-0000-0000-00009F010000}"/>
    <cellStyle name="Normal229" xfId="411" xr:uid="{00000000-0005-0000-0000-0000A0010000}"/>
    <cellStyle name="Normal23" xfId="412" xr:uid="{00000000-0005-0000-0000-0000A1010000}"/>
    <cellStyle name="Normal230" xfId="413" xr:uid="{00000000-0005-0000-0000-0000A2010000}"/>
    <cellStyle name="Normal231" xfId="414" xr:uid="{00000000-0005-0000-0000-0000A3010000}"/>
    <cellStyle name="Normal232" xfId="415" xr:uid="{00000000-0005-0000-0000-0000A4010000}"/>
    <cellStyle name="Normal233" xfId="416" xr:uid="{00000000-0005-0000-0000-0000A5010000}"/>
    <cellStyle name="Normal234" xfId="417" xr:uid="{00000000-0005-0000-0000-0000A6010000}"/>
    <cellStyle name="Normal235" xfId="418" xr:uid="{00000000-0005-0000-0000-0000A7010000}"/>
    <cellStyle name="Normal236" xfId="419" xr:uid="{00000000-0005-0000-0000-0000A8010000}"/>
    <cellStyle name="Normal237" xfId="420" xr:uid="{00000000-0005-0000-0000-0000A9010000}"/>
    <cellStyle name="Normal238" xfId="421" xr:uid="{00000000-0005-0000-0000-0000AA010000}"/>
    <cellStyle name="Normal239" xfId="422" xr:uid="{00000000-0005-0000-0000-0000AB010000}"/>
    <cellStyle name="Normal24" xfId="423" xr:uid="{00000000-0005-0000-0000-0000AC010000}"/>
    <cellStyle name="Normal240" xfId="424" xr:uid="{00000000-0005-0000-0000-0000AD010000}"/>
    <cellStyle name="Normal241" xfId="425" xr:uid="{00000000-0005-0000-0000-0000AE010000}"/>
    <cellStyle name="Normal242" xfId="426" xr:uid="{00000000-0005-0000-0000-0000AF010000}"/>
    <cellStyle name="Normal243" xfId="427" xr:uid="{00000000-0005-0000-0000-0000B0010000}"/>
    <cellStyle name="Normal244" xfId="428" xr:uid="{00000000-0005-0000-0000-0000B1010000}"/>
    <cellStyle name="Normal245" xfId="429" xr:uid="{00000000-0005-0000-0000-0000B2010000}"/>
    <cellStyle name="Normal246" xfId="430" xr:uid="{00000000-0005-0000-0000-0000B3010000}"/>
    <cellStyle name="Normal247" xfId="431" xr:uid="{00000000-0005-0000-0000-0000B4010000}"/>
    <cellStyle name="Normal248" xfId="432" xr:uid="{00000000-0005-0000-0000-0000B5010000}"/>
    <cellStyle name="Normal249" xfId="433" xr:uid="{00000000-0005-0000-0000-0000B6010000}"/>
    <cellStyle name="Normal25" xfId="434" xr:uid="{00000000-0005-0000-0000-0000B7010000}"/>
    <cellStyle name="Normal250" xfId="435" xr:uid="{00000000-0005-0000-0000-0000B8010000}"/>
    <cellStyle name="Normal251" xfId="436" xr:uid="{00000000-0005-0000-0000-0000B9010000}"/>
    <cellStyle name="Normal252" xfId="437" xr:uid="{00000000-0005-0000-0000-0000BA010000}"/>
    <cellStyle name="Normal253" xfId="438" xr:uid="{00000000-0005-0000-0000-0000BB010000}"/>
    <cellStyle name="Normal26" xfId="439" xr:uid="{00000000-0005-0000-0000-0000BC010000}"/>
    <cellStyle name="Normal27" xfId="440" xr:uid="{00000000-0005-0000-0000-0000BD010000}"/>
    <cellStyle name="Normal28" xfId="441" xr:uid="{00000000-0005-0000-0000-0000BE010000}"/>
    <cellStyle name="Normal29" xfId="442" xr:uid="{00000000-0005-0000-0000-0000BF010000}"/>
    <cellStyle name="Normal3" xfId="443" xr:uid="{00000000-0005-0000-0000-0000C0010000}"/>
    <cellStyle name="Normal30" xfId="444" xr:uid="{00000000-0005-0000-0000-0000C1010000}"/>
    <cellStyle name="Normal31" xfId="445" xr:uid="{00000000-0005-0000-0000-0000C2010000}"/>
    <cellStyle name="Normal32" xfId="446" xr:uid="{00000000-0005-0000-0000-0000C3010000}"/>
    <cellStyle name="Normal33" xfId="447" xr:uid="{00000000-0005-0000-0000-0000C4010000}"/>
    <cellStyle name="Normal34" xfId="448" xr:uid="{00000000-0005-0000-0000-0000C5010000}"/>
    <cellStyle name="Normal35" xfId="449" xr:uid="{00000000-0005-0000-0000-0000C6010000}"/>
    <cellStyle name="Normal36" xfId="450" xr:uid="{00000000-0005-0000-0000-0000C7010000}"/>
    <cellStyle name="Normal37" xfId="451" xr:uid="{00000000-0005-0000-0000-0000C8010000}"/>
    <cellStyle name="Normal38" xfId="452" xr:uid="{00000000-0005-0000-0000-0000C9010000}"/>
    <cellStyle name="Normal39" xfId="453" xr:uid="{00000000-0005-0000-0000-0000CA010000}"/>
    <cellStyle name="Normal4" xfId="454" xr:uid="{00000000-0005-0000-0000-0000CB010000}"/>
    <cellStyle name="Normal40" xfId="455" xr:uid="{00000000-0005-0000-0000-0000CC010000}"/>
    <cellStyle name="Normal41" xfId="456" xr:uid="{00000000-0005-0000-0000-0000CD010000}"/>
    <cellStyle name="Normal42" xfId="457" xr:uid="{00000000-0005-0000-0000-0000CE010000}"/>
    <cellStyle name="Normal43" xfId="458" xr:uid="{00000000-0005-0000-0000-0000CF010000}"/>
    <cellStyle name="Normal44" xfId="459" xr:uid="{00000000-0005-0000-0000-0000D0010000}"/>
    <cellStyle name="Normal45" xfId="460" xr:uid="{00000000-0005-0000-0000-0000D1010000}"/>
    <cellStyle name="Normal46" xfId="461" xr:uid="{00000000-0005-0000-0000-0000D2010000}"/>
    <cellStyle name="Normal47" xfId="462" xr:uid="{00000000-0005-0000-0000-0000D3010000}"/>
    <cellStyle name="Normal48" xfId="463" xr:uid="{00000000-0005-0000-0000-0000D4010000}"/>
    <cellStyle name="Normal49" xfId="464" xr:uid="{00000000-0005-0000-0000-0000D5010000}"/>
    <cellStyle name="Normal5" xfId="465" xr:uid="{00000000-0005-0000-0000-0000D6010000}"/>
    <cellStyle name="Normal50" xfId="466" xr:uid="{00000000-0005-0000-0000-0000D7010000}"/>
    <cellStyle name="Normal51" xfId="467" xr:uid="{00000000-0005-0000-0000-0000D8010000}"/>
    <cellStyle name="Normal52" xfId="468" xr:uid="{00000000-0005-0000-0000-0000D9010000}"/>
    <cellStyle name="Normal53" xfId="469" xr:uid="{00000000-0005-0000-0000-0000DA010000}"/>
    <cellStyle name="Normal54" xfId="470" xr:uid="{00000000-0005-0000-0000-0000DB010000}"/>
    <cellStyle name="Normal55" xfId="471" xr:uid="{00000000-0005-0000-0000-0000DC010000}"/>
    <cellStyle name="Normal56" xfId="472" xr:uid="{00000000-0005-0000-0000-0000DD010000}"/>
    <cellStyle name="Normal57" xfId="473" xr:uid="{00000000-0005-0000-0000-0000DE010000}"/>
    <cellStyle name="Normal58" xfId="474" xr:uid="{00000000-0005-0000-0000-0000DF010000}"/>
    <cellStyle name="Normal59" xfId="475" xr:uid="{00000000-0005-0000-0000-0000E0010000}"/>
    <cellStyle name="Normal6" xfId="476" xr:uid="{00000000-0005-0000-0000-0000E1010000}"/>
    <cellStyle name="Normal60" xfId="477" xr:uid="{00000000-0005-0000-0000-0000E2010000}"/>
    <cellStyle name="Normal61" xfId="478" xr:uid="{00000000-0005-0000-0000-0000E3010000}"/>
    <cellStyle name="Normal62" xfId="479" xr:uid="{00000000-0005-0000-0000-0000E4010000}"/>
    <cellStyle name="Normal63" xfId="480" xr:uid="{00000000-0005-0000-0000-0000E5010000}"/>
    <cellStyle name="Normal64" xfId="481" xr:uid="{00000000-0005-0000-0000-0000E6010000}"/>
    <cellStyle name="Normal65" xfId="482" xr:uid="{00000000-0005-0000-0000-0000E7010000}"/>
    <cellStyle name="Normal66" xfId="483" xr:uid="{00000000-0005-0000-0000-0000E8010000}"/>
    <cellStyle name="Normal67" xfId="484" xr:uid="{00000000-0005-0000-0000-0000E9010000}"/>
    <cellStyle name="Normal68" xfId="485" xr:uid="{00000000-0005-0000-0000-0000EA010000}"/>
    <cellStyle name="Normal69" xfId="486" xr:uid="{00000000-0005-0000-0000-0000EB010000}"/>
    <cellStyle name="Normal7" xfId="487" xr:uid="{00000000-0005-0000-0000-0000EC010000}"/>
    <cellStyle name="Normal70" xfId="488" xr:uid="{00000000-0005-0000-0000-0000ED010000}"/>
    <cellStyle name="Normal71" xfId="489" xr:uid="{00000000-0005-0000-0000-0000EE010000}"/>
    <cellStyle name="Normal72" xfId="490" xr:uid="{00000000-0005-0000-0000-0000EF010000}"/>
    <cellStyle name="Normal73" xfId="491" xr:uid="{00000000-0005-0000-0000-0000F0010000}"/>
    <cellStyle name="Normal74" xfId="492" xr:uid="{00000000-0005-0000-0000-0000F1010000}"/>
    <cellStyle name="Normal75" xfId="493" xr:uid="{00000000-0005-0000-0000-0000F2010000}"/>
    <cellStyle name="Normal76" xfId="494" xr:uid="{00000000-0005-0000-0000-0000F3010000}"/>
    <cellStyle name="Normal77" xfId="495" xr:uid="{00000000-0005-0000-0000-0000F4010000}"/>
    <cellStyle name="Normal78" xfId="496" xr:uid="{00000000-0005-0000-0000-0000F5010000}"/>
    <cellStyle name="Normal79" xfId="497" xr:uid="{00000000-0005-0000-0000-0000F6010000}"/>
    <cellStyle name="Normal8" xfId="498" xr:uid="{00000000-0005-0000-0000-0000F7010000}"/>
    <cellStyle name="Normal80" xfId="499" xr:uid="{00000000-0005-0000-0000-0000F8010000}"/>
    <cellStyle name="Normal81" xfId="500" xr:uid="{00000000-0005-0000-0000-0000F9010000}"/>
    <cellStyle name="Normal82" xfId="501" xr:uid="{00000000-0005-0000-0000-0000FA010000}"/>
    <cellStyle name="Normal83" xfId="502" xr:uid="{00000000-0005-0000-0000-0000FB010000}"/>
    <cellStyle name="Normal84" xfId="503" xr:uid="{00000000-0005-0000-0000-0000FC010000}"/>
    <cellStyle name="Normal85" xfId="504" xr:uid="{00000000-0005-0000-0000-0000FD010000}"/>
    <cellStyle name="Normal86" xfId="505" xr:uid="{00000000-0005-0000-0000-0000FE010000}"/>
    <cellStyle name="Normal87" xfId="506" xr:uid="{00000000-0005-0000-0000-0000FF010000}"/>
    <cellStyle name="Normal88" xfId="507" xr:uid="{00000000-0005-0000-0000-000000020000}"/>
    <cellStyle name="Normal89" xfId="508" xr:uid="{00000000-0005-0000-0000-000001020000}"/>
    <cellStyle name="Normal9" xfId="509" xr:uid="{00000000-0005-0000-0000-000002020000}"/>
    <cellStyle name="Normal90" xfId="510" xr:uid="{00000000-0005-0000-0000-000003020000}"/>
    <cellStyle name="Normal91" xfId="511" xr:uid="{00000000-0005-0000-0000-000004020000}"/>
    <cellStyle name="Normal92" xfId="512" xr:uid="{00000000-0005-0000-0000-000005020000}"/>
    <cellStyle name="Normal93" xfId="513" xr:uid="{00000000-0005-0000-0000-000006020000}"/>
    <cellStyle name="Normal94" xfId="514" xr:uid="{00000000-0005-0000-0000-000007020000}"/>
    <cellStyle name="Normal95" xfId="515" xr:uid="{00000000-0005-0000-0000-000008020000}"/>
    <cellStyle name="Normal96" xfId="516" xr:uid="{00000000-0005-0000-0000-000009020000}"/>
    <cellStyle name="Normal97" xfId="517" xr:uid="{00000000-0005-0000-0000-00000A020000}"/>
    <cellStyle name="Normal98" xfId="518" xr:uid="{00000000-0005-0000-0000-00000B020000}"/>
    <cellStyle name="Normal99" xfId="519" xr:uid="{00000000-0005-0000-0000-00000C020000}"/>
    <cellStyle name="NotDeclared_1" xfId="520" xr:uid="{00000000-0005-0000-0000-00000D020000}"/>
    <cellStyle name="Numbers" xfId="521" xr:uid="{00000000-0005-0000-0000-00000E020000}"/>
    <cellStyle name="Numbers - Bold" xfId="522" xr:uid="{00000000-0005-0000-0000-00000F020000}"/>
    <cellStyle name="Numbers - Bold - Italic" xfId="523" xr:uid="{00000000-0005-0000-0000-000010020000}"/>
    <cellStyle name="Numbers - Bold_6079BX" xfId="524" xr:uid="{00000000-0005-0000-0000-000011020000}"/>
    <cellStyle name="Numbers - Large" xfId="525" xr:uid="{00000000-0005-0000-0000-000012020000}"/>
    <cellStyle name="Numbers_6079BX" xfId="526" xr:uid="{00000000-0005-0000-0000-000013020000}"/>
    <cellStyle name="OSW_RowLabels" xfId="527" xr:uid="{00000000-0005-0000-0000-000014020000}"/>
    <cellStyle name="Outline" xfId="528" xr:uid="{00000000-0005-0000-0000-000015020000}"/>
    <cellStyle name="Output Amounts" xfId="529" xr:uid="{00000000-0005-0000-0000-000016020000}"/>
    <cellStyle name="Output Column Headings" xfId="530" xr:uid="{00000000-0005-0000-0000-000017020000}"/>
    <cellStyle name="Output Line Items" xfId="531" xr:uid="{00000000-0005-0000-0000-000018020000}"/>
    <cellStyle name="Output Report Heading" xfId="532" xr:uid="{00000000-0005-0000-0000-000019020000}"/>
    <cellStyle name="Page" xfId="533" xr:uid="{00000000-0005-0000-0000-00001A020000}"/>
    <cellStyle name="PB Table Heading" xfId="534" xr:uid="{00000000-0005-0000-0000-00001B020000}"/>
    <cellStyle name="PB Table Highlight1" xfId="535" xr:uid="{00000000-0005-0000-0000-00001C020000}"/>
    <cellStyle name="PB Table Highlight2" xfId="536" xr:uid="{00000000-0005-0000-0000-00001D020000}"/>
    <cellStyle name="PB Table Highlight3" xfId="537" xr:uid="{00000000-0005-0000-0000-00001E020000}"/>
    <cellStyle name="PB Table Standard Row" xfId="538" xr:uid="{00000000-0005-0000-0000-00001F020000}"/>
    <cellStyle name="PB Table Subtotal Row" xfId="539" xr:uid="{00000000-0005-0000-0000-000020020000}"/>
    <cellStyle name="PB Table Total Row" xfId="540" xr:uid="{00000000-0005-0000-0000-000021020000}"/>
    <cellStyle name="Per cent" xfId="901" builtinId="5"/>
    <cellStyle name="per.style" xfId="541" xr:uid="{00000000-0005-0000-0000-000022020000}"/>
    <cellStyle name="Percent [0]" xfId="542" xr:uid="{00000000-0005-0000-0000-000023020000}"/>
    <cellStyle name="Percent [00]" xfId="543" xr:uid="{00000000-0005-0000-0000-000024020000}"/>
    <cellStyle name="Percent [1]" xfId="544" xr:uid="{00000000-0005-0000-0000-000025020000}"/>
    <cellStyle name="Percent [1][]" xfId="545" xr:uid="{00000000-0005-0000-0000-000026020000}"/>
    <cellStyle name="Percent [1]_New MA Public Comps and WACC Model" xfId="546" xr:uid="{00000000-0005-0000-0000-000027020000}"/>
    <cellStyle name="Percent [2]" xfId="547" xr:uid="{00000000-0005-0000-0000-000028020000}"/>
    <cellStyle name="Percent 2" xfId="897" xr:uid="{00000000-0005-0000-0000-000029020000}"/>
    <cellStyle name="Percent Comma" xfId="548" xr:uid="{00000000-0005-0000-0000-00002A020000}"/>
    <cellStyle name="Percent1" xfId="549" xr:uid="{00000000-0005-0000-0000-00002B020000}"/>
    <cellStyle name="Percent10" xfId="550" xr:uid="{00000000-0005-0000-0000-00002C020000}"/>
    <cellStyle name="Percent100" xfId="551" xr:uid="{00000000-0005-0000-0000-00002D020000}"/>
    <cellStyle name="Percent101" xfId="552" xr:uid="{00000000-0005-0000-0000-00002E020000}"/>
    <cellStyle name="Percent102" xfId="553" xr:uid="{00000000-0005-0000-0000-00002F020000}"/>
    <cellStyle name="Percent103" xfId="554" xr:uid="{00000000-0005-0000-0000-000030020000}"/>
    <cellStyle name="Percent104" xfId="555" xr:uid="{00000000-0005-0000-0000-000031020000}"/>
    <cellStyle name="Percent105" xfId="556" xr:uid="{00000000-0005-0000-0000-000032020000}"/>
    <cellStyle name="Percent106" xfId="557" xr:uid="{00000000-0005-0000-0000-000033020000}"/>
    <cellStyle name="Percent107" xfId="558" xr:uid="{00000000-0005-0000-0000-000034020000}"/>
    <cellStyle name="Percent108" xfId="559" xr:uid="{00000000-0005-0000-0000-000035020000}"/>
    <cellStyle name="Percent109" xfId="560" xr:uid="{00000000-0005-0000-0000-000036020000}"/>
    <cellStyle name="Percent11" xfId="561" xr:uid="{00000000-0005-0000-0000-000037020000}"/>
    <cellStyle name="Percent110" xfId="562" xr:uid="{00000000-0005-0000-0000-000038020000}"/>
    <cellStyle name="Percent111" xfId="563" xr:uid="{00000000-0005-0000-0000-000039020000}"/>
    <cellStyle name="Percent112" xfId="564" xr:uid="{00000000-0005-0000-0000-00003A020000}"/>
    <cellStyle name="Percent113" xfId="565" xr:uid="{00000000-0005-0000-0000-00003B020000}"/>
    <cellStyle name="Percent114" xfId="566" xr:uid="{00000000-0005-0000-0000-00003C020000}"/>
    <cellStyle name="Percent115" xfId="567" xr:uid="{00000000-0005-0000-0000-00003D020000}"/>
    <cellStyle name="Percent116" xfId="568" xr:uid="{00000000-0005-0000-0000-00003E020000}"/>
    <cellStyle name="Percent117" xfId="569" xr:uid="{00000000-0005-0000-0000-00003F020000}"/>
    <cellStyle name="Percent118" xfId="570" xr:uid="{00000000-0005-0000-0000-000040020000}"/>
    <cellStyle name="Percent119" xfId="571" xr:uid="{00000000-0005-0000-0000-000041020000}"/>
    <cellStyle name="Percent12" xfId="572" xr:uid="{00000000-0005-0000-0000-000042020000}"/>
    <cellStyle name="Percent120" xfId="573" xr:uid="{00000000-0005-0000-0000-000043020000}"/>
    <cellStyle name="Percent121" xfId="574" xr:uid="{00000000-0005-0000-0000-000044020000}"/>
    <cellStyle name="Percent122" xfId="575" xr:uid="{00000000-0005-0000-0000-000045020000}"/>
    <cellStyle name="Percent123" xfId="576" xr:uid="{00000000-0005-0000-0000-000046020000}"/>
    <cellStyle name="Percent124" xfId="577" xr:uid="{00000000-0005-0000-0000-000047020000}"/>
    <cellStyle name="Percent125" xfId="578" xr:uid="{00000000-0005-0000-0000-000048020000}"/>
    <cellStyle name="Percent126" xfId="579" xr:uid="{00000000-0005-0000-0000-000049020000}"/>
    <cellStyle name="Percent127" xfId="580" xr:uid="{00000000-0005-0000-0000-00004A020000}"/>
    <cellStyle name="Percent128" xfId="581" xr:uid="{00000000-0005-0000-0000-00004B020000}"/>
    <cellStyle name="Percent129" xfId="582" xr:uid="{00000000-0005-0000-0000-00004C020000}"/>
    <cellStyle name="Percent13" xfId="583" xr:uid="{00000000-0005-0000-0000-00004D020000}"/>
    <cellStyle name="Percent130" xfId="584" xr:uid="{00000000-0005-0000-0000-00004E020000}"/>
    <cellStyle name="Percent131" xfId="585" xr:uid="{00000000-0005-0000-0000-00004F020000}"/>
    <cellStyle name="Percent132" xfId="586" xr:uid="{00000000-0005-0000-0000-000050020000}"/>
    <cellStyle name="Percent133" xfId="587" xr:uid="{00000000-0005-0000-0000-000051020000}"/>
    <cellStyle name="Percent134" xfId="588" xr:uid="{00000000-0005-0000-0000-000052020000}"/>
    <cellStyle name="Percent135" xfId="589" xr:uid="{00000000-0005-0000-0000-000053020000}"/>
    <cellStyle name="Percent136" xfId="590" xr:uid="{00000000-0005-0000-0000-000054020000}"/>
    <cellStyle name="Percent137" xfId="591" xr:uid="{00000000-0005-0000-0000-000055020000}"/>
    <cellStyle name="Percent138" xfId="592" xr:uid="{00000000-0005-0000-0000-000056020000}"/>
    <cellStyle name="Percent139" xfId="593" xr:uid="{00000000-0005-0000-0000-000057020000}"/>
    <cellStyle name="Percent14" xfId="594" xr:uid="{00000000-0005-0000-0000-000058020000}"/>
    <cellStyle name="Percent140" xfId="595" xr:uid="{00000000-0005-0000-0000-000059020000}"/>
    <cellStyle name="Percent141" xfId="596" xr:uid="{00000000-0005-0000-0000-00005A020000}"/>
    <cellStyle name="Percent142" xfId="597" xr:uid="{00000000-0005-0000-0000-00005B020000}"/>
    <cellStyle name="Percent143" xfId="598" xr:uid="{00000000-0005-0000-0000-00005C020000}"/>
    <cellStyle name="Percent144" xfId="599" xr:uid="{00000000-0005-0000-0000-00005D020000}"/>
    <cellStyle name="Percent145" xfId="600" xr:uid="{00000000-0005-0000-0000-00005E020000}"/>
    <cellStyle name="Percent146" xfId="601" xr:uid="{00000000-0005-0000-0000-00005F020000}"/>
    <cellStyle name="Percent147" xfId="602" xr:uid="{00000000-0005-0000-0000-000060020000}"/>
    <cellStyle name="Percent148" xfId="603" xr:uid="{00000000-0005-0000-0000-000061020000}"/>
    <cellStyle name="Percent149" xfId="604" xr:uid="{00000000-0005-0000-0000-000062020000}"/>
    <cellStyle name="Percent15" xfId="605" xr:uid="{00000000-0005-0000-0000-000063020000}"/>
    <cellStyle name="Percent150" xfId="606" xr:uid="{00000000-0005-0000-0000-000064020000}"/>
    <cellStyle name="Percent151" xfId="607" xr:uid="{00000000-0005-0000-0000-000065020000}"/>
    <cellStyle name="Percent152" xfId="608" xr:uid="{00000000-0005-0000-0000-000066020000}"/>
    <cellStyle name="Percent153" xfId="609" xr:uid="{00000000-0005-0000-0000-000067020000}"/>
    <cellStyle name="Percent154" xfId="610" xr:uid="{00000000-0005-0000-0000-000068020000}"/>
    <cellStyle name="Percent155" xfId="611" xr:uid="{00000000-0005-0000-0000-000069020000}"/>
    <cellStyle name="Percent156" xfId="612" xr:uid="{00000000-0005-0000-0000-00006A020000}"/>
    <cellStyle name="Percent157" xfId="613" xr:uid="{00000000-0005-0000-0000-00006B020000}"/>
    <cellStyle name="Percent158" xfId="614" xr:uid="{00000000-0005-0000-0000-00006C020000}"/>
    <cellStyle name="Percent159" xfId="615" xr:uid="{00000000-0005-0000-0000-00006D020000}"/>
    <cellStyle name="Percent16" xfId="616" xr:uid="{00000000-0005-0000-0000-00006E020000}"/>
    <cellStyle name="Percent160" xfId="617" xr:uid="{00000000-0005-0000-0000-00006F020000}"/>
    <cellStyle name="Percent161" xfId="618" xr:uid="{00000000-0005-0000-0000-000070020000}"/>
    <cellStyle name="Percent162" xfId="619" xr:uid="{00000000-0005-0000-0000-000071020000}"/>
    <cellStyle name="Percent163" xfId="620" xr:uid="{00000000-0005-0000-0000-000072020000}"/>
    <cellStyle name="Percent164" xfId="621" xr:uid="{00000000-0005-0000-0000-000073020000}"/>
    <cellStyle name="Percent165" xfId="622" xr:uid="{00000000-0005-0000-0000-000074020000}"/>
    <cellStyle name="Percent166" xfId="623" xr:uid="{00000000-0005-0000-0000-000075020000}"/>
    <cellStyle name="Percent167" xfId="624" xr:uid="{00000000-0005-0000-0000-000076020000}"/>
    <cellStyle name="Percent168" xfId="625" xr:uid="{00000000-0005-0000-0000-000077020000}"/>
    <cellStyle name="Percent169" xfId="626" xr:uid="{00000000-0005-0000-0000-000078020000}"/>
    <cellStyle name="Percent17" xfId="627" xr:uid="{00000000-0005-0000-0000-000079020000}"/>
    <cellStyle name="Percent170" xfId="628" xr:uid="{00000000-0005-0000-0000-00007A020000}"/>
    <cellStyle name="Percent171" xfId="629" xr:uid="{00000000-0005-0000-0000-00007B020000}"/>
    <cellStyle name="Percent172" xfId="630" xr:uid="{00000000-0005-0000-0000-00007C020000}"/>
    <cellStyle name="Percent173" xfId="631" xr:uid="{00000000-0005-0000-0000-00007D020000}"/>
    <cellStyle name="Percent174" xfId="632" xr:uid="{00000000-0005-0000-0000-00007E020000}"/>
    <cellStyle name="Percent175" xfId="633" xr:uid="{00000000-0005-0000-0000-00007F020000}"/>
    <cellStyle name="Percent176" xfId="634" xr:uid="{00000000-0005-0000-0000-000080020000}"/>
    <cellStyle name="Percent177" xfId="635" xr:uid="{00000000-0005-0000-0000-000081020000}"/>
    <cellStyle name="Percent178" xfId="636" xr:uid="{00000000-0005-0000-0000-000082020000}"/>
    <cellStyle name="Percent179" xfId="637" xr:uid="{00000000-0005-0000-0000-000083020000}"/>
    <cellStyle name="Percent18" xfId="638" xr:uid="{00000000-0005-0000-0000-000084020000}"/>
    <cellStyle name="Percent180" xfId="639" xr:uid="{00000000-0005-0000-0000-000085020000}"/>
    <cellStyle name="Percent181" xfId="640" xr:uid="{00000000-0005-0000-0000-000086020000}"/>
    <cellStyle name="Percent182" xfId="641" xr:uid="{00000000-0005-0000-0000-000087020000}"/>
    <cellStyle name="Percent183" xfId="642" xr:uid="{00000000-0005-0000-0000-000088020000}"/>
    <cellStyle name="Percent184" xfId="643" xr:uid="{00000000-0005-0000-0000-000089020000}"/>
    <cellStyle name="Percent185" xfId="644" xr:uid="{00000000-0005-0000-0000-00008A020000}"/>
    <cellStyle name="Percent186" xfId="645" xr:uid="{00000000-0005-0000-0000-00008B020000}"/>
    <cellStyle name="Percent187" xfId="646" xr:uid="{00000000-0005-0000-0000-00008C020000}"/>
    <cellStyle name="Percent188" xfId="647" xr:uid="{00000000-0005-0000-0000-00008D020000}"/>
    <cellStyle name="Percent189" xfId="648" xr:uid="{00000000-0005-0000-0000-00008E020000}"/>
    <cellStyle name="Percent19" xfId="649" xr:uid="{00000000-0005-0000-0000-00008F020000}"/>
    <cellStyle name="Percent190" xfId="650" xr:uid="{00000000-0005-0000-0000-000090020000}"/>
    <cellStyle name="Percent191" xfId="651" xr:uid="{00000000-0005-0000-0000-000091020000}"/>
    <cellStyle name="Percent192" xfId="652" xr:uid="{00000000-0005-0000-0000-000092020000}"/>
    <cellStyle name="Percent193" xfId="653" xr:uid="{00000000-0005-0000-0000-000093020000}"/>
    <cellStyle name="Percent194" xfId="654" xr:uid="{00000000-0005-0000-0000-000094020000}"/>
    <cellStyle name="Percent195" xfId="655" xr:uid="{00000000-0005-0000-0000-000095020000}"/>
    <cellStyle name="Percent196" xfId="656" xr:uid="{00000000-0005-0000-0000-000096020000}"/>
    <cellStyle name="Percent197" xfId="657" xr:uid="{00000000-0005-0000-0000-000097020000}"/>
    <cellStyle name="Percent198" xfId="658" xr:uid="{00000000-0005-0000-0000-000098020000}"/>
    <cellStyle name="Percent199" xfId="659" xr:uid="{00000000-0005-0000-0000-000099020000}"/>
    <cellStyle name="Percent1Bold" xfId="660" xr:uid="{00000000-0005-0000-0000-00009A020000}"/>
    <cellStyle name="Percent2" xfId="661" xr:uid="{00000000-0005-0000-0000-00009B020000}"/>
    <cellStyle name="Percent20" xfId="662" xr:uid="{00000000-0005-0000-0000-00009C020000}"/>
    <cellStyle name="Percent200" xfId="663" xr:uid="{00000000-0005-0000-0000-00009D020000}"/>
    <cellStyle name="Percent201" xfId="664" xr:uid="{00000000-0005-0000-0000-00009E020000}"/>
    <cellStyle name="Percent202" xfId="665" xr:uid="{00000000-0005-0000-0000-00009F020000}"/>
    <cellStyle name="Percent203" xfId="666" xr:uid="{00000000-0005-0000-0000-0000A0020000}"/>
    <cellStyle name="Percent204" xfId="667" xr:uid="{00000000-0005-0000-0000-0000A1020000}"/>
    <cellStyle name="Percent205" xfId="668" xr:uid="{00000000-0005-0000-0000-0000A2020000}"/>
    <cellStyle name="Percent206" xfId="669" xr:uid="{00000000-0005-0000-0000-0000A3020000}"/>
    <cellStyle name="Percent207" xfId="670" xr:uid="{00000000-0005-0000-0000-0000A4020000}"/>
    <cellStyle name="Percent208" xfId="671" xr:uid="{00000000-0005-0000-0000-0000A5020000}"/>
    <cellStyle name="Percent209" xfId="672" xr:uid="{00000000-0005-0000-0000-0000A6020000}"/>
    <cellStyle name="Percent21" xfId="673" xr:uid="{00000000-0005-0000-0000-0000A7020000}"/>
    <cellStyle name="Percent210" xfId="674" xr:uid="{00000000-0005-0000-0000-0000A8020000}"/>
    <cellStyle name="Percent211" xfId="675" xr:uid="{00000000-0005-0000-0000-0000A9020000}"/>
    <cellStyle name="Percent212" xfId="676" xr:uid="{00000000-0005-0000-0000-0000AA020000}"/>
    <cellStyle name="Percent213" xfId="677" xr:uid="{00000000-0005-0000-0000-0000AB020000}"/>
    <cellStyle name="Percent214" xfId="678" xr:uid="{00000000-0005-0000-0000-0000AC020000}"/>
    <cellStyle name="Percent215" xfId="679" xr:uid="{00000000-0005-0000-0000-0000AD020000}"/>
    <cellStyle name="Percent216" xfId="680" xr:uid="{00000000-0005-0000-0000-0000AE020000}"/>
    <cellStyle name="Percent217" xfId="681" xr:uid="{00000000-0005-0000-0000-0000AF020000}"/>
    <cellStyle name="Percent218" xfId="682" xr:uid="{00000000-0005-0000-0000-0000B0020000}"/>
    <cellStyle name="Percent219" xfId="683" xr:uid="{00000000-0005-0000-0000-0000B1020000}"/>
    <cellStyle name="Percent22" xfId="684" xr:uid="{00000000-0005-0000-0000-0000B2020000}"/>
    <cellStyle name="Percent220" xfId="685" xr:uid="{00000000-0005-0000-0000-0000B3020000}"/>
    <cellStyle name="Percent221" xfId="686" xr:uid="{00000000-0005-0000-0000-0000B4020000}"/>
    <cellStyle name="Percent222" xfId="687" xr:uid="{00000000-0005-0000-0000-0000B5020000}"/>
    <cellStyle name="Percent223" xfId="688" xr:uid="{00000000-0005-0000-0000-0000B6020000}"/>
    <cellStyle name="Percent224" xfId="689" xr:uid="{00000000-0005-0000-0000-0000B7020000}"/>
    <cellStyle name="Percent225" xfId="690" xr:uid="{00000000-0005-0000-0000-0000B8020000}"/>
    <cellStyle name="Percent226" xfId="691" xr:uid="{00000000-0005-0000-0000-0000B9020000}"/>
    <cellStyle name="Percent227" xfId="692" xr:uid="{00000000-0005-0000-0000-0000BA020000}"/>
    <cellStyle name="Percent228" xfId="693" xr:uid="{00000000-0005-0000-0000-0000BB020000}"/>
    <cellStyle name="Percent229" xfId="694" xr:uid="{00000000-0005-0000-0000-0000BC020000}"/>
    <cellStyle name="Percent23" xfId="695" xr:uid="{00000000-0005-0000-0000-0000BD020000}"/>
    <cellStyle name="Percent230" xfId="696" xr:uid="{00000000-0005-0000-0000-0000BE020000}"/>
    <cellStyle name="Percent231" xfId="697" xr:uid="{00000000-0005-0000-0000-0000BF020000}"/>
    <cellStyle name="Percent232" xfId="698" xr:uid="{00000000-0005-0000-0000-0000C0020000}"/>
    <cellStyle name="Percent233" xfId="699" xr:uid="{00000000-0005-0000-0000-0000C1020000}"/>
    <cellStyle name="Percent234" xfId="700" xr:uid="{00000000-0005-0000-0000-0000C2020000}"/>
    <cellStyle name="Percent235" xfId="701" xr:uid="{00000000-0005-0000-0000-0000C3020000}"/>
    <cellStyle name="Percent236" xfId="702" xr:uid="{00000000-0005-0000-0000-0000C4020000}"/>
    <cellStyle name="Percent24" xfId="703" xr:uid="{00000000-0005-0000-0000-0000C5020000}"/>
    <cellStyle name="Percent25" xfId="704" xr:uid="{00000000-0005-0000-0000-0000C6020000}"/>
    <cellStyle name="Percent26" xfId="705" xr:uid="{00000000-0005-0000-0000-0000C7020000}"/>
    <cellStyle name="Percent27" xfId="706" xr:uid="{00000000-0005-0000-0000-0000C8020000}"/>
    <cellStyle name="Percent28" xfId="707" xr:uid="{00000000-0005-0000-0000-0000C9020000}"/>
    <cellStyle name="Percent29" xfId="708" xr:uid="{00000000-0005-0000-0000-0000CA020000}"/>
    <cellStyle name="Percent3" xfId="709" xr:uid="{00000000-0005-0000-0000-0000CB020000}"/>
    <cellStyle name="Percent30" xfId="710" xr:uid="{00000000-0005-0000-0000-0000CC020000}"/>
    <cellStyle name="Percent31" xfId="711" xr:uid="{00000000-0005-0000-0000-0000CD020000}"/>
    <cellStyle name="Percent32" xfId="712" xr:uid="{00000000-0005-0000-0000-0000CE020000}"/>
    <cellStyle name="Percent33" xfId="713" xr:uid="{00000000-0005-0000-0000-0000CF020000}"/>
    <cellStyle name="Percent34" xfId="714" xr:uid="{00000000-0005-0000-0000-0000D0020000}"/>
    <cellStyle name="Percent35" xfId="715" xr:uid="{00000000-0005-0000-0000-0000D1020000}"/>
    <cellStyle name="Percent36" xfId="716" xr:uid="{00000000-0005-0000-0000-0000D2020000}"/>
    <cellStyle name="Percent37" xfId="717" xr:uid="{00000000-0005-0000-0000-0000D3020000}"/>
    <cellStyle name="Percent38" xfId="718" xr:uid="{00000000-0005-0000-0000-0000D4020000}"/>
    <cellStyle name="Percent39" xfId="719" xr:uid="{00000000-0005-0000-0000-0000D5020000}"/>
    <cellStyle name="Percent4" xfId="720" xr:uid="{00000000-0005-0000-0000-0000D6020000}"/>
    <cellStyle name="Percent40" xfId="721" xr:uid="{00000000-0005-0000-0000-0000D7020000}"/>
    <cellStyle name="Percent41" xfId="722" xr:uid="{00000000-0005-0000-0000-0000D8020000}"/>
    <cellStyle name="Percent42" xfId="723" xr:uid="{00000000-0005-0000-0000-0000D9020000}"/>
    <cellStyle name="Percent43" xfId="724" xr:uid="{00000000-0005-0000-0000-0000DA020000}"/>
    <cellStyle name="Percent44" xfId="725" xr:uid="{00000000-0005-0000-0000-0000DB020000}"/>
    <cellStyle name="Percent45" xfId="726" xr:uid="{00000000-0005-0000-0000-0000DC020000}"/>
    <cellStyle name="Percent46" xfId="727" xr:uid="{00000000-0005-0000-0000-0000DD020000}"/>
    <cellStyle name="Percent47" xfId="728" xr:uid="{00000000-0005-0000-0000-0000DE020000}"/>
    <cellStyle name="Percent48" xfId="729" xr:uid="{00000000-0005-0000-0000-0000DF020000}"/>
    <cellStyle name="Percent49" xfId="730" xr:uid="{00000000-0005-0000-0000-0000E0020000}"/>
    <cellStyle name="Percent5" xfId="731" xr:uid="{00000000-0005-0000-0000-0000E1020000}"/>
    <cellStyle name="Percent50" xfId="732" xr:uid="{00000000-0005-0000-0000-0000E2020000}"/>
    <cellStyle name="Percent51" xfId="733" xr:uid="{00000000-0005-0000-0000-0000E3020000}"/>
    <cellStyle name="Percent52" xfId="734" xr:uid="{00000000-0005-0000-0000-0000E4020000}"/>
    <cellStyle name="Percent53" xfId="735" xr:uid="{00000000-0005-0000-0000-0000E5020000}"/>
    <cellStyle name="Percent54" xfId="736" xr:uid="{00000000-0005-0000-0000-0000E6020000}"/>
    <cellStyle name="Percent55" xfId="737" xr:uid="{00000000-0005-0000-0000-0000E7020000}"/>
    <cellStyle name="Percent56" xfId="738" xr:uid="{00000000-0005-0000-0000-0000E8020000}"/>
    <cellStyle name="Percent57" xfId="739" xr:uid="{00000000-0005-0000-0000-0000E9020000}"/>
    <cellStyle name="Percent58" xfId="740" xr:uid="{00000000-0005-0000-0000-0000EA020000}"/>
    <cellStyle name="Percent59" xfId="741" xr:uid="{00000000-0005-0000-0000-0000EB020000}"/>
    <cellStyle name="Percent6" xfId="742" xr:uid="{00000000-0005-0000-0000-0000EC020000}"/>
    <cellStyle name="Percent60" xfId="743" xr:uid="{00000000-0005-0000-0000-0000ED020000}"/>
    <cellStyle name="Percent61" xfId="744" xr:uid="{00000000-0005-0000-0000-0000EE020000}"/>
    <cellStyle name="Percent62" xfId="745" xr:uid="{00000000-0005-0000-0000-0000EF020000}"/>
    <cellStyle name="Percent63" xfId="746" xr:uid="{00000000-0005-0000-0000-0000F0020000}"/>
    <cellStyle name="Percent64" xfId="747" xr:uid="{00000000-0005-0000-0000-0000F1020000}"/>
    <cellStyle name="Percent65" xfId="748" xr:uid="{00000000-0005-0000-0000-0000F2020000}"/>
    <cellStyle name="Percent66" xfId="749" xr:uid="{00000000-0005-0000-0000-0000F3020000}"/>
    <cellStyle name="Percent67" xfId="750" xr:uid="{00000000-0005-0000-0000-0000F4020000}"/>
    <cellStyle name="Percent68" xfId="751" xr:uid="{00000000-0005-0000-0000-0000F5020000}"/>
    <cellStyle name="Percent69" xfId="752" xr:uid="{00000000-0005-0000-0000-0000F6020000}"/>
    <cellStyle name="Percent7" xfId="753" xr:uid="{00000000-0005-0000-0000-0000F7020000}"/>
    <cellStyle name="Percent70" xfId="754" xr:uid="{00000000-0005-0000-0000-0000F8020000}"/>
    <cellStyle name="Percent71" xfId="755" xr:uid="{00000000-0005-0000-0000-0000F9020000}"/>
    <cellStyle name="Percent72" xfId="756" xr:uid="{00000000-0005-0000-0000-0000FA020000}"/>
    <cellStyle name="Percent73" xfId="757" xr:uid="{00000000-0005-0000-0000-0000FB020000}"/>
    <cellStyle name="Percent74" xfId="758" xr:uid="{00000000-0005-0000-0000-0000FC020000}"/>
    <cellStyle name="Percent75" xfId="759" xr:uid="{00000000-0005-0000-0000-0000FD020000}"/>
    <cellStyle name="Percent76" xfId="760" xr:uid="{00000000-0005-0000-0000-0000FE020000}"/>
    <cellStyle name="Percent77" xfId="761" xr:uid="{00000000-0005-0000-0000-0000FF020000}"/>
    <cellStyle name="Percent78" xfId="762" xr:uid="{00000000-0005-0000-0000-000000030000}"/>
    <cellStyle name="Percent79" xfId="763" xr:uid="{00000000-0005-0000-0000-000001030000}"/>
    <cellStyle name="Percent8" xfId="764" xr:uid="{00000000-0005-0000-0000-000002030000}"/>
    <cellStyle name="Percent80" xfId="765" xr:uid="{00000000-0005-0000-0000-000003030000}"/>
    <cellStyle name="Percent81" xfId="766" xr:uid="{00000000-0005-0000-0000-000004030000}"/>
    <cellStyle name="Percent82" xfId="767" xr:uid="{00000000-0005-0000-0000-000005030000}"/>
    <cellStyle name="Percent83" xfId="768" xr:uid="{00000000-0005-0000-0000-000006030000}"/>
    <cellStyle name="Percent84" xfId="769" xr:uid="{00000000-0005-0000-0000-000007030000}"/>
    <cellStyle name="Percent85" xfId="770" xr:uid="{00000000-0005-0000-0000-000008030000}"/>
    <cellStyle name="Percent86" xfId="771" xr:uid="{00000000-0005-0000-0000-000009030000}"/>
    <cellStyle name="Percent87" xfId="772" xr:uid="{00000000-0005-0000-0000-00000A030000}"/>
    <cellStyle name="Percent88" xfId="773" xr:uid="{00000000-0005-0000-0000-00000B030000}"/>
    <cellStyle name="Percent89" xfId="774" xr:uid="{00000000-0005-0000-0000-00000C030000}"/>
    <cellStyle name="Percent9" xfId="775" xr:uid="{00000000-0005-0000-0000-00000D030000}"/>
    <cellStyle name="Percent90" xfId="776" xr:uid="{00000000-0005-0000-0000-00000E030000}"/>
    <cellStyle name="Percent91" xfId="777" xr:uid="{00000000-0005-0000-0000-00000F030000}"/>
    <cellStyle name="Percent92" xfId="778" xr:uid="{00000000-0005-0000-0000-000010030000}"/>
    <cellStyle name="Percent93" xfId="779" xr:uid="{00000000-0005-0000-0000-000011030000}"/>
    <cellStyle name="Percent94" xfId="780" xr:uid="{00000000-0005-0000-0000-000012030000}"/>
    <cellStyle name="Percent95" xfId="781" xr:uid="{00000000-0005-0000-0000-000013030000}"/>
    <cellStyle name="Percent96" xfId="782" xr:uid="{00000000-0005-0000-0000-000014030000}"/>
    <cellStyle name="Percent97" xfId="783" xr:uid="{00000000-0005-0000-0000-000015030000}"/>
    <cellStyle name="Percent98" xfId="784" xr:uid="{00000000-0005-0000-0000-000016030000}"/>
    <cellStyle name="Percent99" xfId="785" xr:uid="{00000000-0005-0000-0000-000017030000}"/>
    <cellStyle name="Percentage" xfId="786" xr:uid="{00000000-0005-0000-0000-000018030000}"/>
    <cellStyle name="PercentStyle" xfId="787" xr:uid="{00000000-0005-0000-0000-000019030000}"/>
    <cellStyle name="PrePop Currency (0)" xfId="788" xr:uid="{00000000-0005-0000-0000-00001A030000}"/>
    <cellStyle name="PrePop Currency (2)" xfId="789" xr:uid="{00000000-0005-0000-0000-00001B030000}"/>
    <cellStyle name="PrePop Units (0)" xfId="790" xr:uid="{00000000-0005-0000-0000-00001C030000}"/>
    <cellStyle name="PrePop Units (1)" xfId="791" xr:uid="{00000000-0005-0000-0000-00001D030000}"/>
    <cellStyle name="PrePop Units (2)" xfId="792" xr:uid="{00000000-0005-0000-0000-00001E030000}"/>
    <cellStyle name="Price" xfId="793" xr:uid="{00000000-0005-0000-0000-00001F030000}"/>
    <cellStyle name="Product Header" xfId="794" xr:uid="{00000000-0005-0000-0000-000020030000}"/>
    <cellStyle name="PSChar" xfId="795" xr:uid="{00000000-0005-0000-0000-000021030000}"/>
    <cellStyle name="PSDate" xfId="796" xr:uid="{00000000-0005-0000-0000-000022030000}"/>
    <cellStyle name="PSDec" xfId="797" xr:uid="{00000000-0005-0000-0000-000023030000}"/>
    <cellStyle name="PSHeading" xfId="798" xr:uid="{00000000-0005-0000-0000-000024030000}"/>
    <cellStyle name="PSInt" xfId="799" xr:uid="{00000000-0005-0000-0000-000025030000}"/>
    <cellStyle name="PSSpacer" xfId="800" xr:uid="{00000000-0005-0000-0000-000026030000}"/>
    <cellStyle name="r" xfId="801" xr:uid="{00000000-0005-0000-0000-000027030000}"/>
    <cellStyle name="r_F&amp;W Servicing Model" xfId="802" xr:uid="{00000000-0005-0000-0000-000028030000}"/>
    <cellStyle name="r_F&amp;W Servicing Model v2" xfId="803" xr:uid="{00000000-0005-0000-0000-000029030000}"/>
    <cellStyle name="r_Yell Servicing Model" xfId="804" xr:uid="{00000000-0005-0000-0000-00002A030000}"/>
    <cellStyle name="rate" xfId="805" xr:uid="{00000000-0005-0000-0000-00002B030000}"/>
    <cellStyle name="Ratio" xfId="806" xr:uid="{00000000-0005-0000-0000-00002C030000}"/>
    <cellStyle name="Ratio Comma" xfId="807" xr:uid="{00000000-0005-0000-0000-00002D030000}"/>
    <cellStyle name="Ratio_Private" xfId="808" xr:uid="{00000000-0005-0000-0000-00002E030000}"/>
    <cellStyle name="regstoresfromspecstores" xfId="809" xr:uid="{00000000-0005-0000-0000-00002F030000}"/>
    <cellStyle name="RevList" xfId="810" xr:uid="{00000000-0005-0000-0000-000030030000}"/>
    <cellStyle name="Right" xfId="811" xr:uid="{00000000-0005-0000-0000-000031030000}"/>
    <cellStyle name="RightBold" xfId="812" xr:uid="{00000000-0005-0000-0000-000032030000}"/>
    <cellStyle name="RightBoldBottomRule" xfId="813" xr:uid="{00000000-0005-0000-0000-000033030000}"/>
    <cellStyle name="RightBoldCenterRule" xfId="814" xr:uid="{00000000-0005-0000-0000-000034030000}"/>
    <cellStyle name="Section" xfId="815" xr:uid="{00000000-0005-0000-0000-000035030000}"/>
    <cellStyle name="SectionHeaderNormal" xfId="816" xr:uid="{00000000-0005-0000-0000-000036030000}"/>
    <cellStyle name="SHADEDSTORES" xfId="817" xr:uid="{00000000-0005-0000-0000-000037030000}"/>
    <cellStyle name="Short $" xfId="818" xr:uid="{00000000-0005-0000-0000-000038030000}"/>
    <cellStyle name="ShOut" xfId="819" xr:uid="{00000000-0005-0000-0000-000039030000}"/>
    <cellStyle name="Simple" xfId="820" xr:uid="{00000000-0005-0000-0000-00003A030000}"/>
    <cellStyle name="SimpleBold" xfId="821" xr:uid="{00000000-0005-0000-0000-00003B030000}"/>
    <cellStyle name="Single Accounting" xfId="822" xr:uid="{00000000-0005-0000-0000-00003C030000}"/>
    <cellStyle name="specstores" xfId="823" xr:uid="{00000000-0005-0000-0000-00003D030000}"/>
    <cellStyle name="Stock Comma" xfId="824" xr:uid="{00000000-0005-0000-0000-00003E030000}"/>
    <cellStyle name="Stock Price" xfId="825" xr:uid="{00000000-0005-0000-0000-00003F030000}"/>
    <cellStyle name="Style 1" xfId="826" xr:uid="{00000000-0005-0000-0000-000040030000}"/>
    <cellStyle name="Style 21" xfId="827" xr:uid="{00000000-0005-0000-0000-000041030000}"/>
    <cellStyle name="Style 22" xfId="828" xr:uid="{00000000-0005-0000-0000-000042030000}"/>
    <cellStyle name="Style 23" xfId="829" xr:uid="{00000000-0005-0000-0000-000043030000}"/>
    <cellStyle name="Style 24" xfId="830" xr:uid="{00000000-0005-0000-0000-000044030000}"/>
    <cellStyle name="Style 25" xfId="831" xr:uid="{00000000-0005-0000-0000-000045030000}"/>
    <cellStyle name="Style 26" xfId="832" xr:uid="{00000000-0005-0000-0000-000046030000}"/>
    <cellStyle name="Style 27" xfId="833" xr:uid="{00000000-0005-0000-0000-000047030000}"/>
    <cellStyle name="Style 28" xfId="834" xr:uid="{00000000-0005-0000-0000-000048030000}"/>
    <cellStyle name="Style 29" xfId="835" xr:uid="{00000000-0005-0000-0000-000049030000}"/>
    <cellStyle name="Style 30" xfId="836" xr:uid="{00000000-0005-0000-0000-00004A030000}"/>
    <cellStyle name="Style 31" xfId="837" xr:uid="{00000000-0005-0000-0000-00004B030000}"/>
    <cellStyle name="Style 32" xfId="838" xr:uid="{00000000-0005-0000-0000-00004C030000}"/>
    <cellStyle name="Style 33" xfId="839" xr:uid="{00000000-0005-0000-0000-00004D030000}"/>
    <cellStyle name="Style 34" xfId="840" xr:uid="{00000000-0005-0000-0000-00004E030000}"/>
    <cellStyle name="Style 35" xfId="841" xr:uid="{00000000-0005-0000-0000-00004F030000}"/>
    <cellStyle name="Style 36" xfId="842" xr:uid="{00000000-0005-0000-0000-000050030000}"/>
    <cellStyle name="Style 37" xfId="843" xr:uid="{00000000-0005-0000-0000-000051030000}"/>
    <cellStyle name="Style 38" xfId="844" xr:uid="{00000000-0005-0000-0000-000052030000}"/>
    <cellStyle name="Style 39" xfId="845" xr:uid="{00000000-0005-0000-0000-000053030000}"/>
    <cellStyle name="Style 40" xfId="846" xr:uid="{00000000-0005-0000-0000-000054030000}"/>
    <cellStyle name="Style 41" xfId="847" xr:uid="{00000000-0005-0000-0000-000055030000}"/>
    <cellStyle name="Style 42" xfId="848" xr:uid="{00000000-0005-0000-0000-000056030000}"/>
    <cellStyle name="Style 43" xfId="849" xr:uid="{00000000-0005-0000-0000-000057030000}"/>
    <cellStyle name="Style 44" xfId="850" xr:uid="{00000000-0005-0000-0000-000058030000}"/>
    <cellStyle name="Style 45" xfId="851" xr:uid="{00000000-0005-0000-0000-000059030000}"/>
    <cellStyle name="Style 46" xfId="852" xr:uid="{00000000-0005-0000-0000-00005A030000}"/>
    <cellStyle name="Style 47" xfId="853" xr:uid="{00000000-0005-0000-0000-00005B030000}"/>
    <cellStyle name="Style 48" xfId="854" xr:uid="{00000000-0005-0000-0000-00005C030000}"/>
    <cellStyle name="STYLE1" xfId="855" xr:uid="{00000000-0005-0000-0000-00005D030000}"/>
    <cellStyle name="SubScript" xfId="856" xr:uid="{00000000-0005-0000-0000-00005E030000}"/>
    <cellStyle name="Subtotal" xfId="857" xr:uid="{00000000-0005-0000-0000-00005F030000}"/>
    <cellStyle name="Sum" xfId="858" xr:uid="{00000000-0005-0000-0000-000060030000}"/>
    <cellStyle name="SuperScript" xfId="859" xr:uid="{00000000-0005-0000-0000-000061030000}"/>
    <cellStyle name="Table_Title" xfId="860" xr:uid="{00000000-0005-0000-0000-000062030000}"/>
    <cellStyle name="Test" xfId="861" xr:uid="{00000000-0005-0000-0000-000063030000}"/>
    <cellStyle name="Text Indent A" xfId="862" xr:uid="{00000000-0005-0000-0000-000064030000}"/>
    <cellStyle name="Text Indent B" xfId="863" xr:uid="{00000000-0005-0000-0000-000065030000}"/>
    <cellStyle name="Text Indent C" xfId="864" xr:uid="{00000000-0005-0000-0000-000066030000}"/>
    <cellStyle name="TextBold" xfId="865" xr:uid="{00000000-0005-0000-0000-000067030000}"/>
    <cellStyle name="TextItalic" xfId="866" xr:uid="{00000000-0005-0000-0000-000068030000}"/>
    <cellStyle name="TextNormal" xfId="867" xr:uid="{00000000-0005-0000-0000-000069030000}"/>
    <cellStyle name="Time" xfId="868" xr:uid="{00000000-0005-0000-0000-00006A030000}"/>
    <cellStyle name="Times 10" xfId="869" xr:uid="{00000000-0005-0000-0000-00006B030000}"/>
    <cellStyle name="Times 12" xfId="870" xr:uid="{00000000-0005-0000-0000-00006C030000}"/>
    <cellStyle name="Title - PROJECT" xfId="871" xr:uid="{00000000-0005-0000-0000-00006D030000}"/>
    <cellStyle name="Title - Underline" xfId="872" xr:uid="{00000000-0005-0000-0000-00006E030000}"/>
    <cellStyle name="Title1" xfId="873" xr:uid="{00000000-0005-0000-0000-00006F030000}"/>
    <cellStyle name="Title2" xfId="874" xr:uid="{00000000-0005-0000-0000-000070030000}"/>
    <cellStyle name="TitleNormal" xfId="875" xr:uid="{00000000-0005-0000-0000-000071030000}"/>
    <cellStyle name="Titles - Col. Headings" xfId="876" xr:uid="{00000000-0005-0000-0000-000072030000}"/>
    <cellStyle name="Titles - Other" xfId="877" xr:uid="{00000000-0005-0000-0000-000073030000}"/>
    <cellStyle name="Top Edge" xfId="878" xr:uid="{00000000-0005-0000-0000-000074030000}"/>
    <cellStyle name="Total" xfId="879" builtinId="25" customBuiltin="1"/>
    <cellStyle name="ubordinated Debt" xfId="880" xr:uid="{00000000-0005-0000-0000-000076030000}"/>
    <cellStyle name="wheat merger's and acquisitions" xfId="881" xr:uid="{00000000-0005-0000-0000-000077030000}"/>
    <cellStyle name="x" xfId="882" xr:uid="{00000000-0005-0000-0000-000078030000}"/>
    <cellStyle name="x_TSA Model - 1 8 06 - v2" xfId="883" xr:uid="{00000000-0005-0000-0000-000079030000}"/>
    <cellStyle name="Y2K Compliant Date Fmt" xfId="884" xr:uid="{00000000-0005-0000-0000-00007A030000}"/>
    <cellStyle name="Years" xfId="885" xr:uid="{00000000-0005-0000-0000-00007B030000}"/>
    <cellStyle name="yellow" xfId="886" xr:uid="{00000000-0005-0000-0000-00007C030000}"/>
    <cellStyle name="Yen" xfId="887" xr:uid="{00000000-0005-0000-0000-00007D030000}"/>
    <cellStyle name="YYYY" xfId="888" xr:uid="{00000000-0005-0000-0000-00007E030000}"/>
    <cellStyle name="桁区切り [0.00]_Appendix" xfId="889" xr:uid="{00000000-0005-0000-0000-00007F030000}"/>
    <cellStyle name="桁区切り_Appendix" xfId="890" xr:uid="{00000000-0005-0000-0000-000080030000}"/>
    <cellStyle name="標準_Appendix" xfId="891" xr:uid="{00000000-0005-0000-0000-000081030000}"/>
    <cellStyle name="通貨 [0.00]_Appendix" xfId="892" xr:uid="{00000000-0005-0000-0000-000082030000}"/>
    <cellStyle name="通貨_Appendix" xfId="893" xr:uid="{00000000-0005-0000-0000-00008303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calcChain" Target="calcChain.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customXml" Target="../customXml/item3.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8"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Office\Media\COMPS%20-%20B2B%20Publish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_sfnt01\GBlank$\My%20Documents\TPG\LBO\Bally\BFT%20Forecast%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_sfnt01\GBlank$\Documents%20and%20Settings\GBlank\Local%20Settings\Temporary%20Internet%20Files\OLK39\TSA%20Model%20-%201%208%2006%20-%20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ETG%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nk%20Loan%20Team\APPROVAL%20MEMOS\Endurance%20Media\BLT%20Work\EBM%20Quarterly%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20Info%2022%20(Adam%20Silv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ChartDat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Bank%20Correspondence\JMI%20Model%20(Wx%20Model%20-%20BMO%20Adjusted%205-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CMP%20II\INACTIVE%20DEALS\Facts%20on%20File\Transaction%20Models\FOF%20Model%20v3%20(Asset%20Purchas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rojects5\Dolphin\Documents%20and%20Settings\nbk7h1e\Local%20Settings\Temporary%20Internet%20Files\OLK61\Bank%20Austria\Returns@@@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Deals%20-%20In%20Process\TruCom\BridgeCom%20Budge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y-fil01\data\Wicks\Wicks%20Model\JMI%20Model%20(Wx%20Model%20-%20BMO%20Adjusted%205-1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Deals%20-%20In%20Process\Crescent%20Publishing%20Company,%20LLC\R0%20-%20Aug%202,%202001\CrescentPublishing%20Model%208-01%20R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Credit%20Derivatives%20Group\Emerging\CBO\MFS\Jersey%20Street%20CLO\Warehouse\Warehouse%20Report\versions\August\Jersey%20Street%20CLO%208.7.06%20Committ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ail.wicksgroup.com/PORTFOLIO%20COMPANIES/Bressler%20Outdoor/Financial%20Models/SubDebt%20Model%20-%20IRR%20-$30MM%20Equity.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ominous.studioholdings.net\temp\unzipped\7xbb01_\7b7k01_.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inous.studioholdings.net\temp\TEMP\Consolidated%2012-4-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c-neptune\accounting\Invoices\Invoice%2099\z.December%201999\DEC99Invoice%20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Rosetta%20Stone%20Model%20(9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Company%20Materials\Company%20Materials\Bank%20Model_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Bank%20Loan%20Team%20Research\_RAs\Takacs_G\PORTFOLIO%20-%20Takac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Spring%202002\Modeling\Problem%204%20workshe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Bank%20Model_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NT14\USERS$\mm93223\My%20Documents\Templates\Servicing%20Template%20-%20MA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Documents%20and%20Settings\EMcKee\Local%20Settings\Temporary%20Internet%20Files\OLK12\65%20UVN%207-Yea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windows\TEMP\financial%20forecast%207.27.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Beckett\Deals%20in%20process\UniFocus%20R6\Unifocus%20Model%204-02%20R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Documents%20and%20Settings\CRothbard\Local%20Settings\Temporary%20Internet%20Files\OLK146\JMI_WMI%20Financing%20Model%20(02-09-06)_vTD4%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Documents%20and%20Settings\jorr\Local%20Settings\Temporary%20Internet%20Files\OLK27\MC-DW-JOB%20Merger%20Model%20for%20Syndicate%20-%203.31.05%20rjf%205.03.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Corporate%20Development\JMI_WMI%20Combination\2005.11\Oct%202005\MEDCON%20Projection%20Model%20September%202005%20(09-13-05)%20v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ominous.studioholdings.net\temp\M&amp;A_Deal\New%20Models\dcf.sh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 Page"/>
      <sheetName val="Deal Multiples"/>
      <sheetName val="Asset Coverage"/>
      <sheetName val="Status"/>
      <sheetName val="Output"/>
      <sheetName val="Graphs"/>
      <sheetName val="Inputs"/>
      <sheetName val="WARF"/>
      <sheetName val="Comps"/>
      <sheetName val="Magazines"/>
      <sheetName val="2"/>
      <sheetName val="4"/>
      <sheetName val="5"/>
      <sheetName val="6"/>
      <sheetName val="7"/>
      <sheetName val="8"/>
      <sheetName val="10"/>
      <sheetName val="11"/>
      <sheetName val="12"/>
      <sheetName val="14"/>
      <sheetName val="16"/>
      <sheetName val="1"/>
      <sheetName val="3"/>
      <sheetName val="9"/>
      <sheetName val="13"/>
      <sheetName val="15"/>
      <sheetName val="ARP"/>
      <sheetName val="CNG"/>
      <sheetName val="F&amp;W"/>
      <sheetName val="HNW"/>
      <sheetName val="IMO"/>
      <sheetName val="JMI"/>
      <sheetName val="MMH"/>
      <sheetName val="PRM"/>
      <sheetName val="RDA"/>
      <sheetName val="SRCE"/>
      <sheetName val="SPRG"/>
      <sheetName val="WNM"/>
      <sheetName val="RVDP"/>
      <sheetName val="SMTB"/>
      <sheetName val="TMN"/>
      <sheetName val="Portfolio"/>
      <sheetName val="LBO Summary"/>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ttrition"/>
      <sheetName val="Sheet1"/>
      <sheetName val="IncStmt"/>
      <sheetName val="CashFlow"/>
      <sheetName val="BalSht"/>
      <sheetName val="Allowance"/>
      <sheetName val="CashEBITDA"/>
      <sheetName val="FxdChg"/>
      <sheetName val="Ratio"/>
      <sheetName val="Module1"/>
      <sheetName val="LBO Summary"/>
      <sheetName val="Chart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turns Summary"/>
      <sheetName val="Case Logic"/>
      <sheetName val="Option Summary"/>
      <sheetName val="TRANSACTION"/>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nning Assumptions"/>
      <sheetName val="Tanning P&amp;L"/>
      <sheetName val="Tanning Balance Sheets"/>
      <sheetName val="Tanning Cash Flows"/>
      <sheetName val="Meta P&amp;L"/>
      <sheetName val="Meta Balance Sheet"/>
      <sheetName val="Meta Cash Flow"/>
      <sheetName val="Combined Balance Sheet"/>
      <sheetName val="Combined P&amp;L"/>
      <sheetName val="Combined Cash Flow"/>
      <sheetName val="Shares"/>
      <sheetName val="EssRet"/>
      <sheetName val="Meta Segments"/>
      <sheetName val="Capex"/>
      <sheetName val="Sheet5"/>
      <sheetName val="D"/>
      <sheetName val="TRANSA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al. Analysis"/>
      <sheetName val="Inputs"/>
      <sheetName val="Base"/>
      <sheetName val="EV_DCF Analysis"/>
      <sheetName val="VeCTOR Import"/>
      <sheetName val="Annual Summary"/>
    </sheetNames>
    <sheetDataSet>
      <sheetData sheetId="0" refreshError="1"/>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s"/>
      <sheetName val="Calcs"/>
      <sheetName val="Account"/>
      <sheetName val="OCTrends"/>
      <sheetName val="ICTrends"/>
      <sheetName val="DivTrends"/>
      <sheetName val="WARFTrends"/>
      <sheetName val="WARFFitchTrends"/>
      <sheetName val="WASTrends"/>
      <sheetName val="WACTrends"/>
      <sheetName val="WALTrends"/>
      <sheetName val="Debt Structure"/>
      <sheetName val="Fund Schedule"/>
      <sheetName val="Principal"/>
      <sheetName val="Ineligible"/>
      <sheetName val="S&amp;P Industry"/>
      <sheetName val="Trade Activity Summary"/>
      <sheetName val="Sale Activity Bond"/>
      <sheetName val="Sale Activity"/>
      <sheetName val="Buy Activity Bond"/>
      <sheetName val="Buy Activity"/>
      <sheetName val="Default"/>
      <sheetName val="CCC"/>
      <sheetName val="CCCBond"/>
      <sheetName val="Presentation Info 22 (Adam Silv"/>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M YTD 2000"/>
      <sheetName val="AUM_Chart"/>
      <sheetName val="Cap Structure"/>
      <sheetName val="TOP10"/>
      <sheetName val="DefaultHistory"/>
      <sheetName val="DefaultedSecuritySummary"/>
      <sheetName val="DefaultedSecuritySummary2"/>
      <sheetName val="DefaultedSecurityData"/>
      <sheetName val="Actual vs Covenant"/>
      <sheetName val="APEX"/>
      <sheetName val="APEX_MR"/>
      <sheetName val="APEX_SR"/>
      <sheetName val="APEX_MI"/>
      <sheetName val="APEX_SI"/>
      <sheetName val="ELC1"/>
      <sheetName val="ELC1_SR"/>
      <sheetName val="ELC1_MR"/>
      <sheetName val="ELC1_FR"/>
      <sheetName val="ELC1_SI"/>
      <sheetName val="ELC1_MI"/>
      <sheetName val="ELC2"/>
      <sheetName val="ELC2_SR"/>
      <sheetName val="ELC2_FR"/>
      <sheetName val="ELC2_SI"/>
      <sheetName val="ELC2_MI"/>
      <sheetName val="ELC3"/>
      <sheetName val="ELC3_MR"/>
      <sheetName val="ELC3_SR"/>
      <sheetName val="ELC3_FR"/>
      <sheetName val="ELC3_MI"/>
      <sheetName val="ELC3_SI"/>
      <sheetName val="ELC4"/>
      <sheetName val="ELC4_MR"/>
      <sheetName val="ELC4_SR"/>
      <sheetName val="ELC4_MI"/>
      <sheetName val="ELC4_SI"/>
      <sheetName val="ELC5"/>
      <sheetName val="ELC5_MR"/>
      <sheetName val="ELC5_SR"/>
      <sheetName val="ELC5_MI"/>
      <sheetName val="ELC5_SI"/>
      <sheetName val="TRYN"/>
      <sheetName val="TRYN_MR"/>
      <sheetName val="TRYN_SR"/>
      <sheetName val="TRYN_SI"/>
      <sheetName val="TRYN_MI"/>
      <sheetName val="SaleData"/>
      <sheetName val="SH_Results"/>
      <sheetName val="SH_APEX"/>
      <sheetName val="SH_ELC1"/>
      <sheetName val="SH_ELC2"/>
      <sheetName val="SH_ELC3"/>
      <sheetName val="SH_ELC4"/>
      <sheetName val="SH_ELC5"/>
      <sheetName val="SH_TR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DISPLAY"/>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heetName val="BS"/>
      <sheetName val="IS"/>
      <sheetName val="CFS"/>
      <sheetName val="REV"/>
      <sheetName val="RATIO"/>
      <sheetName val="RETURN"/>
      <sheetName val="CONTROL"/>
      <sheetName val="D&amp;A"/>
    </sheetNames>
    <sheetDataSet>
      <sheetData sheetId="0" refreshError="1"/>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s"/>
      <sheetName val="OC-IC"/>
      <sheetName val="Sources and Uses"/>
      <sheetName val="After Tax"/>
      <sheetName val="Tax Report"/>
      <sheetName val="Price Yield"/>
      <sheetName val="LIBOR"/>
      <sheetName val="Revolver"/>
      <sheetName val="PV Calc"/>
      <sheetName val="Module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RIVER"/>
      <sheetName val="Sheet1"/>
      <sheetName val="Bcom IS-Mnthly"/>
      <sheetName val="Conversion Balance Sheet"/>
      <sheetName val="Bcom BS-Mnthly"/>
      <sheetName val="Bcom FAS95-Mnthly"/>
      <sheetName val="Bcom Rollup-Income"/>
      <sheetName val="Bcom Rollup- Balance"/>
      <sheetName val="Bcom Conversion Charge Adj"/>
      <sheetName val="Bcom Debt"/>
      <sheetName val="Bcom Fixed Assets"/>
      <sheetName val="Bcom Lines"/>
      <sheetName val="Bcom New AE Efficiency"/>
      <sheetName val="Bcom Rev"/>
      <sheetName val="Bcom COGS"/>
      <sheetName val="Bcom-SG&amp;A,Taxes"/>
      <sheetName val="Bcom HEADCOUNT"/>
      <sheetName val="MasterDriverTrucom"/>
      <sheetName val="TruCom IS"/>
      <sheetName val="TruCom BS"/>
      <sheetName val="TruCom FAS95-Mnthly"/>
      <sheetName val="TruCom Rev"/>
      <sheetName val="TruCom COGS"/>
      <sheetName val="TruCom Lines"/>
      <sheetName val="TruCom-SG&amp;A,Taxes"/>
      <sheetName val="TruCom HEADCOUNT"/>
      <sheetName val="TruCom Amort."/>
      <sheetName val="TruCom Fixed Assets"/>
      <sheetName val="TruCom Debt"/>
      <sheetName val="TruCom Debt worksheet"/>
      <sheetName val="Cap Tables"/>
      <sheetName val="TruCom Cash Acct. Recon."/>
      <sheetName val="MAST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DISPLAY"/>
      <sheetName val="OPT-MIS"/>
      <sheetName val="REV"/>
      <sheetName val="EXP"/>
      <sheetName val="MODR"/>
      <sheetName val="D&amp;A"/>
      <sheetName val="DEBT"/>
      <sheetName val="COVS"/>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M 2000 Rev Chart"/>
      <sheetName val="MCM 2001 Rev Chart"/>
      <sheetName val="MCM 1999 P&amp;L"/>
      <sheetName val="MCM 2000 P&amp;L"/>
      <sheetName val="MCM 2001 Plan"/>
      <sheetName val="MCM 2000 and 2001 Plan"/>
      <sheetName val="GSN Hist IS"/>
      <sheetName val="GSN Hist BS"/>
      <sheetName val="CC 2000 Detail"/>
      <sheetName val="CC 2000 IS"/>
      <sheetName val="CC 2000 BS"/>
      <sheetName val="CC 2000 CF"/>
      <sheetName val="Crescent Mo IS 9-00 to 6-01"/>
      <sheetName val="Crescent Qtr IS Sep00-Jun01"/>
      <sheetName val="Target P&amp;L RollUp"/>
      <sheetName val="Target P&amp;L RollUp June"/>
      <sheetName val="Target P&amp;L Pct Sales"/>
      <sheetName val="MASTER DRIVERS"/>
      <sheetName val="Summary"/>
      <sheetName val="IS Sum"/>
      <sheetName val="BS Sum"/>
      <sheetName val="CF Sum"/>
      <sheetName val="Covenants and Capitalization"/>
      <sheetName val="Ret Earn Reconcile"/>
      <sheetName val="GSN IS Sum"/>
      <sheetName val="Maine IS Sum"/>
      <sheetName val="Conversion BS"/>
      <sheetName val="Key Ratios"/>
      <sheetName val="MCG vs Vaxa"/>
      <sheetName val="Exhibits1"/>
      <sheetName val="Exhibits2"/>
      <sheetName val="IS"/>
      <sheetName val="BS"/>
      <sheetName val="CF"/>
      <sheetName val="Debt"/>
      <sheetName val="Fixed Assets"/>
      <sheetName val="Intangibles"/>
      <sheetName val="DCF"/>
      <sheetName val="Initial TTM EBITDA by Cluster"/>
      <sheetName val="Geographic Concentratio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X"/>
      <sheetName val="Portfolio Input"/>
      <sheetName val="Warehouse Summary"/>
      <sheetName val="Investor Summary"/>
      <sheetName val="Industry"/>
      <sheetName val="Rating"/>
      <sheetName val="Broad Loan Category"/>
      <sheetName val="Diversity Calc"/>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Pipeline"/>
      <sheetName val="Monthly Financials"/>
      <sheetName val="Quarterly Financials"/>
      <sheetName val="Yearly Financials"/>
      <sheetName val="Distributions"/>
      <sheetName val="Returns"/>
      <sheetName val="Operations"/>
      <sheetName val="Payroll"/>
      <sheetName val="Depreciation"/>
      <sheetName val="Debt"/>
      <sheetName val="Equ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odel"/>
      <sheetName val="Portfolio Input"/>
    </sheetNames>
    <sheetDataSet>
      <sheetData sheetId="0"/>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TransSum"/>
      <sheetName val="Consolidated"/>
      <sheetName val="JDPC Proj."/>
      <sheetName val="EG Proj."/>
      <sheetName val="KBB Proj. "/>
    </sheetNames>
    <sheetDataSet>
      <sheetData sheetId="0"/>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
      <sheetName val="Final"/>
    </sheetNames>
    <sheetDataSet>
      <sheetData sheetId="0" refreshError="1"/>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01_05_v_Wicks_xls__01_05_v_Wi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Adj 2006"/>
      <sheetName val="Credit"/>
      <sheetName val="For Banks"/>
      <sheetName val="_01_05_v_Wicks_xls__01_05_v_Wi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Yields"/>
      <sheetName val="Vector Output"/>
      <sheetName val="Portfolio"/>
      <sheetName val="Action Items"/>
      <sheetName val="Defense Comps"/>
      <sheetName val="Telecom"/>
      <sheetName val="WARF"/>
      <sheetName val="Template"/>
      <sheetName val="1"/>
      <sheetName val="2"/>
      <sheetName val="3"/>
      <sheetName val="4"/>
      <sheetName val="Credit Breakdown"/>
      <sheetName val="Auto EVs"/>
      <sheetName val="WARF Tracker"/>
      <sheetName val="Deal Multiples"/>
      <sheetName val="Status"/>
      <sheetName val="Output"/>
      <sheetName val="Graphs"/>
      <sheetName val="Inputs"/>
      <sheetName val="LBO Summary"/>
      <sheetName val="Tanning Assumptions"/>
      <sheetName val="IncStmt"/>
      <sheetName val="BS"/>
      <sheetName val="DCF"/>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by-night - Base"/>
      <sheetName val="Fly-by-night - problem 5"/>
      <sheetName val="Fly-by-night - problem 6"/>
      <sheetName val="Fly-by-night - Base with ltd"/>
      <sheetName val="Portfolio"/>
      <sheetName val="MASTER DRIVER"/>
      <sheetName val="LBO Summary"/>
      <sheetName val="IncStmt"/>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Credit"/>
      <sheetName val="Summary"/>
      <sheetName val="Segments"/>
      <sheetName val="Adjustments"/>
      <sheetName val="Fly-by-night - problem 5"/>
      <sheetName val="Inpu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Info"/>
      <sheetName val="Qualitative Analysis"/>
      <sheetName val="Base"/>
      <sheetName val="EV_DCF Analysis"/>
      <sheetName val="VeCTOR Import"/>
      <sheetName val="Annual Summary"/>
      <sheetName val="LBO Summary"/>
      <sheetName val="Fly-by-night - problem 5"/>
      <sheetName val="Segment Info"/>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UMMARY"/>
      <sheetName val="TRANSACTION"/>
      <sheetName val="Capital Structure"/>
      <sheetName val="DEBT DETAIL"/>
      <sheetName val="Sheet2"/>
      <sheetName val="Flat EBITDA"/>
      <sheetName val="Scenario Fan"/>
      <sheetName val="Sheet1"/>
      <sheetName val="Sheet1 (2)"/>
      <sheetName val="Case Comparison"/>
      <sheetName val="INCOME STATEMENT"/>
      <sheetName val="BALANCE SHEET"/>
      <sheetName val="CASH FLOW"/>
      <sheetName val="World Cup"/>
      <sheetName val="Taxes"/>
      <sheetName val="CAPEX &amp; INTANG"/>
      <sheetName val="Drivers"/>
      <sheetName val="WORKING CAPITAL"/>
      <sheetName val="Buildup"/>
      <sheetName val="S&amp;U"/>
      <sheetName val="TV Build"/>
      <sheetName val="TV Group"/>
      <sheetName val="UVN"/>
      <sheetName val="TLF"/>
      <sheetName val="Gala"/>
      <sheetName val="TV Station Group"/>
      <sheetName val="UTG"/>
      <sheetName val="TTG"/>
      <sheetName val="Radio Operating Build"/>
      <sheetName val="Radio Drivers"/>
      <sheetName val="Consolidated"/>
      <sheetName val="Market Build"/>
      <sheetName val="Other"/>
      <sheetName val="Overview"/>
      <sheetName val="Margin Bridge"/>
      <sheetName val="Projections Detail"/>
      <sheetName val="VeCTOR Import"/>
      <sheetName val="LBO Summary"/>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S&amp;U"/>
      <sheetName val="Sheet1"/>
      <sheetName val="1998 assump"/>
      <sheetName val="1997 assump"/>
      <sheetName val="******"/>
      <sheetName val="1998 P &amp; L"/>
      <sheetName val="1999 P &amp; L"/>
      <sheetName val="summ people"/>
      <sheetName val="people"/>
      <sheetName val="Sheet2"/>
      <sheetName val="B"/>
      <sheetName val="Sheet5"/>
      <sheetName val="Employees"/>
      <sheetName val="Reconcile"/>
      <sheetName val="D"/>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vCalcs Table"/>
      <sheetName val="IS Table"/>
      <sheetName val="BS Table"/>
      <sheetName val="SoCF Table"/>
      <sheetName val="RE &amp; DIVS Table"/>
      <sheetName val="Debt Table"/>
      <sheetName val="RE &amp; DIVS"/>
      <sheetName val="Debt"/>
      <sheetName val="BalSh Comb"/>
      <sheetName val="SoCF Comb"/>
      <sheetName val="IS Comb"/>
      <sheetName val="Covenant Summary"/>
      <sheetName val="UF P&amp;L-Mth"/>
      <sheetName val="Sheet1"/>
      <sheetName val="MASTER"/>
      <sheetName val="FC P&amp;L-Mth"/>
      <sheetName val="Headcount"/>
      <sheetName val="New FC Contracts"/>
      <sheetName val="UF Bal-Mth"/>
      <sheetName val="FC Bal-Mth"/>
      <sheetName val="Fixed Assets"/>
      <sheetName val="G&amp;A"/>
      <sheetName val="FC Contracts 2001"/>
      <sheetName val="End Model"/>
      <sheetName val="Combnd Hist BS"/>
      <sheetName val="UF Bal Sheet"/>
      <sheetName val="FC Bal Sheet"/>
      <sheetName val="UF P&amp;L Hist"/>
      <sheetName val="FC P&amp;L Hist"/>
      <sheetName val="UF2000"/>
      <sheetName val="UF2001"/>
      <sheetName val="FC2000"/>
      <sheetName val="FC2001"/>
      <sheetName val="vs. 2001 actuals"/>
      <sheetName val="Sheet3"/>
      <sheetName val="Equity Table"/>
      <sheetName val="Card Count Table"/>
      <sheetName val="BS Tables"/>
      <sheetName val="Concentr Table"/>
      <sheetName val="BS Analysis"/>
      <sheetName val="Table 5"/>
      <sheetName val="Table 4"/>
      <sheetName val="Table 3"/>
      <sheetName val="Table 2"/>
      <sheetName val="Table 1"/>
      <sheetName val="DCF"/>
      <sheetName val="top50hotels"/>
      <sheetName val="Sheet5"/>
      <sheetName val="D"/>
      <sheetName val="MASTER 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OBS - MEDCON"/>
      <sheetName val="OBS - REFI"/>
      <sheetName val="AFS"/>
      <sheetName val="MBS"/>
      <sheetName val="MMIS (2)"/>
      <sheetName val="WHEC"/>
      <sheetName val="MIS"/>
      <sheetName val="MCF"/>
      <sheetName val="PACING06"/>
      <sheetName val="D&amp;A"/>
      <sheetName val="D&amp;A (2)"/>
      <sheetName val="DEBT"/>
      <sheetName val="CHARTS&gt;&gt;&gt;"/>
      <sheetName val="S&amp;U_CAP_MERGER"/>
      <sheetName val="S&amp;U_CAP_REFI"/>
      <sheetName val="MEDCON IS"/>
      <sheetName val="SUM IS"/>
      <sheetName val="PF IS"/>
      <sheetName val="PF BS"/>
      <sheetName val="COVS"/>
      <sheetName val="ECF"/>
      <sheetName val="Bridge"/>
      <sheetName val="HoldCo INT"/>
      <sheetName val="PACING05"/>
      <sheetName val="MASTER"/>
    </sheetNames>
    <sheetDataSet>
      <sheetData sheetId="0"/>
      <sheetData sheetId="1" refreshError="1"/>
      <sheetData sheetId="2"/>
      <sheetData sheetId="3" refreshError="1"/>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CONTROL"/>
      <sheetName val="OBS - REFI"/>
      <sheetName val="WH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AFS"/>
      <sheetName val="MIS"/>
      <sheetName val="MBS"/>
      <sheetName val="MCF"/>
      <sheetName val="DEBT"/>
      <sheetName val="D&amp;A"/>
      <sheetName val="COVS_ACTUAL"/>
      <sheetName val="COVS"/>
      <sheetName val="PACING05"/>
      <sheetName val="PACING06"/>
    </sheetNames>
    <sheetDataSet>
      <sheetData sheetId="0" refreshError="1"/>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F"/>
      <sheetName val="DCFnew"/>
      <sheetName val="COVS_ACTUAL"/>
      <sheetName val="D&amp;A"/>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610"/>
  <sheetViews>
    <sheetView showGridLines="0" tabSelected="1" zoomScaleNormal="100" workbookViewId="0">
      <selection activeCell="P2" sqref="P2"/>
    </sheetView>
  </sheetViews>
  <sheetFormatPr defaultColWidth="9.28515625" defaultRowHeight="15"/>
  <cols>
    <col min="1" max="1" width="9.28515625" style="1"/>
    <col min="2" max="2" width="50.7109375" style="1" customWidth="1"/>
    <col min="3" max="8" width="12.7109375" style="1" customWidth="1"/>
    <col min="9" max="9" width="50.7109375" style="1" customWidth="1"/>
    <col min="10" max="10" width="12.7109375" style="1" customWidth="1"/>
    <col min="11" max="16384" width="9.28515625" style="1"/>
  </cols>
  <sheetData>
    <row r="2" spans="1:10">
      <c r="A2" s="28" t="s">
        <v>0</v>
      </c>
      <c r="I2" s="13" t="s">
        <v>1</v>
      </c>
      <c r="J2" s="117">
        <f>Model!$K$210</f>
        <v>0.14494854326714016</v>
      </c>
    </row>
    <row r="3" spans="1:10">
      <c r="I3" s="13" t="s">
        <v>2</v>
      </c>
      <c r="J3" s="117">
        <f>Model!$K$211</f>
        <v>0.14097399145989342</v>
      </c>
    </row>
    <row r="4" spans="1:10">
      <c r="I4" s="8"/>
      <c r="J4" s="117"/>
    </row>
    <row r="5" spans="1:10">
      <c r="B5" s="162" t="s">
        <v>3</v>
      </c>
      <c r="C5" s="163" t="s">
        <v>4</v>
      </c>
      <c r="D5" s="163" t="s">
        <v>5</v>
      </c>
      <c r="E5" s="163" t="s">
        <v>6</v>
      </c>
      <c r="F5" s="163" t="s">
        <v>5</v>
      </c>
      <c r="I5" s="8"/>
      <c r="J5" s="117"/>
    </row>
    <row r="6" spans="1:10">
      <c r="B6" s="23" t="s">
        <v>7</v>
      </c>
      <c r="C6" s="120"/>
      <c r="D6" s="26"/>
      <c r="E6" s="104"/>
      <c r="I6" s="8"/>
      <c r="J6" s="117"/>
    </row>
    <row r="7" spans="1:10">
      <c r="B7" s="220" t="s">
        <v>8</v>
      </c>
      <c r="C7" s="225"/>
      <c r="D7" s="26"/>
      <c r="E7" s="104">
        <f>C7*$J$2</f>
        <v>0</v>
      </c>
      <c r="I7" s="8"/>
      <c r="J7" s="117"/>
    </row>
    <row r="8" spans="1:10">
      <c r="B8" s="220" t="s">
        <v>9</v>
      </c>
      <c r="C8" s="225"/>
      <c r="D8" s="26"/>
      <c r="E8" s="104">
        <f>C8*$J$2</f>
        <v>0</v>
      </c>
      <c r="I8" s="8"/>
      <c r="J8" s="117"/>
    </row>
    <row r="9" spans="1:10">
      <c r="B9" s="224" t="s">
        <v>10</v>
      </c>
      <c r="C9" s="103">
        <v>5380.92</v>
      </c>
      <c r="D9" s="26"/>
      <c r="E9" s="105">
        <f>C9*$J$2</f>
        <v>779.95651543701979</v>
      </c>
      <c r="I9" s="8"/>
      <c r="J9" s="117"/>
    </row>
    <row r="10" spans="1:10">
      <c r="B10" s="220"/>
      <c r="C10" s="24"/>
      <c r="D10" s="26"/>
      <c r="E10" s="104"/>
      <c r="I10" s="8"/>
      <c r="J10" s="117"/>
    </row>
    <row r="11" spans="1:10">
      <c r="B11" s="220" t="s">
        <v>11</v>
      </c>
      <c r="C11" s="225"/>
      <c r="D11" s="26"/>
      <c r="E11" s="104">
        <f>C11*$J$2</f>
        <v>0</v>
      </c>
      <c r="I11" s="8"/>
      <c r="J11" s="117"/>
    </row>
    <row r="12" spans="1:10">
      <c r="B12" s="220" t="s">
        <v>12</v>
      </c>
      <c r="C12" s="225"/>
      <c r="D12" s="26"/>
      <c r="E12" s="104">
        <f>C12*$J$2</f>
        <v>0</v>
      </c>
      <c r="I12" s="8"/>
      <c r="J12" s="117"/>
    </row>
    <row r="13" spans="1:10">
      <c r="B13" s="224" t="s">
        <v>13</v>
      </c>
      <c r="C13" s="103">
        <v>11334.607</v>
      </c>
      <c r="D13" s="26"/>
      <c r="E13" s="105">
        <f>C13*$J$2</f>
        <v>1642.9347731555297</v>
      </c>
      <c r="I13" s="8"/>
      <c r="J13" s="117"/>
    </row>
    <row r="14" spans="1:10">
      <c r="B14" s="25"/>
      <c r="C14" s="120"/>
      <c r="D14" s="26"/>
      <c r="E14" s="104"/>
      <c r="I14" s="8"/>
      <c r="J14" s="117"/>
    </row>
    <row r="15" spans="1:10">
      <c r="B15" s="23" t="s">
        <v>14</v>
      </c>
      <c r="C15" s="120"/>
      <c r="D15" s="26"/>
      <c r="E15" s="104"/>
      <c r="I15" s="8"/>
      <c r="J15" s="117"/>
    </row>
    <row r="16" spans="1:10">
      <c r="B16" s="220" t="s">
        <v>8</v>
      </c>
      <c r="C16" s="225"/>
      <c r="D16" s="26"/>
      <c r="E16" s="104">
        <f>C16*$J$2</f>
        <v>0</v>
      </c>
      <c r="I16" s="8"/>
      <c r="J16" s="117"/>
    </row>
    <row r="17" spans="2:10">
      <c r="B17" s="220" t="s">
        <v>9</v>
      </c>
      <c r="C17" s="225"/>
      <c r="D17" s="26"/>
      <c r="E17" s="104">
        <f>C17*$J$2</f>
        <v>0</v>
      </c>
      <c r="I17" s="8"/>
      <c r="J17" s="117"/>
    </row>
    <row r="18" spans="2:10">
      <c r="B18" s="224" t="s">
        <v>10</v>
      </c>
      <c r="C18" s="103">
        <v>42686.824999999997</v>
      </c>
      <c r="D18" s="26"/>
      <c r="E18" s="105">
        <f>C18*$J$2</f>
        <v>6187.3931004493397</v>
      </c>
      <c r="I18" s="8"/>
      <c r="J18" s="117"/>
    </row>
    <row r="19" spans="2:10">
      <c r="B19" s="25"/>
      <c r="C19" s="120"/>
      <c r="D19" s="26"/>
      <c r="E19" s="104"/>
      <c r="I19" s="8"/>
      <c r="J19" s="117"/>
    </row>
    <row r="20" spans="2:10">
      <c r="B20" s="220" t="s">
        <v>15</v>
      </c>
      <c r="C20" s="225"/>
      <c r="D20" s="26"/>
      <c r="E20" s="104">
        <f>C20*$J$2</f>
        <v>0</v>
      </c>
      <c r="I20" s="8"/>
      <c r="J20" s="117"/>
    </row>
    <row r="21" spans="2:10">
      <c r="B21" s="220" t="s">
        <v>16</v>
      </c>
      <c r="C21" s="225"/>
      <c r="D21" s="26"/>
      <c r="E21" s="104">
        <f>C21*$J$2</f>
        <v>0</v>
      </c>
      <c r="I21" s="8"/>
      <c r="J21" s="117"/>
    </row>
    <row r="22" spans="2:10">
      <c r="B22" s="224" t="s">
        <v>13</v>
      </c>
      <c r="C22" s="103">
        <v>46703.421000000002</v>
      </c>
      <c r="D22" s="26"/>
      <c r="E22" s="105">
        <f>C22*$J$2</f>
        <v>6769.5928395419623</v>
      </c>
      <c r="I22" s="8"/>
      <c r="J22" s="117"/>
    </row>
    <row r="23" spans="2:10">
      <c r="C23" s="120"/>
      <c r="D23" s="26"/>
      <c r="E23" s="104"/>
      <c r="I23" s="8"/>
      <c r="J23" s="117"/>
    </row>
    <row r="24" spans="2:10">
      <c r="B24" s="23" t="s">
        <v>17</v>
      </c>
      <c r="C24" s="120"/>
      <c r="D24" s="26"/>
      <c r="E24" s="104"/>
      <c r="I24" s="8"/>
      <c r="J24" s="117"/>
    </row>
    <row r="25" spans="2:10">
      <c r="B25" s="220" t="s">
        <v>18</v>
      </c>
      <c r="C25" s="24">
        <v>2829.87</v>
      </c>
      <c r="D25" s="26"/>
      <c r="E25" s="104">
        <f>C25*$J$2</f>
        <v>410.18553413538189</v>
      </c>
      <c r="I25" s="8"/>
      <c r="J25" s="117"/>
    </row>
    <row r="26" spans="2:10">
      <c r="B26" s="220" t="s">
        <v>19</v>
      </c>
      <c r="C26" s="24">
        <v>3868.2420000000002</v>
      </c>
      <c r="D26" s="26"/>
      <c r="E26" s="104">
        <f>C26*$J$2</f>
        <v>560.69604290476877</v>
      </c>
      <c r="I26" s="8"/>
      <c r="J26" s="117"/>
    </row>
    <row r="27" spans="2:10">
      <c r="B27" s="25"/>
      <c r="C27" s="120"/>
      <c r="D27" s="26"/>
      <c r="E27" s="104"/>
      <c r="I27" s="8"/>
      <c r="J27" s="117"/>
    </row>
    <row r="28" spans="2:10">
      <c r="B28" s="19" t="s">
        <v>20</v>
      </c>
      <c r="C28" s="18">
        <f>SUM(C7:C26)</f>
        <v>112803.88499999999</v>
      </c>
      <c r="D28" s="17">
        <f>C28/C36</f>
        <v>-3.8718557701020648</v>
      </c>
      <c r="E28" s="18">
        <f>SUM(E7:E26)</f>
        <v>16350.758805624</v>
      </c>
      <c r="F28" s="17">
        <f>E28/E36</f>
        <v>-3.9810169791243402</v>
      </c>
      <c r="I28" s="8"/>
      <c r="J28" s="117"/>
    </row>
    <row r="29" spans="2:10">
      <c r="B29" s="13" t="s">
        <v>21</v>
      </c>
      <c r="C29" s="21">
        <f>Model!AO$122</f>
        <v>117029.36900000001</v>
      </c>
      <c r="D29" s="20"/>
      <c r="E29" s="104">
        <f>C29*J2</f>
        <v>16963.236556022614</v>
      </c>
      <c r="I29" s="8"/>
      <c r="J29" s="117"/>
    </row>
    <row r="30" spans="2:10">
      <c r="B30" s="13" t="s">
        <v>22</v>
      </c>
      <c r="C30" s="21">
        <f>Model!AO$123</f>
        <v>63340.786</v>
      </c>
      <c r="D30" s="20"/>
      <c r="E30" s="104">
        <f>C30*J2</f>
        <v>9181.1546600956663</v>
      </c>
      <c r="I30" s="8"/>
      <c r="J30" s="117"/>
    </row>
    <row r="31" spans="2:10">
      <c r="B31" s="19" t="s">
        <v>23</v>
      </c>
      <c r="C31" s="18">
        <f>C28-C29-C30</f>
        <v>-67566.270000000019</v>
      </c>
      <c r="D31" s="222" t="str">
        <f>IF(C31&lt;0,"net cash",C31/C36)</f>
        <v>net cash</v>
      </c>
      <c r="E31" s="18">
        <f>E28-E29-E30</f>
        <v>-9793.6324104942796</v>
      </c>
      <c r="F31" s="222" t="str">
        <f>IF(E31&lt;0,"net cash",E31/E36)</f>
        <v>net cash</v>
      </c>
    </row>
    <row r="32" spans="2:10">
      <c r="B32" s="8" t="s">
        <v>24</v>
      </c>
      <c r="C32" s="128">
        <f>Model!AO$126</f>
        <v>19868.723000000002</v>
      </c>
      <c r="D32" s="15"/>
      <c r="E32" s="104">
        <f>C32*J2</f>
        <v>2879.9424554283232</v>
      </c>
      <c r="F32" s="15"/>
    </row>
    <row r="33" spans="2:6">
      <c r="B33" s="19" t="s">
        <v>25</v>
      </c>
      <c r="C33" s="18">
        <f>C31-C32</f>
        <v>-87434.993000000017</v>
      </c>
      <c r="D33" s="222" t="str">
        <f>IF(C33&lt;0,"net cash",C33/C36)</f>
        <v>net cash</v>
      </c>
      <c r="E33" s="18">
        <f>E31-E32</f>
        <v>-12673.574865922603</v>
      </c>
      <c r="F33" s="222" t="str">
        <f>IF(E33&lt;0,"net cash",E33/E36)</f>
        <v>net cash</v>
      </c>
    </row>
    <row r="34" spans="2:6" s="135" customFormat="1">
      <c r="B34" s="13" t="s">
        <v>26</v>
      </c>
      <c r="C34" s="128">
        <f>Model!AO$128</f>
        <v>149881.761</v>
      </c>
      <c r="D34" s="20"/>
      <c r="E34" s="104">
        <f>C34*J2</f>
        <v>21725.142919263661</v>
      </c>
    </row>
    <row r="35" spans="2:6">
      <c r="B35" s="8" t="s">
        <v>27</v>
      </c>
      <c r="C35" s="16">
        <f>C31+C34</f>
        <v>82315.49099999998</v>
      </c>
      <c r="D35" s="15"/>
      <c r="E35" s="16">
        <f>E31+E34</f>
        <v>11931.510508769381</v>
      </c>
    </row>
    <row r="36" spans="2:6" s="221" customFormat="1">
      <c r="B36" s="8" t="s">
        <v>28</v>
      </c>
      <c r="C36" s="57">
        <f>Model!AO$89</f>
        <v>-29134.32</v>
      </c>
      <c r="D36" s="8"/>
      <c r="E36" s="105">
        <f>C36*J3</f>
        <v>-4107.1813788698018</v>
      </c>
    </row>
    <row r="37" spans="2:6">
      <c r="B37" s="12" t="s">
        <v>29</v>
      </c>
      <c r="C37" s="11">
        <f>+C28-Model!AO$121</f>
        <v>0</v>
      </c>
      <c r="D37" s="10"/>
    </row>
    <row r="38" spans="2:6">
      <c r="B38" s="12"/>
      <c r="C38" s="11"/>
      <c r="D38" s="10"/>
    </row>
    <row r="39" spans="2:6" ht="15.75" thickBot="1">
      <c r="B39" s="12"/>
      <c r="C39" s="11"/>
      <c r="D39" s="10"/>
    </row>
    <row r="40" spans="2:6">
      <c r="B40" s="164" t="s">
        <v>30</v>
      </c>
      <c r="C40" s="165" t="s">
        <v>4</v>
      </c>
      <c r="D40" s="165" t="s">
        <v>6</v>
      </c>
    </row>
    <row r="41" spans="2:6">
      <c r="B41" s="101" t="s">
        <v>21</v>
      </c>
      <c r="C41" s="4">
        <v>117029.36900000001</v>
      </c>
      <c r="D41" s="106">
        <f>C41*J2</f>
        <v>16963.236556022614</v>
      </c>
    </row>
    <row r="42" spans="2:6">
      <c r="B42" s="101" t="s">
        <v>31</v>
      </c>
      <c r="C42" s="4">
        <v>63340.786</v>
      </c>
      <c r="D42" s="106">
        <f>C42*J2</f>
        <v>9181.1546600956663</v>
      </c>
    </row>
    <row r="43" spans="2:6">
      <c r="B43" s="101" t="s">
        <v>24</v>
      </c>
      <c r="C43" s="166">
        <v>19868.723000000002</v>
      </c>
      <c r="D43" s="106">
        <f>C43*J2</f>
        <v>2879.9424554283232</v>
      </c>
    </row>
    <row r="44" spans="2:6" ht="15.75" thickBot="1">
      <c r="B44" s="3" t="s">
        <v>32</v>
      </c>
      <c r="C44" s="2">
        <f>SUM(C41:C43)</f>
        <v>200238.878</v>
      </c>
      <c r="D44" s="2">
        <f>SUM(D41:D43)</f>
        <v>29024.333671546607</v>
      </c>
    </row>
    <row r="45" spans="2:6">
      <c r="B45" s="8"/>
      <c r="C45" s="7"/>
      <c r="D45" s="7"/>
    </row>
    <row r="46" spans="2:6" ht="15.75" thickBot="1">
      <c r="B46" s="12"/>
      <c r="C46" s="11"/>
      <c r="D46" s="10"/>
    </row>
    <row r="47" spans="2:6">
      <c r="B47" s="164" t="s">
        <v>33</v>
      </c>
      <c r="C47" s="165" t="s">
        <v>4</v>
      </c>
      <c r="D47" s="165" t="s">
        <v>6</v>
      </c>
    </row>
    <row r="48" spans="2:6">
      <c r="B48" s="127">
        <v>2027</v>
      </c>
      <c r="C48" s="126">
        <v>137.38</v>
      </c>
      <c r="D48" s="106">
        <f>C48*J2</f>
        <v>19.913030874039713</v>
      </c>
      <c r="E48" s="135"/>
    </row>
    <row r="49" spans="1:10">
      <c r="B49" s="5">
        <v>2028</v>
      </c>
      <c r="C49" s="126">
        <v>8248.8700000000008</v>
      </c>
      <c r="D49" s="106">
        <f>C49*J2</f>
        <v>1195.6616901000145</v>
      </c>
    </row>
    <row r="50" spans="1:10">
      <c r="B50" s="5">
        <v>2029</v>
      </c>
      <c r="C50" s="126">
        <v>8797.4599999999991</v>
      </c>
      <c r="D50" s="106">
        <f>C50*J2</f>
        <v>1275.1790114509347</v>
      </c>
    </row>
    <row r="51" spans="1:10">
      <c r="B51" s="5">
        <v>2030</v>
      </c>
      <c r="C51" s="126">
        <v>10539.09</v>
      </c>
      <c r="D51" s="106">
        <f>C51*J2</f>
        <v>1527.6257428612842</v>
      </c>
    </row>
    <row r="52" spans="1:10">
      <c r="B52" s="5">
        <v>2031</v>
      </c>
      <c r="C52" s="126">
        <v>4060.36</v>
      </c>
      <c r="D52" s="106">
        <f>C52*J2</f>
        <v>588.5432671401652</v>
      </c>
    </row>
    <row r="53" spans="1:10">
      <c r="B53" s="5">
        <v>2032</v>
      </c>
      <c r="C53" s="126">
        <v>4060.36</v>
      </c>
      <c r="D53" s="106">
        <f>C53*J2</f>
        <v>588.5432671401652</v>
      </c>
    </row>
    <row r="54" spans="1:10">
      <c r="B54" s="5" t="s">
        <v>34</v>
      </c>
      <c r="C54" s="126">
        <v>10413.82</v>
      </c>
      <c r="D54" s="106">
        <f>C54*J2</f>
        <v>1509.4680388462095</v>
      </c>
    </row>
    <row r="55" spans="1:10" ht="15.75" thickBot="1">
      <c r="B55" s="3" t="s">
        <v>35</v>
      </c>
      <c r="C55" s="124">
        <f>SUM(C48:C54)</f>
        <v>46257.34</v>
      </c>
      <c r="D55" s="124">
        <f>SUM(D48:D54)</f>
        <v>6704.9340484128124</v>
      </c>
    </row>
    <row r="56" spans="1:10">
      <c r="B56" s="8"/>
      <c r="C56" s="125"/>
      <c r="D56" s="125"/>
    </row>
    <row r="57" spans="1:10">
      <c r="B57" s="8"/>
      <c r="C57" s="125"/>
      <c r="D57" s="125"/>
    </row>
    <row r="58" spans="1:10">
      <c r="B58" s="8"/>
      <c r="C58" s="125"/>
      <c r="D58" s="125"/>
    </row>
    <row r="60" spans="1:10">
      <c r="A60" s="28" t="s">
        <v>36</v>
      </c>
      <c r="I60" s="13" t="s">
        <v>37</v>
      </c>
      <c r="J60" s="117">
        <f>Model!$K$210</f>
        <v>0.14494854326714016</v>
      </c>
    </row>
    <row r="61" spans="1:10">
      <c r="I61" s="13" t="s">
        <v>2</v>
      </c>
      <c r="J61" s="117">
        <f>Model!$K$209</f>
        <v>0.14097399145989342</v>
      </c>
    </row>
    <row r="62" spans="1:10">
      <c r="I62" s="8"/>
      <c r="J62" s="117"/>
    </row>
    <row r="63" spans="1:10">
      <c r="B63" s="162" t="s">
        <v>38</v>
      </c>
      <c r="C63" s="163" t="s">
        <v>4</v>
      </c>
      <c r="D63" s="163" t="s">
        <v>5</v>
      </c>
      <c r="E63" s="163" t="s">
        <v>6</v>
      </c>
      <c r="F63" s="163" t="s">
        <v>5</v>
      </c>
      <c r="I63" s="8"/>
      <c r="J63" s="117"/>
    </row>
    <row r="64" spans="1:10">
      <c r="B64" s="23" t="s">
        <v>7</v>
      </c>
      <c r="C64" s="120"/>
      <c r="D64" s="26"/>
      <c r="E64" s="104"/>
      <c r="I64" s="8"/>
      <c r="J64" s="117"/>
    </row>
    <row r="65" spans="2:10">
      <c r="B65" s="220" t="s">
        <v>8</v>
      </c>
      <c r="C65" s="24">
        <v>3461.835</v>
      </c>
      <c r="D65" s="26"/>
      <c r="E65" s="104">
        <f>C65*$J$60</f>
        <v>501.78794028120012</v>
      </c>
      <c r="I65" s="8"/>
      <c r="J65" s="117"/>
    </row>
    <row r="66" spans="2:10">
      <c r="B66" s="220" t="s">
        <v>9</v>
      </c>
      <c r="C66" s="24">
        <v>6.0259999999999998</v>
      </c>
      <c r="D66" s="26"/>
      <c r="E66" s="104">
        <f>C66*$J$60</f>
        <v>0.87345992172778653</v>
      </c>
      <c r="I66" s="8"/>
      <c r="J66" s="117"/>
    </row>
    <row r="67" spans="2:10">
      <c r="B67" s="220"/>
      <c r="C67" s="24"/>
      <c r="D67" s="26"/>
      <c r="E67" s="104"/>
      <c r="I67" s="8"/>
      <c r="J67" s="117"/>
    </row>
    <row r="68" spans="2:10">
      <c r="B68" s="220" t="s">
        <v>11</v>
      </c>
      <c r="C68" s="24">
        <v>10534.893</v>
      </c>
      <c r="D68" s="26"/>
      <c r="E68" s="104">
        <f t="shared" ref="E68:E69" si="0">C68*$J$60</f>
        <v>1527.0173938251919</v>
      </c>
      <c r="I68" s="8"/>
      <c r="J68" s="117"/>
    </row>
    <row r="69" spans="2:10">
      <c r="B69" s="220" t="s">
        <v>12</v>
      </c>
      <c r="C69" s="24">
        <v>376.32400000000001</v>
      </c>
      <c r="D69" s="26"/>
      <c r="E69" s="104">
        <f t="shared" si="0"/>
        <v>54.547615596463253</v>
      </c>
      <c r="I69" s="8"/>
      <c r="J69" s="117"/>
    </row>
    <row r="70" spans="2:10">
      <c r="B70" s="25"/>
      <c r="C70" s="120"/>
      <c r="D70" s="26"/>
      <c r="E70" s="104"/>
      <c r="I70" s="8"/>
      <c r="J70" s="117"/>
    </row>
    <row r="71" spans="2:10">
      <c r="B71" s="23" t="s">
        <v>14</v>
      </c>
      <c r="C71" s="120"/>
      <c r="D71" s="26"/>
      <c r="E71" s="104"/>
      <c r="I71" s="8"/>
      <c r="J71" s="117"/>
    </row>
    <row r="72" spans="2:10">
      <c r="B72" s="220" t="s">
        <v>8</v>
      </c>
      <c r="C72" s="24">
        <v>16607.88</v>
      </c>
      <c r="D72" s="26"/>
      <c r="E72" s="104">
        <f t="shared" ref="E72:E73" si="1">C72*$J$60</f>
        <v>2407.2880127554718</v>
      </c>
      <c r="I72" s="8"/>
      <c r="J72" s="117"/>
    </row>
    <row r="73" spans="2:10">
      <c r="B73" s="220" t="s">
        <v>9</v>
      </c>
      <c r="C73" s="24">
        <v>2181.3870000000002</v>
      </c>
      <c r="D73" s="26"/>
      <c r="E73" s="104">
        <f t="shared" si="1"/>
        <v>316.18886795187711</v>
      </c>
      <c r="I73" s="8"/>
      <c r="J73" s="117"/>
    </row>
    <row r="74" spans="2:10">
      <c r="B74" s="25"/>
      <c r="C74" s="120"/>
      <c r="D74" s="26"/>
      <c r="E74" s="104"/>
      <c r="I74" s="8"/>
      <c r="J74" s="117"/>
    </row>
    <row r="75" spans="2:10">
      <c r="B75" s="220" t="s">
        <v>15</v>
      </c>
      <c r="C75" s="24">
        <v>138.22</v>
      </c>
      <c r="D75" s="26"/>
      <c r="E75" s="104">
        <f t="shared" ref="E75:E76" si="2">C75*$J$60</f>
        <v>20.034787650384111</v>
      </c>
      <c r="I75" s="8"/>
      <c r="J75" s="117"/>
    </row>
    <row r="76" spans="2:10">
      <c r="B76" s="220" t="s">
        <v>16</v>
      </c>
      <c r="C76" s="24">
        <v>46976.534</v>
      </c>
      <c r="D76" s="26"/>
      <c r="E76" s="104">
        <f t="shared" si="2"/>
        <v>6809.1801710392801</v>
      </c>
      <c r="I76" s="8"/>
      <c r="J76" s="117"/>
    </row>
    <row r="77" spans="2:10">
      <c r="C77" s="120"/>
      <c r="D77" s="26"/>
      <c r="E77" s="104"/>
      <c r="I77" s="8"/>
      <c r="J77" s="117"/>
    </row>
    <row r="78" spans="2:10">
      <c r="B78" s="23" t="s">
        <v>17</v>
      </c>
      <c r="C78" s="120"/>
      <c r="D78" s="26"/>
      <c r="E78" s="104"/>
      <c r="I78" s="8"/>
      <c r="J78" s="117"/>
    </row>
    <row r="79" spans="2:10">
      <c r="B79" s="220" t="s">
        <v>18</v>
      </c>
      <c r="C79" s="24">
        <v>2737.7890000000002</v>
      </c>
      <c r="D79" s="26"/>
      <c r="E79" s="104">
        <f t="shared" ref="E79:E80" si="3">C79*$J$60</f>
        <v>396.83852732280042</v>
      </c>
      <c r="I79" s="8"/>
      <c r="J79" s="117"/>
    </row>
    <row r="80" spans="2:10">
      <c r="B80" s="220" t="s">
        <v>19</v>
      </c>
      <c r="C80" s="24">
        <v>3598.2179999999998</v>
      </c>
      <c r="D80" s="26"/>
      <c r="E80" s="104">
        <f t="shared" si="3"/>
        <v>521.55645745760251</v>
      </c>
      <c r="I80" s="8"/>
      <c r="J80" s="117"/>
    </row>
    <row r="81" spans="1:10">
      <c r="B81" s="25"/>
      <c r="C81" s="120"/>
      <c r="D81" s="26"/>
      <c r="E81" s="104"/>
      <c r="I81" s="8"/>
      <c r="J81" s="117"/>
    </row>
    <row r="82" spans="1:10">
      <c r="B82" s="19" t="s">
        <v>20</v>
      </c>
      <c r="C82" s="18">
        <f>SUM(C65:C80)</f>
        <v>86619.106</v>
      </c>
      <c r="D82" s="17">
        <f>C82/C90</f>
        <v>-6.2843951025904357</v>
      </c>
      <c r="E82" s="18">
        <f>SUM(E65:E80)</f>
        <v>12555.313233801997</v>
      </c>
      <c r="F82" s="17">
        <f>E82/E90</f>
        <v>-6.4615742663056031</v>
      </c>
      <c r="I82" s="8"/>
      <c r="J82" s="117"/>
    </row>
    <row r="83" spans="1:10">
      <c r="B83" s="13" t="s">
        <v>21</v>
      </c>
      <c r="C83" s="21">
        <f>Model!AN$122</f>
        <v>106771.36599999999</v>
      </c>
      <c r="D83" s="20"/>
      <c r="E83" s="104">
        <f>C83*J60</f>
        <v>15476.353964342657</v>
      </c>
      <c r="I83" s="8"/>
      <c r="J83" s="117"/>
    </row>
    <row r="84" spans="1:10">
      <c r="B84" s="13" t="s">
        <v>22</v>
      </c>
      <c r="C84" s="21">
        <f>Model!AN$123</f>
        <v>60062.338000000003</v>
      </c>
      <c r="D84" s="20"/>
      <c r="E84" s="104">
        <f>C84*J60</f>
        <v>8705.9483983185964</v>
      </c>
      <c r="I84" s="8"/>
      <c r="J84" s="117"/>
    </row>
    <row r="85" spans="1:10">
      <c r="B85" s="19" t="s">
        <v>23</v>
      </c>
      <c r="C85" s="18">
        <f>C82-C83-C84</f>
        <v>-80214.597999999998</v>
      </c>
      <c r="D85" s="222" t="str">
        <f>IF(C85&lt;0,"net cash",C85/C90)</f>
        <v>net cash</v>
      </c>
      <c r="E85" s="18">
        <f>E82-E83-E84</f>
        <v>-11626.989128859257</v>
      </c>
      <c r="F85" s="222" t="str">
        <f>IF(E85&lt;0,"net cash",E85/E90)</f>
        <v>net cash</v>
      </c>
    </row>
    <row r="86" spans="1:10">
      <c r="B86" s="8" t="s">
        <v>24</v>
      </c>
      <c r="C86" s="128">
        <f>Model!AN$126</f>
        <v>21631.575000000001</v>
      </c>
      <c r="D86" s="15"/>
      <c r="E86" s="104">
        <f>C86*J60</f>
        <v>3135.4652848238875</v>
      </c>
      <c r="F86" s="15"/>
    </row>
    <row r="87" spans="1:10">
      <c r="B87" s="19" t="s">
        <v>25</v>
      </c>
      <c r="C87" s="18">
        <f>C85-C86</f>
        <v>-101846.173</v>
      </c>
      <c r="D87" s="222" t="str">
        <f>IF(C87&lt;0,"net cash",C87/C90)</f>
        <v>net cash</v>
      </c>
      <c r="E87" s="18">
        <f>E85-E86</f>
        <v>-14762.454413683145</v>
      </c>
      <c r="F87" s="222" t="str">
        <f>IF(E87&lt;0,"net cash",E87/E90)</f>
        <v>net cash</v>
      </c>
    </row>
    <row r="88" spans="1:10">
      <c r="A88" s="135"/>
      <c r="B88" s="13" t="s">
        <v>26</v>
      </c>
      <c r="C88" s="128">
        <f>Model!AN$128</f>
        <v>150987.85200000001</v>
      </c>
      <c r="D88" s="20"/>
      <c r="E88" s="104">
        <f>C88*J60</f>
        <v>21885.469198434555</v>
      </c>
      <c r="F88" s="135"/>
      <c r="G88" s="135"/>
      <c r="H88" s="135"/>
      <c r="I88" s="135"/>
      <c r="J88" s="135"/>
    </row>
    <row r="89" spans="1:10">
      <c r="B89" s="8" t="s">
        <v>27</v>
      </c>
      <c r="C89" s="16">
        <f>C85+C88</f>
        <v>70773.254000000015</v>
      </c>
      <c r="D89" s="15"/>
      <c r="E89" s="16">
        <f>E85+E88</f>
        <v>10258.480069575298</v>
      </c>
    </row>
    <row r="90" spans="1:10">
      <c r="A90" s="221"/>
      <c r="B90" s="8" t="s">
        <v>28</v>
      </c>
      <c r="C90" s="57">
        <f>Model!AN$89</f>
        <v>-13783.205</v>
      </c>
      <c r="D90" s="8"/>
      <c r="E90" s="105">
        <f>C90*J61</f>
        <v>-1943.0734239599603</v>
      </c>
      <c r="F90" s="221"/>
      <c r="G90" s="221"/>
      <c r="H90" s="221"/>
      <c r="I90" s="221"/>
      <c r="J90" s="221"/>
    </row>
    <row r="91" spans="1:10">
      <c r="B91" s="12" t="s">
        <v>29</v>
      </c>
      <c r="C91" s="11">
        <f>+C82-Model!AN$121</f>
        <v>0</v>
      </c>
      <c r="D91" s="10"/>
    </row>
    <row r="92" spans="1:10">
      <c r="B92" s="12"/>
      <c r="C92" s="11"/>
      <c r="D92" s="10"/>
    </row>
    <row r="93" spans="1:10" ht="15.75" thickBot="1">
      <c r="B93" s="12"/>
      <c r="C93" s="11"/>
      <c r="D93" s="10"/>
    </row>
    <row r="94" spans="1:10">
      <c r="B94" s="164" t="s">
        <v>39</v>
      </c>
      <c r="C94" s="165" t="s">
        <v>4</v>
      </c>
      <c r="D94" s="165" t="s">
        <v>6</v>
      </c>
    </row>
    <row r="95" spans="1:10">
      <c r="B95" s="101" t="s">
        <v>21</v>
      </c>
      <c r="C95" s="4">
        <v>106771.36599999999</v>
      </c>
      <c r="D95" s="106">
        <f>C95*J60</f>
        <v>15476.353964342657</v>
      </c>
    </row>
    <row r="96" spans="1:10">
      <c r="B96" s="101" t="s">
        <v>31</v>
      </c>
      <c r="C96" s="4">
        <v>60062.338000000003</v>
      </c>
      <c r="D96" s="106">
        <f>C96*J60</f>
        <v>8705.9483983185964</v>
      </c>
    </row>
    <row r="97" spans="2:5">
      <c r="B97" s="101" t="s">
        <v>24</v>
      </c>
      <c r="C97" s="166">
        <v>21631.575000000001</v>
      </c>
      <c r="D97" s="106">
        <f>C97*J60</f>
        <v>3135.4652848238875</v>
      </c>
    </row>
    <row r="98" spans="2:5" ht="15.75" thickBot="1">
      <c r="B98" s="3" t="s">
        <v>32</v>
      </c>
      <c r="C98" s="2">
        <f>SUM(C95:C97)</f>
        <v>188465.27900000001</v>
      </c>
      <c r="D98" s="2">
        <f>SUM(D95:D97)</f>
        <v>27317.767647485143</v>
      </c>
    </row>
    <row r="99" spans="2:5">
      <c r="B99" s="8"/>
      <c r="C99" s="7"/>
      <c r="D99" s="7"/>
    </row>
    <row r="100" spans="2:5" ht="15.75" thickBot="1">
      <c r="B100" s="12"/>
      <c r="C100" s="11"/>
      <c r="D100" s="10"/>
    </row>
    <row r="101" spans="2:5">
      <c r="B101" s="164" t="s">
        <v>40</v>
      </c>
      <c r="C101" s="165" t="s">
        <v>4</v>
      </c>
      <c r="D101" s="165" t="s">
        <v>6</v>
      </c>
    </row>
    <row r="102" spans="2:5">
      <c r="B102" s="127" t="s">
        <v>41</v>
      </c>
      <c r="C102" s="126">
        <v>3467.8609999999999</v>
      </c>
      <c r="D102" s="106">
        <f>C102*J60</f>
        <v>502.66140020292789</v>
      </c>
      <c r="E102" s="135"/>
    </row>
    <row r="103" spans="2:5">
      <c r="B103" s="5" t="s">
        <v>42</v>
      </c>
      <c r="C103" s="126">
        <v>218.20099999999999</v>
      </c>
      <c r="D103" s="106">
        <f>C103*J60</f>
        <v>31.627917089433247</v>
      </c>
    </row>
    <row r="104" spans="2:5">
      <c r="B104" s="5" t="s">
        <v>43</v>
      </c>
      <c r="C104" s="126">
        <v>17085.958999999999</v>
      </c>
      <c r="D104" s="106">
        <f>C104*J60</f>
        <v>2476.5848673720825</v>
      </c>
    </row>
    <row r="105" spans="2:5">
      <c r="B105" s="5" t="s">
        <v>44</v>
      </c>
      <c r="C105" s="126">
        <v>1485.107</v>
      </c>
      <c r="D105" s="106">
        <f>C105*J60</f>
        <v>215.26409624583272</v>
      </c>
    </row>
    <row r="106" spans="2:5" ht="15.75" thickBot="1">
      <c r="B106" s="3" t="s">
        <v>35</v>
      </c>
      <c r="C106" s="124">
        <f>SUM(C102:C105)</f>
        <v>22257.128000000001</v>
      </c>
      <c r="D106" s="124">
        <f>SUM(D102:D105)</f>
        <v>3226.1382809102761</v>
      </c>
    </row>
    <row r="107" spans="2:5">
      <c r="B107" s="12" t="s">
        <v>29</v>
      </c>
      <c r="C107" s="11">
        <f>C106-C65-C66-C72-C73</f>
        <v>0</v>
      </c>
      <c r="D107" s="125"/>
    </row>
    <row r="108" spans="2:5" ht="15.75" thickBot="1">
      <c r="B108" s="8"/>
      <c r="C108" s="125"/>
      <c r="D108" s="125"/>
    </row>
    <row r="109" spans="2:5">
      <c r="B109" s="164" t="s">
        <v>45</v>
      </c>
      <c r="C109" s="165" t="s">
        <v>4</v>
      </c>
      <c r="D109" s="165" t="s">
        <v>6</v>
      </c>
    </row>
    <row r="110" spans="2:5">
      <c r="B110" s="127" t="s">
        <v>41</v>
      </c>
      <c r="C110" s="126">
        <v>10911.217000000001</v>
      </c>
      <c r="D110" s="106">
        <f>C110*J68</f>
        <v>0</v>
      </c>
    </row>
    <row r="111" spans="2:5">
      <c r="B111" s="5" t="s">
        <v>42</v>
      </c>
      <c r="C111" s="126">
        <v>138.22</v>
      </c>
      <c r="D111" s="106">
        <f>C111*J68</f>
        <v>0</v>
      </c>
    </row>
    <row r="112" spans="2:5">
      <c r="B112" s="5" t="s">
        <v>43</v>
      </c>
      <c r="C112" s="126">
        <v>28125.755000000001</v>
      </c>
      <c r="D112" s="106">
        <f>C112*J68</f>
        <v>0</v>
      </c>
    </row>
    <row r="113" spans="1:10">
      <c r="B113" s="5" t="s">
        <v>44</v>
      </c>
      <c r="C113" s="126">
        <v>18850.778999999999</v>
      </c>
      <c r="D113" s="106">
        <f>C113*J68</f>
        <v>0</v>
      </c>
    </row>
    <row r="114" spans="1:10" ht="15.75" thickBot="1">
      <c r="B114" s="3" t="s">
        <v>35</v>
      </c>
      <c r="C114" s="124">
        <f>SUM(C110:C113)</f>
        <v>58025.971000000005</v>
      </c>
      <c r="D114" s="124">
        <f>SUM(D110:D113)</f>
        <v>0</v>
      </c>
    </row>
    <row r="115" spans="1:10">
      <c r="B115" s="12" t="s">
        <v>29</v>
      </c>
      <c r="C115" s="11">
        <f>C114-C76-C75-C69-C68</f>
        <v>0</v>
      </c>
      <c r="D115" s="125"/>
    </row>
    <row r="116" spans="1:10">
      <c r="B116" s="8"/>
      <c r="C116" s="125"/>
      <c r="D116" s="125"/>
    </row>
    <row r="117" spans="1:10">
      <c r="B117" s="8"/>
      <c r="C117" s="125"/>
      <c r="D117" s="125"/>
    </row>
    <row r="118" spans="1:10">
      <c r="B118" s="8"/>
      <c r="C118" s="125"/>
      <c r="D118" s="125"/>
    </row>
    <row r="119" spans="1:10">
      <c r="B119" s="8"/>
      <c r="C119" s="125"/>
      <c r="D119" s="125"/>
    </row>
    <row r="121" spans="1:10">
      <c r="A121" s="28" t="s">
        <v>46</v>
      </c>
      <c r="I121" s="8" t="s">
        <v>47</v>
      </c>
      <c r="J121" s="117">
        <f>Model!AM$210</f>
        <v>0.14045732906343053</v>
      </c>
    </row>
    <row r="122" spans="1:10">
      <c r="I122" s="8" t="s">
        <v>48</v>
      </c>
      <c r="J122" s="117">
        <f>Model!AM$211</f>
        <v>0.13874601907841605</v>
      </c>
    </row>
    <row r="123" spans="1:10">
      <c r="I123" s="8"/>
      <c r="J123" s="117"/>
    </row>
    <row r="124" spans="1:10">
      <c r="B124" s="162" t="s">
        <v>49</v>
      </c>
      <c r="C124" s="163" t="s">
        <v>4</v>
      </c>
      <c r="D124" s="163" t="s">
        <v>5</v>
      </c>
      <c r="E124" s="163" t="s">
        <v>6</v>
      </c>
      <c r="F124" s="163" t="s">
        <v>5</v>
      </c>
      <c r="I124" s="8"/>
      <c r="J124" s="117"/>
    </row>
    <row r="125" spans="1:10">
      <c r="B125" s="25" t="s">
        <v>50</v>
      </c>
      <c r="C125" s="120">
        <f>Model!AM$119</f>
        <v>19011.273999999998</v>
      </c>
      <c r="D125" s="26"/>
      <c r="E125" s="104">
        <f>C125*J121</f>
        <v>2670.2727681330407</v>
      </c>
      <c r="I125" s="8"/>
      <c r="J125" s="117"/>
    </row>
    <row r="126" spans="1:10">
      <c r="B126" s="25" t="s">
        <v>51</v>
      </c>
      <c r="C126" s="120">
        <f>Model!AM$120</f>
        <v>32254.675000000003</v>
      </c>
      <c r="D126" s="26"/>
      <c r="E126" s="104">
        <f>C126*J121</f>
        <v>4530.4055003090061</v>
      </c>
      <c r="I126" s="8"/>
      <c r="J126" s="117"/>
    </row>
    <row r="127" spans="1:10">
      <c r="B127" s="19" t="s">
        <v>20</v>
      </c>
      <c r="C127" s="18">
        <f>C125+C126</f>
        <v>51265.949000000001</v>
      </c>
      <c r="D127" s="17">
        <f>C127/C135</f>
        <v>4.3577404499121171</v>
      </c>
      <c r="E127" s="18">
        <f>E125+E126</f>
        <v>7200.6782684420468</v>
      </c>
      <c r="F127" s="17">
        <f>E127/E135</f>
        <v>4.4114893415456944</v>
      </c>
      <c r="I127" s="8"/>
      <c r="J127" s="117"/>
    </row>
    <row r="128" spans="1:10">
      <c r="B128" s="13" t="s">
        <v>21</v>
      </c>
      <c r="C128" s="21">
        <f>Model!AM$122</f>
        <v>99234.19</v>
      </c>
      <c r="D128" s="20"/>
      <c r="E128" s="104">
        <f>C128*J121</f>
        <v>13938.169279172987</v>
      </c>
      <c r="I128" s="8"/>
      <c r="J128" s="117"/>
    </row>
    <row r="129" spans="2:10">
      <c r="B129" s="13" t="s">
        <v>22</v>
      </c>
      <c r="C129" s="21">
        <f>Model!AM$123</f>
        <v>42053.569000000003</v>
      </c>
      <c r="D129" s="20"/>
      <c r="E129" s="104">
        <f>C129*J121</f>
        <v>5906.7319793246816</v>
      </c>
      <c r="I129" s="8"/>
      <c r="J129" s="117"/>
    </row>
    <row r="130" spans="2:10">
      <c r="B130" s="19" t="s">
        <v>52</v>
      </c>
      <c r="C130" s="18">
        <f>C127-C128-C129</f>
        <v>-90021.81</v>
      </c>
      <c r="D130" s="17">
        <f>C130/C135</f>
        <v>-7.6520905291600689</v>
      </c>
      <c r="E130" s="18">
        <f>E127-E128-E129</f>
        <v>-12644.222990055623</v>
      </c>
      <c r="F130" s="17">
        <f>E130/E135</f>
        <v>-7.7464723284777524</v>
      </c>
    </row>
    <row r="131" spans="2:10">
      <c r="B131" s="8" t="s">
        <v>24</v>
      </c>
      <c r="C131" s="128">
        <f>Model!AM$126</f>
        <v>21490.98</v>
      </c>
      <c r="D131" s="15"/>
      <c r="E131" s="104">
        <f>C131*J121</f>
        <v>3018.5656497556042</v>
      </c>
      <c r="F131" s="15"/>
    </row>
    <row r="132" spans="2:10">
      <c r="B132" s="19" t="s">
        <v>25</v>
      </c>
      <c r="C132" s="18">
        <f>C130-C131</f>
        <v>-111512.79</v>
      </c>
      <c r="D132" s="17">
        <f>C132/C135</f>
        <v>-9.4788803317686643</v>
      </c>
      <c r="E132" s="18">
        <f>E130-E131</f>
        <v>-15662.788639811228</v>
      </c>
      <c r="F132" s="17">
        <f>E132/E135</f>
        <v>-9.5957939748862042</v>
      </c>
    </row>
    <row r="133" spans="2:10">
      <c r="B133" s="8" t="s">
        <v>26</v>
      </c>
      <c r="C133" s="16">
        <f>Model!AM$128</f>
        <v>167377.902</v>
      </c>
      <c r="D133" s="15"/>
      <c r="E133" s="104">
        <f>C133*J121</f>
        <v>23509.453059160627</v>
      </c>
    </row>
    <row r="134" spans="2:10">
      <c r="B134" s="8" t="s">
        <v>27</v>
      </c>
      <c r="C134" s="16">
        <f>C130+C133</f>
        <v>77356.092000000004</v>
      </c>
      <c r="D134" s="15"/>
      <c r="E134" s="16">
        <f>E130+E133</f>
        <v>10865.230069105004</v>
      </c>
    </row>
    <row r="135" spans="2:10">
      <c r="B135" s="13" t="s">
        <v>28</v>
      </c>
      <c r="C135" s="14">
        <f>Model!AM$89</f>
        <v>11764.341999999997</v>
      </c>
      <c r="D135" s="13"/>
      <c r="E135" s="104">
        <f>C135*J122</f>
        <v>1632.2556195770107</v>
      </c>
    </row>
    <row r="136" spans="2:10">
      <c r="B136" s="12" t="s">
        <v>29</v>
      </c>
      <c r="C136" s="11">
        <f>+C127-Model!AM$121</f>
        <v>0</v>
      </c>
      <c r="D136" s="10"/>
    </row>
    <row r="137" spans="2:10">
      <c r="B137" s="12"/>
      <c r="C137" s="11"/>
      <c r="D137" s="10"/>
    </row>
    <row r="138" spans="2:10" ht="15.75" thickBot="1">
      <c r="B138" s="12"/>
      <c r="C138" s="11"/>
      <c r="D138" s="10"/>
    </row>
    <row r="139" spans="2:10">
      <c r="B139" s="164" t="s">
        <v>53</v>
      </c>
      <c r="C139" s="165" t="s">
        <v>4</v>
      </c>
      <c r="D139" s="165" t="s">
        <v>6</v>
      </c>
    </row>
    <row r="140" spans="2:10">
      <c r="B140" s="101" t="s">
        <v>21</v>
      </c>
      <c r="C140" s="4">
        <v>99234.19</v>
      </c>
      <c r="D140" s="106">
        <f>C140*J121</f>
        <v>13938.169279172987</v>
      </c>
    </row>
    <row r="141" spans="2:10">
      <c r="B141" s="101" t="s">
        <v>31</v>
      </c>
      <c r="C141" s="4">
        <v>42053.569000000003</v>
      </c>
      <c r="D141" s="106">
        <f>C141*J121</f>
        <v>5906.7319793246816</v>
      </c>
    </row>
    <row r="142" spans="2:10">
      <c r="B142" s="101" t="s">
        <v>24</v>
      </c>
      <c r="C142" s="166">
        <v>21490.98</v>
      </c>
      <c r="D142" s="106">
        <f>C142*J121</f>
        <v>3018.5656497556042</v>
      </c>
    </row>
    <row r="143" spans="2:10" ht="15.75" thickBot="1">
      <c r="B143" s="3" t="s">
        <v>32</v>
      </c>
      <c r="C143" s="2">
        <f>SUM(C140:C142)</f>
        <v>162778.73900000003</v>
      </c>
      <c r="D143" s="2">
        <f>SUM(D140:D142)</f>
        <v>22863.466908253275</v>
      </c>
    </row>
    <row r="144" spans="2:10">
      <c r="B144" s="8"/>
      <c r="C144" s="7"/>
      <c r="D144" s="7"/>
    </row>
    <row r="145" spans="1:10" ht="15.75" thickBot="1">
      <c r="B145" s="12"/>
      <c r="C145" s="11"/>
      <c r="D145" s="10"/>
    </row>
    <row r="146" spans="1:10">
      <c r="B146" s="164" t="s">
        <v>54</v>
      </c>
      <c r="C146" s="165" t="s">
        <v>4</v>
      </c>
      <c r="D146" s="165" t="s">
        <v>6</v>
      </c>
    </row>
    <row r="147" spans="1:10">
      <c r="B147" s="127">
        <v>2027</v>
      </c>
      <c r="C147" s="126">
        <v>143.63999999999999</v>
      </c>
      <c r="D147" s="106">
        <f>C147*J121</f>
        <v>20.175290746671159</v>
      </c>
      <c r="E147" s="135"/>
    </row>
    <row r="148" spans="1:10">
      <c r="B148" s="5">
        <v>2028</v>
      </c>
      <c r="C148" s="126">
        <v>19295.27</v>
      </c>
      <c r="D148" s="106">
        <f>C148*J121</f>
        <v>2710.1620877577393</v>
      </c>
    </row>
    <row r="149" spans="1:10">
      <c r="B149" s="5">
        <v>2029</v>
      </c>
      <c r="C149" s="126">
        <v>9198.33</v>
      </c>
      <c r="D149" s="106">
        <f>C149*J121</f>
        <v>1291.972863644025</v>
      </c>
    </row>
    <row r="150" spans="1:10">
      <c r="B150" s="5">
        <v>2030</v>
      </c>
      <c r="C150" s="126">
        <v>10924.55</v>
      </c>
      <c r="D150" s="106">
        <f>C150*J121</f>
        <v>1534.4331142198998</v>
      </c>
    </row>
    <row r="151" spans="1:10">
      <c r="B151" s="5" t="s">
        <v>55</v>
      </c>
      <c r="C151" s="126">
        <f>4245.38+4245.38+10660.51</f>
        <v>19151.27</v>
      </c>
      <c r="D151" s="106">
        <f>C151*J121</f>
        <v>2689.9362323726054</v>
      </c>
    </row>
    <row r="152" spans="1:10" ht="15.75" thickBot="1">
      <c r="B152" s="3" t="s">
        <v>35</v>
      </c>
      <c r="C152" s="124">
        <f>SUM(C147:C151)</f>
        <v>58713.06</v>
      </c>
      <c r="D152" s="124">
        <f>SUM(D147:D151)</f>
        <v>8246.6795887409407</v>
      </c>
    </row>
    <row r="153" spans="1:10">
      <c r="B153" s="8"/>
      <c r="C153" s="125"/>
      <c r="D153" s="125"/>
    </row>
    <row r="154" spans="1:10">
      <c r="B154" s="8"/>
      <c r="C154" s="125"/>
      <c r="D154" s="125"/>
    </row>
    <row r="155" spans="1:10">
      <c r="B155" s="8"/>
      <c r="C155" s="125"/>
      <c r="D155" s="125"/>
    </row>
    <row r="156" spans="1:10">
      <c r="A156" s="28" t="s">
        <v>56</v>
      </c>
      <c r="I156" s="8" t="s">
        <v>57</v>
      </c>
      <c r="J156" s="117">
        <f>Model!AL$210</f>
        <v>0.1396</v>
      </c>
    </row>
    <row r="157" spans="1:10">
      <c r="I157" s="8" t="s">
        <v>58</v>
      </c>
      <c r="J157" s="117">
        <f>Model!AL$211</f>
        <v>0.13882900377137419</v>
      </c>
    </row>
    <row r="158" spans="1:10">
      <c r="I158" s="8"/>
      <c r="J158" s="117"/>
    </row>
    <row r="159" spans="1:10">
      <c r="B159" s="27" t="s">
        <v>59</v>
      </c>
      <c r="C159" s="100" t="s">
        <v>4</v>
      </c>
      <c r="D159" s="100" t="s">
        <v>5</v>
      </c>
      <c r="E159" s="100" t="s">
        <v>6</v>
      </c>
      <c r="F159" s="100" t="s">
        <v>5</v>
      </c>
      <c r="I159" s="27" t="s">
        <v>60</v>
      </c>
      <c r="J159" s="100" t="s">
        <v>4</v>
      </c>
    </row>
    <row r="160" spans="1:10">
      <c r="B160" s="25" t="s">
        <v>50</v>
      </c>
      <c r="C160" s="120">
        <f>Model!AL$119</f>
        <v>19158.886000000002</v>
      </c>
      <c r="D160" s="26"/>
      <c r="E160" s="104">
        <f>C160*J156</f>
        <v>2674.5804856000004</v>
      </c>
      <c r="I160" s="25" t="s">
        <v>21</v>
      </c>
      <c r="J160" s="24">
        <v>101656.333</v>
      </c>
    </row>
    <row r="161" spans="2:10">
      <c r="B161" s="25" t="s">
        <v>51</v>
      </c>
      <c r="C161" s="120">
        <f>Model!AL$120</f>
        <v>31818.516</v>
      </c>
      <c r="D161" s="26"/>
      <c r="E161" s="104">
        <f>C161*J156</f>
        <v>4441.8648335999997</v>
      </c>
      <c r="I161" s="25" t="s">
        <v>61</v>
      </c>
      <c r="J161" s="24">
        <v>69361.319000000003</v>
      </c>
    </row>
    <row r="162" spans="2:10">
      <c r="B162" s="19" t="s">
        <v>20</v>
      </c>
      <c r="C162" s="18">
        <f>C160+C161</f>
        <v>50977.402000000002</v>
      </c>
      <c r="D162" s="17">
        <f>C162/C170</f>
        <v>1.239257607479838</v>
      </c>
      <c r="E162" s="18">
        <f>E160+E161</f>
        <v>7116.4453192000001</v>
      </c>
      <c r="F162" s="17">
        <f>E162/E170</f>
        <v>1.2461399081209654</v>
      </c>
      <c r="I162" s="19" t="s">
        <v>62</v>
      </c>
      <c r="J162" s="18">
        <f>J160+J161</f>
        <v>171017.652</v>
      </c>
    </row>
    <row r="163" spans="2:10">
      <c r="B163" s="13" t="s">
        <v>21</v>
      </c>
      <c r="C163" s="21">
        <f>Model!AL$122</f>
        <v>101656.333</v>
      </c>
      <c r="D163" s="20"/>
      <c r="E163" s="104">
        <f>C163*J156</f>
        <v>14191.224086800001</v>
      </c>
      <c r="I163" s="115" t="s">
        <v>63</v>
      </c>
      <c r="J163" s="142">
        <f>J162-C163-C164</f>
        <v>0</v>
      </c>
    </row>
    <row r="164" spans="2:10">
      <c r="B164" s="13" t="s">
        <v>22</v>
      </c>
      <c r="C164" s="21">
        <f>Model!AL$123</f>
        <v>69361.319000000003</v>
      </c>
      <c r="D164" s="20"/>
      <c r="E164" s="104">
        <f>C164*J156</f>
        <v>9682.8401324000006</v>
      </c>
      <c r="I164" s="118"/>
      <c r="J164" s="119"/>
    </row>
    <row r="165" spans="2:10">
      <c r="B165" s="19" t="s">
        <v>52</v>
      </c>
      <c r="C165" s="18">
        <f>C162-C163-C164</f>
        <v>-120040.25</v>
      </c>
      <c r="D165" s="17">
        <f>C165/C170</f>
        <v>-2.9181713304315045</v>
      </c>
      <c r="E165" s="18">
        <f>E162-E163-E164</f>
        <v>-16757.618900000001</v>
      </c>
      <c r="F165" s="17">
        <f>E165/E170</f>
        <v>-2.9343775915810251</v>
      </c>
    </row>
    <row r="166" spans="2:10">
      <c r="B166" s="8" t="s">
        <v>24</v>
      </c>
      <c r="C166" s="128">
        <f>Model!AL$126</f>
        <v>17920.671999999999</v>
      </c>
      <c r="D166" s="15"/>
      <c r="E166" s="104">
        <f>C166*J156</f>
        <v>2501.7258112</v>
      </c>
      <c r="F166" s="15"/>
    </row>
    <row r="167" spans="2:10">
      <c r="B167" s="19" t="s">
        <v>25</v>
      </c>
      <c r="C167" s="18">
        <f>C165-C166</f>
        <v>-137960.92199999999</v>
      </c>
      <c r="D167" s="17">
        <f>C167/C170</f>
        <v>-3.3538217997738005</v>
      </c>
      <c r="E167" s="18">
        <f>E165-E166</f>
        <v>-19259.344711199999</v>
      </c>
      <c r="F167" s="17">
        <f>E167/E170</f>
        <v>-3.3724474751648517</v>
      </c>
    </row>
    <row r="168" spans="2:10">
      <c r="B168" s="8" t="s">
        <v>26</v>
      </c>
      <c r="C168" s="16">
        <f>Model!AL$128</f>
        <v>184297.56400000001</v>
      </c>
      <c r="D168" s="15"/>
      <c r="E168" s="104">
        <f>C168*J156</f>
        <v>25727.939934400001</v>
      </c>
    </row>
    <row r="169" spans="2:10">
      <c r="B169" s="8" t="s">
        <v>27</v>
      </c>
      <c r="C169" s="16">
        <f>C165+C168</f>
        <v>64257.314000000013</v>
      </c>
      <c r="D169" s="15"/>
      <c r="E169" s="16">
        <f>E165+E168</f>
        <v>8970.3210343999999</v>
      </c>
    </row>
    <row r="170" spans="2:10">
      <c r="B170" s="13" t="s">
        <v>28</v>
      </c>
      <c r="C170" s="14">
        <f>Model!AL$89</f>
        <v>41135.436000000002</v>
      </c>
      <c r="D170" s="13"/>
      <c r="E170" s="104">
        <f>C170*J157</f>
        <v>5710.7915995811218</v>
      </c>
    </row>
    <row r="171" spans="2:10">
      <c r="B171" s="12" t="s">
        <v>29</v>
      </c>
      <c r="C171" s="11">
        <f>+C162-Model!AL$121</f>
        <v>0</v>
      </c>
      <c r="D171" s="10"/>
    </row>
    <row r="172" spans="2:10" ht="15.75" thickBot="1">
      <c r="B172" s="12"/>
      <c r="C172" s="11"/>
      <c r="D172" s="10"/>
    </row>
    <row r="173" spans="2:10">
      <c r="B173" s="6" t="s">
        <v>64</v>
      </c>
      <c r="C173" s="9" t="s">
        <v>4</v>
      </c>
      <c r="D173" s="9" t="s">
        <v>6</v>
      </c>
    </row>
    <row r="174" spans="2:10">
      <c r="B174" s="101" t="s">
        <v>21</v>
      </c>
      <c r="C174" s="106">
        <f>J160</f>
        <v>101656.333</v>
      </c>
      <c r="D174" s="106">
        <f>C174*J156</f>
        <v>14191.224086800001</v>
      </c>
    </row>
    <row r="175" spans="2:10">
      <c r="B175" s="101" t="s">
        <v>65</v>
      </c>
      <c r="C175" s="116">
        <f>69361.319+17920.672</f>
        <v>87281.991000000009</v>
      </c>
      <c r="D175" s="106">
        <f>C175*J156</f>
        <v>12184.565943600001</v>
      </c>
    </row>
    <row r="176" spans="2:10" ht="15.75" thickBot="1">
      <c r="B176" s="3" t="s">
        <v>32</v>
      </c>
      <c r="C176" s="2">
        <f>SUM(C174:C175)</f>
        <v>188938.32400000002</v>
      </c>
      <c r="D176" s="2">
        <f>SUM(D174:D175)</f>
        <v>26375.7900304</v>
      </c>
    </row>
    <row r="177" spans="1:10" ht="15.75" thickBot="1">
      <c r="B177" s="12"/>
      <c r="C177" s="11"/>
      <c r="D177" s="10"/>
    </row>
    <row r="178" spans="1:10">
      <c r="B178" s="6" t="s">
        <v>66</v>
      </c>
      <c r="C178" s="9" t="s">
        <v>4</v>
      </c>
      <c r="D178" s="9" t="s">
        <v>6</v>
      </c>
    </row>
    <row r="179" spans="1:10">
      <c r="B179" s="127">
        <v>2025</v>
      </c>
      <c r="C179" s="126">
        <v>5364.42</v>
      </c>
      <c r="D179" s="106">
        <f>C179*J156</f>
        <v>748.87303199999997</v>
      </c>
      <c r="E179" s="135"/>
    </row>
    <row r="180" spans="1:10">
      <c r="B180" s="5">
        <v>2027</v>
      </c>
      <c r="C180" s="126">
        <v>145.19999999999999</v>
      </c>
      <c r="D180" s="106">
        <f>C180*J156</f>
        <v>20.269919999999999</v>
      </c>
    </row>
    <row r="181" spans="1:10">
      <c r="B181" s="5">
        <v>2028</v>
      </c>
      <c r="C181" s="126">
        <v>19505.04</v>
      </c>
      <c r="D181" s="106">
        <f>C181*J156</f>
        <v>2722.9035840000001</v>
      </c>
    </row>
    <row r="182" spans="1:10">
      <c r="B182" s="5" t="s">
        <v>67</v>
      </c>
      <c r="C182" s="126">
        <f>9298.33+8940.71</f>
        <v>18239.04</v>
      </c>
      <c r="D182" s="106">
        <f>C182*J156</f>
        <v>2546.1699840000001</v>
      </c>
    </row>
    <row r="183" spans="1:10" ht="15.75" thickBot="1">
      <c r="B183" s="3" t="s">
        <v>35</v>
      </c>
      <c r="C183" s="124">
        <f>SUM(C179:C182)</f>
        <v>43253.7</v>
      </c>
      <c r="D183" s="124">
        <f>SUM(D179:D182)</f>
        <v>6038.2165199999999</v>
      </c>
    </row>
    <row r="184" spans="1:10">
      <c r="B184" s="8"/>
      <c r="C184" s="125"/>
      <c r="D184" s="125"/>
    </row>
    <row r="185" spans="1:10">
      <c r="B185" s="8"/>
      <c r="C185" s="125"/>
      <c r="D185" s="125"/>
    </row>
    <row r="187" spans="1:10">
      <c r="A187" s="28" t="s">
        <v>68</v>
      </c>
      <c r="I187" s="8" t="s">
        <v>69</v>
      </c>
      <c r="J187" s="117">
        <f>Model!AK$210</f>
        <v>0.13780000000000001</v>
      </c>
    </row>
    <row r="188" spans="1:10">
      <c r="I188" s="8" t="s">
        <v>70</v>
      </c>
      <c r="J188" s="117">
        <f>Model!AK$211</f>
        <v>0.13867900377137415</v>
      </c>
    </row>
    <row r="189" spans="1:10">
      <c r="I189" s="8"/>
      <c r="J189" s="117"/>
    </row>
    <row r="190" spans="1:10">
      <c r="B190" s="27" t="s">
        <v>71</v>
      </c>
      <c r="C190" s="100" t="s">
        <v>4</v>
      </c>
      <c r="D190" s="100" t="s">
        <v>5</v>
      </c>
      <c r="E190" s="100" t="s">
        <v>6</v>
      </c>
      <c r="F190" s="100" t="s">
        <v>5</v>
      </c>
      <c r="I190" s="27" t="s">
        <v>72</v>
      </c>
      <c r="J190" s="100" t="s">
        <v>4</v>
      </c>
    </row>
    <row r="191" spans="1:10">
      <c r="B191" s="25" t="s">
        <v>50</v>
      </c>
      <c r="C191" s="120">
        <f>Model!AK$119</f>
        <v>19494.256999999998</v>
      </c>
      <c r="D191" s="26"/>
      <c r="E191" s="104">
        <f>C191*J187</f>
        <v>2686.3086145999996</v>
      </c>
      <c r="I191" s="25" t="s">
        <v>21</v>
      </c>
      <c r="J191" s="24">
        <v>115015.46</v>
      </c>
    </row>
    <row r="192" spans="1:10">
      <c r="B192" s="25" t="s">
        <v>51</v>
      </c>
      <c r="C192" s="120">
        <f>Model!AK$120</f>
        <v>42561.248</v>
      </c>
      <c r="D192" s="26"/>
      <c r="E192" s="104">
        <f>C192*J187</f>
        <v>5864.9399744000002</v>
      </c>
      <c r="I192" s="25" t="s">
        <v>61</v>
      </c>
      <c r="J192" s="24">
        <v>65367.502999999997</v>
      </c>
    </row>
    <row r="193" spans="2:10">
      <c r="B193" s="19" t="s">
        <v>20</v>
      </c>
      <c r="C193" s="18">
        <f>C191+C192</f>
        <v>62055.504999999997</v>
      </c>
      <c r="D193" s="17">
        <f>C193/C201</f>
        <v>1.1631610266421217</v>
      </c>
      <c r="E193" s="18">
        <f>E191+E192</f>
        <v>8551.2485889999989</v>
      </c>
      <c r="F193" s="17">
        <f>E193/E201</f>
        <v>1.1557884403000724</v>
      </c>
      <c r="I193" s="19" t="s">
        <v>62</v>
      </c>
      <c r="J193" s="18">
        <f>J191+J192</f>
        <v>180382.96299999999</v>
      </c>
    </row>
    <row r="194" spans="2:10">
      <c r="B194" s="13" t="s">
        <v>21</v>
      </c>
      <c r="C194" s="21">
        <f>Model!AK$122</f>
        <v>115015.46</v>
      </c>
      <c r="D194" s="20"/>
      <c r="E194" s="104">
        <f>C194*J187</f>
        <v>15849.130388000001</v>
      </c>
      <c r="I194" s="115" t="s">
        <v>63</v>
      </c>
      <c r="J194" s="142">
        <f>J193-C194-C195</f>
        <v>0</v>
      </c>
    </row>
    <row r="195" spans="2:10">
      <c r="B195" s="13" t="s">
        <v>22</v>
      </c>
      <c r="C195" s="21">
        <f>Model!AK$123</f>
        <v>65367.502999999997</v>
      </c>
      <c r="D195" s="20"/>
      <c r="E195" s="104">
        <f>C195*J187</f>
        <v>9007.6419134000007</v>
      </c>
      <c r="I195" s="118"/>
      <c r="J195" s="119"/>
    </row>
    <row r="196" spans="2:10">
      <c r="B196" s="19" t="s">
        <v>52</v>
      </c>
      <c r="C196" s="18">
        <f>C193-C194-C195</f>
        <v>-118327.45800000001</v>
      </c>
      <c r="D196" s="17">
        <f>C196/C201</f>
        <v>-2.2179158404598041</v>
      </c>
      <c r="E196" s="18">
        <f>E193-E194-E195</f>
        <v>-16305.523712400003</v>
      </c>
      <c r="F196" s="17">
        <f>E196/E201</f>
        <v>-2.2038577903200105</v>
      </c>
    </row>
    <row r="197" spans="2:10">
      <c r="B197" s="8" t="s">
        <v>24</v>
      </c>
      <c r="C197" s="128">
        <f>Model!AK$126</f>
        <v>17299.328000000001</v>
      </c>
      <c r="D197" s="15"/>
      <c r="E197" s="104">
        <f>C197*J187</f>
        <v>2383.8473984000002</v>
      </c>
      <c r="F197" s="15"/>
    </row>
    <row r="198" spans="2:10">
      <c r="B198" s="19" t="s">
        <v>25</v>
      </c>
      <c r="C198" s="18">
        <f>C196-C197</f>
        <v>-135626.78600000002</v>
      </c>
      <c r="D198" s="17">
        <f>C198/C201</f>
        <v>-2.5421723929880415</v>
      </c>
      <c r="E198" s="18">
        <f>E196-E197</f>
        <v>-18689.371110800002</v>
      </c>
      <c r="F198" s="17">
        <f>E198/E201</f>
        <v>-2.5260590733062558</v>
      </c>
    </row>
    <row r="199" spans="2:10">
      <c r="B199" s="8" t="s">
        <v>26</v>
      </c>
      <c r="C199" s="16">
        <f>Model!AK$128</f>
        <v>184135.986</v>
      </c>
      <c r="D199" s="15"/>
      <c r="E199" s="104">
        <f>C199*J187</f>
        <v>25373.938870800001</v>
      </c>
    </row>
    <row r="200" spans="2:10">
      <c r="B200" s="8" t="s">
        <v>27</v>
      </c>
      <c r="C200" s="16">
        <f>C196+C199</f>
        <v>65808.527999999991</v>
      </c>
      <c r="D200" s="15"/>
      <c r="E200" s="16">
        <f>E196+E199</f>
        <v>9068.4151583999974</v>
      </c>
    </row>
    <row r="201" spans="2:10">
      <c r="B201" s="13" t="s">
        <v>28</v>
      </c>
      <c r="C201" s="14">
        <f>Model!AK$89</f>
        <v>53350.743000000002</v>
      </c>
      <c r="D201" s="13"/>
      <c r="E201" s="104">
        <f>C201*J188</f>
        <v>7398.6278897026132</v>
      </c>
    </row>
    <row r="202" spans="2:10">
      <c r="B202" s="12" t="s">
        <v>29</v>
      </c>
      <c r="C202" s="11">
        <f>+C193-Model!AK$121</f>
        <v>0</v>
      </c>
      <c r="D202" s="10"/>
    </row>
    <row r="203" spans="2:10" ht="15.75" thickBot="1">
      <c r="B203" s="12"/>
      <c r="C203" s="11"/>
      <c r="D203" s="10"/>
    </row>
    <row r="204" spans="2:10">
      <c r="B204" s="6" t="s">
        <v>73</v>
      </c>
      <c r="C204" s="9" t="s">
        <v>4</v>
      </c>
      <c r="D204" s="9" t="s">
        <v>6</v>
      </c>
    </row>
    <row r="205" spans="2:10">
      <c r="B205" s="101" t="s">
        <v>21</v>
      </c>
      <c r="C205" s="106">
        <f>J191</f>
        <v>115015.46</v>
      </c>
      <c r="D205" s="106">
        <f>C205*J187</f>
        <v>15849.130388000001</v>
      </c>
    </row>
    <row r="206" spans="2:10">
      <c r="B206" s="101" t="s">
        <v>65</v>
      </c>
      <c r="C206" s="116">
        <f>17299.328+65367.503</f>
        <v>82666.831000000006</v>
      </c>
      <c r="D206" s="106">
        <f>C206*J187</f>
        <v>11391.489311800002</v>
      </c>
    </row>
    <row r="207" spans="2:10" ht="15.75" thickBot="1">
      <c r="B207" s="3" t="s">
        <v>32</v>
      </c>
      <c r="C207" s="2">
        <f>SUM(C205:C206)</f>
        <v>197682.29100000003</v>
      </c>
      <c r="D207" s="2">
        <f>SUM(D205:D206)</f>
        <v>27240.619699800001</v>
      </c>
    </row>
    <row r="208" spans="2:10" ht="15.75" thickBot="1">
      <c r="B208" s="12"/>
      <c r="C208" s="11"/>
      <c r="D208" s="10"/>
    </row>
    <row r="209" spans="1:10">
      <c r="B209" s="6" t="s">
        <v>74</v>
      </c>
      <c r="C209" s="9" t="s">
        <v>4</v>
      </c>
      <c r="D209" s="9" t="s">
        <v>6</v>
      </c>
    </row>
    <row r="210" spans="1:10">
      <c r="B210" s="127">
        <v>2025</v>
      </c>
      <c r="C210" s="126">
        <v>5390.25</v>
      </c>
      <c r="D210" s="106">
        <f>C210*J187</f>
        <v>742.77645000000007</v>
      </c>
      <c r="E210" s="135"/>
    </row>
    <row r="211" spans="1:10">
      <c r="B211" s="5">
        <v>2027</v>
      </c>
      <c r="C211" s="126">
        <v>145.9</v>
      </c>
      <c r="D211" s="106">
        <f>C211*J187</f>
        <v>20.105020000000003</v>
      </c>
    </row>
    <row r="212" spans="1:10">
      <c r="B212" s="5">
        <v>2028</v>
      </c>
      <c r="C212" s="126">
        <v>19598.97</v>
      </c>
      <c r="D212" s="106">
        <f>C212*J187</f>
        <v>2700.7380660000003</v>
      </c>
    </row>
    <row r="213" spans="1:10">
      <c r="B213" s="5" t="s">
        <v>67</v>
      </c>
      <c r="C213" s="126">
        <f>9343.11+8983.76</f>
        <v>18326.870000000003</v>
      </c>
      <c r="D213" s="106">
        <f>C213*J187</f>
        <v>2525.4426860000003</v>
      </c>
    </row>
    <row r="214" spans="1:10" ht="15.75" thickBot="1">
      <c r="B214" s="3" t="s">
        <v>35</v>
      </c>
      <c r="C214" s="124">
        <f>SUM(C210:C213)</f>
        <v>43461.990000000005</v>
      </c>
      <c r="D214" s="124">
        <f>SUM(D210:D213)</f>
        <v>5989.0622220000005</v>
      </c>
    </row>
    <row r="216" spans="1:10">
      <c r="A216" s="28" t="s">
        <v>75</v>
      </c>
      <c r="I216" s="8" t="s">
        <v>76</v>
      </c>
      <c r="J216" s="117">
        <f>Model!AI$210</f>
        <v>0.14249886000911993</v>
      </c>
    </row>
    <row r="217" spans="1:10">
      <c r="I217" s="8" t="s">
        <v>77</v>
      </c>
      <c r="J217" s="117">
        <f>Model!AI$211</f>
        <v>0.13911321781451016</v>
      </c>
    </row>
    <row r="218" spans="1:10">
      <c r="I218" s="8"/>
      <c r="J218" s="117"/>
    </row>
    <row r="219" spans="1:10">
      <c r="B219" s="27" t="s">
        <v>78</v>
      </c>
      <c r="C219" s="100" t="s">
        <v>4</v>
      </c>
      <c r="D219" s="100" t="s">
        <v>5</v>
      </c>
      <c r="E219" s="100" t="s">
        <v>6</v>
      </c>
      <c r="F219" s="100" t="s">
        <v>5</v>
      </c>
      <c r="I219" s="27" t="s">
        <v>79</v>
      </c>
      <c r="J219" s="100" t="s">
        <v>4</v>
      </c>
    </row>
    <row r="220" spans="1:10">
      <c r="B220" s="25" t="s">
        <v>50</v>
      </c>
      <c r="C220" s="120">
        <f>Model!AJ$119</f>
        <v>19190.677</v>
      </c>
      <c r="D220" s="26"/>
      <c r="E220" s="104">
        <f>C220*J216</f>
        <v>2734.6495953032377</v>
      </c>
      <c r="I220" s="25" t="s">
        <v>21</v>
      </c>
      <c r="J220" s="24">
        <v>70834.096999999994</v>
      </c>
    </row>
    <row r="221" spans="1:10">
      <c r="B221" s="25" t="s">
        <v>51</v>
      </c>
      <c r="C221" s="120">
        <f>Model!AJ$120</f>
        <v>42318.89</v>
      </c>
      <c r="D221" s="26"/>
      <c r="E221" s="104">
        <f>C221*J216</f>
        <v>6030.3935818513455</v>
      </c>
      <c r="I221" s="25" t="s">
        <v>61</v>
      </c>
      <c r="J221" s="24">
        <v>97409.160999999993</v>
      </c>
    </row>
    <row r="222" spans="1:10">
      <c r="B222" s="19" t="s">
        <v>20</v>
      </c>
      <c r="C222" s="18">
        <f>C220+C221</f>
        <v>61509.566999999995</v>
      </c>
      <c r="D222" s="17">
        <f>C222/C230</f>
        <v>1.2522458946974107</v>
      </c>
      <c r="E222" s="18">
        <f>E220+E221</f>
        <v>8765.0431771545827</v>
      </c>
      <c r="F222" s="17">
        <f>E222/E230</f>
        <v>1.2827221974220551</v>
      </c>
      <c r="I222" s="19" t="s">
        <v>62</v>
      </c>
      <c r="J222" s="18">
        <f>J220+J221</f>
        <v>168243.25799999997</v>
      </c>
    </row>
    <row r="223" spans="1:10">
      <c r="B223" s="13" t="s">
        <v>21</v>
      </c>
      <c r="C223" s="21">
        <f>Model!AJ$122</f>
        <v>70834.096999999994</v>
      </c>
      <c r="D223" s="20"/>
      <c r="E223" s="104">
        <f>C223*J216</f>
        <v>10093.778072275421</v>
      </c>
      <c r="I223" s="118" t="s">
        <v>63</v>
      </c>
      <c r="J223" s="119">
        <f>J222-C223-C224</f>
        <v>0</v>
      </c>
    </row>
    <row r="224" spans="1:10">
      <c r="B224" s="13" t="s">
        <v>22</v>
      </c>
      <c r="C224" s="21">
        <f>Model!AJ$123</f>
        <v>97409.160999999993</v>
      </c>
      <c r="D224" s="20"/>
      <c r="E224" s="104">
        <f>C224*J216</f>
        <v>13880.694396944824</v>
      </c>
      <c r="I224" s="118"/>
      <c r="J224" s="119"/>
    </row>
    <row r="225" spans="2:6">
      <c r="B225" s="19" t="s">
        <v>52</v>
      </c>
      <c r="C225" s="18">
        <f>C222-C223-C224</f>
        <v>-106733.69099999999</v>
      </c>
      <c r="D225" s="17">
        <f>C225/C230</f>
        <v>-2.1729437045240778</v>
      </c>
      <c r="E225" s="18">
        <f>E222-E223-E224</f>
        <v>-15209.429292065663</v>
      </c>
      <c r="F225" s="17">
        <f>E225/E230</f>
        <v>-2.2258273198133001</v>
      </c>
    </row>
    <row r="226" spans="2:6">
      <c r="B226" s="8" t="s">
        <v>24</v>
      </c>
      <c r="C226" s="128">
        <f>Model!AJ$126</f>
        <v>19549.62</v>
      </c>
      <c r="D226" s="15"/>
      <c r="E226" s="104">
        <f>C226*J216</f>
        <v>2785.7985636114909</v>
      </c>
      <c r="F226" s="15"/>
    </row>
    <row r="227" spans="2:6">
      <c r="B227" s="19" t="s">
        <v>25</v>
      </c>
      <c r="C227" s="18">
        <f>C225-C226</f>
        <v>-126283.31099999999</v>
      </c>
      <c r="D227" s="17">
        <f>C227/C230</f>
        <v>-2.5709457159492985</v>
      </c>
      <c r="E227" s="18">
        <f>E225-E226</f>
        <v>-17995.227855677153</v>
      </c>
      <c r="F227" s="17">
        <f>E227/E230</f>
        <v>-2.6335156315383061</v>
      </c>
    </row>
    <row r="228" spans="2:6">
      <c r="B228" s="8" t="s">
        <v>26</v>
      </c>
      <c r="C228" s="16">
        <f>Model!AJ$128</f>
        <v>172604.07800000001</v>
      </c>
      <c r="D228" s="15"/>
      <c r="E228" s="104">
        <f>C228*J216</f>
        <v>24595.884347925217</v>
      </c>
    </row>
    <row r="229" spans="2:6">
      <c r="B229" s="8" t="s">
        <v>27</v>
      </c>
      <c r="C229" s="16">
        <f>C225+C228</f>
        <v>65870.387000000017</v>
      </c>
      <c r="D229" s="15"/>
      <c r="E229" s="16">
        <f>E225+E228</f>
        <v>9386.4550558595547</v>
      </c>
    </row>
    <row r="230" spans="2:6">
      <c r="B230" s="13" t="s">
        <v>28</v>
      </c>
      <c r="C230" s="14">
        <f>Model!AJ$89</f>
        <v>49119.4</v>
      </c>
      <c r="D230" s="13"/>
      <c r="E230" s="104">
        <f>C230*J217</f>
        <v>6833.1577911180511</v>
      </c>
    </row>
    <row r="231" spans="2:6">
      <c r="B231" s="12" t="s">
        <v>29</v>
      </c>
      <c r="C231" s="11">
        <f>+C222-Model!AJ$121</f>
        <v>0</v>
      </c>
      <c r="D231" s="10"/>
    </row>
    <row r="232" spans="2:6" ht="15.75" thickBot="1">
      <c r="B232" s="12"/>
      <c r="C232" s="11"/>
      <c r="D232" s="10"/>
    </row>
    <row r="233" spans="2:6">
      <c r="B233" s="6" t="s">
        <v>80</v>
      </c>
      <c r="C233" s="9" t="s">
        <v>4</v>
      </c>
      <c r="D233" s="9" t="s">
        <v>6</v>
      </c>
    </row>
    <row r="234" spans="2:6">
      <c r="B234" s="101" t="s">
        <v>21</v>
      </c>
      <c r="C234" s="106">
        <f>J220</f>
        <v>70834.096999999994</v>
      </c>
      <c r="D234" s="106">
        <f>C234*J216</f>
        <v>10093.778072275421</v>
      </c>
    </row>
    <row r="235" spans="2:6">
      <c r="B235" s="101" t="s">
        <v>65</v>
      </c>
      <c r="C235" s="116">
        <f>97409.161+19549.62</f>
        <v>116958.78099999999</v>
      </c>
      <c r="D235" s="106">
        <f>C235*J216</f>
        <v>16666.492960556316</v>
      </c>
    </row>
    <row r="236" spans="2:6" ht="15.75" thickBot="1">
      <c r="B236" s="3" t="s">
        <v>32</v>
      </c>
      <c r="C236" s="2">
        <f>SUM(C234:C235)</f>
        <v>187792.87799999997</v>
      </c>
      <c r="D236" s="2">
        <f>SUM(D234:D235)</f>
        <v>26760.271032831737</v>
      </c>
    </row>
    <row r="237" spans="2:6" ht="15.75" thickBot="1">
      <c r="B237" s="12"/>
      <c r="C237" s="11"/>
      <c r="D237" s="10"/>
    </row>
    <row r="238" spans="2:6">
      <c r="B238" s="6" t="s">
        <v>81</v>
      </c>
      <c r="C238" s="9" t="s">
        <v>4</v>
      </c>
      <c r="D238" s="9" t="s">
        <v>6</v>
      </c>
    </row>
    <row r="239" spans="2:6">
      <c r="B239" s="127">
        <v>2025</v>
      </c>
      <c r="C239" s="126">
        <v>5437.15</v>
      </c>
      <c r="D239" s="106">
        <f>C239*J216</f>
        <v>774.78767669858644</v>
      </c>
      <c r="E239" s="135"/>
    </row>
    <row r="240" spans="2:6">
      <c r="B240" s="5">
        <v>2027</v>
      </c>
      <c r="C240" s="126">
        <v>10755.4</v>
      </c>
      <c r="D240" s="106">
        <f>C240*J216</f>
        <v>1532.6322389420884</v>
      </c>
    </row>
    <row r="241" spans="1:10">
      <c r="B241" s="5">
        <v>2028</v>
      </c>
      <c r="C241" s="126">
        <v>19769.46</v>
      </c>
      <c r="D241" s="106">
        <f>C241*J216</f>
        <v>2817.1255129958959</v>
      </c>
    </row>
    <row r="242" spans="1:10">
      <c r="B242" s="5" t="s">
        <v>67</v>
      </c>
      <c r="C242" s="126">
        <f>9424.39+9061.91</f>
        <v>18486.3</v>
      </c>
      <c r="D242" s="106">
        <f>C242*J216</f>
        <v>2634.2766757865938</v>
      </c>
    </row>
    <row r="243" spans="1:10" ht="15.75" thickBot="1">
      <c r="B243" s="3" t="s">
        <v>35</v>
      </c>
      <c r="C243" s="124">
        <f>SUM(C239:C242)</f>
        <v>54448.31</v>
      </c>
      <c r="D243" s="124">
        <f>SUM(D239:D242)</f>
        <v>7758.822104423165</v>
      </c>
    </row>
    <row r="245" spans="1:10">
      <c r="A245" s="28" t="s">
        <v>82</v>
      </c>
      <c r="I245" s="8" t="s">
        <v>83</v>
      </c>
      <c r="J245" s="117">
        <f>Model!AI$210</f>
        <v>0.14249886000911993</v>
      </c>
    </row>
    <row r="246" spans="1:10">
      <c r="I246" s="8" t="s">
        <v>84</v>
      </c>
      <c r="J246" s="117">
        <f>Model!AI$211</f>
        <v>0.13911321781451016</v>
      </c>
    </row>
    <row r="247" spans="1:10">
      <c r="I247" s="8"/>
      <c r="J247" s="117"/>
    </row>
    <row r="248" spans="1:10">
      <c r="B248" s="27" t="s">
        <v>85</v>
      </c>
      <c r="C248" s="100" t="s">
        <v>4</v>
      </c>
      <c r="D248" s="100" t="s">
        <v>5</v>
      </c>
      <c r="E248" s="100" t="s">
        <v>6</v>
      </c>
      <c r="F248" s="100" t="s">
        <v>5</v>
      </c>
      <c r="I248" s="27" t="s">
        <v>86</v>
      </c>
      <c r="J248" s="100" t="s">
        <v>4</v>
      </c>
    </row>
    <row r="249" spans="1:10">
      <c r="B249" s="25" t="s">
        <v>50</v>
      </c>
      <c r="C249" s="120">
        <f>Model!AI$119</f>
        <v>13007.73</v>
      </c>
      <c r="D249" s="26"/>
      <c r="E249" s="104">
        <f>C249*J245</f>
        <v>1853.5866963064295</v>
      </c>
      <c r="I249" s="25" t="s">
        <v>21</v>
      </c>
      <c r="J249" s="24">
        <v>42468.059000000001</v>
      </c>
    </row>
    <row r="250" spans="1:10">
      <c r="B250" s="25" t="s">
        <v>51</v>
      </c>
      <c r="C250" s="120">
        <f>Model!AI$120</f>
        <v>28334.454999999998</v>
      </c>
      <c r="D250" s="26"/>
      <c r="E250" s="104">
        <f>C250*J245</f>
        <v>4037.6275364797079</v>
      </c>
      <c r="I250" s="25" t="s">
        <v>61</v>
      </c>
      <c r="J250" s="24">
        <v>91694.46</v>
      </c>
    </row>
    <row r="251" spans="1:10">
      <c r="B251" s="19" t="s">
        <v>20</v>
      </c>
      <c r="C251" s="18">
        <f>C249+C250</f>
        <v>41342.184999999998</v>
      </c>
      <c r="D251" s="17">
        <f>C251/C259</f>
        <v>1.0000234874573348</v>
      </c>
      <c r="E251" s="18">
        <f>E249+E250</f>
        <v>5891.2142327861375</v>
      </c>
      <c r="F251" s="17">
        <f>E251/E259</f>
        <v>1.0243613740214341</v>
      </c>
      <c r="I251" s="19" t="s">
        <v>62</v>
      </c>
      <c r="J251" s="18">
        <f>J249+J250</f>
        <v>134162.519</v>
      </c>
    </row>
    <row r="252" spans="1:10">
      <c r="B252" s="13" t="s">
        <v>21</v>
      </c>
      <c r="C252" s="21">
        <f>Model!AI$122</f>
        <v>42468.059000000001</v>
      </c>
      <c r="D252" s="20"/>
      <c r="E252" s="104">
        <f>C252*J245</f>
        <v>6051.6499943000463</v>
      </c>
      <c r="I252" s="118" t="s">
        <v>63</v>
      </c>
      <c r="J252" s="119">
        <f>J251-C252-C253</f>
        <v>0</v>
      </c>
    </row>
    <row r="253" spans="1:10">
      <c r="B253" s="13" t="s">
        <v>22</v>
      </c>
      <c r="C253" s="21">
        <f>Model!AI$123</f>
        <v>91694.46</v>
      </c>
      <c r="D253" s="20"/>
      <c r="E253" s="104">
        <f>C253*J245</f>
        <v>13066.356019151848</v>
      </c>
      <c r="I253" s="118"/>
      <c r="J253" s="119"/>
    </row>
    <row r="254" spans="1:10">
      <c r="B254" s="19" t="s">
        <v>52</v>
      </c>
      <c r="C254" s="18">
        <f>C251-C252-C253</f>
        <v>-92820.334000000003</v>
      </c>
      <c r="D254" s="17">
        <f>C254/C259</f>
        <v>-2.245225164408573</v>
      </c>
      <c r="E254" s="18">
        <f>E251-E252-E253</f>
        <v>-13226.791780665757</v>
      </c>
      <c r="F254" s="17">
        <f>E254/E259</f>
        <v>-2.2998679163515052</v>
      </c>
    </row>
    <row r="255" spans="1:10">
      <c r="B255" s="8" t="s">
        <v>24</v>
      </c>
      <c r="C255" s="128">
        <f>Model!AI$126</f>
        <v>19145.044999999998</v>
      </c>
      <c r="D255" s="15"/>
      <c r="E255" s="104">
        <f>C255*J245</f>
        <v>2728.1470873233011</v>
      </c>
      <c r="F255" s="15"/>
    </row>
    <row r="256" spans="1:10">
      <c r="B256" s="19" t="s">
        <v>25</v>
      </c>
      <c r="C256" s="18">
        <f>C254-C255</f>
        <v>-111965.379</v>
      </c>
      <c r="D256" s="17">
        <f>C256/C259</f>
        <v>-2.7083234420740525</v>
      </c>
      <c r="E256" s="18">
        <f>E254-E255</f>
        <v>-15954.938867989058</v>
      </c>
      <c r="F256" s="17">
        <f>E256/E259</f>
        <v>-2.7742367626498368</v>
      </c>
    </row>
    <row r="257" spans="2:5">
      <c r="B257" s="8" t="s">
        <v>26</v>
      </c>
      <c r="C257" s="16">
        <f>Model!AI$128</f>
        <v>160265.43400000001</v>
      </c>
      <c r="D257" s="15"/>
      <c r="E257" s="104">
        <f>C257*J245</f>
        <v>22837.641643866849</v>
      </c>
    </row>
    <row r="258" spans="2:5">
      <c r="B258" s="8" t="s">
        <v>27</v>
      </c>
      <c r="C258" s="16">
        <f>C254+C257</f>
        <v>67445.100000000006</v>
      </c>
      <c r="D258" s="15"/>
      <c r="E258" s="16">
        <f>E254+E257</f>
        <v>9610.8498632010924</v>
      </c>
    </row>
    <row r="259" spans="2:5">
      <c r="B259" s="13" t="s">
        <v>28</v>
      </c>
      <c r="C259" s="14">
        <f>Model!AI$89</f>
        <v>41341.214</v>
      </c>
      <c r="D259" s="13"/>
      <c r="E259" s="104">
        <f>C259*J246</f>
        <v>5751.1093078982767</v>
      </c>
    </row>
    <row r="260" spans="2:5">
      <c r="B260" s="12" t="s">
        <v>29</v>
      </c>
      <c r="C260" s="11">
        <f>+C251-Model!AI$121</f>
        <v>0</v>
      </c>
      <c r="D260" s="10"/>
    </row>
    <row r="261" spans="2:5" ht="15.75" thickBot="1">
      <c r="B261" s="12"/>
      <c r="C261" s="11"/>
      <c r="D261" s="10"/>
    </row>
    <row r="262" spans="2:5">
      <c r="B262" s="6" t="s">
        <v>87</v>
      </c>
      <c r="C262" s="9" t="s">
        <v>4</v>
      </c>
      <c r="D262" s="9" t="s">
        <v>6</v>
      </c>
    </row>
    <row r="263" spans="2:5">
      <c r="B263" s="101" t="s">
        <v>21</v>
      </c>
      <c r="C263" s="106">
        <f>J249</f>
        <v>42468.059000000001</v>
      </c>
      <c r="D263" s="106">
        <f>C263*J245</f>
        <v>6051.6499943000463</v>
      </c>
    </row>
    <row r="264" spans="2:5">
      <c r="B264" s="101" t="s">
        <v>65</v>
      </c>
      <c r="C264" s="116">
        <f>91694.46+19145.045</f>
        <v>110839.505</v>
      </c>
      <c r="D264" s="106">
        <f>C264*J245</f>
        <v>15794.503106475149</v>
      </c>
    </row>
    <row r="265" spans="2:5" ht="15.75" thickBot="1">
      <c r="B265" s="3" t="s">
        <v>32</v>
      </c>
      <c r="C265" s="2">
        <f>SUM(C263:C264)</f>
        <v>153307.56400000001</v>
      </c>
      <c r="D265" s="2">
        <f>SUM(D263:D264)</f>
        <v>21846.153100775195</v>
      </c>
    </row>
    <row r="266" spans="2:5" ht="15.75" thickBot="1">
      <c r="B266" s="12"/>
      <c r="C266" s="11"/>
      <c r="D266" s="10"/>
    </row>
    <row r="267" spans="2:5">
      <c r="B267" s="6" t="s">
        <v>88</v>
      </c>
      <c r="C267" s="9" t="s">
        <v>4</v>
      </c>
      <c r="D267" s="9" t="s">
        <v>6</v>
      </c>
    </row>
    <row r="268" spans="2:5">
      <c r="B268" s="127">
        <v>2025</v>
      </c>
      <c r="C268" s="126">
        <v>5433.6</v>
      </c>
      <c r="D268" s="106">
        <f>C268*J245</f>
        <v>774.28180574555415</v>
      </c>
      <c r="E268" s="135"/>
    </row>
    <row r="269" spans="2:5">
      <c r="B269" s="5">
        <v>2027</v>
      </c>
      <c r="C269" s="126">
        <v>10748.39</v>
      </c>
      <c r="D269" s="106">
        <f>C269*J245</f>
        <v>1531.6333219334244</v>
      </c>
    </row>
    <row r="270" spans="2:5">
      <c r="B270" s="5">
        <v>2028</v>
      </c>
      <c r="C270" s="126">
        <v>19756.57</v>
      </c>
      <c r="D270" s="106">
        <f>C270*J245</f>
        <v>2815.2887026903786</v>
      </c>
    </row>
    <row r="271" spans="2:5">
      <c r="B271" s="5" t="s">
        <v>89</v>
      </c>
      <c r="C271" s="126">
        <f>54412.81-SUM(C268:C270)</f>
        <v>18474.25</v>
      </c>
      <c r="D271" s="106">
        <f>C271*J245</f>
        <v>2632.5595645234839</v>
      </c>
    </row>
    <row r="272" spans="2:5" ht="15.75" thickBot="1">
      <c r="B272" s="3" t="s">
        <v>35</v>
      </c>
      <c r="C272" s="124">
        <f>SUM(C268:C271)</f>
        <v>54412.81</v>
      </c>
      <c r="D272" s="124">
        <f>SUM(D268:D271)</f>
        <v>7753.7633948928415</v>
      </c>
    </row>
    <row r="276" spans="1:10">
      <c r="A276" s="28" t="s">
        <v>90</v>
      </c>
      <c r="I276" s="8" t="s">
        <v>91</v>
      </c>
      <c r="J276" s="117">
        <f>Model!AH$210</f>
        <v>0.1376</v>
      </c>
    </row>
    <row r="277" spans="1:10">
      <c r="I277" s="8" t="s">
        <v>92</v>
      </c>
      <c r="J277" s="117">
        <f>Model!AH$211</f>
        <v>0.13845930265003639</v>
      </c>
    </row>
    <row r="278" spans="1:10">
      <c r="I278" s="8"/>
      <c r="J278" s="117"/>
    </row>
    <row r="279" spans="1:10">
      <c r="B279" s="27" t="s">
        <v>93</v>
      </c>
      <c r="C279" s="100" t="s">
        <v>4</v>
      </c>
      <c r="D279" s="100" t="s">
        <v>5</v>
      </c>
      <c r="E279" s="100" t="s">
        <v>6</v>
      </c>
      <c r="F279" s="100" t="s">
        <v>5</v>
      </c>
      <c r="I279" s="27" t="s">
        <v>94</v>
      </c>
      <c r="J279" s="100" t="s">
        <v>4</v>
      </c>
    </row>
    <row r="280" spans="1:10">
      <c r="B280" s="25" t="s">
        <v>50</v>
      </c>
      <c r="C280" s="120">
        <f>Model!AH$119</f>
        <v>3097.4879999999998</v>
      </c>
      <c r="D280" s="26"/>
      <c r="E280" s="104">
        <f>C280*J276</f>
        <v>426.21434879999998</v>
      </c>
      <c r="I280" s="25" t="s">
        <v>21</v>
      </c>
      <c r="J280" s="24">
        <v>54704.167999999998</v>
      </c>
    </row>
    <row r="281" spans="1:10">
      <c r="B281" s="25" t="s">
        <v>51</v>
      </c>
      <c r="C281" s="120">
        <f>Model!AH$120</f>
        <v>29187.667000000001</v>
      </c>
      <c r="D281" s="26"/>
      <c r="E281" s="104">
        <f>C281*J276</f>
        <v>4016.2229792000003</v>
      </c>
      <c r="I281" s="25" t="s">
        <v>61</v>
      </c>
      <c r="J281" s="24">
        <v>78548.048999999999</v>
      </c>
    </row>
    <row r="282" spans="1:10">
      <c r="B282" s="19" t="s">
        <v>20</v>
      </c>
      <c r="C282" s="18">
        <f>C280+C281</f>
        <v>32285.155000000002</v>
      </c>
      <c r="D282" s="17">
        <f>C282/C290</f>
        <v>0.97830192206845223</v>
      </c>
      <c r="E282" s="18">
        <f>E280+E281</f>
        <v>4442.437328</v>
      </c>
      <c r="F282" s="17">
        <f>E282/E290</f>
        <v>0.97223040922619886</v>
      </c>
      <c r="I282" s="19" t="s">
        <v>62</v>
      </c>
      <c r="J282" s="18">
        <f>J280+J281</f>
        <v>133252.217</v>
      </c>
    </row>
    <row r="283" spans="1:10">
      <c r="B283" s="13" t="s">
        <v>21</v>
      </c>
      <c r="C283" s="21">
        <f>Model!AH$122</f>
        <v>54704.167999999998</v>
      </c>
      <c r="D283" s="20"/>
      <c r="E283" s="104">
        <f>C283*J276</f>
        <v>7527.2935167999995</v>
      </c>
      <c r="I283" s="118" t="s">
        <v>63</v>
      </c>
      <c r="J283" s="119">
        <f>J282-C283-C284</f>
        <v>0</v>
      </c>
    </row>
    <row r="284" spans="1:10">
      <c r="B284" s="13" t="s">
        <v>22</v>
      </c>
      <c r="C284" s="21">
        <f>Model!AH$123</f>
        <v>78548.048999999999</v>
      </c>
      <c r="D284" s="20"/>
      <c r="E284" s="104">
        <f>C284*J276</f>
        <v>10808.2115424</v>
      </c>
      <c r="I284" s="118"/>
      <c r="J284" s="119"/>
    </row>
    <row r="285" spans="1:10">
      <c r="B285" s="19" t="s">
        <v>52</v>
      </c>
      <c r="C285" s="18">
        <f>C282-C283-C284</f>
        <v>-100967.06199999999</v>
      </c>
      <c r="D285" s="17">
        <f>C285/C290</f>
        <v>-3.0594950162142496</v>
      </c>
      <c r="E285" s="18">
        <f>E282-E283-E284</f>
        <v>-13893.067731200001</v>
      </c>
      <c r="F285" s="17">
        <f>E285/E290</f>
        <v>-3.0405072550101431</v>
      </c>
    </row>
    <row r="286" spans="1:10">
      <c r="B286" s="8" t="s">
        <v>24</v>
      </c>
      <c r="C286" s="128">
        <f>Model!AH$126</f>
        <v>19111.918000000001</v>
      </c>
      <c r="D286" s="15"/>
      <c r="E286" s="104">
        <f>C286*J276</f>
        <v>2629.7999168000001</v>
      </c>
      <c r="F286" s="15"/>
    </row>
    <row r="287" spans="1:10">
      <c r="B287" s="19" t="s">
        <v>25</v>
      </c>
      <c r="C287" s="18">
        <f>C285-C286</f>
        <v>-120078.98</v>
      </c>
      <c r="D287" s="17">
        <f>C287/C290</f>
        <v>-3.6386226714420054</v>
      </c>
      <c r="E287" s="18">
        <f>E285-E286</f>
        <v>-16522.867647999999</v>
      </c>
      <c r="F287" s="17">
        <f>E287/E290</f>
        <v>-3.6160407427148651</v>
      </c>
    </row>
    <row r="288" spans="1:10">
      <c r="B288" s="8" t="s">
        <v>26</v>
      </c>
      <c r="C288" s="16">
        <f>Model!AH$128</f>
        <v>160499.35999999999</v>
      </c>
      <c r="D288" s="15"/>
      <c r="E288" s="104">
        <f>C288*J276</f>
        <v>22084.711936</v>
      </c>
    </row>
    <row r="289" spans="2:5">
      <c r="B289" s="8" t="s">
        <v>27</v>
      </c>
      <c r="C289" s="16">
        <f>C285+C288</f>
        <v>59532.297999999995</v>
      </c>
      <c r="D289" s="15"/>
      <c r="E289" s="16">
        <f>E285+E288</f>
        <v>8191.644204799999</v>
      </c>
    </row>
    <row r="290" spans="2:5">
      <c r="B290" s="13" t="s">
        <v>28</v>
      </c>
      <c r="C290" s="14">
        <f>Model!AH$89</f>
        <v>33001.218000000001</v>
      </c>
      <c r="D290" s="13"/>
      <c r="E290" s="104">
        <f>C290*J277</f>
        <v>4569.3256308818291</v>
      </c>
    </row>
    <row r="291" spans="2:5">
      <c r="B291" s="12" t="s">
        <v>29</v>
      </c>
      <c r="C291" s="11">
        <f>+C282-Model!AH$121</f>
        <v>0</v>
      </c>
      <c r="D291" s="10"/>
    </row>
    <row r="292" spans="2:5" ht="15.75" thickBot="1">
      <c r="B292" s="12"/>
      <c r="C292" s="11"/>
      <c r="D292" s="10"/>
    </row>
    <row r="293" spans="2:5">
      <c r="B293" s="6" t="s">
        <v>95</v>
      </c>
      <c r="C293" s="9" t="s">
        <v>4</v>
      </c>
      <c r="D293" s="9" t="s">
        <v>6</v>
      </c>
    </row>
    <row r="294" spans="2:5">
      <c r="B294" s="101" t="s">
        <v>21</v>
      </c>
      <c r="C294" s="106">
        <f>J280</f>
        <v>54704.167999999998</v>
      </c>
      <c r="D294" s="106">
        <f>C294*J276</f>
        <v>7527.2935167999995</v>
      </c>
    </row>
    <row r="295" spans="2:5">
      <c r="B295" s="101" t="s">
        <v>65</v>
      </c>
      <c r="C295" s="116">
        <f>78548.049+19111.918</f>
        <v>97659.967000000004</v>
      </c>
      <c r="D295" s="106">
        <f>C295*J276</f>
        <v>13438.011459200001</v>
      </c>
    </row>
    <row r="296" spans="2:5" ht="15.75" thickBot="1">
      <c r="B296" s="3" t="s">
        <v>32</v>
      </c>
      <c r="C296" s="2">
        <f>SUM(C294:C295)</f>
        <v>152364.13500000001</v>
      </c>
      <c r="D296" s="2">
        <f>SUM(D294:D295)</f>
        <v>20965.304975999999</v>
      </c>
    </row>
    <row r="297" spans="2:5" ht="15.75" thickBot="1">
      <c r="B297" s="12"/>
      <c r="C297" s="11"/>
      <c r="D297" s="10"/>
    </row>
    <row r="298" spans="2:5">
      <c r="B298" s="6" t="s">
        <v>96</v>
      </c>
      <c r="C298" s="9" t="s">
        <v>4</v>
      </c>
      <c r="D298" s="9" t="s">
        <v>6</v>
      </c>
    </row>
    <row r="299" spans="2:5">
      <c r="B299" s="127" t="s">
        <v>97</v>
      </c>
      <c r="C299" s="126">
        <v>5432.11</v>
      </c>
      <c r="D299" s="106">
        <f>C299*J276</f>
        <v>747.45833599999992</v>
      </c>
      <c r="E299" s="135"/>
    </row>
    <row r="300" spans="2:5">
      <c r="B300" s="5" t="s">
        <v>42</v>
      </c>
      <c r="C300" s="126">
        <v>10569.59</v>
      </c>
      <c r="D300" s="106">
        <f>C300*J276</f>
        <v>1454.3755840000001</v>
      </c>
    </row>
    <row r="301" spans="2:5">
      <c r="B301" s="5" t="s">
        <v>43</v>
      </c>
      <c r="C301" s="126">
        <v>10878.78</v>
      </c>
      <c r="D301" s="106">
        <f>C301*J276</f>
        <v>1496.9201280000002</v>
      </c>
    </row>
    <row r="302" spans="2:5">
      <c r="B302" s="5" t="s">
        <v>98</v>
      </c>
      <c r="C302" s="126">
        <v>8905.35</v>
      </c>
      <c r="D302" s="106">
        <f>C302*J276</f>
        <v>1225.37616</v>
      </c>
    </row>
    <row r="303" spans="2:5" ht="15.75" thickBot="1">
      <c r="B303" s="3" t="s">
        <v>35</v>
      </c>
      <c r="C303" s="124">
        <f>SUM(C299:C302)</f>
        <v>35785.83</v>
      </c>
      <c r="D303" s="124">
        <f>SUM(D299:D302)</f>
        <v>4924.1302080000005</v>
      </c>
    </row>
    <row r="307" spans="1:10">
      <c r="A307" s="28" t="s">
        <v>99</v>
      </c>
      <c r="I307" s="8" t="s">
        <v>100</v>
      </c>
      <c r="J307" s="117">
        <f>Model!AG$210</f>
        <v>0.1396</v>
      </c>
    </row>
    <row r="308" spans="1:10">
      <c r="I308" s="8" t="s">
        <v>101</v>
      </c>
      <c r="J308" s="117">
        <f>Model!AG$211</f>
        <v>0.13970930265003639</v>
      </c>
    </row>
    <row r="309" spans="1:10">
      <c r="I309" s="8"/>
      <c r="J309" s="117"/>
    </row>
    <row r="310" spans="1:10">
      <c r="B310" s="27" t="s">
        <v>102</v>
      </c>
      <c r="C310" s="100" t="s">
        <v>4</v>
      </c>
      <c r="D310" s="100" t="s">
        <v>5</v>
      </c>
      <c r="E310" s="100" t="s">
        <v>6</v>
      </c>
      <c r="F310" s="100" t="s">
        <v>5</v>
      </c>
      <c r="I310" s="27" t="s">
        <v>103</v>
      </c>
      <c r="J310" s="100" t="s">
        <v>4</v>
      </c>
    </row>
    <row r="311" spans="1:10">
      <c r="B311" s="25" t="s">
        <v>50</v>
      </c>
      <c r="C311" s="120">
        <f>Model!AG$119</f>
        <v>13440.444</v>
      </c>
      <c r="D311" s="26"/>
      <c r="E311" s="104">
        <f>C311*J307</f>
        <v>1876.2859824</v>
      </c>
      <c r="I311" s="25" t="s">
        <v>21</v>
      </c>
      <c r="J311" s="24">
        <v>50783.77</v>
      </c>
    </row>
    <row r="312" spans="1:10">
      <c r="B312" s="25" t="s">
        <v>51</v>
      </c>
      <c r="C312" s="120">
        <f>Model!AG$120</f>
        <v>39557.725999999995</v>
      </c>
      <c r="D312" s="26"/>
      <c r="E312" s="104">
        <f>C312*J307</f>
        <v>5522.2585495999992</v>
      </c>
      <c r="I312" s="25" t="s">
        <v>61</v>
      </c>
      <c r="J312" s="24">
        <v>87810.510999999999</v>
      </c>
    </row>
    <row r="313" spans="1:10">
      <c r="B313" s="19" t="s">
        <v>20</v>
      </c>
      <c r="C313" s="18">
        <f>C311+C312</f>
        <v>52998.17</v>
      </c>
      <c r="D313" s="17">
        <f>C313/C321</f>
        <v>2.0632854064896304</v>
      </c>
      <c r="E313" s="18">
        <f>E311+E312</f>
        <v>7398.544531999999</v>
      </c>
      <c r="F313" s="17">
        <f>E313/E321</f>
        <v>2.0616711792446796</v>
      </c>
      <c r="I313" s="19" t="s">
        <v>62</v>
      </c>
      <c r="J313" s="18">
        <f>J311+J312</f>
        <v>138594.28099999999</v>
      </c>
    </row>
    <row r="314" spans="1:10">
      <c r="B314" s="13" t="s">
        <v>21</v>
      </c>
      <c r="C314" s="21">
        <f>Model!AG$122</f>
        <v>50783.77</v>
      </c>
      <c r="D314" s="20"/>
      <c r="E314" s="104">
        <f>C314*J307</f>
        <v>7089.4142919999995</v>
      </c>
      <c r="I314" s="118" t="s">
        <v>63</v>
      </c>
      <c r="J314" s="119">
        <f>J313-C314-C315</f>
        <v>0</v>
      </c>
    </row>
    <row r="315" spans="1:10">
      <c r="B315" s="13" t="s">
        <v>22</v>
      </c>
      <c r="C315" s="21">
        <f>Model!AG$123</f>
        <v>87810.510999999999</v>
      </c>
      <c r="D315" s="20"/>
      <c r="E315" s="104">
        <f>C315*J307</f>
        <v>12258.347335599999</v>
      </c>
      <c r="I315" s="118"/>
      <c r="J315" s="119"/>
    </row>
    <row r="316" spans="1:10">
      <c r="B316" s="19" t="s">
        <v>52</v>
      </c>
      <c r="C316" s="18">
        <f>C313-C314-C315</f>
        <v>-85596.111000000004</v>
      </c>
      <c r="D316" s="17">
        <f>C316/C321</f>
        <v>-3.3323642434930592</v>
      </c>
      <c r="E316" s="18">
        <f>E313-E314-E315</f>
        <v>-11949.217095600001</v>
      </c>
      <c r="F316" s="17">
        <f>E316/E321</f>
        <v>-3.3297571426358408</v>
      </c>
    </row>
    <row r="317" spans="1:10">
      <c r="B317" s="8" t="s">
        <v>24</v>
      </c>
      <c r="C317" s="128">
        <f>Model!AG$126</f>
        <v>18276.776000000002</v>
      </c>
      <c r="D317" s="15"/>
      <c r="E317" s="104">
        <f>C317*J307</f>
        <v>2551.4379296000002</v>
      </c>
      <c r="F317" s="15"/>
    </row>
    <row r="318" spans="1:10">
      <c r="B318" s="19" t="s">
        <v>25</v>
      </c>
      <c r="C318" s="18">
        <f>C316-C317</f>
        <v>-103872.887</v>
      </c>
      <c r="D318" s="17">
        <f>C318/C321</f>
        <v>-4.0439021173192673</v>
      </c>
      <c r="E318" s="18">
        <f>E316-E317</f>
        <v>-14500.655025200002</v>
      </c>
      <c r="F318" s="17">
        <f>E318/E321</f>
        <v>-4.0407383393207619</v>
      </c>
    </row>
    <row r="319" spans="1:10">
      <c r="B319" s="8" t="s">
        <v>26</v>
      </c>
      <c r="C319" s="16">
        <f>Model!AG$128</f>
        <v>156738.75</v>
      </c>
      <c r="D319" s="15"/>
      <c r="E319" s="104">
        <f>C319*J307</f>
        <v>21880.729500000001</v>
      </c>
    </row>
    <row r="320" spans="1:10">
      <c r="B320" s="8" t="s">
        <v>27</v>
      </c>
      <c r="C320" s="16">
        <f>C316+C319</f>
        <v>71142.638999999996</v>
      </c>
      <c r="D320" s="15"/>
      <c r="E320" s="16">
        <f>E316+E319</f>
        <v>9931.5124044000004</v>
      </c>
    </row>
    <row r="321" spans="2:5">
      <c r="B321" s="13" t="s">
        <v>28</v>
      </c>
      <c r="C321" s="14">
        <f>Model!AG$89</f>
        <v>25686.300999999999</v>
      </c>
      <c r="D321" s="13"/>
      <c r="E321" s="104">
        <f>C321*J308</f>
        <v>3588.6152003689322</v>
      </c>
    </row>
    <row r="322" spans="2:5">
      <c r="B322" s="12" t="s">
        <v>29</v>
      </c>
      <c r="C322" s="11">
        <f>+C313-Model!AG$121</f>
        <v>0</v>
      </c>
      <c r="D322" s="10"/>
    </row>
    <row r="323" spans="2:5" ht="15.75" thickBot="1">
      <c r="B323" s="12"/>
      <c r="C323" s="11"/>
      <c r="D323" s="10"/>
    </row>
    <row r="324" spans="2:5">
      <c r="B324" s="6" t="s">
        <v>104</v>
      </c>
      <c r="C324" s="9" t="s">
        <v>4</v>
      </c>
      <c r="D324" s="9" t="s">
        <v>6</v>
      </c>
    </row>
    <row r="325" spans="2:5">
      <c r="B325" s="101" t="s">
        <v>21</v>
      </c>
      <c r="C325" s="106">
        <f>J311</f>
        <v>50783.77</v>
      </c>
      <c r="D325" s="106">
        <f>C325*J307</f>
        <v>7089.4142919999995</v>
      </c>
    </row>
    <row r="326" spans="2:5">
      <c r="B326" s="101" t="s">
        <v>65</v>
      </c>
      <c r="C326" s="116">
        <f>87810.511+18276.776</f>
        <v>106087.287</v>
      </c>
      <c r="D326" s="106">
        <f>C326*J307</f>
        <v>14809.7852652</v>
      </c>
    </row>
    <row r="327" spans="2:5" ht="15.75" thickBot="1">
      <c r="B327" s="3" t="s">
        <v>32</v>
      </c>
      <c r="C327" s="2">
        <f>SUM(C325:C326)</f>
        <v>156871.057</v>
      </c>
      <c r="D327" s="2">
        <f>SUM(D325:D326)</f>
        <v>21899.199557200001</v>
      </c>
    </row>
    <row r="328" spans="2:5" ht="15.75" thickBot="1">
      <c r="B328" s="12"/>
      <c r="C328" s="11"/>
      <c r="D328" s="10"/>
    </row>
    <row r="329" spans="2:5">
      <c r="B329" s="6" t="s">
        <v>105</v>
      </c>
      <c r="C329" s="9" t="s">
        <v>4</v>
      </c>
      <c r="D329" s="9" t="s">
        <v>6</v>
      </c>
    </row>
    <row r="330" spans="2:5">
      <c r="B330" s="127" t="s">
        <v>97</v>
      </c>
      <c r="C330" s="126">
        <v>5432.11</v>
      </c>
      <c r="D330" s="106">
        <f>C330*J307</f>
        <v>758.32255599999996</v>
      </c>
      <c r="E330" s="135"/>
    </row>
    <row r="331" spans="2:5">
      <c r="B331" s="5" t="s">
        <v>42</v>
      </c>
      <c r="C331" s="126">
        <v>10745.43</v>
      </c>
      <c r="D331" s="106">
        <f>C331*J307</f>
        <v>1500.0620280000001</v>
      </c>
    </row>
    <row r="332" spans="2:5">
      <c r="B332" s="5" t="s">
        <v>43</v>
      </c>
      <c r="C332" s="126">
        <v>11059.77</v>
      </c>
      <c r="D332" s="106">
        <f>C332*J307</f>
        <v>1543.943892</v>
      </c>
    </row>
    <row r="333" spans="2:5">
      <c r="B333" s="5" t="s">
        <v>98</v>
      </c>
      <c r="C333" s="126">
        <v>9053.5</v>
      </c>
      <c r="D333" s="106">
        <f>C333*J307</f>
        <v>1263.8686</v>
      </c>
    </row>
    <row r="334" spans="2:5" ht="15.75" thickBot="1">
      <c r="B334" s="3" t="s">
        <v>35</v>
      </c>
      <c r="C334" s="124">
        <f>SUM(C330:C333)</f>
        <v>36290.81</v>
      </c>
      <c r="D334" s="124">
        <f>SUM(D330:D333)</f>
        <v>5066.1970759999995</v>
      </c>
    </row>
    <row r="338" spans="1:10">
      <c r="A338" s="28" t="s">
        <v>106</v>
      </c>
      <c r="I338" s="8" t="s">
        <v>107</v>
      </c>
      <c r="J338" s="117">
        <f>Model!AF$210</f>
        <v>0.14088872608413874</v>
      </c>
    </row>
    <row r="339" spans="1:10">
      <c r="I339" s="8" t="s">
        <v>108</v>
      </c>
      <c r="J339" s="117">
        <f>Model!AF$211</f>
        <v>0.14129263598336972</v>
      </c>
    </row>
    <row r="340" spans="1:10">
      <c r="I340" s="8"/>
      <c r="J340" s="117"/>
    </row>
    <row r="341" spans="1:10">
      <c r="B341" s="27" t="s">
        <v>109</v>
      </c>
      <c r="C341" s="100" t="s">
        <v>4</v>
      </c>
      <c r="D341" s="100" t="s">
        <v>5</v>
      </c>
      <c r="E341" s="100" t="s">
        <v>6</v>
      </c>
      <c r="F341" s="100" t="s">
        <v>5</v>
      </c>
      <c r="I341" s="27" t="s">
        <v>110</v>
      </c>
      <c r="J341" s="100" t="s">
        <v>4</v>
      </c>
    </row>
    <row r="342" spans="1:10">
      <c r="B342" s="25" t="s">
        <v>50</v>
      </c>
      <c r="C342" s="120">
        <f>Model!AF$119</f>
        <v>21801.578000000001</v>
      </c>
      <c r="D342" s="26"/>
      <c r="E342" s="104">
        <f>C342*J338</f>
        <v>3071.5965510439855</v>
      </c>
      <c r="I342" s="25" t="s">
        <v>21</v>
      </c>
      <c r="J342" s="24">
        <v>33339.754000000001</v>
      </c>
    </row>
    <row r="343" spans="1:10">
      <c r="B343" s="25" t="s">
        <v>51</v>
      </c>
      <c r="C343" s="120">
        <f>Model!AF$120</f>
        <v>38819.321000000004</v>
      </c>
      <c r="D343" s="26"/>
      <c r="E343" s="104">
        <f>C343*J338</f>
        <v>5469.2046831412554</v>
      </c>
      <c r="I343" s="25" t="s">
        <v>61</v>
      </c>
      <c r="J343" s="24">
        <v>111820.679</v>
      </c>
    </row>
    <row r="344" spans="1:10">
      <c r="B344" s="19" t="s">
        <v>20</v>
      </c>
      <c r="C344" s="18">
        <f>C342+C343</f>
        <v>60620.899000000005</v>
      </c>
      <c r="D344" s="17">
        <f>C344/C352</f>
        <v>2.5387743237315594</v>
      </c>
      <c r="E344" s="18">
        <f>E342+E343</f>
        <v>8540.8012341852409</v>
      </c>
      <c r="F344" s="17">
        <f>E344/E352</f>
        <v>2.5315167899320676</v>
      </c>
      <c r="I344" s="19" t="s">
        <v>62</v>
      </c>
      <c r="J344" s="18">
        <f>J342+J343</f>
        <v>145160.43300000002</v>
      </c>
    </row>
    <row r="345" spans="1:10">
      <c r="B345" s="13" t="s">
        <v>21</v>
      </c>
      <c r="C345" s="21">
        <f>Model!AF$122</f>
        <v>33339.754000000001</v>
      </c>
      <c r="D345" s="20"/>
      <c r="E345" s="104">
        <f>C345*J338</f>
        <v>4697.1954690185694</v>
      </c>
      <c r="I345" s="118" t="s">
        <v>63</v>
      </c>
      <c r="J345" s="119">
        <f>J344-C345-C346</f>
        <v>0</v>
      </c>
    </row>
    <row r="346" spans="1:10">
      <c r="B346" s="13" t="s">
        <v>22</v>
      </c>
      <c r="C346" s="21">
        <f>Model!AF$123</f>
        <v>111820.679</v>
      </c>
      <c r="D346" s="20"/>
      <c r="E346" s="104">
        <f>C346*J338</f>
        <v>15754.273014173406</v>
      </c>
      <c r="I346" s="118"/>
      <c r="J346" s="119"/>
    </row>
    <row r="347" spans="1:10">
      <c r="B347" s="19" t="s">
        <v>52</v>
      </c>
      <c r="C347" s="18">
        <f>C344-C345-C346</f>
        <v>-84539.534</v>
      </c>
      <c r="D347" s="17">
        <f>C347/C352</f>
        <v>-3.5404753443104031</v>
      </c>
      <c r="E347" s="18">
        <f>E344-E345-E346</f>
        <v>-11910.667249006736</v>
      </c>
      <c r="F347" s="17">
        <f>E347/E352</f>
        <v>-3.5303542716189824</v>
      </c>
    </row>
    <row r="348" spans="1:10">
      <c r="B348" s="8" t="s">
        <v>24</v>
      </c>
      <c r="C348" s="128">
        <f>Model!AF$126</f>
        <v>19373.228999999999</v>
      </c>
      <c r="D348" s="15"/>
      <c r="E348" s="104">
        <f>C348*J338</f>
        <v>2729.4695539462932</v>
      </c>
      <c r="F348" s="15"/>
    </row>
    <row r="349" spans="1:10">
      <c r="B349" s="19" t="s">
        <v>25</v>
      </c>
      <c r="C349" s="18">
        <f>C347-C348</f>
        <v>-103912.76300000001</v>
      </c>
      <c r="D349" s="17">
        <f>C349/C352</f>
        <v>-4.3518169305341843</v>
      </c>
      <c r="E349" s="18">
        <f>E347-E348</f>
        <v>-14640.136802953029</v>
      </c>
      <c r="F349" s="17">
        <f>E349/E352</f>
        <v>-4.3393764949399998</v>
      </c>
    </row>
    <row r="350" spans="1:10">
      <c r="B350" s="8" t="s">
        <v>26</v>
      </c>
      <c r="C350" s="16">
        <f>Model!AF$128</f>
        <v>151956.367</v>
      </c>
      <c r="D350" s="15"/>
      <c r="E350" s="104">
        <f>C350*J338</f>
        <v>21408.938967003858</v>
      </c>
    </row>
    <row r="351" spans="1:10">
      <c r="B351" s="8" t="s">
        <v>27</v>
      </c>
      <c r="C351" s="16">
        <f>C347+C350</f>
        <v>67416.832999999999</v>
      </c>
      <c r="D351" s="15"/>
      <c r="E351" s="16">
        <f>E347+E350</f>
        <v>9498.2717179971223</v>
      </c>
    </row>
    <row r="352" spans="1:10">
      <c r="B352" s="13" t="s">
        <v>28</v>
      </c>
      <c r="C352" s="14">
        <f>Model!AF$89</f>
        <v>23878.018</v>
      </c>
      <c r="D352" s="13"/>
      <c r="E352" s="104">
        <f>C352*J339</f>
        <v>3373.78810527835</v>
      </c>
    </row>
    <row r="353" spans="1:10">
      <c r="B353" s="12" t="s">
        <v>29</v>
      </c>
      <c r="C353" s="11">
        <f>+C344-Model!AF$121</f>
        <v>0</v>
      </c>
      <c r="D353" s="10"/>
    </row>
    <row r="354" spans="1:10" ht="15.75" thickBot="1">
      <c r="B354" s="12"/>
      <c r="C354" s="11"/>
      <c r="D354" s="10"/>
    </row>
    <row r="355" spans="1:10">
      <c r="B355" s="6" t="s">
        <v>111</v>
      </c>
      <c r="C355" s="9" t="s">
        <v>4</v>
      </c>
      <c r="D355" s="9" t="s">
        <v>6</v>
      </c>
    </row>
    <row r="356" spans="1:10">
      <c r="B356" s="101" t="s">
        <v>21</v>
      </c>
      <c r="C356" s="106">
        <f>J342</f>
        <v>33339.754000000001</v>
      </c>
      <c r="D356" s="106">
        <f>C356*J338</f>
        <v>4697.1954690185694</v>
      </c>
    </row>
    <row r="357" spans="1:10">
      <c r="B357" s="101" t="s">
        <v>65</v>
      </c>
      <c r="C357" s="116">
        <f>111820.679+19373.229</f>
        <v>131193.908</v>
      </c>
      <c r="D357" s="106">
        <f>C357*J338</f>
        <v>18483.742568119698</v>
      </c>
    </row>
    <row r="358" spans="1:10" ht="15.75" thickBot="1">
      <c r="B358" s="3" t="s">
        <v>32</v>
      </c>
      <c r="C358" s="2">
        <f>SUM(C356:C357)</f>
        <v>164533.66200000001</v>
      </c>
      <c r="D358" s="2">
        <f>SUM(D356:D357)</f>
        <v>23180.938037138269</v>
      </c>
    </row>
    <row r="359" spans="1:10" ht="15.75" thickBot="1">
      <c r="B359" s="12"/>
      <c r="C359" s="11"/>
      <c r="D359" s="10"/>
    </row>
    <row r="360" spans="1:10">
      <c r="B360" s="6" t="s">
        <v>112</v>
      </c>
      <c r="C360" s="9" t="s">
        <v>4</v>
      </c>
      <c r="D360" s="9" t="s">
        <v>6</v>
      </c>
    </row>
    <row r="361" spans="1:10">
      <c r="B361" s="127" t="s">
        <v>97</v>
      </c>
      <c r="C361" s="126">
        <v>5323.35</v>
      </c>
      <c r="D361" s="106">
        <f>C361*J338</f>
        <v>750</v>
      </c>
      <c r="E361" s="135"/>
    </row>
    <row r="362" spans="1:10">
      <c r="B362" s="5" t="s">
        <v>42</v>
      </c>
      <c r="C362" s="126">
        <v>10530.29608</v>
      </c>
      <c r="D362" s="106">
        <f>C362*J338</f>
        <v>1483.6</v>
      </c>
    </row>
    <row r="363" spans="1:10">
      <c r="B363" s="5" t="s">
        <v>43</v>
      </c>
      <c r="C363" s="126">
        <v>10838.3406</v>
      </c>
      <c r="D363" s="106">
        <f>C363*J338</f>
        <v>1527</v>
      </c>
    </row>
    <row r="364" spans="1:10">
      <c r="B364" s="5" t="s">
        <v>98</v>
      </c>
      <c r="C364" s="126">
        <v>8872.25</v>
      </c>
      <c r="D364" s="106">
        <f>C364*J338</f>
        <v>1250</v>
      </c>
    </row>
    <row r="365" spans="1:10" ht="15.75" thickBot="1">
      <c r="B365" s="3" t="s">
        <v>35</v>
      </c>
      <c r="C365" s="124">
        <f>SUM(C361:C364)</f>
        <v>35564.236680000002</v>
      </c>
      <c r="D365" s="124">
        <f>SUM(D361:D364)</f>
        <v>5010.6000000000004</v>
      </c>
    </row>
    <row r="366" spans="1:10">
      <c r="B366" s="8"/>
      <c r="C366" s="125"/>
      <c r="D366" s="125"/>
    </row>
    <row r="367" spans="1:10">
      <c r="A367" s="28" t="s">
        <v>113</v>
      </c>
      <c r="I367" s="8" t="s">
        <v>114</v>
      </c>
      <c r="J367" s="117">
        <f>Model!AE$210</f>
        <v>0.13696753869332967</v>
      </c>
    </row>
    <row r="368" spans="1:10">
      <c r="I368" s="8" t="s">
        <v>115</v>
      </c>
      <c r="J368" s="117">
        <f>Model!AE$211</f>
        <v>0.14182414311875141</v>
      </c>
    </row>
    <row r="369" spans="2:10">
      <c r="I369" s="8"/>
      <c r="J369" s="117"/>
    </row>
    <row r="370" spans="2:10">
      <c r="B370" s="27" t="s">
        <v>116</v>
      </c>
      <c r="C370" s="100" t="s">
        <v>4</v>
      </c>
      <c r="D370" s="100" t="s">
        <v>5</v>
      </c>
      <c r="E370" s="100" t="s">
        <v>6</v>
      </c>
      <c r="F370" s="100" t="s">
        <v>5</v>
      </c>
      <c r="I370" s="27" t="s">
        <v>117</v>
      </c>
      <c r="J370" s="100" t="s">
        <v>4</v>
      </c>
    </row>
    <row r="371" spans="2:10">
      <c r="B371" s="25" t="s">
        <v>50</v>
      </c>
      <c r="C371" s="120">
        <f>Model!AE$119</f>
        <v>24067.210999999999</v>
      </c>
      <c r="D371" s="26"/>
      <c r="E371" s="104">
        <f>C371*J367</f>
        <v>3296.4266538830293</v>
      </c>
      <c r="I371" s="25" t="s">
        <v>21</v>
      </c>
      <c r="J371" s="24">
        <v>25148.894</v>
      </c>
    </row>
    <row r="372" spans="2:10">
      <c r="B372" s="25" t="s">
        <v>51</v>
      </c>
      <c r="C372" s="120">
        <f>Model!AE$120</f>
        <v>38806.853000000003</v>
      </c>
      <c r="D372" s="26"/>
      <c r="E372" s="104">
        <f>C372*J367</f>
        <v>5315.2791398438567</v>
      </c>
      <c r="I372" s="25" t="s">
        <v>61</v>
      </c>
      <c r="J372" s="24">
        <v>108471.39599999999</v>
      </c>
    </row>
    <row r="373" spans="2:10">
      <c r="B373" s="19" t="s">
        <v>20</v>
      </c>
      <c r="C373" s="18">
        <f>C371+C372</f>
        <v>62874.063999999998</v>
      </c>
      <c r="D373" s="17">
        <f>C373/C381</f>
        <v>2.7224697487431531</v>
      </c>
      <c r="E373" s="18">
        <f>E371+E372</f>
        <v>8611.7057937268855</v>
      </c>
      <c r="F373" s="17">
        <f>E373/E381</f>
        <v>2.6292419079886216</v>
      </c>
      <c r="I373" s="19" t="s">
        <v>62</v>
      </c>
      <c r="J373" s="18">
        <f>J371+J372</f>
        <v>133620.28999999998</v>
      </c>
    </row>
    <row r="374" spans="2:10">
      <c r="B374" s="13" t="s">
        <v>21</v>
      </c>
      <c r="C374" s="21">
        <f>Model!AE$122</f>
        <v>25148.894</v>
      </c>
      <c r="D374" s="20"/>
      <c r="E374" s="104">
        <f>C374*J367</f>
        <v>3444.5821120394467</v>
      </c>
      <c r="I374" s="118" t="s">
        <v>63</v>
      </c>
      <c r="J374" s="119">
        <f>J373-C374-C375</f>
        <v>0</v>
      </c>
    </row>
    <row r="375" spans="2:10">
      <c r="B375" s="13" t="s">
        <v>22</v>
      </c>
      <c r="C375" s="21">
        <f>Model!AE$123</f>
        <v>108471.39599999999</v>
      </c>
      <c r="D375" s="20"/>
      <c r="E375" s="104">
        <f>C375*J367</f>
        <v>14857.060128749485</v>
      </c>
      <c r="I375" s="118"/>
      <c r="J375" s="119"/>
    </row>
    <row r="376" spans="2:10">
      <c r="B376" s="19" t="s">
        <v>52</v>
      </c>
      <c r="C376" s="18">
        <f>C373-C374-C375</f>
        <v>-70746.225999999995</v>
      </c>
      <c r="D376" s="17">
        <f>C376/C381</f>
        <v>-3.0633372152108111</v>
      </c>
      <c r="E376" s="18">
        <f>E373-E374-E375</f>
        <v>-9689.9364470620458</v>
      </c>
      <c r="F376" s="17">
        <f>E376/E381</f>
        <v>-2.9584367606845685</v>
      </c>
    </row>
    <row r="377" spans="2:10">
      <c r="B377" s="8" t="s">
        <v>24</v>
      </c>
      <c r="C377" s="128">
        <f>Model!AE$126</f>
        <v>18194.060000000001</v>
      </c>
      <c r="D377" s="15"/>
      <c r="E377" s="104">
        <f>C377*J367</f>
        <v>2491.9956170387618</v>
      </c>
      <c r="F377" s="15"/>
    </row>
    <row r="378" spans="2:10">
      <c r="B378" s="19" t="s">
        <v>25</v>
      </c>
      <c r="C378" s="18">
        <f>C376-C377</f>
        <v>-88940.285999999993</v>
      </c>
      <c r="D378" s="17">
        <f>C378/C381</f>
        <v>-3.8511466044180658</v>
      </c>
      <c r="E378" s="18">
        <f>E376-E377</f>
        <v>-12181.932064100807</v>
      </c>
      <c r="F378" s="17">
        <f>E378/E381</f>
        <v>-3.7192685247718948</v>
      </c>
    </row>
    <row r="379" spans="2:10">
      <c r="B379" s="8" t="s">
        <v>26</v>
      </c>
      <c r="C379" s="16">
        <f>Model!AE$128</f>
        <v>147823.76500000001</v>
      </c>
      <c r="D379" s="15"/>
      <c r="E379" s="104">
        <f>C379*J367</f>
        <v>20247.057252431176</v>
      </c>
    </row>
    <row r="380" spans="2:10">
      <c r="B380" s="8" t="s">
        <v>27</v>
      </c>
      <c r="C380" s="16">
        <f>C376+C379</f>
        <v>77077.539000000019</v>
      </c>
      <c r="D380" s="15"/>
      <c r="E380" s="16">
        <f>E376+E379</f>
        <v>10557.12080536913</v>
      </c>
    </row>
    <row r="381" spans="2:10">
      <c r="B381" s="13" t="s">
        <v>28</v>
      </c>
      <c r="C381" s="14">
        <f>Model!AE$89</f>
        <v>23094.494999999999</v>
      </c>
      <c r="D381" s="13"/>
      <c r="E381" s="104">
        <f>C381*J368</f>
        <v>3275.3569641352888</v>
      </c>
    </row>
    <row r="382" spans="2:10">
      <c r="B382" s="12" t="s">
        <v>29</v>
      </c>
      <c r="C382" s="11">
        <f>+C373-Model!AE$121</f>
        <v>0</v>
      </c>
      <c r="D382" s="10"/>
    </row>
    <row r="383" spans="2:10" ht="15.75" thickBot="1">
      <c r="B383" s="12"/>
      <c r="C383" s="11"/>
      <c r="D383" s="10"/>
    </row>
    <row r="384" spans="2:10">
      <c r="B384" s="6" t="s">
        <v>118</v>
      </c>
      <c r="C384" s="9" t="s">
        <v>4</v>
      </c>
      <c r="D384" s="9" t="s">
        <v>6</v>
      </c>
    </row>
    <row r="385" spans="1:10">
      <c r="B385" s="101" t="s">
        <v>21</v>
      </c>
      <c r="C385" s="106">
        <f>C374</f>
        <v>25148.894</v>
      </c>
      <c r="D385" s="106">
        <f>C385*J367</f>
        <v>3444.5821120394467</v>
      </c>
    </row>
    <row r="386" spans="1:10">
      <c r="B386" s="101" t="s">
        <v>65</v>
      </c>
      <c r="C386" s="116">
        <f>(18436176+17634360+2441293)/1000</f>
        <v>38511.828999999998</v>
      </c>
      <c r="D386" s="106">
        <f>C386*J367</f>
        <v>5274.8704287083956</v>
      </c>
    </row>
    <row r="387" spans="1:10" ht="15.75" thickBot="1">
      <c r="B387" s="3" t="s">
        <v>32</v>
      </c>
      <c r="C387" s="2">
        <f>SUM(C385:C386)</f>
        <v>63660.722999999998</v>
      </c>
      <c r="D387" s="2">
        <f>SUM(D385:D386)</f>
        <v>8719.4525407478432</v>
      </c>
    </row>
    <row r="388" spans="1:10" ht="15.75" thickBot="1">
      <c r="B388" s="12"/>
      <c r="C388" s="11"/>
      <c r="D388" s="10"/>
    </row>
    <row r="389" spans="1:10">
      <c r="B389" s="6" t="s">
        <v>119</v>
      </c>
      <c r="C389" s="9" t="s">
        <v>4</v>
      </c>
      <c r="D389" s="9" t="s">
        <v>6</v>
      </c>
    </row>
    <row r="390" spans="1:10">
      <c r="B390" s="127" t="s">
        <v>97</v>
      </c>
      <c r="C390" s="126">
        <v>2000</v>
      </c>
      <c r="D390" s="106">
        <f>C390*J367</f>
        <v>273.93507738665932</v>
      </c>
    </row>
    <row r="391" spans="1:10">
      <c r="B391" s="5" t="s">
        <v>42</v>
      </c>
      <c r="C391" s="126">
        <v>5463.53</v>
      </c>
      <c r="D391" s="106">
        <f>C391*J367</f>
        <v>748.32625667716741</v>
      </c>
    </row>
    <row r="392" spans="1:10">
      <c r="B392" s="5" t="s">
        <v>43</v>
      </c>
      <c r="C392" s="126">
        <f>10807.58+11123.74</f>
        <v>21931.32</v>
      </c>
      <c r="D392" s="106">
        <f>C392*J367</f>
        <v>3003.8789206957949</v>
      </c>
    </row>
    <row r="393" spans="1:10">
      <c r="B393" s="5" t="s">
        <v>98</v>
      </c>
      <c r="C393" s="126">
        <v>9105.8799999999992</v>
      </c>
      <c r="D393" s="106">
        <f>C393*J367</f>
        <v>1247.2099712368167</v>
      </c>
    </row>
    <row r="394" spans="1:10" ht="15.75" thickBot="1">
      <c r="B394" s="3" t="s">
        <v>35</v>
      </c>
      <c r="C394" s="124">
        <f>SUM(C390:C393)</f>
        <v>38500.729999999996</v>
      </c>
      <c r="D394" s="124">
        <f>SUM(D390:D393)</f>
        <v>5273.3502259964389</v>
      </c>
    </row>
    <row r="395" spans="1:10">
      <c r="B395" s="8"/>
      <c r="C395" s="125"/>
      <c r="D395" s="125"/>
    </row>
    <row r="396" spans="1:10">
      <c r="A396" s="28" t="s">
        <v>120</v>
      </c>
      <c r="I396" s="8" t="s">
        <v>121</v>
      </c>
      <c r="J396" s="117">
        <f>Model!AD$210</f>
        <v>0.13789999999999999</v>
      </c>
    </row>
    <row r="397" spans="1:10">
      <c r="I397" s="8" t="s">
        <v>122</v>
      </c>
      <c r="J397" s="117">
        <f>Model!AD$211</f>
        <v>0.1439907007820852</v>
      </c>
    </row>
    <row r="398" spans="1:10">
      <c r="I398" s="8"/>
      <c r="J398" s="117"/>
    </row>
    <row r="399" spans="1:10">
      <c r="B399" s="27" t="s">
        <v>123</v>
      </c>
      <c r="C399" s="100" t="s">
        <v>4</v>
      </c>
      <c r="D399" s="100" t="s">
        <v>5</v>
      </c>
      <c r="E399" s="100" t="s">
        <v>6</v>
      </c>
      <c r="F399" s="100" t="s">
        <v>5</v>
      </c>
      <c r="I399" s="27" t="s">
        <v>124</v>
      </c>
      <c r="J399" s="100" t="s">
        <v>4</v>
      </c>
    </row>
    <row r="400" spans="1:10">
      <c r="B400" s="25" t="s">
        <v>50</v>
      </c>
      <c r="C400" s="120">
        <f>Model!AD$119</f>
        <v>20693.991999999998</v>
      </c>
      <c r="D400" s="26"/>
      <c r="E400" s="104">
        <f>C400*J396</f>
        <v>2853.7014967999999</v>
      </c>
      <c r="I400" s="25" t="s">
        <v>21</v>
      </c>
      <c r="J400" s="24">
        <v>27003.038</v>
      </c>
    </row>
    <row r="401" spans="2:10">
      <c r="B401" s="25" t="s">
        <v>51</v>
      </c>
      <c r="C401" s="120">
        <f>Model!AD$120</f>
        <v>38290.686000000002</v>
      </c>
      <c r="D401" s="26"/>
      <c r="E401" s="104">
        <f>C401*J396</f>
        <v>5280.2855994000001</v>
      </c>
      <c r="I401" s="25" t="s">
        <v>61</v>
      </c>
      <c r="J401" s="24">
        <v>93188.894</v>
      </c>
    </row>
    <row r="402" spans="2:10">
      <c r="B402" s="19" t="s">
        <v>20</v>
      </c>
      <c r="C402" s="18">
        <f>C400+C401</f>
        <v>58984.678</v>
      </c>
      <c r="D402" s="17">
        <f>C402/C410</f>
        <v>2.717307618776037</v>
      </c>
      <c r="E402" s="18">
        <f>E400+E401</f>
        <v>8133.9870962000005</v>
      </c>
      <c r="F402" s="17">
        <f>E402/E410</f>
        <v>2.6023675042481385</v>
      </c>
      <c r="I402" s="19" t="s">
        <v>62</v>
      </c>
      <c r="J402" s="18">
        <f>J400+J401</f>
        <v>120191.932</v>
      </c>
    </row>
    <row r="403" spans="2:10">
      <c r="B403" s="13" t="s">
        <v>21</v>
      </c>
      <c r="C403" s="21">
        <f>Model!AD$122</f>
        <v>27003.038</v>
      </c>
      <c r="D403" s="20"/>
      <c r="E403" s="104">
        <f>C403*J396</f>
        <v>3723.7189401999999</v>
      </c>
      <c r="I403" s="118" t="s">
        <v>63</v>
      </c>
      <c r="J403" s="119">
        <f>J402-C403-C404</f>
        <v>0</v>
      </c>
    </row>
    <row r="404" spans="2:10">
      <c r="B404" s="13" t="s">
        <v>22</v>
      </c>
      <c r="C404" s="21">
        <f>Model!AD$123</f>
        <v>93188.894</v>
      </c>
      <c r="D404" s="20"/>
      <c r="E404" s="104">
        <f>C404*J396</f>
        <v>12850.7484826</v>
      </c>
      <c r="I404" s="118"/>
      <c r="J404" s="119"/>
    </row>
    <row r="405" spans="2:10">
      <c r="B405" s="19" t="s">
        <v>52</v>
      </c>
      <c r="C405" s="18">
        <f>C402-C403-C404</f>
        <v>-61207.254000000001</v>
      </c>
      <c r="D405" s="17">
        <f>C405/C410</f>
        <v>-2.819697305435152</v>
      </c>
      <c r="E405" s="18">
        <f>E402-E403-E404</f>
        <v>-8440.4803265999999</v>
      </c>
      <c r="F405" s="17">
        <f>E405/E410</f>
        <v>-2.7004261824377829</v>
      </c>
    </row>
    <row r="406" spans="2:10">
      <c r="B406" s="8" t="s">
        <v>24</v>
      </c>
      <c r="C406" s="128">
        <f>Model!AD$126</f>
        <v>14870.796</v>
      </c>
      <c r="D406" s="15"/>
      <c r="E406" s="104">
        <f>C406*J396</f>
        <v>2050.6827684</v>
      </c>
      <c r="F406" s="15"/>
    </row>
    <row r="407" spans="2:10">
      <c r="B407" s="19" t="s">
        <v>25</v>
      </c>
      <c r="C407" s="18">
        <f>C405-C406</f>
        <v>-76078.05</v>
      </c>
      <c r="D407" s="17">
        <f>C407/C410</f>
        <v>-3.5047655068427144</v>
      </c>
      <c r="E407" s="18">
        <f>E405-E406</f>
        <v>-10491.163095</v>
      </c>
      <c r="F407" s="17">
        <f>E407/E410</f>
        <v>-3.3565165025833501</v>
      </c>
    </row>
    <row r="408" spans="2:10">
      <c r="B408" s="8" t="s">
        <v>26</v>
      </c>
      <c r="C408" s="16">
        <f>Model!AD$128</f>
        <v>142038.285</v>
      </c>
      <c r="D408" s="15"/>
      <c r="E408" s="104">
        <f>C408*J396</f>
        <v>19587.0795015</v>
      </c>
    </row>
    <row r="409" spans="2:10">
      <c r="B409" s="8" t="s">
        <v>27</v>
      </c>
      <c r="C409" s="16">
        <f>C405+C408</f>
        <v>80831.031000000003</v>
      </c>
      <c r="D409" s="15"/>
      <c r="E409" s="16">
        <f>E405+E408</f>
        <v>11146.5991749</v>
      </c>
    </row>
    <row r="410" spans="2:10">
      <c r="B410" s="13" t="s">
        <v>28</v>
      </c>
      <c r="C410" s="14">
        <f>Model!AD$89</f>
        <v>21707.03</v>
      </c>
      <c r="D410" s="13"/>
      <c r="E410" s="104">
        <f>C410*J397</f>
        <v>3125.610461597747</v>
      </c>
    </row>
    <row r="411" spans="2:10">
      <c r="B411" s="12" t="s">
        <v>29</v>
      </c>
      <c r="C411" s="11">
        <f>+C402-Model!AD$121</f>
        <v>0</v>
      </c>
      <c r="D411" s="10"/>
    </row>
    <row r="412" spans="2:10" ht="15.75" thickBot="1">
      <c r="B412" s="12"/>
      <c r="C412" s="11"/>
      <c r="D412" s="10"/>
    </row>
    <row r="413" spans="2:10">
      <c r="B413" s="6" t="s">
        <v>125</v>
      </c>
      <c r="C413" s="9" t="s">
        <v>4</v>
      </c>
      <c r="D413" s="9" t="s">
        <v>6</v>
      </c>
    </row>
    <row r="414" spans="2:10">
      <c r="B414" s="101" t="s">
        <v>21</v>
      </c>
      <c r="C414" s="106">
        <f>C403</f>
        <v>27003.038</v>
      </c>
      <c r="D414" s="106">
        <f>C414*J396</f>
        <v>3723.7189401999999</v>
      </c>
    </row>
    <row r="415" spans="2:10">
      <c r="B415" s="101" t="s">
        <v>65</v>
      </c>
      <c r="C415" s="116">
        <f>(17073170+17159771+2531801)/1000</f>
        <v>36764.741999999998</v>
      </c>
      <c r="D415" s="106">
        <f>C415*J396</f>
        <v>5069.8579217999995</v>
      </c>
    </row>
    <row r="416" spans="2:10" ht="15.75" thickBot="1">
      <c r="B416" s="3" t="s">
        <v>32</v>
      </c>
      <c r="C416" s="2">
        <f>SUM(C414:C415)</f>
        <v>63767.78</v>
      </c>
      <c r="D416" s="2">
        <f>SUM(D414:D415)</f>
        <v>8793.5768619999999</v>
      </c>
    </row>
    <row r="417" spans="1:10" ht="15.75" thickBot="1">
      <c r="B417" s="12"/>
      <c r="C417" s="11"/>
      <c r="D417" s="10"/>
    </row>
    <row r="418" spans="1:10">
      <c r="B418" s="6" t="s">
        <v>126</v>
      </c>
      <c r="C418" s="9" t="s">
        <v>4</v>
      </c>
      <c r="D418" s="9" t="s">
        <v>6</v>
      </c>
    </row>
    <row r="419" spans="1:10">
      <c r="B419" s="127" t="s">
        <v>97</v>
      </c>
      <c r="C419" s="126">
        <v>0</v>
      </c>
      <c r="D419" s="106">
        <f>C419*J396</f>
        <v>0</v>
      </c>
    </row>
    <row r="420" spans="1:10">
      <c r="B420" s="5" t="s">
        <v>42</v>
      </c>
      <c r="C420" s="126">
        <v>5460.98</v>
      </c>
      <c r="D420" s="106">
        <f>C420*J396</f>
        <v>753.06914199999994</v>
      </c>
    </row>
    <row r="421" spans="1:10">
      <c r="B421" s="5" t="s">
        <v>43</v>
      </c>
      <c r="C421" s="126">
        <f>10802.55+11118.55</f>
        <v>21921.1</v>
      </c>
      <c r="D421" s="106">
        <f>C421*J396</f>
        <v>3022.9196899999997</v>
      </c>
    </row>
    <row r="422" spans="1:10">
      <c r="B422" s="5" t="s">
        <v>98</v>
      </c>
      <c r="C422" s="126">
        <v>9101.6299999999992</v>
      </c>
      <c r="D422" s="106">
        <f>C422*J396</f>
        <v>1255.1147769999998</v>
      </c>
    </row>
    <row r="423" spans="1:10" ht="15.75" thickBot="1">
      <c r="B423" s="3" t="s">
        <v>35</v>
      </c>
      <c r="C423" s="124">
        <f>SUM(C419:C422)</f>
        <v>36483.71</v>
      </c>
      <c r="D423" s="124">
        <f>SUM(D419:D422)</f>
        <v>5031.1036089999998</v>
      </c>
    </row>
    <row r="424" spans="1:10">
      <c r="B424" s="8"/>
      <c r="C424" s="125"/>
      <c r="D424" s="125"/>
    </row>
    <row r="425" spans="1:10">
      <c r="A425" s="28" t="s">
        <v>127</v>
      </c>
      <c r="I425" s="8" t="s">
        <v>128</v>
      </c>
      <c r="J425" s="117">
        <f>Model!AC211</f>
        <v>0.1460407007820852</v>
      </c>
    </row>
    <row r="426" spans="1:10">
      <c r="I426" s="8" t="s">
        <v>129</v>
      </c>
      <c r="J426" s="117">
        <f>Model!AC210</f>
        <v>0.14549999999999999</v>
      </c>
    </row>
    <row r="427" spans="1:10">
      <c r="I427" s="8"/>
      <c r="J427" s="117"/>
    </row>
    <row r="428" spans="1:10">
      <c r="B428" s="27" t="s">
        <v>130</v>
      </c>
      <c r="C428" s="100" t="s">
        <v>4</v>
      </c>
      <c r="D428" s="100" t="s">
        <v>5</v>
      </c>
      <c r="E428" s="100" t="s">
        <v>6</v>
      </c>
      <c r="F428" s="100" t="s">
        <v>5</v>
      </c>
      <c r="I428" s="27" t="s">
        <v>131</v>
      </c>
      <c r="J428" s="100" t="s">
        <v>4</v>
      </c>
    </row>
    <row r="429" spans="1:10">
      <c r="B429" s="25" t="s">
        <v>50</v>
      </c>
      <c r="C429" s="120">
        <f>Model!AC119</f>
        <v>19716.308000000001</v>
      </c>
      <c r="D429" s="26"/>
      <c r="E429" s="104">
        <f>C429*J425</f>
        <v>2879.3834371554326</v>
      </c>
      <c r="I429" s="25" t="s">
        <v>21</v>
      </c>
      <c r="J429" s="24">
        <v>26862.612000000001</v>
      </c>
    </row>
    <row r="430" spans="1:10">
      <c r="B430" s="25" t="s">
        <v>51</v>
      </c>
      <c r="C430" s="120">
        <f>Model!AC120</f>
        <v>37954.952999999994</v>
      </c>
      <c r="D430" s="26"/>
      <c r="E430" s="104">
        <f>C430*J425</f>
        <v>5542.9679342711061</v>
      </c>
      <c r="I430" s="25" t="s">
        <v>61</v>
      </c>
      <c r="J430" s="24">
        <v>84537.816999999995</v>
      </c>
    </row>
    <row r="431" spans="1:10">
      <c r="B431" s="19" t="s">
        <v>20</v>
      </c>
      <c r="C431" s="18">
        <f>C429+C430</f>
        <v>57671.260999999999</v>
      </c>
      <c r="D431" s="17">
        <f>C431/C437</f>
        <v>3.2349751674667453</v>
      </c>
      <c r="E431" s="18">
        <f>E429+E430</f>
        <v>8422.3513714265391</v>
      </c>
      <c r="F431" s="17">
        <f>E431/E437</f>
        <v>3.2469968417146866</v>
      </c>
      <c r="I431" s="19" t="s">
        <v>62</v>
      </c>
      <c r="J431" s="18">
        <f>J429+J430</f>
        <v>111400.429</v>
      </c>
    </row>
    <row r="432" spans="1:10">
      <c r="B432" s="13" t="s">
        <v>21</v>
      </c>
      <c r="C432" s="21">
        <f>Model!AC122</f>
        <v>26862.612000000001</v>
      </c>
      <c r="D432" s="20"/>
      <c r="E432" s="104">
        <f>C432*J425</f>
        <v>3923.0346813172514</v>
      </c>
      <c r="I432" s="118" t="s">
        <v>63</v>
      </c>
      <c r="J432" s="119">
        <f>J431-C432-C433</f>
        <v>0</v>
      </c>
    </row>
    <row r="433" spans="2:10">
      <c r="B433" s="13" t="s">
        <v>22</v>
      </c>
      <c r="C433" s="21">
        <f>Model!AC123</f>
        <v>84537.816999999995</v>
      </c>
      <c r="D433" s="20"/>
      <c r="E433" s="104">
        <f>C433*J425</f>
        <v>12345.962037267675</v>
      </c>
      <c r="I433" s="118"/>
      <c r="J433" s="119"/>
    </row>
    <row r="434" spans="2:10">
      <c r="B434" s="19" t="s">
        <v>23</v>
      </c>
      <c r="C434" s="18">
        <f>C431-C432-C433</f>
        <v>-53729.167999999998</v>
      </c>
      <c r="D434" s="17">
        <f>C434/C437</f>
        <v>-3.013849900883022</v>
      </c>
      <c r="E434" s="18">
        <f>E431-E432-E433</f>
        <v>-7846.6453471583864</v>
      </c>
      <c r="F434" s="17">
        <f>E434/E437</f>
        <v>-3.0250498390170071</v>
      </c>
    </row>
    <row r="435" spans="2:10">
      <c r="B435" s="8" t="s">
        <v>26</v>
      </c>
      <c r="C435" s="16">
        <f>Model!AC128</f>
        <v>134143.35</v>
      </c>
      <c r="D435" s="15"/>
      <c r="E435" s="104">
        <f>C435*J425</f>
        <v>19590.388839256528</v>
      </c>
    </row>
    <row r="436" spans="2:10">
      <c r="B436" s="8" t="s">
        <v>27</v>
      </c>
      <c r="C436" s="16">
        <f>C434+C435</f>
        <v>80414.182000000001</v>
      </c>
      <c r="D436" s="15"/>
      <c r="E436" s="16">
        <f>E434+E435</f>
        <v>11743.743492098141</v>
      </c>
    </row>
    <row r="437" spans="2:10">
      <c r="B437" s="13" t="s">
        <v>28</v>
      </c>
      <c r="C437" s="14">
        <f>Model!AC89</f>
        <v>17827.419999999998</v>
      </c>
      <c r="D437" s="13"/>
      <c r="E437" s="104">
        <f>C437*J426</f>
        <v>2593.8896099999997</v>
      </c>
    </row>
    <row r="438" spans="2:10">
      <c r="B438" s="12" t="s">
        <v>29</v>
      </c>
      <c r="C438" s="11">
        <f>+C431-Model!AC121</f>
        <v>0</v>
      </c>
      <c r="D438" s="10"/>
    </row>
    <row r="439" spans="2:10" ht="15.75" thickBot="1">
      <c r="B439" s="12"/>
      <c r="C439" s="11"/>
      <c r="D439" s="10"/>
    </row>
    <row r="440" spans="2:10">
      <c r="B440" s="6" t="s">
        <v>132</v>
      </c>
      <c r="C440" s="9" t="s">
        <v>4</v>
      </c>
      <c r="D440" s="9" t="s">
        <v>6</v>
      </c>
    </row>
    <row r="441" spans="2:10">
      <c r="B441" s="101" t="s">
        <v>21</v>
      </c>
      <c r="C441" s="106">
        <f>C432</f>
        <v>26862.612000000001</v>
      </c>
      <c r="D441" s="106">
        <f>C441*J$425</f>
        <v>3923.0346813172514</v>
      </c>
    </row>
    <row r="442" spans="2:10">
      <c r="B442" s="101" t="s">
        <v>65</v>
      </c>
      <c r="C442" s="116">
        <f>(15828004+16502491+2754954)/1000</f>
        <v>35085.449000000001</v>
      </c>
      <c r="D442" s="106">
        <f>C442*J$425</f>
        <v>5123.9035592141108</v>
      </c>
    </row>
    <row r="443" spans="2:10" ht="15.75" thickBot="1">
      <c r="B443" s="3" t="s">
        <v>32</v>
      </c>
      <c r="C443" s="2">
        <f>SUM(C441:C442)</f>
        <v>61948.061000000002</v>
      </c>
      <c r="D443" s="2">
        <f>SUM(D441:D442)</f>
        <v>9046.9382405313627</v>
      </c>
    </row>
    <row r="444" spans="2:10" ht="15.75" thickBot="1">
      <c r="B444" s="12"/>
      <c r="C444" s="11"/>
      <c r="D444" s="10"/>
    </row>
    <row r="445" spans="2:10">
      <c r="B445" s="6" t="s">
        <v>133</v>
      </c>
      <c r="C445" s="9" t="s">
        <v>4</v>
      </c>
      <c r="D445" s="9" t="s">
        <v>6</v>
      </c>
    </row>
    <row r="446" spans="2:10">
      <c r="B446" s="127" t="s">
        <v>97</v>
      </c>
      <c r="C446" s="126">
        <v>0</v>
      </c>
      <c r="D446" s="106">
        <f>C446*J$452</f>
        <v>0</v>
      </c>
    </row>
    <row r="447" spans="2:10">
      <c r="B447" s="5" t="s">
        <v>42</v>
      </c>
      <c r="C447" s="126">
        <v>0</v>
      </c>
      <c r="D447" s="106">
        <f t="shared" ref="D447:D449" si="4">C447*J$452</f>
        <v>0</v>
      </c>
    </row>
    <row r="448" spans="2:10">
      <c r="B448" s="5" t="s">
        <v>43</v>
      </c>
      <c r="C448" s="126">
        <v>0</v>
      </c>
      <c r="D448" s="106">
        <f t="shared" si="4"/>
        <v>0</v>
      </c>
    </row>
    <row r="449" spans="1:10">
      <c r="B449" s="5" t="s">
        <v>98</v>
      </c>
      <c r="C449" s="126">
        <v>0</v>
      </c>
      <c r="D449" s="106">
        <f t="shared" si="4"/>
        <v>0</v>
      </c>
    </row>
    <row r="450" spans="1:10" ht="15.75" thickBot="1">
      <c r="B450" s="3" t="s">
        <v>35</v>
      </c>
      <c r="C450" s="124">
        <f>SUM(C446:C449)</f>
        <v>0</v>
      </c>
      <c r="D450" s="124">
        <f>SUM(D446:D449)</f>
        <v>0</v>
      </c>
    </row>
    <row r="451" spans="1:10">
      <c r="B451" s="8"/>
      <c r="C451" s="125"/>
      <c r="D451" s="125"/>
    </row>
    <row r="452" spans="1:10">
      <c r="A452" s="28" t="s">
        <v>134</v>
      </c>
      <c r="I452" s="8" t="s">
        <v>135</v>
      </c>
      <c r="J452" s="117">
        <f>Model!AB210</f>
        <v>0.14498637128109959</v>
      </c>
    </row>
    <row r="453" spans="1:10">
      <c r="I453" s="8" t="s">
        <v>136</v>
      </c>
      <c r="J453" s="117">
        <f>Model!AB211</f>
        <v>0.14889070078208516</v>
      </c>
    </row>
    <row r="454" spans="1:10">
      <c r="I454" s="8"/>
      <c r="J454" s="117"/>
    </row>
    <row r="455" spans="1:10">
      <c r="B455" s="27" t="s">
        <v>137</v>
      </c>
      <c r="C455" s="100" t="s">
        <v>4</v>
      </c>
      <c r="D455" s="100" t="s">
        <v>5</v>
      </c>
      <c r="E455" s="100" t="s">
        <v>6</v>
      </c>
      <c r="F455" s="100" t="s">
        <v>5</v>
      </c>
      <c r="I455" s="27" t="s">
        <v>138</v>
      </c>
      <c r="J455" s="100" t="s">
        <v>4</v>
      </c>
    </row>
    <row r="456" spans="1:10">
      <c r="B456" s="25" t="s">
        <v>50</v>
      </c>
      <c r="C456" s="120">
        <f>Model!AB119</f>
        <v>19728.123</v>
      </c>
      <c r="D456" s="26"/>
      <c r="E456" s="104">
        <f>C456*J452</f>
        <v>2860.3089659572001</v>
      </c>
      <c r="I456" s="25" t="s">
        <v>21</v>
      </c>
      <c r="J456" s="24">
        <v>20158.606</v>
      </c>
    </row>
    <row r="457" spans="1:10">
      <c r="B457" s="25" t="s">
        <v>51</v>
      </c>
      <c r="C457" s="120">
        <f>Model!AB120</f>
        <v>38359.502</v>
      </c>
      <c r="D457" s="26"/>
      <c r="E457" s="104">
        <f>C457*J452</f>
        <v>5561.6049991300824</v>
      </c>
      <c r="I457" s="25" t="s">
        <v>61</v>
      </c>
      <c r="J457" s="24">
        <v>91873.27</v>
      </c>
    </row>
    <row r="458" spans="1:10">
      <c r="B458" s="19" t="s">
        <v>20</v>
      </c>
      <c r="C458" s="18">
        <f>C456+C457</f>
        <v>58087.625</v>
      </c>
      <c r="D458" s="17">
        <f>C458/C464</f>
        <v>5.9732730092757649</v>
      </c>
      <c r="E458" s="18">
        <f>E456+E457</f>
        <v>8421.9139650872821</v>
      </c>
      <c r="F458" s="17">
        <f>E458/E464</f>
        <v>5.8166371286932055</v>
      </c>
      <c r="I458" s="19" t="s">
        <v>62</v>
      </c>
      <c r="J458" s="18">
        <f>J456+J457</f>
        <v>112031.876</v>
      </c>
    </row>
    <row r="459" spans="1:10">
      <c r="B459" s="13" t="s">
        <v>21</v>
      </c>
      <c r="C459" s="21">
        <f>Model!AB122</f>
        <v>20158.606</v>
      </c>
      <c r="D459" s="20"/>
      <c r="E459" s="104">
        <f>C459*J452</f>
        <v>2922.723134025402</v>
      </c>
      <c r="I459" s="118" t="s">
        <v>63</v>
      </c>
      <c r="J459" s="119">
        <f>J458-C459-C460</f>
        <v>0</v>
      </c>
    </row>
    <row r="460" spans="1:10">
      <c r="B460" s="13" t="s">
        <v>22</v>
      </c>
      <c r="C460" s="21">
        <f>Model!AB123</f>
        <v>91873.27</v>
      </c>
      <c r="D460" s="20"/>
      <c r="E460" s="104">
        <f>C460*J452</f>
        <v>13320.372035028709</v>
      </c>
      <c r="I460" s="118"/>
      <c r="J460" s="119"/>
    </row>
    <row r="461" spans="1:10">
      <c r="B461" s="19" t="s">
        <v>23</v>
      </c>
      <c r="C461" s="18">
        <f>C458-C459-C460</f>
        <v>-53944.251000000004</v>
      </c>
      <c r="D461" s="17">
        <f>C461/C464</f>
        <v>-5.5472011207877276</v>
      </c>
      <c r="E461" s="18">
        <f>E458-E459-E460</f>
        <v>-7821.1812039668293</v>
      </c>
      <c r="F461" s="17">
        <f>E461/E464</f>
        <v>-5.401738033637038</v>
      </c>
    </row>
    <row r="462" spans="1:10">
      <c r="B462" s="8" t="s">
        <v>26</v>
      </c>
      <c r="C462" s="16">
        <f>Model!AB128</f>
        <v>128705.717</v>
      </c>
      <c r="D462" s="15"/>
      <c r="E462" s="104">
        <f>C462*J452</f>
        <v>18660.574870962133</v>
      </c>
    </row>
    <row r="463" spans="1:10">
      <c r="B463" s="8" t="s">
        <v>27</v>
      </c>
      <c r="C463" s="16">
        <f>C461+C462</f>
        <v>74761.466</v>
      </c>
      <c r="D463" s="15"/>
      <c r="E463" s="16">
        <f>E461+E462</f>
        <v>10839.393666995304</v>
      </c>
    </row>
    <row r="464" spans="1:10">
      <c r="B464" s="13" t="s">
        <v>28</v>
      </c>
      <c r="C464" s="14">
        <f>Model!AB89</f>
        <v>9724.5889999999999</v>
      </c>
      <c r="D464" s="13"/>
      <c r="E464" s="104">
        <f>C464*J453</f>
        <v>1447.9008710277567</v>
      </c>
    </row>
    <row r="465" spans="1:10">
      <c r="B465" s="12" t="s">
        <v>29</v>
      </c>
      <c r="C465" s="11">
        <f>+C458-Model!AB121</f>
        <v>0</v>
      </c>
      <c r="D465" s="10"/>
    </row>
    <row r="466" spans="1:10" ht="15.75" thickBot="1">
      <c r="B466" s="12"/>
      <c r="C466" s="11"/>
      <c r="D466" s="10"/>
    </row>
    <row r="467" spans="1:10">
      <c r="B467" s="6" t="s">
        <v>139</v>
      </c>
      <c r="C467" s="9" t="s">
        <v>4</v>
      </c>
      <c r="D467" s="9" t="s">
        <v>6</v>
      </c>
    </row>
    <row r="468" spans="1:10">
      <c r="B468" s="101" t="s">
        <v>21</v>
      </c>
      <c r="C468" s="106">
        <f>C459</f>
        <v>20158.606</v>
      </c>
      <c r="D468" s="106">
        <f>C468*J$452</f>
        <v>2922.723134025402</v>
      </c>
    </row>
    <row r="469" spans="1:10">
      <c r="B469" s="101" t="s">
        <v>65</v>
      </c>
      <c r="C469" s="116">
        <f>(15073013+16582381+2321865)/1000</f>
        <v>33977.258999999998</v>
      </c>
      <c r="D469" s="106">
        <f>C469*J$452</f>
        <v>4926.2394884880823</v>
      </c>
    </row>
    <row r="470" spans="1:10" ht="15.75" thickBot="1">
      <c r="B470" s="3" t="s">
        <v>32</v>
      </c>
      <c r="C470" s="2">
        <f>SUM(C468:C469)</f>
        <v>54135.864999999998</v>
      </c>
      <c r="D470" s="2">
        <f>SUM(D468:D469)</f>
        <v>7848.9626225134843</v>
      </c>
    </row>
    <row r="471" spans="1:10" ht="15.75" thickBot="1">
      <c r="B471" s="12"/>
      <c r="C471" s="11"/>
      <c r="D471" s="10"/>
    </row>
    <row r="472" spans="1:10">
      <c r="B472" s="6" t="s">
        <v>133</v>
      </c>
      <c r="C472" s="9" t="s">
        <v>4</v>
      </c>
      <c r="D472" s="9" t="s">
        <v>6</v>
      </c>
    </row>
    <row r="473" spans="1:10">
      <c r="B473" s="127" t="s">
        <v>97</v>
      </c>
      <c r="C473" s="126">
        <f>17606.781+376.524+2401.405</f>
        <v>20384.71</v>
      </c>
      <c r="D473" s="106">
        <f>C473*J$452</f>
        <v>2955.5051325175436</v>
      </c>
    </row>
    <row r="474" spans="1:10">
      <c r="B474" s="5" t="s">
        <v>42</v>
      </c>
      <c r="C474" s="126">
        <f>48.646+376.524+1603.042</f>
        <v>2028.212</v>
      </c>
      <c r="D474" s="106">
        <f t="shared" ref="D474:D476" si="5">C474*J$452</f>
        <v>294.06309806878158</v>
      </c>
    </row>
    <row r="475" spans="1:10">
      <c r="B475" s="5" t="s">
        <v>43</v>
      </c>
      <c r="C475" s="126">
        <f>1429.772+27081.556+1817.984</f>
        <v>30329.312000000002</v>
      </c>
      <c r="D475" s="106">
        <f t="shared" si="5"/>
        <v>4397.3368903323098</v>
      </c>
    </row>
    <row r="476" spans="1:10">
      <c r="B476" s="5" t="s">
        <v>98</v>
      </c>
      <c r="C476" s="126">
        <f>203.699+9502.326+59.477</f>
        <v>9765.5020000000004</v>
      </c>
      <c r="D476" s="106">
        <f t="shared" si="5"/>
        <v>1415.8646987183206</v>
      </c>
    </row>
    <row r="477" spans="1:10" ht="15.75" thickBot="1">
      <c r="B477" s="3" t="s">
        <v>35</v>
      </c>
      <c r="C477" s="124">
        <f>SUM(C473:C476)</f>
        <v>62507.735999999997</v>
      </c>
      <c r="D477" s="124">
        <f>SUM(D473:D476)</f>
        <v>9062.7698196369547</v>
      </c>
    </row>
    <row r="478" spans="1:10">
      <c r="B478" s="8"/>
      <c r="C478" s="125"/>
      <c r="D478" s="125"/>
    </row>
    <row r="479" spans="1:10">
      <c r="A479" s="28" t="s">
        <v>140</v>
      </c>
      <c r="I479" s="8" t="s">
        <v>141</v>
      </c>
      <c r="J479" s="117">
        <f>Model!AA210</f>
        <v>0.14019999999999999</v>
      </c>
    </row>
    <row r="480" spans="1:10">
      <c r="I480" s="8" t="s">
        <v>142</v>
      </c>
      <c r="J480" s="117">
        <f>Model!AA211</f>
        <v>0.15286394324853228</v>
      </c>
    </row>
    <row r="481" spans="2:10">
      <c r="I481" s="8"/>
      <c r="J481" s="117"/>
    </row>
    <row r="482" spans="2:10">
      <c r="B482" s="27" t="s">
        <v>143</v>
      </c>
      <c r="C482" s="100" t="s">
        <v>4</v>
      </c>
      <c r="D482" s="100" t="s">
        <v>5</v>
      </c>
      <c r="E482" s="100" t="s">
        <v>6</v>
      </c>
      <c r="F482" s="100" t="s">
        <v>5</v>
      </c>
      <c r="I482" s="27" t="s">
        <v>144</v>
      </c>
      <c r="J482" s="100" t="s">
        <v>4</v>
      </c>
    </row>
    <row r="483" spans="2:10">
      <c r="B483" s="25" t="s">
        <v>50</v>
      </c>
      <c r="C483" s="120">
        <f>Model!AA119</f>
        <v>18337.918000000001</v>
      </c>
      <c r="D483" s="26"/>
      <c r="E483" s="104">
        <f>C483*J$479</f>
        <v>2570.9761036</v>
      </c>
      <c r="I483" s="25" t="s">
        <v>21</v>
      </c>
      <c r="J483" s="24">
        <v>23256.803</v>
      </c>
    </row>
    <row r="484" spans="2:10">
      <c r="B484" s="25" t="s">
        <v>51</v>
      </c>
      <c r="C484" s="120">
        <f>Model!AA120</f>
        <v>47670.207999999999</v>
      </c>
      <c r="D484" s="26"/>
      <c r="E484" s="104">
        <f>C484*J$479</f>
        <v>6683.3631615999993</v>
      </c>
      <c r="I484" s="25" t="s">
        <v>61</v>
      </c>
      <c r="J484" s="24">
        <v>88260.718999999997</v>
      </c>
    </row>
    <row r="485" spans="2:10">
      <c r="B485" s="19" t="s">
        <v>20</v>
      </c>
      <c r="C485" s="18">
        <f>C483+C484</f>
        <v>66008.126000000004</v>
      </c>
      <c r="D485" s="17">
        <f>C485/C491</f>
        <v>13.884877821806587</v>
      </c>
      <c r="E485" s="18">
        <f>E483+E484</f>
        <v>9254.3392652000002</v>
      </c>
      <c r="F485" s="17">
        <f>E485/E491</f>
        <v>12.734591488669937</v>
      </c>
      <c r="I485" s="19" t="s">
        <v>62</v>
      </c>
      <c r="J485" s="18">
        <f>J483+J484</f>
        <v>111517.522</v>
      </c>
    </row>
    <row r="486" spans="2:10">
      <c r="B486" s="13" t="s">
        <v>21</v>
      </c>
      <c r="C486" s="21">
        <f>Model!AA122</f>
        <v>23256.803</v>
      </c>
      <c r="D486" s="20"/>
      <c r="E486" s="104">
        <f>C486*J$479</f>
        <v>3260.6037805999999</v>
      </c>
      <c r="I486" s="118" t="s">
        <v>63</v>
      </c>
      <c r="J486" s="119">
        <f>J485-C486-C487</f>
        <v>0</v>
      </c>
    </row>
    <row r="487" spans="2:10">
      <c r="B487" s="13" t="s">
        <v>22</v>
      </c>
      <c r="C487" s="21">
        <f>Model!AA123</f>
        <v>88260.718999999997</v>
      </c>
      <c r="D487" s="20"/>
      <c r="E487" s="104">
        <f>C487*J$479</f>
        <v>12374.1528038</v>
      </c>
      <c r="I487" s="118"/>
      <c r="J487" s="119"/>
    </row>
    <row r="488" spans="2:10">
      <c r="B488" s="19" t="s">
        <v>23</v>
      </c>
      <c r="C488" s="18">
        <f>C485-C486-C487</f>
        <v>-45509.395999999993</v>
      </c>
      <c r="D488" s="17">
        <f>C488/C491</f>
        <v>-9.5729486882298893</v>
      </c>
      <c r="E488" s="18">
        <f>E485-E486-E487</f>
        <v>-6380.4173191999998</v>
      </c>
      <c r="F488" s="17">
        <f>E488/E491</f>
        <v>-8.7798821459665373</v>
      </c>
    </row>
    <row r="489" spans="2:10">
      <c r="B489" s="8" t="s">
        <v>26</v>
      </c>
      <c r="C489" s="16">
        <f>Model!AA128</f>
        <v>127631.52800000001</v>
      </c>
      <c r="D489" s="15"/>
      <c r="E489" s="104">
        <f>C489*J$479</f>
        <v>17893.940225599999</v>
      </c>
    </row>
    <row r="490" spans="2:10">
      <c r="B490" s="8" t="s">
        <v>27</v>
      </c>
      <c r="C490" s="16">
        <f>C488+C489</f>
        <v>82122.132000000012</v>
      </c>
      <c r="D490" s="15"/>
      <c r="E490" s="16">
        <f>E488+E489</f>
        <v>11513.5229064</v>
      </c>
    </row>
    <row r="491" spans="2:10">
      <c r="B491" s="13" t="s">
        <v>28</v>
      </c>
      <c r="C491" s="14">
        <f>Model!AA89</f>
        <v>4753.9580000000005</v>
      </c>
      <c r="D491" s="13"/>
      <c r="E491" s="104">
        <f>C491*J480</f>
        <v>726.70876591790613</v>
      </c>
    </row>
    <row r="492" spans="2:10">
      <c r="B492" s="12" t="s">
        <v>29</v>
      </c>
      <c r="C492" s="11">
        <f>+C485-Model!AA121</f>
        <v>0</v>
      </c>
      <c r="D492" s="10"/>
    </row>
    <row r="493" spans="2:10" ht="15.75" thickBot="1">
      <c r="B493" s="12"/>
      <c r="C493" s="11"/>
      <c r="D493" s="10"/>
    </row>
    <row r="494" spans="2:10">
      <c r="B494" s="6" t="s">
        <v>145</v>
      </c>
      <c r="C494" s="9" t="s">
        <v>4</v>
      </c>
      <c r="D494" s="9" t="s">
        <v>6</v>
      </c>
    </row>
    <row r="495" spans="2:10">
      <c r="B495" s="101" t="s">
        <v>21</v>
      </c>
      <c r="C495" s="106">
        <f>C486</f>
        <v>23256.803</v>
      </c>
      <c r="D495" s="106">
        <f>C495*J$479</f>
        <v>3260.6037805999999</v>
      </c>
    </row>
    <row r="496" spans="2:10">
      <c r="B496" s="101" t="s">
        <v>65</v>
      </c>
      <c r="C496" s="116">
        <f>(14017790+16861923+2511449)/1000</f>
        <v>33391.161999999997</v>
      </c>
      <c r="D496" s="106">
        <f>C496*J$479</f>
        <v>4681.4409123999994</v>
      </c>
    </row>
    <row r="497" spans="1:10" ht="15.75" thickBot="1">
      <c r="B497" s="3" t="s">
        <v>32</v>
      </c>
      <c r="C497" s="2">
        <f>SUM(C495:C496)</f>
        <v>56647.964999999997</v>
      </c>
      <c r="D497" s="2">
        <f>SUM(D495:D496)</f>
        <v>7942.0446929999998</v>
      </c>
    </row>
    <row r="498" spans="1:10">
      <c r="B498" s="12"/>
      <c r="C498" s="11"/>
      <c r="D498" s="10"/>
    </row>
    <row r="499" spans="1:10">
      <c r="A499" s="28" t="s">
        <v>146</v>
      </c>
      <c r="I499" s="8" t="s">
        <v>147</v>
      </c>
      <c r="J499" s="117">
        <f>Model!Z210</f>
        <v>0.1492</v>
      </c>
    </row>
    <row r="500" spans="1:10">
      <c r="I500" s="8" t="s">
        <v>148</v>
      </c>
      <c r="J500" s="117">
        <f>Model!Z211</f>
        <v>0.15506394324853229</v>
      </c>
    </row>
    <row r="501" spans="1:10">
      <c r="I501" s="8"/>
      <c r="J501" s="117"/>
    </row>
    <row r="502" spans="1:10">
      <c r="B502" s="27" t="s">
        <v>149</v>
      </c>
      <c r="C502" s="100" t="s">
        <v>4</v>
      </c>
      <c r="D502" s="100" t="s">
        <v>5</v>
      </c>
      <c r="E502" s="100" t="s">
        <v>6</v>
      </c>
      <c r="F502" s="100" t="s">
        <v>5</v>
      </c>
      <c r="I502" s="27" t="s">
        <v>150</v>
      </c>
      <c r="J502" s="100" t="s">
        <v>4</v>
      </c>
    </row>
    <row r="503" spans="1:10">
      <c r="B503" s="25" t="s">
        <v>50</v>
      </c>
      <c r="C503" s="120">
        <f>Model!Z119</f>
        <v>12910.406000000001</v>
      </c>
      <c r="D503" s="26"/>
      <c r="E503" s="104">
        <f>C503*J$499</f>
        <v>1926.2325752000002</v>
      </c>
      <c r="I503" s="25" t="s">
        <v>21</v>
      </c>
      <c r="J503" s="24">
        <v>25537.006000000001</v>
      </c>
    </row>
    <row r="504" spans="1:10">
      <c r="B504" s="25" t="s">
        <v>51</v>
      </c>
      <c r="C504" s="120">
        <f>Model!Z120</f>
        <v>52479.25</v>
      </c>
      <c r="D504" s="26"/>
      <c r="E504" s="104">
        <f>C504*J$499</f>
        <v>7829.9040999999997</v>
      </c>
      <c r="I504" s="25" t="s">
        <v>61</v>
      </c>
      <c r="J504" s="24">
        <v>82002.120999999999</v>
      </c>
    </row>
    <row r="505" spans="1:10">
      <c r="B505" s="19" t="s">
        <v>20</v>
      </c>
      <c r="C505" s="18">
        <f>C503+C504</f>
        <v>65389.656000000003</v>
      </c>
      <c r="D505" s="17">
        <f>C505/C511</f>
        <v>-15.912071653610949</v>
      </c>
      <c r="E505" s="18">
        <f>E503+E504</f>
        <v>9756.1366751999994</v>
      </c>
      <c r="F505" s="17">
        <f>E505/E511</f>
        <v>-15.310336116718254</v>
      </c>
      <c r="I505" s="19" t="s">
        <v>62</v>
      </c>
      <c r="J505" s="18">
        <f>J503+J504</f>
        <v>107539.12700000001</v>
      </c>
    </row>
    <row r="506" spans="1:10">
      <c r="B506" s="13" t="s">
        <v>21</v>
      </c>
      <c r="C506" s="21">
        <f>Model!Z122</f>
        <v>25537.006000000001</v>
      </c>
      <c r="D506" s="20"/>
      <c r="E506" s="104">
        <f>C506*J$499</f>
        <v>3810.1212952000001</v>
      </c>
      <c r="I506" s="118" t="s">
        <v>63</v>
      </c>
      <c r="J506" s="119">
        <f>J505-C506-C507</f>
        <v>0</v>
      </c>
    </row>
    <row r="507" spans="1:10">
      <c r="B507" s="25" t="s">
        <v>61</v>
      </c>
      <c r="C507" s="21">
        <f>Model!Z123</f>
        <v>82002.120999999999</v>
      </c>
      <c r="D507" s="20"/>
      <c r="E507" s="104">
        <f>C507*J$499</f>
        <v>12234.716453200001</v>
      </c>
      <c r="I507" s="118"/>
      <c r="J507" s="119"/>
    </row>
    <row r="508" spans="1:10">
      <c r="B508" s="19" t="s">
        <v>23</v>
      </c>
      <c r="C508" s="18">
        <f>C505-C506-C507</f>
        <v>-42149.470999999998</v>
      </c>
      <c r="D508" s="17">
        <f>C508/C511</f>
        <v>10.256750742254964</v>
      </c>
      <c r="E508" s="18">
        <f>E505-E506-E507</f>
        <v>-6288.7010732000017</v>
      </c>
      <c r="F508" s="17">
        <f>E508/E511</f>
        <v>9.8688784683600232</v>
      </c>
    </row>
    <row r="509" spans="1:10">
      <c r="B509" s="8" t="s">
        <v>26</v>
      </c>
      <c r="C509" s="16">
        <f>Model!Z128</f>
        <v>123564.823</v>
      </c>
      <c r="D509" s="15"/>
      <c r="E509" s="104">
        <f>C509*J$499</f>
        <v>18435.8715916</v>
      </c>
    </row>
    <row r="510" spans="1:10">
      <c r="B510" s="8" t="s">
        <v>27</v>
      </c>
      <c r="C510" s="16">
        <f>C508+C509</f>
        <v>81415.352000000014</v>
      </c>
      <c r="D510" s="15"/>
      <c r="E510" s="16">
        <f>E508+E509</f>
        <v>12147.170518399998</v>
      </c>
    </row>
    <row r="511" spans="1:10">
      <c r="B511" s="13" t="s">
        <v>28</v>
      </c>
      <c r="C511" s="14">
        <f>Model!Z89</f>
        <v>-4109.436999999999</v>
      </c>
      <c r="D511" s="13"/>
      <c r="E511" s="104">
        <f>C511*J500</f>
        <v>-637.22550575141861</v>
      </c>
    </row>
    <row r="512" spans="1:10">
      <c r="B512" s="12" t="s">
        <v>29</v>
      </c>
      <c r="C512" s="11">
        <f>+C505-Model!Z121</f>
        <v>0</v>
      </c>
      <c r="D512" s="10"/>
    </row>
    <row r="513" spans="1:10" ht="15.75" thickBot="1">
      <c r="B513" s="12"/>
      <c r="C513" s="11"/>
      <c r="D513" s="10"/>
    </row>
    <row r="514" spans="1:10">
      <c r="B514" s="6" t="s">
        <v>151</v>
      </c>
      <c r="C514" s="9" t="s">
        <v>4</v>
      </c>
      <c r="D514" s="9" t="s">
        <v>6</v>
      </c>
    </row>
    <row r="515" spans="1:10">
      <c r="B515" s="101" t="s">
        <v>21</v>
      </c>
      <c r="C515" s="106">
        <f>C506</f>
        <v>25537.006000000001</v>
      </c>
      <c r="D515" s="106">
        <f>C515*J$499</f>
        <v>3810.1212952000001</v>
      </c>
    </row>
    <row r="516" spans="1:10">
      <c r="B516" s="101" t="s">
        <v>65</v>
      </c>
      <c r="C516" s="116">
        <f>13748.544+15306.458+2825.356</f>
        <v>31880.358</v>
      </c>
      <c r="D516" s="106">
        <f>C516*J$499</f>
        <v>4756.5494135999998</v>
      </c>
    </row>
    <row r="517" spans="1:10" ht="15.75" thickBot="1">
      <c r="B517" s="3" t="s">
        <v>32</v>
      </c>
      <c r="C517" s="2">
        <f>SUM(C515:C516)</f>
        <v>57417.364000000001</v>
      </c>
      <c r="D517" s="2">
        <f>SUM(D515:D516)</f>
        <v>8566.6707088000003</v>
      </c>
    </row>
    <row r="518" spans="1:10">
      <c r="B518" s="12"/>
      <c r="C518" s="11"/>
      <c r="D518" s="10"/>
    </row>
    <row r="519" spans="1:10">
      <c r="A519" s="28" t="s">
        <v>152</v>
      </c>
      <c r="I519" s="8" t="s">
        <v>153</v>
      </c>
      <c r="J519" s="117">
        <f>Model!Y210</f>
        <v>0.1575</v>
      </c>
    </row>
    <row r="520" spans="1:10">
      <c r="I520" s="8" t="s">
        <v>154</v>
      </c>
      <c r="J520" s="117">
        <f>Model!Y211</f>
        <v>0.15608894324853229</v>
      </c>
    </row>
    <row r="521" spans="1:10">
      <c r="I521" s="8"/>
      <c r="J521" s="117"/>
    </row>
    <row r="522" spans="1:10">
      <c r="B522" s="27" t="s">
        <v>155</v>
      </c>
      <c r="C522" s="100" t="s">
        <v>4</v>
      </c>
      <c r="D522" s="100" t="s">
        <v>5</v>
      </c>
      <c r="E522" s="100" t="s">
        <v>6</v>
      </c>
      <c r="F522" s="100" t="s">
        <v>5</v>
      </c>
      <c r="I522" s="27" t="s">
        <v>156</v>
      </c>
      <c r="J522" s="100" t="s">
        <v>4</v>
      </c>
    </row>
    <row r="523" spans="1:10">
      <c r="B523" s="25" t="s">
        <v>50</v>
      </c>
      <c r="C523" s="120">
        <f>Model!Y119</f>
        <v>13517.329000000002</v>
      </c>
      <c r="D523" s="26"/>
      <c r="E523" s="104">
        <f>C523*J$519</f>
        <v>2128.9793175000004</v>
      </c>
      <c r="I523" s="25" t="s">
        <v>21</v>
      </c>
      <c r="J523" s="24">
        <v>35405.970999999998</v>
      </c>
    </row>
    <row r="524" spans="1:10">
      <c r="B524" s="25" t="s">
        <v>51</v>
      </c>
      <c r="C524" s="120">
        <f>Model!Y120</f>
        <v>48453.972000000002</v>
      </c>
      <c r="D524" s="26"/>
      <c r="E524" s="104">
        <f>C524*J$519</f>
        <v>7631.5005900000006</v>
      </c>
      <c r="I524" s="25" t="s">
        <v>61</v>
      </c>
      <c r="J524" s="24">
        <v>68042.12</v>
      </c>
    </row>
    <row r="525" spans="1:10">
      <c r="B525" s="19" t="s">
        <v>20</v>
      </c>
      <c r="C525" s="18">
        <f>C523+C524</f>
        <v>61971.301000000007</v>
      </c>
      <c r="D525" s="17">
        <f>C525/C531</f>
        <v>-6.7712183697757169</v>
      </c>
      <c r="E525" s="18">
        <f>E523+E524</f>
        <v>9760.479907500001</v>
      </c>
      <c r="F525" s="17">
        <f>E525/E531</f>
        <v>-6.8324307349662536</v>
      </c>
      <c r="I525" s="19" t="s">
        <v>62</v>
      </c>
      <c r="J525" s="18">
        <f>J523+J524</f>
        <v>103448.09099999999</v>
      </c>
    </row>
    <row r="526" spans="1:10">
      <c r="B526" s="13" t="s">
        <v>21</v>
      </c>
      <c r="C526" s="21">
        <f>Model!Y122</f>
        <v>35405.970999999998</v>
      </c>
      <c r="D526" s="20"/>
      <c r="E526" s="104">
        <f>C526*J$519</f>
        <v>5576.4404324999996</v>
      </c>
      <c r="I526" s="118" t="s">
        <v>63</v>
      </c>
      <c r="J526" s="119">
        <f>J525-C526-C527</f>
        <v>0</v>
      </c>
    </row>
    <row r="527" spans="1:10">
      <c r="B527" s="25" t="s">
        <v>61</v>
      </c>
      <c r="C527" s="21">
        <f>Model!Y123</f>
        <v>68042.12</v>
      </c>
      <c r="D527" s="20"/>
      <c r="E527" s="104">
        <f>C527*J$519</f>
        <v>10716.633899999999</v>
      </c>
      <c r="I527" s="118"/>
      <c r="J527" s="119"/>
    </row>
    <row r="528" spans="1:10">
      <c r="B528" s="19" t="s">
        <v>23</v>
      </c>
      <c r="C528" s="18">
        <f>C525-C526-C527</f>
        <v>-41476.789999999986</v>
      </c>
      <c r="D528" s="17">
        <f>C528/C531</f>
        <v>4.5319107043973403</v>
      </c>
      <c r="E528" s="18">
        <f>E525-E526-E527</f>
        <v>-6532.5944249999975</v>
      </c>
      <c r="F528" s="17">
        <f>E528/E531</f>
        <v>4.5728795460295535</v>
      </c>
    </row>
    <row r="529" spans="1:10">
      <c r="B529" s="8" t="s">
        <v>26</v>
      </c>
      <c r="C529" s="16">
        <f>Model!Y128</f>
        <v>121087.69</v>
      </c>
      <c r="D529" s="15"/>
      <c r="E529" s="104">
        <f>C529*J$519</f>
        <v>19071.311174999999</v>
      </c>
    </row>
    <row r="530" spans="1:10">
      <c r="B530" s="8" t="s">
        <v>27</v>
      </c>
      <c r="C530" s="16">
        <f>C528+C529</f>
        <v>79610.900000000023</v>
      </c>
      <c r="D530" s="15"/>
      <c r="E530" s="16">
        <f>E528+E529</f>
        <v>12538.716750000001</v>
      </c>
    </row>
    <row r="531" spans="1:10">
      <c r="B531" s="13" t="s">
        <v>28</v>
      </c>
      <c r="C531" s="14">
        <f>Model!Y89</f>
        <v>-9152.1640000000007</v>
      </c>
      <c r="D531" s="13"/>
      <c r="E531" s="104">
        <f>C531*J520</f>
        <v>-1428.5516071972604</v>
      </c>
    </row>
    <row r="532" spans="1:10">
      <c r="B532" s="12" t="s">
        <v>29</v>
      </c>
      <c r="C532" s="11">
        <f>+C525-Model!Y121</f>
        <v>0</v>
      </c>
      <c r="D532" s="10"/>
    </row>
    <row r="533" spans="1:10" ht="15.75" thickBot="1">
      <c r="B533" s="12"/>
      <c r="C533" s="11"/>
      <c r="D533" s="10"/>
    </row>
    <row r="534" spans="1:10">
      <c r="B534" s="6" t="s">
        <v>157</v>
      </c>
      <c r="C534" s="9" t="s">
        <v>4</v>
      </c>
      <c r="D534" s="9" t="s">
        <v>6</v>
      </c>
    </row>
    <row r="535" spans="1:10">
      <c r="B535" s="101" t="s">
        <v>21</v>
      </c>
      <c r="C535" s="106">
        <f>C526</f>
        <v>35405.970999999998</v>
      </c>
      <c r="D535" s="106">
        <f>C535*J$519</f>
        <v>5576.4404324999996</v>
      </c>
    </row>
    <row r="536" spans="1:10">
      <c r="B536" s="101" t="s">
        <v>65</v>
      </c>
      <c r="C536" s="116">
        <f>(14499339+13871016+2405721)/1000</f>
        <v>30776.076000000001</v>
      </c>
      <c r="D536" s="106">
        <f>C536*J$519</f>
        <v>4847.2319699999998</v>
      </c>
    </row>
    <row r="537" spans="1:10" ht="15.75" thickBot="1">
      <c r="B537" s="3" t="s">
        <v>32</v>
      </c>
      <c r="C537" s="2">
        <f>SUM(C535:C536)</f>
        <v>66182.046999999991</v>
      </c>
      <c r="D537" s="2">
        <f>SUM(D535:D536)</f>
        <v>10423.6724025</v>
      </c>
    </row>
    <row r="538" spans="1:10">
      <c r="B538" s="12"/>
      <c r="C538" s="11"/>
      <c r="D538" s="10"/>
    </row>
    <row r="539" spans="1:10">
      <c r="A539" s="28" t="s">
        <v>158</v>
      </c>
      <c r="I539" s="8" t="s">
        <v>159</v>
      </c>
      <c r="J539" s="117">
        <f>Model!X210</f>
        <v>0.15700805451319652</v>
      </c>
    </row>
    <row r="540" spans="1:10">
      <c r="I540" s="8" t="s">
        <v>160</v>
      </c>
      <c r="J540" s="117">
        <f>Model!X211</f>
        <v>0.15526394324853229</v>
      </c>
    </row>
    <row r="541" spans="1:10">
      <c r="I541" s="8"/>
      <c r="J541" s="117"/>
    </row>
    <row r="542" spans="1:10">
      <c r="B542" s="27" t="s">
        <v>161</v>
      </c>
      <c r="C542" s="100" t="s">
        <v>4</v>
      </c>
      <c r="D542" s="100" t="s">
        <v>5</v>
      </c>
      <c r="E542" s="100" t="s">
        <v>6</v>
      </c>
      <c r="F542" s="100" t="s">
        <v>5</v>
      </c>
      <c r="I542" s="27" t="s">
        <v>162</v>
      </c>
      <c r="J542" s="100" t="s">
        <v>4</v>
      </c>
    </row>
    <row r="543" spans="1:10">
      <c r="B543" s="25" t="s">
        <v>50</v>
      </c>
      <c r="C543" s="24">
        <f>Model!X119</f>
        <v>13382.079</v>
      </c>
      <c r="D543" s="26"/>
      <c r="E543" s="104">
        <f>C543*J$539</f>
        <v>2101.0941891319026</v>
      </c>
      <c r="I543" s="25" t="s">
        <v>21</v>
      </c>
      <c r="J543" s="24">
        <f>32513.428</f>
        <v>32513.428</v>
      </c>
    </row>
    <row r="544" spans="1:10">
      <c r="B544" s="25" t="s">
        <v>51</v>
      </c>
      <c r="C544" s="24">
        <f>Model!X120</f>
        <v>45597.271000000001</v>
      </c>
      <c r="D544" s="26"/>
      <c r="E544" s="104">
        <f>C544*J$539</f>
        <v>7159.1388108209949</v>
      </c>
      <c r="I544" s="25" t="s">
        <v>61</v>
      </c>
      <c r="J544" s="24">
        <v>84282.016000000003</v>
      </c>
    </row>
    <row r="545" spans="1:10">
      <c r="B545" s="19" t="s">
        <v>20</v>
      </c>
      <c r="C545" s="18">
        <f>C543+C544</f>
        <v>58979.35</v>
      </c>
      <c r="D545" s="17">
        <f>C545/C551</f>
        <v>-6.0840610286117007</v>
      </c>
      <c r="E545" s="18">
        <f>E543+E544</f>
        <v>9260.2329999528974</v>
      </c>
      <c r="F545" s="17">
        <f>E545/E551</f>
        <v>-6.152404516178037</v>
      </c>
      <c r="I545" s="19" t="s">
        <v>62</v>
      </c>
      <c r="J545" s="18">
        <f>J543+J544</f>
        <v>116795.444</v>
      </c>
    </row>
    <row r="546" spans="1:10">
      <c r="B546" s="13" t="s">
        <v>21</v>
      </c>
      <c r="C546" s="21">
        <f>Model!X122</f>
        <v>32513.428</v>
      </c>
      <c r="D546" s="20"/>
      <c r="E546" s="104">
        <f>C546*J$539</f>
        <v>5104.8700758348905</v>
      </c>
      <c r="I546" s="118" t="s">
        <v>63</v>
      </c>
      <c r="J546" s="119">
        <f>J545-C546-C547</f>
        <v>0</v>
      </c>
    </row>
    <row r="547" spans="1:10">
      <c r="B547" s="25" t="s">
        <v>61</v>
      </c>
      <c r="C547" s="21">
        <f>Model!X123</f>
        <v>84282.016000000003</v>
      </c>
      <c r="D547" s="20"/>
      <c r="E547" s="104">
        <f>C547*J$539</f>
        <v>13232.955362610102</v>
      </c>
      <c r="I547" s="118"/>
      <c r="J547" s="119"/>
    </row>
    <row r="548" spans="1:10">
      <c r="B548" s="19" t="s">
        <v>23</v>
      </c>
      <c r="C548" s="18">
        <f>C545-C546-C547</f>
        <v>-57816.094000000005</v>
      </c>
      <c r="D548" s="17">
        <f>C548/C551</f>
        <v>5.9640644451312337</v>
      </c>
      <c r="E548" s="18">
        <f>E545-E546-E547</f>
        <v>-9077.5924384920945</v>
      </c>
      <c r="F548" s="17">
        <f>E548/E551</f>
        <v>6.0310599868152819</v>
      </c>
    </row>
    <row r="549" spans="1:10">
      <c r="B549" s="8" t="s">
        <v>26</v>
      </c>
      <c r="C549" s="16">
        <f>Model!X128</f>
        <v>125556.762</v>
      </c>
      <c r="D549" s="15"/>
      <c r="E549" s="104">
        <f>C549*J$539</f>
        <v>19713.422932596441</v>
      </c>
    </row>
    <row r="550" spans="1:10">
      <c r="B550" s="8" t="s">
        <v>27</v>
      </c>
      <c r="C550" s="16">
        <f>C548+C549</f>
        <v>67740.668000000005</v>
      </c>
      <c r="D550" s="15"/>
      <c r="E550" s="16">
        <f>E548+E549</f>
        <v>10635.830494104346</v>
      </c>
    </row>
    <row r="551" spans="1:10">
      <c r="B551" s="13" t="s">
        <v>28</v>
      </c>
      <c r="C551" s="14">
        <f>Model!X89</f>
        <v>-9694.0759999999991</v>
      </c>
      <c r="D551" s="13"/>
      <c r="E551" s="104">
        <f>C551*J540</f>
        <v>-1505.1404659109587</v>
      </c>
    </row>
    <row r="552" spans="1:10">
      <c r="B552" s="12" t="s">
        <v>29</v>
      </c>
      <c r="C552" s="11">
        <f>+C545-Model!X121</f>
        <v>0</v>
      </c>
      <c r="D552" s="10"/>
    </row>
    <row r="553" spans="1:10" ht="15.75" thickBot="1">
      <c r="B553" s="12"/>
      <c r="C553" s="11"/>
      <c r="D553" s="10"/>
    </row>
    <row r="554" spans="1:10">
      <c r="B554" s="6" t="s">
        <v>163</v>
      </c>
      <c r="C554" s="9" t="s">
        <v>4</v>
      </c>
      <c r="D554" s="9" t="s">
        <v>6</v>
      </c>
    </row>
    <row r="555" spans="1:10">
      <c r="B555" s="101" t="s">
        <v>21</v>
      </c>
      <c r="C555" s="106">
        <f>C546</f>
        <v>32513.428</v>
      </c>
      <c r="D555" s="106">
        <f>C555*J$539</f>
        <v>5104.8700758348905</v>
      </c>
    </row>
    <row r="556" spans="1:10">
      <c r="B556" s="101" t="s">
        <v>65</v>
      </c>
      <c r="C556" s="116">
        <f>14299.857+13868.788+2022.705</f>
        <v>30191.35</v>
      </c>
      <c r="D556" s="106">
        <f>C556*J$539</f>
        <v>4740.2851266269954</v>
      </c>
    </row>
    <row r="557" spans="1:10" ht="15.75" thickBot="1">
      <c r="B557" s="3" t="s">
        <v>32</v>
      </c>
      <c r="C557" s="2">
        <f>SUM(C555:C556)</f>
        <v>62704.777999999998</v>
      </c>
      <c r="D557" s="2">
        <f>SUM(D555:D556)</f>
        <v>9845.1552024618868</v>
      </c>
    </row>
    <row r="558" spans="1:10">
      <c r="B558" s="12"/>
      <c r="C558" s="11"/>
      <c r="D558" s="10"/>
    </row>
    <row r="559" spans="1:10">
      <c r="A559" s="28" t="s">
        <v>164</v>
      </c>
      <c r="I559" s="8" t="s">
        <v>165</v>
      </c>
      <c r="J559" s="117">
        <f>Model!W210</f>
        <v>0.15509999999999999</v>
      </c>
    </row>
    <row r="560" spans="1:10">
      <c r="I560" s="8" t="s">
        <v>166</v>
      </c>
      <c r="J560" s="117">
        <f>Model!W211</f>
        <v>0.154</v>
      </c>
    </row>
    <row r="561" spans="2:6">
      <c r="B561" s="27" t="s">
        <v>167</v>
      </c>
      <c r="C561" s="100" t="s">
        <v>4</v>
      </c>
      <c r="D561" s="100" t="s">
        <v>5</v>
      </c>
      <c r="E561" s="100" t="s">
        <v>6</v>
      </c>
      <c r="F561" s="100" t="s">
        <v>5</v>
      </c>
    </row>
    <row r="562" spans="2:6">
      <c r="B562" s="25" t="s">
        <v>50</v>
      </c>
      <c r="C562" s="24">
        <f>Model!W119</f>
        <v>15213.405999999999</v>
      </c>
      <c r="D562" s="26"/>
      <c r="E562" s="104">
        <f>C562*J$559</f>
        <v>2359.5992705999997</v>
      </c>
    </row>
    <row r="563" spans="2:6">
      <c r="B563" s="25" t="s">
        <v>51</v>
      </c>
      <c r="C563" s="24">
        <f>Model!W120</f>
        <v>43643.688999999998</v>
      </c>
      <c r="D563" s="26"/>
      <c r="E563" s="104">
        <f>C563*J$559</f>
        <v>6769.1361638999988</v>
      </c>
    </row>
    <row r="564" spans="2:6">
      <c r="B564" s="19" t="s">
        <v>20</v>
      </c>
      <c r="C564" s="18">
        <f>C562+C563</f>
        <v>58857.095000000001</v>
      </c>
      <c r="D564" s="17">
        <f>C564/C570</f>
        <v>-7.1139672465774879</v>
      </c>
      <c r="E564" s="18">
        <f>E562+E563</f>
        <v>9128.7354344999985</v>
      </c>
      <c r="F564" s="17">
        <f>E564/E570</f>
        <v>-7.1647812983387551</v>
      </c>
    </row>
    <row r="565" spans="2:6">
      <c r="B565" s="13" t="s">
        <v>21</v>
      </c>
      <c r="C565" s="21">
        <f>Model!W122</f>
        <v>50937.432999999997</v>
      </c>
      <c r="D565" s="20"/>
      <c r="E565" s="104">
        <f>C565*J$559</f>
        <v>7900.3958582999985</v>
      </c>
    </row>
    <row r="566" spans="2:6">
      <c r="B566" s="13" t="s">
        <v>22</v>
      </c>
      <c r="C566" s="21">
        <f>Model!W123</f>
        <v>69955.148000000001</v>
      </c>
      <c r="D566" s="20"/>
      <c r="E566" s="104">
        <f>C566*J$559</f>
        <v>10850.043454799999</v>
      </c>
    </row>
    <row r="567" spans="2:6">
      <c r="B567" s="19" t="s">
        <v>23</v>
      </c>
      <c r="C567" s="18">
        <f>C564-C565-C566</f>
        <v>-62035.485999999997</v>
      </c>
      <c r="D567" s="17">
        <f>C567/C570</f>
        <v>7.498134515974944</v>
      </c>
      <c r="E567" s="18">
        <f>E564-E565-E566</f>
        <v>-9621.7038785999994</v>
      </c>
      <c r="F567" s="17">
        <f>E567/E570</f>
        <v>7.5516926196604794</v>
      </c>
    </row>
    <row r="568" spans="2:6">
      <c r="B568" s="8" t="s">
        <v>26</v>
      </c>
      <c r="C568" s="16">
        <f>Model!W128</f>
        <v>129241.15399999999</v>
      </c>
      <c r="D568" s="15"/>
      <c r="E568" s="104">
        <f>C568*J$559</f>
        <v>20045.302985399998</v>
      </c>
    </row>
    <row r="569" spans="2:6">
      <c r="B569" s="8" t="s">
        <v>27</v>
      </c>
      <c r="C569" s="16">
        <f>C567+C568</f>
        <v>67205.668000000005</v>
      </c>
      <c r="D569" s="15"/>
      <c r="E569" s="16">
        <f>E567+E568</f>
        <v>10423.599106799998</v>
      </c>
    </row>
    <row r="570" spans="2:6">
      <c r="B570" s="13" t="s">
        <v>28</v>
      </c>
      <c r="C570" s="14">
        <f>Model!W89</f>
        <v>-8273.4560000000001</v>
      </c>
      <c r="D570" s="13"/>
      <c r="E570" s="104">
        <f>C570*J560</f>
        <v>-1274.112224</v>
      </c>
    </row>
    <row r="571" spans="2:6">
      <c r="B571" s="12" t="s">
        <v>29</v>
      </c>
      <c r="C571" s="11">
        <f>+C564-Model!W121</f>
        <v>0</v>
      </c>
      <c r="D571" s="10"/>
    </row>
    <row r="572" spans="2:6" ht="15.75" thickBot="1">
      <c r="B572" s="12"/>
      <c r="C572" s="11"/>
      <c r="D572" s="10"/>
    </row>
    <row r="573" spans="2:6">
      <c r="B573" s="6" t="s">
        <v>168</v>
      </c>
      <c r="C573" s="9" t="s">
        <v>4</v>
      </c>
      <c r="D573" s="9" t="s">
        <v>6</v>
      </c>
    </row>
    <row r="574" spans="2:6">
      <c r="B574" s="101" t="s">
        <v>21</v>
      </c>
      <c r="C574" s="106">
        <f>C565</f>
        <v>50937.432999999997</v>
      </c>
      <c r="D574" s="106">
        <f>C574*J$559</f>
        <v>7900.3958582999985</v>
      </c>
    </row>
    <row r="575" spans="2:6">
      <c r="B575" s="101" t="s">
        <v>65</v>
      </c>
      <c r="C575" s="116">
        <f>12234.023+14175.376+1465.388</f>
        <v>27874.786999999997</v>
      </c>
      <c r="D575" s="106">
        <f>C575*J$559</f>
        <v>4323.3794636999992</v>
      </c>
    </row>
    <row r="576" spans="2:6" ht="15.75" thickBot="1">
      <c r="B576" s="3" t="s">
        <v>62</v>
      </c>
      <c r="C576" s="2">
        <f>SUM(C574:C575)</f>
        <v>78812.22</v>
      </c>
      <c r="D576" s="2">
        <f>SUM(D574:D575)</f>
        <v>12223.775321999998</v>
      </c>
    </row>
    <row r="577" spans="1:10">
      <c r="B577" s="12"/>
      <c r="C577" s="11"/>
      <c r="D577" s="10"/>
    </row>
    <row r="578" spans="1:10">
      <c r="B578" s="12"/>
      <c r="C578" s="11"/>
      <c r="D578" s="10"/>
    </row>
    <row r="580" spans="1:10">
      <c r="A580" s="28" t="s">
        <v>169</v>
      </c>
      <c r="I580" s="8" t="s">
        <v>170</v>
      </c>
      <c r="J580" s="117">
        <f>Model!V210</f>
        <v>0.15490000000000001</v>
      </c>
    </row>
    <row r="581" spans="1:10">
      <c r="I581" s="8" t="s">
        <v>171</v>
      </c>
      <c r="J581" s="117">
        <f>Model!V211</f>
        <v>0.15165000000000001</v>
      </c>
    </row>
    <row r="582" spans="1:10">
      <c r="B582" s="27" t="s">
        <v>172</v>
      </c>
      <c r="C582" s="100" t="s">
        <v>4</v>
      </c>
      <c r="D582" s="100" t="s">
        <v>5</v>
      </c>
      <c r="E582" s="100" t="s">
        <v>6</v>
      </c>
      <c r="F582" s="100" t="s">
        <v>5</v>
      </c>
    </row>
    <row r="583" spans="1:10">
      <c r="B583" s="23" t="s">
        <v>173</v>
      </c>
      <c r="C583" s="22">
        <f>SUM(C584:C586)</f>
        <v>19154.849000000002</v>
      </c>
      <c r="D583" s="26"/>
      <c r="E583" s="22">
        <f>SUM(E584:E586)</f>
        <v>2967.0861101</v>
      </c>
    </row>
    <row r="584" spans="1:10">
      <c r="B584" s="25" t="s">
        <v>174</v>
      </c>
      <c r="C584" s="24">
        <v>7591.91</v>
      </c>
      <c r="D584" s="26"/>
      <c r="E584" s="104">
        <f t="shared" ref="E584:E589" si="6">C584*J$580</f>
        <v>1175.9868590000001</v>
      </c>
    </row>
    <row r="585" spans="1:10">
      <c r="B585" s="25" t="s">
        <v>175</v>
      </c>
      <c r="C585" s="24">
        <v>9602.9390000000003</v>
      </c>
      <c r="D585" s="26"/>
      <c r="E585" s="104">
        <f t="shared" si="6"/>
        <v>1487.4952511000001</v>
      </c>
    </row>
    <row r="586" spans="1:10">
      <c r="B586" s="25" t="s">
        <v>176</v>
      </c>
      <c r="C586" s="24">
        <v>1960</v>
      </c>
      <c r="D586" s="26"/>
      <c r="E586" s="104">
        <f t="shared" si="6"/>
        <v>303.60400000000004</v>
      </c>
    </row>
    <row r="587" spans="1:10">
      <c r="B587" s="23" t="s">
        <v>177</v>
      </c>
      <c r="C587" s="103">
        <f>12844.861</f>
        <v>12844.861000000001</v>
      </c>
      <c r="D587" s="26"/>
      <c r="E587" s="105">
        <f t="shared" si="6"/>
        <v>1989.6689689000002</v>
      </c>
    </row>
    <row r="588" spans="1:10">
      <c r="B588" s="23" t="s">
        <v>178</v>
      </c>
      <c r="C588" s="103">
        <v>17749.814999999999</v>
      </c>
      <c r="D588" s="26"/>
      <c r="E588" s="105">
        <f t="shared" si="6"/>
        <v>2749.4463434999998</v>
      </c>
    </row>
    <row r="589" spans="1:10">
      <c r="B589" s="23" t="s">
        <v>179</v>
      </c>
      <c r="C589" s="22">
        <f>Model!V114+Model!V115</f>
        <v>3373.8980000000001</v>
      </c>
      <c r="E589" s="105">
        <f t="shared" si="6"/>
        <v>522.61680020000006</v>
      </c>
    </row>
    <row r="590" spans="1:10">
      <c r="B590" s="19" t="s">
        <v>20</v>
      </c>
      <c r="C590" s="18">
        <f>C589+C583+C587+C588</f>
        <v>53123.42300000001</v>
      </c>
      <c r="D590" s="17">
        <f>C590/C596</f>
        <v>-34.576602546996291</v>
      </c>
      <c r="E590" s="18">
        <f>E589+E583+E587+E588</f>
        <v>8228.8182226999998</v>
      </c>
      <c r="F590" s="17">
        <f>E590/E596</f>
        <v>-35.317611173951363</v>
      </c>
    </row>
    <row r="591" spans="1:10">
      <c r="B591" s="13" t="s">
        <v>21</v>
      </c>
      <c r="C591" s="21">
        <f>Model!V122</f>
        <v>71387.869000000006</v>
      </c>
      <c r="D591" s="20"/>
      <c r="E591" s="104">
        <f>C591*J$580</f>
        <v>11057.980908100002</v>
      </c>
    </row>
    <row r="592" spans="1:10">
      <c r="B592" s="13" t="s">
        <v>22</v>
      </c>
      <c r="C592" s="21">
        <f>Model!V123</f>
        <v>51121.79</v>
      </c>
      <c r="D592" s="20"/>
      <c r="E592" s="104">
        <f>C592*J$580</f>
        <v>7918.7652710000002</v>
      </c>
    </row>
    <row r="593" spans="2:6">
      <c r="B593" s="19" t="s">
        <v>23</v>
      </c>
      <c r="C593" s="18">
        <f>C590-C591-C592</f>
        <v>-69386.236000000004</v>
      </c>
      <c r="D593" s="17">
        <f>C593/C596</f>
        <v>45.161628692565344</v>
      </c>
      <c r="E593" s="18">
        <f>E590-E591-E592</f>
        <v>-10747.927956400003</v>
      </c>
      <c r="F593" s="17">
        <f>E593/E596</f>
        <v>46.129484236586691</v>
      </c>
    </row>
    <row r="594" spans="2:6">
      <c r="B594" s="8" t="s">
        <v>26</v>
      </c>
      <c r="C594" s="16">
        <f>Model!V128</f>
        <v>134829.103</v>
      </c>
      <c r="D594" s="15"/>
      <c r="E594" s="104">
        <f>C594*J$580</f>
        <v>20885.0280547</v>
      </c>
    </row>
    <row r="595" spans="2:6">
      <c r="B595" s="8" t="s">
        <v>27</v>
      </c>
      <c r="C595" s="16">
        <f>C593+C594</f>
        <v>65442.866999999998</v>
      </c>
      <c r="D595" s="15"/>
      <c r="E595" s="16">
        <f>E593+E594</f>
        <v>10137.100098299998</v>
      </c>
    </row>
    <row r="596" spans="2:6">
      <c r="B596" s="13" t="s">
        <v>28</v>
      </c>
      <c r="C596" s="14">
        <f>Model!V89</f>
        <v>-1536.3979999999999</v>
      </c>
      <c r="D596" s="13"/>
      <c r="E596" s="104">
        <f>C596*J581</f>
        <v>-232.99475670000001</v>
      </c>
    </row>
    <row r="597" spans="2:6">
      <c r="B597" s="12" t="s">
        <v>29</v>
      </c>
      <c r="C597" s="11">
        <f>+C590-Model!V121</f>
        <v>0</v>
      </c>
      <c r="D597" s="10"/>
    </row>
    <row r="598" spans="2:6">
      <c r="B598" s="12"/>
      <c r="C598" s="11"/>
      <c r="D598" s="10"/>
    </row>
    <row r="599" spans="2:6" ht="15.75" thickBot="1">
      <c r="B599" s="8"/>
      <c r="C599" s="7"/>
    </row>
    <row r="600" spans="2:6">
      <c r="B600" s="6" t="s">
        <v>180</v>
      </c>
      <c r="C600" s="9" t="s">
        <v>4</v>
      </c>
      <c r="D600" s="9" t="s">
        <v>6</v>
      </c>
      <c r="E600" s="135"/>
    </row>
    <row r="601" spans="2:6">
      <c r="B601" s="5" t="s">
        <v>41</v>
      </c>
      <c r="C601" s="4">
        <v>61.119</v>
      </c>
      <c r="D601" s="106">
        <f>C601*J$580</f>
        <v>9.4673331000000012</v>
      </c>
    </row>
    <row r="602" spans="2:6">
      <c r="B602" s="5" t="s">
        <v>181</v>
      </c>
      <c r="C602" s="4">
        <v>22568.376</v>
      </c>
      <c r="D602" s="106">
        <f t="shared" ref="D602:D603" si="7">C602*J$580</f>
        <v>3495.8414424000002</v>
      </c>
    </row>
    <row r="603" spans="2:6">
      <c r="B603" s="101" t="s">
        <v>44</v>
      </c>
      <c r="C603" s="4">
        <v>8026.3</v>
      </c>
      <c r="D603" s="106">
        <f t="shared" si="7"/>
        <v>1243.2738700000002</v>
      </c>
    </row>
    <row r="604" spans="2:6" ht="15.75" thickBot="1">
      <c r="B604" s="3" t="s">
        <v>35</v>
      </c>
      <c r="C604" s="2">
        <f>SUM(C601:C603)</f>
        <v>30655.794999999998</v>
      </c>
      <c r="D604" s="2">
        <f>SUM(D601:D603)</f>
        <v>4748.5826455000006</v>
      </c>
    </row>
    <row r="605" spans="2:6">
      <c r="C605" s="11"/>
      <c r="D605" s="11"/>
    </row>
    <row r="606" spans="2:6" ht="15.75" thickBot="1">
      <c r="B606" s="8"/>
      <c r="C606" s="7"/>
    </row>
    <row r="607" spans="2:6">
      <c r="B607" s="6" t="s">
        <v>182</v>
      </c>
      <c r="C607" s="9" t="s">
        <v>4</v>
      </c>
      <c r="D607" s="9" t="s">
        <v>6</v>
      </c>
    </row>
    <row r="608" spans="2:6">
      <c r="B608" s="101" t="s">
        <v>21</v>
      </c>
      <c r="C608" s="106">
        <f>C591</f>
        <v>71387.869000000006</v>
      </c>
      <c r="D608" s="106">
        <f>C608*J$580</f>
        <v>11057.980908100002</v>
      </c>
    </row>
    <row r="609" spans="2:4">
      <c r="B609" s="101" t="s">
        <v>65</v>
      </c>
      <c r="C609" s="116">
        <f>10848.234+13105.479+1658.249</f>
        <v>25611.962</v>
      </c>
      <c r="D609" s="106">
        <f>C609*J$580</f>
        <v>3967.2929138000004</v>
      </c>
    </row>
    <row r="610" spans="2:4" ht="15.75" thickBot="1">
      <c r="B610" s="3" t="s">
        <v>32</v>
      </c>
      <c r="C610" s="2">
        <f>SUM(C608:C609)</f>
        <v>96999.831000000006</v>
      </c>
      <c r="D610" s="2">
        <f>SUM(D608:D609)</f>
        <v>15025.273821900002</v>
      </c>
    </row>
  </sheetData>
  <pageMargins left="0.7" right="0.7" top="0.75" bottom="0.75" header="0.3" footer="0.3"/>
  <pageSetup orientation="portrait" horizontalDpi="90" verticalDpi="90" r:id="rId1"/>
  <ignoredErrors>
    <ignoredError sqref="D402:E402 D405:E405 D407:E407"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Q282"/>
  <sheetViews>
    <sheetView showGridLines="0" zoomScaleNormal="100" workbookViewId="0">
      <pane xSplit="2" ySplit="6" topLeftCell="H7" activePane="bottomRight" state="frozen"/>
      <selection pane="bottomRight" activeCell="AR1" sqref="AR1"/>
      <selection pane="bottomLeft" activeCell="I19" sqref="I19"/>
      <selection pane="topRight" activeCell="I19" sqref="I19"/>
    </sheetView>
  </sheetViews>
  <sheetFormatPr defaultColWidth="11.42578125" defaultRowHeight="12.75" outlineLevelCol="1"/>
  <cols>
    <col min="1" max="1" width="2.7109375" style="29" customWidth="1"/>
    <col min="2" max="2" width="50.7109375" style="29" customWidth="1"/>
    <col min="3" max="4" width="12.7109375" style="29" hidden="1" customWidth="1" outlineLevel="1"/>
    <col min="5" max="5" width="12.7109375" style="29" hidden="1" customWidth="1" outlineLevel="1" collapsed="1"/>
    <col min="6" max="7" width="12.7109375" style="29" hidden="1" customWidth="1" outlineLevel="1"/>
    <col min="8" max="8" width="12.7109375" style="29" customWidth="1" collapsed="1"/>
    <col min="9" max="12" width="12.7109375" style="29" customWidth="1"/>
    <col min="13" max="32" width="12.7109375" style="29" hidden="1" customWidth="1" outlineLevel="1"/>
    <col min="33" max="33" width="12.7109375" style="29" customWidth="1" collapsed="1"/>
    <col min="34" max="44" width="12.7109375" style="29" customWidth="1"/>
    <col min="45" max="259" width="11.42578125" style="29"/>
    <col min="260" max="260" width="3.5703125" style="29" customWidth="1"/>
    <col min="261" max="261" width="13.28515625" style="29" customWidth="1"/>
    <col min="262" max="269" width="11.42578125" style="29" customWidth="1"/>
    <col min="270" max="270" width="9.7109375" style="29" bestFit="1" customWidth="1"/>
    <col min="271" max="274" width="0" style="29" hidden="1" customWidth="1"/>
    <col min="275" max="283" width="11.42578125" style="29" customWidth="1"/>
    <col min="284" max="515" width="11.42578125" style="29"/>
    <col min="516" max="516" width="3.5703125" style="29" customWidth="1"/>
    <col min="517" max="517" width="13.28515625" style="29" customWidth="1"/>
    <col min="518" max="525" width="11.42578125" style="29" customWidth="1"/>
    <col min="526" max="526" width="9.7109375" style="29" bestFit="1" customWidth="1"/>
    <col min="527" max="530" width="0" style="29" hidden="1" customWidth="1"/>
    <col min="531" max="539" width="11.42578125" style="29" customWidth="1"/>
    <col min="540" max="771" width="11.42578125" style="29"/>
    <col min="772" max="772" width="3.5703125" style="29" customWidth="1"/>
    <col min="773" max="773" width="13.28515625" style="29" customWidth="1"/>
    <col min="774" max="781" width="11.42578125" style="29" customWidth="1"/>
    <col min="782" max="782" width="9.7109375" style="29" bestFit="1" customWidth="1"/>
    <col min="783" max="786" width="0" style="29" hidden="1" customWidth="1"/>
    <col min="787" max="795" width="11.42578125" style="29" customWidth="1"/>
    <col min="796" max="1027" width="11.42578125" style="29"/>
    <col min="1028" max="1028" width="3.5703125" style="29" customWidth="1"/>
    <col min="1029" max="1029" width="13.28515625" style="29" customWidth="1"/>
    <col min="1030" max="1037" width="11.42578125" style="29" customWidth="1"/>
    <col min="1038" max="1038" width="9.7109375" style="29" bestFit="1" customWidth="1"/>
    <col min="1039" max="1042" width="0" style="29" hidden="1" customWidth="1"/>
    <col min="1043" max="1051" width="11.42578125" style="29" customWidth="1"/>
    <col min="1052" max="1283" width="11.42578125" style="29"/>
    <col min="1284" max="1284" width="3.5703125" style="29" customWidth="1"/>
    <col min="1285" max="1285" width="13.28515625" style="29" customWidth="1"/>
    <col min="1286" max="1293" width="11.42578125" style="29" customWidth="1"/>
    <col min="1294" max="1294" width="9.7109375" style="29" bestFit="1" customWidth="1"/>
    <col min="1295" max="1298" width="0" style="29" hidden="1" customWidth="1"/>
    <col min="1299" max="1307" width="11.42578125" style="29" customWidth="1"/>
    <col min="1308" max="1539" width="11.42578125" style="29"/>
    <col min="1540" max="1540" width="3.5703125" style="29" customWidth="1"/>
    <col min="1541" max="1541" width="13.28515625" style="29" customWidth="1"/>
    <col min="1542" max="1549" width="11.42578125" style="29" customWidth="1"/>
    <col min="1550" max="1550" width="9.7109375" style="29" bestFit="1" customWidth="1"/>
    <col min="1551" max="1554" width="0" style="29" hidden="1" customWidth="1"/>
    <col min="1555" max="1563" width="11.42578125" style="29" customWidth="1"/>
    <col min="1564" max="1795" width="11.42578125" style="29"/>
    <col min="1796" max="1796" width="3.5703125" style="29" customWidth="1"/>
    <col min="1797" max="1797" width="13.28515625" style="29" customWidth="1"/>
    <col min="1798" max="1805" width="11.42578125" style="29" customWidth="1"/>
    <col min="1806" max="1806" width="9.7109375" style="29" bestFit="1" customWidth="1"/>
    <col min="1807" max="1810" width="0" style="29" hidden="1" customWidth="1"/>
    <col min="1811" max="1819" width="11.42578125" style="29" customWidth="1"/>
    <col min="1820" max="2051" width="11.42578125" style="29"/>
    <col min="2052" max="2052" width="3.5703125" style="29" customWidth="1"/>
    <col min="2053" max="2053" width="13.28515625" style="29" customWidth="1"/>
    <col min="2054" max="2061" width="11.42578125" style="29" customWidth="1"/>
    <col min="2062" max="2062" width="9.7109375" style="29" bestFit="1" customWidth="1"/>
    <col min="2063" max="2066" width="0" style="29" hidden="1" customWidth="1"/>
    <col min="2067" max="2075" width="11.42578125" style="29" customWidth="1"/>
    <col min="2076" max="2307" width="11.42578125" style="29"/>
    <col min="2308" max="2308" width="3.5703125" style="29" customWidth="1"/>
    <col min="2309" max="2309" width="13.28515625" style="29" customWidth="1"/>
    <col min="2310" max="2317" width="11.42578125" style="29" customWidth="1"/>
    <col min="2318" max="2318" width="9.7109375" style="29" bestFit="1" customWidth="1"/>
    <col min="2319" max="2322" width="0" style="29" hidden="1" customWidth="1"/>
    <col min="2323" max="2331" width="11.42578125" style="29" customWidth="1"/>
    <col min="2332" max="2563" width="11.42578125" style="29"/>
    <col min="2564" max="2564" width="3.5703125" style="29" customWidth="1"/>
    <col min="2565" max="2565" width="13.28515625" style="29" customWidth="1"/>
    <col min="2566" max="2573" width="11.42578125" style="29" customWidth="1"/>
    <col min="2574" max="2574" width="9.7109375" style="29" bestFit="1" customWidth="1"/>
    <col min="2575" max="2578" width="0" style="29" hidden="1" customWidth="1"/>
    <col min="2579" max="2587" width="11.42578125" style="29" customWidth="1"/>
    <col min="2588" max="2819" width="11.42578125" style="29"/>
    <col min="2820" max="2820" width="3.5703125" style="29" customWidth="1"/>
    <col min="2821" max="2821" width="13.28515625" style="29" customWidth="1"/>
    <col min="2822" max="2829" width="11.42578125" style="29" customWidth="1"/>
    <col min="2830" max="2830" width="9.7109375" style="29" bestFit="1" customWidth="1"/>
    <col min="2831" max="2834" width="0" style="29" hidden="1" customWidth="1"/>
    <col min="2835" max="2843" width="11.42578125" style="29" customWidth="1"/>
    <col min="2844" max="3075" width="11.42578125" style="29"/>
    <col min="3076" max="3076" width="3.5703125" style="29" customWidth="1"/>
    <col min="3077" max="3077" width="13.28515625" style="29" customWidth="1"/>
    <col min="3078" max="3085" width="11.42578125" style="29" customWidth="1"/>
    <col min="3086" max="3086" width="9.7109375" style="29" bestFit="1" customWidth="1"/>
    <col min="3087" max="3090" width="0" style="29" hidden="1" customWidth="1"/>
    <col min="3091" max="3099" width="11.42578125" style="29" customWidth="1"/>
    <col min="3100" max="3331" width="11.42578125" style="29"/>
    <col min="3332" max="3332" width="3.5703125" style="29" customWidth="1"/>
    <col min="3333" max="3333" width="13.28515625" style="29" customWidth="1"/>
    <col min="3334" max="3341" width="11.42578125" style="29" customWidth="1"/>
    <col min="3342" max="3342" width="9.7109375" style="29" bestFit="1" customWidth="1"/>
    <col min="3343" max="3346" width="0" style="29" hidden="1" customWidth="1"/>
    <col min="3347" max="3355" width="11.42578125" style="29" customWidth="1"/>
    <col min="3356" max="3587" width="11.42578125" style="29"/>
    <col min="3588" max="3588" width="3.5703125" style="29" customWidth="1"/>
    <col min="3589" max="3589" width="13.28515625" style="29" customWidth="1"/>
    <col min="3590" max="3597" width="11.42578125" style="29" customWidth="1"/>
    <col min="3598" max="3598" width="9.7109375" style="29" bestFit="1" customWidth="1"/>
    <col min="3599" max="3602" width="0" style="29" hidden="1" customWidth="1"/>
    <col min="3603" max="3611" width="11.42578125" style="29" customWidth="1"/>
    <col min="3612" max="3843" width="11.42578125" style="29"/>
    <col min="3844" max="3844" width="3.5703125" style="29" customWidth="1"/>
    <col min="3845" max="3845" width="13.28515625" style="29" customWidth="1"/>
    <col min="3846" max="3853" width="11.42578125" style="29" customWidth="1"/>
    <col min="3854" max="3854" width="9.7109375" style="29" bestFit="1" customWidth="1"/>
    <col min="3855" max="3858" width="0" style="29" hidden="1" customWidth="1"/>
    <col min="3859" max="3867" width="11.42578125" style="29" customWidth="1"/>
    <col min="3868" max="4099" width="11.42578125" style="29"/>
    <col min="4100" max="4100" width="3.5703125" style="29" customWidth="1"/>
    <col min="4101" max="4101" width="13.28515625" style="29" customWidth="1"/>
    <col min="4102" max="4109" width="11.42578125" style="29" customWidth="1"/>
    <col min="4110" max="4110" width="9.7109375" style="29" bestFit="1" customWidth="1"/>
    <col min="4111" max="4114" width="0" style="29" hidden="1" customWidth="1"/>
    <col min="4115" max="4123" width="11.42578125" style="29" customWidth="1"/>
    <col min="4124" max="4355" width="11.42578125" style="29"/>
    <col min="4356" max="4356" width="3.5703125" style="29" customWidth="1"/>
    <col min="4357" max="4357" width="13.28515625" style="29" customWidth="1"/>
    <col min="4358" max="4365" width="11.42578125" style="29" customWidth="1"/>
    <col min="4366" max="4366" width="9.7109375" style="29" bestFit="1" customWidth="1"/>
    <col min="4367" max="4370" width="0" style="29" hidden="1" customWidth="1"/>
    <col min="4371" max="4379" width="11.42578125" style="29" customWidth="1"/>
    <col min="4380" max="4611" width="11.42578125" style="29"/>
    <col min="4612" max="4612" width="3.5703125" style="29" customWidth="1"/>
    <col min="4613" max="4613" width="13.28515625" style="29" customWidth="1"/>
    <col min="4614" max="4621" width="11.42578125" style="29" customWidth="1"/>
    <col min="4622" max="4622" width="9.7109375" style="29" bestFit="1" customWidth="1"/>
    <col min="4623" max="4626" width="0" style="29" hidden="1" customWidth="1"/>
    <col min="4627" max="4635" width="11.42578125" style="29" customWidth="1"/>
    <col min="4636" max="4867" width="11.42578125" style="29"/>
    <col min="4868" max="4868" width="3.5703125" style="29" customWidth="1"/>
    <col min="4869" max="4869" width="13.28515625" style="29" customWidth="1"/>
    <col min="4870" max="4877" width="11.42578125" style="29" customWidth="1"/>
    <col min="4878" max="4878" width="9.7109375" style="29" bestFit="1" customWidth="1"/>
    <col min="4879" max="4882" width="0" style="29" hidden="1" customWidth="1"/>
    <col min="4883" max="4891" width="11.42578125" style="29" customWidth="1"/>
    <col min="4892" max="5123" width="11.42578125" style="29"/>
    <col min="5124" max="5124" width="3.5703125" style="29" customWidth="1"/>
    <col min="5125" max="5125" width="13.28515625" style="29" customWidth="1"/>
    <col min="5126" max="5133" width="11.42578125" style="29" customWidth="1"/>
    <col min="5134" max="5134" width="9.7109375" style="29" bestFit="1" customWidth="1"/>
    <col min="5135" max="5138" width="0" style="29" hidden="1" customWidth="1"/>
    <col min="5139" max="5147" width="11.42578125" style="29" customWidth="1"/>
    <col min="5148" max="5379" width="11.42578125" style="29"/>
    <col min="5380" max="5380" width="3.5703125" style="29" customWidth="1"/>
    <col min="5381" max="5381" width="13.28515625" style="29" customWidth="1"/>
    <col min="5382" max="5389" width="11.42578125" style="29" customWidth="1"/>
    <col min="5390" max="5390" width="9.7109375" style="29" bestFit="1" customWidth="1"/>
    <col min="5391" max="5394" width="0" style="29" hidden="1" customWidth="1"/>
    <col min="5395" max="5403" width="11.42578125" style="29" customWidth="1"/>
    <col min="5404" max="5635" width="11.42578125" style="29"/>
    <col min="5636" max="5636" width="3.5703125" style="29" customWidth="1"/>
    <col min="5637" max="5637" width="13.28515625" style="29" customWidth="1"/>
    <col min="5638" max="5645" width="11.42578125" style="29" customWidth="1"/>
    <col min="5646" max="5646" width="9.7109375" style="29" bestFit="1" customWidth="1"/>
    <col min="5647" max="5650" width="0" style="29" hidden="1" customWidth="1"/>
    <col min="5651" max="5659" width="11.42578125" style="29" customWidth="1"/>
    <col min="5660" max="5891" width="11.42578125" style="29"/>
    <col min="5892" max="5892" width="3.5703125" style="29" customWidth="1"/>
    <col min="5893" max="5893" width="13.28515625" style="29" customWidth="1"/>
    <col min="5894" max="5901" width="11.42578125" style="29" customWidth="1"/>
    <col min="5902" max="5902" width="9.7109375" style="29" bestFit="1" customWidth="1"/>
    <col min="5903" max="5906" width="0" style="29" hidden="1" customWidth="1"/>
    <col min="5907" max="5915" width="11.42578125" style="29" customWidth="1"/>
    <col min="5916" max="6147" width="11.42578125" style="29"/>
    <col min="6148" max="6148" width="3.5703125" style="29" customWidth="1"/>
    <col min="6149" max="6149" width="13.28515625" style="29" customWidth="1"/>
    <col min="6150" max="6157" width="11.42578125" style="29" customWidth="1"/>
    <col min="6158" max="6158" width="9.7109375" style="29" bestFit="1" customWidth="1"/>
    <col min="6159" max="6162" width="0" style="29" hidden="1" customWidth="1"/>
    <col min="6163" max="6171" width="11.42578125" style="29" customWidth="1"/>
    <col min="6172" max="6403" width="11.42578125" style="29"/>
    <col min="6404" max="6404" width="3.5703125" style="29" customWidth="1"/>
    <col min="6405" max="6405" width="13.28515625" style="29" customWidth="1"/>
    <col min="6406" max="6413" width="11.42578125" style="29" customWidth="1"/>
    <col min="6414" max="6414" width="9.7109375" style="29" bestFit="1" customWidth="1"/>
    <col min="6415" max="6418" width="0" style="29" hidden="1" customWidth="1"/>
    <col min="6419" max="6427" width="11.42578125" style="29" customWidth="1"/>
    <col min="6428" max="6659" width="11.42578125" style="29"/>
    <col min="6660" max="6660" width="3.5703125" style="29" customWidth="1"/>
    <col min="6661" max="6661" width="13.28515625" style="29" customWidth="1"/>
    <col min="6662" max="6669" width="11.42578125" style="29" customWidth="1"/>
    <col min="6670" max="6670" width="9.7109375" style="29" bestFit="1" customWidth="1"/>
    <col min="6671" max="6674" width="0" style="29" hidden="1" customWidth="1"/>
    <col min="6675" max="6683" width="11.42578125" style="29" customWidth="1"/>
    <col min="6684" max="6915" width="11.42578125" style="29"/>
    <col min="6916" max="6916" width="3.5703125" style="29" customWidth="1"/>
    <col min="6917" max="6917" width="13.28515625" style="29" customWidth="1"/>
    <col min="6918" max="6925" width="11.42578125" style="29" customWidth="1"/>
    <col min="6926" max="6926" width="9.7109375" style="29" bestFit="1" customWidth="1"/>
    <col min="6927" max="6930" width="0" style="29" hidden="1" customWidth="1"/>
    <col min="6931" max="6939" width="11.42578125" style="29" customWidth="1"/>
    <col min="6940" max="7171" width="11.42578125" style="29"/>
    <col min="7172" max="7172" width="3.5703125" style="29" customWidth="1"/>
    <col min="7173" max="7173" width="13.28515625" style="29" customWidth="1"/>
    <col min="7174" max="7181" width="11.42578125" style="29" customWidth="1"/>
    <col min="7182" max="7182" width="9.7109375" style="29" bestFit="1" customWidth="1"/>
    <col min="7183" max="7186" width="0" style="29" hidden="1" customWidth="1"/>
    <col min="7187" max="7195" width="11.42578125" style="29" customWidth="1"/>
    <col min="7196" max="7427" width="11.42578125" style="29"/>
    <col min="7428" max="7428" width="3.5703125" style="29" customWidth="1"/>
    <col min="7429" max="7429" width="13.28515625" style="29" customWidth="1"/>
    <col min="7430" max="7437" width="11.42578125" style="29" customWidth="1"/>
    <col min="7438" max="7438" width="9.7109375" style="29" bestFit="1" customWidth="1"/>
    <col min="7439" max="7442" width="0" style="29" hidden="1" customWidth="1"/>
    <col min="7443" max="7451" width="11.42578125" style="29" customWidth="1"/>
    <col min="7452" max="7683" width="11.42578125" style="29"/>
    <col min="7684" max="7684" width="3.5703125" style="29" customWidth="1"/>
    <col min="7685" max="7685" width="13.28515625" style="29" customWidth="1"/>
    <col min="7686" max="7693" width="11.42578125" style="29" customWidth="1"/>
    <col min="7694" max="7694" width="9.7109375" style="29" bestFit="1" customWidth="1"/>
    <col min="7695" max="7698" width="0" style="29" hidden="1" customWidth="1"/>
    <col min="7699" max="7707" width="11.42578125" style="29" customWidth="1"/>
    <col min="7708" max="7939" width="11.42578125" style="29"/>
    <col min="7940" max="7940" width="3.5703125" style="29" customWidth="1"/>
    <col min="7941" max="7941" width="13.28515625" style="29" customWidth="1"/>
    <col min="7942" max="7949" width="11.42578125" style="29" customWidth="1"/>
    <col min="7950" max="7950" width="9.7109375" style="29" bestFit="1" customWidth="1"/>
    <col min="7951" max="7954" width="0" style="29" hidden="1" customWidth="1"/>
    <col min="7955" max="7963" width="11.42578125" style="29" customWidth="1"/>
    <col min="7964" max="8195" width="11.42578125" style="29"/>
    <col min="8196" max="8196" width="3.5703125" style="29" customWidth="1"/>
    <col min="8197" max="8197" width="13.28515625" style="29" customWidth="1"/>
    <col min="8198" max="8205" width="11.42578125" style="29" customWidth="1"/>
    <col min="8206" max="8206" width="9.7109375" style="29" bestFit="1" customWidth="1"/>
    <col min="8207" max="8210" width="0" style="29" hidden="1" customWidth="1"/>
    <col min="8211" max="8219" width="11.42578125" style="29" customWidth="1"/>
    <col min="8220" max="8451" width="11.42578125" style="29"/>
    <col min="8452" max="8452" width="3.5703125" style="29" customWidth="1"/>
    <col min="8453" max="8453" width="13.28515625" style="29" customWidth="1"/>
    <col min="8454" max="8461" width="11.42578125" style="29" customWidth="1"/>
    <col min="8462" max="8462" width="9.7109375" style="29" bestFit="1" customWidth="1"/>
    <col min="8463" max="8466" width="0" style="29" hidden="1" customWidth="1"/>
    <col min="8467" max="8475" width="11.42578125" style="29" customWidth="1"/>
    <col min="8476" max="8707" width="11.42578125" style="29"/>
    <col min="8708" max="8708" width="3.5703125" style="29" customWidth="1"/>
    <col min="8709" max="8709" width="13.28515625" style="29" customWidth="1"/>
    <col min="8710" max="8717" width="11.42578125" style="29" customWidth="1"/>
    <col min="8718" max="8718" width="9.7109375" style="29" bestFit="1" customWidth="1"/>
    <col min="8719" max="8722" width="0" style="29" hidden="1" customWidth="1"/>
    <col min="8723" max="8731" width="11.42578125" style="29" customWidth="1"/>
    <col min="8732" max="8963" width="11.42578125" style="29"/>
    <col min="8964" max="8964" width="3.5703125" style="29" customWidth="1"/>
    <col min="8965" max="8965" width="13.28515625" style="29" customWidth="1"/>
    <col min="8966" max="8973" width="11.42578125" style="29" customWidth="1"/>
    <col min="8974" max="8974" width="9.7109375" style="29" bestFit="1" customWidth="1"/>
    <col min="8975" max="8978" width="0" style="29" hidden="1" customWidth="1"/>
    <col min="8979" max="8987" width="11.42578125" style="29" customWidth="1"/>
    <col min="8988" max="9219" width="11.42578125" style="29"/>
    <col min="9220" max="9220" width="3.5703125" style="29" customWidth="1"/>
    <col min="9221" max="9221" width="13.28515625" style="29" customWidth="1"/>
    <col min="9222" max="9229" width="11.42578125" style="29" customWidth="1"/>
    <col min="9230" max="9230" width="9.7109375" style="29" bestFit="1" customWidth="1"/>
    <col min="9231" max="9234" width="0" style="29" hidden="1" customWidth="1"/>
    <col min="9235" max="9243" width="11.42578125" style="29" customWidth="1"/>
    <col min="9244" max="9475" width="11.42578125" style="29"/>
    <col min="9476" max="9476" width="3.5703125" style="29" customWidth="1"/>
    <col min="9477" max="9477" width="13.28515625" style="29" customWidth="1"/>
    <col min="9478" max="9485" width="11.42578125" style="29" customWidth="1"/>
    <col min="9486" max="9486" width="9.7109375" style="29" bestFit="1" customWidth="1"/>
    <col min="9487" max="9490" width="0" style="29" hidden="1" customWidth="1"/>
    <col min="9491" max="9499" width="11.42578125" style="29" customWidth="1"/>
    <col min="9500" max="9731" width="11.42578125" style="29"/>
    <col min="9732" max="9732" width="3.5703125" style="29" customWidth="1"/>
    <col min="9733" max="9733" width="13.28515625" style="29" customWidth="1"/>
    <col min="9734" max="9741" width="11.42578125" style="29" customWidth="1"/>
    <col min="9742" max="9742" width="9.7109375" style="29" bestFit="1" customWidth="1"/>
    <col min="9743" max="9746" width="0" style="29" hidden="1" customWidth="1"/>
    <col min="9747" max="9755" width="11.42578125" style="29" customWidth="1"/>
    <col min="9756" max="9987" width="11.42578125" style="29"/>
    <col min="9988" max="9988" width="3.5703125" style="29" customWidth="1"/>
    <col min="9989" max="9989" width="13.28515625" style="29" customWidth="1"/>
    <col min="9990" max="9997" width="11.42578125" style="29" customWidth="1"/>
    <col min="9998" max="9998" width="9.7109375" style="29" bestFit="1" customWidth="1"/>
    <col min="9999" max="10002" width="0" style="29" hidden="1" customWidth="1"/>
    <col min="10003" max="10011" width="11.42578125" style="29" customWidth="1"/>
    <col min="10012" max="10243" width="11.42578125" style="29"/>
    <col min="10244" max="10244" width="3.5703125" style="29" customWidth="1"/>
    <col min="10245" max="10245" width="13.28515625" style="29" customWidth="1"/>
    <col min="10246" max="10253" width="11.42578125" style="29" customWidth="1"/>
    <col min="10254" max="10254" width="9.7109375" style="29" bestFit="1" customWidth="1"/>
    <col min="10255" max="10258" width="0" style="29" hidden="1" customWidth="1"/>
    <col min="10259" max="10267" width="11.42578125" style="29" customWidth="1"/>
    <col min="10268" max="10499" width="11.42578125" style="29"/>
    <col min="10500" max="10500" width="3.5703125" style="29" customWidth="1"/>
    <col min="10501" max="10501" width="13.28515625" style="29" customWidth="1"/>
    <col min="10502" max="10509" width="11.42578125" style="29" customWidth="1"/>
    <col min="10510" max="10510" width="9.7109375" style="29" bestFit="1" customWidth="1"/>
    <col min="10511" max="10514" width="0" style="29" hidden="1" customWidth="1"/>
    <col min="10515" max="10523" width="11.42578125" style="29" customWidth="1"/>
    <col min="10524" max="10755" width="11.42578125" style="29"/>
    <col min="10756" max="10756" width="3.5703125" style="29" customWidth="1"/>
    <col min="10757" max="10757" width="13.28515625" style="29" customWidth="1"/>
    <col min="10758" max="10765" width="11.42578125" style="29" customWidth="1"/>
    <col min="10766" max="10766" width="9.7109375" style="29" bestFit="1" customWidth="1"/>
    <col min="10767" max="10770" width="0" style="29" hidden="1" customWidth="1"/>
    <col min="10771" max="10779" width="11.42578125" style="29" customWidth="1"/>
    <col min="10780" max="11011" width="11.42578125" style="29"/>
    <col min="11012" max="11012" width="3.5703125" style="29" customWidth="1"/>
    <col min="11013" max="11013" width="13.28515625" style="29" customWidth="1"/>
    <col min="11014" max="11021" width="11.42578125" style="29" customWidth="1"/>
    <col min="11022" max="11022" width="9.7109375" style="29" bestFit="1" customWidth="1"/>
    <col min="11023" max="11026" width="0" style="29" hidden="1" customWidth="1"/>
    <col min="11027" max="11035" width="11.42578125" style="29" customWidth="1"/>
    <col min="11036" max="11267" width="11.42578125" style="29"/>
    <col min="11268" max="11268" width="3.5703125" style="29" customWidth="1"/>
    <col min="11269" max="11269" width="13.28515625" style="29" customWidth="1"/>
    <col min="11270" max="11277" width="11.42578125" style="29" customWidth="1"/>
    <col min="11278" max="11278" width="9.7109375" style="29" bestFit="1" customWidth="1"/>
    <col min="11279" max="11282" width="0" style="29" hidden="1" customWidth="1"/>
    <col min="11283" max="11291" width="11.42578125" style="29" customWidth="1"/>
    <col min="11292" max="11523" width="11.42578125" style="29"/>
    <col min="11524" max="11524" width="3.5703125" style="29" customWidth="1"/>
    <col min="11525" max="11525" width="13.28515625" style="29" customWidth="1"/>
    <col min="11526" max="11533" width="11.42578125" style="29" customWidth="1"/>
    <col min="11534" max="11534" width="9.7109375" style="29" bestFit="1" customWidth="1"/>
    <col min="11535" max="11538" width="0" style="29" hidden="1" customWidth="1"/>
    <col min="11539" max="11547" width="11.42578125" style="29" customWidth="1"/>
    <col min="11548" max="11779" width="11.42578125" style="29"/>
    <col min="11780" max="11780" width="3.5703125" style="29" customWidth="1"/>
    <col min="11781" max="11781" width="13.28515625" style="29" customWidth="1"/>
    <col min="11782" max="11789" width="11.42578125" style="29" customWidth="1"/>
    <col min="11790" max="11790" width="9.7109375" style="29" bestFit="1" customWidth="1"/>
    <col min="11791" max="11794" width="0" style="29" hidden="1" customWidth="1"/>
    <col min="11795" max="11803" width="11.42578125" style="29" customWidth="1"/>
    <col min="11804" max="12035" width="11.42578125" style="29"/>
    <col min="12036" max="12036" width="3.5703125" style="29" customWidth="1"/>
    <col min="12037" max="12037" width="13.28515625" style="29" customWidth="1"/>
    <col min="12038" max="12045" width="11.42578125" style="29" customWidth="1"/>
    <col min="12046" max="12046" width="9.7109375" style="29" bestFit="1" customWidth="1"/>
    <col min="12047" max="12050" width="0" style="29" hidden="1" customWidth="1"/>
    <col min="12051" max="12059" width="11.42578125" style="29" customWidth="1"/>
    <col min="12060" max="12291" width="11.42578125" style="29"/>
    <col min="12292" max="12292" width="3.5703125" style="29" customWidth="1"/>
    <col min="12293" max="12293" width="13.28515625" style="29" customWidth="1"/>
    <col min="12294" max="12301" width="11.42578125" style="29" customWidth="1"/>
    <col min="12302" max="12302" width="9.7109375" style="29" bestFit="1" customWidth="1"/>
    <col min="12303" max="12306" width="0" style="29" hidden="1" customWidth="1"/>
    <col min="12307" max="12315" width="11.42578125" style="29" customWidth="1"/>
    <col min="12316" max="12547" width="11.42578125" style="29"/>
    <col min="12548" max="12548" width="3.5703125" style="29" customWidth="1"/>
    <col min="12549" max="12549" width="13.28515625" style="29" customWidth="1"/>
    <col min="12550" max="12557" width="11.42578125" style="29" customWidth="1"/>
    <col min="12558" max="12558" width="9.7109375" style="29" bestFit="1" customWidth="1"/>
    <col min="12559" max="12562" width="0" style="29" hidden="1" customWidth="1"/>
    <col min="12563" max="12571" width="11.42578125" style="29" customWidth="1"/>
    <col min="12572" max="12803" width="11.42578125" style="29"/>
    <col min="12804" max="12804" width="3.5703125" style="29" customWidth="1"/>
    <col min="12805" max="12805" width="13.28515625" style="29" customWidth="1"/>
    <col min="12806" max="12813" width="11.42578125" style="29" customWidth="1"/>
    <col min="12814" max="12814" width="9.7109375" style="29" bestFit="1" customWidth="1"/>
    <col min="12815" max="12818" width="0" style="29" hidden="1" customWidth="1"/>
    <col min="12819" max="12827" width="11.42578125" style="29" customWidth="1"/>
    <col min="12828" max="13059" width="11.42578125" style="29"/>
    <col min="13060" max="13060" width="3.5703125" style="29" customWidth="1"/>
    <col min="13061" max="13061" width="13.28515625" style="29" customWidth="1"/>
    <col min="13062" max="13069" width="11.42578125" style="29" customWidth="1"/>
    <col min="13070" max="13070" width="9.7109375" style="29" bestFit="1" customWidth="1"/>
    <col min="13071" max="13074" width="0" style="29" hidden="1" customWidth="1"/>
    <col min="13075" max="13083" width="11.42578125" style="29" customWidth="1"/>
    <col min="13084" max="13315" width="11.42578125" style="29"/>
    <col min="13316" max="13316" width="3.5703125" style="29" customWidth="1"/>
    <col min="13317" max="13317" width="13.28515625" style="29" customWidth="1"/>
    <col min="13318" max="13325" width="11.42578125" style="29" customWidth="1"/>
    <col min="13326" max="13326" width="9.7109375" style="29" bestFit="1" customWidth="1"/>
    <col min="13327" max="13330" width="0" style="29" hidden="1" customWidth="1"/>
    <col min="13331" max="13339" width="11.42578125" style="29" customWidth="1"/>
    <col min="13340" max="13571" width="11.42578125" style="29"/>
    <col min="13572" max="13572" width="3.5703125" style="29" customWidth="1"/>
    <col min="13573" max="13573" width="13.28515625" style="29" customWidth="1"/>
    <col min="13574" max="13581" width="11.42578125" style="29" customWidth="1"/>
    <col min="13582" max="13582" width="9.7109375" style="29" bestFit="1" customWidth="1"/>
    <col min="13583" max="13586" width="0" style="29" hidden="1" customWidth="1"/>
    <col min="13587" max="13595" width="11.42578125" style="29" customWidth="1"/>
    <col min="13596" max="13827" width="11.42578125" style="29"/>
    <col min="13828" max="13828" width="3.5703125" style="29" customWidth="1"/>
    <col min="13829" max="13829" width="13.28515625" style="29" customWidth="1"/>
    <col min="13830" max="13837" width="11.42578125" style="29" customWidth="1"/>
    <col min="13838" max="13838" width="9.7109375" style="29" bestFit="1" customWidth="1"/>
    <col min="13839" max="13842" width="0" style="29" hidden="1" customWidth="1"/>
    <col min="13843" max="13851" width="11.42578125" style="29" customWidth="1"/>
    <col min="13852" max="14083" width="11.42578125" style="29"/>
    <col min="14084" max="14084" width="3.5703125" style="29" customWidth="1"/>
    <col min="14085" max="14085" width="13.28515625" style="29" customWidth="1"/>
    <col min="14086" max="14093" width="11.42578125" style="29" customWidth="1"/>
    <col min="14094" max="14094" width="9.7109375" style="29" bestFit="1" customWidth="1"/>
    <col min="14095" max="14098" width="0" style="29" hidden="1" customWidth="1"/>
    <col min="14099" max="14107" width="11.42578125" style="29" customWidth="1"/>
    <col min="14108" max="14339" width="11.42578125" style="29"/>
    <col min="14340" max="14340" width="3.5703125" style="29" customWidth="1"/>
    <col min="14341" max="14341" width="13.28515625" style="29" customWidth="1"/>
    <col min="14342" max="14349" width="11.42578125" style="29" customWidth="1"/>
    <col min="14350" max="14350" width="9.7109375" style="29" bestFit="1" customWidth="1"/>
    <col min="14351" max="14354" width="0" style="29" hidden="1" customWidth="1"/>
    <col min="14355" max="14363" width="11.42578125" style="29" customWidth="1"/>
    <col min="14364" max="14595" width="11.42578125" style="29"/>
    <col min="14596" max="14596" width="3.5703125" style="29" customWidth="1"/>
    <col min="14597" max="14597" width="13.28515625" style="29" customWidth="1"/>
    <col min="14598" max="14605" width="11.42578125" style="29" customWidth="1"/>
    <col min="14606" max="14606" width="9.7109375" style="29" bestFit="1" customWidth="1"/>
    <col min="14607" max="14610" width="0" style="29" hidden="1" customWidth="1"/>
    <col min="14611" max="14619" width="11.42578125" style="29" customWidth="1"/>
    <col min="14620" max="14851" width="11.42578125" style="29"/>
    <col min="14852" max="14852" width="3.5703125" style="29" customWidth="1"/>
    <col min="14853" max="14853" width="13.28515625" style="29" customWidth="1"/>
    <col min="14854" max="14861" width="11.42578125" style="29" customWidth="1"/>
    <col min="14862" max="14862" width="9.7109375" style="29" bestFit="1" customWidth="1"/>
    <col min="14863" max="14866" width="0" style="29" hidden="1" customWidth="1"/>
    <col min="14867" max="14875" width="11.42578125" style="29" customWidth="1"/>
    <col min="14876" max="15107" width="11.42578125" style="29"/>
    <col min="15108" max="15108" width="3.5703125" style="29" customWidth="1"/>
    <col min="15109" max="15109" width="13.28515625" style="29" customWidth="1"/>
    <col min="15110" max="15117" width="11.42578125" style="29" customWidth="1"/>
    <col min="15118" max="15118" width="9.7109375" style="29" bestFit="1" customWidth="1"/>
    <col min="15119" max="15122" width="0" style="29" hidden="1" customWidth="1"/>
    <col min="15123" max="15131" width="11.42578125" style="29" customWidth="1"/>
    <col min="15132" max="15363" width="11.42578125" style="29"/>
    <col min="15364" max="15364" width="3.5703125" style="29" customWidth="1"/>
    <col min="15365" max="15365" width="13.28515625" style="29" customWidth="1"/>
    <col min="15366" max="15373" width="11.42578125" style="29" customWidth="1"/>
    <col min="15374" max="15374" width="9.7109375" style="29" bestFit="1" customWidth="1"/>
    <col min="15375" max="15378" width="0" style="29" hidden="1" customWidth="1"/>
    <col min="15379" max="15387" width="11.42578125" style="29" customWidth="1"/>
    <col min="15388" max="15619" width="11.42578125" style="29"/>
    <col min="15620" max="15620" width="3.5703125" style="29" customWidth="1"/>
    <col min="15621" max="15621" width="13.28515625" style="29" customWidth="1"/>
    <col min="15622" max="15629" width="11.42578125" style="29" customWidth="1"/>
    <col min="15630" max="15630" width="9.7109375" style="29" bestFit="1" customWidth="1"/>
    <col min="15631" max="15634" width="0" style="29" hidden="1" customWidth="1"/>
    <col min="15635" max="15643" width="11.42578125" style="29" customWidth="1"/>
    <col min="15644" max="15875" width="11.42578125" style="29"/>
    <col min="15876" max="15876" width="3.5703125" style="29" customWidth="1"/>
    <col min="15877" max="15877" width="13.28515625" style="29" customWidth="1"/>
    <col min="15878" max="15885" width="11.42578125" style="29" customWidth="1"/>
    <col min="15886" max="15886" width="9.7109375" style="29" bestFit="1" customWidth="1"/>
    <col min="15887" max="15890" width="0" style="29" hidden="1" customWidth="1"/>
    <col min="15891" max="15899" width="11.42578125" style="29" customWidth="1"/>
    <col min="15900" max="16131" width="11.42578125" style="29"/>
    <col min="16132" max="16132" width="3.5703125" style="29" customWidth="1"/>
    <col min="16133" max="16133" width="13.28515625" style="29" customWidth="1"/>
    <col min="16134" max="16141" width="11.42578125" style="29" customWidth="1"/>
    <col min="16142" max="16142" width="9.7109375" style="29" bestFit="1" customWidth="1"/>
    <col min="16143" max="16146" width="0" style="29" hidden="1" customWidth="1"/>
    <col min="16147" max="16155" width="11.42578125" style="29" customWidth="1"/>
    <col min="16156" max="16384" width="11.42578125" style="29"/>
  </cols>
  <sheetData>
    <row r="2" spans="2:43" s="52" customFormat="1" ht="24.75" customHeight="1">
      <c r="B2" s="111" t="s">
        <v>183</v>
      </c>
      <c r="C2" s="83" t="s">
        <v>184</v>
      </c>
      <c r="D2" s="83" t="s">
        <v>184</v>
      </c>
      <c r="E2" s="83" t="s">
        <v>184</v>
      </c>
      <c r="F2" s="83" t="s">
        <v>184</v>
      </c>
      <c r="G2" s="83" t="s">
        <v>184</v>
      </c>
      <c r="H2" s="83" t="s">
        <v>184</v>
      </c>
      <c r="I2" s="83" t="s">
        <v>184</v>
      </c>
      <c r="J2" s="83" t="s">
        <v>184</v>
      </c>
      <c r="K2" s="83" t="s">
        <v>185</v>
      </c>
      <c r="L2" s="145"/>
      <c r="M2" s="83" t="s">
        <v>186</v>
      </c>
      <c r="N2" s="83" t="s">
        <v>186</v>
      </c>
      <c r="O2" s="83" t="s">
        <v>186</v>
      </c>
      <c r="P2" s="83" t="s">
        <v>186</v>
      </c>
      <c r="Q2" s="83" t="s">
        <v>186</v>
      </c>
      <c r="R2" s="83" t="s">
        <v>186</v>
      </c>
      <c r="S2" s="83" t="s">
        <v>186</v>
      </c>
      <c r="T2" s="83" t="s">
        <v>186</v>
      </c>
      <c r="U2" s="83" t="s">
        <v>186</v>
      </c>
      <c r="V2" s="83" t="s">
        <v>186</v>
      </c>
      <c r="W2" s="83" t="s">
        <v>186</v>
      </c>
      <c r="X2" s="83" t="s">
        <v>186</v>
      </c>
      <c r="Y2" s="83" t="s">
        <v>186</v>
      </c>
      <c r="Z2" s="83" t="s">
        <v>186</v>
      </c>
      <c r="AA2" s="83" t="s">
        <v>186</v>
      </c>
      <c r="AB2" s="83" t="s">
        <v>186</v>
      </c>
      <c r="AC2" s="83" t="s">
        <v>186</v>
      </c>
      <c r="AD2" s="83" t="s">
        <v>186</v>
      </c>
      <c r="AE2" s="83" t="s">
        <v>186</v>
      </c>
      <c r="AF2" s="83" t="s">
        <v>186</v>
      </c>
      <c r="AG2" s="83" t="s">
        <v>186</v>
      </c>
      <c r="AH2" s="83" t="s">
        <v>186</v>
      </c>
      <c r="AI2" s="83" t="s">
        <v>186</v>
      </c>
      <c r="AJ2" s="83" t="s">
        <v>186</v>
      </c>
      <c r="AK2" s="83" t="s">
        <v>186</v>
      </c>
      <c r="AL2" s="83" t="s">
        <v>186</v>
      </c>
      <c r="AM2" s="83" t="s">
        <v>186</v>
      </c>
      <c r="AN2" s="83" t="s">
        <v>186</v>
      </c>
      <c r="AO2" s="83" t="s">
        <v>186</v>
      </c>
    </row>
    <row r="3" spans="2:43" s="52" customFormat="1" ht="13.5" customHeight="1">
      <c r="B3" s="51" t="s">
        <v>187</v>
      </c>
      <c r="C3" s="50">
        <v>43465</v>
      </c>
      <c r="D3" s="50">
        <v>43830</v>
      </c>
      <c r="E3" s="50">
        <v>44196</v>
      </c>
      <c r="F3" s="50">
        <v>44561</v>
      </c>
      <c r="G3" s="50">
        <v>44926</v>
      </c>
      <c r="H3" s="50">
        <v>45291</v>
      </c>
      <c r="I3" s="50">
        <v>45657</v>
      </c>
      <c r="J3" s="50">
        <v>46022</v>
      </c>
      <c r="K3" s="50">
        <f>AO3</f>
        <v>46112</v>
      </c>
      <c r="L3" s="146"/>
      <c r="M3" s="50">
        <v>43555</v>
      </c>
      <c r="N3" s="50">
        <v>43646</v>
      </c>
      <c r="O3" s="50">
        <v>43738</v>
      </c>
      <c r="P3" s="50">
        <v>43830</v>
      </c>
      <c r="Q3" s="50">
        <v>43921</v>
      </c>
      <c r="R3" s="50">
        <v>44012</v>
      </c>
      <c r="S3" s="50">
        <v>44104</v>
      </c>
      <c r="T3" s="50">
        <v>44196</v>
      </c>
      <c r="U3" s="50">
        <v>44286</v>
      </c>
      <c r="V3" s="50">
        <v>44377</v>
      </c>
      <c r="W3" s="50">
        <v>44469</v>
      </c>
      <c r="X3" s="50">
        <v>44561</v>
      </c>
      <c r="Y3" s="50">
        <v>44651</v>
      </c>
      <c r="Z3" s="50">
        <v>44742</v>
      </c>
      <c r="AA3" s="50">
        <v>44834</v>
      </c>
      <c r="AB3" s="50">
        <v>44926</v>
      </c>
      <c r="AC3" s="50">
        <v>45016</v>
      </c>
      <c r="AD3" s="50">
        <v>45107</v>
      </c>
      <c r="AE3" s="50">
        <v>45199</v>
      </c>
      <c r="AF3" s="50">
        <v>45291</v>
      </c>
      <c r="AG3" s="50">
        <v>45382</v>
      </c>
      <c r="AH3" s="50">
        <v>45473</v>
      </c>
      <c r="AI3" s="50">
        <v>45565</v>
      </c>
      <c r="AJ3" s="50">
        <v>45657</v>
      </c>
      <c r="AK3" s="50">
        <v>45747</v>
      </c>
      <c r="AL3" s="50">
        <v>45838</v>
      </c>
      <c r="AM3" s="50">
        <v>45930</v>
      </c>
      <c r="AN3" s="50">
        <v>46022</v>
      </c>
      <c r="AO3" s="50">
        <v>46112</v>
      </c>
    </row>
    <row r="4" spans="2:43" s="32" customFormat="1" ht="13.5" customHeight="1">
      <c r="B4" s="51"/>
      <c r="C4" s="50" t="s">
        <v>188</v>
      </c>
      <c r="D4" s="50" t="s">
        <v>188</v>
      </c>
      <c r="E4" s="50" t="s">
        <v>188</v>
      </c>
      <c r="F4" s="50" t="s">
        <v>188</v>
      </c>
      <c r="G4" s="50" t="s">
        <v>188</v>
      </c>
      <c r="H4" s="50" t="s">
        <v>188</v>
      </c>
      <c r="I4" s="50" t="s">
        <v>188</v>
      </c>
      <c r="J4" s="50" t="s">
        <v>188</v>
      </c>
      <c r="K4" s="50" t="s">
        <v>188</v>
      </c>
      <c r="L4" s="146"/>
      <c r="M4" s="50" t="s">
        <v>188</v>
      </c>
      <c r="N4" s="50" t="s">
        <v>188</v>
      </c>
      <c r="O4" s="50" t="s">
        <v>188</v>
      </c>
      <c r="P4" s="50" t="s">
        <v>188</v>
      </c>
      <c r="Q4" s="50" t="s">
        <v>188</v>
      </c>
      <c r="R4" s="50" t="s">
        <v>188</v>
      </c>
      <c r="S4" s="50" t="s">
        <v>188</v>
      </c>
      <c r="T4" s="50" t="s">
        <v>188</v>
      </c>
      <c r="U4" s="50" t="s">
        <v>188</v>
      </c>
      <c r="V4" s="50" t="s">
        <v>188</v>
      </c>
      <c r="W4" s="50" t="s">
        <v>188</v>
      </c>
      <c r="X4" s="50" t="s">
        <v>188</v>
      </c>
      <c r="Y4" s="50" t="s">
        <v>188</v>
      </c>
      <c r="Z4" s="50" t="s">
        <v>188</v>
      </c>
      <c r="AA4" s="50" t="s">
        <v>188</v>
      </c>
      <c r="AB4" s="50" t="s">
        <v>188</v>
      </c>
      <c r="AC4" s="50" t="s">
        <v>188</v>
      </c>
      <c r="AD4" s="50" t="s">
        <v>188</v>
      </c>
      <c r="AE4" s="50" t="s">
        <v>188</v>
      </c>
      <c r="AF4" s="50" t="s">
        <v>188</v>
      </c>
      <c r="AG4" s="50" t="s">
        <v>188</v>
      </c>
      <c r="AH4" s="50" t="s">
        <v>188</v>
      </c>
      <c r="AI4" s="50" t="s">
        <v>188</v>
      </c>
      <c r="AJ4" s="50" t="s">
        <v>188</v>
      </c>
      <c r="AK4" s="50" t="s">
        <v>188</v>
      </c>
      <c r="AL4" s="50" t="s">
        <v>188</v>
      </c>
      <c r="AM4" s="50" t="s">
        <v>188</v>
      </c>
      <c r="AN4" s="50" t="s">
        <v>188</v>
      </c>
      <c r="AO4" s="50" t="s">
        <v>188</v>
      </c>
    </row>
    <row r="5" spans="2:43" s="80" customFormat="1" ht="13.5" customHeight="1">
      <c r="C5" s="82" t="s">
        <v>189</v>
      </c>
      <c r="D5" s="82" t="s">
        <v>189</v>
      </c>
      <c r="E5" s="82" t="s">
        <v>189</v>
      </c>
      <c r="F5" s="82" t="s">
        <v>189</v>
      </c>
      <c r="G5" s="82" t="s">
        <v>189</v>
      </c>
      <c r="H5" s="82" t="s">
        <v>189</v>
      </c>
      <c r="I5" s="82" t="s">
        <v>189</v>
      </c>
      <c r="J5" s="82" t="s">
        <v>189</v>
      </c>
      <c r="K5" s="81" t="s">
        <v>185</v>
      </c>
      <c r="L5" s="82"/>
      <c r="M5" s="82" t="s">
        <v>190</v>
      </c>
      <c r="N5" s="82" t="s">
        <v>191</v>
      </c>
      <c r="O5" s="82" t="s">
        <v>192</v>
      </c>
      <c r="P5" s="81" t="s">
        <v>193</v>
      </c>
      <c r="Q5" s="82" t="s">
        <v>190</v>
      </c>
      <c r="R5" s="82" t="s">
        <v>191</v>
      </c>
      <c r="S5" s="82" t="s">
        <v>192</v>
      </c>
      <c r="T5" s="81" t="s">
        <v>193</v>
      </c>
      <c r="U5" s="82" t="s">
        <v>190</v>
      </c>
      <c r="V5" s="82" t="s">
        <v>191</v>
      </c>
      <c r="W5" s="82" t="s">
        <v>192</v>
      </c>
      <c r="X5" s="81" t="s">
        <v>193</v>
      </c>
      <c r="Y5" s="82" t="s">
        <v>190</v>
      </c>
      <c r="Z5" s="82" t="s">
        <v>191</v>
      </c>
      <c r="AA5" s="82" t="s">
        <v>192</v>
      </c>
      <c r="AB5" s="81" t="s">
        <v>193</v>
      </c>
      <c r="AC5" s="82" t="s">
        <v>190</v>
      </c>
      <c r="AD5" s="82" t="s">
        <v>191</v>
      </c>
      <c r="AE5" s="82" t="s">
        <v>192</v>
      </c>
      <c r="AF5" s="81" t="s">
        <v>193</v>
      </c>
      <c r="AG5" s="82" t="s">
        <v>190</v>
      </c>
      <c r="AH5" s="82" t="s">
        <v>191</v>
      </c>
      <c r="AI5" s="82" t="s">
        <v>192</v>
      </c>
      <c r="AJ5" s="81" t="s">
        <v>193</v>
      </c>
      <c r="AK5" s="82" t="s">
        <v>190</v>
      </c>
      <c r="AL5" s="82" t="s">
        <v>191</v>
      </c>
      <c r="AM5" s="82" t="s">
        <v>192</v>
      </c>
      <c r="AN5" s="81" t="s">
        <v>193</v>
      </c>
      <c r="AO5" s="82" t="s">
        <v>190</v>
      </c>
    </row>
    <row r="6" spans="2:43" ht="13.5" customHeight="1">
      <c r="B6" s="54" t="s">
        <v>194</v>
      </c>
      <c r="C6" s="79"/>
      <c r="D6" s="79"/>
      <c r="E6" s="79"/>
      <c r="F6" s="79"/>
      <c r="G6" s="79"/>
      <c r="H6" s="79"/>
      <c r="I6" s="79"/>
      <c r="J6" s="79"/>
      <c r="K6" s="79"/>
      <c r="M6" s="79"/>
      <c r="N6" s="79"/>
      <c r="O6" s="79"/>
      <c r="P6" s="79"/>
      <c r="Q6" s="78"/>
      <c r="R6" s="79"/>
      <c r="S6" s="79"/>
      <c r="T6" s="79"/>
      <c r="U6" s="79"/>
      <c r="V6" s="79"/>
      <c r="W6" s="79"/>
      <c r="X6" s="79"/>
      <c r="Y6" s="79"/>
      <c r="Z6" s="79"/>
      <c r="AA6" s="79"/>
      <c r="AB6" s="79"/>
      <c r="AC6" s="79"/>
      <c r="AD6" s="79"/>
      <c r="AE6" s="79"/>
      <c r="AF6" s="79"/>
      <c r="AG6" s="79"/>
      <c r="AH6" s="79"/>
      <c r="AI6" s="79"/>
      <c r="AJ6" s="79"/>
      <c r="AK6" s="79"/>
      <c r="AL6" s="79"/>
      <c r="AM6" s="79"/>
      <c r="AN6" s="79"/>
      <c r="AO6" s="79"/>
    </row>
    <row r="7" spans="2:43" s="167" customFormat="1" ht="13.5" customHeight="1">
      <c r="B7" s="114" t="s">
        <v>195</v>
      </c>
      <c r="C7" s="108">
        <v>65227.277999999998</v>
      </c>
      <c r="D7" s="108">
        <v>97528.531000000003</v>
      </c>
      <c r="E7" s="108">
        <v>114794.51</v>
      </c>
      <c r="F7" s="108">
        <v>179127.997</v>
      </c>
      <c r="G7" s="108">
        <v>219954.948</v>
      </c>
      <c r="H7" s="108">
        <v>276744.95400000003</v>
      </c>
      <c r="I7" s="108">
        <v>337591.576</v>
      </c>
      <c r="J7" s="108">
        <v>364854.74599999998</v>
      </c>
      <c r="K7" s="57">
        <f>SUM(AL7:AO7)</f>
        <v>369687.50699999998</v>
      </c>
      <c r="M7" s="108">
        <v>19173.511999999999</v>
      </c>
      <c r="N7" s="108">
        <v>22703.136999999999</v>
      </c>
      <c r="O7" s="108">
        <v>27493.629000000001</v>
      </c>
      <c r="P7" s="57">
        <f>D7-SUM(M7:O7)</f>
        <v>28158.253000000012</v>
      </c>
      <c r="Q7" s="108">
        <v>16753.886999999999</v>
      </c>
      <c r="R7" s="108">
        <v>24721.837</v>
      </c>
      <c r="S7" s="108">
        <v>35401.281999999999</v>
      </c>
      <c r="T7" s="57">
        <f>E7-SUM(Q7:S7)</f>
        <v>37917.504000000001</v>
      </c>
      <c r="U7" s="108">
        <v>37016.262000000002</v>
      </c>
      <c r="V7" s="108">
        <v>43759.232000000004</v>
      </c>
      <c r="W7" s="108">
        <v>48829.37</v>
      </c>
      <c r="X7" s="57">
        <f>F7-SUM(U7:W7)</f>
        <v>49523.133000000002</v>
      </c>
      <c r="Y7" s="108">
        <v>46268.754000000001</v>
      </c>
      <c r="Z7" s="108">
        <v>50938.362999999998</v>
      </c>
      <c r="AA7" s="108">
        <v>62618.892</v>
      </c>
      <c r="AB7" s="57">
        <f>G7-SUM(Y7:AA7)</f>
        <v>60128.939000000013</v>
      </c>
      <c r="AC7" s="108">
        <v>58617.472000000002</v>
      </c>
      <c r="AD7" s="108">
        <v>67964.623999999996</v>
      </c>
      <c r="AE7" s="108">
        <v>76466.907000000007</v>
      </c>
      <c r="AF7" s="57">
        <f>H7-SUM(AC7:AE7)</f>
        <v>73695.95100000003</v>
      </c>
      <c r="AG7" s="108">
        <v>73275.884000000005</v>
      </c>
      <c r="AH7" s="108">
        <v>82251.077000000005</v>
      </c>
      <c r="AI7" s="108">
        <v>93577.319000000003</v>
      </c>
      <c r="AJ7" s="57">
        <f>I7-SUM(AG7:AI7)</f>
        <v>88487.295999999973</v>
      </c>
      <c r="AK7" s="108">
        <v>86206.145000000004</v>
      </c>
      <c r="AL7" s="108">
        <v>91840.48</v>
      </c>
      <c r="AM7" s="108">
        <v>95488.112999999998</v>
      </c>
      <c r="AN7" s="57">
        <f>J7-SUM(AK7:AM7)</f>
        <v>91320.007999999973</v>
      </c>
      <c r="AO7" s="108">
        <f>91038.906</f>
        <v>91038.906000000003</v>
      </c>
      <c r="AQ7" s="32"/>
    </row>
    <row r="8" spans="2:43" s="32" customFormat="1" ht="13.5" customHeight="1">
      <c r="B8" s="49" t="s">
        <v>196</v>
      </c>
      <c r="C8" s="76"/>
      <c r="D8" s="76">
        <f t="shared" ref="D8:J8" si="0">(D7/C7)-1</f>
        <v>0.49521080735578149</v>
      </c>
      <c r="E8" s="76">
        <f t="shared" si="0"/>
        <v>0.17703515907565537</v>
      </c>
      <c r="F8" s="76">
        <f t="shared" si="0"/>
        <v>0.56042302894101836</v>
      </c>
      <c r="G8" s="76">
        <f t="shared" si="0"/>
        <v>0.22792054666920669</v>
      </c>
      <c r="H8" s="76">
        <f t="shared" si="0"/>
        <v>0.25818926337588022</v>
      </c>
      <c r="I8" s="76">
        <f t="shared" si="0"/>
        <v>0.21986533492495042</v>
      </c>
      <c r="J8" s="76">
        <f t="shared" si="0"/>
        <v>8.0757850426931288E-2</v>
      </c>
      <c r="K8" s="168"/>
      <c r="L8" s="44"/>
      <c r="M8" s="76"/>
      <c r="N8" s="76"/>
      <c r="O8" s="76"/>
      <c r="P8" s="76"/>
      <c r="Q8" s="76">
        <f>(Q7/M7)-1</f>
        <v>-0.12619623363732213</v>
      </c>
      <c r="R8" s="76">
        <f>(R7/N7)-1</f>
        <v>8.8917227606035265E-2</v>
      </c>
      <c r="S8" s="76">
        <f>(S7/O7)-1</f>
        <v>0.28761765134751749</v>
      </c>
      <c r="T8" s="76">
        <f>(T7/P7)-1</f>
        <v>0.34658581269228539</v>
      </c>
      <c r="U8" s="76">
        <f>(U7/Q7)-1</f>
        <v>1.2094133737442543</v>
      </c>
      <c r="V8" s="76">
        <f>(V7/Q7)-1</f>
        <v>1.6118853493520642</v>
      </c>
      <c r="W8" s="76">
        <f>(W7/S7)-1</f>
        <v>0.37931078315186451</v>
      </c>
      <c r="X8" s="76">
        <f>(X7/T7)-1</f>
        <v>0.30607576384774693</v>
      </c>
      <c r="Y8" s="76">
        <f>(Y7/U7)-1</f>
        <v>0.24995749165596459</v>
      </c>
      <c r="Z8" s="76">
        <f>(Z7/U7)-1</f>
        <v>0.37610769558525359</v>
      </c>
      <c r="AA8" s="76">
        <f>(AA7/W7)-1</f>
        <v>0.28240220998141075</v>
      </c>
      <c r="AB8" s="76">
        <f>(AB7/X7)-1</f>
        <v>0.21415862360727478</v>
      </c>
      <c r="AC8" s="76">
        <f>(AC7/Y7)-1</f>
        <v>0.2668910859367426</v>
      </c>
      <c r="AD8" s="76">
        <f>(AD7/Y7)-1</f>
        <v>0.46890975278910685</v>
      </c>
      <c r="AE8" s="76">
        <f>(AE7/AA7)-1</f>
        <v>0.2211475571940813</v>
      </c>
      <c r="AF8" s="76">
        <f>(AF7/AB7)-1</f>
        <v>0.22563198728652134</v>
      </c>
      <c r="AG8" s="76">
        <f>(AG7/AC7)-1</f>
        <v>0.25006898966915525</v>
      </c>
      <c r="AH8" s="76">
        <f>(AH7/AC7)-1</f>
        <v>0.40318362757097415</v>
      </c>
      <c r="AI8" s="76">
        <f>(AI7/AE7)-1</f>
        <v>0.22376231328409801</v>
      </c>
      <c r="AJ8" s="76">
        <f>(AJ7/AF7)-1</f>
        <v>0.20070770238109747</v>
      </c>
      <c r="AK8" s="76">
        <f>(AK7/AG7)-1</f>
        <v>0.17645997965715421</v>
      </c>
      <c r="AL8" s="76">
        <f>(AL7/AG7)-1</f>
        <v>0.25335205782027814</v>
      </c>
      <c r="AM8" s="76">
        <f>(AM7/AI7)-1</f>
        <v>2.0419413811160636E-2</v>
      </c>
      <c r="AN8" s="76">
        <f>(AN7/AJ7)-1</f>
        <v>3.2012640548989113E-2</v>
      </c>
      <c r="AO8" s="76">
        <f>(AO7/AK7)-1</f>
        <v>5.6060516335581401E-2</v>
      </c>
    </row>
    <row r="9" spans="2:43" ht="13.5" customHeight="1">
      <c r="B9" s="70" t="s">
        <v>197</v>
      </c>
      <c r="C9" s="65">
        <v>-50122.32</v>
      </c>
      <c r="D9" s="65">
        <v>-65208.142999999996</v>
      </c>
      <c r="E9" s="65">
        <v>-80744.368000000002</v>
      </c>
      <c r="F9" s="65">
        <v>-136653.86900000001</v>
      </c>
      <c r="G9" s="65">
        <v>-158201.96900000001</v>
      </c>
      <c r="H9" s="65">
        <v>-179553.79300000001</v>
      </c>
      <c r="I9" s="65">
        <v>-207806.98199999999</v>
      </c>
      <c r="J9" s="65">
        <v>-253846.12</v>
      </c>
      <c r="K9" s="14">
        <f>SUM(AL9:AO9)</f>
        <v>-264771.51699999999</v>
      </c>
      <c r="M9" s="65">
        <v>-14104.172</v>
      </c>
      <c r="N9" s="65">
        <v>-14762.502</v>
      </c>
      <c r="O9" s="65">
        <v>-17901.345000000001</v>
      </c>
      <c r="P9" s="14">
        <f>D9-SUM(M9:O9)</f>
        <v>-18440.123999999996</v>
      </c>
      <c r="Q9" s="65">
        <v>-11557.421</v>
      </c>
      <c r="R9" s="65">
        <v>-16146.879000000001</v>
      </c>
      <c r="S9" s="65">
        <v>-24578.273000000001</v>
      </c>
      <c r="T9" s="14">
        <f>E9-SUM(Q9:S9)</f>
        <v>-28461.794999999998</v>
      </c>
      <c r="U9" s="65">
        <v>-29816.095000000001</v>
      </c>
      <c r="V9" s="65">
        <v>-31245.861000000001</v>
      </c>
      <c r="W9" s="65">
        <v>-38051.383000000002</v>
      </c>
      <c r="X9" s="14">
        <f>F9-SUM(U9:W9)</f>
        <v>-37540.53</v>
      </c>
      <c r="Y9" s="65">
        <v>-35528.466999999997</v>
      </c>
      <c r="Z9" s="65">
        <v>-35363.934999999998</v>
      </c>
      <c r="AA9" s="65">
        <v>-44114.023999999998</v>
      </c>
      <c r="AB9" s="14">
        <f>G9-SUM(Y9:AA9)</f>
        <v>-43195.543000000005</v>
      </c>
      <c r="AC9" s="65">
        <v>-38800.046999999999</v>
      </c>
      <c r="AD9" s="65">
        <v>-42566.618999999999</v>
      </c>
      <c r="AE9" s="65">
        <v>-49484.514999999999</v>
      </c>
      <c r="AF9" s="14">
        <f>H9-SUM(AC9:AE9)</f>
        <v>-48702.612000000008</v>
      </c>
      <c r="AG9" s="65">
        <v>-47579.144</v>
      </c>
      <c r="AH9" s="65">
        <v>-48361.233</v>
      </c>
      <c r="AI9" s="65">
        <v>-56823.455999999998</v>
      </c>
      <c r="AJ9" s="14">
        <f>I9-SUM(AG9:AI9)</f>
        <v>-55043.148999999976</v>
      </c>
      <c r="AK9" s="65">
        <v>-54143.436999999998</v>
      </c>
      <c r="AL9" s="65">
        <v>-61426.476999999999</v>
      </c>
      <c r="AM9" s="65">
        <v>-70307.05</v>
      </c>
      <c r="AN9" s="14">
        <f>J9-SUM(AK9:AM9)</f>
        <v>-67969.156000000017</v>
      </c>
      <c r="AO9" s="65">
        <v>-65068.834000000003</v>
      </c>
    </row>
    <row r="10" spans="2:43" s="32" customFormat="1" ht="13.5" customHeight="1">
      <c r="B10" s="32" t="s">
        <v>198</v>
      </c>
      <c r="C10" s="57">
        <f t="shared" ref="C10:G10" si="1">C7+C9</f>
        <v>15104.957999999999</v>
      </c>
      <c r="D10" s="57">
        <f t="shared" si="1"/>
        <v>32320.388000000006</v>
      </c>
      <c r="E10" s="57">
        <f t="shared" si="1"/>
        <v>34050.141999999993</v>
      </c>
      <c r="F10" s="57">
        <f t="shared" si="1"/>
        <v>42474.127999999997</v>
      </c>
      <c r="G10" s="57">
        <f t="shared" si="1"/>
        <v>61752.978999999992</v>
      </c>
      <c r="H10" s="57">
        <f t="shared" ref="H10:I10" si="2">H7+H9</f>
        <v>97191.161000000022</v>
      </c>
      <c r="I10" s="57">
        <f t="shared" si="2"/>
        <v>129784.59400000001</v>
      </c>
      <c r="J10" s="57">
        <f t="shared" ref="J10:K10" si="3">J7+J9</f>
        <v>111008.62599999999</v>
      </c>
      <c r="K10" s="57">
        <f t="shared" si="3"/>
        <v>104915.98999999999</v>
      </c>
      <c r="M10" s="57">
        <f t="shared" ref="M10:W10" si="4">M7+M9</f>
        <v>5069.3399999999983</v>
      </c>
      <c r="N10" s="57">
        <f t="shared" si="4"/>
        <v>7940.6349999999984</v>
      </c>
      <c r="O10" s="57">
        <f t="shared" si="4"/>
        <v>9592.2839999999997</v>
      </c>
      <c r="P10" s="57">
        <f t="shared" si="4"/>
        <v>9718.1290000000154</v>
      </c>
      <c r="Q10" s="57">
        <f t="shared" si="4"/>
        <v>5196.4659999999985</v>
      </c>
      <c r="R10" s="57">
        <f t="shared" si="4"/>
        <v>8574.9579999999987</v>
      </c>
      <c r="S10" s="57">
        <f t="shared" si="4"/>
        <v>10823.008999999998</v>
      </c>
      <c r="T10" s="57">
        <f t="shared" si="4"/>
        <v>9455.7090000000026</v>
      </c>
      <c r="U10" s="57">
        <f t="shared" si="4"/>
        <v>7200.1670000000013</v>
      </c>
      <c r="V10" s="57">
        <f t="shared" si="4"/>
        <v>12513.371000000003</v>
      </c>
      <c r="W10" s="57">
        <f t="shared" si="4"/>
        <v>10777.987000000001</v>
      </c>
      <c r="X10" s="57">
        <f t="shared" ref="X10:AA10" si="5">X7+X9</f>
        <v>11982.603000000003</v>
      </c>
      <c r="Y10" s="57">
        <f t="shared" si="5"/>
        <v>10740.287000000004</v>
      </c>
      <c r="Z10" s="57">
        <f t="shared" si="5"/>
        <v>15574.428</v>
      </c>
      <c r="AA10" s="57">
        <f t="shared" si="5"/>
        <v>18504.868000000002</v>
      </c>
      <c r="AB10" s="57">
        <f t="shared" ref="AB10:AE10" si="6">AB7+AB9</f>
        <v>16933.396000000008</v>
      </c>
      <c r="AC10" s="57">
        <f t="shared" si="6"/>
        <v>19817.425000000003</v>
      </c>
      <c r="AD10" s="57">
        <f t="shared" si="6"/>
        <v>25398.004999999997</v>
      </c>
      <c r="AE10" s="57">
        <f t="shared" si="6"/>
        <v>26982.392000000007</v>
      </c>
      <c r="AF10" s="57">
        <f t="shared" ref="AF10:AI10" si="7">AF7+AF9</f>
        <v>24993.339000000022</v>
      </c>
      <c r="AG10" s="57">
        <f t="shared" si="7"/>
        <v>25696.740000000005</v>
      </c>
      <c r="AH10" s="57">
        <f t="shared" si="7"/>
        <v>33889.844000000005</v>
      </c>
      <c r="AI10" s="57">
        <f t="shared" si="7"/>
        <v>36753.863000000005</v>
      </c>
      <c r="AJ10" s="57">
        <f t="shared" ref="AJ10:AM10" si="8">AJ7+AJ9</f>
        <v>33444.146999999997</v>
      </c>
      <c r="AK10" s="57">
        <f t="shared" si="8"/>
        <v>32062.708000000006</v>
      </c>
      <c r="AL10" s="57">
        <f t="shared" si="8"/>
        <v>30414.002999999997</v>
      </c>
      <c r="AM10" s="57">
        <f t="shared" si="8"/>
        <v>25181.062999999995</v>
      </c>
      <c r="AN10" s="57">
        <f t="shared" ref="AN10:AO10" si="9">AN7+AN9</f>
        <v>23350.851999999955</v>
      </c>
      <c r="AO10" s="57">
        <f t="shared" si="9"/>
        <v>25970.072</v>
      </c>
    </row>
    <row r="11" spans="2:43" s="44" customFormat="1" ht="13.5" customHeight="1">
      <c r="B11" s="49" t="s">
        <v>199</v>
      </c>
      <c r="C11" s="76">
        <f t="shared" ref="C11:F11" si="10">C10/C7</f>
        <v>0.23157425026995607</v>
      </c>
      <c r="D11" s="76">
        <f t="shared" si="10"/>
        <v>0.33139418453867625</v>
      </c>
      <c r="E11" s="76">
        <f t="shared" si="10"/>
        <v>0.29661820935513372</v>
      </c>
      <c r="F11" s="76">
        <f t="shared" si="10"/>
        <v>0.23711607739352991</v>
      </c>
      <c r="G11" s="76">
        <f>G10/G7</f>
        <v>0.28075285217043622</v>
      </c>
      <c r="H11" s="76">
        <f>H10/H7</f>
        <v>0.35119397696407506</v>
      </c>
      <c r="I11" s="76">
        <f>I10/I7</f>
        <v>0.38444263194529477</v>
      </c>
      <c r="J11" s="76">
        <f>J10/J7</f>
        <v>0.30425430179274682</v>
      </c>
      <c r="K11" s="168">
        <f>K10/K7</f>
        <v>0.28379641728060884</v>
      </c>
      <c r="M11" s="76">
        <f t="shared" ref="M11:W11" si="11">M10/M7</f>
        <v>0.26439287700657027</v>
      </c>
      <c r="N11" s="76">
        <f t="shared" si="11"/>
        <v>0.34975937466262919</v>
      </c>
      <c r="O11" s="76">
        <f t="shared" si="11"/>
        <v>0.34889115583832164</v>
      </c>
      <c r="P11" s="76">
        <f t="shared" si="11"/>
        <v>0.34512542379671107</v>
      </c>
      <c r="Q11" s="76">
        <f t="shared" si="11"/>
        <v>0.31016479936864794</v>
      </c>
      <c r="R11" s="76">
        <f t="shared" si="11"/>
        <v>0.34685763845138201</v>
      </c>
      <c r="S11" s="76">
        <f t="shared" si="11"/>
        <v>0.3057236458272895</v>
      </c>
      <c r="T11" s="76">
        <f t="shared" si="11"/>
        <v>0.24937582916850229</v>
      </c>
      <c r="U11" s="76">
        <f t="shared" si="11"/>
        <v>0.19451361674498632</v>
      </c>
      <c r="V11" s="76">
        <f t="shared" si="11"/>
        <v>0.28595956620079627</v>
      </c>
      <c r="W11" s="76">
        <f t="shared" si="11"/>
        <v>0.22072754573732981</v>
      </c>
      <c r="X11" s="76">
        <f t="shared" ref="X11:AA11" si="12">X10/X7</f>
        <v>0.24195971204002789</v>
      </c>
      <c r="Y11" s="76">
        <f t="shared" si="12"/>
        <v>0.23212829547992592</v>
      </c>
      <c r="Z11" s="76">
        <f t="shared" si="12"/>
        <v>0.30575046159217956</v>
      </c>
      <c r="AA11" s="76">
        <f t="shared" si="12"/>
        <v>0.29551573668853803</v>
      </c>
      <c r="AB11" s="76">
        <f t="shared" ref="AB11:AE11" si="13">AB10/AB7</f>
        <v>0.28161807411901951</v>
      </c>
      <c r="AC11" s="76">
        <f t="shared" si="13"/>
        <v>0.33808051292283642</v>
      </c>
      <c r="AD11" s="76">
        <f t="shared" si="13"/>
        <v>0.37369448258847132</v>
      </c>
      <c r="AE11" s="76">
        <f t="shared" si="13"/>
        <v>0.35286365120011987</v>
      </c>
      <c r="AF11" s="76">
        <f t="shared" ref="AF11:AI11" si="14">AF10/AF7</f>
        <v>0.33914127792448207</v>
      </c>
      <c r="AG11" s="76">
        <f t="shared" si="14"/>
        <v>0.35068481739503821</v>
      </c>
      <c r="AH11" s="76">
        <f t="shared" si="14"/>
        <v>0.41202918230481045</v>
      </c>
      <c r="AI11" s="76">
        <f t="shared" si="14"/>
        <v>0.39276465058803411</v>
      </c>
      <c r="AJ11" s="76">
        <f t="shared" ref="AJ11:AM11" si="15">AJ10/AJ7</f>
        <v>0.3779542206827069</v>
      </c>
      <c r="AK11" s="76">
        <f t="shared" si="15"/>
        <v>0.37193065529145286</v>
      </c>
      <c r="AL11" s="76">
        <f t="shared" si="15"/>
        <v>0.33116119384393461</v>
      </c>
      <c r="AM11" s="76">
        <f t="shared" si="15"/>
        <v>0.26370887651743619</v>
      </c>
      <c r="AN11" s="76">
        <f t="shared" ref="AN11:AO11" si="16">AN10/AN7</f>
        <v>0.25570356936455768</v>
      </c>
      <c r="AO11" s="76">
        <f t="shared" si="16"/>
        <v>0.28526344549878485</v>
      </c>
    </row>
    <row r="12" spans="2:43" s="44" customFormat="1" ht="13.5" customHeight="1">
      <c r="B12" s="32" t="s">
        <v>200</v>
      </c>
      <c r="C12" s="57"/>
      <c r="D12" s="57"/>
      <c r="E12" s="57"/>
      <c r="F12" s="57"/>
      <c r="G12" s="57"/>
      <c r="H12" s="57"/>
      <c r="I12" s="57"/>
      <c r="J12" s="57"/>
      <c r="K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row>
    <row r="13" spans="2:43" s="44" customFormat="1" ht="13.5" customHeight="1">
      <c r="B13" s="77" t="s">
        <v>201</v>
      </c>
      <c r="C13" s="65">
        <v>-15871.901</v>
      </c>
      <c r="D13" s="65">
        <v>-18819.066999999999</v>
      </c>
      <c r="E13" s="65">
        <v>-20882.685000000001</v>
      </c>
      <c r="F13" s="65">
        <v>-40683.165999999997</v>
      </c>
      <c r="G13" s="65">
        <v>-39745.112000000001</v>
      </c>
      <c r="H13" s="65">
        <v>-58616.997000000003</v>
      </c>
      <c r="I13" s="65">
        <v>-63975.235000000001</v>
      </c>
      <c r="J13" s="65">
        <v>-102934.04399999999</v>
      </c>
      <c r="K13" s="14">
        <f t="shared" ref="K13:K18" si="17">SUM(AL13:AO13)</f>
        <v>-110703.52799999999</v>
      </c>
      <c r="M13" s="65">
        <v>-3706.1120000000001</v>
      </c>
      <c r="N13" s="65">
        <v>-4149.1099999999997</v>
      </c>
      <c r="O13" s="65">
        <v>-5614.75</v>
      </c>
      <c r="P13" s="14">
        <f t="shared" ref="P13:P18" si="18">D13-SUM(M13:O13)</f>
        <v>-5349.0949999999993</v>
      </c>
      <c r="Q13" s="65">
        <v>-3199.4389999999999</v>
      </c>
      <c r="R13" s="65">
        <v>-4172.3320000000003</v>
      </c>
      <c r="S13" s="65">
        <v>-5835.5739999999996</v>
      </c>
      <c r="T13" s="14">
        <f t="shared" ref="T13:T18" si="19">E13-SUM(Q13:S13)</f>
        <v>-7675.34</v>
      </c>
      <c r="U13" s="65">
        <v>-7206.4080000000004</v>
      </c>
      <c r="V13" s="65">
        <v>-10848.627</v>
      </c>
      <c r="W13" s="65">
        <v>-11388.227000000001</v>
      </c>
      <c r="X13" s="14">
        <f t="shared" ref="X13:X18" si="20">F13-SUM(U13:W13)</f>
        <v>-11239.903999999995</v>
      </c>
      <c r="Y13" s="65">
        <v>-9105.7279999999992</v>
      </c>
      <c r="Z13" s="65">
        <v>-8986.0360000000001</v>
      </c>
      <c r="AA13" s="65">
        <v>-10886.422</v>
      </c>
      <c r="AB13" s="14">
        <f>G13-SUM(Y13:AA13)</f>
        <v>-10766.925999999999</v>
      </c>
      <c r="AC13" s="65">
        <v>-10433.07</v>
      </c>
      <c r="AD13" s="65">
        <v>-14553.195</v>
      </c>
      <c r="AE13" s="65">
        <v>-16905.421999999999</v>
      </c>
      <c r="AF13" s="14">
        <f t="shared" ref="AF13:AF18" si="21">H13-SUM(AC13:AE13)</f>
        <v>-16725.310000000005</v>
      </c>
      <c r="AG13" s="65">
        <v>-13888.302</v>
      </c>
      <c r="AH13" s="65">
        <v>-14832.448</v>
      </c>
      <c r="AI13" s="65">
        <v>-17953.163</v>
      </c>
      <c r="AJ13" s="14">
        <f t="shared" ref="AJ13:AJ18" si="22">I13-SUM(AG13:AI13)</f>
        <v>-17301.322</v>
      </c>
      <c r="AK13" s="65">
        <v>-15199.035</v>
      </c>
      <c r="AL13" s="65">
        <v>-22518.913</v>
      </c>
      <c r="AM13" s="65">
        <v>-34266.826000000001</v>
      </c>
      <c r="AN13" s="14">
        <f t="shared" ref="AN13:AN18" si="23">J13-SUM(AK13:AM13)</f>
        <v>-30949.26999999999</v>
      </c>
      <c r="AO13" s="65">
        <v>-22968.519</v>
      </c>
    </row>
    <row r="14" spans="2:43" s="44" customFormat="1" ht="13.5" customHeight="1">
      <c r="B14" s="77" t="s">
        <v>202</v>
      </c>
      <c r="C14" s="65">
        <v>-7071.9</v>
      </c>
      <c r="D14" s="65">
        <v>-8445.6640000000007</v>
      </c>
      <c r="E14" s="65">
        <v>-10892.513999999999</v>
      </c>
      <c r="F14" s="65">
        <v>-16675.595000000001</v>
      </c>
      <c r="G14" s="65">
        <v>-20739.865000000002</v>
      </c>
      <c r="H14" s="65">
        <v>-21201.005000000001</v>
      </c>
      <c r="I14" s="65">
        <v>-21053.600999999999</v>
      </c>
      <c r="J14" s="65">
        <v>-25998.264999999999</v>
      </c>
      <c r="K14" s="14">
        <f t="shared" si="17"/>
        <v>-27269.332999999999</v>
      </c>
      <c r="M14" s="65">
        <v>-2036.1</v>
      </c>
      <c r="N14" s="65">
        <v>-2032.33</v>
      </c>
      <c r="O14" s="65">
        <v>-2137.3490000000002</v>
      </c>
      <c r="P14" s="14">
        <f t="shared" si="18"/>
        <v>-2239.8850000000002</v>
      </c>
      <c r="Q14" s="65">
        <v>-2296.4580000000001</v>
      </c>
      <c r="R14" s="65">
        <v>-2376.7370000000001</v>
      </c>
      <c r="S14" s="65">
        <v>-2970.12</v>
      </c>
      <c r="T14" s="14">
        <f t="shared" si="19"/>
        <v>-3249.1989999999996</v>
      </c>
      <c r="U14" s="65">
        <v>-3477.29</v>
      </c>
      <c r="V14" s="65">
        <v>-3900.7939999999999</v>
      </c>
      <c r="W14" s="65">
        <v>-4715.55</v>
      </c>
      <c r="X14" s="14">
        <f t="shared" si="20"/>
        <v>-4581.9610000000011</v>
      </c>
      <c r="Y14" s="65">
        <v>-4879.0330000000004</v>
      </c>
      <c r="Z14" s="65">
        <v>-5203.5330000000004</v>
      </c>
      <c r="AA14" s="65">
        <v>-5414.3710000000001</v>
      </c>
      <c r="AB14" s="14">
        <f t="shared" ref="AB14:AB25" si="24">G14-SUM(Y14:AA14)</f>
        <v>-5242.9279999999999</v>
      </c>
      <c r="AC14" s="65">
        <v>-5047.3869999999997</v>
      </c>
      <c r="AD14" s="65">
        <v>-5407.1760000000004</v>
      </c>
      <c r="AE14" s="65">
        <v>-5321.1570000000002</v>
      </c>
      <c r="AF14" s="14">
        <f t="shared" si="21"/>
        <v>-5425.2849999999999</v>
      </c>
      <c r="AG14" s="65">
        <v>-5000.1530000000002</v>
      </c>
      <c r="AH14" s="65">
        <v>-5339.68</v>
      </c>
      <c r="AI14" s="65">
        <v>-5293.4830000000002</v>
      </c>
      <c r="AJ14" s="14">
        <f t="shared" si="22"/>
        <v>-5420.284999999998</v>
      </c>
      <c r="AK14" s="65">
        <v>-5772.03</v>
      </c>
      <c r="AL14" s="65">
        <v>-6260.0870000000004</v>
      </c>
      <c r="AM14" s="65">
        <v>-6936.8450000000003</v>
      </c>
      <c r="AN14" s="14">
        <f t="shared" si="23"/>
        <v>-7029.3029999999999</v>
      </c>
      <c r="AO14" s="65">
        <v>-7043.098</v>
      </c>
    </row>
    <row r="15" spans="2:43" s="44" customFormat="1" ht="13.5" customHeight="1">
      <c r="B15" s="77" t="s">
        <v>203</v>
      </c>
      <c r="C15" s="65">
        <v>-5546.0370000000003</v>
      </c>
      <c r="D15" s="65">
        <v>-4338.9539999999997</v>
      </c>
      <c r="E15" s="65">
        <v>-5593.8950000000004</v>
      </c>
      <c r="F15" s="65">
        <v>-8612.6260000000002</v>
      </c>
      <c r="G15" s="65">
        <v>-9771.81</v>
      </c>
      <c r="H15" s="65">
        <v>-9372.0669999999991</v>
      </c>
      <c r="I15" s="65">
        <v>-10729.203</v>
      </c>
      <c r="J15" s="65">
        <v>-11916.432000000001</v>
      </c>
      <c r="K15" s="14">
        <f t="shared" si="17"/>
        <v>-12227.808000000001</v>
      </c>
      <c r="M15" s="65">
        <v>-1012.213</v>
      </c>
      <c r="N15" s="65">
        <v>-1038.298</v>
      </c>
      <c r="O15" s="65">
        <v>-1055.9690000000001</v>
      </c>
      <c r="P15" s="14">
        <f t="shared" si="18"/>
        <v>-1232.4739999999997</v>
      </c>
      <c r="Q15" s="65">
        <v>-1069.741</v>
      </c>
      <c r="R15" s="65">
        <v>-1158.0920000000001</v>
      </c>
      <c r="S15" s="65">
        <v>-1415.1189999999999</v>
      </c>
      <c r="T15" s="14">
        <f t="shared" si="19"/>
        <v>-1950.9430000000002</v>
      </c>
      <c r="U15" s="65">
        <v>-1737.403</v>
      </c>
      <c r="V15" s="65">
        <v>-2053.0239999999999</v>
      </c>
      <c r="W15" s="65">
        <v>-2387.116</v>
      </c>
      <c r="X15" s="14">
        <f t="shared" si="20"/>
        <v>-2435.0830000000005</v>
      </c>
      <c r="Y15" s="65">
        <v>-2312.2890000000002</v>
      </c>
      <c r="Z15" s="65">
        <v>-2503.5520000000001</v>
      </c>
      <c r="AA15" s="65">
        <v>-2505.2719999999999</v>
      </c>
      <c r="AB15" s="14">
        <f t="shared" si="24"/>
        <v>-2450.6969999999992</v>
      </c>
      <c r="AC15" s="65">
        <v>-1994.953</v>
      </c>
      <c r="AD15" s="65">
        <v>-2139.0479999999998</v>
      </c>
      <c r="AE15" s="65">
        <v>-2537.7849999999999</v>
      </c>
      <c r="AF15" s="14">
        <f t="shared" si="21"/>
        <v>-2700.280999999999</v>
      </c>
      <c r="AG15" s="65">
        <v>-2298.3229999999999</v>
      </c>
      <c r="AH15" s="65">
        <v>-2694.931</v>
      </c>
      <c r="AI15" s="65">
        <v>-2797.76</v>
      </c>
      <c r="AJ15" s="14">
        <f t="shared" si="22"/>
        <v>-2938.1889999999994</v>
      </c>
      <c r="AK15" s="65">
        <v>-2627.0169999999998</v>
      </c>
      <c r="AL15" s="65">
        <v>-2678.95</v>
      </c>
      <c r="AM15" s="65">
        <v>-2957.8040000000001</v>
      </c>
      <c r="AN15" s="14">
        <f t="shared" si="23"/>
        <v>-3652.6610000000001</v>
      </c>
      <c r="AO15" s="65">
        <v>-2938.393</v>
      </c>
    </row>
    <row r="16" spans="2:43" s="44" customFormat="1" ht="13.5" customHeight="1">
      <c r="B16" s="77" t="s">
        <v>204</v>
      </c>
      <c r="C16" s="65">
        <v>-285.65499999999997</v>
      </c>
      <c r="D16" s="65">
        <v>-645.68499999999995</v>
      </c>
      <c r="E16" s="65">
        <v>-467.69</v>
      </c>
      <c r="F16" s="65">
        <v>-259.95299999999997</v>
      </c>
      <c r="G16" s="65">
        <v>-468.62</v>
      </c>
      <c r="H16" s="65">
        <v>-1135.405</v>
      </c>
      <c r="I16" s="65">
        <v>-897.505</v>
      </c>
      <c r="J16" s="65">
        <v>-872.03499999999997</v>
      </c>
      <c r="K16" s="14">
        <f t="shared" si="17"/>
        <v>-1231.5719999999999</v>
      </c>
      <c r="M16" s="65">
        <v>-62.98</v>
      </c>
      <c r="N16" s="65">
        <v>-138.71100000000001</v>
      </c>
      <c r="O16" s="65">
        <v>-111.99</v>
      </c>
      <c r="P16" s="14">
        <f t="shared" si="18"/>
        <v>-332.00399999999996</v>
      </c>
      <c r="Q16" s="65">
        <v>-237.542</v>
      </c>
      <c r="R16" s="65">
        <v>-45.676000000000002</v>
      </c>
      <c r="S16" s="65">
        <v>-130.285</v>
      </c>
      <c r="T16" s="14">
        <f t="shared" si="19"/>
        <v>-54.186999999999955</v>
      </c>
      <c r="U16" s="65">
        <v>33.774999999999999</v>
      </c>
      <c r="V16" s="65">
        <v>-104.355</v>
      </c>
      <c r="W16" s="65">
        <v>-136.88399999999999</v>
      </c>
      <c r="X16" s="14">
        <f t="shared" si="20"/>
        <v>-52.488999999999976</v>
      </c>
      <c r="Y16" s="65">
        <v>-153.316</v>
      </c>
      <c r="Z16" s="65">
        <v>-50.436999999999998</v>
      </c>
      <c r="AA16" s="65">
        <v>-284.03500000000003</v>
      </c>
      <c r="AB16" s="14">
        <f t="shared" si="24"/>
        <v>19.168000000000006</v>
      </c>
      <c r="AC16" s="65">
        <v>-255.34700000000001</v>
      </c>
      <c r="AD16" s="65">
        <v>-195.26400000000001</v>
      </c>
      <c r="AE16" s="65">
        <v>-276.37700000000001</v>
      </c>
      <c r="AF16" s="14">
        <f t="shared" si="21"/>
        <v>-408.41699999999992</v>
      </c>
      <c r="AG16" s="65">
        <v>-175.386</v>
      </c>
      <c r="AH16" s="65">
        <v>-276.43099999999998</v>
      </c>
      <c r="AI16" s="65">
        <v>-275.298</v>
      </c>
      <c r="AJ16" s="14">
        <f t="shared" si="22"/>
        <v>-170.39</v>
      </c>
      <c r="AK16" s="65">
        <v>-121.474</v>
      </c>
      <c r="AL16" s="65">
        <v>-19.219000000000001</v>
      </c>
      <c r="AM16" s="65">
        <v>-292.77699999999999</v>
      </c>
      <c r="AN16" s="14">
        <f t="shared" si="23"/>
        <v>-438.56499999999994</v>
      </c>
      <c r="AO16" s="65">
        <v>-481.01100000000002</v>
      </c>
    </row>
    <row r="17" spans="2:41" s="44" customFormat="1" ht="13.5" customHeight="1">
      <c r="B17" s="77" t="s">
        <v>205</v>
      </c>
      <c r="C17" s="65">
        <v>1836.3820000000001</v>
      </c>
      <c r="D17" s="65">
        <v>77.698999999999998</v>
      </c>
      <c r="E17" s="65">
        <v>4955.9089999999997</v>
      </c>
      <c r="F17" s="65">
        <v>815.74699999999996</v>
      </c>
      <c r="G17" s="65">
        <v>-1013.057</v>
      </c>
      <c r="H17" s="65">
        <v>234.227</v>
      </c>
      <c r="I17" s="65">
        <v>140.92099999999999</v>
      </c>
      <c r="J17" s="65">
        <v>2393.393</v>
      </c>
      <c r="K17" s="14">
        <f t="shared" si="17"/>
        <v>1981.0139999999999</v>
      </c>
      <c r="M17" s="65">
        <v>165.292</v>
      </c>
      <c r="N17" s="65">
        <v>-323.65100000000001</v>
      </c>
      <c r="O17" s="65">
        <v>163.61500000000001</v>
      </c>
      <c r="P17" s="14">
        <f t="shared" si="18"/>
        <v>72.442999999999998</v>
      </c>
      <c r="Q17" s="65">
        <v>-508.26100000000002</v>
      </c>
      <c r="R17" s="65">
        <v>346.68900000000002</v>
      </c>
      <c r="S17" s="65">
        <v>5779.3639999999996</v>
      </c>
      <c r="T17" s="14">
        <f t="shared" si="19"/>
        <v>-661.88299999999981</v>
      </c>
      <c r="U17" s="65">
        <v>42.033999999999999</v>
      </c>
      <c r="V17" s="65">
        <v>164.74799999999999</v>
      </c>
      <c r="W17" s="65">
        <v>-117.99</v>
      </c>
      <c r="X17" s="14">
        <f t="shared" si="20"/>
        <v>726.95499999999993</v>
      </c>
      <c r="Y17" s="65">
        <v>-802.89400000000001</v>
      </c>
      <c r="Z17" s="65">
        <v>-292.18299999999999</v>
      </c>
      <c r="AA17" s="65">
        <v>-105.922</v>
      </c>
      <c r="AB17" s="14">
        <f t="shared" si="24"/>
        <v>187.94200000000001</v>
      </c>
      <c r="AC17" s="65">
        <v>164.029</v>
      </c>
      <c r="AD17" s="65">
        <v>103.761</v>
      </c>
      <c r="AE17" s="65">
        <v>28.088999999999999</v>
      </c>
      <c r="AF17" s="14">
        <f t="shared" si="21"/>
        <v>-61.651999999999958</v>
      </c>
      <c r="AG17" s="65">
        <v>-517.11599999999999</v>
      </c>
      <c r="AH17" s="65">
        <v>-120.03700000000001</v>
      </c>
      <c r="AI17" s="65">
        <v>765.23900000000003</v>
      </c>
      <c r="AJ17" s="14">
        <f t="shared" si="22"/>
        <v>12.83499999999998</v>
      </c>
      <c r="AK17" s="65">
        <v>804.82</v>
      </c>
      <c r="AL17" s="65">
        <v>481.53699999999998</v>
      </c>
      <c r="AM17" s="65">
        <v>-389.928</v>
      </c>
      <c r="AN17" s="14">
        <f t="shared" si="23"/>
        <v>1496.9639999999999</v>
      </c>
      <c r="AO17" s="65">
        <v>392.44099999999997</v>
      </c>
    </row>
    <row r="18" spans="2:41" s="44" customFormat="1" ht="13.5" customHeight="1">
      <c r="B18" s="77" t="s">
        <v>206</v>
      </c>
      <c r="C18" s="65">
        <v>748.35599999999999</v>
      </c>
      <c r="D18" s="65">
        <v>2531.143</v>
      </c>
      <c r="E18" s="65">
        <v>3160.835</v>
      </c>
      <c r="F18" s="65">
        <v>-185.73400000000001</v>
      </c>
      <c r="G18" s="65">
        <v>4165.0370000000003</v>
      </c>
      <c r="H18" s="65">
        <v>6315.473</v>
      </c>
      <c r="I18" s="65">
        <v>3574.9850000000001</v>
      </c>
      <c r="J18" s="65">
        <v>3277.62</v>
      </c>
      <c r="K18" s="14">
        <f t="shared" si="17"/>
        <v>2458.1790000000001</v>
      </c>
      <c r="M18" s="65">
        <v>279.13099999999997</v>
      </c>
      <c r="N18" s="65">
        <v>854.04300000000001</v>
      </c>
      <c r="O18" s="65">
        <v>611.22299999999996</v>
      </c>
      <c r="P18" s="14">
        <f t="shared" si="18"/>
        <v>786.74600000000009</v>
      </c>
      <c r="Q18" s="65">
        <v>399.44499999999999</v>
      </c>
      <c r="R18" s="65">
        <v>1005.835</v>
      </c>
      <c r="S18" s="65">
        <v>472.40800000000002</v>
      </c>
      <c r="T18" s="14">
        <f t="shared" si="19"/>
        <v>1283.1469999999999</v>
      </c>
      <c r="U18" s="65">
        <v>378.11799999999999</v>
      </c>
      <c r="V18" s="65">
        <v>976.976</v>
      </c>
      <c r="W18" s="65">
        <v>-2134.8510000000001</v>
      </c>
      <c r="X18" s="14">
        <f t="shared" si="20"/>
        <v>594.02300000000002</v>
      </c>
      <c r="Y18" s="65">
        <v>928.73099999999999</v>
      </c>
      <c r="Z18" s="65">
        <v>968.47500000000002</v>
      </c>
      <c r="AA18" s="65">
        <v>1679.376</v>
      </c>
      <c r="AB18" s="14">
        <f t="shared" si="24"/>
        <v>588.45499999999993</v>
      </c>
      <c r="AC18" s="65">
        <v>1335.0239999999999</v>
      </c>
      <c r="AD18" s="65">
        <v>1505.9159999999999</v>
      </c>
      <c r="AE18" s="65">
        <v>1388.7929999999999</v>
      </c>
      <c r="AF18" s="14">
        <f t="shared" si="21"/>
        <v>2085.7400000000007</v>
      </c>
      <c r="AG18" s="65">
        <v>1391.932</v>
      </c>
      <c r="AH18" s="65">
        <v>630.572</v>
      </c>
      <c r="AI18" s="65">
        <v>2485.7779999999998</v>
      </c>
      <c r="AJ18" s="14">
        <f t="shared" si="22"/>
        <v>-933.29699999999912</v>
      </c>
      <c r="AK18" s="65">
        <v>1418.1379999999999</v>
      </c>
      <c r="AL18" s="65">
        <v>807.97900000000004</v>
      </c>
      <c r="AM18" s="65">
        <v>-96.233000000000004</v>
      </c>
      <c r="AN18" s="14">
        <f t="shared" si="23"/>
        <v>1147.7359999999999</v>
      </c>
      <c r="AO18" s="65">
        <v>598.697</v>
      </c>
    </row>
    <row r="19" spans="2:41" s="32" customFormat="1" ht="13.5" customHeight="1">
      <c r="B19" s="32" t="s">
        <v>207</v>
      </c>
      <c r="C19" s="57">
        <f t="shared" ref="C19:G19" si="25">C10+SUM(C13:C18)</f>
        <v>-11085.796999999999</v>
      </c>
      <c r="D19" s="57">
        <f t="shared" si="25"/>
        <v>2679.8600000000079</v>
      </c>
      <c r="E19" s="57">
        <f t="shared" si="25"/>
        <v>4330.1019999999917</v>
      </c>
      <c r="F19" s="57">
        <f t="shared" si="25"/>
        <v>-23127.198999999993</v>
      </c>
      <c r="G19" s="57">
        <f t="shared" si="25"/>
        <v>-5820.448000000004</v>
      </c>
      <c r="H19" s="57">
        <f t="shared" ref="H19:I19" si="26">H10+SUM(H13:H18)</f>
        <v>13415.387000000017</v>
      </c>
      <c r="I19" s="57">
        <f t="shared" si="26"/>
        <v>36844.95600000002</v>
      </c>
      <c r="J19" s="57">
        <f t="shared" ref="J19:K19" si="27">J10+SUM(J13:J18)</f>
        <v>-25041.136999999988</v>
      </c>
      <c r="K19" s="57">
        <f t="shared" si="27"/>
        <v>-42077.057999999961</v>
      </c>
      <c r="M19" s="57">
        <f t="shared" ref="M19:W19" si="28">M10+SUM(M13:M18)</f>
        <v>-1303.6419999999998</v>
      </c>
      <c r="N19" s="57">
        <f>N10+SUM(N13:N18)</f>
        <v>1112.5779999999986</v>
      </c>
      <c r="O19" s="57">
        <f t="shared" si="28"/>
        <v>1447.0640000000003</v>
      </c>
      <c r="P19" s="57">
        <f t="shared" si="28"/>
        <v>1423.8600000000151</v>
      </c>
      <c r="Q19" s="57">
        <f t="shared" si="28"/>
        <v>-1715.5300000000025</v>
      </c>
      <c r="R19" s="57">
        <f t="shared" si="28"/>
        <v>2174.6449999999986</v>
      </c>
      <c r="S19" s="57">
        <f t="shared" si="28"/>
        <v>6723.6829999999982</v>
      </c>
      <c r="T19" s="57">
        <f t="shared" si="28"/>
        <v>-2852.6959999999963</v>
      </c>
      <c r="U19" s="57">
        <f t="shared" si="28"/>
        <v>-4767.0069999999996</v>
      </c>
      <c r="V19" s="57">
        <f t="shared" si="28"/>
        <v>-3251.7049999999963</v>
      </c>
      <c r="W19" s="57">
        <f t="shared" si="28"/>
        <v>-10102.631000000001</v>
      </c>
      <c r="X19" s="57">
        <f t="shared" ref="X19:AA19" si="29">X10+SUM(X13:X18)</f>
        <v>-5005.8559999999925</v>
      </c>
      <c r="Y19" s="57">
        <f t="shared" si="29"/>
        <v>-5584.2419999999947</v>
      </c>
      <c r="Z19" s="57">
        <f t="shared" si="29"/>
        <v>-492.83800000000156</v>
      </c>
      <c r="AA19" s="57">
        <f t="shared" si="29"/>
        <v>988.22200000000157</v>
      </c>
      <c r="AB19" s="57">
        <f t="shared" ref="AB19:AE19" si="30">AB10+SUM(AB13:AB18)</f>
        <v>-731.58999999998923</v>
      </c>
      <c r="AC19" s="57">
        <f t="shared" si="30"/>
        <v>3585.7209999999995</v>
      </c>
      <c r="AD19" s="57">
        <f t="shared" si="30"/>
        <v>4712.9989999999998</v>
      </c>
      <c r="AE19" s="57">
        <f t="shared" si="30"/>
        <v>3358.5330000000104</v>
      </c>
      <c r="AF19" s="57">
        <f t="shared" ref="AF19:AI19" si="31">AF10+SUM(AF13:AF18)</f>
        <v>1758.13400000002</v>
      </c>
      <c r="AG19" s="57">
        <f t="shared" si="31"/>
        <v>5209.3920000000071</v>
      </c>
      <c r="AH19" s="57">
        <f t="shared" si="31"/>
        <v>11256.889000000003</v>
      </c>
      <c r="AI19" s="57">
        <f t="shared" si="31"/>
        <v>13685.176000000003</v>
      </c>
      <c r="AJ19" s="57">
        <f t="shared" ref="AJ19:AM19" si="32">AJ10+SUM(AJ13:AJ18)</f>
        <v>6693.4990000000034</v>
      </c>
      <c r="AK19" s="57">
        <f t="shared" si="32"/>
        <v>10566.110000000008</v>
      </c>
      <c r="AL19" s="57">
        <f t="shared" si="32"/>
        <v>226.34999999999491</v>
      </c>
      <c r="AM19" s="57">
        <f t="shared" si="32"/>
        <v>-19759.350000000013</v>
      </c>
      <c r="AN19" s="57">
        <f t="shared" ref="AN19:AO19" si="33">AN10+SUM(AN13:AN18)</f>
        <v>-16074.247000000039</v>
      </c>
      <c r="AO19" s="57">
        <f t="shared" si="33"/>
        <v>-6469.8109999999942</v>
      </c>
    </row>
    <row r="20" spans="2:41" s="44" customFormat="1" ht="13.5" customHeight="1">
      <c r="B20" s="77" t="s">
        <v>208</v>
      </c>
      <c r="C20" s="65">
        <f>-44.732</f>
        <v>-44.731999999999999</v>
      </c>
      <c r="D20" s="65">
        <v>-191.042</v>
      </c>
      <c r="E20" s="65">
        <v>-370.01600000000002</v>
      </c>
      <c r="F20" s="65">
        <v>-1130.9349999999999</v>
      </c>
      <c r="G20" s="65">
        <v>-1628.825</v>
      </c>
      <c r="H20" s="65">
        <v>-1425.1569999999999</v>
      </c>
      <c r="I20" s="65">
        <v>-1337.038</v>
      </c>
      <c r="J20" s="65">
        <v>-1886.8019999999999</v>
      </c>
      <c r="K20" s="14">
        <f t="shared" ref="K20:K23" si="34">SUM(AL20:AO20)</f>
        <v>-2198.6589999999997</v>
      </c>
      <c r="M20" s="65">
        <v>-46.820999999999998</v>
      </c>
      <c r="N20" s="65">
        <v>-50.115000000000002</v>
      </c>
      <c r="O20" s="65">
        <v>-49.011000000000003</v>
      </c>
      <c r="P20" s="14">
        <f>D20-SUM(M20:O20)</f>
        <v>-45.094999999999999</v>
      </c>
      <c r="Q20" s="65">
        <v>-48.043999999999997</v>
      </c>
      <c r="R20" s="65">
        <v>-60.731000000000002</v>
      </c>
      <c r="S20" s="65">
        <v>-111.506</v>
      </c>
      <c r="T20" s="14">
        <f>E20-SUM(R20:S20)</f>
        <v>-197.77900000000002</v>
      </c>
      <c r="U20" s="65">
        <v>-166.05199999999999</v>
      </c>
      <c r="V20" s="65">
        <v>-263.26900000000001</v>
      </c>
      <c r="W20" s="65">
        <v>-369.94200000000001</v>
      </c>
      <c r="X20" s="14">
        <f>F20-SUM(V20:W20)</f>
        <v>-497.72399999999993</v>
      </c>
      <c r="Y20" s="65">
        <v>-330.31700000000001</v>
      </c>
      <c r="Z20" s="65">
        <v>-418.61200000000002</v>
      </c>
      <c r="AA20" s="65">
        <v>-474.72800000000001</v>
      </c>
      <c r="AB20" s="14">
        <f t="shared" si="24"/>
        <v>-405.16799999999989</v>
      </c>
      <c r="AC20" s="65">
        <v>-353.47899999999998</v>
      </c>
      <c r="AD20" s="65">
        <v>-354.00299999999999</v>
      </c>
      <c r="AE20" s="65">
        <v>-350.95</v>
      </c>
      <c r="AF20" s="14">
        <f>H20-SUM(AC20:AE20)</f>
        <v>-366.72499999999991</v>
      </c>
      <c r="AG20" s="65">
        <v>-321.863</v>
      </c>
      <c r="AH20" s="65">
        <v>-285.37299999999999</v>
      </c>
      <c r="AI20" s="65">
        <v>-261.65100000000001</v>
      </c>
      <c r="AJ20" s="14">
        <f t="shared" ref="AJ20:AJ23" si="35">I20-SUM(AG20:AI20)</f>
        <v>-468.15100000000007</v>
      </c>
      <c r="AK20" s="65">
        <v>-475.12</v>
      </c>
      <c r="AL20" s="65">
        <v>-430.214</v>
      </c>
      <c r="AM20" s="65">
        <v>-413.98700000000002</v>
      </c>
      <c r="AN20" s="14">
        <f t="shared" ref="AN20:AN23" si="36">J20-SUM(AK20:AM20)</f>
        <v>-567.48099999999977</v>
      </c>
      <c r="AO20" s="65">
        <v>-786.97699999999998</v>
      </c>
    </row>
    <row r="21" spans="2:41" s="44" customFormat="1" ht="13.5" customHeight="1">
      <c r="B21" s="77" t="s">
        <v>209</v>
      </c>
      <c r="C21" s="65">
        <v>294.04700000000003</v>
      </c>
      <c r="D21" s="65">
        <v>166.21700000000001</v>
      </c>
      <c r="E21" s="65">
        <v>213.684</v>
      </c>
      <c r="F21" s="65">
        <v>546.03700000000003</v>
      </c>
      <c r="G21" s="65">
        <v>657.90800000000002</v>
      </c>
      <c r="H21" s="65">
        <v>818.98599999999999</v>
      </c>
      <c r="I21" s="65">
        <v>1291.807</v>
      </c>
      <c r="J21" s="65">
        <v>2011.5350000000001</v>
      </c>
      <c r="K21" s="14">
        <f t="shared" si="34"/>
        <v>2002.1030000000001</v>
      </c>
      <c r="M21" s="65">
        <v>52.921999999999997</v>
      </c>
      <c r="N21" s="65">
        <v>21.541</v>
      </c>
      <c r="O21" s="65">
        <v>38.234999999999999</v>
      </c>
      <c r="P21" s="14">
        <f>D21-SUM(M21:O21)</f>
        <v>53.51900000000002</v>
      </c>
      <c r="Q21" s="65">
        <v>57.93</v>
      </c>
      <c r="R21" s="65">
        <v>40.351999999999997</v>
      </c>
      <c r="S21" s="65">
        <v>45.677999999999997</v>
      </c>
      <c r="T21" s="14">
        <f>E21-SUM(Q21:S21)</f>
        <v>69.724000000000018</v>
      </c>
      <c r="U21" s="65">
        <v>77.855000000000004</v>
      </c>
      <c r="V21" s="65">
        <v>112.11799999999999</v>
      </c>
      <c r="W21" s="65">
        <v>198.89</v>
      </c>
      <c r="X21" s="14">
        <f>F21-SUM(U21:W21)</f>
        <v>157.17400000000004</v>
      </c>
      <c r="Y21" s="65">
        <v>110.35899999999999</v>
      </c>
      <c r="Z21" s="65">
        <v>190.41200000000001</v>
      </c>
      <c r="AA21" s="65">
        <v>209.74600000000001</v>
      </c>
      <c r="AB21" s="14">
        <f t="shared" si="24"/>
        <v>147.39099999999996</v>
      </c>
      <c r="AC21" s="65">
        <v>184.41900000000001</v>
      </c>
      <c r="AD21" s="65">
        <v>217.18899999999999</v>
      </c>
      <c r="AE21" s="65">
        <v>201.22499999999999</v>
      </c>
      <c r="AF21" s="14">
        <f>H21-SUM(AC21:AE21)</f>
        <v>216.15300000000002</v>
      </c>
      <c r="AG21" s="65">
        <v>279.755</v>
      </c>
      <c r="AH21" s="65">
        <v>344.49400000000003</v>
      </c>
      <c r="AI21" s="65">
        <v>313.08800000000002</v>
      </c>
      <c r="AJ21" s="14">
        <f t="shared" si="35"/>
        <v>354.47</v>
      </c>
      <c r="AK21" s="65">
        <v>491.358</v>
      </c>
      <c r="AL21" s="65">
        <v>508.30700000000002</v>
      </c>
      <c r="AM21" s="65">
        <v>513.37199999999996</v>
      </c>
      <c r="AN21" s="14">
        <f t="shared" si="36"/>
        <v>498.49800000000027</v>
      </c>
      <c r="AO21" s="65">
        <v>481.92599999999999</v>
      </c>
    </row>
    <row r="22" spans="2:41" s="44" customFormat="1" ht="13.5" customHeight="1">
      <c r="B22" s="77" t="s">
        <v>210</v>
      </c>
      <c r="C22" s="65">
        <v>-104606.058</v>
      </c>
      <c r="D22" s="65"/>
      <c r="E22" s="65"/>
      <c r="F22" s="65"/>
      <c r="G22" s="65"/>
      <c r="H22" s="65">
        <v>0</v>
      </c>
      <c r="I22" s="65">
        <v>0</v>
      </c>
      <c r="J22" s="65">
        <v>0</v>
      </c>
      <c r="K22" s="14">
        <f t="shared" si="34"/>
        <v>0</v>
      </c>
      <c r="M22" s="65"/>
      <c r="N22" s="65"/>
      <c r="O22" s="65"/>
      <c r="P22" s="14"/>
      <c r="Q22" s="65"/>
      <c r="R22" s="65"/>
      <c r="S22" s="65"/>
      <c r="T22" s="14"/>
      <c r="U22" s="65"/>
      <c r="V22" s="65"/>
      <c r="W22" s="65"/>
      <c r="X22" s="14"/>
      <c r="Y22" s="65">
        <v>0</v>
      </c>
      <c r="Z22" s="65">
        <v>0</v>
      </c>
      <c r="AA22" s="65">
        <v>0</v>
      </c>
      <c r="AB22" s="14">
        <f t="shared" si="24"/>
        <v>0</v>
      </c>
      <c r="AC22" s="65">
        <v>0</v>
      </c>
      <c r="AD22" s="65">
        <v>0</v>
      </c>
      <c r="AE22" s="65">
        <v>0</v>
      </c>
      <c r="AF22" s="14">
        <f>H22-SUM(AC22:AE22)</f>
        <v>0</v>
      </c>
      <c r="AG22" s="65">
        <v>0</v>
      </c>
      <c r="AH22" s="65">
        <v>0</v>
      </c>
      <c r="AI22" s="65">
        <v>0</v>
      </c>
      <c r="AJ22" s="14">
        <f t="shared" si="35"/>
        <v>0</v>
      </c>
      <c r="AK22" s="65">
        <v>0</v>
      </c>
      <c r="AL22" s="65">
        <v>0</v>
      </c>
      <c r="AM22" s="65">
        <v>0</v>
      </c>
      <c r="AN22" s="14">
        <f t="shared" si="36"/>
        <v>0</v>
      </c>
      <c r="AO22" s="65">
        <v>0</v>
      </c>
    </row>
    <row r="23" spans="2:41" ht="13.5" customHeight="1">
      <c r="B23" s="77" t="s">
        <v>211</v>
      </c>
      <c r="C23" s="65">
        <v>-48.267000000000003</v>
      </c>
      <c r="D23" s="65">
        <v>107.35299999999999</v>
      </c>
      <c r="E23" s="65">
        <v>264.10500000000002</v>
      </c>
      <c r="F23" s="65">
        <v>145.62</v>
      </c>
      <c r="G23" s="65">
        <v>35.847999999999999</v>
      </c>
      <c r="H23" s="65">
        <v>1212.652</v>
      </c>
      <c r="I23" s="65">
        <v>1185.704</v>
      </c>
      <c r="J23" s="65">
        <v>78.891999999999996</v>
      </c>
      <c r="K23" s="14">
        <f t="shared" si="34"/>
        <v>-441.56200000000001</v>
      </c>
      <c r="M23" s="65">
        <v>7.53</v>
      </c>
      <c r="N23" s="65">
        <v>17.847999999999999</v>
      </c>
      <c r="O23" s="65">
        <v>24.329000000000001</v>
      </c>
      <c r="P23" s="14">
        <f>D23-SUM(M23:O23)</f>
        <v>57.645999999999994</v>
      </c>
      <c r="Q23" s="65">
        <v>11.128</v>
      </c>
      <c r="R23" s="65">
        <v>42.881</v>
      </c>
      <c r="S23" s="65">
        <v>92.697999999999993</v>
      </c>
      <c r="T23" s="14">
        <f>E23-SUM(Q23:S23)</f>
        <v>117.39800000000002</v>
      </c>
      <c r="U23" s="65">
        <v>-2.0129999999999999</v>
      </c>
      <c r="V23" s="65">
        <v>38.250999999999998</v>
      </c>
      <c r="W23" s="65">
        <v>273.23700000000002</v>
      </c>
      <c r="X23" s="14">
        <f>F23-SUM(U23:W23)</f>
        <v>-163.85500000000002</v>
      </c>
      <c r="Y23" s="65">
        <v>46.411000000000001</v>
      </c>
      <c r="Z23" s="65">
        <v>-400.05200000000002</v>
      </c>
      <c r="AA23" s="65">
        <v>485.36200000000002</v>
      </c>
      <c r="AB23" s="14">
        <f t="shared" si="24"/>
        <v>-95.873000000000005</v>
      </c>
      <c r="AC23" s="65">
        <v>-49.759</v>
      </c>
      <c r="AD23" s="65">
        <v>122.40600000000001</v>
      </c>
      <c r="AE23" s="65">
        <v>434.52100000000002</v>
      </c>
      <c r="AF23" s="14">
        <f>H23-SUM(AC23:AE23)</f>
        <v>705.48400000000004</v>
      </c>
      <c r="AG23" s="65">
        <v>314.197</v>
      </c>
      <c r="AH23" s="65">
        <v>341.20400000000001</v>
      </c>
      <c r="AI23" s="65">
        <v>213.821</v>
      </c>
      <c r="AJ23" s="14">
        <f t="shared" si="35"/>
        <v>316.48199999999986</v>
      </c>
      <c r="AK23" s="65">
        <v>18.452999999999999</v>
      </c>
      <c r="AL23" s="65">
        <v>89.222999999999999</v>
      </c>
      <c r="AM23" s="65">
        <v>9.5410000000000004</v>
      </c>
      <c r="AN23" s="14">
        <f t="shared" si="36"/>
        <v>-38.325000000000003</v>
      </c>
      <c r="AO23" s="65">
        <v>-502.00099999999998</v>
      </c>
    </row>
    <row r="24" spans="2:41" s="32" customFormat="1" ht="13.5" customHeight="1">
      <c r="B24" s="32" t="s">
        <v>212</v>
      </c>
      <c r="C24" s="57">
        <f>C19+SUM(C20:C23)</f>
        <v>-115490.807</v>
      </c>
      <c r="D24" s="57">
        <f>D19+SUM(D20:D23)</f>
        <v>2762.3880000000077</v>
      </c>
      <c r="E24" s="57">
        <f t="shared" ref="E24" si="37">E19+SUM(E20:E23)</f>
        <v>4437.8749999999918</v>
      </c>
      <c r="F24" s="57">
        <f t="shared" ref="F24:G24" si="38">F19+SUM(F20:F23)</f>
        <v>-23566.476999999992</v>
      </c>
      <c r="G24" s="57">
        <f t="shared" si="38"/>
        <v>-6755.5170000000044</v>
      </c>
      <c r="H24" s="57">
        <f t="shared" ref="H24:I24" si="39">H19+SUM(H20:H23)</f>
        <v>14021.868000000017</v>
      </c>
      <c r="I24" s="57">
        <f t="shared" si="39"/>
        <v>37985.429000000018</v>
      </c>
      <c r="J24" s="57">
        <f t="shared" ref="J24:K24" si="40">J19+SUM(J20:J23)</f>
        <v>-24837.511999999988</v>
      </c>
      <c r="K24" s="57">
        <f t="shared" si="40"/>
        <v>-42715.175999999963</v>
      </c>
      <c r="M24" s="57">
        <f>M19+SUM(M20:M23)</f>
        <v>-1290.0109999999997</v>
      </c>
      <c r="N24" s="57">
        <f t="shared" ref="N24:P24" si="41">N19+SUM(N20:N23)</f>
        <v>1101.8519999999985</v>
      </c>
      <c r="O24" s="57">
        <f t="shared" si="41"/>
        <v>1460.6170000000002</v>
      </c>
      <c r="P24" s="57">
        <f t="shared" si="41"/>
        <v>1489.9300000000151</v>
      </c>
      <c r="Q24" s="57">
        <f>Q19+SUM(Q20:Q23)</f>
        <v>-1694.5160000000026</v>
      </c>
      <c r="R24" s="57">
        <f t="shared" ref="R24:W24" si="42">R19+SUM(R20:R23)</f>
        <v>2197.1469999999986</v>
      </c>
      <c r="S24" s="57">
        <f t="shared" si="42"/>
        <v>6750.5529999999981</v>
      </c>
      <c r="T24" s="57">
        <f t="shared" si="42"/>
        <v>-2863.3529999999964</v>
      </c>
      <c r="U24" s="57">
        <f t="shared" si="42"/>
        <v>-4857.2169999999996</v>
      </c>
      <c r="V24" s="57">
        <f t="shared" si="42"/>
        <v>-3364.6049999999964</v>
      </c>
      <c r="W24" s="57">
        <f t="shared" si="42"/>
        <v>-10000.446000000002</v>
      </c>
      <c r="X24" s="57">
        <f t="shared" ref="X24:AA24" si="43">X19+SUM(X20:X23)</f>
        <v>-5510.2609999999922</v>
      </c>
      <c r="Y24" s="57">
        <f t="shared" si="43"/>
        <v>-5757.7889999999952</v>
      </c>
      <c r="Z24" s="57">
        <f t="shared" si="43"/>
        <v>-1121.0900000000015</v>
      </c>
      <c r="AA24" s="57">
        <f t="shared" si="43"/>
        <v>1208.6020000000017</v>
      </c>
      <c r="AB24" s="57">
        <f t="shared" ref="AB24:AE24" si="44">AB19+SUM(AB20:AB23)</f>
        <v>-1085.2399999999891</v>
      </c>
      <c r="AC24" s="57">
        <f t="shared" si="44"/>
        <v>3366.9019999999996</v>
      </c>
      <c r="AD24" s="57">
        <f t="shared" si="44"/>
        <v>4698.5909999999994</v>
      </c>
      <c r="AE24" s="57">
        <f t="shared" si="44"/>
        <v>3643.3290000000106</v>
      </c>
      <c r="AF24" s="57">
        <f t="shared" ref="AF24:AI24" si="45">AF19+SUM(AF20:AF23)</f>
        <v>2313.0460000000203</v>
      </c>
      <c r="AG24" s="57">
        <f t="shared" si="45"/>
        <v>5481.481000000007</v>
      </c>
      <c r="AH24" s="57">
        <f t="shared" si="45"/>
        <v>11657.214000000004</v>
      </c>
      <c r="AI24" s="57">
        <f t="shared" si="45"/>
        <v>13950.434000000003</v>
      </c>
      <c r="AJ24" s="57">
        <f t="shared" ref="AJ24:AM24" si="46">AJ19+SUM(AJ20:AJ23)</f>
        <v>6896.3000000000029</v>
      </c>
      <c r="AK24" s="57">
        <f t="shared" si="46"/>
        <v>10600.801000000009</v>
      </c>
      <c r="AL24" s="57">
        <f t="shared" si="46"/>
        <v>393.66599999999494</v>
      </c>
      <c r="AM24" s="57">
        <f t="shared" si="46"/>
        <v>-19650.424000000014</v>
      </c>
      <c r="AN24" s="57">
        <f t="shared" ref="AN24:AO24" si="47">AN19+SUM(AN20:AN23)</f>
        <v>-16181.555000000038</v>
      </c>
      <c r="AO24" s="57">
        <f t="shared" si="47"/>
        <v>-7276.8629999999939</v>
      </c>
    </row>
    <row r="25" spans="2:41" ht="13.5" customHeight="1">
      <c r="B25" s="29" t="s">
        <v>213</v>
      </c>
      <c r="C25" s="65">
        <v>-1.8879999999999999</v>
      </c>
      <c r="D25" s="65">
        <v>-526.22299999999996</v>
      </c>
      <c r="E25" s="65">
        <v>269.73700000000002</v>
      </c>
      <c r="F25" s="65">
        <v>30.279</v>
      </c>
      <c r="G25" s="65">
        <v>70.194000000000003</v>
      </c>
      <c r="H25" s="65">
        <v>-164.53700000000001</v>
      </c>
      <c r="I25" s="65">
        <v>-2177.107</v>
      </c>
      <c r="J25" s="65">
        <v>1483.318</v>
      </c>
      <c r="K25" s="14">
        <f>SUM(AL25:AO25)</f>
        <v>2476.8440000000001</v>
      </c>
      <c r="L25" s="147"/>
      <c r="M25" s="65">
        <v>-143.31899999999999</v>
      </c>
      <c r="N25" s="65">
        <v>-226.024</v>
      </c>
      <c r="O25" s="65">
        <v>-127.235</v>
      </c>
      <c r="P25" s="14">
        <f>D25-SUM(M25:O25)</f>
        <v>-29.644999999999982</v>
      </c>
      <c r="Q25" s="65">
        <v>115.238</v>
      </c>
      <c r="R25" s="65">
        <v>13.034000000000001</v>
      </c>
      <c r="S25" s="65">
        <v>-429.55200000000002</v>
      </c>
      <c r="T25" s="14">
        <f>E25-SUM(Q25:S25)</f>
        <v>571.01700000000005</v>
      </c>
      <c r="U25" s="65">
        <v>10.955</v>
      </c>
      <c r="V25" s="65">
        <v>8.23</v>
      </c>
      <c r="W25" s="65">
        <v>6.0359999999999996</v>
      </c>
      <c r="X25" s="14">
        <f>F25-SUM(U25:W25)</f>
        <v>5.0579999999999963</v>
      </c>
      <c r="Y25" s="65">
        <v>55.222999999999999</v>
      </c>
      <c r="Z25" s="65">
        <v>5.0629999999999997</v>
      </c>
      <c r="AA25" s="65">
        <v>8.2089999999999996</v>
      </c>
      <c r="AB25" s="14">
        <f t="shared" si="24"/>
        <v>1.6989999999999981</v>
      </c>
      <c r="AC25" s="65">
        <v>-8.4109999999999996</v>
      </c>
      <c r="AD25" s="65">
        <v>-9.9719999999999995</v>
      </c>
      <c r="AE25" s="65">
        <v>-50.094999999999999</v>
      </c>
      <c r="AF25" s="14">
        <f>H25-SUM(AC25:AE25)</f>
        <v>-96.059000000000012</v>
      </c>
      <c r="AG25" s="65">
        <v>-112.502</v>
      </c>
      <c r="AH25" s="65">
        <v>-304.87599999999998</v>
      </c>
      <c r="AI25" s="65">
        <v>-1085.48</v>
      </c>
      <c r="AJ25" s="14">
        <f>I25-SUM(AG25:AI25)</f>
        <v>-674.24900000000002</v>
      </c>
      <c r="AK25" s="65">
        <v>-543.92100000000005</v>
      </c>
      <c r="AL25" s="65">
        <v>-28.37</v>
      </c>
      <c r="AM25" s="65">
        <v>1018.336</v>
      </c>
      <c r="AN25" s="14">
        <f>J25-SUM(AK25:AM25)</f>
        <v>1037.2730000000001</v>
      </c>
      <c r="AO25" s="65">
        <v>449.60500000000002</v>
      </c>
    </row>
    <row r="26" spans="2:41" s="32" customFormat="1" ht="13.5" customHeight="1">
      <c r="B26" s="32" t="s">
        <v>214</v>
      </c>
      <c r="C26" s="57">
        <f t="shared" ref="C26:E26" si="48">+C24+C25</f>
        <v>-115492.69500000001</v>
      </c>
      <c r="D26" s="57">
        <f t="shared" si="48"/>
        <v>2236.1650000000077</v>
      </c>
      <c r="E26" s="57">
        <f t="shared" si="48"/>
        <v>4707.6119999999919</v>
      </c>
      <c r="F26" s="57">
        <f t="shared" ref="F26:G26" si="49">+F24+F25</f>
        <v>-23536.197999999993</v>
      </c>
      <c r="G26" s="57">
        <f t="shared" si="49"/>
        <v>-6685.323000000004</v>
      </c>
      <c r="H26" s="57">
        <f t="shared" ref="H26:I26" si="50">+H24+H25</f>
        <v>13857.331000000017</v>
      </c>
      <c r="I26" s="57">
        <f t="shared" si="50"/>
        <v>35808.322000000015</v>
      </c>
      <c r="J26" s="57">
        <f t="shared" ref="J26:K26" si="51">+J24+J25</f>
        <v>-23354.193999999989</v>
      </c>
      <c r="K26" s="57">
        <f t="shared" si="51"/>
        <v>-40238.331999999966</v>
      </c>
      <c r="M26" s="57">
        <f>+M24+M25</f>
        <v>-1433.3299999999997</v>
      </c>
      <c r="N26" s="57">
        <f t="shared" ref="N26:W26" si="52">+N24+N25</f>
        <v>875.8279999999985</v>
      </c>
      <c r="O26" s="57">
        <f t="shared" si="52"/>
        <v>1333.3820000000003</v>
      </c>
      <c r="P26" s="57">
        <f t="shared" si="52"/>
        <v>1460.2850000000151</v>
      </c>
      <c r="Q26" s="57">
        <f t="shared" si="52"/>
        <v>-1579.2780000000025</v>
      </c>
      <c r="R26" s="57">
        <f t="shared" si="52"/>
        <v>2210.1809999999987</v>
      </c>
      <c r="S26" s="57">
        <f t="shared" si="52"/>
        <v>6321.0009999999984</v>
      </c>
      <c r="T26" s="57">
        <f t="shared" si="52"/>
        <v>-2292.3359999999966</v>
      </c>
      <c r="U26" s="57">
        <f t="shared" si="52"/>
        <v>-4846.2619999999997</v>
      </c>
      <c r="V26" s="57">
        <f t="shared" si="52"/>
        <v>-3356.3749999999964</v>
      </c>
      <c r="W26" s="57">
        <f t="shared" si="52"/>
        <v>-9994.4100000000017</v>
      </c>
      <c r="X26" s="57">
        <f t="shared" ref="X26:AA26" si="53">+X24+X25</f>
        <v>-5505.2029999999922</v>
      </c>
      <c r="Y26" s="57">
        <f t="shared" si="53"/>
        <v>-5702.5659999999953</v>
      </c>
      <c r="Z26" s="57">
        <f t="shared" si="53"/>
        <v>-1116.0270000000014</v>
      </c>
      <c r="AA26" s="57">
        <f t="shared" si="53"/>
        <v>1216.8110000000017</v>
      </c>
      <c r="AB26" s="57">
        <f t="shared" ref="AB26:AE26" si="54">+AB24+AB25</f>
        <v>-1083.540999999989</v>
      </c>
      <c r="AC26" s="57">
        <f t="shared" si="54"/>
        <v>3358.4909999999995</v>
      </c>
      <c r="AD26" s="57">
        <f t="shared" si="54"/>
        <v>4688.6189999999997</v>
      </c>
      <c r="AE26" s="57">
        <f t="shared" si="54"/>
        <v>3593.2340000000108</v>
      </c>
      <c r="AF26" s="57">
        <f t="shared" ref="AF26:AI26" si="55">+AF24+AF25</f>
        <v>2216.9870000000201</v>
      </c>
      <c r="AG26" s="57">
        <f t="shared" si="55"/>
        <v>5368.9790000000066</v>
      </c>
      <c r="AH26" s="57">
        <f t="shared" si="55"/>
        <v>11352.338000000003</v>
      </c>
      <c r="AI26" s="57">
        <f t="shared" si="55"/>
        <v>12864.954000000003</v>
      </c>
      <c r="AJ26" s="57">
        <f t="shared" ref="AJ26:AM26" si="56">+AJ24+AJ25</f>
        <v>6222.0510000000031</v>
      </c>
      <c r="AK26" s="57">
        <f t="shared" si="56"/>
        <v>10056.880000000008</v>
      </c>
      <c r="AL26" s="57">
        <f t="shared" si="56"/>
        <v>365.29599999999493</v>
      </c>
      <c r="AM26" s="57">
        <f t="shared" si="56"/>
        <v>-18632.088000000014</v>
      </c>
      <c r="AN26" s="57">
        <f t="shared" ref="AN26:AO26" si="57">+AN24+AN25</f>
        <v>-15144.282000000039</v>
      </c>
      <c r="AO26" s="57">
        <f t="shared" si="57"/>
        <v>-6827.2579999999944</v>
      </c>
    </row>
    <row r="27" spans="2:41" s="44" customFormat="1" ht="13.5" customHeight="1">
      <c r="B27" s="49" t="s">
        <v>215</v>
      </c>
      <c r="C27" s="76">
        <f t="shared" ref="C27:G27" si="58">+C26/C7</f>
        <v>-1.7706195711554913</v>
      </c>
      <c r="D27" s="76">
        <f t="shared" si="58"/>
        <v>2.2928316227791921E-2</v>
      </c>
      <c r="E27" s="76">
        <f t="shared" si="58"/>
        <v>4.100903431705917E-2</v>
      </c>
      <c r="F27" s="76">
        <f t="shared" si="58"/>
        <v>-0.13139318472924136</v>
      </c>
      <c r="G27" s="76">
        <f t="shared" si="58"/>
        <v>-3.0394055968224927E-2</v>
      </c>
      <c r="H27" s="76">
        <f t="shared" ref="H27:I27" si="59">+H26/H7</f>
        <v>5.0072569706185191E-2</v>
      </c>
      <c r="I27" s="76">
        <f t="shared" si="59"/>
        <v>0.10606995122413841</v>
      </c>
      <c r="J27" s="76">
        <f t="shared" ref="J27:K27" si="60">+J26/J7</f>
        <v>-6.4009566152114658E-2</v>
      </c>
      <c r="K27" s="168">
        <f t="shared" si="60"/>
        <v>-0.10884417579196141</v>
      </c>
      <c r="M27" s="76">
        <f>+M26/M7</f>
        <v>-7.4755735934032314E-2</v>
      </c>
      <c r="N27" s="76">
        <f t="shared" ref="N27:W27" si="61">+N26/N7</f>
        <v>3.8577400118758855E-2</v>
      </c>
      <c r="O27" s="76">
        <f t="shared" si="61"/>
        <v>4.8497853811877663E-2</v>
      </c>
      <c r="P27" s="76">
        <f t="shared" si="61"/>
        <v>5.1859928952268965E-2</v>
      </c>
      <c r="Q27" s="76">
        <f>+Q26/Q7</f>
        <v>-9.4263378999751082E-2</v>
      </c>
      <c r="R27" s="76">
        <f t="shared" si="61"/>
        <v>8.9401972838830654E-2</v>
      </c>
      <c r="S27" s="76">
        <f t="shared" si="61"/>
        <v>0.17855288404527267</v>
      </c>
      <c r="T27" s="76">
        <f t="shared" si="61"/>
        <v>-6.0455878108432365E-2</v>
      </c>
      <c r="U27" s="76">
        <f t="shared" si="61"/>
        <v>-0.13092251184087683</v>
      </c>
      <c r="V27" s="76">
        <f t="shared" si="61"/>
        <v>-7.6700957640207124E-2</v>
      </c>
      <c r="W27" s="76">
        <f t="shared" si="61"/>
        <v>-0.20468029794363518</v>
      </c>
      <c r="X27" s="76">
        <f t="shared" ref="X27:AA27" si="62">+X26/X7</f>
        <v>-0.1111642714526965</v>
      </c>
      <c r="Y27" s="76">
        <f t="shared" si="62"/>
        <v>-0.12324874795634209</v>
      </c>
      <c r="Z27" s="76">
        <f t="shared" si="62"/>
        <v>-2.1909361319679656E-2</v>
      </c>
      <c r="AA27" s="76">
        <f t="shared" si="62"/>
        <v>1.943201102951489E-2</v>
      </c>
      <c r="AB27" s="76">
        <f t="shared" ref="AB27:AE27" si="63">+AB26/AB7</f>
        <v>-1.8020291360870161E-2</v>
      </c>
      <c r="AC27" s="76">
        <f t="shared" si="63"/>
        <v>5.7295050185719364E-2</v>
      </c>
      <c r="AD27" s="76">
        <f t="shared" si="63"/>
        <v>6.8986168451399071E-2</v>
      </c>
      <c r="AE27" s="76">
        <f t="shared" si="63"/>
        <v>4.6990706711859162E-2</v>
      </c>
      <c r="AF27" s="76">
        <f t="shared" ref="AF27:AI27" si="64">+AF26/AF7</f>
        <v>3.0082887457412947E-2</v>
      </c>
      <c r="AG27" s="76">
        <f t="shared" si="64"/>
        <v>7.3270750305789639E-2</v>
      </c>
      <c r="AH27" s="76">
        <f t="shared" si="64"/>
        <v>0.13802053923257446</v>
      </c>
      <c r="AI27" s="76">
        <f t="shared" si="64"/>
        <v>0.13747940352939586</v>
      </c>
      <c r="AJ27" s="76">
        <f t="shared" ref="AJ27:AM27" si="65">+AJ26/AJ7</f>
        <v>7.0315754704494582E-2</v>
      </c>
      <c r="AK27" s="76">
        <f t="shared" si="65"/>
        <v>0.11666082504907287</v>
      </c>
      <c r="AL27" s="76">
        <f t="shared" si="65"/>
        <v>3.9775053440486699E-3</v>
      </c>
      <c r="AM27" s="76">
        <f t="shared" si="65"/>
        <v>-0.1951246853103068</v>
      </c>
      <c r="AN27" s="76">
        <f t="shared" ref="AN27:AO27" si="66">+AN26/AN7</f>
        <v>-0.16583750189772262</v>
      </c>
      <c r="AO27" s="76">
        <f t="shared" si="66"/>
        <v>-7.4992750901466176E-2</v>
      </c>
    </row>
    <row r="28" spans="2:41" ht="13.5" customHeight="1">
      <c r="B28" s="29" t="s">
        <v>216</v>
      </c>
      <c r="C28" s="65">
        <v>15.523999999999999</v>
      </c>
      <c r="D28" s="65">
        <v>2.6040000000000001</v>
      </c>
      <c r="E28" s="65">
        <v>0.70099999999999996</v>
      </c>
      <c r="F28" s="65">
        <v>-2.181</v>
      </c>
      <c r="G28" s="65">
        <v>-0.78700000000000003</v>
      </c>
      <c r="H28" s="65">
        <v>-1.5029999999999999</v>
      </c>
      <c r="I28" s="65">
        <v>-1.143</v>
      </c>
      <c r="J28" s="65">
        <v>-0.82099999999999995</v>
      </c>
      <c r="K28" s="14">
        <f>SUM(AL28:AO28)</f>
        <v>-0.92399999999999993</v>
      </c>
      <c r="L28" s="147"/>
      <c r="M28" s="65">
        <v>1.5529999999999999</v>
      </c>
      <c r="N28" s="65">
        <v>1.587</v>
      </c>
      <c r="O28" s="65">
        <v>1.82</v>
      </c>
      <c r="P28" s="14">
        <f>D28-SUM(M28:O28)</f>
        <v>-2.3559999999999999</v>
      </c>
      <c r="Q28" s="65">
        <v>0.94199999999999995</v>
      </c>
      <c r="R28" s="65">
        <v>-0.434</v>
      </c>
      <c r="S28" s="65">
        <v>0.60199999999999998</v>
      </c>
      <c r="T28" s="14">
        <f>E28-SUM(Q28:S28)</f>
        <v>-0.40899999999999992</v>
      </c>
      <c r="U28" s="65">
        <v>-1.0209999999999999</v>
      </c>
      <c r="V28" s="65">
        <v>-0.94799999999999995</v>
      </c>
      <c r="W28" s="65">
        <v>-0.25</v>
      </c>
      <c r="X28" s="14">
        <f>F28-SUM(U28:W28)</f>
        <v>3.7999999999999812E-2</v>
      </c>
      <c r="Y28" s="65">
        <v>7.6999999999999999E-2</v>
      </c>
      <c r="Z28" s="65">
        <v>-0.49199999999999999</v>
      </c>
      <c r="AA28" s="65">
        <v>0.36899999999999999</v>
      </c>
      <c r="AB28" s="14">
        <f t="shared" ref="AB28" si="67">G28-SUM(Y28:AA28)</f>
        <v>-0.7410000000000001</v>
      </c>
      <c r="AC28" s="136">
        <v>-0.25800000000000001</v>
      </c>
      <c r="AD28" s="136">
        <v>-0.749</v>
      </c>
      <c r="AE28" s="65">
        <v>-0.21099999999999999</v>
      </c>
      <c r="AF28" s="14">
        <f>H28-SUM(AC28:AE28)</f>
        <v>-0.2849999999999997</v>
      </c>
      <c r="AG28" s="65">
        <v>-0.441</v>
      </c>
      <c r="AH28" s="65">
        <f>-0.858-AG28</f>
        <v>-0.41699999999999998</v>
      </c>
      <c r="AI28" s="65">
        <v>-0.255</v>
      </c>
      <c r="AJ28" s="14">
        <f>I28-SUM(AG28:AI28)</f>
        <v>-3.0000000000000027E-2</v>
      </c>
      <c r="AK28" s="65">
        <v>-5.2999999999999999E-2</v>
      </c>
      <c r="AL28" s="65">
        <f>-0.532-AK28</f>
        <v>-0.47900000000000004</v>
      </c>
      <c r="AM28" s="65">
        <v>-0.36599999999999999</v>
      </c>
      <c r="AN28" s="14">
        <f>J28-SUM(AK28:AM28)</f>
        <v>7.7000000000000068E-2</v>
      </c>
      <c r="AO28" s="65">
        <v>-0.156</v>
      </c>
    </row>
    <row r="29" spans="2:41" s="32" customFormat="1" ht="13.5" customHeight="1">
      <c r="B29" s="32" t="s">
        <v>214</v>
      </c>
      <c r="C29" s="57">
        <f t="shared" ref="C29:W29" si="68">+C26+C28</f>
        <v>-115477.171</v>
      </c>
      <c r="D29" s="57">
        <f t="shared" si="68"/>
        <v>2238.7690000000075</v>
      </c>
      <c r="E29" s="57">
        <f t="shared" si="68"/>
        <v>4708.3129999999919</v>
      </c>
      <c r="F29" s="57">
        <f t="shared" ref="F29:G29" si="69">+F26+F28</f>
        <v>-23538.378999999994</v>
      </c>
      <c r="G29" s="57">
        <f t="shared" si="69"/>
        <v>-6686.1100000000042</v>
      </c>
      <c r="H29" s="57">
        <f t="shared" ref="H29:I29" si="70">+H26+H28</f>
        <v>13855.828000000016</v>
      </c>
      <c r="I29" s="57">
        <f t="shared" si="70"/>
        <v>35807.179000000018</v>
      </c>
      <c r="J29" s="57">
        <f t="shared" ref="J29:K29" si="71">+J26+J28</f>
        <v>-23355.014999999989</v>
      </c>
      <c r="K29" s="57">
        <f t="shared" si="71"/>
        <v>-40239.255999999965</v>
      </c>
      <c r="L29" s="147"/>
      <c r="M29" s="57">
        <f t="shared" si="68"/>
        <v>-1431.7769999999996</v>
      </c>
      <c r="N29" s="57">
        <f t="shared" si="68"/>
        <v>877.41499999999849</v>
      </c>
      <c r="O29" s="57">
        <f t="shared" si="68"/>
        <v>1335.2020000000002</v>
      </c>
      <c r="P29" s="57">
        <f t="shared" si="68"/>
        <v>1457.9290000000151</v>
      </c>
      <c r="Q29" s="57">
        <f t="shared" si="68"/>
        <v>-1578.3360000000025</v>
      </c>
      <c r="R29" s="57">
        <f t="shared" si="68"/>
        <v>2209.7469999999985</v>
      </c>
      <c r="S29" s="57">
        <f t="shared" si="68"/>
        <v>6321.6029999999982</v>
      </c>
      <c r="T29" s="57">
        <f t="shared" si="68"/>
        <v>-2292.7449999999967</v>
      </c>
      <c r="U29" s="57">
        <f t="shared" si="68"/>
        <v>-4847.2829999999994</v>
      </c>
      <c r="V29" s="57">
        <f t="shared" si="68"/>
        <v>-3357.3229999999962</v>
      </c>
      <c r="W29" s="57">
        <f t="shared" si="68"/>
        <v>-9994.6600000000017</v>
      </c>
      <c r="X29" s="57">
        <f t="shared" ref="X29:Z29" si="72">+X26+X28</f>
        <v>-5505.1649999999927</v>
      </c>
      <c r="Y29" s="57">
        <f t="shared" si="72"/>
        <v>-5702.488999999995</v>
      </c>
      <c r="Z29" s="57">
        <f t="shared" si="72"/>
        <v>-1116.5190000000014</v>
      </c>
      <c r="AA29" s="57">
        <f>+AA26+AA28</f>
        <v>1217.1800000000017</v>
      </c>
      <c r="AB29" s="57">
        <f>+AB26+AB28</f>
        <v>-1084.281999999989</v>
      </c>
      <c r="AC29" s="57">
        <f>+AC26+AC28</f>
        <v>3358.2329999999997</v>
      </c>
      <c r="AD29" s="57">
        <f t="shared" ref="AD29:AF29" si="73">+AD26+AD28</f>
        <v>4687.87</v>
      </c>
      <c r="AE29" s="57">
        <f t="shared" si="73"/>
        <v>3593.0230000000111</v>
      </c>
      <c r="AF29" s="57">
        <f t="shared" si="73"/>
        <v>2216.7020000000202</v>
      </c>
      <c r="AG29" s="57">
        <f>+AG26+AG28</f>
        <v>5368.5380000000068</v>
      </c>
      <c r="AH29" s="57">
        <f t="shared" ref="AH29:AJ29" si="74">+AH26+AH28</f>
        <v>11351.921000000004</v>
      </c>
      <c r="AI29" s="57">
        <f t="shared" si="74"/>
        <v>12864.699000000004</v>
      </c>
      <c r="AJ29" s="57">
        <f t="shared" si="74"/>
        <v>6222.0210000000034</v>
      </c>
      <c r="AK29" s="57">
        <f>+AK26+AK28</f>
        <v>10056.827000000008</v>
      </c>
      <c r="AL29" s="57">
        <f t="shared" ref="AL29:AN29" si="75">+AL26+AL28</f>
        <v>364.81699999999495</v>
      </c>
      <c r="AM29" s="57">
        <f t="shared" si="75"/>
        <v>-18632.454000000016</v>
      </c>
      <c r="AN29" s="57">
        <f t="shared" si="75"/>
        <v>-15144.20500000004</v>
      </c>
      <c r="AO29" s="57">
        <f>+AO26+AO28</f>
        <v>-6827.4139999999943</v>
      </c>
    </row>
    <row r="30" spans="2:41" s="32" customFormat="1" ht="13.5" customHeight="1">
      <c r="B30" s="70"/>
      <c r="C30" s="75"/>
      <c r="D30" s="75"/>
      <c r="E30" s="75"/>
      <c r="F30" s="75"/>
      <c r="G30" s="75"/>
      <c r="H30" s="75"/>
      <c r="I30" s="75"/>
      <c r="J30" s="75"/>
      <c r="K30" s="75"/>
      <c r="L30" s="147"/>
      <c r="M30" s="75"/>
      <c r="N30" s="75"/>
      <c r="O30" s="75"/>
      <c r="P30" s="75"/>
      <c r="Q30" s="75"/>
      <c r="R30" s="75"/>
      <c r="S30" s="75"/>
    </row>
    <row r="31" spans="2:41" s="32" customFormat="1" ht="13.5" customHeight="1">
      <c r="B31" s="175" t="s">
        <v>217</v>
      </c>
      <c r="C31" s="170"/>
      <c r="D31" s="170"/>
      <c r="E31" s="170"/>
      <c r="F31" s="170"/>
      <c r="G31" s="170"/>
      <c r="H31" s="170"/>
      <c r="I31" s="170"/>
      <c r="J31" s="170"/>
      <c r="K31" s="171"/>
      <c r="L31" s="147"/>
      <c r="M31" s="172"/>
      <c r="N31" s="172"/>
      <c r="O31" s="172"/>
      <c r="P31" s="172"/>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row>
    <row r="32" spans="2:41" s="44" customFormat="1" ht="13.5" customHeight="1">
      <c r="B32" s="173" t="str">
        <f t="shared" ref="B32:B37" si="76">B13</f>
        <v>Selling and marketing expenses</v>
      </c>
      <c r="C32" s="74">
        <f t="shared" ref="C32:G32" si="77">-C13/C7</f>
        <v>0.24333226046930856</v>
      </c>
      <c r="D32" s="74">
        <f t="shared" si="77"/>
        <v>0.19295960686622049</v>
      </c>
      <c r="E32" s="74">
        <f t="shared" si="77"/>
        <v>0.18191362113048787</v>
      </c>
      <c r="F32" s="74">
        <f t="shared" si="77"/>
        <v>0.22711785249292993</v>
      </c>
      <c r="G32" s="74">
        <f t="shared" si="77"/>
        <v>0.18069660337897922</v>
      </c>
      <c r="H32" s="74">
        <f t="shared" ref="H32:I32" si="78">-H13/H7</f>
        <v>0.21180872913043247</v>
      </c>
      <c r="I32" s="74">
        <f t="shared" si="78"/>
        <v>0.18950483231252191</v>
      </c>
      <c r="J32" s="74">
        <f t="shared" ref="J32:K32" si="79">-J13/J7</f>
        <v>0.28212335217917106</v>
      </c>
      <c r="K32" s="74">
        <f t="shared" si="79"/>
        <v>0.29945163389034946</v>
      </c>
      <c r="L32" s="147"/>
      <c r="M32" s="74">
        <f t="shared" ref="M32:S32" si="80">-M13/M7</f>
        <v>0.19329333092445455</v>
      </c>
      <c r="N32" s="74">
        <f t="shared" si="80"/>
        <v>0.1827549206085485</v>
      </c>
      <c r="O32" s="74">
        <f t="shared" si="80"/>
        <v>0.20422003948623879</v>
      </c>
      <c r="P32" s="74">
        <f t="shared" si="80"/>
        <v>0.18996544281351535</v>
      </c>
      <c r="Q32" s="74">
        <f t="shared" si="80"/>
        <v>0.19096696784453662</v>
      </c>
      <c r="R32" s="74">
        <f t="shared" si="80"/>
        <v>0.16877111518856791</v>
      </c>
      <c r="S32" s="74">
        <f t="shared" si="80"/>
        <v>0.16484075350717525</v>
      </c>
      <c r="T32" s="74">
        <f t="shared" ref="T32:W32" si="81">-T13/T7</f>
        <v>0.20242207925922551</v>
      </c>
      <c r="U32" s="74">
        <f t="shared" si="81"/>
        <v>0.19468221831799223</v>
      </c>
      <c r="V32" s="74">
        <f t="shared" si="81"/>
        <v>0.24791630255302469</v>
      </c>
      <c r="W32" s="74">
        <f t="shared" si="81"/>
        <v>0.23322494228371163</v>
      </c>
      <c r="X32" s="74">
        <f t="shared" ref="X32:AA32" si="82">-X13/X7</f>
        <v>0.22696270044142794</v>
      </c>
      <c r="Y32" s="74">
        <f t="shared" si="82"/>
        <v>0.19680080427495408</v>
      </c>
      <c r="Z32" s="74">
        <f t="shared" si="82"/>
        <v>0.17640998789065915</v>
      </c>
      <c r="AA32" s="74">
        <f t="shared" si="82"/>
        <v>0.17385203813571151</v>
      </c>
      <c r="AB32" s="74">
        <f>-AB13/AB7</f>
        <v>0.1790639611984505</v>
      </c>
      <c r="AC32" s="74">
        <f t="shared" ref="AC32:AE32" si="83">-AC13/AC7</f>
        <v>0.17798566952870296</v>
      </c>
      <c r="AD32" s="74">
        <f t="shared" si="83"/>
        <v>0.21412897097760741</v>
      </c>
      <c r="AE32" s="74">
        <f t="shared" si="83"/>
        <v>0.2210815457724738</v>
      </c>
      <c r="AF32" s="74">
        <f>-AF13/AF7</f>
        <v>0.22695018889165292</v>
      </c>
      <c r="AG32" s="74">
        <f t="shared" ref="AG32:AI32" si="84">-AG13/AG7</f>
        <v>0.18953441762640488</v>
      </c>
      <c r="AH32" s="74">
        <f t="shared" si="84"/>
        <v>0.18033135298641742</v>
      </c>
      <c r="AI32" s="74">
        <f t="shared" si="84"/>
        <v>0.19185378670658432</v>
      </c>
      <c r="AJ32" s="74">
        <f>-AJ13/AJ7</f>
        <v>0.19552323081496359</v>
      </c>
      <c r="AK32" s="74">
        <f t="shared" ref="AK32:AM32" si="85">-AK13/AK7</f>
        <v>0.17631034307357091</v>
      </c>
      <c r="AL32" s="74">
        <f t="shared" si="85"/>
        <v>0.2451959419201642</v>
      </c>
      <c r="AM32" s="74">
        <f t="shared" si="85"/>
        <v>0.35885959962367253</v>
      </c>
      <c r="AN32" s="74">
        <f>-AN13/AN7</f>
        <v>0.33891006667454515</v>
      </c>
      <c r="AO32" s="74">
        <f t="shared" ref="AO32" si="86">-AO13/AO7</f>
        <v>0.25229344254202701</v>
      </c>
    </row>
    <row r="33" spans="2:41" s="44" customFormat="1" ht="13.5" customHeight="1">
      <c r="B33" s="173" t="str">
        <f t="shared" si="76"/>
        <v>Research and development expenses</v>
      </c>
      <c r="C33" s="74">
        <f t="shared" ref="C33:G33" si="87">-C14/C7</f>
        <v>0.10841936405808625</v>
      </c>
      <c r="D33" s="74">
        <f t="shared" si="87"/>
        <v>8.6596854411761834E-2</v>
      </c>
      <c r="E33" s="74">
        <f t="shared" si="87"/>
        <v>9.4887063850004671E-2</v>
      </c>
      <c r="F33" s="74">
        <f t="shared" si="87"/>
        <v>9.3093180738240494E-2</v>
      </c>
      <c r="G33" s="74">
        <f t="shared" si="87"/>
        <v>9.4291422805364677E-2</v>
      </c>
      <c r="H33" s="74">
        <f t="shared" ref="H33:I33" si="88">-H14/H7</f>
        <v>7.6608460944151482E-2</v>
      </c>
      <c r="I33" s="74">
        <f t="shared" si="88"/>
        <v>6.2364118351104822E-2</v>
      </c>
      <c r="J33" s="74">
        <f t="shared" ref="J33:K33" si="89">-J14/J7</f>
        <v>7.1256480243236303E-2</v>
      </c>
      <c r="K33" s="74">
        <f t="shared" si="89"/>
        <v>7.3763198603300384E-2</v>
      </c>
      <c r="L33" s="147"/>
      <c r="M33" s="74">
        <f t="shared" ref="M33:S33" si="90">-M14/M7</f>
        <v>0.10619337761386646</v>
      </c>
      <c r="N33" s="74">
        <f t="shared" si="90"/>
        <v>8.9517585168957053E-2</v>
      </c>
      <c r="O33" s="74">
        <f t="shared" si="90"/>
        <v>7.773979200781389E-2</v>
      </c>
      <c r="P33" s="74">
        <f t="shared" si="90"/>
        <v>7.9546305660368896E-2</v>
      </c>
      <c r="Q33" s="74">
        <f t="shared" si="90"/>
        <v>0.13707016168844879</v>
      </c>
      <c r="R33" s="74">
        <f t="shared" si="90"/>
        <v>9.6139174447271061E-2</v>
      </c>
      <c r="S33" s="74">
        <f t="shared" si="90"/>
        <v>8.3898656551477435E-2</v>
      </c>
      <c r="T33" s="74">
        <f t="shared" ref="T33:W33" si="91">-T14/T7</f>
        <v>8.56912680750294E-2</v>
      </c>
      <c r="U33" s="74">
        <f t="shared" si="91"/>
        <v>9.3939523120946139E-2</v>
      </c>
      <c r="V33" s="74">
        <f t="shared" si="91"/>
        <v>8.914219518295019E-2</v>
      </c>
      <c r="W33" s="74">
        <f t="shared" si="91"/>
        <v>9.6572001645730834E-2</v>
      </c>
      <c r="X33" s="74">
        <f t="shared" ref="X33:AA33" si="92">-X14/X7</f>
        <v>9.2521630245000874E-2</v>
      </c>
      <c r="Y33" s="74">
        <f t="shared" si="92"/>
        <v>0.10544984634771017</v>
      </c>
      <c r="Z33" s="74">
        <f t="shared" si="92"/>
        <v>0.10215351836100427</v>
      </c>
      <c r="AA33" s="74">
        <f t="shared" si="92"/>
        <v>8.6465455185633117E-2</v>
      </c>
      <c r="AB33" s="74">
        <f t="shared" ref="AB33:AE33" si="93">-AB14/AB7</f>
        <v>8.7194753261819552E-2</v>
      </c>
      <c r="AC33" s="74">
        <f t="shared" si="93"/>
        <v>8.6107210491779648E-2</v>
      </c>
      <c r="AD33" s="74">
        <f t="shared" si="93"/>
        <v>7.9558683352680667E-2</v>
      </c>
      <c r="AE33" s="74">
        <f t="shared" si="93"/>
        <v>6.9587710668093314E-2</v>
      </c>
      <c r="AF33" s="74">
        <f t="shared" ref="AF33:AI33" si="94">-AF14/AF7</f>
        <v>7.3617138070448368E-2</v>
      </c>
      <c r="AG33" s="74">
        <f t="shared" si="94"/>
        <v>6.8237361694606091E-2</v>
      </c>
      <c r="AH33" s="74">
        <f t="shared" si="94"/>
        <v>6.4919271513004015E-2</v>
      </c>
      <c r="AI33" s="74">
        <f t="shared" si="94"/>
        <v>5.6568013024609093E-2</v>
      </c>
      <c r="AJ33" s="74">
        <f t="shared" ref="AJ33:AM33" si="95">-AJ14/AJ7</f>
        <v>6.1254951219212303E-2</v>
      </c>
      <c r="AK33" s="74">
        <f t="shared" si="95"/>
        <v>6.6956131723556356E-2</v>
      </c>
      <c r="AL33" s="74">
        <f t="shared" si="95"/>
        <v>6.8162611954989794E-2</v>
      </c>
      <c r="AM33" s="74">
        <f t="shared" si="95"/>
        <v>7.264616277420835E-2</v>
      </c>
      <c r="AN33" s="74">
        <f t="shared" ref="AN33:AO33" si="96">-AN14/AN7</f>
        <v>7.6974401929531172E-2</v>
      </c>
      <c r="AO33" s="74">
        <f t="shared" si="96"/>
        <v>7.7363605401848737E-2</v>
      </c>
    </row>
    <row r="34" spans="2:41" s="44" customFormat="1" ht="13.5" customHeight="1">
      <c r="B34" s="173" t="str">
        <f t="shared" si="76"/>
        <v>General and administrative expenses</v>
      </c>
      <c r="C34" s="74">
        <f t="shared" ref="C34:G34" si="97">-C15/C7</f>
        <v>8.502634434630249E-2</v>
      </c>
      <c r="D34" s="74">
        <f t="shared" si="97"/>
        <v>4.448907366399274E-2</v>
      </c>
      <c r="E34" s="74">
        <f t="shared" si="97"/>
        <v>4.87296387257544E-2</v>
      </c>
      <c r="F34" s="74">
        <f t="shared" si="97"/>
        <v>4.8080848020647493E-2</v>
      </c>
      <c r="G34" s="74">
        <f t="shared" si="97"/>
        <v>4.442641590404231E-2</v>
      </c>
      <c r="H34" s="74">
        <f t="shared" ref="H34:I34" si="98">-H15/H7</f>
        <v>3.3865358209927823E-2</v>
      </c>
      <c r="I34" s="74">
        <f t="shared" si="98"/>
        <v>3.1781607607412575E-2</v>
      </c>
      <c r="J34" s="74">
        <f t="shared" ref="J34:K34" si="99">-J15/J7</f>
        <v>3.2660756453473681E-2</v>
      </c>
      <c r="K34" s="74">
        <f t="shared" si="99"/>
        <v>3.3076064969650168E-2</v>
      </c>
      <c r="L34" s="147"/>
      <c r="M34" s="74">
        <f t="shared" ref="M34:S34" si="100">-M15/M7</f>
        <v>5.2792258403155358E-2</v>
      </c>
      <c r="N34" s="74">
        <f t="shared" si="100"/>
        <v>4.5733679887497485E-2</v>
      </c>
      <c r="O34" s="74">
        <f t="shared" si="100"/>
        <v>3.8407770760273227E-2</v>
      </c>
      <c r="P34" s="74">
        <f t="shared" si="100"/>
        <v>4.3769547776987418E-2</v>
      </c>
      <c r="Q34" s="74">
        <f t="shared" si="100"/>
        <v>6.3850317242798646E-2</v>
      </c>
      <c r="R34" s="74">
        <f t="shared" si="100"/>
        <v>4.6844900724812649E-2</v>
      </c>
      <c r="S34" s="74">
        <f t="shared" si="100"/>
        <v>3.997366536048045E-2</v>
      </c>
      <c r="T34" s="74">
        <f t="shared" ref="T34:W34" si="101">-T15/T7</f>
        <v>5.145230551040491E-2</v>
      </c>
      <c r="U34" s="74">
        <f t="shared" si="101"/>
        <v>4.6936208739823591E-2</v>
      </c>
      <c r="V34" s="74">
        <f t="shared" si="101"/>
        <v>4.691636270033258E-2</v>
      </c>
      <c r="W34" s="74">
        <f t="shared" si="101"/>
        <v>4.8886889181654396E-2</v>
      </c>
      <c r="X34" s="74">
        <f t="shared" ref="X34:AA34" si="102">-X15/X7</f>
        <v>4.9170616891302102E-2</v>
      </c>
      <c r="Y34" s="74">
        <f t="shared" si="102"/>
        <v>4.9975173310264638E-2</v>
      </c>
      <c r="Z34" s="74">
        <f t="shared" si="102"/>
        <v>4.9148654423778797E-2</v>
      </c>
      <c r="AA34" s="74">
        <f t="shared" si="102"/>
        <v>4.0008245434939985E-2</v>
      </c>
      <c r="AB34" s="74">
        <f t="shared" ref="AB34:AE34" si="103">-AB15/AB7</f>
        <v>4.0757363105974623E-2</v>
      </c>
      <c r="AC34" s="74">
        <f t="shared" si="103"/>
        <v>3.4033419250833606E-2</v>
      </c>
      <c r="AD34" s="74">
        <f t="shared" si="103"/>
        <v>3.1472961580718814E-2</v>
      </c>
      <c r="AE34" s="74">
        <f t="shared" si="103"/>
        <v>3.3188016876372413E-2</v>
      </c>
      <c r="AF34" s="74">
        <f t="shared" ref="AF34:AI34" si="104">-AF15/AF7</f>
        <v>3.6640832547231772E-2</v>
      </c>
      <c r="AG34" s="74">
        <f t="shared" si="104"/>
        <v>3.1365339789008885E-2</v>
      </c>
      <c r="AH34" s="74">
        <f t="shared" si="104"/>
        <v>3.2764689512819384E-2</v>
      </c>
      <c r="AI34" s="74">
        <f t="shared" si="104"/>
        <v>2.9897843087383174E-2</v>
      </c>
      <c r="AJ34" s="74">
        <f t="shared" ref="AJ34:AM34" si="105">-AJ15/AJ7</f>
        <v>3.3204642166938858E-2</v>
      </c>
      <c r="AK34" s="74">
        <f t="shared" si="105"/>
        <v>3.0473662869392893E-2</v>
      </c>
      <c r="AL34" s="74">
        <f t="shared" si="105"/>
        <v>2.9169599287808601E-2</v>
      </c>
      <c r="AM34" s="74">
        <f t="shared" si="105"/>
        <v>3.0975625206877848E-2</v>
      </c>
      <c r="AN34" s="74">
        <f t="shared" ref="AN34:AO34" si="106">-AN15/AN7</f>
        <v>3.9998474375954954E-2</v>
      </c>
      <c r="AO34" s="74">
        <f t="shared" si="106"/>
        <v>3.2276233635760078E-2</v>
      </c>
    </row>
    <row r="35" spans="2:41" s="44" customFormat="1" ht="13.5" customHeight="1">
      <c r="B35" s="173" t="str">
        <f t="shared" si="76"/>
        <v>Net provision for impairment losses on financial assets</v>
      </c>
      <c r="C35" s="74">
        <f>-C16/C$7</f>
        <v>4.3793794369282124E-3</v>
      </c>
      <c r="D35" s="74">
        <f t="shared" ref="D35:E35" si="107">-D16/D$7</f>
        <v>6.6204729362733857E-3</v>
      </c>
      <c r="E35" s="74">
        <f t="shared" si="107"/>
        <v>4.074149539032834E-3</v>
      </c>
      <c r="F35" s="74">
        <f t="shared" ref="F35:G35" si="108">-F16/F$7</f>
        <v>1.4512136815776485E-3</v>
      </c>
      <c r="G35" s="74">
        <f t="shared" si="108"/>
        <v>2.1305272023250869E-3</v>
      </c>
      <c r="H35" s="74">
        <f t="shared" ref="H35:I35" si="109">-H16/H$7</f>
        <v>4.1027125647248473E-3</v>
      </c>
      <c r="I35" s="74">
        <f t="shared" si="109"/>
        <v>2.6585527122276295E-3</v>
      </c>
      <c r="J35" s="74">
        <f t="shared" ref="J35:K35" si="110">-J16/J$7</f>
        <v>2.3900881366087532E-3</v>
      </c>
      <c r="K35" s="74">
        <f t="shared" si="110"/>
        <v>3.3313865810455962E-3</v>
      </c>
      <c r="L35" s="148"/>
      <c r="M35" s="74">
        <f t="shared" ref="M35:S35" si="111">-M16/M$7</f>
        <v>3.2847399057616571E-3</v>
      </c>
      <c r="N35" s="74">
        <f t="shared" si="111"/>
        <v>6.1097724072228443E-3</v>
      </c>
      <c r="O35" s="74">
        <f t="shared" si="111"/>
        <v>4.0733073105772974E-3</v>
      </c>
      <c r="P35" s="74">
        <f t="shared" si="111"/>
        <v>1.1790646244992537E-2</v>
      </c>
      <c r="Q35" s="74">
        <f t="shared" si="111"/>
        <v>1.4178321723191759E-2</v>
      </c>
      <c r="R35" s="74">
        <f t="shared" si="111"/>
        <v>1.8475973286289366E-3</v>
      </c>
      <c r="S35" s="74">
        <f t="shared" si="111"/>
        <v>3.6802339531093816E-3</v>
      </c>
      <c r="T35" s="74">
        <f t="shared" ref="T35:W35" si="112">-T16/T$7</f>
        <v>1.4290761332813456E-3</v>
      </c>
      <c r="U35" s="74">
        <f t="shared" si="112"/>
        <v>-9.1243680952982228E-4</v>
      </c>
      <c r="V35" s="74">
        <f t="shared" si="112"/>
        <v>2.3847539188987595E-3</v>
      </c>
      <c r="W35" s="74">
        <f t="shared" si="112"/>
        <v>2.803312842250473E-3</v>
      </c>
      <c r="X35" s="74">
        <f t="shared" ref="X35:AA35" si="113">-X16/X$7</f>
        <v>1.0598885171501564E-3</v>
      </c>
      <c r="Y35" s="74">
        <f t="shared" si="113"/>
        <v>3.3135969038630259E-3</v>
      </c>
      <c r="Z35" s="74">
        <f t="shared" si="113"/>
        <v>9.9015745755316091E-4</v>
      </c>
      <c r="AA35" s="74">
        <f t="shared" si="113"/>
        <v>4.5359314246569554E-3</v>
      </c>
      <c r="AB35" s="74">
        <f t="shared" ref="AB35:AE35" si="114">-AB16/AB$7</f>
        <v>-3.1878161029916062E-4</v>
      </c>
      <c r="AC35" s="74">
        <f t="shared" si="114"/>
        <v>4.3561585187433536E-3</v>
      </c>
      <c r="AD35" s="74">
        <f t="shared" si="114"/>
        <v>2.8730240602817137E-3</v>
      </c>
      <c r="AE35" s="74">
        <f t="shared" si="114"/>
        <v>3.6143347605258835E-3</v>
      </c>
      <c r="AF35" s="74">
        <f t="shared" ref="AF35:AI35" si="115">-AF16/AF$7</f>
        <v>5.5419191211739669E-3</v>
      </c>
      <c r="AG35" s="74">
        <f t="shared" si="115"/>
        <v>2.3935023424623576E-3</v>
      </c>
      <c r="AH35" s="74">
        <f t="shared" si="115"/>
        <v>3.3608192145617739E-3</v>
      </c>
      <c r="AI35" s="74">
        <f t="shared" si="115"/>
        <v>2.9419308326198144E-3</v>
      </c>
      <c r="AJ35" s="74">
        <f t="shared" ref="AJ35:AM35" si="116">-AJ16/AJ$7</f>
        <v>1.9255871486908137E-3</v>
      </c>
      <c r="AK35" s="74">
        <f t="shared" si="116"/>
        <v>1.4091106846269485E-3</v>
      </c>
      <c r="AL35" s="74">
        <f t="shared" si="116"/>
        <v>2.0926502126295508E-4</v>
      </c>
      <c r="AM35" s="74">
        <f t="shared" si="116"/>
        <v>3.0661093910191732E-3</v>
      </c>
      <c r="AN35" s="74">
        <f t="shared" ref="AN35:AO35" si="117">-AN16/AN$7</f>
        <v>4.802507244633619E-3</v>
      </c>
      <c r="AO35" s="74">
        <f t="shared" si="117"/>
        <v>5.2835762327811805E-3</v>
      </c>
    </row>
    <row r="36" spans="2:41" s="44" customFormat="1" ht="13.5" customHeight="1">
      <c r="B36" s="173" t="str">
        <f t="shared" si="76"/>
        <v>Fair value changes on other financial investments</v>
      </c>
      <c r="C36" s="74">
        <f>-C17/C$7</f>
        <v>-2.8153589361800443E-2</v>
      </c>
      <c r="D36" s="74">
        <f t="shared" ref="D36:E36" si="118">-D17/D$7</f>
        <v>-7.9667969160737175E-4</v>
      </c>
      <c r="E36" s="74">
        <f t="shared" si="118"/>
        <v>-4.3172003608883389E-2</v>
      </c>
      <c r="F36" s="74">
        <f t="shared" ref="F36:G36" si="119">-F17/F$7</f>
        <v>-4.5539894023378154E-3</v>
      </c>
      <c r="G36" s="74">
        <f t="shared" si="119"/>
        <v>4.6057477188464974E-3</v>
      </c>
      <c r="H36" s="74">
        <f t="shared" ref="H36:I36" si="120">-H17/H$7</f>
        <v>-8.4636412196335831E-4</v>
      </c>
      <c r="I36" s="74">
        <f t="shared" si="120"/>
        <v>-4.1743043967424113E-4</v>
      </c>
      <c r="J36" s="74">
        <f t="shared" ref="J36:K36" si="121">-J17/J$7</f>
        <v>-6.559851629283726E-3</v>
      </c>
      <c r="K36" s="74">
        <f t="shared" si="121"/>
        <v>-5.3586176500143405E-3</v>
      </c>
      <c r="L36" s="148"/>
      <c r="M36" s="74">
        <f t="shared" ref="M36:S36" si="122">-M17/M$7</f>
        <v>-8.6208515164045065E-3</v>
      </c>
      <c r="N36" s="74">
        <f t="shared" si="122"/>
        <v>1.4255783242641757E-2</v>
      </c>
      <c r="O36" s="74">
        <f t="shared" si="122"/>
        <v>-5.9510150515233911E-3</v>
      </c>
      <c r="P36" s="74">
        <f t="shared" si="122"/>
        <v>-2.5727093225563378E-3</v>
      </c>
      <c r="Q36" s="74">
        <f t="shared" si="122"/>
        <v>3.0336900326473498E-2</v>
      </c>
      <c r="R36" s="74">
        <f t="shared" si="122"/>
        <v>-1.4023593796852557E-2</v>
      </c>
      <c r="S36" s="74">
        <f t="shared" si="122"/>
        <v>-0.16325295790135508</v>
      </c>
      <c r="T36" s="74">
        <f t="shared" ref="T36:W36" si="123">-T17/T$7</f>
        <v>1.7455869458074029E-2</v>
      </c>
      <c r="U36" s="74">
        <f t="shared" si="123"/>
        <v>-1.1355549623027845E-3</v>
      </c>
      <c r="V36" s="74">
        <f t="shared" si="123"/>
        <v>-3.7648741184488788E-3</v>
      </c>
      <c r="W36" s="74">
        <f t="shared" si="123"/>
        <v>2.4163735882727954E-3</v>
      </c>
      <c r="X36" s="74">
        <f t="shared" ref="X36:AA36" si="124">-X17/X$7</f>
        <v>-1.4679099563430284E-2</v>
      </c>
      <c r="Y36" s="74">
        <f t="shared" si="124"/>
        <v>1.7352833836848082E-2</v>
      </c>
      <c r="Z36" s="74">
        <f t="shared" si="124"/>
        <v>5.7360107940649767E-3</v>
      </c>
      <c r="AA36" s="74">
        <f t="shared" si="124"/>
        <v>1.6915342417748304E-3</v>
      </c>
      <c r="AB36" s="74">
        <f t="shared" ref="AB36:AE36" si="125">-AB17/AB$7</f>
        <v>-3.1256496975607694E-3</v>
      </c>
      <c r="AC36" s="74">
        <f t="shared" si="125"/>
        <v>-2.7982953614922182E-3</v>
      </c>
      <c r="AD36" s="74">
        <f t="shared" si="125"/>
        <v>-1.5266912975197215E-3</v>
      </c>
      <c r="AE36" s="74">
        <f t="shared" si="125"/>
        <v>-3.6733537555010555E-4</v>
      </c>
      <c r="AF36" s="74">
        <f t="shared" ref="AF36:AI36" si="126">-AF17/AF$7</f>
        <v>8.3657241901932894E-4</v>
      </c>
      <c r="AG36" s="74">
        <f t="shared" si="126"/>
        <v>7.0571103584366164E-3</v>
      </c>
      <c r="AH36" s="74">
        <f t="shared" si="126"/>
        <v>1.459397303697312E-3</v>
      </c>
      <c r="AI36" s="74">
        <f t="shared" si="126"/>
        <v>-8.177611927522737E-3</v>
      </c>
      <c r="AJ36" s="74">
        <f t="shared" ref="AJ36:AM36" si="127">-AJ17/AJ$7</f>
        <v>-1.4504907009476234E-4</v>
      </c>
      <c r="AK36" s="74">
        <f t="shared" si="127"/>
        <v>-9.3359933911903847E-3</v>
      </c>
      <c r="AL36" s="74">
        <f t="shared" si="127"/>
        <v>-5.2431890599874912E-3</v>
      </c>
      <c r="AM36" s="74">
        <f t="shared" si="127"/>
        <v>4.0835239879543957E-3</v>
      </c>
      <c r="AN36" s="74">
        <f t="shared" ref="AN36:AO36" si="128">-AN17/AN$7</f>
        <v>-1.6392508419403561E-2</v>
      </c>
      <c r="AO36" s="74">
        <f t="shared" si="128"/>
        <v>-4.3106954734275912E-3</v>
      </c>
    </row>
    <row r="37" spans="2:41" s="44" customFormat="1" ht="13.5" customHeight="1">
      <c r="B37" s="173" t="str">
        <f t="shared" si="76"/>
        <v>Other operating income/(loss), net</v>
      </c>
      <c r="C37" s="74">
        <f t="shared" ref="C37:G37" si="129">-C18/C7</f>
        <v>-1.1473052731098176E-2</v>
      </c>
      <c r="D37" s="74">
        <f t="shared" si="129"/>
        <v>-2.5952846557280761E-2</v>
      </c>
      <c r="E37" s="74">
        <f t="shared" si="129"/>
        <v>-2.7534722697104594E-2</v>
      </c>
      <c r="F37" s="74">
        <f t="shared" si="129"/>
        <v>1.0368786739685366E-3</v>
      </c>
      <c r="G37" s="74">
        <f t="shared" si="129"/>
        <v>-1.8935864084312394E-2</v>
      </c>
      <c r="H37" s="74">
        <f t="shared" ref="H37:I37" si="130">-H18/H7</f>
        <v>-2.2820553396612243E-2</v>
      </c>
      <c r="I37" s="74">
        <f t="shared" si="130"/>
        <v>-1.0589674785013001E-2</v>
      </c>
      <c r="J37" s="74">
        <f t="shared" ref="J37:K37" si="131">-J18/J7</f>
        <v>-8.9833558037367561E-3</v>
      </c>
      <c r="K37" s="74">
        <f t="shared" si="131"/>
        <v>-6.6493429002998476E-3</v>
      </c>
      <c r="L37" s="148"/>
      <c r="M37" s="74">
        <f t="shared" ref="M37:S37" si="132">-M18/M7</f>
        <v>-1.4558157107576327E-2</v>
      </c>
      <c r="N37" s="74">
        <f t="shared" si="132"/>
        <v>-3.7617841093942221E-2</v>
      </c>
      <c r="O37" s="74">
        <f t="shared" si="132"/>
        <v>-2.2231441327734507E-2</v>
      </c>
      <c r="P37" s="74">
        <f t="shared" si="132"/>
        <v>-2.7940156656735764E-2</v>
      </c>
      <c r="Q37" s="74">
        <f t="shared" si="132"/>
        <v>-2.3841929935423344E-2</v>
      </c>
      <c r="R37" s="74">
        <f t="shared" si="132"/>
        <v>-4.0686094645798372E-2</v>
      </c>
      <c r="S37" s="74">
        <f t="shared" si="132"/>
        <v>-1.3344375494650167E-2</v>
      </c>
      <c r="T37" s="74">
        <f t="shared" ref="T37:W37" si="133">-T18/T7</f>
        <v>-3.3840492243371288E-2</v>
      </c>
      <c r="U37" s="74">
        <f t="shared" si="133"/>
        <v>-1.0214915811866686E-2</v>
      </c>
      <c r="V37" s="74">
        <f t="shared" si="133"/>
        <v>-2.2326168795649793E-2</v>
      </c>
      <c r="W37" s="74">
        <f t="shared" si="133"/>
        <v>4.3720633708769947E-2</v>
      </c>
      <c r="X37" s="74">
        <f t="shared" ref="X37:AA37" si="134">-X18/X7</f>
        <v>-1.1994859049002413E-2</v>
      </c>
      <c r="Y37" s="74">
        <f t="shared" si="134"/>
        <v>-2.0072531021691226E-2</v>
      </c>
      <c r="Z37" s="74">
        <f t="shared" si="134"/>
        <v>-1.9012684015778051E-2</v>
      </c>
      <c r="AA37" s="74">
        <f t="shared" si="134"/>
        <v>-2.6818998969192875E-2</v>
      </c>
      <c r="AB37" s="74">
        <f t="shared" ref="AB37:AE37" si="135">-AB18/AB7</f>
        <v>-9.786552195773816E-3</v>
      </c>
      <c r="AC37" s="74">
        <f t="shared" si="135"/>
        <v>-2.2775188940253169E-2</v>
      </c>
      <c r="AD37" s="74">
        <f t="shared" si="135"/>
        <v>-2.2157350565199921E-2</v>
      </c>
      <c r="AE37" s="74">
        <f t="shared" si="135"/>
        <v>-1.8162013536130079E-2</v>
      </c>
      <c r="AF37" s="74">
        <f t="shared" ref="AF37:AI37" si="136">-AF18/AF7</f>
        <v>-2.8301961935466437E-2</v>
      </c>
      <c r="AG37" s="74">
        <f t="shared" si="136"/>
        <v>-1.899577219703006E-2</v>
      </c>
      <c r="AH37" s="74">
        <f t="shared" si="136"/>
        <v>-7.6664284894409343E-3</v>
      </c>
      <c r="AI37" s="74">
        <f t="shared" si="136"/>
        <v>-2.6563894184658141E-2</v>
      </c>
      <c r="AJ37" s="74">
        <f t="shared" ref="AJ37:AM37" si="137">-AJ18/AJ7</f>
        <v>1.054724284941422E-2</v>
      </c>
      <c r="AK37" s="74">
        <f t="shared" si="137"/>
        <v>-1.6450544215844472E-2</v>
      </c>
      <c r="AL37" s="74">
        <f t="shared" si="137"/>
        <v>-8.7976347684593989E-3</v>
      </c>
      <c r="AM37" s="74">
        <f t="shared" si="137"/>
        <v>1.0078008348536535E-3</v>
      </c>
      <c r="AN37" s="74">
        <f t="shared" ref="AN37:AO37" si="138">-AN18/AN7</f>
        <v>-1.2568286240185177E-2</v>
      </c>
      <c r="AO37" s="74">
        <f t="shared" si="138"/>
        <v>-6.5762763010355158E-3</v>
      </c>
    </row>
    <row r="38" spans="2:41" s="44" customFormat="1" ht="13.5" customHeight="1">
      <c r="B38" s="173" t="s">
        <v>218</v>
      </c>
      <c r="C38" s="74">
        <f t="shared" ref="C38:K38" si="139">-C20/C111</f>
        <v>1.9705240751769999E-2</v>
      </c>
      <c r="D38" s="74">
        <f t="shared" si="139"/>
        <v>4.7531599698750746E-2</v>
      </c>
      <c r="E38" s="74">
        <f t="shared" si="139"/>
        <v>1.7306200566917264E-2</v>
      </c>
      <c r="F38" s="74">
        <f t="shared" si="139"/>
        <v>2.0854968225694336E-2</v>
      </c>
      <c r="G38" s="74">
        <f t="shared" si="139"/>
        <v>3.0896658560970763E-2</v>
      </c>
      <c r="H38" s="74">
        <f t="shared" si="139"/>
        <v>2.612912025041883E-2</v>
      </c>
      <c r="I38" s="74">
        <f t="shared" si="139"/>
        <v>2.3981572201179403E-2</v>
      </c>
      <c r="J38" s="74">
        <f t="shared" si="139"/>
        <v>2.350185809344504E-2</v>
      </c>
      <c r="K38" s="74">
        <f t="shared" si="139"/>
        <v>2.0721389023762162E-2</v>
      </c>
      <c r="L38" s="148"/>
      <c r="M38" s="74"/>
      <c r="N38" s="74"/>
      <c r="O38" s="74"/>
      <c r="P38" s="74">
        <f t="shared" ref="P38:AO38" si="140">-SUM(M20:P20)/P111</f>
        <v>4.7531599698750746E-2</v>
      </c>
      <c r="Q38" s="74">
        <f t="shared" si="140"/>
        <v>4.7773921375105728E-2</v>
      </c>
      <c r="R38" s="74">
        <f t="shared" si="140"/>
        <v>6.1040817837021089E-2</v>
      </c>
      <c r="S38" s="74">
        <f t="shared" si="140"/>
        <v>3.3743084839363807E-2</v>
      </c>
      <c r="T38" s="74">
        <f t="shared" si="140"/>
        <v>1.9553290152332418E-2</v>
      </c>
      <c r="U38" s="74">
        <f t="shared" si="140"/>
        <v>5.9260965784781516E-2</v>
      </c>
      <c r="V38" s="74">
        <f t="shared" si="140"/>
        <v>1.4846493509234513E-2</v>
      </c>
      <c r="W38" s="74">
        <f t="shared" si="140"/>
        <v>1.8069140492994192E-2</v>
      </c>
      <c r="X38" s="74">
        <f t="shared" si="140"/>
        <v>2.3917044458026872E-2</v>
      </c>
      <c r="Y38" s="74">
        <f t="shared" si="140"/>
        <v>2.5456867614992409E-2</v>
      </c>
      <c r="Z38" s="74">
        <f t="shared" si="140"/>
        <v>2.6647222013567971E-2</v>
      </c>
      <c r="AA38" s="74">
        <f t="shared" si="140"/>
        <v>2.8256946099879544E-2</v>
      </c>
      <c r="AB38" s="74">
        <f t="shared" si="140"/>
        <v>3.0896658560970763E-2</v>
      </c>
      <c r="AC38" s="74">
        <f t="shared" si="140"/>
        <v>3.1450606880597837E-2</v>
      </c>
      <c r="AD38" s="74">
        <f t="shared" si="140"/>
        <v>2.9420531307982591E-2</v>
      </c>
      <c r="AE38" s="74">
        <f t="shared" si="140"/>
        <v>2.560816953098137E-2</v>
      </c>
      <c r="AF38" s="74">
        <f t="shared" si="140"/>
        <v>2.612912025041883E-2</v>
      </c>
      <c r="AG38" s="74">
        <f t="shared" si="140"/>
        <v>2.9427059445007842E-2</v>
      </c>
      <c r="AH38" s="74">
        <f t="shared" si="140"/>
        <v>4.9610230234265508E-2</v>
      </c>
      <c r="AI38" s="74">
        <f t="shared" si="140"/>
        <v>3.4640631608422699E-2</v>
      </c>
      <c r="AJ38" s="74">
        <f t="shared" si="140"/>
        <v>2.3981572201179403E-2</v>
      </c>
      <c r="AK38" s="74">
        <f t="shared" si="140"/>
        <v>2.658031261356264E-2</v>
      </c>
      <c r="AL38" s="74">
        <f t="shared" si="140"/>
        <v>3.6487524993270452E-2</v>
      </c>
      <c r="AM38" s="74">
        <f t="shared" si="140"/>
        <v>3.9794102201270574E-2</v>
      </c>
      <c r="AN38" s="74">
        <f t="shared" si="140"/>
        <v>2.350185809344504E-2</v>
      </c>
      <c r="AO38" s="74">
        <f t="shared" si="140"/>
        <v>2.0721389023762162E-2</v>
      </c>
    </row>
    <row r="39" spans="2:41" s="44" customFormat="1" ht="13.5" customHeight="1">
      <c r="B39" s="173" t="s">
        <v>219</v>
      </c>
      <c r="C39" s="74">
        <f t="shared" ref="C39:K39" si="141">C21/C122</f>
        <v>1.7252541292109718E-2</v>
      </c>
      <c r="D39" s="74">
        <f t="shared" si="141"/>
        <v>1.2407786246606777E-2</v>
      </c>
      <c r="E39" s="74">
        <f t="shared" si="141"/>
        <v>1.2500849004002033E-2</v>
      </c>
      <c r="F39" s="74">
        <f t="shared" si="141"/>
        <v>1.6794199615002146E-2</v>
      </c>
      <c r="G39" s="74">
        <f t="shared" si="141"/>
        <v>3.2636582112870308E-2</v>
      </c>
      <c r="H39" s="74">
        <f t="shared" si="141"/>
        <v>2.456484831891681E-2</v>
      </c>
      <c r="I39" s="74">
        <f t="shared" si="141"/>
        <v>1.8237078676954125E-2</v>
      </c>
      <c r="J39" s="74">
        <f t="shared" si="141"/>
        <v>1.8839648450315792E-2</v>
      </c>
      <c r="K39" s="74">
        <f t="shared" si="141"/>
        <v>1.7107697128572914E-2</v>
      </c>
      <c r="L39" s="148"/>
      <c r="M39" s="74"/>
      <c r="N39" s="74"/>
      <c r="O39" s="74"/>
      <c r="P39" s="74">
        <f t="shared" ref="P39:AO39" si="142">SUM(M21:P21)/P122</f>
        <v>1.2407786246606777E-2</v>
      </c>
      <c r="Q39" s="74">
        <f t="shared" si="142"/>
        <v>1.2111124848880607E-2</v>
      </c>
      <c r="R39" s="74">
        <f t="shared" si="142"/>
        <v>1.3637261307023096E-2</v>
      </c>
      <c r="S39" s="74">
        <f t="shared" si="142"/>
        <v>1.0029609030675636E-2</v>
      </c>
      <c r="T39" s="74">
        <f t="shared" si="142"/>
        <v>1.2500849004002033E-2</v>
      </c>
      <c r="U39" s="74">
        <f t="shared" si="142"/>
        <v>1.3129336630977907E-2</v>
      </c>
      <c r="V39" s="74">
        <f t="shared" si="142"/>
        <v>4.2776875718198003E-3</v>
      </c>
      <c r="W39" s="74">
        <f t="shared" si="142"/>
        <v>9.0029468112380138E-3</v>
      </c>
      <c r="X39" s="74">
        <f t="shared" si="142"/>
        <v>1.6794199615002146E-2</v>
      </c>
      <c r="Y39" s="74">
        <f t="shared" si="142"/>
        <v>1.6340209960630653E-2</v>
      </c>
      <c r="Z39" s="74">
        <f t="shared" si="142"/>
        <v>2.5720908707935457E-2</v>
      </c>
      <c r="AA39" s="74">
        <f t="shared" si="142"/>
        <v>2.8709492014014137E-2</v>
      </c>
      <c r="AB39" s="74">
        <f t="shared" si="142"/>
        <v>3.2636582112870308E-2</v>
      </c>
      <c r="AC39" s="74">
        <f t="shared" si="142"/>
        <v>2.7248578805367102E-2</v>
      </c>
      <c r="AD39" s="74">
        <f t="shared" si="142"/>
        <v>2.8098505064504221E-2</v>
      </c>
      <c r="AE39" s="74">
        <f t="shared" si="142"/>
        <v>2.9831291984450684E-2</v>
      </c>
      <c r="AF39" s="74">
        <f t="shared" si="142"/>
        <v>2.456484831891681E-2</v>
      </c>
      <c r="AG39" s="74">
        <f t="shared" si="142"/>
        <v>1.8004216701517042E-2</v>
      </c>
      <c r="AH39" s="74">
        <f t="shared" si="142"/>
        <v>1.9041090251112128E-2</v>
      </c>
      <c r="AI39" s="74">
        <f t="shared" si="142"/>
        <v>2.7161354372235377E-2</v>
      </c>
      <c r="AJ39" s="74">
        <f t="shared" si="142"/>
        <v>1.8237078676954125E-2</v>
      </c>
      <c r="AK39" s="74">
        <f t="shared" si="142"/>
        <v>1.307137318756974E-2</v>
      </c>
      <c r="AL39" s="74">
        <f t="shared" si="142"/>
        <v>1.6400581752245579E-2</v>
      </c>
      <c r="AM39" s="74">
        <f t="shared" si="142"/>
        <v>1.881918923306574E-2</v>
      </c>
      <c r="AN39" s="74">
        <f t="shared" si="142"/>
        <v>1.8839648450315792E-2</v>
      </c>
      <c r="AO39" s="74">
        <f t="shared" si="142"/>
        <v>1.7107697128572914E-2</v>
      </c>
    </row>
    <row r="40" spans="2:41" s="44" customFormat="1" ht="13.5" customHeight="1">
      <c r="B40" s="173" t="str">
        <f>B23</f>
        <v>Share of net profit /(loss) of associates</v>
      </c>
      <c r="C40" s="74">
        <f t="shared" ref="C40:G40" si="143">-C23/C7</f>
        <v>7.3998182171575524E-4</v>
      </c>
      <c r="D40" s="74">
        <f t="shared" si="143"/>
        <v>-1.1007343071741745E-3</v>
      </c>
      <c r="E40" s="74">
        <f t="shared" si="143"/>
        <v>-2.3006762257184602E-3</v>
      </c>
      <c r="F40" s="74">
        <f t="shared" si="143"/>
        <v>-8.1293824772684753E-4</v>
      </c>
      <c r="G40" s="74">
        <f t="shared" si="143"/>
        <v>-1.6297882964651469E-4</v>
      </c>
      <c r="H40" s="74">
        <f t="shared" ref="H40:I40" si="144">-H23/H7</f>
        <v>-4.3818396052850879E-3</v>
      </c>
      <c r="I40" s="74">
        <f t="shared" si="144"/>
        <v>-3.5122440377481456E-3</v>
      </c>
      <c r="J40" s="74">
        <f t="shared" ref="J40:K40" si="145">-J23/J7</f>
        <v>-2.1622851522397354E-4</v>
      </c>
      <c r="K40" s="74">
        <f t="shared" si="145"/>
        <v>1.1944195885418439E-3</v>
      </c>
      <c r="L40" s="148"/>
      <c r="M40" s="74">
        <f t="shared" ref="M40:S40" si="146">-M23/M7</f>
        <v>-3.9272930280065545E-4</v>
      </c>
      <c r="N40" s="74">
        <f t="shared" si="146"/>
        <v>-7.8614686595953676E-4</v>
      </c>
      <c r="O40" s="74">
        <f t="shared" si="146"/>
        <v>-8.8489591534096862E-4</v>
      </c>
      <c r="P40" s="74">
        <f t="shared" si="146"/>
        <v>-2.047215074031758E-3</v>
      </c>
      <c r="Q40" s="74">
        <f t="shared" si="146"/>
        <v>-6.6420407395609152E-4</v>
      </c>
      <c r="R40" s="74">
        <f t="shared" si="146"/>
        <v>-1.7345393871822713E-3</v>
      </c>
      <c r="S40" s="74">
        <f t="shared" si="146"/>
        <v>-2.6184927427204473E-3</v>
      </c>
      <c r="T40" s="74">
        <f t="shared" ref="T40:W40" si="147">-T23/T7</f>
        <v>-3.0961426152945094E-3</v>
      </c>
      <c r="U40" s="74">
        <f t="shared" si="147"/>
        <v>5.4381503999512426E-5</v>
      </c>
      <c r="V40" s="74">
        <f t="shared" si="147"/>
        <v>-8.7412411625505668E-4</v>
      </c>
      <c r="W40" s="74">
        <f t="shared" si="147"/>
        <v>-5.5957510817772173E-3</v>
      </c>
      <c r="X40" s="74">
        <f t="shared" ref="X40:AA40" si="148">-X23/X7</f>
        <v>3.3086557750698045E-3</v>
      </c>
      <c r="Y40" s="74">
        <f t="shared" si="148"/>
        <v>-1.003074342568205E-3</v>
      </c>
      <c r="Z40" s="74">
        <f t="shared" si="148"/>
        <v>7.853648535976707E-3</v>
      </c>
      <c r="AA40" s="74">
        <f t="shared" si="148"/>
        <v>-7.7510473995611425E-3</v>
      </c>
      <c r="AB40" s="74">
        <f t="shared" ref="AB40:AE40" si="149">-AB23/AB7</f>
        <v>1.5944568720894939E-3</v>
      </c>
      <c r="AC40" s="74">
        <f t="shared" si="149"/>
        <v>8.48876594336924E-4</v>
      </c>
      <c r="AD40" s="74">
        <f t="shared" si="149"/>
        <v>-1.8010251921646769E-3</v>
      </c>
      <c r="AE40" s="74">
        <f t="shared" si="149"/>
        <v>-5.6824712421021549E-3</v>
      </c>
      <c r="AF40" s="74">
        <f t="shared" ref="AF40:AI40" si="150">-AF23/AF7</f>
        <v>-9.5729004161978961E-3</v>
      </c>
      <c r="AG40" s="74">
        <f t="shared" si="150"/>
        <v>-4.2878636578441006E-3</v>
      </c>
      <c r="AH40" s="74">
        <f t="shared" si="150"/>
        <v>-4.1483225806271205E-3</v>
      </c>
      <c r="AI40" s="74">
        <f t="shared" si="150"/>
        <v>-2.2849660824328594E-3</v>
      </c>
      <c r="AJ40" s="74">
        <f t="shared" ref="AJ40:AM40" si="151">-AJ23/AJ7</f>
        <v>-3.5765812077702087E-3</v>
      </c>
      <c r="AK40" s="74">
        <f t="shared" si="151"/>
        <v>-2.1405666614601545E-4</v>
      </c>
      <c r="AL40" s="74">
        <f t="shared" si="151"/>
        <v>-9.7149971341613196E-4</v>
      </c>
      <c r="AM40" s="74">
        <f t="shared" si="151"/>
        <v>-9.9918196100492643E-5</v>
      </c>
      <c r="AN40" s="74">
        <f t="shared" ref="AN40:AO40" si="152">-AN23/AN7</f>
        <v>4.196780184250533E-4</v>
      </c>
      <c r="AO40" s="74">
        <f t="shared" si="152"/>
        <v>5.514136999844879E-3</v>
      </c>
    </row>
    <row r="41" spans="2:41" s="44" customFormat="1" ht="13.5" customHeight="1">
      <c r="B41" s="174" t="s">
        <v>220</v>
      </c>
      <c r="C41" s="74">
        <f t="shared" ref="C41:G41" si="153">-C25/C24</f>
        <v>-1.6347621503761766E-5</v>
      </c>
      <c r="D41" s="74">
        <f t="shared" si="153"/>
        <v>0.1904956870649592</v>
      </c>
      <c r="E41" s="74">
        <f t="shared" si="153"/>
        <v>-6.078066642255596E-2</v>
      </c>
      <c r="F41" s="74">
        <f t="shared" si="153"/>
        <v>1.284833537061989E-3</v>
      </c>
      <c r="G41" s="74">
        <f t="shared" si="153"/>
        <v>1.0390618512247094E-2</v>
      </c>
      <c r="H41" s="74">
        <f t="shared" ref="H41:I41" si="154">-H25/H24</f>
        <v>1.173431385889525E-2</v>
      </c>
      <c r="I41" s="74">
        <f t="shared" si="154"/>
        <v>5.7314266478338281E-2</v>
      </c>
      <c r="J41" s="74">
        <f t="shared" ref="J41:K41" si="155">-J25/J24</f>
        <v>5.9720877034704634E-2</v>
      </c>
      <c r="K41" s="74">
        <f t="shared" si="155"/>
        <v>5.7985105808764599E-2</v>
      </c>
      <c r="L41" s="148"/>
      <c r="M41" s="74">
        <f t="shared" ref="M41:S41" si="156">-M25/M24</f>
        <v>-0.11109905264373716</v>
      </c>
      <c r="N41" s="74">
        <f t="shared" si="156"/>
        <v>0.20513099762944598</v>
      </c>
      <c r="O41" s="74">
        <f t="shared" si="156"/>
        <v>8.7110447160343871E-2</v>
      </c>
      <c r="P41" s="74">
        <f t="shared" si="156"/>
        <v>1.9896907908425014E-2</v>
      </c>
      <c r="Q41" s="74">
        <f t="shared" si="156"/>
        <v>6.8006439596911342E-2</v>
      </c>
      <c r="R41" s="74">
        <f t="shared" si="156"/>
        <v>-5.9322384892772353E-3</v>
      </c>
      <c r="S41" s="74">
        <f t="shared" si="156"/>
        <v>6.3632120212966284E-2</v>
      </c>
      <c r="T41" s="74">
        <f t="shared" ref="T41:W41" si="157">-T25/T24</f>
        <v>0.1994224952354812</v>
      </c>
      <c r="U41" s="74">
        <f t="shared" si="157"/>
        <v>2.2554067483499299E-3</v>
      </c>
      <c r="V41" s="74">
        <f t="shared" si="157"/>
        <v>2.4460523597866642E-3</v>
      </c>
      <c r="W41" s="74">
        <f t="shared" si="157"/>
        <v>6.0357308064060329E-4</v>
      </c>
      <c r="X41" s="74">
        <f t="shared" ref="X41:AA41" si="158">-X25/X24</f>
        <v>9.1792385151991953E-4</v>
      </c>
      <c r="Y41" s="74">
        <f t="shared" si="158"/>
        <v>9.5910079372481423E-3</v>
      </c>
      <c r="Z41" s="74">
        <f t="shared" si="158"/>
        <v>4.51614054179414E-3</v>
      </c>
      <c r="AA41" s="74">
        <f t="shared" si="158"/>
        <v>-6.7921449741105743E-3</v>
      </c>
      <c r="AB41" s="74">
        <f t="shared" ref="AB41:AE41" si="159">-AB25/AB24</f>
        <v>1.5655523202241118E-3</v>
      </c>
      <c r="AC41" s="74">
        <f t="shared" si="159"/>
        <v>2.4981422090693465E-3</v>
      </c>
      <c r="AD41" s="74">
        <f t="shared" si="159"/>
        <v>2.1223383776115012E-3</v>
      </c>
      <c r="AE41" s="74">
        <f t="shared" si="159"/>
        <v>1.3749787625547913E-2</v>
      </c>
      <c r="AF41" s="74">
        <f t="shared" ref="AF41:AI41" si="160">-AF25/AF24</f>
        <v>4.1529221641073789E-2</v>
      </c>
      <c r="AG41" s="74">
        <f t="shared" si="160"/>
        <v>2.0524015316298615E-2</v>
      </c>
      <c r="AH41" s="74">
        <f t="shared" si="160"/>
        <v>2.6153418818595925E-2</v>
      </c>
      <c r="AI41" s="74">
        <f t="shared" si="160"/>
        <v>7.780976563166421E-2</v>
      </c>
      <c r="AJ41" s="74">
        <f t="shared" ref="AJ41:AM41" si="161">-AJ25/AJ24</f>
        <v>9.7769673593086109E-2</v>
      </c>
      <c r="AK41" s="74">
        <f t="shared" si="161"/>
        <v>5.1309424636874101E-2</v>
      </c>
      <c r="AL41" s="74">
        <f t="shared" si="161"/>
        <v>7.2066167766584782E-2</v>
      </c>
      <c r="AM41" s="74">
        <f t="shared" si="161"/>
        <v>5.1822596805035828E-2</v>
      </c>
      <c r="AN41" s="74">
        <f t="shared" ref="AN41:AO41" si="162">-AN25/AN24</f>
        <v>6.4102183010223537E-2</v>
      </c>
      <c r="AO41" s="74">
        <f t="shared" si="162"/>
        <v>6.178555237332356E-2</v>
      </c>
    </row>
    <row r="42" spans="2:41" s="44" customFormat="1" ht="13.5" customHeight="1">
      <c r="B42" s="70"/>
      <c r="C42" s="169"/>
      <c r="D42" s="169"/>
      <c r="E42" s="169"/>
      <c r="F42" s="169"/>
      <c r="G42" s="169"/>
      <c r="H42" s="169"/>
      <c r="I42" s="169"/>
      <c r="J42" s="169"/>
      <c r="K42" s="169"/>
      <c r="L42" s="148"/>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row>
    <row r="43" spans="2:41" ht="13.5" customHeight="1">
      <c r="B43" s="46" t="s">
        <v>221</v>
      </c>
      <c r="C43" s="176">
        <f t="shared" ref="C43:G43" si="163">C63/C7</f>
        <v>4.3952470314643664E-4</v>
      </c>
      <c r="D43" s="176">
        <f t="shared" si="163"/>
        <v>1.037786573448953E-2</v>
      </c>
      <c r="E43" s="176">
        <f t="shared" si="163"/>
        <v>4.6499262029168466E-2</v>
      </c>
      <c r="F43" s="176">
        <f t="shared" si="163"/>
        <v>2.2852284782707642E-2</v>
      </c>
      <c r="G43" s="176">
        <f t="shared" si="163"/>
        <v>-3.6984119129704692E-3</v>
      </c>
      <c r="H43" s="176">
        <f t="shared" ref="H43:I43" si="164">H63/H7</f>
        <v>4.8692956475730353E-2</v>
      </c>
      <c r="I43" s="176">
        <f t="shared" si="164"/>
        <v>1.9152044836569026E-2</v>
      </c>
      <c r="J43" s="176">
        <f t="shared" ref="J43:K43" si="165">J63/J7</f>
        <v>-2.8941078924597575E-3</v>
      </c>
      <c r="K43" s="176">
        <f t="shared" si="165"/>
        <v>0</v>
      </c>
      <c r="L43" s="148"/>
      <c r="M43" s="176">
        <f t="shared" ref="M43:S43" si="166">M63/M7</f>
        <v>0</v>
      </c>
      <c r="N43" s="176">
        <f t="shared" si="166"/>
        <v>0</v>
      </c>
      <c r="O43" s="176">
        <f t="shared" si="166"/>
        <v>0</v>
      </c>
      <c r="P43" s="176">
        <f t="shared" si="166"/>
        <v>3.5944630513831934E-2</v>
      </c>
      <c r="Q43" s="176">
        <f t="shared" si="166"/>
        <v>0</v>
      </c>
      <c r="R43" s="176">
        <f t="shared" si="166"/>
        <v>0</v>
      </c>
      <c r="S43" s="176">
        <f t="shared" si="166"/>
        <v>0</v>
      </c>
      <c r="T43" s="176">
        <f t="shared" ref="T43:W43" si="167">T63/T7</f>
        <v>0.14077561645407882</v>
      </c>
      <c r="U43" s="176">
        <f t="shared" si="167"/>
        <v>0</v>
      </c>
      <c r="V43" s="176">
        <f t="shared" si="167"/>
        <v>0</v>
      </c>
      <c r="W43" s="176">
        <f t="shared" si="167"/>
        <v>0</v>
      </c>
      <c r="X43" s="176">
        <f t="shared" ref="X43:AA43" si="168">X63/X7</f>
        <v>8.2658017617746438E-2</v>
      </c>
      <c r="Y43" s="176">
        <f t="shared" si="168"/>
        <v>0</v>
      </c>
      <c r="Z43" s="176">
        <f t="shared" si="168"/>
        <v>0</v>
      </c>
      <c r="AA43" s="176">
        <f t="shared" si="168"/>
        <v>0</v>
      </c>
      <c r="AB43" s="176">
        <f t="shared" ref="AB43:AE43" si="169">AB63/AB7</f>
        <v>-1.3528993086008051E-2</v>
      </c>
      <c r="AC43" s="176">
        <f t="shared" si="169"/>
        <v>0</v>
      </c>
      <c r="AD43" s="176">
        <f t="shared" si="169"/>
        <v>0</v>
      </c>
      <c r="AE43" s="176">
        <f t="shared" si="169"/>
        <v>0</v>
      </c>
      <c r="AF43" s="176">
        <f t="shared" ref="AF43:AI43" si="170">AF63/AF7</f>
        <v>0.18285305796515192</v>
      </c>
      <c r="AG43" s="176">
        <f t="shared" si="170"/>
        <v>0</v>
      </c>
      <c r="AH43" s="176">
        <f t="shared" si="170"/>
        <v>0</v>
      </c>
      <c r="AI43" s="176">
        <f t="shared" si="170"/>
        <v>0</v>
      </c>
      <c r="AJ43" s="176">
        <f t="shared" ref="AJ43:AM43" si="171">AJ63/AJ7</f>
        <v>0</v>
      </c>
      <c r="AK43" s="176">
        <f t="shared" si="171"/>
        <v>0</v>
      </c>
      <c r="AL43" s="176">
        <f t="shared" si="171"/>
        <v>0</v>
      </c>
      <c r="AM43" s="176">
        <f t="shared" si="171"/>
        <v>0</v>
      </c>
      <c r="AN43" s="176">
        <f t="shared" ref="AN43:AO43" si="172">AN63/AN7</f>
        <v>0</v>
      </c>
      <c r="AO43" s="176">
        <f t="shared" si="172"/>
        <v>0</v>
      </c>
    </row>
    <row r="44" spans="2:41" s="44" customFormat="1" ht="13.5" customHeight="1">
      <c r="B44" s="46" t="s">
        <v>222</v>
      </c>
      <c r="C44" s="74">
        <f t="shared" ref="C44:G44" si="173">-C67/C7</f>
        <v>3.3506702517925091E-2</v>
      </c>
      <c r="D44" s="74">
        <f t="shared" si="173"/>
        <v>2.9967046258494348E-2</v>
      </c>
      <c r="E44" s="74">
        <f t="shared" si="173"/>
        <v>0.13521296445274256</v>
      </c>
      <c r="F44" s="74">
        <f t="shared" si="173"/>
        <v>4.9708790078191969E-2</v>
      </c>
      <c r="G44" s="74">
        <f t="shared" si="173"/>
        <v>2.4203597365766012E-2</v>
      </c>
      <c r="H44" s="74">
        <f t="shared" ref="H44:I44" si="174">-H67/H7</f>
        <v>2.3770904961107255E-2</v>
      </c>
      <c r="I44" s="74">
        <f t="shared" si="174"/>
        <v>2.9924573710334523E-2</v>
      </c>
      <c r="J44" s="74">
        <f t="shared" ref="J44:K44" si="175">-J67/J7</f>
        <v>3.5166811287689816E-2</v>
      </c>
      <c r="K44" s="74">
        <f t="shared" si="175"/>
        <v>0</v>
      </c>
      <c r="L44" s="148"/>
      <c r="M44" s="74">
        <f t="shared" ref="M44:S44" si="176">-M67/M7</f>
        <v>0</v>
      </c>
      <c r="N44" s="74">
        <f t="shared" si="176"/>
        <v>6.3851924956449854E-2</v>
      </c>
      <c r="O44" s="74">
        <f t="shared" si="176"/>
        <v>0</v>
      </c>
      <c r="P44" s="74">
        <f t="shared" si="176"/>
        <v>5.2311590495333633E-2</v>
      </c>
      <c r="Q44" s="74">
        <f t="shared" si="176"/>
        <v>0</v>
      </c>
      <c r="R44" s="74">
        <f t="shared" si="176"/>
        <v>0.11499727953064329</v>
      </c>
      <c r="S44" s="74">
        <f t="shared" si="176"/>
        <v>0</v>
      </c>
      <c r="T44" s="74">
        <f t="shared" ref="T44:W44" si="177">-T67/T7</f>
        <v>0.33437754763604693</v>
      </c>
      <c r="U44" s="74">
        <f t="shared" si="177"/>
        <v>0</v>
      </c>
      <c r="V44" s="74">
        <f t="shared" si="177"/>
        <v>0.12517130099541052</v>
      </c>
      <c r="W44" s="74">
        <f t="shared" si="177"/>
        <v>0</v>
      </c>
      <c r="X44" s="74">
        <f t="shared" ref="X44:AA44" si="178">-X67/X7</f>
        <v>6.9196672189540204E-2</v>
      </c>
      <c r="Y44" s="74">
        <f t="shared" si="178"/>
        <v>0</v>
      </c>
      <c r="Z44" s="74">
        <f t="shared" si="178"/>
        <v>6.0898227137766485E-2</v>
      </c>
      <c r="AA44" s="74">
        <f t="shared" si="178"/>
        <v>0</v>
      </c>
      <c r="AB44" s="74">
        <f t="shared" ref="AB44:AE44" si="179">-AB67/AB7</f>
        <v>3.6948015996091321E-2</v>
      </c>
      <c r="AC44" s="74">
        <f t="shared" si="179"/>
        <v>0</v>
      </c>
      <c r="AD44" s="74">
        <f t="shared" si="179"/>
        <v>2.6735967817610527E-2</v>
      </c>
      <c r="AE44" s="74">
        <f t="shared" si="179"/>
        <v>0</v>
      </c>
      <c r="AF44" s="74">
        <f t="shared" ref="AF44:AI44" si="180">-AF67/AF7</f>
        <v>6.4608407048034416E-2</v>
      </c>
      <c r="AG44" s="74">
        <f t="shared" si="180"/>
        <v>0</v>
      </c>
      <c r="AH44" s="74">
        <f t="shared" si="180"/>
        <v>6.666997199319348E-2</v>
      </c>
      <c r="AI44" s="74">
        <f t="shared" si="180"/>
        <v>0</v>
      </c>
      <c r="AJ44" s="74">
        <f t="shared" ref="AJ44:AM44" si="181">-AJ67/AJ7</f>
        <v>0</v>
      </c>
      <c r="AK44" s="74">
        <f t="shared" si="181"/>
        <v>0</v>
      </c>
      <c r="AL44" s="74">
        <f t="shared" si="181"/>
        <v>0</v>
      </c>
      <c r="AM44" s="74">
        <f t="shared" si="181"/>
        <v>0</v>
      </c>
      <c r="AN44" s="74">
        <f t="shared" ref="AN44:AO44" si="182">-AN67/AN7</f>
        <v>0</v>
      </c>
      <c r="AO44" s="74">
        <f t="shared" si="182"/>
        <v>0</v>
      </c>
    </row>
    <row r="45" spans="2:41" s="1" customFormat="1" ht="13.5" customHeight="1"/>
    <row r="46" spans="2:41" ht="13.5" customHeight="1">
      <c r="B46" s="54" t="s">
        <v>223</v>
      </c>
      <c r="C46" s="58">
        <f t="shared" ref="C46:H46" si="183">C3</f>
        <v>43465</v>
      </c>
      <c r="D46" s="58">
        <f t="shared" si="183"/>
        <v>43830</v>
      </c>
      <c r="E46" s="58">
        <f t="shared" si="183"/>
        <v>44196</v>
      </c>
      <c r="F46" s="58">
        <f t="shared" si="183"/>
        <v>44561</v>
      </c>
      <c r="G46" s="58">
        <f t="shared" si="183"/>
        <v>44926</v>
      </c>
      <c r="H46" s="58">
        <f t="shared" si="183"/>
        <v>45291</v>
      </c>
      <c r="I46" s="58">
        <f t="shared" ref="I46:J46" si="184">I3</f>
        <v>45657</v>
      </c>
      <c r="J46" s="58">
        <f t="shared" si="184"/>
        <v>46022</v>
      </c>
      <c r="K46" s="58">
        <f t="shared" ref="K46" si="185">K3</f>
        <v>46112</v>
      </c>
      <c r="L46" s="148"/>
      <c r="M46" s="58">
        <f t="shared" ref="M46:S46" si="186">M3</f>
        <v>43555</v>
      </c>
      <c r="N46" s="58">
        <f t="shared" si="186"/>
        <v>43646</v>
      </c>
      <c r="O46" s="58">
        <f t="shared" si="186"/>
        <v>43738</v>
      </c>
      <c r="P46" s="58">
        <f t="shared" si="186"/>
        <v>43830</v>
      </c>
      <c r="Q46" s="58">
        <f t="shared" si="186"/>
        <v>43921</v>
      </c>
      <c r="R46" s="58">
        <f t="shared" si="186"/>
        <v>44012</v>
      </c>
      <c r="S46" s="58">
        <f t="shared" si="186"/>
        <v>44104</v>
      </c>
      <c r="T46" s="58">
        <f t="shared" ref="T46:W46" si="187">T3</f>
        <v>44196</v>
      </c>
      <c r="U46" s="58">
        <f t="shared" si="187"/>
        <v>44286</v>
      </c>
      <c r="V46" s="58">
        <f t="shared" si="187"/>
        <v>44377</v>
      </c>
      <c r="W46" s="58">
        <f t="shared" si="187"/>
        <v>44469</v>
      </c>
      <c r="X46" s="58">
        <f t="shared" ref="X46:AA46" si="188">X3</f>
        <v>44561</v>
      </c>
      <c r="Y46" s="58">
        <f t="shared" si="188"/>
        <v>44651</v>
      </c>
      <c r="Z46" s="58">
        <f t="shared" si="188"/>
        <v>44742</v>
      </c>
      <c r="AA46" s="58">
        <f t="shared" si="188"/>
        <v>44834</v>
      </c>
      <c r="AB46" s="58">
        <f t="shared" ref="AB46:AE46" si="189">AB3</f>
        <v>44926</v>
      </c>
      <c r="AC46" s="58">
        <f t="shared" si="189"/>
        <v>45016</v>
      </c>
      <c r="AD46" s="58">
        <f t="shared" si="189"/>
        <v>45107</v>
      </c>
      <c r="AE46" s="58">
        <f t="shared" si="189"/>
        <v>45199</v>
      </c>
      <c r="AF46" s="58">
        <f t="shared" ref="AF46:AI46" si="190">AF3</f>
        <v>45291</v>
      </c>
      <c r="AG46" s="58">
        <f t="shared" si="190"/>
        <v>45382</v>
      </c>
      <c r="AH46" s="58">
        <f t="shared" si="190"/>
        <v>45473</v>
      </c>
      <c r="AI46" s="58">
        <f t="shared" si="190"/>
        <v>45565</v>
      </c>
      <c r="AJ46" s="58">
        <f t="shared" ref="AJ46:AM46" si="191">AJ3</f>
        <v>45657</v>
      </c>
      <c r="AK46" s="58">
        <f t="shared" si="191"/>
        <v>45747</v>
      </c>
      <c r="AL46" s="58">
        <f t="shared" si="191"/>
        <v>45838</v>
      </c>
      <c r="AM46" s="58">
        <f t="shared" si="191"/>
        <v>45930</v>
      </c>
      <c r="AN46" s="58">
        <f t="shared" ref="AN46:AO46" si="192">AN3</f>
        <v>46022</v>
      </c>
      <c r="AO46" s="58">
        <f t="shared" si="192"/>
        <v>46112</v>
      </c>
    </row>
    <row r="47" spans="2:41" s="32" customFormat="1" ht="13.5" customHeight="1">
      <c r="B47" s="114" t="s">
        <v>207</v>
      </c>
      <c r="C47" s="57">
        <f t="shared" ref="C47:G47" si="193">C19</f>
        <v>-11085.796999999999</v>
      </c>
      <c r="D47" s="57">
        <f t="shared" si="193"/>
        <v>2679.8600000000079</v>
      </c>
      <c r="E47" s="57">
        <f t="shared" si="193"/>
        <v>4330.1019999999917</v>
      </c>
      <c r="F47" s="57">
        <f t="shared" si="193"/>
        <v>-23127.198999999993</v>
      </c>
      <c r="G47" s="57">
        <f t="shared" si="193"/>
        <v>-5820.448000000004</v>
      </c>
      <c r="H47" s="57">
        <f t="shared" ref="H47:I47" si="194">H19</f>
        <v>13415.387000000017</v>
      </c>
      <c r="I47" s="57">
        <f t="shared" si="194"/>
        <v>36844.95600000002</v>
      </c>
      <c r="J47" s="57">
        <f t="shared" ref="J47:K47" si="195">J19</f>
        <v>-25041.136999999988</v>
      </c>
      <c r="K47" s="57">
        <f t="shared" si="195"/>
        <v>-42077.057999999961</v>
      </c>
      <c r="L47" s="57"/>
      <c r="M47" s="57">
        <f t="shared" ref="M47:S47" si="196">M19</f>
        <v>-1303.6419999999998</v>
      </c>
      <c r="N47" s="57">
        <f t="shared" si="196"/>
        <v>1112.5779999999986</v>
      </c>
      <c r="O47" s="57">
        <f t="shared" si="196"/>
        <v>1447.0640000000003</v>
      </c>
      <c r="P47" s="57">
        <f t="shared" si="196"/>
        <v>1423.8600000000151</v>
      </c>
      <c r="Q47" s="57">
        <f t="shared" si="196"/>
        <v>-1715.5300000000025</v>
      </c>
      <c r="R47" s="57">
        <f t="shared" si="196"/>
        <v>2174.6449999999986</v>
      </c>
      <c r="S47" s="57">
        <f t="shared" si="196"/>
        <v>6723.6829999999982</v>
      </c>
      <c r="T47" s="57">
        <f t="shared" ref="T47:W47" si="197">T19</f>
        <v>-2852.6959999999963</v>
      </c>
      <c r="U47" s="57">
        <f t="shared" si="197"/>
        <v>-4767.0069999999996</v>
      </c>
      <c r="V47" s="57">
        <f t="shared" si="197"/>
        <v>-3251.7049999999963</v>
      </c>
      <c r="W47" s="57">
        <f t="shared" si="197"/>
        <v>-10102.631000000001</v>
      </c>
      <c r="X47" s="57">
        <f t="shared" ref="X47:AA47" si="198">X19</f>
        <v>-5005.8559999999925</v>
      </c>
      <c r="Y47" s="57">
        <f t="shared" si="198"/>
        <v>-5584.2419999999947</v>
      </c>
      <c r="Z47" s="57">
        <f t="shared" si="198"/>
        <v>-492.83800000000156</v>
      </c>
      <c r="AA47" s="57">
        <f t="shared" si="198"/>
        <v>988.22200000000157</v>
      </c>
      <c r="AB47" s="57">
        <f t="shared" ref="AB47:AE47" si="199">AB19</f>
        <v>-731.58999999998923</v>
      </c>
      <c r="AC47" s="57">
        <f t="shared" si="199"/>
        <v>3585.7209999999995</v>
      </c>
      <c r="AD47" s="57">
        <f t="shared" si="199"/>
        <v>4712.9989999999998</v>
      </c>
      <c r="AE47" s="57">
        <f t="shared" si="199"/>
        <v>3358.5330000000104</v>
      </c>
      <c r="AF47" s="57">
        <f t="shared" ref="AF47:AI47" si="200">AF19</f>
        <v>1758.13400000002</v>
      </c>
      <c r="AG47" s="57">
        <f t="shared" si="200"/>
        <v>5209.3920000000071</v>
      </c>
      <c r="AH47" s="57">
        <f t="shared" si="200"/>
        <v>11256.889000000003</v>
      </c>
      <c r="AI47" s="57">
        <f t="shared" si="200"/>
        <v>13685.176000000003</v>
      </c>
      <c r="AJ47" s="57">
        <f t="shared" ref="AJ47:AL47" si="201">AJ19</f>
        <v>6693.4990000000034</v>
      </c>
      <c r="AK47" s="57">
        <f t="shared" si="201"/>
        <v>10566.110000000008</v>
      </c>
      <c r="AL47" s="57">
        <f t="shared" si="201"/>
        <v>226.34999999999491</v>
      </c>
      <c r="AM47" s="57">
        <f>AM19</f>
        <v>-19759.350000000013</v>
      </c>
      <c r="AN47" s="57">
        <f t="shared" ref="AN47:AO47" si="202">AN19</f>
        <v>-16074.247000000039</v>
      </c>
      <c r="AO47" s="57">
        <f t="shared" si="202"/>
        <v>-6469.8109999999942</v>
      </c>
    </row>
    <row r="48" spans="2:41" ht="13.5" customHeight="1">
      <c r="B48" s="70" t="s">
        <v>224</v>
      </c>
      <c r="C48" s="65">
        <f>451.241+4252.292</f>
        <v>4703.5330000000004</v>
      </c>
      <c r="D48" s="84">
        <f>3654.793+528.817</f>
        <v>4183.6100000000006</v>
      </c>
      <c r="E48" s="84">
        <f>4202.623+375.908</f>
        <v>4578.5309999999999</v>
      </c>
      <c r="F48" s="84">
        <f>321.09+8110.975</f>
        <v>8432.0650000000005</v>
      </c>
      <c r="G48" s="84">
        <f>64.362+9194.58</f>
        <v>9258.9419999999991</v>
      </c>
      <c r="H48" s="84">
        <f>62.744+7687.823</f>
        <v>7750.567</v>
      </c>
      <c r="I48" s="84">
        <f>68.522+8181.701</f>
        <v>8250.223</v>
      </c>
      <c r="J48" s="84">
        <v>10199.039000000001</v>
      </c>
      <c r="K48" s="14">
        <f>SUM(AL48:AO48)</f>
        <v>10820.228000000001</v>
      </c>
      <c r="L48" s="14"/>
      <c r="M48" s="84">
        <f>130.911+1472.412</f>
        <v>1603.3230000000001</v>
      </c>
      <c r="N48" s="84">
        <f>941.605+131.093</f>
        <v>1072.6980000000001</v>
      </c>
      <c r="O48" s="84">
        <f>693.563+131.037</f>
        <v>824.6</v>
      </c>
      <c r="P48" s="14">
        <f>D48-SUM(M48:O48)</f>
        <v>682.98900000000049</v>
      </c>
      <c r="Q48" s="84">
        <f>664.094+131.636</f>
        <v>795.73</v>
      </c>
      <c r="R48" s="84">
        <f>831.195+93.615</f>
        <v>924.81000000000006</v>
      </c>
      <c r="S48" s="84">
        <f>1073.515+75.06</f>
        <v>1148.575</v>
      </c>
      <c r="T48" s="14">
        <f>E48-SUM(Q48:S48)</f>
        <v>1709.4160000000002</v>
      </c>
      <c r="U48" s="84">
        <f>1721.069+76.603</f>
        <v>1797.672</v>
      </c>
      <c r="V48" s="84">
        <f>1811.03+76.215</f>
        <v>1887.2449999999999</v>
      </c>
      <c r="W48" s="84">
        <f>2105.868+78.383</f>
        <v>2184.2509999999997</v>
      </c>
      <c r="X48" s="14">
        <f>F48-SUM(U48:W48)</f>
        <v>2562.8970000000008</v>
      </c>
      <c r="Y48" s="84">
        <f>2118.94+14.354</f>
        <v>2133.2939999999999</v>
      </c>
      <c r="Z48" s="84">
        <f>2239.674+16.92</f>
        <v>2256.5940000000001</v>
      </c>
      <c r="AA48" s="84">
        <f>17.05+2484.21</f>
        <v>2501.2600000000002</v>
      </c>
      <c r="AB48" s="14">
        <f>G48-SUM(Y48:AA48)</f>
        <v>2367.793999999999</v>
      </c>
      <c r="AC48" s="84">
        <f>1923.051+13.846</f>
        <v>1936.8969999999999</v>
      </c>
      <c r="AD48" s="84">
        <f>1917.587+17.062</f>
        <v>1934.6489999999999</v>
      </c>
      <c r="AE48" s="84">
        <f>15.799+1995.332</f>
        <v>2011.1310000000001</v>
      </c>
      <c r="AF48" s="14">
        <f>H48-SUM(AC48:AE48)</f>
        <v>1867.8900000000003</v>
      </c>
      <c r="AG48" s="84">
        <f>1827.531+14.384</f>
        <v>1841.915</v>
      </c>
      <c r="AH48" s="84">
        <f>1991.201+18.392</f>
        <v>2009.5930000000001</v>
      </c>
      <c r="AI48" s="84">
        <f>2144.553+17.622</f>
        <v>2162.1749999999997</v>
      </c>
      <c r="AJ48" s="14">
        <f>I48-SUM(AG48:AI48)</f>
        <v>2236.5400000000009</v>
      </c>
      <c r="AK48" s="84">
        <f>2169.265+14.047</f>
        <v>2183.3119999999999</v>
      </c>
      <c r="AL48" s="84">
        <f>2367.391+15.721</f>
        <v>2383.1120000000001</v>
      </c>
      <c r="AM48" s="84">
        <f>2614.462+16.116</f>
        <v>2630.578</v>
      </c>
      <c r="AN48" s="14">
        <f>J48-SUM(AK48:AM48)</f>
        <v>3002.0370000000003</v>
      </c>
      <c r="AO48" s="84">
        <f>2786.713+17.788</f>
        <v>2804.5010000000002</v>
      </c>
    </row>
    <row r="49" spans="2:43" s="32" customFormat="1" ht="13.5" customHeight="1">
      <c r="B49" s="32" t="s">
        <v>223</v>
      </c>
      <c r="C49" s="57">
        <f t="shared" ref="C49:E49" si="203">SUM(C47:C48)</f>
        <v>-6382.2639999999983</v>
      </c>
      <c r="D49" s="57">
        <f t="shared" si="203"/>
        <v>6863.4700000000084</v>
      </c>
      <c r="E49" s="57">
        <f t="shared" si="203"/>
        <v>8908.6329999999907</v>
      </c>
      <c r="F49" s="57">
        <f t="shared" ref="F49:G49" si="204">SUM(F47:F48)</f>
        <v>-14695.133999999993</v>
      </c>
      <c r="G49" s="57">
        <f t="shared" si="204"/>
        <v>3438.4939999999951</v>
      </c>
      <c r="H49" s="57">
        <f t="shared" ref="H49:I49" si="205">SUM(H47:H48)</f>
        <v>21165.954000000016</v>
      </c>
      <c r="I49" s="57">
        <f t="shared" si="205"/>
        <v>45095.179000000018</v>
      </c>
      <c r="J49" s="57">
        <f t="shared" ref="J49:K49" si="206">SUM(J47:J48)</f>
        <v>-14842.097999999987</v>
      </c>
      <c r="K49" s="57">
        <f t="shared" si="206"/>
        <v>-31256.829999999958</v>
      </c>
      <c r="L49" s="57"/>
      <c r="M49" s="57">
        <f t="shared" ref="M49:S49" si="207">SUM(M47:M48)</f>
        <v>299.68100000000027</v>
      </c>
      <c r="N49" s="57">
        <f t="shared" si="207"/>
        <v>2185.2759999999989</v>
      </c>
      <c r="O49" s="57">
        <f t="shared" si="207"/>
        <v>2271.6640000000002</v>
      </c>
      <c r="P49" s="57">
        <f t="shared" si="207"/>
        <v>2106.8490000000156</v>
      </c>
      <c r="Q49" s="57">
        <f t="shared" si="207"/>
        <v>-919.80000000000246</v>
      </c>
      <c r="R49" s="57">
        <f t="shared" si="207"/>
        <v>3099.4549999999986</v>
      </c>
      <c r="S49" s="57">
        <f t="shared" si="207"/>
        <v>7872.257999999998</v>
      </c>
      <c r="T49" s="57">
        <f t="shared" ref="T49:W49" si="208">SUM(T47:T48)</f>
        <v>-1143.2799999999961</v>
      </c>
      <c r="U49" s="57">
        <f t="shared" si="208"/>
        <v>-2969.3349999999996</v>
      </c>
      <c r="V49" s="57">
        <f t="shared" si="208"/>
        <v>-1364.4599999999964</v>
      </c>
      <c r="W49" s="57">
        <f t="shared" si="208"/>
        <v>-7918.380000000001</v>
      </c>
      <c r="X49" s="57">
        <f t="shared" ref="X49:Z49" si="209">SUM(X47:X48)</f>
        <v>-2442.9589999999916</v>
      </c>
      <c r="Y49" s="57">
        <f t="shared" si="209"/>
        <v>-3450.9479999999949</v>
      </c>
      <c r="Z49" s="57">
        <f t="shared" si="209"/>
        <v>1763.7559999999985</v>
      </c>
      <c r="AA49" s="57">
        <f>SUM(AA47:AA48)</f>
        <v>3489.4820000000018</v>
      </c>
      <c r="AB49" s="57">
        <f t="shared" ref="AB49:AD49" si="210">SUM(AB47:AB48)</f>
        <v>1636.2040000000097</v>
      </c>
      <c r="AC49" s="57">
        <f t="shared" si="210"/>
        <v>5522.6179999999995</v>
      </c>
      <c r="AD49" s="57">
        <f t="shared" si="210"/>
        <v>6647.6479999999992</v>
      </c>
      <c r="AE49" s="57">
        <f>SUM(AE47:AE48)</f>
        <v>5369.6640000000107</v>
      </c>
      <c r="AF49" s="57">
        <f t="shared" ref="AF49:AH49" si="211">SUM(AF47:AF48)</f>
        <v>3626.0240000000204</v>
      </c>
      <c r="AG49" s="57">
        <f t="shared" si="211"/>
        <v>7051.3070000000071</v>
      </c>
      <c r="AH49" s="57">
        <f t="shared" si="211"/>
        <v>13266.482000000004</v>
      </c>
      <c r="AI49" s="57">
        <f>SUM(AI47:AI48)</f>
        <v>15847.351000000002</v>
      </c>
      <c r="AJ49" s="57">
        <f t="shared" ref="AJ49:AL49" si="212">SUM(AJ47:AJ48)</f>
        <v>8930.0390000000043</v>
      </c>
      <c r="AK49" s="57">
        <f t="shared" si="212"/>
        <v>12749.422000000008</v>
      </c>
      <c r="AL49" s="57">
        <f t="shared" si="212"/>
        <v>2609.461999999995</v>
      </c>
      <c r="AM49" s="57">
        <f>SUM(AM47:AM48)</f>
        <v>-17128.772000000012</v>
      </c>
      <c r="AN49" s="57">
        <f t="shared" ref="AN49:AO49" si="213">SUM(AN47:AN48)</f>
        <v>-13072.210000000039</v>
      </c>
      <c r="AO49" s="57">
        <f t="shared" si="213"/>
        <v>-3665.309999999994</v>
      </c>
    </row>
    <row r="50" spans="2:43" s="44" customFormat="1" ht="13.5" customHeight="1">
      <c r="B50" s="49" t="s">
        <v>225</v>
      </c>
      <c r="C50" s="71"/>
      <c r="D50" s="71">
        <f t="shared" ref="D50:J50" si="214">+D49/C49-1</f>
        <v>-2.0753973824962442</v>
      </c>
      <c r="E50" s="71">
        <f t="shared" si="214"/>
        <v>0.29797799072480524</v>
      </c>
      <c r="F50" s="71">
        <f t="shared" si="214"/>
        <v>-2.6495385992441274</v>
      </c>
      <c r="G50" s="71">
        <f t="shared" si="214"/>
        <v>-1.2339886114682586</v>
      </c>
      <c r="H50" s="71">
        <f t="shared" si="214"/>
        <v>5.155588464019436</v>
      </c>
      <c r="I50" s="71">
        <f t="shared" si="214"/>
        <v>1.130552631835068</v>
      </c>
      <c r="J50" s="71">
        <f t="shared" si="214"/>
        <v>-1.3291282644648108</v>
      </c>
      <c r="K50" s="74"/>
      <c r="L50" s="67"/>
      <c r="M50" s="71"/>
      <c r="N50" s="71"/>
      <c r="O50" s="71"/>
      <c r="P50" s="71"/>
      <c r="Q50" s="71">
        <f>Q49/M49-1</f>
        <v>-4.0692636503482085</v>
      </c>
      <c r="R50" s="71">
        <f>R49/N49-1</f>
        <v>0.41833571594617802</v>
      </c>
      <c r="S50" s="71">
        <f>S49/O49-1</f>
        <v>2.4654147796505104</v>
      </c>
      <c r="T50" s="71"/>
      <c r="U50" s="71">
        <f t="shared" ref="U50:W50" si="215">U49/Q49-1</f>
        <v>2.2282398347466752</v>
      </c>
      <c r="V50" s="71">
        <f t="shared" si="215"/>
        <v>-1.44022578162935</v>
      </c>
      <c r="W50" s="71">
        <f t="shared" si="215"/>
        <v>-2.0058588018837802</v>
      </c>
      <c r="X50" s="71">
        <f t="shared" ref="X50:AO50" si="216">X49/T49-1</f>
        <v>1.1367985095514661</v>
      </c>
      <c r="Y50" s="71">
        <f t="shared" si="216"/>
        <v>0.16219557577706634</v>
      </c>
      <c r="Z50" s="71">
        <f t="shared" si="216"/>
        <v>-2.2926403119182703</v>
      </c>
      <c r="AA50" s="71">
        <f t="shared" si="216"/>
        <v>-1.4406813009731789</v>
      </c>
      <c r="AB50" s="71">
        <f t="shared" si="216"/>
        <v>-1.6697631847280348</v>
      </c>
      <c r="AC50" s="71">
        <f t="shared" si="216"/>
        <v>-2.6003191007224702</v>
      </c>
      <c r="AD50" s="71">
        <f t="shared" si="216"/>
        <v>2.769029276158383</v>
      </c>
      <c r="AE50" s="71">
        <f t="shared" si="216"/>
        <v>0.53881407039784346</v>
      </c>
      <c r="AF50" s="71">
        <f t="shared" si="216"/>
        <v>1.2161197503489776</v>
      </c>
      <c r="AG50" s="71">
        <f t="shared" si="216"/>
        <v>0.27680513118959293</v>
      </c>
      <c r="AH50" s="71">
        <f t="shared" si="216"/>
        <v>0.99566553463721386</v>
      </c>
      <c r="AI50" s="71">
        <f t="shared" si="216"/>
        <v>1.9512742324286902</v>
      </c>
      <c r="AJ50" s="71">
        <f t="shared" si="216"/>
        <v>1.4627633462988534</v>
      </c>
      <c r="AK50" s="71">
        <f t="shared" si="216"/>
        <v>0.80809344990935661</v>
      </c>
      <c r="AL50" s="71">
        <f t="shared" si="216"/>
        <v>-0.80330414649490389</v>
      </c>
      <c r="AM50" s="71">
        <f t="shared" si="216"/>
        <v>-2.0808602649111521</v>
      </c>
      <c r="AN50" s="71">
        <f t="shared" si="216"/>
        <v>-2.463846910411033</v>
      </c>
      <c r="AO50" s="71">
        <f t="shared" si="216"/>
        <v>-1.2874883269218003</v>
      </c>
    </row>
    <row r="51" spans="2:43" s="44" customFormat="1" ht="13.5" customHeight="1">
      <c r="B51" s="49" t="s">
        <v>215</v>
      </c>
      <c r="C51" s="71">
        <f t="shared" ref="C51:G51" si="217">+C49/C7</f>
        <v>-9.7846548188014193E-2</v>
      </c>
      <c r="D51" s="71">
        <f t="shared" si="217"/>
        <v>7.0373970874225603E-2</v>
      </c>
      <c r="E51" s="71">
        <f t="shared" si="217"/>
        <v>7.7605044004282003E-2</v>
      </c>
      <c r="F51" s="71">
        <f t="shared" si="217"/>
        <v>-8.2037058673748206E-2</v>
      </c>
      <c r="G51" s="71">
        <f t="shared" si="217"/>
        <v>1.5632719478536099E-2</v>
      </c>
      <c r="H51" s="71">
        <f t="shared" ref="H51:I51" si="218">+H49/H7</f>
        <v>7.648180642166294E-2</v>
      </c>
      <c r="I51" s="71">
        <f t="shared" si="218"/>
        <v>0.13357910032683995</v>
      </c>
      <c r="J51" s="71">
        <f t="shared" ref="J51:K51" si="219">+J49/J7</f>
        <v>-4.0679470837964617E-2</v>
      </c>
      <c r="K51" s="74">
        <f t="shared" si="219"/>
        <v>-8.454932722408702E-2</v>
      </c>
      <c r="L51" s="149"/>
      <c r="M51" s="71">
        <f t="shared" ref="M51:S51" si="220">+M49/M7</f>
        <v>1.5629948232749446E-2</v>
      </c>
      <c r="N51" s="71">
        <f t="shared" si="220"/>
        <v>9.6254363438849841E-2</v>
      </c>
      <c r="O51" s="71">
        <f t="shared" si="220"/>
        <v>8.2625105619923811E-2</v>
      </c>
      <c r="P51" s="71">
        <f t="shared" si="220"/>
        <v>7.4821722782305242E-2</v>
      </c>
      <c r="Q51" s="71">
        <f t="shared" si="220"/>
        <v>-5.4900692597485139E-2</v>
      </c>
      <c r="R51" s="71">
        <f t="shared" si="220"/>
        <v>0.12537316705065238</v>
      </c>
      <c r="S51" s="71">
        <f t="shared" si="220"/>
        <v>0.22237211635443027</v>
      </c>
      <c r="T51" s="71">
        <f t="shared" ref="T51:W51" si="221">+T49/T7</f>
        <v>-3.0151773703247873E-2</v>
      </c>
      <c r="U51" s="71">
        <f t="shared" si="221"/>
        <v>-8.0217040823841138E-2</v>
      </c>
      <c r="V51" s="71">
        <f t="shared" si="221"/>
        <v>-3.1181077400992692E-2</v>
      </c>
      <c r="W51" s="71">
        <f t="shared" si="221"/>
        <v>-0.16216428759986051</v>
      </c>
      <c r="X51" s="71">
        <f t="shared" ref="X51:AA51" si="222">+X49/X7</f>
        <v>-4.9329653679220813E-2</v>
      </c>
      <c r="Y51" s="71">
        <f t="shared" si="222"/>
        <v>-7.4584848340631671E-2</v>
      </c>
      <c r="Z51" s="71">
        <f t="shared" si="222"/>
        <v>3.4625298029306487E-2</v>
      </c>
      <c r="AA51" s="71">
        <f t="shared" si="222"/>
        <v>5.572570654875212E-2</v>
      </c>
      <c r="AB51" s="71">
        <f>+AB49/AB7</f>
        <v>2.7211589414541465E-2</v>
      </c>
      <c r="AC51" s="71">
        <f t="shared" ref="AC51:AE51" si="223">+AC49/AC7</f>
        <v>9.421453726288298E-2</v>
      </c>
      <c r="AD51" s="71">
        <f t="shared" si="223"/>
        <v>9.7810413841177127E-2</v>
      </c>
      <c r="AE51" s="71">
        <f t="shared" si="223"/>
        <v>7.0222063513043761E-2</v>
      </c>
      <c r="AF51" s="71">
        <f>+AF49/AF7</f>
        <v>4.9202486036173394E-2</v>
      </c>
      <c r="AG51" s="71">
        <f t="shared" ref="AG51:AI51" si="224">+AG49/AG7</f>
        <v>9.6229572610819769E-2</v>
      </c>
      <c r="AH51" s="71">
        <f t="shared" si="224"/>
        <v>0.16129250198146344</v>
      </c>
      <c r="AI51" s="71">
        <f t="shared" si="224"/>
        <v>0.16935034225547754</v>
      </c>
      <c r="AJ51" s="71">
        <f>+AJ49/AJ7</f>
        <v>0.10091888218620679</v>
      </c>
      <c r="AK51" s="71">
        <f t="shared" ref="AK51:AM51" si="225">+AK49/AK7</f>
        <v>0.14789458454498813</v>
      </c>
      <c r="AL51" s="71">
        <f t="shared" si="225"/>
        <v>2.8412983033189669E-2</v>
      </c>
      <c r="AM51" s="71">
        <f t="shared" si="225"/>
        <v>-0.17938119690353513</v>
      </c>
      <c r="AN51" s="71">
        <f>+AN49/AN7</f>
        <v>-0.14314727173479927</v>
      </c>
      <c r="AO51" s="71">
        <f t="shared" ref="AO51" si="226">+AO49/AO7</f>
        <v>-4.0260918776857821E-2</v>
      </c>
    </row>
    <row r="52" spans="2:43" s="44" customFormat="1" ht="13.5" customHeight="1">
      <c r="B52" s="73"/>
      <c r="C52" s="66"/>
      <c r="D52" s="66"/>
      <c r="E52" s="66"/>
      <c r="F52" s="66"/>
      <c r="G52" s="66"/>
      <c r="H52" s="66"/>
      <c r="I52" s="66"/>
      <c r="J52" s="66"/>
      <c r="K52" s="169"/>
      <c r="L52" s="149"/>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row>
    <row r="53" spans="2:43" ht="13.5" customHeight="1">
      <c r="B53" s="171" t="s">
        <v>226</v>
      </c>
      <c r="C53" s="171">
        <f t="shared" ref="C53:D53" si="227">C54-C49</f>
        <v>1648.4329999999982</v>
      </c>
      <c r="D53" s="171">
        <f t="shared" si="227"/>
        <v>390.16399999999157</v>
      </c>
      <c r="E53" s="171">
        <f t="shared" ref="E53:K53" si="228">E54-E49</f>
        <v>-4170.7959999999903</v>
      </c>
      <c r="F53" s="171">
        <f t="shared" si="228"/>
        <v>5001.0579999999936</v>
      </c>
      <c r="G53" s="171">
        <f t="shared" si="228"/>
        <v>6286.0950000000048</v>
      </c>
      <c r="H53" s="171">
        <f t="shared" si="228"/>
        <v>2712.0639999999839</v>
      </c>
      <c r="I53" s="171">
        <f t="shared" si="228"/>
        <v>4024.2209999999832</v>
      </c>
      <c r="J53" s="171">
        <f t="shared" si="228"/>
        <v>1058.8929999999873</v>
      </c>
      <c r="K53" s="171">
        <f t="shared" si="228"/>
        <v>2122.5099999999584</v>
      </c>
      <c r="L53" s="149"/>
      <c r="M53" s="171">
        <f t="shared" ref="M53:W53" si="229">M54-M49</f>
        <v>159.19299999999976</v>
      </c>
      <c r="N53" s="171">
        <f t="shared" si="229"/>
        <v>145.53300000000127</v>
      </c>
      <c r="O53" s="171">
        <f t="shared" si="229"/>
        <v>13.636999999999716</v>
      </c>
      <c r="P53" s="171">
        <f t="shared" si="229"/>
        <v>71.800999999984015</v>
      </c>
      <c r="Q53" s="171">
        <f t="shared" si="229"/>
        <v>961.11100000000249</v>
      </c>
      <c r="R53" s="171">
        <f t="shared" si="229"/>
        <v>-489.19999999999845</v>
      </c>
      <c r="S53" s="171">
        <f t="shared" si="229"/>
        <v>-5196.8589999999986</v>
      </c>
      <c r="T53" s="171">
        <f t="shared" si="229"/>
        <v>554.15199999999641</v>
      </c>
      <c r="U53" s="171">
        <f t="shared" si="229"/>
        <v>586.65199999999959</v>
      </c>
      <c r="V53" s="171">
        <f t="shared" si="229"/>
        <v>124.47399999999629</v>
      </c>
      <c r="W53" s="171">
        <f t="shared" si="229"/>
        <v>3856.7210000000009</v>
      </c>
      <c r="X53" s="171">
        <f t="shared" ref="X53:AA53" si="230">X54-X49</f>
        <v>433.21099999999205</v>
      </c>
      <c r="Y53" s="171">
        <f t="shared" si="230"/>
        <v>1610.1769999999949</v>
      </c>
      <c r="Z53" s="171">
        <f t="shared" si="230"/>
        <v>2038.9850000000015</v>
      </c>
      <c r="AA53" s="171">
        <f t="shared" si="230"/>
        <v>1312.2539999999981</v>
      </c>
      <c r="AB53" s="171">
        <f t="shared" ref="AB53:AE53" si="231">AB54-AB49</f>
        <v>1324.6789999999901</v>
      </c>
      <c r="AC53" s="171">
        <f t="shared" si="231"/>
        <v>739.44200000000092</v>
      </c>
      <c r="AD53" s="171">
        <f t="shared" si="231"/>
        <v>1034.7030000000004</v>
      </c>
      <c r="AE53" s="171">
        <f t="shared" si="231"/>
        <v>819.53699999998935</v>
      </c>
      <c r="AF53" s="171">
        <f t="shared" ref="AF53:AI53" si="232">AF54-AF49</f>
        <v>118.38199999997869</v>
      </c>
      <c r="AG53" s="171">
        <f t="shared" si="232"/>
        <v>1019.0359999999928</v>
      </c>
      <c r="AH53" s="171">
        <f t="shared" si="232"/>
        <v>1730.7859999999964</v>
      </c>
      <c r="AI53" s="171">
        <f t="shared" si="232"/>
        <v>-1318.1540000000023</v>
      </c>
      <c r="AJ53" s="171">
        <f t="shared" ref="AJ53:AM53" si="233">AJ54-AJ49</f>
        <v>2592.5529999999926</v>
      </c>
      <c r="AK53" s="171">
        <f t="shared" si="233"/>
        <v>-447.73600000000806</v>
      </c>
      <c r="AL53" s="171">
        <f t="shared" si="233"/>
        <v>172.4990000000048</v>
      </c>
      <c r="AM53" s="171">
        <f t="shared" si="233"/>
        <v>2286.8750000000109</v>
      </c>
      <c r="AN53" s="171">
        <f t="shared" ref="AN53:AO53" si="234">AN54-AN49</f>
        <v>-952.74499999995896</v>
      </c>
      <c r="AO53" s="171">
        <f t="shared" si="234"/>
        <v>615.88099999999395</v>
      </c>
    </row>
    <row r="54" spans="2:43" s="32" customFormat="1" ht="13.5" customHeight="1">
      <c r="B54" s="32" t="s">
        <v>227</v>
      </c>
      <c r="C54" s="108">
        <v>-4733.8310000000001</v>
      </c>
      <c r="D54" s="82">
        <v>7253.634</v>
      </c>
      <c r="E54" s="108">
        <v>4737.8370000000004</v>
      </c>
      <c r="F54" s="108">
        <v>-9694.0759999999991</v>
      </c>
      <c r="G54" s="108">
        <v>9724.5889999999999</v>
      </c>
      <c r="H54" s="108">
        <v>23878.018</v>
      </c>
      <c r="I54" s="108">
        <v>49119.4</v>
      </c>
      <c r="J54" s="108">
        <v>-13783.205</v>
      </c>
      <c r="K54" s="57">
        <f>SUM(AL54:AO54)</f>
        <v>-29134.32</v>
      </c>
      <c r="L54" s="149"/>
      <c r="M54" s="82">
        <v>458.87400000000002</v>
      </c>
      <c r="N54" s="82">
        <v>2330.8090000000002</v>
      </c>
      <c r="O54" s="82">
        <v>2285.3009999999999</v>
      </c>
      <c r="P54" s="57">
        <f>D54-SUM(M54:O54)</f>
        <v>2178.6499999999996</v>
      </c>
      <c r="Q54" s="82">
        <v>41.311</v>
      </c>
      <c r="R54" s="82">
        <v>2610.2550000000001</v>
      </c>
      <c r="S54" s="82">
        <v>2675.3989999999999</v>
      </c>
      <c r="T54" s="57">
        <f>E54-SUM(Q54:S54)</f>
        <v>-589.1279999999997</v>
      </c>
      <c r="U54" s="82">
        <v>-2382.683</v>
      </c>
      <c r="V54" s="121">
        <v>-1239.9860000000001</v>
      </c>
      <c r="W54" s="121">
        <v>-4061.6590000000001</v>
      </c>
      <c r="X54" s="122">
        <f>F54-SUM(U54:W54)</f>
        <v>-2009.7479999999996</v>
      </c>
      <c r="Y54" s="121">
        <v>-1840.771</v>
      </c>
      <c r="Z54" s="121">
        <v>3802.741</v>
      </c>
      <c r="AA54" s="121">
        <v>4801.7359999999999</v>
      </c>
      <c r="AB54" s="122">
        <f>G54-SUM(Y54:AA54)</f>
        <v>2960.8829999999998</v>
      </c>
      <c r="AC54" s="121">
        <v>6262.06</v>
      </c>
      <c r="AD54" s="121">
        <v>7682.3509999999997</v>
      </c>
      <c r="AE54" s="121">
        <v>6189.201</v>
      </c>
      <c r="AF54" s="122">
        <f>H54-SUM(AC54:AE54)</f>
        <v>3744.405999999999</v>
      </c>
      <c r="AG54" s="121">
        <v>8070.3429999999998</v>
      </c>
      <c r="AH54" s="121">
        <v>14997.268</v>
      </c>
      <c r="AI54" s="121">
        <v>14529.197</v>
      </c>
      <c r="AJ54" s="57">
        <f>I54-SUM(AG54:AI54)</f>
        <v>11522.591999999997</v>
      </c>
      <c r="AK54" s="121">
        <v>12301.686</v>
      </c>
      <c r="AL54" s="121">
        <v>2781.9609999999998</v>
      </c>
      <c r="AM54" s="121">
        <v>-14841.897000000001</v>
      </c>
      <c r="AN54" s="57">
        <f>J54-SUM(AK54:AM54)</f>
        <v>-14024.954999999998</v>
      </c>
      <c r="AO54" s="121">
        <v>-3049.4290000000001</v>
      </c>
    </row>
    <row r="55" spans="2:43" s="44" customFormat="1" ht="13.5" customHeight="1">
      <c r="B55" s="49" t="s">
        <v>225</v>
      </c>
      <c r="C55" s="71"/>
      <c r="D55" s="71">
        <f t="shared" ref="D55:J55" si="235">+D54/C54-1</f>
        <v>-2.5322967803455594</v>
      </c>
      <c r="E55" s="71">
        <f t="shared" si="235"/>
        <v>-0.34683263588981739</v>
      </c>
      <c r="F55" s="71">
        <f t="shared" si="235"/>
        <v>-3.0460974068968598</v>
      </c>
      <c r="G55" s="71">
        <f t="shared" si="235"/>
        <v>-2.0031475924059192</v>
      </c>
      <c r="H55" s="71">
        <f t="shared" si="235"/>
        <v>1.4554269594324243</v>
      </c>
      <c r="I55" s="71">
        <f t="shared" si="235"/>
        <v>1.0570970337655328</v>
      </c>
      <c r="J55" s="71">
        <f t="shared" si="235"/>
        <v>-1.2806061352540952</v>
      </c>
      <c r="K55" s="74"/>
      <c r="L55" s="149"/>
      <c r="M55" s="71"/>
      <c r="N55" s="71"/>
      <c r="O55" s="71"/>
      <c r="P55" s="71"/>
      <c r="Q55" s="71">
        <f t="shared" ref="Q55:AO55" si="236">Q54/M54-1</f>
        <v>-0.9099731080863156</v>
      </c>
      <c r="R55" s="71">
        <f t="shared" si="236"/>
        <v>0.11989227774562394</v>
      </c>
      <c r="S55" s="71">
        <f t="shared" si="236"/>
        <v>0.1706987394658297</v>
      </c>
      <c r="T55" s="71">
        <f t="shared" si="236"/>
        <v>-1.2704096573566197</v>
      </c>
      <c r="U55" s="71">
        <f t="shared" si="236"/>
        <v>-58.676720486069087</v>
      </c>
      <c r="V55" s="71">
        <f t="shared" si="236"/>
        <v>-1.475044009110221</v>
      </c>
      <c r="W55" s="71">
        <f t="shared" si="236"/>
        <v>-2.5181507505983221</v>
      </c>
      <c r="X55" s="71">
        <f t="shared" si="236"/>
        <v>2.4113944677557351</v>
      </c>
      <c r="Y55" s="71">
        <f t="shared" si="236"/>
        <v>-0.22743772461548595</v>
      </c>
      <c r="Z55" s="71">
        <f t="shared" si="236"/>
        <v>-4.066761237626876</v>
      </c>
      <c r="AA55" s="71">
        <f t="shared" si="236"/>
        <v>-2.1822105203809574</v>
      </c>
      <c r="AB55" s="71">
        <f t="shared" si="236"/>
        <v>-2.4732608267305158</v>
      </c>
      <c r="AC55" s="71">
        <f t="shared" si="236"/>
        <v>-4.4018680216061643</v>
      </c>
      <c r="AD55" s="71">
        <f t="shared" si="236"/>
        <v>1.0202141034585317</v>
      </c>
      <c r="AE55" s="71">
        <f t="shared" si="236"/>
        <v>0.28895070449520754</v>
      </c>
      <c r="AF55" s="71">
        <f t="shared" si="236"/>
        <v>0.26462477578479104</v>
      </c>
      <c r="AG55" s="71">
        <f t="shared" si="236"/>
        <v>0.28876807312609576</v>
      </c>
      <c r="AH55" s="71">
        <f t="shared" si="236"/>
        <v>0.9521716724476661</v>
      </c>
      <c r="AI55" s="71">
        <f t="shared" si="236"/>
        <v>1.3475076992975343</v>
      </c>
      <c r="AJ55" s="71">
        <f t="shared" si="236"/>
        <v>2.077281683663577</v>
      </c>
      <c r="AK55" s="71">
        <f t="shared" si="236"/>
        <v>0.52430770290680329</v>
      </c>
      <c r="AL55" s="71">
        <f t="shared" si="236"/>
        <v>-0.81450214799122078</v>
      </c>
      <c r="AM55" s="71">
        <f t="shared" si="236"/>
        <v>-2.0215221804756314</v>
      </c>
      <c r="AN55" s="71">
        <f t="shared" si="236"/>
        <v>-2.2171701471335616</v>
      </c>
      <c r="AO55" s="71">
        <f t="shared" si="236"/>
        <v>-1.2478870782427709</v>
      </c>
    </row>
    <row r="56" spans="2:43" s="44" customFormat="1" ht="13.5" customHeight="1">
      <c r="B56" s="49" t="s">
        <v>215</v>
      </c>
      <c r="C56" s="71">
        <f t="shared" ref="C56:G56" si="237">+C54/C7</f>
        <v>-7.2574406676912076E-2</v>
      </c>
      <c r="D56" s="71">
        <f t="shared" si="237"/>
        <v>7.4374482273294976E-2</v>
      </c>
      <c r="E56" s="71">
        <f t="shared" si="237"/>
        <v>4.1272330880631841E-2</v>
      </c>
      <c r="F56" s="71">
        <f t="shared" si="237"/>
        <v>-5.4118151055973673E-2</v>
      </c>
      <c r="G56" s="71">
        <f t="shared" si="237"/>
        <v>4.4211731031392844E-2</v>
      </c>
      <c r="H56" s="71">
        <f t="shared" ref="H56:I56" si="238">+H54/H7</f>
        <v>8.6281674353491544E-2</v>
      </c>
      <c r="I56" s="71">
        <f t="shared" si="238"/>
        <v>0.1454994836719504</v>
      </c>
      <c r="J56" s="71">
        <f t="shared" ref="J56:K56" si="239">+J54/J7</f>
        <v>-3.7777239164651019E-2</v>
      </c>
      <c r="K56" s="74">
        <f t="shared" si="239"/>
        <v>-7.8807964695436675E-2</v>
      </c>
      <c r="L56" s="149"/>
      <c r="M56" s="71">
        <f t="shared" ref="M56:S56" si="240">+M54/M7</f>
        <v>2.3932704660471177E-2</v>
      </c>
      <c r="N56" s="71">
        <f t="shared" si="240"/>
        <v>0.10266462295496875</v>
      </c>
      <c r="O56" s="71">
        <f t="shared" si="240"/>
        <v>8.3121111440035797E-2</v>
      </c>
      <c r="P56" s="71">
        <f t="shared" si="240"/>
        <v>7.7371632394950027E-2</v>
      </c>
      <c r="Q56" s="71">
        <f>+Q54/Q7</f>
        <v>2.46575615557154E-3</v>
      </c>
      <c r="R56" s="71">
        <f t="shared" si="240"/>
        <v>0.10558499354234882</v>
      </c>
      <c r="S56" s="71">
        <f t="shared" si="240"/>
        <v>7.5573506066814192E-2</v>
      </c>
      <c r="T56" s="71">
        <f t="shared" ref="T56:W56" si="241">+T54/T7</f>
        <v>-1.5537098644467728E-2</v>
      </c>
      <c r="U56" s="71">
        <f t="shared" si="241"/>
        <v>-6.4368546991589795E-2</v>
      </c>
      <c r="V56" s="71">
        <f t="shared" si="241"/>
        <v>-2.8336557643424822E-2</v>
      </c>
      <c r="W56" s="71">
        <f t="shared" si="241"/>
        <v>-8.3180655412920537E-2</v>
      </c>
      <c r="X56" s="71">
        <f t="shared" ref="X56:AA56" si="242">+X54/X7</f>
        <v>-4.0582004373592426E-2</v>
      </c>
      <c r="Y56" s="71">
        <f t="shared" si="242"/>
        <v>-3.9784321834125898E-2</v>
      </c>
      <c r="Z56" s="71">
        <f t="shared" si="242"/>
        <v>7.4653773227851869E-2</v>
      </c>
      <c r="AA56" s="71">
        <f t="shared" si="242"/>
        <v>7.6681906157010885E-2</v>
      </c>
      <c r="AB56" s="71">
        <f t="shared" ref="AB56:AE56" si="243">+AB54/AB7</f>
        <v>4.9242229270002574E-2</v>
      </c>
      <c r="AC56" s="71">
        <f t="shared" si="243"/>
        <v>0.10682924026474565</v>
      </c>
      <c r="AD56" s="71">
        <f t="shared" si="243"/>
        <v>0.11303455456473945</v>
      </c>
      <c r="AE56" s="71">
        <f t="shared" si="243"/>
        <v>8.0939601754782625E-2</v>
      </c>
      <c r="AF56" s="71">
        <f t="shared" ref="AF56:AI56" si="244">+AF54/AF7</f>
        <v>5.0808842944437986E-2</v>
      </c>
      <c r="AG56" s="71">
        <f t="shared" si="244"/>
        <v>0.11013641268387836</v>
      </c>
      <c r="AH56" s="71">
        <f t="shared" si="244"/>
        <v>0.18233521732487465</v>
      </c>
      <c r="AI56" s="71">
        <f t="shared" si="244"/>
        <v>0.15526408701664129</v>
      </c>
      <c r="AJ56" s="71">
        <f t="shared" ref="AJ56:AM56" si="245">+AJ54/AJ7</f>
        <v>0.13021747212164783</v>
      </c>
      <c r="AK56" s="71">
        <f t="shared" si="245"/>
        <v>0.14270080166558891</v>
      </c>
      <c r="AL56" s="71">
        <f t="shared" si="245"/>
        <v>3.0291228878594711E-2</v>
      </c>
      <c r="AM56" s="71">
        <f t="shared" si="245"/>
        <v>-0.15543188082478918</v>
      </c>
      <c r="AN56" s="71">
        <f t="shared" ref="AN56:AO56" si="246">+AN54/AN7</f>
        <v>-0.15358030849055557</v>
      </c>
      <c r="AO56" s="71">
        <f t="shared" si="246"/>
        <v>-3.3495888010780794E-2</v>
      </c>
    </row>
    <row r="57" spans="2:43" s="44" customFormat="1" ht="13.5" customHeight="1">
      <c r="B57" s="73"/>
      <c r="C57" s="66"/>
      <c r="D57" s="66"/>
      <c r="E57" s="66"/>
      <c r="F57" s="66"/>
      <c r="G57" s="66"/>
      <c r="H57" s="66"/>
      <c r="I57" s="66"/>
      <c r="J57" s="66"/>
      <c r="K57" s="169"/>
      <c r="L57" s="149"/>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row>
    <row r="58" spans="2:43" s="44" customFormat="1" ht="13.5" customHeight="1">
      <c r="B58" s="49" t="s">
        <v>228</v>
      </c>
      <c r="C58" s="71">
        <f t="shared" ref="C58:G58" si="247">-C67/C7</f>
        <v>3.3506702517925091E-2</v>
      </c>
      <c r="D58" s="71">
        <f t="shared" si="247"/>
        <v>2.9967046258494348E-2</v>
      </c>
      <c r="E58" s="71">
        <f t="shared" si="247"/>
        <v>0.13521296445274256</v>
      </c>
      <c r="F58" s="71">
        <f t="shared" si="247"/>
        <v>4.9708790078191969E-2</v>
      </c>
      <c r="G58" s="71">
        <f t="shared" si="247"/>
        <v>2.4203597365766012E-2</v>
      </c>
      <c r="H58" s="71">
        <f t="shared" ref="H58:I58" si="248">-H67/H7</f>
        <v>2.3770904961107255E-2</v>
      </c>
      <c r="I58" s="71">
        <f t="shared" si="248"/>
        <v>2.9924573710334523E-2</v>
      </c>
      <c r="J58" s="71">
        <f t="shared" ref="J58:K58" si="249">-J67/J7</f>
        <v>3.5166811287689816E-2</v>
      </c>
      <c r="K58" s="74">
        <f t="shared" si="249"/>
        <v>0</v>
      </c>
      <c r="L58" s="149"/>
      <c r="M58" s="71">
        <f t="shared" ref="M58:S58" si="250">-M67/M7</f>
        <v>0</v>
      </c>
      <c r="N58" s="71">
        <f t="shared" si="250"/>
        <v>6.3851924956449854E-2</v>
      </c>
      <c r="O58" s="71">
        <f t="shared" si="250"/>
        <v>0</v>
      </c>
      <c r="P58" s="71">
        <f t="shared" si="250"/>
        <v>5.2311590495333633E-2</v>
      </c>
      <c r="Q58" s="71">
        <f t="shared" si="250"/>
        <v>0</v>
      </c>
      <c r="R58" s="71">
        <f t="shared" si="250"/>
        <v>0.11499727953064329</v>
      </c>
      <c r="S58" s="71">
        <f t="shared" si="250"/>
        <v>0</v>
      </c>
      <c r="T58" s="71">
        <f t="shared" ref="T58:V58" si="251">-T67/T7</f>
        <v>0.33437754763604693</v>
      </c>
      <c r="U58" s="71">
        <f t="shared" si="251"/>
        <v>0</v>
      </c>
      <c r="V58" s="71">
        <f t="shared" si="251"/>
        <v>0.12517130099541052</v>
      </c>
      <c r="W58" s="71"/>
      <c r="X58" s="71">
        <f t="shared" ref="X58:Z58" si="252">-X67/X7</f>
        <v>6.9196672189540204E-2</v>
      </c>
      <c r="Y58" s="71"/>
      <c r="Z58" s="71">
        <f t="shared" si="252"/>
        <v>6.0898227137766485E-2</v>
      </c>
      <c r="AA58" s="71"/>
      <c r="AB58" s="71">
        <f t="shared" ref="AB58" si="253">-AB67/AB7</f>
        <v>3.6948015996091321E-2</v>
      </c>
      <c r="AC58" s="71"/>
      <c r="AD58" s="71"/>
      <c r="AE58" s="71"/>
      <c r="AF58" s="71">
        <f t="shared" ref="AF58" si="254">-AF67/AF7</f>
        <v>6.4608407048034416E-2</v>
      </c>
      <c r="AG58" s="71"/>
      <c r="AH58" s="71"/>
      <c r="AI58" s="71"/>
      <c r="AJ58" s="71"/>
      <c r="AK58" s="71"/>
      <c r="AL58" s="71"/>
      <c r="AM58" s="71"/>
      <c r="AN58" s="71"/>
      <c r="AO58" s="71"/>
    </row>
    <row r="59" spans="2:43" s="44" customFormat="1" ht="13.5" customHeight="1">
      <c r="B59" s="49" t="s">
        <v>229</v>
      </c>
      <c r="C59" s="71">
        <f t="shared" ref="C59:G59" si="255">C63/C7</f>
        <v>4.3952470314643664E-4</v>
      </c>
      <c r="D59" s="71">
        <f t="shared" si="255"/>
        <v>1.037786573448953E-2</v>
      </c>
      <c r="E59" s="71">
        <f t="shared" si="255"/>
        <v>4.6499262029168466E-2</v>
      </c>
      <c r="F59" s="71">
        <f t="shared" si="255"/>
        <v>2.2852284782707642E-2</v>
      </c>
      <c r="G59" s="71">
        <f t="shared" si="255"/>
        <v>-3.6984119129704692E-3</v>
      </c>
      <c r="H59" s="71">
        <f t="shared" ref="H59:I59" si="256">H63/H7</f>
        <v>4.8692956475730353E-2</v>
      </c>
      <c r="I59" s="71">
        <f t="shared" si="256"/>
        <v>1.9152044836569026E-2</v>
      </c>
      <c r="J59" s="71">
        <f t="shared" ref="J59:K59" si="257">J63/J7</f>
        <v>-2.8941078924597575E-3</v>
      </c>
      <c r="K59" s="74">
        <f t="shared" si="257"/>
        <v>0</v>
      </c>
      <c r="L59" s="149"/>
      <c r="M59" s="71">
        <f t="shared" ref="M59:S59" si="258">M63/M7</f>
        <v>0</v>
      </c>
      <c r="N59" s="71">
        <f t="shared" si="258"/>
        <v>0</v>
      </c>
      <c r="O59" s="71">
        <f t="shared" si="258"/>
        <v>0</v>
      </c>
      <c r="P59" s="71">
        <f t="shared" si="258"/>
        <v>3.5944630513831934E-2</v>
      </c>
      <c r="Q59" s="71">
        <f t="shared" si="258"/>
        <v>0</v>
      </c>
      <c r="R59" s="71">
        <f t="shared" si="258"/>
        <v>0</v>
      </c>
      <c r="S59" s="71">
        <f t="shared" si="258"/>
        <v>0</v>
      </c>
      <c r="T59" s="71">
        <f t="shared" ref="T59:V59" si="259">T63/T7</f>
        <v>0.14077561645407882</v>
      </c>
      <c r="U59" s="71">
        <f t="shared" si="259"/>
        <v>0</v>
      </c>
      <c r="V59" s="71">
        <f t="shared" si="259"/>
        <v>0</v>
      </c>
      <c r="W59" s="71"/>
      <c r="X59" s="71">
        <f t="shared" ref="X59:Z59" si="260">X63/X7</f>
        <v>8.2658017617746438E-2</v>
      </c>
      <c r="Y59" s="71"/>
      <c r="Z59" s="71">
        <f t="shared" si="260"/>
        <v>0</v>
      </c>
      <c r="AA59" s="71"/>
      <c r="AB59" s="71">
        <f t="shared" ref="AB59" si="261">AB63/AB7</f>
        <v>-1.3528993086008051E-2</v>
      </c>
      <c r="AC59" s="71"/>
      <c r="AD59" s="71"/>
      <c r="AE59" s="71"/>
      <c r="AF59" s="71">
        <f t="shared" ref="AF59" si="262">AF63/AF7</f>
        <v>0.18285305796515192</v>
      </c>
      <c r="AG59" s="71"/>
      <c r="AH59" s="71"/>
      <c r="AI59" s="71"/>
      <c r="AJ59" s="71"/>
      <c r="AK59" s="71"/>
      <c r="AL59" s="71"/>
      <c r="AM59" s="71"/>
      <c r="AN59" s="71"/>
      <c r="AO59" s="71"/>
    </row>
    <row r="60" spans="2:43" ht="13.5" customHeight="1">
      <c r="C60" s="72"/>
      <c r="D60" s="72"/>
      <c r="E60" s="72"/>
      <c r="F60" s="72"/>
      <c r="G60" s="72"/>
      <c r="H60" s="72"/>
      <c r="I60" s="72"/>
      <c r="J60" s="72"/>
      <c r="K60" s="72"/>
      <c r="L60" s="149"/>
      <c r="M60" s="65"/>
      <c r="N60" s="65"/>
      <c r="O60" s="65"/>
      <c r="P60" s="14"/>
      <c r="Q60" s="65"/>
      <c r="R60" s="65"/>
      <c r="S60" s="65"/>
      <c r="T60" s="14"/>
      <c r="U60" s="65"/>
      <c r="V60" s="65"/>
      <c r="W60" s="65"/>
      <c r="X60" s="14"/>
      <c r="Y60" s="65"/>
      <c r="Z60" s="65"/>
      <c r="AA60" s="65"/>
      <c r="AB60" s="14"/>
      <c r="AC60" s="65"/>
      <c r="AD60" s="65"/>
      <c r="AE60" s="65"/>
      <c r="AF60" s="14"/>
      <c r="AG60" s="65"/>
      <c r="AH60" s="65"/>
      <c r="AI60" s="65"/>
      <c r="AJ60" s="14"/>
      <c r="AK60" s="65"/>
      <c r="AL60" s="65"/>
      <c r="AM60" s="65"/>
      <c r="AN60" s="14"/>
      <c r="AO60" s="65"/>
    </row>
    <row r="61" spans="2:43" ht="13.5" customHeight="1">
      <c r="B61" s="54" t="s">
        <v>230</v>
      </c>
      <c r="C61" s="58">
        <f t="shared" ref="C61:H61" si="263">C3</f>
        <v>43465</v>
      </c>
      <c r="D61" s="58">
        <f t="shared" si="263"/>
        <v>43830</v>
      </c>
      <c r="E61" s="58">
        <f t="shared" si="263"/>
        <v>44196</v>
      </c>
      <c r="F61" s="58">
        <f t="shared" si="263"/>
        <v>44561</v>
      </c>
      <c r="G61" s="58">
        <f t="shared" si="263"/>
        <v>44926</v>
      </c>
      <c r="H61" s="58">
        <f t="shared" si="263"/>
        <v>45291</v>
      </c>
      <c r="I61" s="58">
        <f t="shared" ref="I61:J61" si="264">I3</f>
        <v>45657</v>
      </c>
      <c r="J61" s="58">
        <f t="shared" si="264"/>
        <v>46022</v>
      </c>
      <c r="K61" s="58">
        <f t="shared" ref="K61" si="265">K3</f>
        <v>46112</v>
      </c>
      <c r="L61" s="149"/>
      <c r="M61" s="58">
        <f t="shared" ref="M61:S61" si="266">M3</f>
        <v>43555</v>
      </c>
      <c r="N61" s="58">
        <f t="shared" si="266"/>
        <v>43646</v>
      </c>
      <c r="O61" s="58">
        <f t="shared" si="266"/>
        <v>43738</v>
      </c>
      <c r="P61" s="58">
        <f t="shared" si="266"/>
        <v>43830</v>
      </c>
      <c r="Q61" s="58">
        <f t="shared" si="266"/>
        <v>43921</v>
      </c>
      <c r="R61" s="58">
        <f t="shared" si="266"/>
        <v>44012</v>
      </c>
      <c r="S61" s="58">
        <f t="shared" si="266"/>
        <v>44104</v>
      </c>
      <c r="T61" s="58">
        <f t="shared" ref="T61:W61" si="267">T3</f>
        <v>44196</v>
      </c>
      <c r="U61" s="58">
        <f t="shared" si="267"/>
        <v>44286</v>
      </c>
      <c r="V61" s="58">
        <f t="shared" si="267"/>
        <v>44377</v>
      </c>
      <c r="W61" s="58">
        <f t="shared" si="267"/>
        <v>44469</v>
      </c>
      <c r="X61" s="58">
        <f t="shared" ref="X61:AA61" si="268">X3</f>
        <v>44561</v>
      </c>
      <c r="Y61" s="58">
        <f t="shared" si="268"/>
        <v>44651</v>
      </c>
      <c r="Z61" s="58">
        <f t="shared" si="268"/>
        <v>44742</v>
      </c>
      <c r="AA61" s="58">
        <f t="shared" si="268"/>
        <v>44834</v>
      </c>
      <c r="AB61" s="58">
        <f t="shared" ref="AB61:AE61" si="269">AB3</f>
        <v>44926</v>
      </c>
      <c r="AC61" s="58">
        <f t="shared" si="269"/>
        <v>45016</v>
      </c>
      <c r="AD61" s="58">
        <f t="shared" si="269"/>
        <v>45107</v>
      </c>
      <c r="AE61" s="58">
        <f t="shared" si="269"/>
        <v>45199</v>
      </c>
      <c r="AF61" s="58">
        <f t="shared" ref="AF61:AI61" si="270">AF3</f>
        <v>45291</v>
      </c>
      <c r="AG61" s="58">
        <f t="shared" si="270"/>
        <v>45382</v>
      </c>
      <c r="AH61" s="58">
        <f t="shared" si="270"/>
        <v>45473</v>
      </c>
      <c r="AI61" s="58">
        <f t="shared" si="270"/>
        <v>45565</v>
      </c>
      <c r="AJ61" s="58">
        <f t="shared" ref="AJ61:AM61" si="271">AJ3</f>
        <v>45657</v>
      </c>
      <c r="AK61" s="58">
        <f t="shared" si="271"/>
        <v>45747</v>
      </c>
      <c r="AL61" s="58">
        <f t="shared" si="271"/>
        <v>45838</v>
      </c>
      <c r="AM61" s="58">
        <f t="shared" si="271"/>
        <v>45930</v>
      </c>
      <c r="AN61" s="58">
        <f t="shared" ref="AN61:AO61" si="272">AN3</f>
        <v>46022</v>
      </c>
      <c r="AO61" s="58">
        <f t="shared" si="272"/>
        <v>46112</v>
      </c>
    </row>
    <row r="62" spans="2:43" s="32" customFormat="1" ht="13.5" customHeight="1">
      <c r="B62" s="32" t="s">
        <v>227</v>
      </c>
      <c r="C62" s="57">
        <f t="shared" ref="C62:E62" si="273">C54</f>
        <v>-4733.8310000000001</v>
      </c>
      <c r="D62" s="57">
        <f t="shared" si="273"/>
        <v>7253.634</v>
      </c>
      <c r="E62" s="57">
        <f t="shared" si="273"/>
        <v>4737.8370000000004</v>
      </c>
      <c r="F62" s="57">
        <f t="shared" ref="F62:G62" si="274">F54</f>
        <v>-9694.0759999999991</v>
      </c>
      <c r="G62" s="57">
        <f t="shared" si="274"/>
        <v>9724.5889999999999</v>
      </c>
      <c r="H62" s="57">
        <f t="shared" ref="H62" si="275">H54</f>
        <v>23878.018</v>
      </c>
      <c r="I62" s="57">
        <f>I54</f>
        <v>49119.4</v>
      </c>
      <c r="J62" s="57">
        <f>J54</f>
        <v>-13783.205</v>
      </c>
      <c r="K62" s="179"/>
      <c r="L62" s="177"/>
      <c r="M62" s="179"/>
      <c r="N62" s="57">
        <f t="shared" ref="N62:V62" si="276">N54</f>
        <v>2330.8090000000002</v>
      </c>
      <c r="O62" s="179"/>
      <c r="P62" s="57">
        <f>D62-SUM(M62:O62)</f>
        <v>4922.8249999999998</v>
      </c>
      <c r="Q62" s="179"/>
      <c r="R62" s="57">
        <f t="shared" si="276"/>
        <v>2610.2550000000001</v>
      </c>
      <c r="S62" s="179"/>
      <c r="T62" s="57">
        <f>E62-SUM(Q62:S62)</f>
        <v>2127.5820000000003</v>
      </c>
      <c r="U62" s="179"/>
      <c r="V62" s="57">
        <f t="shared" si="276"/>
        <v>-1239.9860000000001</v>
      </c>
      <c r="W62" s="179"/>
      <c r="X62" s="57">
        <f>F62-SUM(U62:W62)</f>
        <v>-8454.0899999999983</v>
      </c>
      <c r="Y62" s="179"/>
      <c r="Z62" s="57">
        <f t="shared" ref="Z62" si="277">Z54</f>
        <v>3802.741</v>
      </c>
      <c r="AA62" s="179"/>
      <c r="AB62" s="57">
        <f>G62-SUM(Y62:AA62)</f>
        <v>5921.848</v>
      </c>
      <c r="AC62" s="179"/>
      <c r="AD62" s="57">
        <f t="shared" ref="AD62" si="278">AD54</f>
        <v>7682.3509999999997</v>
      </c>
      <c r="AE62" s="179"/>
      <c r="AF62" s="57">
        <f>H62-SUM(AC62:AE62)</f>
        <v>16195.667000000001</v>
      </c>
      <c r="AG62" s="179"/>
      <c r="AH62" s="57">
        <f t="shared" ref="AH62" si="279">AH54</f>
        <v>14997.268</v>
      </c>
      <c r="AI62" s="179"/>
      <c r="AJ62" s="179"/>
      <c r="AK62" s="179"/>
      <c r="AL62" s="179"/>
      <c r="AM62" s="179"/>
      <c r="AN62" s="179"/>
      <c r="AO62" s="179"/>
      <c r="AQ62" s="178"/>
    </row>
    <row r="63" spans="2:43" ht="13.5" customHeight="1">
      <c r="B63" s="70" t="s">
        <v>231</v>
      </c>
      <c r="C63" s="65">
        <f>-135.879-168.664+2100.697-1767.485</f>
        <v>28.669000000000096</v>
      </c>
      <c r="D63" s="65">
        <f>-272.974+94.966+1291.272-101.126</f>
        <v>1012.1379999999999</v>
      </c>
      <c r="E63" s="65">
        <f>-381.667-191.265+3991.118+1919.674</f>
        <v>5337.86</v>
      </c>
      <c r="F63" s="65">
        <f>-746.561-40.579+3345.963+1534.661</f>
        <v>4093.4840000000004</v>
      </c>
      <c r="G63" s="65">
        <f>(-1327089-377239-150117-481072+2357980+1483065-87112-425105-1784268-22527)/1000</f>
        <v>-813.48400000000004</v>
      </c>
      <c r="H63" s="65">
        <f>(-4760593-727944-1984534-141830+4381206+11368449+3467173+544757+1335720-6874)/1000</f>
        <v>13475.53</v>
      </c>
      <c r="I63" s="65">
        <f>(-185863-180257-3014154-428955+2992838+1328603+2599432+126556+3244784-17415)/1000</f>
        <v>6465.5690000000004</v>
      </c>
      <c r="J63" s="65">
        <f>(-2092785-735460-12918860-1281606+7767830+4098259+863304+598915+2642676+1798)/1000</f>
        <v>-1055.9290000000001</v>
      </c>
      <c r="K63" s="180"/>
      <c r="L63" s="14"/>
      <c r="M63" s="180"/>
      <c r="N63" s="65"/>
      <c r="O63" s="180"/>
      <c r="P63" s="14">
        <f>D63-SUM(M63:O63)</f>
        <v>1012.1379999999999</v>
      </c>
      <c r="Q63" s="180"/>
      <c r="R63" s="65">
        <v>0</v>
      </c>
      <c r="S63" s="180"/>
      <c r="T63" s="14">
        <f>E63-SUM(Q63:S63)</f>
        <v>5337.86</v>
      </c>
      <c r="U63" s="180"/>
      <c r="V63" s="65">
        <v>0</v>
      </c>
      <c r="W63" s="180"/>
      <c r="X63" s="14">
        <f>F63-SUM(U63:W63)</f>
        <v>4093.4840000000004</v>
      </c>
      <c r="Y63" s="180"/>
      <c r="Z63" s="65">
        <v>0</v>
      </c>
      <c r="AA63" s="180"/>
      <c r="AB63" s="14">
        <f t="shared" ref="AB63:AB65" si="280">G63-SUM(Y63:AA63)</f>
        <v>-813.48400000000004</v>
      </c>
      <c r="AC63" s="180"/>
      <c r="AD63" s="65">
        <v>0</v>
      </c>
      <c r="AE63" s="180"/>
      <c r="AF63" s="14">
        <f>H63-SUM(AC63:AE63)</f>
        <v>13475.53</v>
      </c>
      <c r="AG63" s="180"/>
      <c r="AH63" s="65">
        <v>0</v>
      </c>
      <c r="AI63" s="180"/>
      <c r="AJ63" s="180"/>
      <c r="AK63" s="180"/>
      <c r="AL63" s="180"/>
      <c r="AM63" s="180"/>
      <c r="AN63" s="180"/>
      <c r="AO63" s="180"/>
      <c r="AQ63" s="137"/>
    </row>
    <row r="64" spans="2:43" ht="13.5" customHeight="1">
      <c r="B64" s="70" t="s">
        <v>232</v>
      </c>
      <c r="C64" s="65">
        <v>-198.62899999999999</v>
      </c>
      <c r="D64" s="65">
        <v>-463.30399999999997</v>
      </c>
      <c r="E64" s="65">
        <v>-86.311000000000007</v>
      </c>
      <c r="F64" s="65">
        <v>-254.73</v>
      </c>
      <c r="G64" s="65">
        <v>-247.25800000000001</v>
      </c>
      <c r="H64" s="65">
        <v>-222.84899999999999</v>
      </c>
      <c r="I64" s="65">
        <v>-789.63599999999997</v>
      </c>
      <c r="J64" s="65">
        <v>-695.34799999999996</v>
      </c>
      <c r="K64" s="180"/>
      <c r="L64" s="14"/>
      <c r="M64" s="180"/>
      <c r="N64" s="65">
        <v>-127.598</v>
      </c>
      <c r="O64" s="180"/>
      <c r="P64" s="14">
        <f>D64-SUM(M64:O64)</f>
        <v>-335.70599999999996</v>
      </c>
      <c r="Q64" s="180"/>
      <c r="R64" s="65">
        <v>-90.713999999999999</v>
      </c>
      <c r="S64" s="180"/>
      <c r="T64" s="14">
        <f>E64-SUM(Q64:S64)</f>
        <v>4.4029999999999916</v>
      </c>
      <c r="U64" s="180"/>
      <c r="V64" s="65">
        <v>-169.679</v>
      </c>
      <c r="W64" s="180"/>
      <c r="X64" s="14">
        <f>F64-SUM(U64:W64)</f>
        <v>-85.050999999999988</v>
      </c>
      <c r="Y64" s="180"/>
      <c r="Z64" s="65">
        <v>-115.143</v>
      </c>
      <c r="AA64" s="180"/>
      <c r="AB64" s="14">
        <f t="shared" si="280"/>
        <v>-132.11500000000001</v>
      </c>
      <c r="AC64" s="180"/>
      <c r="AD64" s="65">
        <v>-143.608</v>
      </c>
      <c r="AE64" s="180"/>
      <c r="AF64" s="14">
        <f>H64-SUM(AC64:AE64)</f>
        <v>-79.240999999999985</v>
      </c>
      <c r="AG64" s="180"/>
      <c r="AH64" s="65">
        <v>-254.60900000000001</v>
      </c>
      <c r="AI64" s="180"/>
      <c r="AJ64" s="180"/>
      <c r="AK64" s="180"/>
      <c r="AL64" s="180"/>
      <c r="AM64" s="180"/>
      <c r="AN64" s="180"/>
      <c r="AO64" s="180"/>
      <c r="AQ64" s="137"/>
    </row>
    <row r="65" spans="2:43" ht="13.5" customHeight="1">
      <c r="B65" s="70" t="s">
        <v>233</v>
      </c>
      <c r="C65" s="65">
        <v>-62.042999999999999</v>
      </c>
      <c r="D65" s="65">
        <v>-218.69200000000001</v>
      </c>
      <c r="E65" s="65">
        <v>-218.61099999999999</v>
      </c>
      <c r="F65" s="65">
        <v>-620.12699999999995</v>
      </c>
      <c r="G65" s="65">
        <v>-1162.162</v>
      </c>
      <c r="H65" s="65">
        <v>-578.05799999999999</v>
      </c>
      <c r="I65" s="65">
        <v>-427.053</v>
      </c>
      <c r="J65" s="65">
        <v>-1281.4469999999999</v>
      </c>
      <c r="K65" s="180"/>
      <c r="L65" s="14"/>
      <c r="M65" s="180"/>
      <c r="N65" s="65">
        <v>-100.42400000000001</v>
      </c>
      <c r="O65" s="180"/>
      <c r="P65" s="14">
        <f>D65-SUM(M65:O65)</f>
        <v>-118.268</v>
      </c>
      <c r="Q65" s="180"/>
      <c r="R65" s="65">
        <v>-101.092</v>
      </c>
      <c r="S65" s="180"/>
      <c r="T65" s="14">
        <f>E65-SUM(Q65:S65)</f>
        <v>-117.51899999999999</v>
      </c>
      <c r="U65" s="180"/>
      <c r="V65" s="65">
        <v>-249.74799999999999</v>
      </c>
      <c r="W65" s="180"/>
      <c r="X65" s="14">
        <f>F65-SUM(U65:W65)</f>
        <v>-370.37899999999996</v>
      </c>
      <c r="Y65" s="180"/>
      <c r="Z65" s="65">
        <v>-393.61700000000002</v>
      </c>
      <c r="AA65" s="180"/>
      <c r="AB65" s="14">
        <f t="shared" si="280"/>
        <v>-768.54500000000007</v>
      </c>
      <c r="AC65" s="180"/>
      <c r="AD65" s="65">
        <v>-220.56299999999999</v>
      </c>
      <c r="AE65" s="180"/>
      <c r="AF65" s="14">
        <f>H65-SUM(AC65:AE65)</f>
        <v>-357.495</v>
      </c>
      <c r="AG65" s="180"/>
      <c r="AH65" s="65">
        <v>-219.46799999999999</v>
      </c>
      <c r="AI65" s="180"/>
      <c r="AJ65" s="180"/>
      <c r="AK65" s="180"/>
      <c r="AL65" s="180"/>
      <c r="AM65" s="180"/>
      <c r="AN65" s="180"/>
      <c r="AO65" s="180"/>
      <c r="AQ65" s="137"/>
    </row>
    <row r="66" spans="2:43" s="32" customFormat="1" ht="13.5" customHeight="1">
      <c r="B66" s="32" t="s">
        <v>234</v>
      </c>
      <c r="C66" s="112">
        <f t="shared" ref="C66:D66" si="281">SUM(C62:C65)</f>
        <v>-4965.8339999999998</v>
      </c>
      <c r="D66" s="112">
        <f t="shared" si="281"/>
        <v>7583.7760000000007</v>
      </c>
      <c r="E66" s="112">
        <f t="shared" ref="E66" si="282">SUM(E62:E65)</f>
        <v>9770.7749999999996</v>
      </c>
      <c r="F66" s="112">
        <f t="shared" ref="F66:G66" si="283">SUM(F62:F65)</f>
        <v>-6475.4489999999987</v>
      </c>
      <c r="G66" s="112">
        <f t="shared" si="283"/>
        <v>7501.6849999999995</v>
      </c>
      <c r="H66" s="112">
        <f t="shared" ref="H66:I66" si="284">SUM(H62:H65)</f>
        <v>36552.641000000003</v>
      </c>
      <c r="I66" s="112">
        <f t="shared" si="284"/>
        <v>54368.280000000006</v>
      </c>
      <c r="J66" s="112">
        <f t="shared" ref="J66" si="285">SUM(J62:J65)</f>
        <v>-16815.929</v>
      </c>
      <c r="K66" s="180"/>
      <c r="L66" s="57"/>
      <c r="M66" s="180"/>
      <c r="N66" s="112">
        <f t="shared" ref="N66:V66" si="286">SUM(N62:N65)</f>
        <v>2102.7870000000003</v>
      </c>
      <c r="O66" s="180"/>
      <c r="P66" s="57">
        <f t="shared" si="286"/>
        <v>5480.9889999999996</v>
      </c>
      <c r="Q66" s="180"/>
      <c r="R66" s="112">
        <f t="shared" si="286"/>
        <v>2418.4490000000001</v>
      </c>
      <c r="S66" s="180"/>
      <c r="T66" s="57">
        <f t="shared" si="286"/>
        <v>7352.326</v>
      </c>
      <c r="U66" s="180"/>
      <c r="V66" s="112">
        <f t="shared" si="286"/>
        <v>-1659.4130000000002</v>
      </c>
      <c r="W66" s="180"/>
      <c r="X66" s="57">
        <f t="shared" ref="X66" si="287">SUM(X62:X65)</f>
        <v>-4816.0359999999982</v>
      </c>
      <c r="Y66" s="180"/>
      <c r="Z66" s="112">
        <f t="shared" ref="Z66:AB66" si="288">SUM(Z62:Z65)</f>
        <v>3293.9809999999998</v>
      </c>
      <c r="AA66" s="180"/>
      <c r="AB66" s="112">
        <f t="shared" si="288"/>
        <v>4207.7039999999997</v>
      </c>
      <c r="AC66" s="180"/>
      <c r="AD66" s="112">
        <f t="shared" ref="AD66" si="289">SUM(AD62:AD65)</f>
        <v>7318.1799999999994</v>
      </c>
      <c r="AE66" s="180"/>
      <c r="AF66" s="112">
        <f t="shared" ref="AF66" si="290">SUM(AF62:AF65)</f>
        <v>29234.460999999999</v>
      </c>
      <c r="AG66" s="180"/>
      <c r="AH66" s="112">
        <f t="shared" ref="AH66" si="291">SUM(AH62:AH65)</f>
        <v>14523.190999999999</v>
      </c>
      <c r="AI66" s="180"/>
      <c r="AJ66" s="180"/>
      <c r="AK66" s="180"/>
      <c r="AL66" s="180"/>
      <c r="AM66" s="180"/>
      <c r="AN66" s="180"/>
      <c r="AO66" s="180"/>
      <c r="AQ66" s="137"/>
    </row>
    <row r="67" spans="2:43" ht="13.5" customHeight="1">
      <c r="B67" s="70" t="s">
        <v>235</v>
      </c>
      <c r="C67" s="65">
        <f>-2210.249+24.698</f>
        <v>-2185.5509999999999</v>
      </c>
      <c r="D67" s="65">
        <f>-2984.976+62.334-0</f>
        <v>-2922.6420000000003</v>
      </c>
      <c r="E67" s="65">
        <f>-11222.56+279.764-4578.91</f>
        <v>-15521.706</v>
      </c>
      <c r="F67" s="65">
        <f>-9010.455+106.219</f>
        <v>-8904.2360000000008</v>
      </c>
      <c r="G67" s="65">
        <f>-5731.304+407.603</f>
        <v>-5323.701</v>
      </c>
      <c r="H67" s="65">
        <f>-6879.551+301.073</f>
        <v>-6578.4780000000001</v>
      </c>
      <c r="I67" s="65">
        <f>(-10999490+897206)/1000</f>
        <v>-10102.284</v>
      </c>
      <c r="J67" s="65">
        <f>-13270.708+439.93</f>
        <v>-12830.778</v>
      </c>
      <c r="K67" s="180"/>
      <c r="L67" s="14"/>
      <c r="M67" s="180"/>
      <c r="N67" s="113">
        <f>-1463.481+13.842</f>
        <v>-1449.6389999999999</v>
      </c>
      <c r="O67" s="180"/>
      <c r="P67" s="14">
        <f>D67-SUM(M67:O67)</f>
        <v>-1473.0030000000004</v>
      </c>
      <c r="Q67" s="180"/>
      <c r="R67" s="65">
        <f>-2984.545+141.601</f>
        <v>-2842.944</v>
      </c>
      <c r="S67" s="180"/>
      <c r="T67" s="14">
        <f>E67-SUM(Q67:S67)</f>
        <v>-12678.762000000001</v>
      </c>
      <c r="U67" s="180"/>
      <c r="V67" s="65">
        <f>-3358.165+39.394-2158.629</f>
        <v>-5477.4</v>
      </c>
      <c r="W67" s="180"/>
      <c r="X67" s="14">
        <f>F67-SUM(U67:W67)</f>
        <v>-3426.8360000000011</v>
      </c>
      <c r="Y67" s="180"/>
      <c r="Z67" s="65">
        <f>-3222.881+120.825</f>
        <v>-3102.056</v>
      </c>
      <c r="AA67" s="180"/>
      <c r="AB67" s="14">
        <f t="shared" ref="AB67:AB69" si="292">G67-SUM(Y67:AA67)</f>
        <v>-2221.645</v>
      </c>
      <c r="AC67" s="180"/>
      <c r="AD67" s="65">
        <f>-1942.244+125.144</f>
        <v>-1817.1</v>
      </c>
      <c r="AE67" s="180"/>
      <c r="AF67" s="14">
        <f>H67-SUM(AC67:AE67)</f>
        <v>-4761.3780000000006</v>
      </c>
      <c r="AG67" s="180"/>
      <c r="AH67" s="65">
        <f>-5770.528+286.851</f>
        <v>-5483.6770000000006</v>
      </c>
      <c r="AI67" s="180"/>
      <c r="AJ67" s="180"/>
      <c r="AK67" s="180"/>
      <c r="AL67" s="180"/>
      <c r="AM67" s="180"/>
      <c r="AN67" s="180"/>
      <c r="AO67" s="180"/>
      <c r="AQ67" s="137"/>
    </row>
    <row r="68" spans="2:43" ht="13.5" customHeight="1">
      <c r="B68" s="70" t="s">
        <v>236</v>
      </c>
      <c r="C68" s="65">
        <f>-69.712+3.897</f>
        <v>-65.814999999999998</v>
      </c>
      <c r="D68" s="65">
        <f>-16.76+1.938</f>
        <v>-14.822000000000001</v>
      </c>
      <c r="E68" s="65">
        <v>-22.966000000000001</v>
      </c>
      <c r="F68" s="65">
        <v>0</v>
      </c>
      <c r="G68" s="65">
        <v>0</v>
      </c>
      <c r="H68" s="65">
        <v>0</v>
      </c>
      <c r="I68" s="65">
        <v>0</v>
      </c>
      <c r="J68" s="65">
        <v>0</v>
      </c>
      <c r="K68" s="180"/>
      <c r="L68" s="14"/>
      <c r="M68" s="180"/>
      <c r="N68" s="65">
        <f>-7.662+1.938</f>
        <v>-5.7240000000000002</v>
      </c>
      <c r="O68" s="180"/>
      <c r="P68" s="14">
        <f>D68-SUM(M68:O68)</f>
        <v>-9.0980000000000008</v>
      </c>
      <c r="Q68" s="180"/>
      <c r="R68" s="65">
        <v>-8.4469999999999992</v>
      </c>
      <c r="S68" s="180"/>
      <c r="T68" s="14">
        <f>E68-SUM(Q68:S68)</f>
        <v>-14.519000000000002</v>
      </c>
      <c r="U68" s="180"/>
      <c r="V68" s="65">
        <v>-27.981999999999999</v>
      </c>
      <c r="W68" s="180"/>
      <c r="X68" s="14">
        <f>F68-SUM(U68:W68)</f>
        <v>27.981999999999999</v>
      </c>
      <c r="Y68" s="180"/>
      <c r="Z68" s="65">
        <v>0</v>
      </c>
      <c r="AA68" s="180"/>
      <c r="AB68" s="14">
        <f t="shared" si="292"/>
        <v>0</v>
      </c>
      <c r="AC68" s="180"/>
      <c r="AD68" s="65">
        <v>0</v>
      </c>
      <c r="AE68" s="180"/>
      <c r="AF68" s="14">
        <f>H68-SUM(AC68:AE68)</f>
        <v>0</v>
      </c>
      <c r="AG68" s="180"/>
      <c r="AH68" s="65">
        <v>0</v>
      </c>
      <c r="AI68" s="180"/>
      <c r="AJ68" s="180"/>
      <c r="AK68" s="180"/>
      <c r="AL68" s="180"/>
      <c r="AM68" s="180"/>
      <c r="AN68" s="180"/>
      <c r="AO68" s="180"/>
      <c r="AQ68" s="137"/>
    </row>
    <row r="69" spans="2:43" ht="13.5" customHeight="1">
      <c r="B69" s="70" t="s">
        <v>237</v>
      </c>
      <c r="C69" s="65">
        <v>-7260.0870000000004</v>
      </c>
      <c r="D69" s="65">
        <v>-1365.9749999999999</v>
      </c>
      <c r="E69" s="65">
        <v>-26.849</v>
      </c>
      <c r="F69" s="65">
        <v>-13.786</v>
      </c>
      <c r="G69" s="65">
        <v>-89.236999999999995</v>
      </c>
      <c r="H69" s="65">
        <v>365.11399999999998</v>
      </c>
      <c r="I69" s="65">
        <v>-36.158000000000001</v>
      </c>
      <c r="J69" s="65">
        <f>-96.246+1.622</f>
        <v>-94.623999999999995</v>
      </c>
      <c r="K69" s="180"/>
      <c r="L69" s="14"/>
      <c r="M69" s="180"/>
      <c r="N69" s="65">
        <f>-449.764-1.025</f>
        <v>-450.78899999999999</v>
      </c>
      <c r="O69" s="180"/>
      <c r="P69" s="14">
        <f>D69-SUM(M69:O69)</f>
        <v>-915.18599999999992</v>
      </c>
      <c r="Q69" s="180"/>
      <c r="R69" s="65">
        <v>0</v>
      </c>
      <c r="S69" s="180"/>
      <c r="T69" s="14">
        <f>E69-SUM(Q69:S69)</f>
        <v>-26.849</v>
      </c>
      <c r="U69" s="180"/>
      <c r="V69" s="65">
        <v>-867.327</v>
      </c>
      <c r="W69" s="180"/>
      <c r="X69" s="14">
        <f>F69-SUM(U69:W69)</f>
        <v>853.54100000000005</v>
      </c>
      <c r="Y69" s="180"/>
      <c r="Z69" s="65">
        <v>-88.528999999999996</v>
      </c>
      <c r="AA69" s="180"/>
      <c r="AB69" s="14">
        <f t="shared" si="292"/>
        <v>-0.70799999999999841</v>
      </c>
      <c r="AC69" s="180"/>
      <c r="AD69" s="65">
        <v>-8.9030000000000005</v>
      </c>
      <c r="AE69" s="180"/>
      <c r="AF69" s="14">
        <f>H69-SUM(AC69:AE69)</f>
        <v>374.017</v>
      </c>
      <c r="AG69" s="180"/>
      <c r="AH69" s="65">
        <v>-36.158000000000001</v>
      </c>
      <c r="AI69" s="180"/>
      <c r="AJ69" s="180"/>
      <c r="AK69" s="180"/>
      <c r="AL69" s="180"/>
      <c r="AM69" s="180"/>
      <c r="AN69" s="180"/>
      <c r="AO69" s="180"/>
      <c r="AQ69" s="137"/>
    </row>
    <row r="70" spans="2:43" s="32" customFormat="1" ht="13.5" customHeight="1">
      <c r="B70" s="114" t="s">
        <v>238</v>
      </c>
      <c r="C70" s="57">
        <f t="shared" ref="C70:D70" si="293">SUM(C66:C69)</f>
        <v>-14477.287</v>
      </c>
      <c r="D70" s="57">
        <f t="shared" si="293"/>
        <v>3280.337</v>
      </c>
      <c r="E70" s="57">
        <f t="shared" ref="E70" si="294">SUM(E66:E69)</f>
        <v>-5800.746000000001</v>
      </c>
      <c r="F70" s="57">
        <f t="shared" ref="F70:G70" si="295">SUM(F66:F69)</f>
        <v>-15393.471</v>
      </c>
      <c r="G70" s="57">
        <f t="shared" si="295"/>
        <v>2088.7469999999994</v>
      </c>
      <c r="H70" s="57">
        <f t="shared" ref="H70:I70" si="296">SUM(H66:H69)</f>
        <v>30339.277000000006</v>
      </c>
      <c r="I70" s="57">
        <f t="shared" si="296"/>
        <v>44229.838000000003</v>
      </c>
      <c r="J70" s="57">
        <f t="shared" ref="J70" si="297">SUM(J66:J69)</f>
        <v>-29741.331000000002</v>
      </c>
      <c r="K70" s="180"/>
      <c r="L70" s="57"/>
      <c r="M70" s="180"/>
      <c r="N70" s="57">
        <f t="shared" ref="N70:V70" si="298">SUM(N66:N69)</f>
        <v>196.63500000000033</v>
      </c>
      <c r="O70" s="180"/>
      <c r="P70" s="57">
        <f t="shared" si="298"/>
        <v>3083.7019999999993</v>
      </c>
      <c r="Q70" s="180"/>
      <c r="R70" s="57">
        <f t="shared" si="298"/>
        <v>-432.94199999999989</v>
      </c>
      <c r="S70" s="180"/>
      <c r="T70" s="57">
        <f t="shared" si="298"/>
        <v>-5367.804000000001</v>
      </c>
      <c r="U70" s="180"/>
      <c r="V70" s="57">
        <f t="shared" si="298"/>
        <v>-8032.1220000000003</v>
      </c>
      <c r="W70" s="180"/>
      <c r="X70" s="57">
        <f t="shared" ref="X70" si="299">SUM(X66:X69)</f>
        <v>-7361.3489999999993</v>
      </c>
      <c r="Y70" s="180"/>
      <c r="Z70" s="57">
        <f t="shared" ref="Z70:AB70" si="300">SUM(Z66:Z69)</f>
        <v>103.39599999999973</v>
      </c>
      <c r="AA70" s="180"/>
      <c r="AB70" s="57">
        <f t="shared" si="300"/>
        <v>1985.3509999999997</v>
      </c>
      <c r="AC70" s="180"/>
      <c r="AD70" s="57">
        <f t="shared" ref="AD70" si="301">SUM(AD66:AD69)</f>
        <v>5492.1769999999997</v>
      </c>
      <c r="AE70" s="180"/>
      <c r="AF70" s="57">
        <f t="shared" ref="AF70" si="302">SUM(AF66:AF69)</f>
        <v>24847.1</v>
      </c>
      <c r="AG70" s="180"/>
      <c r="AH70" s="57">
        <f t="shared" ref="AH70" si="303">SUM(AH66:AH69)</f>
        <v>9003.3559999999998</v>
      </c>
      <c r="AI70" s="180"/>
      <c r="AJ70" s="180"/>
      <c r="AK70" s="180"/>
      <c r="AL70" s="180"/>
      <c r="AM70" s="180"/>
      <c r="AN70" s="180"/>
      <c r="AO70" s="180"/>
    </row>
    <row r="71" spans="2:43" s="32" customFormat="1" ht="13.5" customHeight="1">
      <c r="B71" s="70" t="s">
        <v>239</v>
      </c>
      <c r="C71" s="65">
        <f>-91205.155+75235.65-163.675+3453.916-1599.549+0.231+533.068+0-247.673</f>
        <v>-13993.187000000004</v>
      </c>
      <c r="D71" s="65">
        <f>-177154.553+170248.473-141.025+323.377-455.987+35.808+1315.886-35.365-20.954</f>
        <v>-5884.3400000000147</v>
      </c>
      <c r="E71" s="65">
        <f>-196817.451+199496.075-2367.376+601.37-7326.69+1629.777-875.919-19.181</f>
        <v>-5679.3949999999886</v>
      </c>
      <c r="F71" s="65">
        <f>-409062.234+364318.074+70.806-5040.733-867.327+996.319-1205.221+1234.179-42</f>
        <v>-49598.136999999973</v>
      </c>
      <c r="G71" s="65">
        <f>-187401.376+179619.759-40+1.63-3240.76+72.748+1438.076-736.914+874.424+42</f>
        <v>-9370.4130000000005</v>
      </c>
      <c r="H71" s="65">
        <f>-24663.844-SUM(H67:H69)</f>
        <v>-18450.48</v>
      </c>
      <c r="I71" s="65">
        <f>10205.252-SUM(I67,I68,I69)</f>
        <v>20343.694</v>
      </c>
      <c r="J71" s="65">
        <f>-84812.835+127476.188+3143.852+956.884-4011.142+164.484-230+10.839</f>
        <v>42698.269999999982</v>
      </c>
      <c r="K71" s="180"/>
      <c r="L71" s="150"/>
      <c r="M71" s="180"/>
      <c r="N71" s="65">
        <f>-93727.052+87301.456+323.377-338.893+566.346-14.607</f>
        <v>-5889.3729999999905</v>
      </c>
      <c r="O71" s="180"/>
      <c r="P71" s="14">
        <f>D71-SUM(M71:O71)</f>
        <v>5.0329999999758002</v>
      </c>
      <c r="Q71" s="180"/>
      <c r="R71" s="65">
        <f>-89623.882+93389.672+295.137-1190.123+821.471+37.081-96.385</f>
        <v>3632.9710000000082</v>
      </c>
      <c r="S71" s="180"/>
      <c r="T71" s="14">
        <f>E71-SUM(Q71:S71)</f>
        <v>-9312.3659999999963</v>
      </c>
      <c r="U71" s="180"/>
      <c r="V71" s="65">
        <f>-254715.588+246137.75+67.4-1691.595+599.022-470.483</f>
        <v>-10073.493999999988</v>
      </c>
      <c r="W71" s="180"/>
      <c r="X71" s="14">
        <f>F71-SUM(U71:W71)</f>
        <v>-39524.642999999982</v>
      </c>
      <c r="Y71" s="180"/>
      <c r="Z71" s="65">
        <f>-7446.679-Z69-Z68-Z67</f>
        <v>-4256.0939999999991</v>
      </c>
      <c r="AA71" s="180"/>
      <c r="AB71" s="14">
        <f t="shared" ref="AB71:AB75" si="304">G71-SUM(Y71:AA71)</f>
        <v>-5114.3190000000013</v>
      </c>
      <c r="AC71" s="180"/>
      <c r="AD71" s="65">
        <f>-10548.255-AD69-AD68-AD67</f>
        <v>-8722.2519999999986</v>
      </c>
      <c r="AE71" s="180"/>
      <c r="AF71" s="14">
        <f>H71-SUM(AC71:AE71)</f>
        <v>-9728.228000000001</v>
      </c>
      <c r="AG71" s="180"/>
      <c r="AH71" s="65">
        <f>28571.875-AH69-AH68-AH67</f>
        <v>34091.71</v>
      </c>
      <c r="AI71" s="180"/>
      <c r="AJ71" s="180"/>
      <c r="AK71" s="180"/>
      <c r="AL71" s="180"/>
      <c r="AM71" s="180"/>
      <c r="AN71" s="180"/>
      <c r="AO71" s="180"/>
    </row>
    <row r="72" spans="2:43" ht="13.5" customHeight="1">
      <c r="B72" s="70" t="s">
        <v>240</v>
      </c>
      <c r="C72" s="65">
        <f>28516.174-854.63</f>
        <v>27661.543999999998</v>
      </c>
      <c r="D72" s="65">
        <v>0</v>
      </c>
      <c r="E72" s="65">
        <v>0</v>
      </c>
      <c r="F72" s="65">
        <f>45286.099</f>
        <v>45286.099000000002</v>
      </c>
      <c r="G72" s="65">
        <v>170.34100000000001</v>
      </c>
      <c r="H72" s="65">
        <v>193.49199999999999</v>
      </c>
      <c r="I72" s="65">
        <f>(152038-26089621)/1000</f>
        <v>-25937.582999999999</v>
      </c>
      <c r="J72" s="65">
        <f>55.496-364.843</f>
        <v>-309.34700000000004</v>
      </c>
      <c r="K72" s="180"/>
      <c r="L72" s="14"/>
      <c r="M72" s="180"/>
      <c r="N72" s="65">
        <v>0</v>
      </c>
      <c r="O72" s="180"/>
      <c r="P72" s="14">
        <f>D72-SUM(M72:O72)</f>
        <v>0</v>
      </c>
      <c r="Q72" s="180"/>
      <c r="R72" s="65">
        <f>0.09</f>
        <v>0.09</v>
      </c>
      <c r="S72" s="180"/>
      <c r="T72" s="14">
        <f>E72-SUM(Q72:S72)</f>
        <v>-0.09</v>
      </c>
      <c r="U72" s="180"/>
      <c r="V72" s="65">
        <f>42694.27</f>
        <v>42694.27</v>
      </c>
      <c r="W72" s="180"/>
      <c r="X72" s="14">
        <f>F72-SUM(U72:W72)</f>
        <v>2591.8290000000052</v>
      </c>
      <c r="Y72" s="180"/>
      <c r="Z72" s="65">
        <v>90.826999999999998</v>
      </c>
      <c r="AA72" s="180"/>
      <c r="AB72" s="14">
        <f t="shared" si="304"/>
        <v>79.51400000000001</v>
      </c>
      <c r="AC72" s="180"/>
      <c r="AD72" s="65">
        <v>116.877</v>
      </c>
      <c r="AE72" s="180"/>
      <c r="AF72" s="14">
        <f>H72-SUM(AC72:AE72)</f>
        <v>76.614999999999995</v>
      </c>
      <c r="AG72" s="180"/>
      <c r="AH72" s="65">
        <f>24.644-12452.616</f>
        <v>-12427.972</v>
      </c>
      <c r="AI72" s="180"/>
      <c r="AJ72" s="180"/>
      <c r="AK72" s="180"/>
      <c r="AL72" s="180"/>
      <c r="AM72" s="180"/>
      <c r="AN72" s="180"/>
      <c r="AO72" s="180"/>
    </row>
    <row r="73" spans="2:43" ht="13.5" customHeight="1">
      <c r="B73" s="70" t="s">
        <v>241</v>
      </c>
      <c r="C73" s="65">
        <f>65.954-4</f>
        <v>61.953999999999994</v>
      </c>
      <c r="D73" s="65">
        <v>13.760999999999999</v>
      </c>
      <c r="E73" s="65">
        <v>18.911999999999999</v>
      </c>
      <c r="F73" s="65">
        <v>24.324999999999999</v>
      </c>
      <c r="G73" s="65">
        <v>69.781999999999996</v>
      </c>
      <c r="H73" s="65">
        <f>-2.45</f>
        <v>-2.4500000000000002</v>
      </c>
      <c r="I73" s="65">
        <v>-3.1850000000000001</v>
      </c>
      <c r="J73" s="65">
        <v>0</v>
      </c>
      <c r="K73" s="180"/>
      <c r="L73" s="14"/>
      <c r="M73" s="180"/>
      <c r="N73" s="65">
        <v>9.7010000000000005</v>
      </c>
      <c r="O73" s="180"/>
      <c r="P73" s="14">
        <f>D73-SUM(M73:O73)</f>
        <v>4.0599999999999987</v>
      </c>
      <c r="Q73" s="180"/>
      <c r="R73" s="65">
        <v>17.196999999999999</v>
      </c>
      <c r="S73" s="180"/>
      <c r="T73" s="14">
        <f>E73-SUM(Q73:S73)</f>
        <v>1.7149999999999999</v>
      </c>
      <c r="U73" s="180"/>
      <c r="V73" s="65">
        <v>16.972000000000001</v>
      </c>
      <c r="W73" s="180"/>
      <c r="X73" s="14">
        <f>F73-SUM(U73:W73)</f>
        <v>7.352999999999998</v>
      </c>
      <c r="Y73" s="180"/>
      <c r="Z73" s="65">
        <v>0</v>
      </c>
      <c r="AA73" s="180"/>
      <c r="AB73" s="14">
        <f t="shared" si="304"/>
        <v>69.781999999999996</v>
      </c>
      <c r="AC73" s="180"/>
      <c r="AD73" s="65">
        <v>0</v>
      </c>
      <c r="AE73" s="180"/>
      <c r="AF73" s="14">
        <f>H73-SUM(AC73:AE73)</f>
        <v>-2.4500000000000002</v>
      </c>
      <c r="AG73" s="180"/>
      <c r="AH73" s="65">
        <v>0</v>
      </c>
      <c r="AI73" s="180"/>
      <c r="AJ73" s="180"/>
      <c r="AK73" s="180"/>
      <c r="AL73" s="180"/>
      <c r="AM73" s="180"/>
      <c r="AN73" s="180"/>
      <c r="AO73" s="180"/>
    </row>
    <row r="74" spans="2:43" ht="13.5" customHeight="1">
      <c r="B74" s="70" t="s">
        <v>242</v>
      </c>
      <c r="C74" s="65">
        <f>2305-1057</f>
        <v>1248</v>
      </c>
      <c r="D74" s="65">
        <f>3640-2250-785.825</f>
        <v>604.17499999999995</v>
      </c>
      <c r="E74" s="65">
        <f>10900.292-5448.702+13337.825-936.38</f>
        <v>17853.035</v>
      </c>
      <c r="F74" s="65">
        <f>25346.479-9578.283+19288.691-2191.299</f>
        <v>32865.588000000003</v>
      </c>
      <c r="G74" s="65">
        <f>25844.975-32704.167-2619.636</f>
        <v>-9478.8280000000032</v>
      </c>
      <c r="H74" s="65">
        <f>42809.865-42146.859-2969.089</f>
        <v>-2306.0829999999987</v>
      </c>
      <c r="I74" s="65">
        <f>(20262380-21491985-3097904)/1000</f>
        <v>-4327.509</v>
      </c>
      <c r="J74" s="65">
        <f>42232.27-5344.353-10719.867-3334.579</f>
        <v>22833.470999999994</v>
      </c>
      <c r="K74" s="180"/>
      <c r="L74" s="14"/>
      <c r="M74" s="180"/>
      <c r="N74" s="65">
        <f>1800-600</f>
        <v>1200</v>
      </c>
      <c r="O74" s="180"/>
      <c r="P74" s="14">
        <f>D74-SUM(M74:O74)</f>
        <v>-595.82500000000005</v>
      </c>
      <c r="Q74" s="180"/>
      <c r="R74" s="65">
        <f>2467-2540</f>
        <v>-73</v>
      </c>
      <c r="S74" s="180"/>
      <c r="T74" s="14">
        <f>E74-SUM(Q74:S74)</f>
        <v>17926.035</v>
      </c>
      <c r="U74" s="180"/>
      <c r="V74" s="65">
        <f>13630.748-2791.956+19304.945</f>
        <v>30143.737000000001</v>
      </c>
      <c r="W74" s="180"/>
      <c r="X74" s="14">
        <f>F74-SUM(U74:W74)</f>
        <v>2721.8510000000024</v>
      </c>
      <c r="Y74" s="180"/>
      <c r="Z74" s="65">
        <f>7163.269-3820.001-1362.87</f>
        <v>1980.3980000000001</v>
      </c>
      <c r="AA74" s="180"/>
      <c r="AB74" s="14">
        <f t="shared" si="304"/>
        <v>-11459.226000000002</v>
      </c>
      <c r="AC74" s="180"/>
      <c r="AD74" s="65">
        <f>8357.508-8749.119-1480.645</f>
        <v>-1872.2560000000008</v>
      </c>
      <c r="AE74" s="180"/>
      <c r="AF74" s="14">
        <f>H74-SUM(AC74:AE74)</f>
        <v>-433.82699999999795</v>
      </c>
      <c r="AG74" s="180"/>
      <c r="AH74" s="65">
        <f>2306.776-20791.985-1559.332</f>
        <v>-20044.541000000001</v>
      </c>
      <c r="AI74" s="180"/>
      <c r="AJ74" s="180"/>
      <c r="AK74" s="180"/>
      <c r="AL74" s="180"/>
      <c r="AM74" s="180"/>
      <c r="AN74" s="180"/>
      <c r="AO74" s="180"/>
    </row>
    <row r="75" spans="2:43" ht="13.5" customHeight="1">
      <c r="B75" s="70" t="s">
        <v>243</v>
      </c>
      <c r="C75" s="65">
        <f>470+0-176.261+158.054</f>
        <v>451.79300000000001</v>
      </c>
      <c r="D75" s="65">
        <f>-107.969+467-75.162+444.915</f>
        <v>728.78400000000011</v>
      </c>
      <c r="E75" s="65">
        <f>-830.031+114.6+499.088</f>
        <v>-216.3429999999999</v>
      </c>
      <c r="F75" s="65">
        <f>275.371+791.4</f>
        <v>1066.771</v>
      </c>
      <c r="G75" s="65">
        <f>480.448</f>
        <v>480.44799999999998</v>
      </c>
      <c r="H75" s="65">
        <f>278.72-366.924</f>
        <v>-88.203999999999951</v>
      </c>
      <c r="I75" s="65">
        <f>(280670)/1000</f>
        <v>280.67</v>
      </c>
      <c r="J75" s="65">
        <v>0</v>
      </c>
      <c r="K75" s="180"/>
      <c r="L75" s="14"/>
      <c r="M75" s="180"/>
      <c r="N75" s="65">
        <f>467-398.845+131.499</f>
        <v>199.65399999999997</v>
      </c>
      <c r="O75" s="180"/>
      <c r="P75" s="14">
        <f>D75-SUM(M75:O75)</f>
        <v>529.13000000000011</v>
      </c>
      <c r="Q75" s="180"/>
      <c r="R75" s="65">
        <f>-377.074+40.95-623.138+220.44</f>
        <v>-738.82200000000012</v>
      </c>
      <c r="S75" s="180"/>
      <c r="T75" s="14">
        <f>E75-SUM(Q75:S75)</f>
        <v>522.47900000000027</v>
      </c>
      <c r="U75" s="180"/>
      <c r="V75" s="65">
        <f>-878.633+791.4+89.319</f>
        <v>2.0859999999999417</v>
      </c>
      <c r="W75" s="180"/>
      <c r="X75" s="14">
        <f>F75-SUM(U75:W75)</f>
        <v>1064.6849999999999</v>
      </c>
      <c r="Y75" s="180"/>
      <c r="Z75" s="65">
        <f>380.448</f>
        <v>380.44799999999998</v>
      </c>
      <c r="AA75" s="180"/>
      <c r="AB75" s="14">
        <f t="shared" si="304"/>
        <v>100</v>
      </c>
      <c r="AC75" s="180"/>
      <c r="AD75" s="65">
        <f>278.72</f>
        <v>278.72000000000003</v>
      </c>
      <c r="AE75" s="180"/>
      <c r="AF75" s="14">
        <f>H75-SUM(AC75:AE75)</f>
        <v>-366.92399999999998</v>
      </c>
      <c r="AG75" s="180"/>
      <c r="AH75" s="65">
        <f>278.29</f>
        <v>278.29000000000002</v>
      </c>
      <c r="AI75" s="180"/>
      <c r="AJ75" s="180"/>
      <c r="AK75" s="180"/>
      <c r="AL75" s="180"/>
      <c r="AM75" s="180"/>
      <c r="AN75" s="180"/>
      <c r="AO75" s="180"/>
    </row>
    <row r="76" spans="2:43" ht="13.5" customHeight="1">
      <c r="B76" s="114" t="s">
        <v>244</v>
      </c>
      <c r="C76" s="57">
        <f t="shared" ref="C76:D76" si="305">SUM(C70:C75)</f>
        <v>952.81699999999603</v>
      </c>
      <c r="D76" s="57">
        <f t="shared" si="305"/>
        <v>-1257.2830000000147</v>
      </c>
      <c r="E76" s="57">
        <f t="shared" ref="E76" si="306">SUM(E70:E75)</f>
        <v>6175.4630000000116</v>
      </c>
      <c r="F76" s="57">
        <f t="shared" ref="F76:G76" si="307">SUM(F70:F75)</f>
        <v>14251.175000000036</v>
      </c>
      <c r="G76" s="57">
        <f t="shared" si="307"/>
        <v>-16039.923000000003</v>
      </c>
      <c r="H76" s="57">
        <f t="shared" ref="H76:I76" si="308">SUM(H70:H75)</f>
        <v>9685.552000000007</v>
      </c>
      <c r="I76" s="57">
        <f t="shared" si="308"/>
        <v>34585.92500000001</v>
      </c>
      <c r="J76" s="57">
        <f t="shared" ref="J76" si="309">SUM(J70:J75)</f>
        <v>35481.062999999973</v>
      </c>
      <c r="K76" s="180"/>
      <c r="L76" s="57"/>
      <c r="M76" s="180"/>
      <c r="N76" s="57">
        <f t="shared" ref="N76:V76" si="310">SUM(N70:N75)</f>
        <v>-4283.3829999999907</v>
      </c>
      <c r="O76" s="180"/>
      <c r="P76" s="57">
        <f t="shared" si="310"/>
        <v>3026.0999999999749</v>
      </c>
      <c r="Q76" s="180"/>
      <c r="R76" s="57">
        <f t="shared" si="310"/>
        <v>2405.4940000000083</v>
      </c>
      <c r="S76" s="180"/>
      <c r="T76" s="57">
        <f t="shared" si="310"/>
        <v>3769.9690000000019</v>
      </c>
      <c r="U76" s="180"/>
      <c r="V76" s="57">
        <f t="shared" si="310"/>
        <v>54751.449000000015</v>
      </c>
      <c r="W76" s="180"/>
      <c r="X76" s="57">
        <f t="shared" ref="X76" si="311">SUM(X70:X75)</f>
        <v>-40500.273999999976</v>
      </c>
      <c r="Y76" s="180"/>
      <c r="Z76" s="57">
        <f t="shared" ref="Z76:AB76" si="312">SUM(Z70:Z75)</f>
        <v>-1701.0249999999992</v>
      </c>
      <c r="AA76" s="180"/>
      <c r="AB76" s="57">
        <f t="shared" si="312"/>
        <v>-14338.898000000005</v>
      </c>
      <c r="AC76" s="180"/>
      <c r="AD76" s="57">
        <f t="shared" ref="AD76" si="313">SUM(AD70:AD75)</f>
        <v>-4706.7339999999995</v>
      </c>
      <c r="AE76" s="180"/>
      <c r="AF76" s="57">
        <f t="shared" ref="AF76" si="314">SUM(AF70:AF75)</f>
        <v>14392.286</v>
      </c>
      <c r="AG76" s="180"/>
      <c r="AH76" s="57">
        <f t="shared" ref="AH76" si="315">SUM(AH70:AH75)</f>
        <v>10900.842999999997</v>
      </c>
      <c r="AI76" s="180"/>
      <c r="AJ76" s="180"/>
      <c r="AK76" s="180"/>
      <c r="AL76" s="180"/>
      <c r="AM76" s="180"/>
      <c r="AN76" s="180"/>
      <c r="AO76" s="180"/>
    </row>
    <row r="77" spans="2:43" s="189" customFormat="1" ht="13.5" customHeight="1">
      <c r="B77" s="70" t="s">
        <v>245</v>
      </c>
      <c r="C77" s="187">
        <f>-3323.21-C76</f>
        <v>-4276.0269999999964</v>
      </c>
      <c r="D77" s="187">
        <f>-3485.531-D76</f>
        <v>-2228.247999999985</v>
      </c>
      <c r="E77" s="187">
        <f>4661.09-E76</f>
        <v>-1514.3730000000114</v>
      </c>
      <c r="F77" s="187">
        <f>16095.04-F76</f>
        <v>1843.8649999999652</v>
      </c>
      <c r="G77" s="187">
        <f>-13292.322-G76</f>
        <v>2747.6010000000024</v>
      </c>
      <c r="H77" s="187">
        <f>13076.703-H76</f>
        <v>3391.1509999999926</v>
      </c>
      <c r="I77" s="187">
        <f>36937.376-I76</f>
        <v>2351.4509999999864</v>
      </c>
      <c r="J77" s="187">
        <f>37200.544-J76</f>
        <v>1719.4810000000289</v>
      </c>
      <c r="K77" s="188"/>
      <c r="L77" s="187"/>
      <c r="M77" s="188"/>
      <c r="N77" s="187">
        <f>-6636.371-M76-M77-N76</f>
        <v>-2352.9880000000094</v>
      </c>
      <c r="O77" s="188"/>
      <c r="P77" s="187">
        <f>D77-SUM(M77:O77)</f>
        <v>124.74000000002434</v>
      </c>
      <c r="Q77" s="188"/>
      <c r="R77" s="187">
        <f>431.111-R76-Q76-Q77</f>
        <v>-1974.3830000000085</v>
      </c>
      <c r="S77" s="188"/>
      <c r="T77" s="187">
        <f>E77-SUM(Q77:S77)</f>
        <v>460.00999999999704</v>
      </c>
      <c r="U77" s="188"/>
      <c r="V77" s="187">
        <f>54611.414-V76-U76-U77</f>
        <v>-140.03500000001804</v>
      </c>
      <c r="W77" s="188"/>
      <c r="X77" s="187">
        <f>F77-SUM(U77:W77)</f>
        <v>1983.8999999999833</v>
      </c>
      <c r="Y77" s="188"/>
      <c r="Z77" s="187">
        <f>-7433.488-Z76-Y76-Y77</f>
        <v>-5732.4630000000016</v>
      </c>
      <c r="AA77" s="188"/>
      <c r="AB77" s="187">
        <f t="shared" ref="AB77:AB78" si="316">G77-SUM(Y77:AA77)</f>
        <v>8480.0640000000039</v>
      </c>
      <c r="AC77" s="188"/>
      <c r="AD77" s="187">
        <f>6670.946-AD76-AC76-AC77</f>
        <v>11377.68</v>
      </c>
      <c r="AE77" s="188"/>
      <c r="AF77" s="187">
        <f>H77-SUM(AC77:AE77)</f>
        <v>-7986.5290000000077</v>
      </c>
      <c r="AG77" s="188"/>
      <c r="AH77" s="187">
        <f>21196.521-AH76-AG76-AG77</f>
        <v>10295.678000000004</v>
      </c>
      <c r="AI77" s="188"/>
      <c r="AJ77" s="188"/>
      <c r="AK77" s="188"/>
      <c r="AL77" s="188"/>
      <c r="AM77" s="188"/>
      <c r="AN77" s="188"/>
      <c r="AO77" s="188"/>
    </row>
    <row r="78" spans="2:43" ht="13.5" customHeight="1">
      <c r="B78" s="70" t="s">
        <v>246</v>
      </c>
      <c r="C78" s="65">
        <v>1009.587</v>
      </c>
      <c r="D78" s="65">
        <v>-173.44200000000001</v>
      </c>
      <c r="E78" s="65">
        <v>-963.71600000000001</v>
      </c>
      <c r="F78" s="65">
        <v>-675.17100000000005</v>
      </c>
      <c r="G78" s="65">
        <v>937.5</v>
      </c>
      <c r="H78" s="65">
        <v>104.44499999999999</v>
      </c>
      <c r="I78" s="65">
        <v>556.96699999999998</v>
      </c>
      <c r="J78" s="65">
        <v>-1263.2750000000001</v>
      </c>
      <c r="K78" s="180"/>
      <c r="L78" s="14"/>
      <c r="M78" s="180"/>
      <c r="N78" s="65">
        <v>-198.44800000000001</v>
      </c>
      <c r="O78" s="180"/>
      <c r="P78" s="14">
        <f>D78-SUM(M78:O78)</f>
        <v>25.006</v>
      </c>
      <c r="Q78" s="180"/>
      <c r="R78" s="65">
        <v>107.76</v>
      </c>
      <c r="S78" s="180"/>
      <c r="T78" s="14">
        <f>E78-SUM(Q78:S78)</f>
        <v>-1071.4760000000001</v>
      </c>
      <c r="U78" s="180"/>
      <c r="V78" s="65">
        <v>-317.10399999999998</v>
      </c>
      <c r="W78" s="180"/>
      <c r="X78" s="14">
        <f>F78-SUM(U78:W78)</f>
        <v>-358.06700000000006</v>
      </c>
      <c r="Y78" s="180"/>
      <c r="Z78" s="65">
        <v>457.06599999999997</v>
      </c>
      <c r="AA78" s="180"/>
      <c r="AB78" s="14">
        <f t="shared" si="316"/>
        <v>480.43400000000003</v>
      </c>
      <c r="AC78" s="180"/>
      <c r="AD78" s="65">
        <v>173.48599999999999</v>
      </c>
      <c r="AE78" s="180"/>
      <c r="AF78" s="14">
        <f>H78-SUM(AC78:AE78)</f>
        <v>-69.040999999999997</v>
      </c>
      <c r="AG78" s="180"/>
      <c r="AH78" s="65">
        <v>167.893</v>
      </c>
      <c r="AI78" s="180"/>
      <c r="AJ78" s="180"/>
      <c r="AK78" s="180"/>
      <c r="AL78" s="180"/>
      <c r="AM78" s="180"/>
      <c r="AN78" s="180"/>
      <c r="AO78" s="180"/>
    </row>
    <row r="79" spans="2:43" ht="13.5" customHeight="1">
      <c r="B79" s="70" t="s">
        <v>247</v>
      </c>
      <c r="C79" s="14">
        <f t="shared" ref="C79" si="317">SUM(C76:C78)</f>
        <v>-2313.6230000000005</v>
      </c>
      <c r="D79" s="14">
        <f t="shared" ref="D79:E79" si="318">SUM(D76:D78)</f>
        <v>-3658.973</v>
      </c>
      <c r="E79" s="14">
        <f t="shared" si="318"/>
        <v>3697.3740000000003</v>
      </c>
      <c r="F79" s="14">
        <f t="shared" ref="F79:G79" si="319">SUM(F76:F78)</f>
        <v>15419.869000000001</v>
      </c>
      <c r="G79" s="14">
        <f t="shared" si="319"/>
        <v>-12354.822</v>
      </c>
      <c r="H79" s="14">
        <f t="shared" ref="H79:I79" si="320">SUM(H76:H78)</f>
        <v>13181.147999999999</v>
      </c>
      <c r="I79" s="14">
        <f t="shared" si="320"/>
        <v>37494.342999999993</v>
      </c>
      <c r="J79" s="14">
        <f t="shared" ref="J79" si="321">SUM(J76:J78)</f>
        <v>35937.269</v>
      </c>
      <c r="K79" s="180"/>
      <c r="L79" s="14"/>
      <c r="M79" s="180"/>
      <c r="N79" s="14">
        <f t="shared" ref="N79:V79" si="322">SUM(N76:N78)</f>
        <v>-6834.8190000000004</v>
      </c>
      <c r="O79" s="180"/>
      <c r="P79" s="14">
        <f t="shared" si="322"/>
        <v>3175.8459999999991</v>
      </c>
      <c r="Q79" s="180"/>
      <c r="R79" s="14">
        <f t="shared" si="322"/>
        <v>538.87099999999987</v>
      </c>
      <c r="S79" s="180"/>
      <c r="T79" s="14">
        <f t="shared" si="322"/>
        <v>3158.5029999999992</v>
      </c>
      <c r="U79" s="180"/>
      <c r="V79" s="14">
        <f t="shared" si="322"/>
        <v>54294.31</v>
      </c>
      <c r="W79" s="180"/>
      <c r="X79" s="14">
        <f t="shared" ref="X79" si="323">SUM(X76:X78)</f>
        <v>-38874.440999999999</v>
      </c>
      <c r="Y79" s="180"/>
      <c r="Z79" s="14">
        <f t="shared" ref="Z79" si="324">SUM(Z76:Z78)</f>
        <v>-6976.4220000000014</v>
      </c>
      <c r="AA79" s="180"/>
      <c r="AB79" s="14">
        <f t="shared" ref="AB79" si="325">SUM(AB76:AB78)</f>
        <v>-5378.4000000000005</v>
      </c>
      <c r="AC79" s="180"/>
      <c r="AD79" s="14">
        <f t="shared" ref="AD79" si="326">SUM(AD76:AD78)</f>
        <v>6844.4320000000007</v>
      </c>
      <c r="AE79" s="180"/>
      <c r="AF79" s="14">
        <f t="shared" ref="AF79" si="327">SUM(AF76:AF78)</f>
        <v>6336.7159999999922</v>
      </c>
      <c r="AG79" s="180"/>
      <c r="AH79" s="14">
        <f t="shared" ref="AH79" si="328">SUM(AH76:AH78)</f>
        <v>21364.414000000001</v>
      </c>
      <c r="AI79" s="180"/>
      <c r="AJ79" s="180"/>
      <c r="AK79" s="180"/>
      <c r="AL79" s="180"/>
      <c r="AM79" s="180"/>
      <c r="AN79" s="180"/>
      <c r="AO79" s="180"/>
    </row>
    <row r="80" spans="2:43" ht="13.5" customHeight="1">
      <c r="B80" s="114" t="s">
        <v>248</v>
      </c>
      <c r="C80" s="57">
        <f>19408.839+C79-51.524</f>
        <v>17043.691999999999</v>
      </c>
      <c r="D80" s="57">
        <f>C80+D79+11.466</f>
        <v>13396.184999999999</v>
      </c>
      <c r="E80" s="57">
        <f t="shared" ref="E80:J80" si="329">D80+E79</f>
        <v>17093.559000000001</v>
      </c>
      <c r="F80" s="57">
        <f t="shared" si="329"/>
        <v>32513.428</v>
      </c>
      <c r="G80" s="57">
        <f t="shared" si="329"/>
        <v>20158.606</v>
      </c>
      <c r="H80" s="57">
        <f t="shared" si="329"/>
        <v>33339.754000000001</v>
      </c>
      <c r="I80" s="57">
        <f t="shared" si="329"/>
        <v>70834.096999999994</v>
      </c>
      <c r="J80" s="57">
        <f t="shared" si="329"/>
        <v>106771.36599999999</v>
      </c>
      <c r="K80" s="180"/>
      <c r="L80" s="151"/>
      <c r="M80" s="180"/>
      <c r="N80" s="57">
        <f>C80+N79+28.377</f>
        <v>10237.25</v>
      </c>
      <c r="O80" s="180"/>
      <c r="P80" s="57">
        <f>N80+P79+11.466-28.377</f>
        <v>13396.184999999999</v>
      </c>
      <c r="Q80" s="180"/>
      <c r="R80" s="57">
        <f>D80+R79</f>
        <v>13935.055999999999</v>
      </c>
      <c r="S80" s="180"/>
      <c r="T80" s="57">
        <f>R80+T79</f>
        <v>17093.558999999997</v>
      </c>
      <c r="U80" s="180"/>
      <c r="V80" s="57">
        <f>E80+V79</f>
        <v>71387.869000000006</v>
      </c>
      <c r="W80" s="180"/>
      <c r="X80" s="57">
        <f>V80+X79</f>
        <v>32513.428000000007</v>
      </c>
      <c r="Y80" s="180"/>
      <c r="Z80" s="57">
        <f>X80+Z79</f>
        <v>25537.006000000005</v>
      </c>
      <c r="AA80" s="180"/>
      <c r="AB80" s="57">
        <f>Z80+AB79</f>
        <v>20158.606000000003</v>
      </c>
      <c r="AC80" s="180"/>
      <c r="AD80" s="57">
        <f>AB80+AD79</f>
        <v>27003.038000000004</v>
      </c>
      <c r="AE80" s="180"/>
      <c r="AF80" s="57">
        <f>AD80+AF79</f>
        <v>33339.753999999994</v>
      </c>
      <c r="AG80" s="180"/>
      <c r="AH80" s="57">
        <f>AF80+AH79</f>
        <v>54704.167999999991</v>
      </c>
      <c r="AI80" s="180"/>
      <c r="AJ80" s="180"/>
      <c r="AK80" s="180"/>
      <c r="AL80" s="180"/>
      <c r="AM80" s="180"/>
      <c r="AN80" s="180"/>
      <c r="AO80" s="180"/>
    </row>
    <row r="81" spans="2:41" ht="13.5" customHeight="1">
      <c r="B81" s="114"/>
      <c r="C81" s="65"/>
      <c r="D81" s="65"/>
      <c r="E81" s="65"/>
      <c r="F81" s="65"/>
      <c r="G81" s="65"/>
      <c r="H81" s="65"/>
      <c r="I81" s="65"/>
      <c r="J81" s="65"/>
      <c r="K81" s="14"/>
      <c r="L81" s="14"/>
      <c r="M81" s="65"/>
      <c r="N81" s="65"/>
      <c r="O81" s="65"/>
      <c r="P81" s="14"/>
      <c r="Q81" s="65"/>
      <c r="R81" s="65"/>
      <c r="S81" s="65"/>
      <c r="T81" s="14"/>
      <c r="U81" s="65"/>
      <c r="V81" s="65"/>
      <c r="W81" s="65"/>
      <c r="X81" s="14"/>
      <c r="Y81" s="65"/>
      <c r="Z81" s="65"/>
      <c r="AA81" s="65"/>
      <c r="AB81" s="14"/>
      <c r="AC81" s="65"/>
      <c r="AD81" s="65"/>
      <c r="AE81" s="65"/>
      <c r="AF81" s="14"/>
      <c r="AG81" s="65"/>
      <c r="AH81" s="65"/>
      <c r="AI81" s="65"/>
      <c r="AJ81" s="14"/>
      <c r="AK81" s="65"/>
      <c r="AL81" s="65"/>
      <c r="AM81" s="65"/>
      <c r="AN81" s="14"/>
      <c r="AO81" s="65"/>
    </row>
    <row r="82" spans="2:41" ht="11.25" customHeight="1">
      <c r="B82" s="115" t="s">
        <v>249</v>
      </c>
      <c r="C82" s="181">
        <f t="shared" ref="C82:J82" si="330">+C80-C122</f>
        <v>0</v>
      </c>
      <c r="D82" s="181">
        <f t="shared" si="330"/>
        <v>0</v>
      </c>
      <c r="E82" s="181">
        <f t="shared" si="330"/>
        <v>0</v>
      </c>
      <c r="F82" s="181">
        <f t="shared" si="330"/>
        <v>0</v>
      </c>
      <c r="G82" s="181">
        <f t="shared" si="330"/>
        <v>0</v>
      </c>
      <c r="H82" s="181">
        <f t="shared" si="330"/>
        <v>0</v>
      </c>
      <c r="I82" s="181">
        <f t="shared" si="330"/>
        <v>0</v>
      </c>
      <c r="J82" s="181">
        <f t="shared" si="330"/>
        <v>0</v>
      </c>
      <c r="K82" s="181"/>
      <c r="L82" s="182"/>
      <c r="M82" s="181"/>
      <c r="N82" s="181">
        <f>+N80-N122</f>
        <v>0</v>
      </c>
      <c r="O82" s="181"/>
      <c r="P82" s="181">
        <f>+P80-P122+49435.599</f>
        <v>49435.599000000002</v>
      </c>
      <c r="Q82" s="181"/>
      <c r="R82" s="181">
        <f>+R80-R122+44522.946</f>
        <v>44522.946000000004</v>
      </c>
      <c r="S82" s="181"/>
      <c r="T82" s="181">
        <f>+T80-T122+43999.364</f>
        <v>43999.364000000001</v>
      </c>
      <c r="U82" s="181"/>
      <c r="V82" s="181">
        <f>+V80-V122</f>
        <v>0</v>
      </c>
      <c r="W82" s="181"/>
      <c r="X82" s="181">
        <f>+X80-X122</f>
        <v>0</v>
      </c>
      <c r="Y82" s="181"/>
      <c r="Z82" s="181">
        <f>+Z80-Z122</f>
        <v>0</v>
      </c>
      <c r="AA82" s="181"/>
      <c r="AB82" s="181">
        <f>+AB80-AB122</f>
        <v>0</v>
      </c>
      <c r="AC82" s="181"/>
      <c r="AD82" s="181">
        <f>+AD80-AD122</f>
        <v>0</v>
      </c>
      <c r="AE82" s="181"/>
      <c r="AF82" s="181">
        <f>+AF80-AF122</f>
        <v>0</v>
      </c>
      <c r="AG82" s="181"/>
      <c r="AH82" s="181">
        <f>+AH80-AH122</f>
        <v>0</v>
      </c>
      <c r="AI82" s="181"/>
      <c r="AJ82" s="181"/>
      <c r="AK82" s="181"/>
      <c r="AL82" s="181"/>
      <c r="AM82" s="181"/>
      <c r="AN82" s="181"/>
      <c r="AO82" s="181"/>
    </row>
    <row r="83" spans="2:41" ht="13.5" customHeight="1">
      <c r="B83" s="115" t="s">
        <v>250</v>
      </c>
      <c r="C83" s="183">
        <f xml:space="preserve">  -9179.818-(C66+C77)+C65</f>
        <v>-2.1529444893531036E-12</v>
      </c>
      <c r="D83" s="183">
        <f>5574.22  -(D66+D77)+D65</f>
        <v>-1.546140993013978E-11</v>
      </c>
      <c r="E83" s="183">
        <f>8475.013-(E66+E77)+E65</f>
        <v>1.3528733688872308E-11</v>
      </c>
      <c r="F83" s="183">
        <f>-4011.457-(F66+F77)+F65</f>
        <v>3.3651303965598345E-11</v>
      </c>
      <c r="G83" s="183">
        <f>11411.448-(G66+G77)+G65</f>
        <v>0</v>
      </c>
      <c r="H83" s="183">
        <f>40521.85-(H66+H77)+H65</f>
        <v>4.5474735088646412E-12</v>
      </c>
      <c r="I83" s="183">
        <f>57146.784-(I66+I77)+I65</f>
        <v>7.1622707764618099E-12</v>
      </c>
      <c r="J83" s="183">
        <f>-13815.001-(J66+J77)+J65</f>
        <v>-2.8876456781290472E-11</v>
      </c>
      <c r="K83" s="184"/>
      <c r="L83" s="185"/>
      <c r="M83" s="183"/>
      <c r="N83" s="183">
        <f>-149.777-(N66+N77)+N65</f>
        <v>9.1233687271596864E-12</v>
      </c>
      <c r="O83" s="183"/>
      <c r="P83" s="186"/>
      <c r="Q83" s="183"/>
      <c r="R83" s="183">
        <f>545.338-(R66+R77)+R65</f>
        <v>0.18000000000834859</v>
      </c>
      <c r="S83" s="183"/>
      <c r="T83" s="186"/>
      <c r="U83" s="183"/>
      <c r="V83" s="186">
        <f>-1549.7-(V66+V77)+V65</f>
        <v>1.8246737454319373E-11</v>
      </c>
      <c r="W83" s="186"/>
      <c r="X83" s="186"/>
      <c r="Y83" s="183"/>
      <c r="Z83" s="186">
        <f>-2044.865-(Z66+Z77)+Z65</f>
        <v>1.7621459846850485E-12</v>
      </c>
      <c r="AA83" s="186"/>
      <c r="AB83" s="186"/>
      <c r="AC83" s="183"/>
      <c r="AD83" s="186">
        <f>18916.423-(AD66+AD77)+AD65</f>
        <v>-1.7053025658242404E-12</v>
      </c>
      <c r="AE83" s="186"/>
      <c r="AF83" s="186"/>
      <c r="AG83" s="183"/>
      <c r="AH83" s="186">
        <f>25038.337-(AH66+AH77)+AH65</f>
        <v>-2.8705926524708048E-12</v>
      </c>
      <c r="AI83" s="186"/>
      <c r="AJ83" s="186"/>
      <c r="AK83" s="183"/>
      <c r="AL83" s="186"/>
      <c r="AM83" s="186"/>
      <c r="AN83" s="186"/>
      <c r="AO83" s="183"/>
    </row>
    <row r="84" spans="2:41" ht="11.25" customHeight="1">
      <c r="C84" s="69"/>
      <c r="D84" s="69"/>
      <c r="E84" s="69"/>
      <c r="F84" s="69"/>
      <c r="G84" s="69"/>
      <c r="H84" s="69"/>
      <c r="I84" s="69"/>
      <c r="J84" s="69"/>
      <c r="K84" s="69"/>
      <c r="L84" s="68"/>
      <c r="M84" s="69"/>
      <c r="N84" s="69"/>
      <c r="O84" s="69"/>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row>
    <row r="85" spans="2:41" ht="13.5" customHeight="1">
      <c r="B85" s="54" t="s">
        <v>251</v>
      </c>
      <c r="C85" s="58">
        <f t="shared" ref="C85:H85" si="331">C3</f>
        <v>43465</v>
      </c>
      <c r="D85" s="58">
        <f t="shared" si="331"/>
        <v>43830</v>
      </c>
      <c r="E85" s="58">
        <f t="shared" si="331"/>
        <v>44196</v>
      </c>
      <c r="F85" s="58">
        <f t="shared" si="331"/>
        <v>44561</v>
      </c>
      <c r="G85" s="58">
        <f t="shared" si="331"/>
        <v>44926</v>
      </c>
      <c r="H85" s="58">
        <f t="shared" si="331"/>
        <v>45291</v>
      </c>
      <c r="I85" s="58">
        <f t="shared" ref="I85:J85" si="332">I3</f>
        <v>45657</v>
      </c>
      <c r="J85" s="58">
        <f t="shared" si="332"/>
        <v>46022</v>
      </c>
      <c r="K85" s="58">
        <f t="shared" ref="K85" si="333">K3</f>
        <v>46112</v>
      </c>
      <c r="L85" s="146"/>
      <c r="M85" s="58">
        <f t="shared" ref="M85:S85" si="334">M3</f>
        <v>43555</v>
      </c>
      <c r="N85" s="58">
        <f t="shared" si="334"/>
        <v>43646</v>
      </c>
      <c r="O85" s="58">
        <f t="shared" si="334"/>
        <v>43738</v>
      </c>
      <c r="P85" s="58">
        <f t="shared" si="334"/>
        <v>43830</v>
      </c>
      <c r="Q85" s="58">
        <f t="shared" si="334"/>
        <v>43921</v>
      </c>
      <c r="R85" s="58">
        <f t="shared" si="334"/>
        <v>44012</v>
      </c>
      <c r="S85" s="58">
        <f t="shared" si="334"/>
        <v>44104</v>
      </c>
      <c r="T85" s="58">
        <f t="shared" ref="T85:W85" si="335">T3</f>
        <v>44196</v>
      </c>
      <c r="U85" s="58">
        <f t="shared" si="335"/>
        <v>44286</v>
      </c>
      <c r="V85" s="58">
        <f t="shared" si="335"/>
        <v>44377</v>
      </c>
      <c r="W85" s="58">
        <f t="shared" si="335"/>
        <v>44469</v>
      </c>
      <c r="X85" s="58">
        <f t="shared" ref="X85:AA85" si="336">X3</f>
        <v>44561</v>
      </c>
      <c r="Y85" s="58">
        <f t="shared" si="336"/>
        <v>44651</v>
      </c>
      <c r="Z85" s="58">
        <f t="shared" si="336"/>
        <v>44742</v>
      </c>
      <c r="AA85" s="58">
        <f t="shared" si="336"/>
        <v>44834</v>
      </c>
      <c r="AB85" s="58">
        <f t="shared" ref="AB85:AE85" si="337">AB3</f>
        <v>44926</v>
      </c>
      <c r="AC85" s="58">
        <f t="shared" si="337"/>
        <v>45016</v>
      </c>
      <c r="AD85" s="58">
        <f t="shared" si="337"/>
        <v>45107</v>
      </c>
      <c r="AE85" s="58">
        <f t="shared" si="337"/>
        <v>45199</v>
      </c>
      <c r="AF85" s="58">
        <f t="shared" ref="AF85:AI85" si="338">AF3</f>
        <v>45291</v>
      </c>
      <c r="AG85" s="58">
        <f t="shared" si="338"/>
        <v>45382</v>
      </c>
      <c r="AH85" s="58">
        <f t="shared" si="338"/>
        <v>45473</v>
      </c>
      <c r="AI85" s="58">
        <f t="shared" si="338"/>
        <v>45565</v>
      </c>
      <c r="AJ85" s="58">
        <f t="shared" ref="AJ85:AM85" si="339">AJ3</f>
        <v>45657</v>
      </c>
      <c r="AK85" s="58">
        <f t="shared" si="339"/>
        <v>45747</v>
      </c>
      <c r="AL85" s="58">
        <f t="shared" si="339"/>
        <v>45838</v>
      </c>
      <c r="AM85" s="58">
        <f t="shared" si="339"/>
        <v>45930</v>
      </c>
      <c r="AN85" s="58">
        <f t="shared" ref="AN85:AO85" si="340">AN3</f>
        <v>46022</v>
      </c>
      <c r="AO85" s="58">
        <f t="shared" si="340"/>
        <v>46112</v>
      </c>
    </row>
    <row r="86" spans="2:41" ht="13.5" customHeight="1">
      <c r="B86" s="29" t="str">
        <f t="shared" ref="B86:F86" si="341">B7</f>
        <v>Revenue</v>
      </c>
      <c r="C86" s="14">
        <f t="shared" si="341"/>
        <v>65227.277999999998</v>
      </c>
      <c r="D86" s="14">
        <f t="shared" si="341"/>
        <v>97528.531000000003</v>
      </c>
      <c r="E86" s="14">
        <f t="shared" si="341"/>
        <v>114794.51</v>
      </c>
      <c r="F86" s="14">
        <f t="shared" si="341"/>
        <v>179127.997</v>
      </c>
      <c r="G86" s="14">
        <f t="shared" ref="G86:H86" si="342">G7</f>
        <v>219954.948</v>
      </c>
      <c r="H86" s="14">
        <f t="shared" si="342"/>
        <v>276744.95400000003</v>
      </c>
      <c r="I86" s="14">
        <f t="shared" ref="I86:J86" si="343">I7</f>
        <v>337591.576</v>
      </c>
      <c r="J86" s="14">
        <f t="shared" si="343"/>
        <v>364854.74599999998</v>
      </c>
      <c r="K86" s="14">
        <f t="shared" ref="K86" si="344">K7</f>
        <v>369687.50699999998</v>
      </c>
      <c r="L86" s="14"/>
      <c r="M86" s="180"/>
      <c r="N86" s="180"/>
      <c r="O86" s="180"/>
      <c r="P86" s="14">
        <f t="shared" ref="P86:AN86" si="345">SUM(M7:P7)</f>
        <v>97528.531000000003</v>
      </c>
      <c r="Q86" s="14">
        <f t="shared" si="345"/>
        <v>95108.906000000017</v>
      </c>
      <c r="R86" s="14">
        <f t="shared" si="345"/>
        <v>97127.606000000014</v>
      </c>
      <c r="S86" s="14">
        <f t="shared" si="345"/>
        <v>105035.25900000002</v>
      </c>
      <c r="T86" s="14">
        <f t="shared" si="345"/>
        <v>114794.51</v>
      </c>
      <c r="U86" s="14">
        <f t="shared" si="345"/>
        <v>135056.88500000001</v>
      </c>
      <c r="V86" s="14">
        <f t="shared" si="345"/>
        <v>154094.28</v>
      </c>
      <c r="W86" s="14">
        <f t="shared" si="345"/>
        <v>167522.36800000002</v>
      </c>
      <c r="X86" s="14">
        <f t="shared" si="345"/>
        <v>179127.997</v>
      </c>
      <c r="Y86" s="14">
        <f t="shared" si="345"/>
        <v>188380.489</v>
      </c>
      <c r="Z86" s="14">
        <f t="shared" si="345"/>
        <v>195559.62</v>
      </c>
      <c r="AA86" s="14">
        <f t="shared" si="345"/>
        <v>209349.14199999999</v>
      </c>
      <c r="AB86" s="14">
        <f t="shared" si="345"/>
        <v>219954.948</v>
      </c>
      <c r="AC86" s="14">
        <f t="shared" si="345"/>
        <v>232303.66600000003</v>
      </c>
      <c r="AD86" s="14">
        <f t="shared" si="345"/>
        <v>249329.92700000003</v>
      </c>
      <c r="AE86" s="14">
        <f t="shared" si="345"/>
        <v>263177.94200000004</v>
      </c>
      <c r="AF86" s="14">
        <f t="shared" si="345"/>
        <v>276744.95400000003</v>
      </c>
      <c r="AG86" s="14">
        <f t="shared" si="345"/>
        <v>291403.36600000004</v>
      </c>
      <c r="AH86" s="14">
        <f t="shared" si="345"/>
        <v>305689.81900000002</v>
      </c>
      <c r="AI86" s="14">
        <f t="shared" si="345"/>
        <v>322800.23100000003</v>
      </c>
      <c r="AJ86" s="14">
        <f t="shared" si="345"/>
        <v>337591.576</v>
      </c>
      <c r="AK86" s="14">
        <f t="shared" si="345"/>
        <v>350521.837</v>
      </c>
      <c r="AL86" s="14">
        <f t="shared" si="345"/>
        <v>360111.24</v>
      </c>
      <c r="AM86" s="14">
        <f t="shared" si="345"/>
        <v>362022.03399999999</v>
      </c>
      <c r="AN86" s="14">
        <f t="shared" si="345"/>
        <v>364854.74599999998</v>
      </c>
      <c r="AO86" s="14">
        <f>SUM(AL7:AO7)</f>
        <v>369687.50699999998</v>
      </c>
    </row>
    <row r="87" spans="2:41" ht="13.5" customHeight="1">
      <c r="B87" s="29" t="s">
        <v>207</v>
      </c>
      <c r="C87" s="14">
        <f t="shared" ref="C87:G87" si="346">C19</f>
        <v>-11085.796999999999</v>
      </c>
      <c r="D87" s="14">
        <f t="shared" si="346"/>
        <v>2679.8600000000079</v>
      </c>
      <c r="E87" s="14">
        <f t="shared" si="346"/>
        <v>4330.1019999999917</v>
      </c>
      <c r="F87" s="14">
        <f t="shared" si="346"/>
        <v>-23127.198999999993</v>
      </c>
      <c r="G87" s="14">
        <f t="shared" si="346"/>
        <v>-5820.448000000004</v>
      </c>
      <c r="H87" s="14">
        <f t="shared" ref="H87:I87" si="347">H19</f>
        <v>13415.387000000017</v>
      </c>
      <c r="I87" s="14">
        <f t="shared" si="347"/>
        <v>36844.95600000002</v>
      </c>
      <c r="J87" s="14">
        <f t="shared" ref="J87:K87" si="348">J19</f>
        <v>-25041.136999999988</v>
      </c>
      <c r="K87" s="14">
        <f t="shared" si="348"/>
        <v>-42077.057999999961</v>
      </c>
      <c r="L87" s="14"/>
      <c r="M87" s="180"/>
      <c r="N87" s="180"/>
      <c r="O87" s="180"/>
      <c r="P87" s="14">
        <f t="shared" ref="P87:AO87" si="349">SUM(M19:P19)</f>
        <v>2679.8600000000142</v>
      </c>
      <c r="Q87" s="14">
        <f t="shared" si="349"/>
        <v>2267.9720000000116</v>
      </c>
      <c r="R87" s="14">
        <f t="shared" si="349"/>
        <v>3330.0390000000116</v>
      </c>
      <c r="S87" s="14">
        <f t="shared" si="349"/>
        <v>8606.6580000000104</v>
      </c>
      <c r="T87" s="14">
        <f t="shared" si="349"/>
        <v>4330.101999999998</v>
      </c>
      <c r="U87" s="14">
        <f t="shared" si="349"/>
        <v>1278.6250000000018</v>
      </c>
      <c r="V87" s="14">
        <f t="shared" si="349"/>
        <v>-4147.724999999994</v>
      </c>
      <c r="W87" s="14">
        <f t="shared" si="349"/>
        <v>-20974.038999999993</v>
      </c>
      <c r="X87" s="14">
        <f t="shared" si="349"/>
        <v>-23127.19899999999</v>
      </c>
      <c r="Y87" s="14">
        <f t="shared" si="349"/>
        <v>-23944.433999999983</v>
      </c>
      <c r="Z87" s="14">
        <f t="shared" si="349"/>
        <v>-21185.566999999988</v>
      </c>
      <c r="AA87" s="14">
        <f t="shared" si="349"/>
        <v>-10094.713999999987</v>
      </c>
      <c r="AB87" s="14">
        <f t="shared" si="349"/>
        <v>-5820.4479999999839</v>
      </c>
      <c r="AC87" s="14">
        <f t="shared" si="349"/>
        <v>3349.5150000000103</v>
      </c>
      <c r="AD87" s="14">
        <f t="shared" si="349"/>
        <v>8555.3520000000117</v>
      </c>
      <c r="AE87" s="14">
        <f t="shared" si="349"/>
        <v>10925.66300000002</v>
      </c>
      <c r="AF87" s="14">
        <f t="shared" si="349"/>
        <v>13415.38700000003</v>
      </c>
      <c r="AG87" s="14">
        <f t="shared" si="349"/>
        <v>15039.058000000037</v>
      </c>
      <c r="AH87" s="14">
        <f t="shared" si="349"/>
        <v>21582.94800000004</v>
      </c>
      <c r="AI87" s="14">
        <f t="shared" si="349"/>
        <v>31909.591000000033</v>
      </c>
      <c r="AJ87" s="14">
        <f t="shared" si="349"/>
        <v>36844.95600000002</v>
      </c>
      <c r="AK87" s="14">
        <f t="shared" si="349"/>
        <v>42201.674000000014</v>
      </c>
      <c r="AL87" s="14">
        <f t="shared" si="349"/>
        <v>31171.135000000009</v>
      </c>
      <c r="AM87" s="14">
        <f t="shared" si="349"/>
        <v>-2273.3910000000069</v>
      </c>
      <c r="AN87" s="14">
        <f t="shared" si="349"/>
        <v>-25041.13700000005</v>
      </c>
      <c r="AO87" s="14">
        <f t="shared" si="349"/>
        <v>-42077.058000000055</v>
      </c>
    </row>
    <row r="88" spans="2:41" ht="13.5" customHeight="1">
      <c r="B88" s="29" t="s">
        <v>252</v>
      </c>
      <c r="C88" s="14">
        <f t="shared" ref="C88:E88" si="350">+C49</f>
        <v>-6382.2639999999983</v>
      </c>
      <c r="D88" s="14">
        <f t="shared" si="350"/>
        <v>6863.4700000000084</v>
      </c>
      <c r="E88" s="14">
        <f t="shared" si="350"/>
        <v>8908.6329999999907</v>
      </c>
      <c r="F88" s="14">
        <f t="shared" ref="F88:G88" si="351">+F49</f>
        <v>-14695.133999999993</v>
      </c>
      <c r="G88" s="14">
        <f t="shared" si="351"/>
        <v>3438.4939999999951</v>
      </c>
      <c r="H88" s="14">
        <f t="shared" ref="H88:I88" si="352">+H49</f>
        <v>21165.954000000016</v>
      </c>
      <c r="I88" s="14">
        <f t="shared" si="352"/>
        <v>45095.179000000018</v>
      </c>
      <c r="J88" s="14">
        <f t="shared" ref="J88:K88" si="353">+J49</f>
        <v>-14842.097999999987</v>
      </c>
      <c r="K88" s="14">
        <f t="shared" si="353"/>
        <v>-31256.829999999958</v>
      </c>
      <c r="L88" s="14"/>
      <c r="M88" s="180"/>
      <c r="N88" s="180"/>
      <c r="O88" s="180"/>
      <c r="P88" s="14">
        <f t="shared" ref="P88:S88" si="354">SUM(M49:P49)</f>
        <v>6863.4700000000148</v>
      </c>
      <c r="Q88" s="14">
        <f t="shared" si="354"/>
        <v>5643.9890000000123</v>
      </c>
      <c r="R88" s="14">
        <f t="shared" si="354"/>
        <v>6558.1680000000115</v>
      </c>
      <c r="S88" s="14">
        <f t="shared" si="354"/>
        <v>12158.76200000001</v>
      </c>
      <c r="T88" s="14">
        <f t="shared" ref="T88" si="355">SUM(Q49:T49)</f>
        <v>8908.632999999998</v>
      </c>
      <c r="U88" s="14">
        <f t="shared" ref="U88" si="356">SUM(R49:U49)</f>
        <v>6859.0980000000018</v>
      </c>
      <c r="V88" s="14">
        <f t="shared" ref="V88" si="357">SUM(S49:V49)</f>
        <v>2395.1830000000059</v>
      </c>
      <c r="W88" s="14">
        <f t="shared" ref="W88:AO88" si="358">SUM(T49:W49)</f>
        <v>-13395.454999999994</v>
      </c>
      <c r="X88" s="14">
        <f t="shared" si="358"/>
        <v>-14695.133999999989</v>
      </c>
      <c r="Y88" s="14">
        <f t="shared" si="358"/>
        <v>-15176.746999999983</v>
      </c>
      <c r="Z88" s="14">
        <f t="shared" si="358"/>
        <v>-12048.530999999988</v>
      </c>
      <c r="AA88" s="14">
        <f t="shared" si="358"/>
        <v>-640.66899999998623</v>
      </c>
      <c r="AB88" s="14">
        <f t="shared" si="358"/>
        <v>3438.4940000000151</v>
      </c>
      <c r="AC88" s="14">
        <f t="shared" si="358"/>
        <v>12412.060000000009</v>
      </c>
      <c r="AD88" s="14">
        <f t="shared" si="358"/>
        <v>17295.952000000012</v>
      </c>
      <c r="AE88" s="14">
        <f t="shared" si="358"/>
        <v>19176.13400000002</v>
      </c>
      <c r="AF88" s="14">
        <f t="shared" si="358"/>
        <v>21165.954000000031</v>
      </c>
      <c r="AG88" s="14">
        <f t="shared" si="358"/>
        <v>22694.643000000036</v>
      </c>
      <c r="AH88" s="14">
        <f t="shared" si="358"/>
        <v>29313.477000000043</v>
      </c>
      <c r="AI88" s="14">
        <f t="shared" si="358"/>
        <v>39791.164000000033</v>
      </c>
      <c r="AJ88" s="14">
        <f t="shared" si="358"/>
        <v>45095.179000000018</v>
      </c>
      <c r="AK88" s="14">
        <f t="shared" si="358"/>
        <v>50793.294000000016</v>
      </c>
      <c r="AL88" s="14">
        <f t="shared" si="358"/>
        <v>40136.274000000005</v>
      </c>
      <c r="AM88" s="14">
        <f t="shared" si="358"/>
        <v>7160.1509999999944</v>
      </c>
      <c r="AN88" s="14">
        <f t="shared" si="358"/>
        <v>-14842.098000000049</v>
      </c>
      <c r="AO88" s="14">
        <f t="shared" si="358"/>
        <v>-31256.830000000049</v>
      </c>
    </row>
    <row r="89" spans="2:41" s="32" customFormat="1" ht="13.5" customHeight="1">
      <c r="B89" s="29" t="s">
        <v>253</v>
      </c>
      <c r="C89" s="14">
        <f t="shared" ref="C89:E89" si="359">+C54</f>
        <v>-4733.8310000000001</v>
      </c>
      <c r="D89" s="14">
        <f t="shared" si="359"/>
        <v>7253.634</v>
      </c>
      <c r="E89" s="14">
        <f t="shared" si="359"/>
        <v>4737.8370000000004</v>
      </c>
      <c r="F89" s="14">
        <f t="shared" ref="F89:G89" si="360">+F54</f>
        <v>-9694.0759999999991</v>
      </c>
      <c r="G89" s="14">
        <f t="shared" si="360"/>
        <v>9724.5889999999999</v>
      </c>
      <c r="H89" s="14">
        <f t="shared" ref="H89:I89" si="361">+H54</f>
        <v>23878.018</v>
      </c>
      <c r="I89" s="14">
        <f t="shared" si="361"/>
        <v>49119.4</v>
      </c>
      <c r="J89" s="14">
        <f t="shared" ref="J89:K89" si="362">+J54</f>
        <v>-13783.205</v>
      </c>
      <c r="K89" s="14">
        <f t="shared" si="362"/>
        <v>-29134.32</v>
      </c>
      <c r="L89" s="14"/>
      <c r="M89" s="180"/>
      <c r="N89" s="180"/>
      <c r="O89" s="180"/>
      <c r="P89" s="14">
        <f t="shared" ref="P89:S89" si="363">SUM(M54:P54)</f>
        <v>7253.634</v>
      </c>
      <c r="Q89" s="14">
        <f t="shared" si="363"/>
        <v>6836.0709999999999</v>
      </c>
      <c r="R89" s="14">
        <f t="shared" si="363"/>
        <v>7115.5169999999989</v>
      </c>
      <c r="S89" s="14">
        <f t="shared" si="363"/>
        <v>7505.6149999999998</v>
      </c>
      <c r="T89" s="14">
        <f t="shared" ref="T89" si="364">SUM(Q54:T54)</f>
        <v>4737.8370000000004</v>
      </c>
      <c r="U89" s="14">
        <f t="shared" ref="U89" si="365">SUM(R54:U54)</f>
        <v>2313.8430000000008</v>
      </c>
      <c r="V89" s="14">
        <f t="shared" ref="V89" si="366">SUM(S54:V54)</f>
        <v>-1536.3979999999999</v>
      </c>
      <c r="W89" s="14">
        <f t="shared" ref="W89" si="367">SUM(T54:W54)</f>
        <v>-8273.4560000000001</v>
      </c>
      <c r="X89" s="14">
        <f>SUM(U54:X54)</f>
        <v>-9694.0759999999991</v>
      </c>
      <c r="Y89" s="14">
        <f t="shared" ref="Y89:AO89" si="368">SUM(V54:Y54)</f>
        <v>-9152.1640000000007</v>
      </c>
      <c r="Z89" s="14">
        <f t="shared" si="368"/>
        <v>-4109.436999999999</v>
      </c>
      <c r="AA89" s="14">
        <f t="shared" si="368"/>
        <v>4753.9580000000005</v>
      </c>
      <c r="AB89" s="14">
        <f>SUM(Y54:AB54)</f>
        <v>9724.5889999999999</v>
      </c>
      <c r="AC89" s="14">
        <f t="shared" si="368"/>
        <v>17827.419999999998</v>
      </c>
      <c r="AD89" s="14">
        <f t="shared" si="368"/>
        <v>21707.03</v>
      </c>
      <c r="AE89" s="14">
        <f t="shared" si="368"/>
        <v>23094.494999999999</v>
      </c>
      <c r="AF89" s="14">
        <f>SUM(AC54:AF54)</f>
        <v>23878.018</v>
      </c>
      <c r="AG89" s="14">
        <f t="shared" si="368"/>
        <v>25686.300999999999</v>
      </c>
      <c r="AH89" s="14">
        <f t="shared" si="368"/>
        <v>33001.218000000001</v>
      </c>
      <c r="AI89" s="14">
        <f t="shared" si="368"/>
        <v>41341.214</v>
      </c>
      <c r="AJ89" s="14">
        <f>SUM(AG54:AJ54)</f>
        <v>49119.4</v>
      </c>
      <c r="AK89" s="14">
        <f t="shared" si="368"/>
        <v>53350.743000000002</v>
      </c>
      <c r="AL89" s="14">
        <f t="shared" si="368"/>
        <v>41135.436000000002</v>
      </c>
      <c r="AM89" s="14">
        <f t="shared" si="368"/>
        <v>11764.341999999997</v>
      </c>
      <c r="AN89" s="14">
        <f>SUM(AK54:AN54)</f>
        <v>-13783.205</v>
      </c>
      <c r="AO89" s="14">
        <f t="shared" si="368"/>
        <v>-29134.32</v>
      </c>
    </row>
    <row r="90" spans="2:41" ht="13.5" customHeight="1">
      <c r="B90" s="29" t="s">
        <v>233</v>
      </c>
      <c r="C90" s="14">
        <f t="shared" ref="C90:E90" si="369">-C65</f>
        <v>62.042999999999999</v>
      </c>
      <c r="D90" s="14">
        <f t="shared" si="369"/>
        <v>218.69200000000001</v>
      </c>
      <c r="E90" s="14">
        <f t="shared" si="369"/>
        <v>218.61099999999999</v>
      </c>
      <c r="F90" s="14">
        <f t="shared" ref="F90:G90" si="370">-F65</f>
        <v>620.12699999999995</v>
      </c>
      <c r="G90" s="14">
        <f t="shared" si="370"/>
        <v>1162.162</v>
      </c>
      <c r="H90" s="14">
        <f t="shared" ref="H90:I90" si="371">-H65</f>
        <v>578.05799999999999</v>
      </c>
      <c r="I90" s="14">
        <f t="shared" si="371"/>
        <v>427.053</v>
      </c>
      <c r="J90" s="14">
        <f t="shared" ref="J90" si="372">-J65</f>
        <v>1281.4469999999999</v>
      </c>
      <c r="K90" s="180"/>
      <c r="L90" s="14"/>
      <c r="M90" s="180"/>
      <c r="N90" s="180"/>
      <c r="O90" s="180"/>
      <c r="P90" s="14">
        <f t="shared" ref="P90:R90" si="373">-SUM(M65:P65)</f>
        <v>218.69200000000001</v>
      </c>
      <c r="Q90" s="180"/>
      <c r="R90" s="14">
        <f t="shared" si="373"/>
        <v>219.36</v>
      </c>
      <c r="S90" s="180"/>
      <c r="T90" s="14">
        <f t="shared" ref="T90" si="374">-SUM(Q65:T65)</f>
        <v>218.61099999999999</v>
      </c>
      <c r="U90" s="180"/>
      <c r="V90" s="14">
        <f t="shared" ref="V90" si="375">-SUM(S65:V65)</f>
        <v>367.267</v>
      </c>
      <c r="W90" s="180"/>
      <c r="X90" s="14">
        <f t="shared" ref="X90" si="376">-SUM(U65:X65)</f>
        <v>620.12699999999995</v>
      </c>
      <c r="Y90" s="180"/>
      <c r="Z90" s="14">
        <f t="shared" ref="Z90" si="377">-SUM(W65:Z65)</f>
        <v>763.99599999999998</v>
      </c>
      <c r="AA90" s="180"/>
      <c r="AB90" s="14">
        <f t="shared" ref="AB90" si="378">-SUM(Y65:AB65)</f>
        <v>1162.162</v>
      </c>
      <c r="AC90" s="180"/>
      <c r="AD90" s="14">
        <f>-SUM(AA65:AD65)</f>
        <v>989.10800000000006</v>
      </c>
      <c r="AE90" s="180"/>
      <c r="AF90" s="14">
        <f t="shared" ref="AF90" si="379">-SUM(AC65:AF65)</f>
        <v>578.05799999999999</v>
      </c>
      <c r="AG90" s="180"/>
      <c r="AH90" s="14">
        <f>-SUM(AE65:AH65)</f>
        <v>576.96299999999997</v>
      </c>
      <c r="AI90" s="180"/>
      <c r="AJ90" s="14">
        <f t="shared" ref="AJ90" si="380">-SUM(AG65:AJ65)</f>
        <v>219.46799999999999</v>
      </c>
      <c r="AK90" s="180"/>
      <c r="AL90" s="180"/>
      <c r="AM90" s="180"/>
      <c r="AN90" s="180"/>
      <c r="AO90" s="180"/>
    </row>
    <row r="91" spans="2:41" ht="13.5" customHeight="1">
      <c r="B91" s="29" t="s">
        <v>254</v>
      </c>
      <c r="C91" s="14">
        <f t="shared" ref="C91:G91" si="381">+C26</f>
        <v>-115492.69500000001</v>
      </c>
      <c r="D91" s="14">
        <f t="shared" si="381"/>
        <v>2236.1650000000077</v>
      </c>
      <c r="E91" s="14">
        <f t="shared" si="381"/>
        <v>4707.6119999999919</v>
      </c>
      <c r="F91" s="14">
        <f t="shared" si="381"/>
        <v>-23536.197999999993</v>
      </c>
      <c r="G91" s="14">
        <f t="shared" si="381"/>
        <v>-6685.323000000004</v>
      </c>
      <c r="H91" s="14">
        <f t="shared" ref="H91:I91" si="382">+H26</f>
        <v>13857.331000000017</v>
      </c>
      <c r="I91" s="14">
        <f t="shared" si="382"/>
        <v>35808.322000000015</v>
      </c>
      <c r="J91" s="14">
        <f t="shared" ref="J91:K91" si="383">+J26</f>
        <v>-23354.193999999989</v>
      </c>
      <c r="K91" s="14">
        <f t="shared" si="383"/>
        <v>-40238.331999999966</v>
      </c>
      <c r="L91" s="14"/>
      <c r="M91" s="180"/>
      <c r="N91" s="180"/>
      <c r="O91" s="180"/>
      <c r="P91" s="14">
        <f t="shared" ref="P91:AO91" si="384">SUM(M26:P26)</f>
        <v>2236.1650000000141</v>
      </c>
      <c r="Q91" s="14">
        <f t="shared" si="384"/>
        <v>2090.217000000011</v>
      </c>
      <c r="R91" s="14">
        <f t="shared" si="384"/>
        <v>3424.5700000000115</v>
      </c>
      <c r="S91" s="14">
        <f t="shared" si="384"/>
        <v>8412.1890000000094</v>
      </c>
      <c r="T91" s="14">
        <f t="shared" si="384"/>
        <v>4659.5679999999984</v>
      </c>
      <c r="U91" s="14">
        <f t="shared" si="384"/>
        <v>1392.5840000000007</v>
      </c>
      <c r="V91" s="14">
        <f t="shared" si="384"/>
        <v>-4173.9719999999943</v>
      </c>
      <c r="W91" s="14">
        <f t="shared" si="384"/>
        <v>-20489.382999999994</v>
      </c>
      <c r="X91" s="14">
        <f t="shared" si="384"/>
        <v>-23702.249999999993</v>
      </c>
      <c r="Y91" s="14">
        <f t="shared" si="384"/>
        <v>-24558.553999999986</v>
      </c>
      <c r="Z91" s="14">
        <f t="shared" si="384"/>
        <v>-22318.205999999991</v>
      </c>
      <c r="AA91" s="14">
        <f t="shared" si="384"/>
        <v>-11106.984999999988</v>
      </c>
      <c r="AB91" s="14">
        <f t="shared" si="384"/>
        <v>-6685.3229999999849</v>
      </c>
      <c r="AC91" s="14">
        <f t="shared" si="384"/>
        <v>2375.7340000000108</v>
      </c>
      <c r="AD91" s="14">
        <f t="shared" si="384"/>
        <v>8180.3800000000119</v>
      </c>
      <c r="AE91" s="14">
        <f t="shared" si="384"/>
        <v>10556.803000000022</v>
      </c>
      <c r="AF91" s="14">
        <f t="shared" si="384"/>
        <v>13857.331000000031</v>
      </c>
      <c r="AG91" s="14">
        <f t="shared" si="384"/>
        <v>15867.819000000036</v>
      </c>
      <c r="AH91" s="14">
        <f t="shared" si="384"/>
        <v>22531.53800000004</v>
      </c>
      <c r="AI91" s="14">
        <f t="shared" si="384"/>
        <v>31803.258000000031</v>
      </c>
      <c r="AJ91" s="14">
        <f t="shared" si="384"/>
        <v>35808.322000000015</v>
      </c>
      <c r="AK91" s="14">
        <f t="shared" si="384"/>
        <v>40496.22300000002</v>
      </c>
      <c r="AL91" s="14">
        <f t="shared" si="384"/>
        <v>29509.181000000008</v>
      </c>
      <c r="AM91" s="14">
        <f t="shared" si="384"/>
        <v>-1987.8610000000081</v>
      </c>
      <c r="AN91" s="14">
        <f t="shared" si="384"/>
        <v>-23354.19400000005</v>
      </c>
      <c r="AO91" s="14">
        <f t="shared" si="384"/>
        <v>-40238.332000000053</v>
      </c>
    </row>
    <row r="92" spans="2:41" ht="13.5" customHeight="1">
      <c r="B92" s="29" t="s">
        <v>255</v>
      </c>
      <c r="C92" s="14">
        <f t="shared" ref="C92:E92" si="385">-C67</f>
        <v>2185.5509999999999</v>
      </c>
      <c r="D92" s="14">
        <f t="shared" si="385"/>
        <v>2922.6420000000003</v>
      </c>
      <c r="E92" s="14">
        <f t="shared" si="385"/>
        <v>15521.706</v>
      </c>
      <c r="F92" s="14">
        <f t="shared" ref="F92:G92" si="386">-F67</f>
        <v>8904.2360000000008</v>
      </c>
      <c r="G92" s="14">
        <f t="shared" si="386"/>
        <v>5323.701</v>
      </c>
      <c r="H92" s="14">
        <f t="shared" ref="H92:I92" si="387">-H67</f>
        <v>6578.4780000000001</v>
      </c>
      <c r="I92" s="14">
        <f t="shared" si="387"/>
        <v>10102.284</v>
      </c>
      <c r="J92" s="14">
        <f t="shared" ref="J92" si="388">-J67</f>
        <v>12830.778</v>
      </c>
      <c r="K92" s="180"/>
      <c r="L92" s="14"/>
      <c r="M92" s="180"/>
      <c r="N92" s="180"/>
      <c r="O92" s="180"/>
      <c r="P92" s="14">
        <f t="shared" ref="P92:R92" si="389">-SUM(M67:P67)</f>
        <v>2922.6420000000003</v>
      </c>
      <c r="Q92" s="180"/>
      <c r="R92" s="14">
        <f t="shared" si="389"/>
        <v>4315.9470000000001</v>
      </c>
      <c r="S92" s="180"/>
      <c r="T92" s="14">
        <f t="shared" ref="T92" si="390">-SUM(Q67:T67)</f>
        <v>15521.706</v>
      </c>
      <c r="U92" s="180"/>
      <c r="V92" s="14">
        <f t="shared" ref="V92" si="391">-SUM(S67:V67)</f>
        <v>18156.162</v>
      </c>
      <c r="W92" s="180"/>
      <c r="X92" s="14">
        <f t="shared" ref="X92" si="392">-SUM(U67:X67)</f>
        <v>8904.2360000000008</v>
      </c>
      <c r="Y92" s="180"/>
      <c r="Z92" s="14">
        <f t="shared" ref="Z92" si="393">-SUM(W67:Z67)</f>
        <v>6528.8920000000016</v>
      </c>
      <c r="AA92" s="180"/>
      <c r="AB92" s="14">
        <f t="shared" ref="AB92" si="394">-SUM(Y67:AB67)</f>
        <v>5323.701</v>
      </c>
      <c r="AC92" s="180"/>
      <c r="AD92" s="14">
        <f t="shared" ref="AD92" si="395">-SUM(AA67:AD67)</f>
        <v>4038.7449999999999</v>
      </c>
      <c r="AE92" s="180"/>
      <c r="AF92" s="14">
        <f t="shared" ref="AF92" si="396">-SUM(AC67:AF67)</f>
        <v>6578.478000000001</v>
      </c>
      <c r="AG92" s="180"/>
      <c r="AH92" s="14">
        <f t="shared" ref="AH92" si="397">-SUM(AE67:AH67)</f>
        <v>10245.055</v>
      </c>
      <c r="AI92" s="180"/>
      <c r="AJ92" s="14">
        <f t="shared" ref="AJ92" si="398">-SUM(AG67:AJ67)</f>
        <v>5483.6770000000006</v>
      </c>
      <c r="AK92" s="180"/>
      <c r="AL92" s="180"/>
      <c r="AM92" s="180"/>
      <c r="AN92" s="180"/>
      <c r="AO92" s="180"/>
    </row>
    <row r="93" spans="2:41" ht="13.5" customHeight="1">
      <c r="B93" s="29" t="s">
        <v>238</v>
      </c>
      <c r="C93" s="14">
        <f t="shared" ref="C93:E93" si="399">+C70</f>
        <v>-14477.287</v>
      </c>
      <c r="D93" s="14">
        <f t="shared" si="399"/>
        <v>3280.337</v>
      </c>
      <c r="E93" s="14">
        <f t="shared" si="399"/>
        <v>-5800.746000000001</v>
      </c>
      <c r="F93" s="14">
        <f t="shared" ref="F93:G93" si="400">+F70</f>
        <v>-15393.471</v>
      </c>
      <c r="G93" s="14">
        <f t="shared" si="400"/>
        <v>2088.7469999999994</v>
      </c>
      <c r="H93" s="14">
        <f t="shared" ref="H93:I93" si="401">+H70</f>
        <v>30339.277000000006</v>
      </c>
      <c r="I93" s="14">
        <f t="shared" si="401"/>
        <v>44229.838000000003</v>
      </c>
      <c r="J93" s="14">
        <f t="shared" ref="J93" si="402">+J70</f>
        <v>-29741.331000000002</v>
      </c>
      <c r="K93" s="180"/>
      <c r="L93" s="14"/>
      <c r="M93" s="180"/>
      <c r="N93" s="180"/>
      <c r="O93" s="180"/>
      <c r="P93" s="14">
        <f t="shared" ref="P93:R93" si="403">SUM(M70:P70)</f>
        <v>3280.3369999999995</v>
      </c>
      <c r="Q93" s="180"/>
      <c r="R93" s="14">
        <f t="shared" si="403"/>
        <v>2650.7599999999993</v>
      </c>
      <c r="S93" s="180"/>
      <c r="T93" s="14">
        <f t="shared" ref="T93" si="404">SUM(Q70:T70)</f>
        <v>-5800.746000000001</v>
      </c>
      <c r="U93" s="180"/>
      <c r="V93" s="14">
        <f t="shared" ref="V93" si="405">SUM(S70:V70)</f>
        <v>-13399.926000000001</v>
      </c>
      <c r="W93" s="180"/>
      <c r="X93" s="14">
        <f t="shared" ref="X93" si="406">SUM(U70:X70)</f>
        <v>-15393.471</v>
      </c>
      <c r="Y93" s="180"/>
      <c r="Z93" s="14">
        <f t="shared" ref="Z93" si="407">SUM(W70:Z70)</f>
        <v>-7257.9529999999995</v>
      </c>
      <c r="AA93" s="180"/>
      <c r="AB93" s="14">
        <f t="shared" ref="AB93" si="408">SUM(Y70:AB70)</f>
        <v>2088.7469999999994</v>
      </c>
      <c r="AC93" s="180"/>
      <c r="AD93" s="14">
        <f t="shared" ref="AD93" si="409">SUM(AA70:AD70)</f>
        <v>7477.5279999999993</v>
      </c>
      <c r="AE93" s="180"/>
      <c r="AF93" s="14">
        <f t="shared" ref="AF93" si="410">SUM(AC70:AF70)</f>
        <v>30339.276999999998</v>
      </c>
      <c r="AG93" s="180"/>
      <c r="AH93" s="14">
        <f t="shared" ref="AH93" si="411">SUM(AE70:AH70)</f>
        <v>33850.455999999998</v>
      </c>
      <c r="AI93" s="180"/>
      <c r="AJ93" s="14">
        <f t="shared" ref="AJ93" si="412">SUM(AG70:AJ70)</f>
        <v>9003.3559999999998</v>
      </c>
      <c r="AK93" s="180"/>
      <c r="AL93" s="180"/>
      <c r="AM93" s="180"/>
      <c r="AN93" s="180"/>
      <c r="AO93" s="180"/>
    </row>
    <row r="94" spans="2:41" ht="13.5" customHeight="1">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row>
    <row r="95" spans="2:41" ht="13.5" customHeight="1">
      <c r="B95" s="54" t="s">
        <v>256</v>
      </c>
      <c r="C95" s="58">
        <f t="shared" ref="C95:H95" si="413">C3</f>
        <v>43465</v>
      </c>
      <c r="D95" s="58">
        <f t="shared" si="413"/>
        <v>43830</v>
      </c>
      <c r="E95" s="58">
        <f t="shared" si="413"/>
        <v>44196</v>
      </c>
      <c r="F95" s="58">
        <f t="shared" si="413"/>
        <v>44561</v>
      </c>
      <c r="G95" s="58">
        <f t="shared" si="413"/>
        <v>44926</v>
      </c>
      <c r="H95" s="58">
        <f t="shared" si="413"/>
        <v>45291</v>
      </c>
      <c r="I95" s="58">
        <f t="shared" ref="I95:J95" si="414">I3</f>
        <v>45657</v>
      </c>
      <c r="J95" s="58">
        <f t="shared" si="414"/>
        <v>46022</v>
      </c>
      <c r="K95" s="58">
        <f t="shared" ref="K95" si="415">K3</f>
        <v>46112</v>
      </c>
      <c r="L95" s="146"/>
      <c r="M95" s="58">
        <f t="shared" ref="M95:S95" si="416">M3</f>
        <v>43555</v>
      </c>
      <c r="N95" s="58">
        <f t="shared" si="416"/>
        <v>43646</v>
      </c>
      <c r="O95" s="58">
        <f t="shared" si="416"/>
        <v>43738</v>
      </c>
      <c r="P95" s="58">
        <f t="shared" si="416"/>
        <v>43830</v>
      </c>
      <c r="Q95" s="58">
        <f t="shared" si="416"/>
        <v>43921</v>
      </c>
      <c r="R95" s="58">
        <f t="shared" si="416"/>
        <v>44012</v>
      </c>
      <c r="S95" s="58">
        <f t="shared" si="416"/>
        <v>44104</v>
      </c>
      <c r="T95" s="58">
        <f t="shared" ref="T95:W95" si="417">T3</f>
        <v>44196</v>
      </c>
      <c r="U95" s="58">
        <f t="shared" si="417"/>
        <v>44286</v>
      </c>
      <c r="V95" s="58">
        <f t="shared" si="417"/>
        <v>44377</v>
      </c>
      <c r="W95" s="58">
        <f t="shared" si="417"/>
        <v>44469</v>
      </c>
      <c r="X95" s="58">
        <f t="shared" ref="X95:AA95" si="418">X3</f>
        <v>44561</v>
      </c>
      <c r="Y95" s="58">
        <f t="shared" si="418"/>
        <v>44651</v>
      </c>
      <c r="Z95" s="58">
        <f t="shared" si="418"/>
        <v>44742</v>
      </c>
      <c r="AA95" s="58">
        <f t="shared" si="418"/>
        <v>44834</v>
      </c>
      <c r="AB95" s="58">
        <f t="shared" ref="AB95:AE95" si="419">AB3</f>
        <v>44926</v>
      </c>
      <c r="AC95" s="58">
        <f t="shared" si="419"/>
        <v>45016</v>
      </c>
      <c r="AD95" s="58">
        <f t="shared" si="419"/>
        <v>45107</v>
      </c>
      <c r="AE95" s="58">
        <f t="shared" si="419"/>
        <v>45199</v>
      </c>
      <c r="AF95" s="58">
        <f t="shared" ref="AF95:AI95" si="420">AF3</f>
        <v>45291</v>
      </c>
      <c r="AG95" s="58">
        <f t="shared" si="420"/>
        <v>45382</v>
      </c>
      <c r="AH95" s="58">
        <f t="shared" si="420"/>
        <v>45473</v>
      </c>
      <c r="AI95" s="58">
        <f t="shared" si="420"/>
        <v>45565</v>
      </c>
      <c r="AJ95" s="58">
        <f t="shared" ref="AJ95:AM95" si="421">AJ3</f>
        <v>45657</v>
      </c>
      <c r="AK95" s="58">
        <f t="shared" si="421"/>
        <v>45747</v>
      </c>
      <c r="AL95" s="58">
        <f t="shared" si="421"/>
        <v>45838</v>
      </c>
      <c r="AM95" s="58">
        <f t="shared" si="421"/>
        <v>45930</v>
      </c>
      <c r="AN95" s="58">
        <f t="shared" ref="AN95:AO95" si="422">AN3</f>
        <v>46022</v>
      </c>
      <c r="AO95" s="58">
        <f t="shared" si="422"/>
        <v>46112</v>
      </c>
    </row>
    <row r="96" spans="2:41" ht="13.5" customHeight="1">
      <c r="C96" s="65"/>
      <c r="D96" s="65"/>
      <c r="E96" s="65"/>
      <c r="F96" s="65"/>
      <c r="G96" s="65"/>
      <c r="H96" s="65"/>
      <c r="I96" s="65"/>
    </row>
    <row r="97" spans="2:41" s="32" customFormat="1" ht="13.5" customHeight="1">
      <c r="B97" s="29" t="s">
        <v>257</v>
      </c>
      <c r="C97" s="65">
        <v>3978.8150000000001</v>
      </c>
      <c r="D97" s="65">
        <v>5376.2169999999996</v>
      </c>
      <c r="E97" s="65">
        <v>13917.165000000001</v>
      </c>
      <c r="F97" s="65">
        <v>22814.245999999999</v>
      </c>
      <c r="G97" s="65">
        <v>22201.258999999998</v>
      </c>
      <c r="H97" s="65">
        <v>25977.845000000001</v>
      </c>
      <c r="I97" s="65">
        <v>30238.781999999999</v>
      </c>
      <c r="J97" s="65">
        <v>38705.474000000002</v>
      </c>
      <c r="K97" s="14">
        <f>AO97</f>
        <v>40260.114999999998</v>
      </c>
      <c r="L97" s="14"/>
      <c r="M97" s="65">
        <v>5298.3429999999998</v>
      </c>
      <c r="N97" s="65">
        <v>4794.7479999999996</v>
      </c>
      <c r="O97" s="65">
        <v>4900.3739999999998</v>
      </c>
      <c r="P97" s="14">
        <f>D97</f>
        <v>5376.2169999999996</v>
      </c>
      <c r="Q97" s="65">
        <v>5270.2969999999996</v>
      </c>
      <c r="R97" s="65">
        <v>7445.625</v>
      </c>
      <c r="S97" s="65">
        <v>12923.529</v>
      </c>
      <c r="T97" s="14">
        <f>E97</f>
        <v>13917.165000000001</v>
      </c>
      <c r="U97" s="65">
        <v>13696.617</v>
      </c>
      <c r="V97" s="65">
        <v>14609.59</v>
      </c>
      <c r="W97" s="65">
        <v>22493.670999999998</v>
      </c>
      <c r="X97" s="14">
        <f>F97</f>
        <v>22814.245999999999</v>
      </c>
      <c r="Y97" s="65">
        <v>23077.99</v>
      </c>
      <c r="Z97" s="65">
        <v>23192.26</v>
      </c>
      <c r="AA97" s="65">
        <v>22820.526999999998</v>
      </c>
      <c r="AB97" s="14">
        <f>G97</f>
        <v>22201.258999999998</v>
      </c>
      <c r="AC97" s="65">
        <v>21719.181</v>
      </c>
      <c r="AD97" s="65">
        <v>21918.108</v>
      </c>
      <c r="AE97" s="65">
        <v>24288.933000000001</v>
      </c>
      <c r="AF97" s="14">
        <f>H97</f>
        <v>25977.845000000001</v>
      </c>
      <c r="AG97" s="65">
        <v>26734.800999999999</v>
      </c>
      <c r="AH97" s="65">
        <v>29493.277999999998</v>
      </c>
      <c r="AI97" s="65">
        <v>30386.797999999999</v>
      </c>
      <c r="AJ97" s="14">
        <f>I97</f>
        <v>30238.781999999999</v>
      </c>
      <c r="AK97" s="65">
        <v>32134.464</v>
      </c>
      <c r="AL97" s="65">
        <v>34026.065999999999</v>
      </c>
      <c r="AM97" s="65">
        <v>38272.328000000001</v>
      </c>
      <c r="AN97" s="14">
        <f>J97</f>
        <v>38705.474000000002</v>
      </c>
      <c r="AO97" s="65">
        <v>40260.114999999998</v>
      </c>
    </row>
    <row r="98" spans="2:41" s="32" customFormat="1" ht="13.5" customHeight="1">
      <c r="B98" s="70" t="s">
        <v>258</v>
      </c>
      <c r="C98" s="65">
        <v>400.24400000000003</v>
      </c>
      <c r="D98" s="65">
        <v>275.22699999999998</v>
      </c>
      <c r="E98" s="65">
        <v>466.49200000000002</v>
      </c>
      <c r="F98" s="65">
        <v>681.69299999999998</v>
      </c>
      <c r="G98" s="65">
        <v>1162.7650000000001</v>
      </c>
      <c r="H98" s="65">
        <v>1304.595</v>
      </c>
      <c r="I98" s="65">
        <v>1734.124</v>
      </c>
      <c r="J98" s="65">
        <v>3012.5520000000001</v>
      </c>
      <c r="K98" s="14">
        <f>AO98</f>
        <v>3530.7379999999998</v>
      </c>
      <c r="L98" s="14"/>
      <c r="M98" s="65">
        <v>286.976</v>
      </c>
      <c r="N98" s="65">
        <v>286.387</v>
      </c>
      <c r="O98" s="65">
        <v>302.42500000000001</v>
      </c>
      <c r="P98" s="14">
        <f>D98</f>
        <v>275.22699999999998</v>
      </c>
      <c r="Q98" s="65">
        <v>261.197</v>
      </c>
      <c r="R98" s="65">
        <v>284.411</v>
      </c>
      <c r="S98" s="65">
        <v>388.05900000000003</v>
      </c>
      <c r="T98" s="14">
        <f>E98</f>
        <v>466.49200000000002</v>
      </c>
      <c r="U98" s="65">
        <v>477.87400000000002</v>
      </c>
      <c r="V98" s="65">
        <v>504.03500000000003</v>
      </c>
      <c r="W98" s="65">
        <v>658.06600000000003</v>
      </c>
      <c r="X98" s="14">
        <f>F98</f>
        <v>681.69299999999998</v>
      </c>
      <c r="Y98" s="65">
        <v>733.173</v>
      </c>
      <c r="Z98" s="65">
        <v>885.678</v>
      </c>
      <c r="AA98" s="65">
        <v>1018.39</v>
      </c>
      <c r="AB98" s="14">
        <f t="shared" ref="AB98:AB100" si="423">G98</f>
        <v>1162.7650000000001</v>
      </c>
      <c r="AC98" s="65">
        <v>1034.9469999999999</v>
      </c>
      <c r="AD98" s="65">
        <v>1231.329</v>
      </c>
      <c r="AE98" s="65">
        <v>1363.5060000000001</v>
      </c>
      <c r="AF98" s="14">
        <f>H98</f>
        <v>1304.595</v>
      </c>
      <c r="AG98" s="65">
        <v>1340.367</v>
      </c>
      <c r="AH98" s="65">
        <v>1421.2950000000001</v>
      </c>
      <c r="AI98" s="65">
        <v>1774.941</v>
      </c>
      <c r="AJ98" s="14">
        <f t="shared" ref="AJ98:AJ100" si="424">I98</f>
        <v>1734.124</v>
      </c>
      <c r="AK98" s="65">
        <v>1901.133</v>
      </c>
      <c r="AL98" s="65">
        <v>2483.0590000000002</v>
      </c>
      <c r="AM98" s="65">
        <v>3108.8069999999998</v>
      </c>
      <c r="AN98" s="14">
        <f t="shared" ref="AN98:AN100" si="425">J98</f>
        <v>3012.5520000000001</v>
      </c>
      <c r="AO98" s="65">
        <v>3530.7379999999998</v>
      </c>
    </row>
    <row r="99" spans="2:41" s="32" customFormat="1" ht="13.5" customHeight="1">
      <c r="B99" s="70" t="s">
        <v>259</v>
      </c>
      <c r="C99" s="65">
        <v>466.34</v>
      </c>
      <c r="D99" s="65">
        <v>676.76199999999994</v>
      </c>
      <c r="E99" s="65">
        <v>1030.9480000000001</v>
      </c>
      <c r="F99" s="65">
        <v>1793.0350000000001</v>
      </c>
      <c r="G99" s="65">
        <v>2052.7310000000002</v>
      </c>
      <c r="H99" s="65">
        <v>2742.9989999999998</v>
      </c>
      <c r="I99" s="65">
        <v>2653.0459999999998</v>
      </c>
      <c r="J99" s="65">
        <v>3322.73</v>
      </c>
      <c r="K99" s="14">
        <f>AO99</f>
        <v>3769.3519999999999</v>
      </c>
      <c r="L99" s="14"/>
      <c r="M99" s="65">
        <v>481.863</v>
      </c>
      <c r="N99" s="65">
        <v>590.78700000000003</v>
      </c>
      <c r="O99" s="65">
        <v>783.56600000000003</v>
      </c>
      <c r="P99" s="14">
        <f>D99</f>
        <v>676.76199999999994</v>
      </c>
      <c r="Q99" s="65">
        <v>921.26800000000003</v>
      </c>
      <c r="R99" s="65">
        <v>859.73</v>
      </c>
      <c r="S99" s="65">
        <v>928.25800000000004</v>
      </c>
      <c r="T99" s="14">
        <f>E99</f>
        <v>1030.9480000000001</v>
      </c>
      <c r="U99" s="65">
        <v>1226.481</v>
      </c>
      <c r="V99" s="65">
        <v>1445.3050000000001</v>
      </c>
      <c r="W99" s="65">
        <v>1656.826</v>
      </c>
      <c r="X99" s="14">
        <f>F99</f>
        <v>1793.0350000000001</v>
      </c>
      <c r="Y99" s="65">
        <v>1871.7860000000001</v>
      </c>
      <c r="Z99" s="65">
        <v>2264.1610000000001</v>
      </c>
      <c r="AA99" s="65">
        <v>2007.97</v>
      </c>
      <c r="AB99" s="14">
        <f t="shared" si="423"/>
        <v>2052.7310000000002</v>
      </c>
      <c r="AC99" s="65">
        <v>2304.5720000000001</v>
      </c>
      <c r="AD99" s="65">
        <v>2432.3679999999999</v>
      </c>
      <c r="AE99" s="65">
        <v>2932.5920000000001</v>
      </c>
      <c r="AF99" s="14">
        <f>H99</f>
        <v>2742.9989999999998</v>
      </c>
      <c r="AG99" s="65">
        <v>3004.5720000000001</v>
      </c>
      <c r="AH99" s="65">
        <v>2934.4789999999998</v>
      </c>
      <c r="AI99" s="65">
        <v>3251.7719999999999</v>
      </c>
      <c r="AJ99" s="14">
        <f t="shared" si="424"/>
        <v>2653.0459999999998</v>
      </c>
      <c r="AK99" s="65">
        <v>2898.096</v>
      </c>
      <c r="AL99" s="65">
        <v>3141.2620000000002</v>
      </c>
      <c r="AM99" s="65">
        <v>3464.0680000000002</v>
      </c>
      <c r="AN99" s="14">
        <f t="shared" si="425"/>
        <v>3322.73</v>
      </c>
      <c r="AO99" s="65">
        <v>3769.3519999999999</v>
      </c>
    </row>
    <row r="100" spans="2:41" s="32" customFormat="1" ht="13.5" customHeight="1">
      <c r="B100" s="70" t="s">
        <v>260</v>
      </c>
      <c r="C100" s="65">
        <f>5340.963+7596.388</f>
        <v>12937.350999999999</v>
      </c>
      <c r="D100" s="65">
        <f>6766.253+7495.262</f>
        <v>14261.514999999999</v>
      </c>
      <c r="E100" s="65">
        <f>11967.026+9414.936</f>
        <v>21381.962</v>
      </c>
      <c r="F100" s="65">
        <f>15165.619+10950.92</f>
        <v>26116.539000000001</v>
      </c>
      <c r="G100" s="65">
        <f>17379.302+12432.342</f>
        <v>29811.644</v>
      </c>
      <c r="H100" s="65">
        <f>22980.506+23798.004</f>
        <v>46778.51</v>
      </c>
      <c r="I100" s="65">
        <f>25193.149+25131.85</f>
        <v>50324.998999999996</v>
      </c>
      <c r="J100" s="65">
        <f>34571.567+29197.5</f>
        <v>63769.067000000003</v>
      </c>
      <c r="K100" s="14">
        <f>AO100</f>
        <v>57594.739000000001</v>
      </c>
      <c r="L100" s="14"/>
      <c r="M100" s="65">
        <f>4661.595+6433.197</f>
        <v>11094.792000000001</v>
      </c>
      <c r="N100" s="65">
        <f>4669.865+7403.989</f>
        <v>12073.853999999999</v>
      </c>
      <c r="O100" s="65">
        <f>5434.038+6116.131</f>
        <v>11550.169</v>
      </c>
      <c r="P100" s="14">
        <f>D100</f>
        <v>14261.514999999999</v>
      </c>
      <c r="Q100" s="65">
        <f>4612.501+4073.672</f>
        <v>8686.1730000000007</v>
      </c>
      <c r="R100" s="65">
        <f>7332.014+6366.529</f>
        <v>13698.543000000001</v>
      </c>
      <c r="S100" s="65">
        <f>9649.311+7586.545</f>
        <v>17235.856</v>
      </c>
      <c r="T100" s="14">
        <f>E100</f>
        <v>21381.962</v>
      </c>
      <c r="U100" s="65">
        <f>10188.187+8704.278</f>
        <v>18892.465</v>
      </c>
      <c r="V100" s="65">
        <f>12114.001+10198.454</f>
        <v>22312.455000000002</v>
      </c>
      <c r="W100" s="65">
        <f>13345.537+9746.092</f>
        <v>23091.629000000001</v>
      </c>
      <c r="X100" s="14">
        <f>F100</f>
        <v>26116.539000000001</v>
      </c>
      <c r="Y100" s="65">
        <f>13723.083+7849.488</f>
        <v>21572.571</v>
      </c>
      <c r="Z100" s="65">
        <f>13862.818+10886.742</f>
        <v>24749.559999999998</v>
      </c>
      <c r="AA100" s="65">
        <f>(14698861+10603688)/1000</f>
        <v>25302.548999999999</v>
      </c>
      <c r="AB100" s="14">
        <f t="shared" si="423"/>
        <v>29811.644</v>
      </c>
      <c r="AC100" s="65">
        <f>15238.051+13295.238</f>
        <v>28533.288999999997</v>
      </c>
      <c r="AD100" s="65">
        <f>18455.867+16826.275</f>
        <v>35282.142</v>
      </c>
      <c r="AE100" s="65">
        <f>(21339403+20169408)/1000</f>
        <v>41508.811000000002</v>
      </c>
      <c r="AF100" s="14">
        <f>H100</f>
        <v>46778.51</v>
      </c>
      <c r="AG100" s="65">
        <f>20296.212+21219.259</f>
        <v>41515.470999999998</v>
      </c>
      <c r="AH100" s="65">
        <f>23021.223+24753.978</f>
        <v>47775.201000000001</v>
      </c>
      <c r="AI100" s="65">
        <f>23827.495+21975.777</f>
        <v>45803.271999999997</v>
      </c>
      <c r="AJ100" s="14">
        <f t="shared" si="424"/>
        <v>50324.998999999996</v>
      </c>
      <c r="AK100" s="65">
        <f>25372.957+24794.04</f>
        <v>50166.997000000003</v>
      </c>
      <c r="AL100" s="65">
        <f>29253.286+27147.069</f>
        <v>56400.354999999996</v>
      </c>
      <c r="AM100" s="65">
        <f>30682.686+25645.751</f>
        <v>56328.437000000005</v>
      </c>
      <c r="AN100" s="14">
        <f t="shared" si="425"/>
        <v>63769.067000000003</v>
      </c>
      <c r="AO100" s="65">
        <f>31613.146+25981.593</f>
        <v>57594.739000000001</v>
      </c>
    </row>
    <row r="101" spans="2:41" s="32" customFormat="1" ht="13.5" customHeight="1">
      <c r="B101" s="32" t="s">
        <v>261</v>
      </c>
      <c r="C101" s="57">
        <f t="shared" ref="C101:D101" si="426">+C98+C99-C100</f>
        <v>-12070.766999999998</v>
      </c>
      <c r="D101" s="57">
        <f t="shared" si="426"/>
        <v>-13309.526</v>
      </c>
      <c r="E101" s="57">
        <f t="shared" ref="E101:K101" si="427">+E98+E99-E100</f>
        <v>-19884.522000000001</v>
      </c>
      <c r="F101" s="57">
        <f t="shared" si="427"/>
        <v>-23641.811000000002</v>
      </c>
      <c r="G101" s="57">
        <f t="shared" si="427"/>
        <v>-26596.148000000001</v>
      </c>
      <c r="H101" s="57">
        <f t="shared" si="427"/>
        <v>-42730.916000000005</v>
      </c>
      <c r="I101" s="57">
        <f t="shared" si="427"/>
        <v>-45937.828999999998</v>
      </c>
      <c r="J101" s="57">
        <f t="shared" si="427"/>
        <v>-57433.785000000003</v>
      </c>
      <c r="K101" s="57">
        <f t="shared" si="427"/>
        <v>-50294.649000000005</v>
      </c>
      <c r="L101" s="14"/>
      <c r="M101" s="57">
        <f t="shared" ref="M101:T101" si="428">+M98+M99-M100</f>
        <v>-10325.953000000001</v>
      </c>
      <c r="N101" s="57">
        <f>+N98+N99-N100</f>
        <v>-11196.68</v>
      </c>
      <c r="O101" s="57">
        <f>+O98+O99-O100</f>
        <v>-10464.178</v>
      </c>
      <c r="P101" s="57">
        <f t="shared" si="428"/>
        <v>-13309.526</v>
      </c>
      <c r="Q101" s="57">
        <f t="shared" si="428"/>
        <v>-7503.7080000000005</v>
      </c>
      <c r="R101" s="57">
        <f t="shared" si="428"/>
        <v>-12554.402000000002</v>
      </c>
      <c r="S101" s="57">
        <f t="shared" si="428"/>
        <v>-15919.539000000001</v>
      </c>
      <c r="T101" s="57">
        <f t="shared" si="428"/>
        <v>-19884.522000000001</v>
      </c>
      <c r="U101" s="57">
        <f>+U98+U99-U100</f>
        <v>-17188.11</v>
      </c>
      <c r="V101" s="57">
        <f t="shared" ref="V101:X101" si="429">+V98+V99-V100</f>
        <v>-20363.115000000002</v>
      </c>
      <c r="W101" s="57">
        <f t="shared" si="429"/>
        <v>-20776.737000000001</v>
      </c>
      <c r="X101" s="57">
        <f t="shared" si="429"/>
        <v>-23641.811000000002</v>
      </c>
      <c r="Y101" s="57">
        <f>+Y98+Y99-Y100</f>
        <v>-18967.612000000001</v>
      </c>
      <c r="Z101" s="57">
        <f t="shared" ref="Z101:AB101" si="430">+Z98+Z99-Z100</f>
        <v>-21599.720999999998</v>
      </c>
      <c r="AA101" s="57">
        <f t="shared" si="430"/>
        <v>-22276.188999999998</v>
      </c>
      <c r="AB101" s="57">
        <f t="shared" si="430"/>
        <v>-26596.148000000001</v>
      </c>
      <c r="AC101" s="57">
        <f>+AC98+AC99-AC100</f>
        <v>-25193.769999999997</v>
      </c>
      <c r="AD101" s="57">
        <f t="shared" ref="AD101:AF101" si="431">+AD98+AD99-AD100</f>
        <v>-31618.445</v>
      </c>
      <c r="AE101" s="57">
        <f t="shared" si="431"/>
        <v>-37212.713000000003</v>
      </c>
      <c r="AF101" s="57">
        <f t="shared" si="431"/>
        <v>-42730.916000000005</v>
      </c>
      <c r="AG101" s="57">
        <f>+AG98+AG99-AG100</f>
        <v>-37170.531999999999</v>
      </c>
      <c r="AH101" s="57">
        <f t="shared" ref="AH101:AJ101" si="432">+AH98+AH99-AH100</f>
        <v>-43419.427000000003</v>
      </c>
      <c r="AI101" s="57">
        <f t="shared" si="432"/>
        <v>-40776.558999999994</v>
      </c>
      <c r="AJ101" s="57">
        <f t="shared" si="432"/>
        <v>-45937.828999999998</v>
      </c>
      <c r="AK101" s="57">
        <f>+AK98+AK99-AK100</f>
        <v>-45367.768000000004</v>
      </c>
      <c r="AL101" s="57">
        <f t="shared" ref="AL101:AN101" si="433">+AL98+AL99-AL100</f>
        <v>-50776.034</v>
      </c>
      <c r="AM101" s="57">
        <f t="shared" si="433"/>
        <v>-49755.562000000005</v>
      </c>
      <c r="AN101" s="57">
        <f t="shared" si="433"/>
        <v>-57433.785000000003</v>
      </c>
      <c r="AO101" s="57">
        <f>+AO98+AO99-AO100</f>
        <v>-50294.649000000005</v>
      </c>
    </row>
    <row r="102" spans="2:41" s="44" customFormat="1" ht="13.5" customHeight="1">
      <c r="B102" s="190" t="s">
        <v>262</v>
      </c>
      <c r="C102" s="71">
        <f t="shared" ref="C102:E102" si="434">+C101/C86</f>
        <v>-0.18505704009295004</v>
      </c>
      <c r="D102" s="71">
        <f t="shared" si="434"/>
        <v>-0.13646802493108401</v>
      </c>
      <c r="E102" s="71">
        <f t="shared" si="434"/>
        <v>-0.17321840565371988</v>
      </c>
      <c r="F102" s="71">
        <f t="shared" ref="F102:G102" si="435">+F101/F86</f>
        <v>-0.13198277988895282</v>
      </c>
      <c r="G102" s="71">
        <f t="shared" si="435"/>
        <v>-0.12091634328680799</v>
      </c>
      <c r="H102" s="71">
        <f t="shared" ref="H102:I102" si="436">+H101/H86</f>
        <v>-0.15440540245586556</v>
      </c>
      <c r="I102" s="71">
        <f t="shared" si="436"/>
        <v>-0.13607516379496387</v>
      </c>
      <c r="J102" s="71">
        <f t="shared" ref="J102:K102" si="437">+J101/J86</f>
        <v>-0.15741548007710446</v>
      </c>
      <c r="K102" s="74">
        <f t="shared" si="437"/>
        <v>-0.13604638525153084</v>
      </c>
      <c r="L102" s="14"/>
      <c r="M102" s="180"/>
      <c r="N102" s="180"/>
      <c r="O102" s="180"/>
      <c r="P102" s="71">
        <f t="shared" ref="P102:W102" si="438">+P101/P86</f>
        <v>-0.13646802493108401</v>
      </c>
      <c r="Q102" s="76">
        <f t="shared" si="438"/>
        <v>-7.8895955337768262E-2</v>
      </c>
      <c r="R102" s="76">
        <f t="shared" si="438"/>
        <v>-0.12925678411140906</v>
      </c>
      <c r="S102" s="71">
        <f t="shared" si="438"/>
        <v>-0.15156376203156691</v>
      </c>
      <c r="T102" s="71">
        <f t="shared" si="438"/>
        <v>-0.17321840565371988</v>
      </c>
      <c r="U102" s="76">
        <f t="shared" si="438"/>
        <v>-0.12726570733509809</v>
      </c>
      <c r="V102" s="76">
        <f t="shared" si="438"/>
        <v>-0.13214711798517118</v>
      </c>
      <c r="W102" s="76">
        <f t="shared" si="438"/>
        <v>-0.12402365873911238</v>
      </c>
      <c r="X102" s="71">
        <f t="shared" ref="X102:AA102" si="439">+X101/X86</f>
        <v>-0.13198277988895282</v>
      </c>
      <c r="Y102" s="76">
        <f t="shared" si="439"/>
        <v>-0.10068777345619907</v>
      </c>
      <c r="Z102" s="76">
        <f t="shared" si="439"/>
        <v>-0.11045082313005107</v>
      </c>
      <c r="AA102" s="76">
        <f t="shared" si="439"/>
        <v>-0.1064068798524142</v>
      </c>
      <c r="AB102" s="71">
        <f t="shared" ref="AB102:AE102" si="440">+AB101/AB86</f>
        <v>-0.12091634328680799</v>
      </c>
      <c r="AC102" s="76">
        <f t="shared" si="440"/>
        <v>-0.10845188297631082</v>
      </c>
      <c r="AD102" s="76">
        <f t="shared" si="440"/>
        <v>-0.1268136776857918</v>
      </c>
      <c r="AE102" s="76">
        <f t="shared" si="440"/>
        <v>-0.14139753779212999</v>
      </c>
      <c r="AF102" s="71">
        <f t="shared" ref="AF102:AI102" si="441">+AF101/AF86</f>
        <v>-0.15440540245586556</v>
      </c>
      <c r="AG102" s="76">
        <f t="shared" si="441"/>
        <v>-0.12755697544001601</v>
      </c>
      <c r="AH102" s="76">
        <f t="shared" si="441"/>
        <v>-0.14203753053352425</v>
      </c>
      <c r="AI102" s="76">
        <f t="shared" si="441"/>
        <v>-0.12632134392741495</v>
      </c>
      <c r="AJ102" s="71">
        <f t="shared" ref="AJ102:AM102" si="442">+AJ101/AJ86</f>
        <v>-0.13607516379496387</v>
      </c>
      <c r="AK102" s="76">
        <f t="shared" si="442"/>
        <v>-0.12942922012587765</v>
      </c>
      <c r="AL102" s="76">
        <f t="shared" si="442"/>
        <v>-0.14100096958928579</v>
      </c>
      <c r="AM102" s="76">
        <f t="shared" si="442"/>
        <v>-0.13743793837697738</v>
      </c>
      <c r="AN102" s="71">
        <f t="shared" ref="AN102:AO102" si="443">+AN101/AN86</f>
        <v>-0.15741548007710446</v>
      </c>
      <c r="AO102" s="76">
        <f t="shared" si="443"/>
        <v>-0.13604638525153084</v>
      </c>
    </row>
    <row r="103" spans="2:41" ht="13.5" customHeight="1">
      <c r="C103" s="107"/>
      <c r="D103" s="107"/>
      <c r="E103" s="107"/>
      <c r="F103" s="107"/>
      <c r="G103" s="107"/>
      <c r="H103" s="107"/>
      <c r="I103" s="107"/>
      <c r="J103" s="107"/>
      <c r="K103" s="14"/>
      <c r="L103" s="14"/>
      <c r="M103" s="65"/>
      <c r="N103" s="65"/>
      <c r="O103" s="65"/>
      <c r="P103" s="14"/>
      <c r="Q103" s="65"/>
      <c r="R103" s="65"/>
      <c r="S103" s="65"/>
      <c r="T103" s="107"/>
      <c r="U103" s="65"/>
      <c r="V103" s="65"/>
      <c r="W103" s="65"/>
      <c r="X103" s="107"/>
      <c r="Y103" s="65"/>
      <c r="Z103" s="65"/>
      <c r="AA103" s="65"/>
      <c r="AB103" s="107"/>
      <c r="AC103" s="65"/>
      <c r="AD103" s="65"/>
      <c r="AE103" s="65"/>
      <c r="AF103" s="107"/>
      <c r="AG103" s="65"/>
      <c r="AH103" s="65"/>
      <c r="AI103" s="65"/>
      <c r="AJ103" s="107"/>
      <c r="AK103" s="65"/>
      <c r="AL103" s="65"/>
      <c r="AM103" s="65"/>
      <c r="AN103" s="107"/>
      <c r="AO103" s="65"/>
    </row>
    <row r="104" spans="2:41" ht="13.5" customHeight="1">
      <c r="B104" s="226" t="s">
        <v>263</v>
      </c>
      <c r="C104" s="227">
        <f>IFERROR((C98/-C9)*365,"-")</f>
        <v>2.9146507982870706</v>
      </c>
      <c r="D104" s="227">
        <f t="shared" ref="D104:G104" si="444">IFERROR((D98/-D9)*365,"-")</f>
        <v>1.5405722411079856</v>
      </c>
      <c r="E104" s="227">
        <f t="shared" si="444"/>
        <v>2.1087486869672443</v>
      </c>
      <c r="F104" s="227">
        <f t="shared" si="444"/>
        <v>1.8207896111598565</v>
      </c>
      <c r="G104" s="227">
        <f t="shared" si="444"/>
        <v>2.6827050742965151</v>
      </c>
      <c r="H104" s="227">
        <f t="shared" ref="H104:I104" si="445">IFERROR((H98/-H9)*365,"-")</f>
        <v>2.6520028735900887</v>
      </c>
      <c r="I104" s="227">
        <f t="shared" si="445"/>
        <v>3.0458806239724905</v>
      </c>
      <c r="J104" s="227">
        <f t="shared" ref="J104:K104" si="446">IFERROR((J98/-J9)*365,"-")</f>
        <v>4.3316851957398441</v>
      </c>
      <c r="K104" s="228">
        <f t="shared" si="446"/>
        <v>4.8672885384419953</v>
      </c>
      <c r="L104" s="229"/>
      <c r="M104" s="227">
        <f>IFERROR((M98/-M9)*(365/4),"-")</f>
        <v>1.8566534781339876</v>
      </c>
      <c r="N104" s="227">
        <f t="shared" ref="N104:AB104" si="447">IFERROR((N98/-N9)*(365/4),"-")</f>
        <v>1.7702157635609463</v>
      </c>
      <c r="O104" s="227">
        <f t="shared" si="447"/>
        <v>1.5415758564510096</v>
      </c>
      <c r="P104" s="227">
        <f t="shared" si="447"/>
        <v>1.3619465763896168</v>
      </c>
      <c r="Q104" s="227">
        <f t="shared" si="447"/>
        <v>2.062244357975711</v>
      </c>
      <c r="R104" s="227">
        <f t="shared" si="447"/>
        <v>1.6072767839531092</v>
      </c>
      <c r="S104" s="227">
        <f t="shared" si="447"/>
        <v>1.4407189532804034</v>
      </c>
      <c r="T104" s="227">
        <f t="shared" si="447"/>
        <v>1.4955976950856404</v>
      </c>
      <c r="U104" s="227">
        <f t="shared" si="447"/>
        <v>1.4624987779251439</v>
      </c>
      <c r="V104" s="227">
        <f t="shared" si="447"/>
        <v>1.4719771604309446</v>
      </c>
      <c r="W104" s="227">
        <f t="shared" si="447"/>
        <v>1.5780904073841415</v>
      </c>
      <c r="X104" s="227">
        <f t="shared" si="447"/>
        <v>1.6569954193507657</v>
      </c>
      <c r="Y104" s="227">
        <f t="shared" si="447"/>
        <v>1.8830544039516259</v>
      </c>
      <c r="Z104" s="227">
        <f t="shared" si="447"/>
        <v>2.2853259259751497</v>
      </c>
      <c r="AA104" s="227">
        <f t="shared" si="447"/>
        <v>2.1065429782601561</v>
      </c>
      <c r="AB104" s="227">
        <f t="shared" si="447"/>
        <v>2.4563253262032152</v>
      </c>
      <c r="AC104" s="227">
        <f t="shared" ref="AC104:AF104" si="448">IFERROR((AC98/-AC9)*(365/4),"-")</f>
        <v>2.4339896740331266</v>
      </c>
      <c r="AD104" s="227">
        <f t="shared" si="448"/>
        <v>2.6395982083989331</v>
      </c>
      <c r="AE104" s="227">
        <f t="shared" si="448"/>
        <v>2.5143203383927277</v>
      </c>
      <c r="AF104" s="227">
        <f t="shared" si="448"/>
        <v>2.4443102507520535</v>
      </c>
      <c r="AG104" s="227">
        <f t="shared" ref="AG104:AJ104" si="449">IFERROR((AG98/-AG9)*(365/4),"-")</f>
        <v>2.5706323919993181</v>
      </c>
      <c r="AH104" s="227">
        <f t="shared" si="449"/>
        <v>2.6817589359229119</v>
      </c>
      <c r="AI104" s="227">
        <f t="shared" si="449"/>
        <v>2.8502906660587488</v>
      </c>
      <c r="AJ104" s="227">
        <f t="shared" si="449"/>
        <v>2.8748139936543251</v>
      </c>
      <c r="AK104" s="227">
        <f t="shared" ref="AK104:AN104" si="450">IFERROR((AK98/-AK9)*(365/4),"-")</f>
        <v>3.2040519749420415</v>
      </c>
      <c r="AL104" s="227">
        <f t="shared" si="450"/>
        <v>3.6886232910606287</v>
      </c>
      <c r="AM104" s="227">
        <f t="shared" si="450"/>
        <v>4.0348533859691162</v>
      </c>
      <c r="AN104" s="227">
        <f t="shared" si="450"/>
        <v>4.0444134689564182</v>
      </c>
      <c r="AO104" s="227">
        <f t="shared" ref="AO104" si="451">IFERROR((AO98/-AO9)*(365/4),"-")</f>
        <v>4.9513695373732993</v>
      </c>
    </row>
    <row r="105" spans="2:41" ht="13.5" customHeight="1">
      <c r="B105" s="226" t="s">
        <v>264</v>
      </c>
      <c r="C105" s="227">
        <f>IFERROR((C99/C7)*365,"-")</f>
        <v>2.6095539353949428</v>
      </c>
      <c r="D105" s="227">
        <f t="shared" ref="D105:G105" si="452">IFERROR((D99/D7)*365,"-")</f>
        <v>2.5327781262285183</v>
      </c>
      <c r="E105" s="227">
        <f t="shared" si="452"/>
        <v>3.2779966568087624</v>
      </c>
      <c r="F105" s="227">
        <f t="shared" si="452"/>
        <v>3.6535761352816336</v>
      </c>
      <c r="G105" s="227">
        <f t="shared" si="452"/>
        <v>3.4063649025072174</v>
      </c>
      <c r="H105" s="227">
        <f t="shared" ref="H105:I105" si="453">IFERROR((H99/H7)*365,"-")</f>
        <v>3.617752087360552</v>
      </c>
      <c r="I105" s="227">
        <f t="shared" si="453"/>
        <v>2.8684418061426982</v>
      </c>
      <c r="J105" s="227">
        <f t="shared" ref="J105:K105" si="454">IFERROR((J99/J7)*365,"-")</f>
        <v>3.3240528273133663</v>
      </c>
      <c r="K105" s="228">
        <f t="shared" si="454"/>
        <v>3.7215579481294183</v>
      </c>
      <c r="L105" s="229"/>
      <c r="M105" s="227">
        <f>IFERROR((M99/M7)*(365/4),"-")</f>
        <v>2.2932678556750585</v>
      </c>
      <c r="N105" s="227">
        <f t="shared" ref="N105:AB105" si="455">IFERROR((N99/N7)*(365/4),"-")</f>
        <v>2.3745314909565143</v>
      </c>
      <c r="O105" s="227">
        <f t="shared" si="455"/>
        <v>2.6006169465660571</v>
      </c>
      <c r="P105" s="227">
        <f t="shared" si="455"/>
        <v>2.1931237175829041</v>
      </c>
      <c r="Q105" s="227">
        <f t="shared" si="455"/>
        <v>5.0176836575297425</v>
      </c>
      <c r="R105" s="227">
        <f t="shared" si="455"/>
        <v>3.1733225366707178</v>
      </c>
      <c r="S105" s="227">
        <f t="shared" si="455"/>
        <v>2.3926687880964312</v>
      </c>
      <c r="T105" s="227">
        <f t="shared" si="455"/>
        <v>2.481017869741637</v>
      </c>
      <c r="U105" s="227">
        <f t="shared" si="455"/>
        <v>3.0234384890078849</v>
      </c>
      <c r="V105" s="227">
        <f t="shared" si="455"/>
        <v>3.0138573101557173</v>
      </c>
      <c r="W105" s="227">
        <f t="shared" si="455"/>
        <v>3.0961974831950525</v>
      </c>
      <c r="X105" s="227">
        <f t="shared" si="455"/>
        <v>3.3037983228968977</v>
      </c>
      <c r="Y105" s="227">
        <f t="shared" si="455"/>
        <v>3.691486321416825</v>
      </c>
      <c r="Z105" s="227">
        <f t="shared" si="455"/>
        <v>4.0559743007446079</v>
      </c>
      <c r="AA105" s="227">
        <f t="shared" si="455"/>
        <v>2.9260700189329443</v>
      </c>
      <c r="AB105" s="227">
        <f t="shared" si="455"/>
        <v>3.1151672865872451</v>
      </c>
      <c r="AC105" s="227">
        <f t="shared" ref="AC105:AF105" si="456">IFERROR((AC99/AC7)*(365/4),"-")</f>
        <v>3.5875343617684505</v>
      </c>
      <c r="AD105" s="227">
        <f t="shared" si="456"/>
        <v>3.265722179232537</v>
      </c>
      <c r="AE105" s="227">
        <f t="shared" si="456"/>
        <v>3.4995402651764116</v>
      </c>
      <c r="AF105" s="227">
        <f t="shared" si="456"/>
        <v>3.3963692082621999</v>
      </c>
      <c r="AG105" s="227">
        <f t="shared" ref="AG105:AJ105" si="457">IFERROR((AG99/AG7)*(365/4),"-")</f>
        <v>3.7415747178157552</v>
      </c>
      <c r="AH105" s="227">
        <f t="shared" si="457"/>
        <v>3.2555343773796417</v>
      </c>
      <c r="AI105" s="227">
        <f t="shared" si="457"/>
        <v>3.1708986554744101</v>
      </c>
      <c r="AJ105" s="227">
        <f t="shared" si="457"/>
        <v>2.7358780123646231</v>
      </c>
      <c r="AK105" s="227">
        <f t="shared" ref="AK105:AN105" si="458">IFERROR((AK99/AK7)*(365/4),"-")</f>
        <v>3.0676613598717353</v>
      </c>
      <c r="AL105" s="227">
        <f t="shared" si="458"/>
        <v>3.1210655421226021</v>
      </c>
      <c r="AM105" s="227">
        <f t="shared" si="458"/>
        <v>3.3103199452689993</v>
      </c>
      <c r="AN105" s="227">
        <f t="shared" si="458"/>
        <v>3.320182719432089</v>
      </c>
      <c r="AO105" s="227">
        <f t="shared" ref="AO105" si="459">IFERROR((AO99/AO7)*(365/4),"-")</f>
        <v>3.7780920829606623</v>
      </c>
    </row>
    <row r="106" spans="2:41" ht="13.5" customHeight="1">
      <c r="B106" s="226" t="s">
        <v>265</v>
      </c>
      <c r="C106" s="227">
        <f>IFERROR((C100/-C9)*365,"-")</f>
        <v>94.212181618887541</v>
      </c>
      <c r="D106" s="227">
        <f t="shared" ref="D106:G106" si="460">IFERROR((D100/-D9)*365,"-")</f>
        <v>79.828265850171505</v>
      </c>
      <c r="E106" s="227">
        <f t="shared" si="460"/>
        <v>96.655857532998454</v>
      </c>
      <c r="F106" s="227">
        <f t="shared" si="460"/>
        <v>69.756800921604352</v>
      </c>
      <c r="G106" s="227">
        <f t="shared" si="460"/>
        <v>68.780749878024579</v>
      </c>
      <c r="H106" s="227">
        <f t="shared" ref="H106" si="461">IFERROR((H100/-H9)*365,"-")</f>
        <v>95.09214962671382</v>
      </c>
      <c r="I106" s="227">
        <f>IFERROR((I100/-I9)*365,"-")</f>
        <v>88.392721256112551</v>
      </c>
      <c r="J106" s="227">
        <f>IFERROR((J100/-J9)*365,"-")</f>
        <v>91.692200987748009</v>
      </c>
      <c r="K106" s="228">
        <f>IFERROR((K100/-K9)*365,"-")</f>
        <v>79.397058917783824</v>
      </c>
      <c r="L106" s="229"/>
      <c r="M106" s="227">
        <f>IFERROR((M100/-M9)*(365/4),"-")</f>
        <v>71.780163344576351</v>
      </c>
      <c r="N106" s="227">
        <f t="shared" ref="N106:AB106" si="462">IFERROR((N100/-N9)*(365/4),"-")</f>
        <v>74.630924859485205</v>
      </c>
      <c r="O106" s="227">
        <f t="shared" si="462"/>
        <v>58.875627571559562</v>
      </c>
      <c r="P106" s="227">
        <f t="shared" si="462"/>
        <v>70.572369456409305</v>
      </c>
      <c r="Q106" s="227">
        <f t="shared" si="462"/>
        <v>68.580463258195763</v>
      </c>
      <c r="R106" s="227">
        <f t="shared" si="462"/>
        <v>77.413848753681762</v>
      </c>
      <c r="S106" s="227">
        <f t="shared" si="462"/>
        <v>63.990332437108165</v>
      </c>
      <c r="T106" s="227">
        <f t="shared" si="462"/>
        <v>68.551685953046885</v>
      </c>
      <c r="U106" s="227">
        <f t="shared" si="462"/>
        <v>57.819021278608076</v>
      </c>
      <c r="V106" s="227">
        <f t="shared" si="462"/>
        <v>65.160999044001386</v>
      </c>
      <c r="W106" s="227">
        <f t="shared" si="462"/>
        <v>55.375415559797133</v>
      </c>
      <c r="X106" s="227">
        <f t="shared" si="462"/>
        <v>63.481633950026811</v>
      </c>
      <c r="Y106" s="227">
        <f t="shared" si="462"/>
        <v>55.406193116916647</v>
      </c>
      <c r="Z106" s="227">
        <f t="shared" si="462"/>
        <v>63.861596567237207</v>
      </c>
      <c r="AA106" s="227">
        <f t="shared" si="462"/>
        <v>52.338403684279633</v>
      </c>
      <c r="AB106" s="227">
        <f t="shared" si="462"/>
        <v>62.976694493688839</v>
      </c>
      <c r="AC106" s="227">
        <f t="shared" ref="AC106:AF106" si="463">IFERROR((AC100/-AC9)*(365/4),"-")</f>
        <v>67.104625446716597</v>
      </c>
      <c r="AD106" s="227">
        <f t="shared" si="463"/>
        <v>75.634277119824816</v>
      </c>
      <c r="AE106" s="227">
        <f t="shared" si="463"/>
        <v>76.542712477832723</v>
      </c>
      <c r="AF106" s="227">
        <f t="shared" si="463"/>
        <v>87.644971433975641</v>
      </c>
      <c r="AG106" s="227">
        <f t="shared" ref="AG106:AJ106" si="464">IFERROR((AG100/-AG9)*(365/4),"-")</f>
        <v>79.620741574291458</v>
      </c>
      <c r="AH106" s="227">
        <f t="shared" si="464"/>
        <v>90.144250276869499</v>
      </c>
      <c r="AI106" s="227">
        <f t="shared" si="464"/>
        <v>73.553227209552333</v>
      </c>
      <c r="AJ106" s="227">
        <f t="shared" si="464"/>
        <v>83.428296566935174</v>
      </c>
      <c r="AK106" s="227">
        <f t="shared" ref="AK106:AN106" si="465">IFERROR((AK100/-AK9)*(365/4),"-")</f>
        <v>84.548353963011252</v>
      </c>
      <c r="AL106" s="227">
        <f t="shared" si="465"/>
        <v>83.783616529888235</v>
      </c>
      <c r="AM106" s="227">
        <f t="shared" si="465"/>
        <v>73.107460436044462</v>
      </c>
      <c r="AN106" s="227">
        <f t="shared" si="465"/>
        <v>85.611293507160795</v>
      </c>
      <c r="AO106" s="227">
        <f t="shared" ref="AO106" si="466">IFERROR((AO100/-AO9)*(365/4),"-")</f>
        <v>80.768620100830447</v>
      </c>
    </row>
    <row r="107" spans="2:41" ht="13.5" customHeight="1">
      <c r="C107" s="107"/>
      <c r="D107" s="107"/>
      <c r="E107" s="107"/>
      <c r="F107" s="107"/>
      <c r="G107" s="107"/>
      <c r="H107" s="107"/>
      <c r="I107" s="107"/>
      <c r="J107" s="107"/>
      <c r="K107" s="14"/>
      <c r="L107" s="14"/>
      <c r="M107" s="65"/>
      <c r="N107" s="65"/>
      <c r="O107" s="65"/>
      <c r="P107" s="14"/>
      <c r="Q107" s="65"/>
      <c r="R107" s="65"/>
      <c r="S107" s="65"/>
      <c r="T107" s="107"/>
      <c r="U107" s="65"/>
      <c r="V107" s="65"/>
      <c r="W107" s="65"/>
      <c r="X107" s="107"/>
      <c r="Y107" s="65"/>
      <c r="Z107" s="65"/>
      <c r="AA107" s="65"/>
      <c r="AB107" s="107"/>
      <c r="AC107" s="65"/>
      <c r="AD107" s="65"/>
      <c r="AE107" s="65"/>
      <c r="AF107" s="107"/>
      <c r="AG107" s="65"/>
      <c r="AH107" s="65"/>
      <c r="AI107" s="65"/>
      <c r="AJ107" s="107"/>
      <c r="AK107" s="65"/>
      <c r="AL107" s="65"/>
      <c r="AM107" s="65"/>
      <c r="AN107" s="107"/>
      <c r="AO107" s="65"/>
    </row>
    <row r="108" spans="2:41" ht="13.5" customHeight="1">
      <c r="B108" s="8" t="s">
        <v>266</v>
      </c>
      <c r="C108" s="107"/>
      <c r="D108" s="107"/>
      <c r="E108" s="107"/>
      <c r="F108" s="107"/>
      <c r="G108" s="107"/>
      <c r="H108" s="107"/>
      <c r="I108" s="107"/>
      <c r="J108" s="107"/>
    </row>
    <row r="109" spans="2:41" ht="13.5" customHeight="1">
      <c r="B109" s="13" t="s">
        <v>267</v>
      </c>
      <c r="C109" s="65">
        <v>1800</v>
      </c>
      <c r="D109" s="65">
        <v>3552.587</v>
      </c>
      <c r="E109" s="65">
        <f>6395.002+61.732</f>
        <v>6456.7340000000004</v>
      </c>
      <c r="F109" s="65">
        <f>11565.2+60.32</f>
        <v>11625.52</v>
      </c>
      <c r="G109" s="65">
        <f>17562.145</f>
        <v>17562.145</v>
      </c>
      <c r="H109" s="65">
        <f>19321.793</f>
        <v>19321.793000000001</v>
      </c>
      <c r="I109" s="65">
        <f>1.079+16567.532</f>
        <v>16568.611000000001</v>
      </c>
      <c r="J109" s="65">
        <f>3467.861+10911.217</f>
        <v>14379.078000000001</v>
      </c>
      <c r="K109" s="14">
        <f t="shared" ref="K109:K110" si="467">AO109</f>
        <v>16715.527000000002</v>
      </c>
      <c r="L109" s="14"/>
      <c r="M109" s="65">
        <v>2100</v>
      </c>
      <c r="N109" s="65">
        <v>3000</v>
      </c>
      <c r="O109" s="65">
        <v>3140</v>
      </c>
      <c r="P109" s="14">
        <f>D109</f>
        <v>3552.587</v>
      </c>
      <c r="Q109" s="65">
        <v>3557.7379999999998</v>
      </c>
      <c r="R109" s="65">
        <v>3323.694</v>
      </c>
      <c r="S109" s="65">
        <v>7864.6040000000003</v>
      </c>
      <c r="T109" s="14">
        <f>E109</f>
        <v>6456.7340000000004</v>
      </c>
      <c r="U109" s="65">
        <v>7074.4970000000003</v>
      </c>
      <c r="V109" s="65">
        <f>11562.939</f>
        <v>11562.939</v>
      </c>
      <c r="W109" s="65">
        <v>13733.388999999999</v>
      </c>
      <c r="X109" s="14">
        <f>F109</f>
        <v>11625.52</v>
      </c>
      <c r="Y109" s="65">
        <v>11716.262000000001</v>
      </c>
      <c r="Z109" s="65">
        <v>11010.575000000001</v>
      </c>
      <c r="AA109" s="65">
        <v>16326.875</v>
      </c>
      <c r="AB109" s="14">
        <f>G109</f>
        <v>17562.145</v>
      </c>
      <c r="AC109" s="65">
        <v>17638.409</v>
      </c>
      <c r="AD109" s="65">
        <v>18591.787</v>
      </c>
      <c r="AE109" s="65">
        <f>(19758266+2002521)/1000</f>
        <v>21760.787</v>
      </c>
      <c r="AF109" s="14">
        <f>H109</f>
        <v>19321.793000000001</v>
      </c>
      <c r="AG109" s="65">
        <f>11077.508</f>
        <v>11077.508</v>
      </c>
      <c r="AH109" s="65">
        <v>698.79</v>
      </c>
      <c r="AI109" s="65">
        <f>0.843+10462.767</f>
        <v>10463.61</v>
      </c>
      <c r="AJ109" s="14">
        <f t="shared" ref="AJ109:AJ110" si="468">I109</f>
        <v>16568.611000000001</v>
      </c>
      <c r="AK109" s="65">
        <f>1.322+16806.301</f>
        <v>16807.623</v>
      </c>
      <c r="AL109" s="65">
        <f>1.342+16319.467</f>
        <v>16320.809000000001</v>
      </c>
      <c r="AM109" s="65">
        <f>1.436+16203.785</f>
        <v>16205.221</v>
      </c>
      <c r="AN109" s="14">
        <f t="shared" ref="AN109:AN110" si="469">J109</f>
        <v>14379.078000000001</v>
      </c>
      <c r="AO109" s="65">
        <f>11334.607+5380.92</f>
        <v>16715.527000000002</v>
      </c>
    </row>
    <row r="110" spans="2:41" ht="13.5" customHeight="1">
      <c r="B110" s="13" t="s">
        <v>268</v>
      </c>
      <c r="C110" s="65">
        <v>470.05599999999998</v>
      </c>
      <c r="D110" s="65">
        <v>466.67599999999999</v>
      </c>
      <c r="E110" s="65">
        <f>1957.47+12966.341</f>
        <v>14923.811</v>
      </c>
      <c r="F110" s="65">
        <f>12219.667+30383.378</f>
        <v>42603.044999999998</v>
      </c>
      <c r="G110" s="65">
        <f>1548.967+33607.372</f>
        <v>35156.339</v>
      </c>
      <c r="H110" s="65">
        <f>610.103+34610.966</f>
        <v>35221.069000000003</v>
      </c>
      <c r="I110" s="65">
        <f>1175.045+38009.069</f>
        <v>39184.114000000001</v>
      </c>
      <c r="J110" s="65">
        <f>18789.267+47114.754</f>
        <v>65904.021000000008</v>
      </c>
      <c r="K110" s="14">
        <f t="shared" si="467"/>
        <v>89390.245999999999</v>
      </c>
      <c r="L110" s="14"/>
      <c r="M110" s="65">
        <v>470.17899999999997</v>
      </c>
      <c r="N110" s="65">
        <v>936.85400000000004</v>
      </c>
      <c r="O110" s="65">
        <v>937.04300000000001</v>
      </c>
      <c r="P110" s="14">
        <f>D110</f>
        <v>466.67599999999999</v>
      </c>
      <c r="Q110" s="65">
        <v>466.738</v>
      </c>
      <c r="R110" s="65">
        <v>0</v>
      </c>
      <c r="S110" s="65">
        <v>0</v>
      </c>
      <c r="T110" s="14">
        <f>E110</f>
        <v>14923.811</v>
      </c>
      <c r="U110" s="65">
        <v>1971.39</v>
      </c>
      <c r="V110" s="65">
        <f>7591.91+30594.676</f>
        <v>38186.585999999996</v>
      </c>
      <c r="W110" s="65">
        <f>10635.57+30810.312</f>
        <v>41445.881999999998</v>
      </c>
      <c r="X110" s="14">
        <f>F110</f>
        <v>42603.044999999998</v>
      </c>
      <c r="Y110" s="65">
        <f>15338.68+30346.15</f>
        <v>45684.83</v>
      </c>
      <c r="Z110" s="65">
        <f>17472.962+32183.012</f>
        <v>49655.974000000002</v>
      </c>
      <c r="AA110" s="65">
        <f>(10439365+34152622)/1000</f>
        <v>44591.987000000001</v>
      </c>
      <c r="AB110" s="14">
        <f>G110</f>
        <v>35156.339</v>
      </c>
      <c r="AC110" s="65">
        <f>1625.178+33262.808</f>
        <v>34887.985999999997</v>
      </c>
      <c r="AD110" s="65">
        <f>35087.533+275.45</f>
        <v>35362.983</v>
      </c>
      <c r="AE110" s="65">
        <f>(34974799+418050)/1000</f>
        <v>35392.849000000002</v>
      </c>
      <c r="AF110" s="14">
        <f>H110</f>
        <v>35221.069000000003</v>
      </c>
      <c r="AG110" s="65">
        <f>736.522+35541.738</f>
        <v>36278.259999999995</v>
      </c>
      <c r="AH110" s="65">
        <f>816.894+25190.723</f>
        <v>26007.617000000002</v>
      </c>
      <c r="AI110" s="65">
        <f>24206.21+999.622</f>
        <v>25205.831999999999</v>
      </c>
      <c r="AJ110" s="14">
        <f t="shared" si="468"/>
        <v>39184.114000000001</v>
      </c>
      <c r="AK110" s="65">
        <f>1456.088+37803.914</f>
        <v>39260.002</v>
      </c>
      <c r="AL110" s="65">
        <f>1657.023+26835.731</f>
        <v>28492.754000000001</v>
      </c>
      <c r="AM110" s="65">
        <f>1981.875+26730.917</f>
        <v>28712.792000000001</v>
      </c>
      <c r="AN110" s="14">
        <f t="shared" si="469"/>
        <v>65904.021000000008</v>
      </c>
      <c r="AO110" s="65">
        <f>42686.825+46703.421</f>
        <v>89390.245999999999</v>
      </c>
    </row>
    <row r="111" spans="2:41" ht="13.5" customHeight="1">
      <c r="B111" s="8" t="s">
        <v>269</v>
      </c>
      <c r="C111" s="57">
        <f t="shared" ref="C111" si="470">SUM(C109:C110)</f>
        <v>2270.056</v>
      </c>
      <c r="D111" s="57">
        <f t="shared" ref="D111:E111" si="471">SUM(D109:D110)</f>
        <v>4019.2629999999999</v>
      </c>
      <c r="E111" s="57">
        <f t="shared" si="471"/>
        <v>21380.544999999998</v>
      </c>
      <c r="F111" s="57">
        <f t="shared" ref="F111:G111" si="472">SUM(F109:F110)</f>
        <v>54228.565000000002</v>
      </c>
      <c r="G111" s="57">
        <f t="shared" si="472"/>
        <v>52718.483999999997</v>
      </c>
      <c r="H111" s="57">
        <f t="shared" ref="H111:I111" si="473">SUM(H109:H110)</f>
        <v>54542.862000000008</v>
      </c>
      <c r="I111" s="57">
        <f t="shared" si="473"/>
        <v>55752.725000000006</v>
      </c>
      <c r="J111" s="57">
        <f t="shared" ref="J111:K111" si="474">SUM(J109:J110)</f>
        <v>80283.099000000017</v>
      </c>
      <c r="K111" s="57">
        <f t="shared" si="474"/>
        <v>106105.773</v>
      </c>
      <c r="L111" s="57"/>
      <c r="M111" s="57">
        <f t="shared" ref="M111:T111" si="475">SUM(M109:M110)</f>
        <v>2570.1790000000001</v>
      </c>
      <c r="N111" s="57">
        <f t="shared" si="475"/>
        <v>3936.8540000000003</v>
      </c>
      <c r="O111" s="57">
        <f t="shared" si="475"/>
        <v>4077.0430000000001</v>
      </c>
      <c r="P111" s="57">
        <f t="shared" si="475"/>
        <v>4019.2629999999999</v>
      </c>
      <c r="Q111" s="57">
        <f>SUM(Q109:Q110)</f>
        <v>4024.4759999999997</v>
      </c>
      <c r="R111" s="57">
        <f t="shared" si="475"/>
        <v>3323.694</v>
      </c>
      <c r="S111" s="57">
        <f t="shared" si="475"/>
        <v>7864.6040000000003</v>
      </c>
      <c r="T111" s="57">
        <f t="shared" si="475"/>
        <v>21380.544999999998</v>
      </c>
      <c r="U111" s="57">
        <f>SUM(U109:U110)</f>
        <v>9045.8870000000006</v>
      </c>
      <c r="V111" s="57">
        <f t="shared" ref="V111:X111" si="476">SUM(V109:V110)</f>
        <v>49749.524999999994</v>
      </c>
      <c r="W111" s="57">
        <f t="shared" si="476"/>
        <v>55179.270999999993</v>
      </c>
      <c r="X111" s="57">
        <f t="shared" si="476"/>
        <v>54228.565000000002</v>
      </c>
      <c r="Y111" s="57">
        <f>SUM(Y109:Y110)</f>
        <v>57401.092000000004</v>
      </c>
      <c r="Z111" s="57">
        <f t="shared" ref="Z111:AB111" si="477">SUM(Z109:Z110)</f>
        <v>60666.548999999999</v>
      </c>
      <c r="AA111" s="57">
        <f t="shared" si="477"/>
        <v>60918.862000000001</v>
      </c>
      <c r="AB111" s="57">
        <f t="shared" si="477"/>
        <v>52718.483999999997</v>
      </c>
      <c r="AC111" s="57">
        <f>SUM(AC109:AC110)</f>
        <v>52526.394999999997</v>
      </c>
      <c r="AD111" s="57">
        <f t="shared" ref="AD111:AG111" si="478">SUM(AD109:AD110)</f>
        <v>53954.770000000004</v>
      </c>
      <c r="AE111" s="57">
        <f t="shared" si="478"/>
        <v>57153.635999999999</v>
      </c>
      <c r="AF111" s="57">
        <f t="shared" si="478"/>
        <v>54542.862000000008</v>
      </c>
      <c r="AG111" s="57">
        <f t="shared" si="478"/>
        <v>47355.767999999996</v>
      </c>
      <c r="AH111" s="57">
        <f t="shared" ref="AH111:AL111" si="479">SUM(AH109:AH110)</f>
        <v>26706.407000000003</v>
      </c>
      <c r="AI111" s="57">
        <f t="shared" si="479"/>
        <v>35669.441999999995</v>
      </c>
      <c r="AJ111" s="57">
        <f t="shared" si="479"/>
        <v>55752.725000000006</v>
      </c>
      <c r="AK111" s="57">
        <f t="shared" si="479"/>
        <v>56067.625</v>
      </c>
      <c r="AL111" s="57">
        <f t="shared" si="479"/>
        <v>44813.563000000002</v>
      </c>
      <c r="AM111" s="57">
        <f t="shared" ref="AM111:AO111" si="480">SUM(AM109:AM110)</f>
        <v>44918.012999999999</v>
      </c>
      <c r="AN111" s="57">
        <f t="shared" si="480"/>
        <v>80283.099000000017</v>
      </c>
      <c r="AO111" s="57">
        <f t="shared" si="480"/>
        <v>106105.773</v>
      </c>
    </row>
    <row r="112" spans="2:41" ht="13.5" customHeight="1">
      <c r="C112" s="65"/>
      <c r="D112" s="65"/>
      <c r="E112" s="65"/>
      <c r="F112" s="65"/>
      <c r="G112" s="65"/>
      <c r="H112" s="65"/>
      <c r="I112" s="65"/>
      <c r="J112" s="65"/>
      <c r="K112" s="14"/>
      <c r="L112" s="14"/>
      <c r="M112" s="65"/>
      <c r="N112" s="65"/>
      <c r="O112" s="65"/>
      <c r="P112" s="14"/>
      <c r="Q112" s="65"/>
      <c r="R112" s="65"/>
      <c r="S112" s="65"/>
      <c r="T112" s="107"/>
      <c r="U112" s="65"/>
      <c r="V112" s="65"/>
      <c r="W112" s="65"/>
      <c r="X112" s="107"/>
      <c r="Y112" s="65"/>
      <c r="Z112" s="65"/>
      <c r="AA112" s="65"/>
      <c r="AB112" s="107"/>
      <c r="AC112" s="65"/>
      <c r="AD112" s="65"/>
      <c r="AE112" s="65"/>
      <c r="AF112" s="107"/>
      <c r="AG112" s="65"/>
      <c r="AH112" s="65"/>
      <c r="AI112" s="65"/>
      <c r="AJ112" s="107"/>
      <c r="AK112" s="65"/>
      <c r="AL112" s="65"/>
      <c r="AM112" s="65"/>
      <c r="AN112" s="107"/>
      <c r="AO112" s="65"/>
    </row>
    <row r="113" spans="2:42" ht="13.5" customHeight="1">
      <c r="B113" s="8" t="s">
        <v>270</v>
      </c>
      <c r="C113" s="65"/>
      <c r="D113" s="65"/>
      <c r="E113" s="65"/>
      <c r="F113" s="65"/>
      <c r="G113" s="65"/>
      <c r="H113" s="65"/>
      <c r="I113" s="65"/>
      <c r="J113" s="65"/>
      <c r="K113" s="14"/>
      <c r="L113" s="14"/>
      <c r="M113" s="65"/>
      <c r="N113" s="65"/>
      <c r="O113" s="65"/>
      <c r="P113" s="14"/>
      <c r="Q113" s="65"/>
      <c r="R113" s="65"/>
      <c r="S113" s="65"/>
      <c r="T113" s="107"/>
      <c r="U113" s="65"/>
      <c r="V113" s="65"/>
      <c r="W113" s="65"/>
      <c r="X113" s="107"/>
      <c r="Y113" s="65"/>
      <c r="Z113" s="65"/>
      <c r="AA113" s="65"/>
      <c r="AB113" s="107"/>
      <c r="AC113" s="65"/>
      <c r="AD113" s="65"/>
      <c r="AE113" s="65"/>
      <c r="AF113" s="107"/>
      <c r="AG113" s="65"/>
      <c r="AH113" s="65"/>
      <c r="AI113" s="65"/>
      <c r="AJ113" s="107"/>
      <c r="AK113" s="65"/>
      <c r="AL113" s="65"/>
      <c r="AM113" s="65"/>
      <c r="AN113" s="107"/>
      <c r="AO113" s="65"/>
    </row>
    <row r="114" spans="2:42" ht="13.5" customHeight="1">
      <c r="B114" s="13" t="s">
        <v>271</v>
      </c>
      <c r="C114" s="65">
        <v>0</v>
      </c>
      <c r="D114" s="65">
        <v>534.56600000000003</v>
      </c>
      <c r="E114" s="65">
        <v>1089.847</v>
      </c>
      <c r="F114" s="65">
        <v>1756.559</v>
      </c>
      <c r="G114" s="65">
        <v>2165.9780000000001</v>
      </c>
      <c r="H114" s="65">
        <v>2479.7849999999999</v>
      </c>
      <c r="I114" s="65">
        <v>2622.0659999999998</v>
      </c>
      <c r="J114" s="65">
        <v>2737.7890000000002</v>
      </c>
      <c r="K114" s="14">
        <f t="shared" ref="K114:K115" si="481">AO114</f>
        <v>2829.87</v>
      </c>
      <c r="L114" s="14"/>
      <c r="M114" s="65">
        <f>544.931+58.492</f>
        <v>603.423</v>
      </c>
      <c r="N114" s="65">
        <f>472.73+10.744</f>
        <v>483.47400000000005</v>
      </c>
      <c r="O114" s="65">
        <v>538.78700000000003</v>
      </c>
      <c r="P114" s="14">
        <f>D114</f>
        <v>534.56600000000003</v>
      </c>
      <c r="Q114" s="65">
        <v>545.56299999999999</v>
      </c>
      <c r="R114" s="65">
        <v>628.976</v>
      </c>
      <c r="S114" s="65">
        <v>817.60500000000002</v>
      </c>
      <c r="T114" s="14">
        <f>E114</f>
        <v>1089.847</v>
      </c>
      <c r="U114" s="65">
        <v>1301.337</v>
      </c>
      <c r="V114" s="65">
        <v>1424.4459999999999</v>
      </c>
      <c r="W114" s="65">
        <v>1480.0170000000001</v>
      </c>
      <c r="X114" s="14">
        <f>F114</f>
        <v>1756.559</v>
      </c>
      <c r="Y114" s="65">
        <v>1801.067</v>
      </c>
      <c r="Z114" s="65">
        <v>1899.8309999999999</v>
      </c>
      <c r="AA114" s="65">
        <v>2011.0429999999999</v>
      </c>
      <c r="AB114" s="14">
        <f>G114</f>
        <v>2165.9780000000001</v>
      </c>
      <c r="AC114" s="65">
        <v>2077.8989999999999</v>
      </c>
      <c r="AD114" s="65">
        <v>2102.2049999999999</v>
      </c>
      <c r="AE114" s="65">
        <v>2306.424</v>
      </c>
      <c r="AF114" s="14">
        <f>H114</f>
        <v>2479.7849999999999</v>
      </c>
      <c r="AG114" s="65">
        <v>2362.9360000000001</v>
      </c>
      <c r="AH114" s="65">
        <v>2398.6979999999999</v>
      </c>
      <c r="AI114" s="65">
        <v>2544.12</v>
      </c>
      <c r="AJ114" s="14">
        <f t="shared" ref="AJ114:AJ115" si="482">I114</f>
        <v>2622.0659999999998</v>
      </c>
      <c r="AK114" s="65">
        <v>2686.634</v>
      </c>
      <c r="AL114" s="65">
        <v>2838.0770000000002</v>
      </c>
      <c r="AM114" s="65">
        <v>2806.0529999999999</v>
      </c>
      <c r="AN114" s="14">
        <f t="shared" ref="AN114:AN115" si="483">J114</f>
        <v>2737.7890000000002</v>
      </c>
      <c r="AO114" s="65">
        <v>2829.87</v>
      </c>
    </row>
    <row r="115" spans="2:42" ht="13.5" customHeight="1">
      <c r="B115" s="13" t="s">
        <v>272</v>
      </c>
      <c r="C115" s="65">
        <v>0</v>
      </c>
      <c r="D115" s="65">
        <v>992.23299999999995</v>
      </c>
      <c r="E115" s="65">
        <v>1648.008</v>
      </c>
      <c r="F115" s="65">
        <v>2994.2260000000001</v>
      </c>
      <c r="G115" s="65">
        <v>3203.163</v>
      </c>
      <c r="H115" s="65">
        <v>3598.252</v>
      </c>
      <c r="I115" s="65">
        <v>3134.7759999999998</v>
      </c>
      <c r="J115" s="65">
        <v>3598.2179999999998</v>
      </c>
      <c r="K115" s="14">
        <f t="shared" si="481"/>
        <v>3868.2420000000002</v>
      </c>
      <c r="L115" s="14"/>
      <c r="M115" s="65">
        <v>1172.268</v>
      </c>
      <c r="N115" s="65">
        <v>1145.4960000000001</v>
      </c>
      <c r="O115" s="65">
        <v>1035.7860000000001</v>
      </c>
      <c r="P115" s="14">
        <f>D115</f>
        <v>992.23299999999995</v>
      </c>
      <c r="Q115" s="65">
        <v>986.72199999999998</v>
      </c>
      <c r="R115" s="65">
        <v>1021.196</v>
      </c>
      <c r="S115" s="65">
        <v>1193.778</v>
      </c>
      <c r="T115" s="14">
        <f>E115</f>
        <v>1648.008</v>
      </c>
      <c r="U115" s="65">
        <v>1696.5329999999999</v>
      </c>
      <c r="V115" s="65">
        <v>1949.452</v>
      </c>
      <c r="W115" s="65">
        <v>2197.8069999999998</v>
      </c>
      <c r="X115" s="14">
        <f>F115</f>
        <v>2994.2260000000001</v>
      </c>
      <c r="Y115" s="65">
        <v>2769.1419999999998</v>
      </c>
      <c r="Z115" s="65">
        <v>2823.2759999999998</v>
      </c>
      <c r="AA115" s="65">
        <v>3078.221</v>
      </c>
      <c r="AB115" s="14">
        <f>G115</f>
        <v>3203.163</v>
      </c>
      <c r="AC115" s="65">
        <v>3066.9670000000001</v>
      </c>
      <c r="AD115" s="65">
        <v>2927.703</v>
      </c>
      <c r="AE115" s="65">
        <v>3414.0039999999999</v>
      </c>
      <c r="AF115" s="14">
        <f>H115</f>
        <v>3598.252</v>
      </c>
      <c r="AG115" s="65">
        <v>3279.4659999999999</v>
      </c>
      <c r="AH115" s="65">
        <v>3180.05</v>
      </c>
      <c r="AI115" s="65">
        <v>3128.623</v>
      </c>
      <c r="AJ115" s="14">
        <f t="shared" si="482"/>
        <v>3134.7759999999998</v>
      </c>
      <c r="AK115" s="65">
        <v>3301.2460000000001</v>
      </c>
      <c r="AL115" s="65">
        <v>3325.7620000000002</v>
      </c>
      <c r="AM115" s="65">
        <v>3541.8829999999998</v>
      </c>
      <c r="AN115" s="14">
        <f t="shared" si="483"/>
        <v>3598.2179999999998</v>
      </c>
      <c r="AO115" s="65">
        <v>3868.2420000000002</v>
      </c>
    </row>
    <row r="116" spans="2:42" ht="13.5" customHeight="1">
      <c r="B116" s="8" t="s">
        <v>273</v>
      </c>
      <c r="C116" s="57">
        <f>SUM(C114:C115)</f>
        <v>0</v>
      </c>
      <c r="D116" s="57">
        <f>SUM(D114:D115)</f>
        <v>1526.799</v>
      </c>
      <c r="E116" s="57">
        <f t="shared" ref="E116" si="484">SUM(E114:E115)</f>
        <v>2737.855</v>
      </c>
      <c r="F116" s="57">
        <f t="shared" ref="F116:G116" si="485">SUM(F114:F115)</f>
        <v>4750.7849999999999</v>
      </c>
      <c r="G116" s="57">
        <f t="shared" si="485"/>
        <v>5369.1409999999996</v>
      </c>
      <c r="H116" s="57">
        <f t="shared" ref="H116:I116" si="486">SUM(H114:H115)</f>
        <v>6078.0370000000003</v>
      </c>
      <c r="I116" s="57">
        <f t="shared" si="486"/>
        <v>5756.8419999999996</v>
      </c>
      <c r="J116" s="57">
        <f t="shared" ref="J116:K116" si="487">SUM(J114:J115)</f>
        <v>6336.0069999999996</v>
      </c>
      <c r="K116" s="57">
        <f t="shared" si="487"/>
        <v>6698.1120000000001</v>
      </c>
      <c r="L116" s="57"/>
      <c r="M116" s="57">
        <f t="shared" ref="M116" si="488">SUM(M114:M115)</f>
        <v>1775.691</v>
      </c>
      <c r="N116" s="57">
        <f>SUM(N114:N115)</f>
        <v>1628.9700000000003</v>
      </c>
      <c r="O116" s="57">
        <f>SUM(O114:O115)</f>
        <v>1574.5730000000001</v>
      </c>
      <c r="P116" s="57">
        <f t="shared" ref="P116:U116" si="489">SUM(P114:P115)</f>
        <v>1526.799</v>
      </c>
      <c r="Q116" s="57">
        <f t="shared" si="489"/>
        <v>1532.2849999999999</v>
      </c>
      <c r="R116" s="57">
        <f t="shared" si="489"/>
        <v>1650.172</v>
      </c>
      <c r="S116" s="57">
        <f>SUM(S114:S115)</f>
        <v>2011.383</v>
      </c>
      <c r="T116" s="57">
        <f t="shared" si="489"/>
        <v>2737.855</v>
      </c>
      <c r="U116" s="57">
        <f t="shared" si="489"/>
        <v>2997.87</v>
      </c>
      <c r="V116" s="57">
        <f>SUM(V114:V115)</f>
        <v>3373.8980000000001</v>
      </c>
      <c r="W116" s="57">
        <f>SUM(W114:W115)</f>
        <v>3677.8239999999996</v>
      </c>
      <c r="X116" s="57">
        <f t="shared" ref="X116:Y116" si="490">SUM(X114:X115)</f>
        <v>4750.7849999999999</v>
      </c>
      <c r="Y116" s="57">
        <f t="shared" si="490"/>
        <v>4570.2089999999998</v>
      </c>
      <c r="Z116" s="57">
        <f>SUM(Z114:Z115)</f>
        <v>4723.107</v>
      </c>
      <c r="AA116" s="57">
        <f>SUM(AA114:AA115)</f>
        <v>5089.2640000000001</v>
      </c>
      <c r="AB116" s="57">
        <f t="shared" ref="AB116:AC116" si="491">SUM(AB114:AB115)</f>
        <v>5369.1409999999996</v>
      </c>
      <c r="AC116" s="57">
        <f t="shared" si="491"/>
        <v>5144.866</v>
      </c>
      <c r="AD116" s="57">
        <f>SUM(AD114:AD115)</f>
        <v>5029.9079999999994</v>
      </c>
      <c r="AE116" s="57">
        <f>SUM(AE114:AE115)</f>
        <v>5720.4279999999999</v>
      </c>
      <c r="AF116" s="57">
        <f t="shared" ref="AF116:AG116" si="492">SUM(AF114:AF115)</f>
        <v>6078.0370000000003</v>
      </c>
      <c r="AG116" s="57">
        <f t="shared" si="492"/>
        <v>5642.402</v>
      </c>
      <c r="AH116" s="57">
        <f>SUM(AH114:AH115)</f>
        <v>5578.7479999999996</v>
      </c>
      <c r="AI116" s="57">
        <f>SUM(AI114:AI115)</f>
        <v>5672.7430000000004</v>
      </c>
      <c r="AJ116" s="57">
        <f t="shared" ref="AJ116:AL116" si="493">SUM(AJ114:AJ115)</f>
        <v>5756.8419999999996</v>
      </c>
      <c r="AK116" s="57">
        <f t="shared" si="493"/>
        <v>5987.88</v>
      </c>
      <c r="AL116" s="57">
        <f t="shared" si="493"/>
        <v>6163.8389999999999</v>
      </c>
      <c r="AM116" s="57">
        <f>SUM(AM114:AM115)</f>
        <v>6347.9359999999997</v>
      </c>
      <c r="AN116" s="57">
        <f t="shared" ref="AN116:AO116" si="494">SUM(AN114:AN115)</f>
        <v>6336.0069999999996</v>
      </c>
      <c r="AO116" s="57">
        <f t="shared" si="494"/>
        <v>6698.1120000000001</v>
      </c>
    </row>
    <row r="117" spans="2:42" ht="13.5" customHeight="1">
      <c r="B117" s="32"/>
      <c r="C117" s="65"/>
      <c r="D117" s="65"/>
      <c r="E117" s="65"/>
      <c r="F117" s="65"/>
      <c r="G117" s="65"/>
      <c r="H117" s="65"/>
      <c r="I117" s="65"/>
      <c r="J117" s="65"/>
      <c r="K117" s="14"/>
      <c r="L117" s="14"/>
      <c r="M117" s="65"/>
      <c r="N117" s="65"/>
      <c r="O117" s="65"/>
      <c r="P117" s="14"/>
      <c r="Q117" s="65"/>
      <c r="R117" s="65"/>
      <c r="S117" s="65"/>
      <c r="T117" s="107"/>
      <c r="U117" s="65"/>
      <c r="V117" s="65"/>
      <c r="W117" s="65"/>
      <c r="X117" s="107"/>
      <c r="Y117" s="65"/>
      <c r="Z117" s="65"/>
      <c r="AA117" s="65"/>
      <c r="AB117" s="107"/>
      <c r="AC117" s="65"/>
      <c r="AD117" s="65"/>
      <c r="AE117" s="65"/>
      <c r="AF117" s="107"/>
      <c r="AG117" s="65"/>
      <c r="AH117" s="65"/>
      <c r="AI117" s="65"/>
      <c r="AJ117" s="107"/>
      <c r="AK117" s="65"/>
      <c r="AL117" s="65"/>
      <c r="AM117" s="65"/>
      <c r="AN117" s="107"/>
      <c r="AO117" s="65"/>
    </row>
    <row r="118" spans="2:42" ht="13.5" customHeight="1">
      <c r="B118" s="8" t="s">
        <v>274</v>
      </c>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row>
    <row r="119" spans="2:42" ht="13.5" customHeight="1">
      <c r="B119" s="13" t="s">
        <v>267</v>
      </c>
      <c r="C119" s="14">
        <f t="shared" ref="C119:E120" si="495">C109+C114</f>
        <v>1800</v>
      </c>
      <c r="D119" s="14">
        <f t="shared" si="495"/>
        <v>4087.1530000000002</v>
      </c>
      <c r="E119" s="14">
        <f t="shared" si="495"/>
        <v>7546.5810000000001</v>
      </c>
      <c r="F119" s="14">
        <f t="shared" ref="F119:G119" si="496">F109+F114</f>
        <v>13382.079</v>
      </c>
      <c r="G119" s="14">
        <f t="shared" si="496"/>
        <v>19728.123</v>
      </c>
      <c r="H119" s="14">
        <f t="shared" ref="H119:I119" si="497">H109+H114</f>
        <v>21801.578000000001</v>
      </c>
      <c r="I119" s="14">
        <f t="shared" si="497"/>
        <v>19190.677</v>
      </c>
      <c r="J119" s="14">
        <f t="shared" ref="J119:K119" si="498">J109+J114</f>
        <v>17116.867000000002</v>
      </c>
      <c r="K119" s="14">
        <f t="shared" si="498"/>
        <v>19545.397000000001</v>
      </c>
      <c r="L119" s="14"/>
      <c r="M119" s="14">
        <f t="shared" ref="M119:O120" si="499">M109+M114</f>
        <v>2703.4229999999998</v>
      </c>
      <c r="N119" s="14">
        <f t="shared" si="499"/>
        <v>3483.4740000000002</v>
      </c>
      <c r="O119" s="14">
        <f t="shared" si="499"/>
        <v>3678.7870000000003</v>
      </c>
      <c r="P119" s="14">
        <f>D119</f>
        <v>4087.1530000000002</v>
      </c>
      <c r="Q119" s="14">
        <f t="shared" ref="Q119:W120" si="500">Q109+Q114</f>
        <v>4103.3009999999995</v>
      </c>
      <c r="R119" s="14">
        <f t="shared" si="500"/>
        <v>3952.67</v>
      </c>
      <c r="S119" s="14">
        <f>S109+S114</f>
        <v>8682.2090000000007</v>
      </c>
      <c r="T119" s="14">
        <f t="shared" si="500"/>
        <v>7546.5810000000001</v>
      </c>
      <c r="U119" s="14">
        <f t="shared" si="500"/>
        <v>8375.8340000000007</v>
      </c>
      <c r="V119" s="14">
        <f t="shared" si="500"/>
        <v>12987.385</v>
      </c>
      <c r="W119" s="14">
        <f t="shared" si="500"/>
        <v>15213.405999999999</v>
      </c>
      <c r="X119" s="14">
        <f t="shared" ref="X119:AA119" si="501">X109+X114</f>
        <v>13382.079</v>
      </c>
      <c r="Y119" s="14">
        <f t="shared" si="501"/>
        <v>13517.329000000002</v>
      </c>
      <c r="Z119" s="14">
        <f t="shared" si="501"/>
        <v>12910.406000000001</v>
      </c>
      <c r="AA119" s="14">
        <f t="shared" si="501"/>
        <v>18337.918000000001</v>
      </c>
      <c r="AB119" s="14">
        <f t="shared" ref="AB119:AE119" si="502">AB109+AB114</f>
        <v>19728.123</v>
      </c>
      <c r="AC119" s="14">
        <f t="shared" si="502"/>
        <v>19716.308000000001</v>
      </c>
      <c r="AD119" s="14">
        <f t="shared" si="502"/>
        <v>20693.991999999998</v>
      </c>
      <c r="AE119" s="14">
        <f t="shared" si="502"/>
        <v>24067.210999999999</v>
      </c>
      <c r="AF119" s="14">
        <f t="shared" ref="AF119:AI120" si="503">AF109+AF114</f>
        <v>21801.578000000001</v>
      </c>
      <c r="AG119" s="14">
        <f t="shared" si="503"/>
        <v>13440.444</v>
      </c>
      <c r="AH119" s="14">
        <f t="shared" si="503"/>
        <v>3097.4879999999998</v>
      </c>
      <c r="AI119" s="14">
        <f t="shared" si="503"/>
        <v>13007.73</v>
      </c>
      <c r="AJ119" s="14">
        <f t="shared" ref="AJ119:AM120" si="504">AJ109+AJ114</f>
        <v>19190.677</v>
      </c>
      <c r="AK119" s="14">
        <f t="shared" si="504"/>
        <v>19494.256999999998</v>
      </c>
      <c r="AL119" s="14">
        <f t="shared" si="504"/>
        <v>19158.886000000002</v>
      </c>
      <c r="AM119" s="14">
        <f t="shared" si="504"/>
        <v>19011.273999999998</v>
      </c>
      <c r="AN119" s="14">
        <f t="shared" ref="AN119:AO119" si="505">AN109+AN114</f>
        <v>17116.867000000002</v>
      </c>
      <c r="AO119" s="14">
        <f t="shared" si="505"/>
        <v>19545.397000000001</v>
      </c>
    </row>
    <row r="120" spans="2:42" ht="13.5" customHeight="1">
      <c r="B120" s="13" t="s">
        <v>268</v>
      </c>
      <c r="C120" s="14">
        <f t="shared" si="495"/>
        <v>470.05599999999998</v>
      </c>
      <c r="D120" s="14">
        <f t="shared" si="495"/>
        <v>1458.9089999999999</v>
      </c>
      <c r="E120" s="14">
        <f t="shared" si="495"/>
        <v>16571.819</v>
      </c>
      <c r="F120" s="14">
        <f t="shared" ref="F120:G120" si="506">F110+F115</f>
        <v>45597.271000000001</v>
      </c>
      <c r="G120" s="14">
        <f t="shared" si="506"/>
        <v>38359.502</v>
      </c>
      <c r="H120" s="14">
        <f t="shared" ref="H120:I120" si="507">H110+H115</f>
        <v>38819.321000000004</v>
      </c>
      <c r="I120" s="14">
        <f t="shared" si="507"/>
        <v>42318.89</v>
      </c>
      <c r="J120" s="14">
        <f t="shared" ref="J120:K120" si="508">J110+J115</f>
        <v>69502.239000000001</v>
      </c>
      <c r="K120" s="14">
        <f t="shared" si="508"/>
        <v>93258.487999999998</v>
      </c>
      <c r="L120" s="14"/>
      <c r="M120" s="14">
        <f t="shared" si="499"/>
        <v>1642.4470000000001</v>
      </c>
      <c r="N120" s="14">
        <f t="shared" si="499"/>
        <v>2082.3500000000004</v>
      </c>
      <c r="O120" s="14">
        <f t="shared" si="499"/>
        <v>1972.8290000000002</v>
      </c>
      <c r="P120" s="14">
        <f>D120</f>
        <v>1458.9089999999999</v>
      </c>
      <c r="Q120" s="14">
        <f t="shared" si="500"/>
        <v>1453.46</v>
      </c>
      <c r="R120" s="14">
        <f t="shared" si="500"/>
        <v>1021.196</v>
      </c>
      <c r="S120" s="14">
        <f>S110+S115</f>
        <v>1193.778</v>
      </c>
      <c r="T120" s="14">
        <f t="shared" si="500"/>
        <v>16571.819</v>
      </c>
      <c r="U120" s="14">
        <f t="shared" si="500"/>
        <v>3667.9229999999998</v>
      </c>
      <c r="V120" s="14">
        <f t="shared" si="500"/>
        <v>40136.037999999993</v>
      </c>
      <c r="W120" s="14">
        <f t="shared" si="500"/>
        <v>43643.688999999998</v>
      </c>
      <c r="X120" s="14">
        <f t="shared" ref="X120:AA120" si="509">X110+X115</f>
        <v>45597.271000000001</v>
      </c>
      <c r="Y120" s="14">
        <f t="shared" si="509"/>
        <v>48453.972000000002</v>
      </c>
      <c r="Z120" s="14">
        <f t="shared" si="509"/>
        <v>52479.25</v>
      </c>
      <c r="AA120" s="14">
        <f t="shared" si="509"/>
        <v>47670.207999999999</v>
      </c>
      <c r="AB120" s="14">
        <f t="shared" ref="AB120:AE120" si="510">AB110+AB115</f>
        <v>38359.502</v>
      </c>
      <c r="AC120" s="14">
        <f t="shared" si="510"/>
        <v>37954.952999999994</v>
      </c>
      <c r="AD120" s="14">
        <f t="shared" si="510"/>
        <v>38290.686000000002</v>
      </c>
      <c r="AE120" s="14">
        <f t="shared" si="510"/>
        <v>38806.853000000003</v>
      </c>
      <c r="AF120" s="14">
        <f t="shared" ref="AF120" si="511">AF110+AF115</f>
        <v>38819.321000000004</v>
      </c>
      <c r="AG120" s="14">
        <f t="shared" si="503"/>
        <v>39557.725999999995</v>
      </c>
      <c r="AH120" s="14">
        <f t="shared" si="503"/>
        <v>29187.667000000001</v>
      </c>
      <c r="AI120" s="14">
        <f t="shared" si="503"/>
        <v>28334.454999999998</v>
      </c>
      <c r="AJ120" s="14">
        <f t="shared" si="504"/>
        <v>42318.89</v>
      </c>
      <c r="AK120" s="14">
        <f t="shared" si="504"/>
        <v>42561.248</v>
      </c>
      <c r="AL120" s="14">
        <f t="shared" si="504"/>
        <v>31818.516</v>
      </c>
      <c r="AM120" s="14">
        <f t="shared" si="504"/>
        <v>32254.675000000003</v>
      </c>
      <c r="AN120" s="14">
        <f t="shared" ref="AN120:AO120" si="512">AN110+AN115</f>
        <v>69502.239000000001</v>
      </c>
      <c r="AO120" s="14">
        <f t="shared" si="512"/>
        <v>93258.487999999998</v>
      </c>
    </row>
    <row r="121" spans="2:42" s="32" customFormat="1" ht="13.5" customHeight="1">
      <c r="B121" s="32" t="s">
        <v>35</v>
      </c>
      <c r="C121" s="57">
        <f t="shared" ref="C121:E121" si="513">SUM(C119:C120)</f>
        <v>2270.056</v>
      </c>
      <c r="D121" s="57">
        <f t="shared" si="513"/>
        <v>5546.0619999999999</v>
      </c>
      <c r="E121" s="57">
        <f t="shared" si="513"/>
        <v>24118.400000000001</v>
      </c>
      <c r="F121" s="57">
        <f t="shared" ref="F121:G121" si="514">SUM(F119:F120)</f>
        <v>58979.35</v>
      </c>
      <c r="G121" s="57">
        <f t="shared" si="514"/>
        <v>58087.625</v>
      </c>
      <c r="H121" s="57">
        <f t="shared" ref="H121:I121" si="515">SUM(H119:H120)</f>
        <v>60620.899000000005</v>
      </c>
      <c r="I121" s="57">
        <f t="shared" si="515"/>
        <v>61509.566999999995</v>
      </c>
      <c r="J121" s="57">
        <f t="shared" ref="J121:K121" si="516">SUM(J119:J120)</f>
        <v>86619.106</v>
      </c>
      <c r="K121" s="57">
        <f t="shared" si="516"/>
        <v>112803.88499999999</v>
      </c>
      <c r="L121" s="57"/>
      <c r="M121" s="57">
        <f t="shared" ref="M121:W121" si="517">SUM(M119:M120)</f>
        <v>4345.87</v>
      </c>
      <c r="N121" s="57">
        <f t="shared" si="517"/>
        <v>5565.8240000000005</v>
      </c>
      <c r="O121" s="57">
        <f t="shared" si="517"/>
        <v>5651.616</v>
      </c>
      <c r="P121" s="57">
        <f t="shared" si="517"/>
        <v>5546.0619999999999</v>
      </c>
      <c r="Q121" s="57">
        <f t="shared" si="517"/>
        <v>5556.7609999999995</v>
      </c>
      <c r="R121" s="57">
        <f t="shared" si="517"/>
        <v>4973.866</v>
      </c>
      <c r="S121" s="57">
        <f t="shared" si="517"/>
        <v>9875.987000000001</v>
      </c>
      <c r="T121" s="57">
        <f t="shared" si="517"/>
        <v>24118.400000000001</v>
      </c>
      <c r="U121" s="57">
        <f t="shared" si="517"/>
        <v>12043.757000000001</v>
      </c>
      <c r="V121" s="57">
        <f>SUM(V119:V120)</f>
        <v>53123.422999999995</v>
      </c>
      <c r="W121" s="57">
        <f t="shared" si="517"/>
        <v>58857.095000000001</v>
      </c>
      <c r="X121" s="57">
        <f t="shared" ref="X121:Y121" si="518">SUM(X119:X120)</f>
        <v>58979.35</v>
      </c>
      <c r="Y121" s="57">
        <f t="shared" si="518"/>
        <v>61971.301000000007</v>
      </c>
      <c r="Z121" s="57">
        <f>SUM(Z119:Z120)</f>
        <v>65389.656000000003</v>
      </c>
      <c r="AA121" s="57">
        <f t="shared" ref="AA121:AC121" si="519">SUM(AA119:AA120)</f>
        <v>66008.126000000004</v>
      </c>
      <c r="AB121" s="57">
        <f t="shared" si="519"/>
        <v>58087.625</v>
      </c>
      <c r="AC121" s="57">
        <f t="shared" si="519"/>
        <v>57671.260999999999</v>
      </c>
      <c r="AD121" s="57">
        <f>SUM(AD119:AD120)</f>
        <v>58984.678</v>
      </c>
      <c r="AE121" s="57">
        <f t="shared" ref="AE121:AG121" si="520">SUM(AE119:AE120)</f>
        <v>62874.063999999998</v>
      </c>
      <c r="AF121" s="57">
        <f t="shared" si="520"/>
        <v>60620.899000000005</v>
      </c>
      <c r="AG121" s="57">
        <f t="shared" si="520"/>
        <v>52998.17</v>
      </c>
      <c r="AH121" s="57">
        <f>SUM(AH119:AH120)</f>
        <v>32285.155000000002</v>
      </c>
      <c r="AI121" s="57">
        <f t="shared" ref="AI121:AL121" si="521">SUM(AI119:AI120)</f>
        <v>41342.184999999998</v>
      </c>
      <c r="AJ121" s="57">
        <f t="shared" si="521"/>
        <v>61509.566999999995</v>
      </c>
      <c r="AK121" s="57">
        <f t="shared" si="521"/>
        <v>62055.504999999997</v>
      </c>
      <c r="AL121" s="57">
        <f t="shared" si="521"/>
        <v>50977.402000000002</v>
      </c>
      <c r="AM121" s="57">
        <f t="shared" ref="AM121:AO121" si="522">SUM(AM119:AM120)</f>
        <v>51265.949000000001</v>
      </c>
      <c r="AN121" s="57">
        <f t="shared" si="522"/>
        <v>86619.106</v>
      </c>
      <c r="AO121" s="57">
        <f t="shared" si="522"/>
        <v>112803.88499999999</v>
      </c>
    </row>
    <row r="122" spans="2:42" ht="13.5" customHeight="1">
      <c r="B122" s="70" t="s">
        <v>248</v>
      </c>
      <c r="C122" s="65">
        <f>17043.692</f>
        <v>17043.691999999999</v>
      </c>
      <c r="D122" s="65">
        <f>13396.185</f>
        <v>13396.184999999999</v>
      </c>
      <c r="E122" s="65">
        <f>17093.559</f>
        <v>17093.559000000001</v>
      </c>
      <c r="F122" s="65">
        <f>32513.428</f>
        <v>32513.428</v>
      </c>
      <c r="G122" s="65">
        <f>20158.606</f>
        <v>20158.606</v>
      </c>
      <c r="H122" s="65">
        <v>33339.754000000001</v>
      </c>
      <c r="I122" s="65">
        <v>70834.096999999994</v>
      </c>
      <c r="J122" s="65">
        <v>106771.36599999999</v>
      </c>
      <c r="K122" s="14">
        <f>AO122</f>
        <v>117029.36900000001</v>
      </c>
      <c r="L122" s="14"/>
      <c r="M122" s="65">
        <v>10802.498</v>
      </c>
      <c r="N122" s="65">
        <v>10237.25</v>
      </c>
      <c r="O122" s="65">
        <v>15139.821</v>
      </c>
      <c r="P122" s="14">
        <f>D122</f>
        <v>13396.184999999999</v>
      </c>
      <c r="Q122" s="65">
        <f>14137.828</f>
        <v>14137.828</v>
      </c>
      <c r="R122" s="65">
        <f>13935.056</f>
        <v>13935.056</v>
      </c>
      <c r="S122" s="65">
        <f>19689.601</f>
        <v>19689.600999999999</v>
      </c>
      <c r="T122" s="14">
        <f>E122</f>
        <v>17093.559000000001</v>
      </c>
      <c r="U122" s="65">
        <f>17792.902</f>
        <v>17792.901999999998</v>
      </c>
      <c r="V122" s="65">
        <f>71387.869</f>
        <v>71387.869000000006</v>
      </c>
      <c r="W122" s="65">
        <f>50937.433</f>
        <v>50937.432999999997</v>
      </c>
      <c r="X122" s="14">
        <f>F122</f>
        <v>32513.428</v>
      </c>
      <c r="Y122" s="65">
        <f>35405.971</f>
        <v>35405.970999999998</v>
      </c>
      <c r="Z122" s="65">
        <f>25537.006</f>
        <v>25537.006000000001</v>
      </c>
      <c r="AA122" s="65">
        <f>23256.803</f>
        <v>23256.803</v>
      </c>
      <c r="AB122" s="14">
        <f>G122</f>
        <v>20158.606</v>
      </c>
      <c r="AC122" s="65">
        <v>26862.612000000001</v>
      </c>
      <c r="AD122" s="65">
        <v>27003.038</v>
      </c>
      <c r="AE122" s="65">
        <v>25148.894</v>
      </c>
      <c r="AF122" s="14">
        <f>H122</f>
        <v>33339.754000000001</v>
      </c>
      <c r="AG122" s="65">
        <v>50783.77</v>
      </c>
      <c r="AH122" s="65">
        <v>54704.167999999998</v>
      </c>
      <c r="AI122" s="65">
        <v>42468.059000000001</v>
      </c>
      <c r="AJ122" s="14">
        <f t="shared" ref="AJ122:AJ123" si="523">I122</f>
        <v>70834.096999999994</v>
      </c>
      <c r="AK122" s="65">
        <v>115015.46</v>
      </c>
      <c r="AL122" s="65">
        <v>101656.333</v>
      </c>
      <c r="AM122" s="65">
        <v>99234.19</v>
      </c>
      <c r="AN122" s="14">
        <f t="shared" ref="AN122:AN123" si="524">J122</f>
        <v>106771.36599999999</v>
      </c>
      <c r="AO122" s="65">
        <v>117029.36900000001</v>
      </c>
    </row>
    <row r="123" spans="2:42" ht="13.5" customHeight="1">
      <c r="B123" s="70" t="s">
        <v>22</v>
      </c>
      <c r="C123" s="65">
        <v>41829.964</v>
      </c>
      <c r="D123" s="65">
        <v>49435.599000000002</v>
      </c>
      <c r="E123" s="65">
        <v>43999.264000000003</v>
      </c>
      <c r="F123" s="65">
        <v>84282.016000000003</v>
      </c>
      <c r="G123" s="65">
        <v>91873.27</v>
      </c>
      <c r="H123" s="65">
        <v>111820.679</v>
      </c>
      <c r="I123" s="65">
        <v>97409.160999999993</v>
      </c>
      <c r="J123" s="65">
        <v>60062.338000000003</v>
      </c>
      <c r="K123" s="14">
        <f>AO123</f>
        <v>63340.786</v>
      </c>
      <c r="L123" s="14"/>
      <c r="M123" s="65">
        <v>43161.144999999997</v>
      </c>
      <c r="N123" s="65">
        <v>48359.889000000003</v>
      </c>
      <c r="O123" s="65">
        <v>46053.824000000001</v>
      </c>
      <c r="P123" s="14">
        <f>D123</f>
        <v>49435.599000000002</v>
      </c>
      <c r="Q123" s="65">
        <v>42376.152000000002</v>
      </c>
      <c r="R123" s="65">
        <v>44522.946000000004</v>
      </c>
      <c r="S123" s="65">
        <v>33702.048999999999</v>
      </c>
      <c r="T123" s="14">
        <f>E123</f>
        <v>43999.264000000003</v>
      </c>
      <c r="U123" s="65">
        <v>35332.853999999999</v>
      </c>
      <c r="V123" s="65">
        <v>51121.79</v>
      </c>
      <c r="W123" s="65">
        <v>69955.148000000001</v>
      </c>
      <c r="X123" s="14">
        <f>F123</f>
        <v>84282.016000000003</v>
      </c>
      <c r="Y123" s="65">
        <v>68042.12</v>
      </c>
      <c r="Z123" s="65">
        <v>82002.120999999999</v>
      </c>
      <c r="AA123" s="65">
        <v>88260.718999999997</v>
      </c>
      <c r="AB123" s="14">
        <f>G123</f>
        <v>91873.27</v>
      </c>
      <c r="AC123" s="65">
        <v>84537.816999999995</v>
      </c>
      <c r="AD123" s="65">
        <v>93188.894</v>
      </c>
      <c r="AE123" s="65">
        <v>108471.39599999999</v>
      </c>
      <c r="AF123" s="14">
        <f>H123</f>
        <v>111820.679</v>
      </c>
      <c r="AG123" s="65">
        <v>87810.510999999999</v>
      </c>
      <c r="AH123" s="65">
        <v>78548.048999999999</v>
      </c>
      <c r="AI123" s="65">
        <v>91694.46</v>
      </c>
      <c r="AJ123" s="14">
        <f t="shared" si="523"/>
        <v>97409.160999999993</v>
      </c>
      <c r="AK123" s="65">
        <v>65367.502999999997</v>
      </c>
      <c r="AL123" s="65">
        <v>69361.319000000003</v>
      </c>
      <c r="AM123" s="65">
        <v>42053.569000000003</v>
      </c>
      <c r="AN123" s="14">
        <f t="shared" si="524"/>
        <v>60062.338000000003</v>
      </c>
      <c r="AO123" s="65">
        <v>63340.786</v>
      </c>
    </row>
    <row r="124" spans="2:42" ht="13.5" customHeight="1">
      <c r="B124" s="32" t="s">
        <v>23</v>
      </c>
      <c r="C124" s="57">
        <f>C121-C122-C123</f>
        <v>-56603.6</v>
      </c>
      <c r="D124" s="57">
        <f t="shared" ref="D124:G124" si="525">D121-D122-D123</f>
        <v>-57285.722000000002</v>
      </c>
      <c r="E124" s="57">
        <f t="shared" si="525"/>
        <v>-36974.423000000003</v>
      </c>
      <c r="F124" s="57">
        <f t="shared" si="525"/>
        <v>-57816.094000000005</v>
      </c>
      <c r="G124" s="57">
        <f t="shared" si="525"/>
        <v>-53944.251000000004</v>
      </c>
      <c r="H124" s="57">
        <f t="shared" ref="H124:I124" si="526">H121-H122-H123</f>
        <v>-84539.534</v>
      </c>
      <c r="I124" s="57">
        <f t="shared" si="526"/>
        <v>-106733.69099999999</v>
      </c>
      <c r="J124" s="57">
        <f t="shared" ref="J124:K124" si="527">J121-J122-J123</f>
        <v>-80214.597999999998</v>
      </c>
      <c r="K124" s="57">
        <f t="shared" si="527"/>
        <v>-67566.270000000019</v>
      </c>
      <c r="L124" s="57"/>
      <c r="M124" s="57">
        <f t="shared" ref="M124" si="528">M121-M122-M123</f>
        <v>-49617.772999999994</v>
      </c>
      <c r="N124" s="57">
        <f t="shared" ref="N124" si="529">N121-N122-N123</f>
        <v>-53031.315000000002</v>
      </c>
      <c r="O124" s="57">
        <f t="shared" ref="O124" si="530">O121-O122-O123</f>
        <v>-55542.029000000002</v>
      </c>
      <c r="P124" s="57">
        <f t="shared" ref="P124" si="531">P121-P122-P123</f>
        <v>-57285.722000000002</v>
      </c>
      <c r="Q124" s="57">
        <f t="shared" ref="Q124" si="532">Q121-Q122-Q123</f>
        <v>-50957.218999999997</v>
      </c>
      <c r="R124" s="57">
        <f t="shared" ref="R124" si="533">R121-R122-R123</f>
        <v>-53484.136000000006</v>
      </c>
      <c r="S124" s="57">
        <f t="shared" ref="S124" si="534">S121-S122-S123</f>
        <v>-43515.663</v>
      </c>
      <c r="T124" s="57">
        <f t="shared" ref="T124" si="535">T121-T122-T123</f>
        <v>-36974.423000000003</v>
      </c>
      <c r="U124" s="57">
        <f t="shared" ref="U124" si="536">U121-U122-U123</f>
        <v>-41081.998999999996</v>
      </c>
      <c r="V124" s="57">
        <f t="shared" ref="V124" si="537">V121-V122-V123</f>
        <v>-69386.236000000004</v>
      </c>
      <c r="W124" s="57">
        <f t="shared" ref="W124" si="538">W121-W122-W123</f>
        <v>-62035.485999999997</v>
      </c>
      <c r="X124" s="57">
        <f t="shared" ref="X124" si="539">X121-X122-X123</f>
        <v>-57816.094000000005</v>
      </c>
      <c r="Y124" s="57">
        <f t="shared" ref="Y124" si="540">Y121-Y122-Y123</f>
        <v>-41476.789999999986</v>
      </c>
      <c r="Z124" s="57">
        <f t="shared" ref="Z124" si="541">Z121-Z122-Z123</f>
        <v>-42149.470999999998</v>
      </c>
      <c r="AA124" s="57">
        <f t="shared" ref="AA124" si="542">AA121-AA122-AA123</f>
        <v>-45509.395999999993</v>
      </c>
      <c r="AB124" s="57">
        <f t="shared" ref="AB124:AE124" si="543">AB121-AB122-AB123</f>
        <v>-53944.251000000004</v>
      </c>
      <c r="AC124" s="57">
        <f t="shared" si="543"/>
        <v>-53729.167999999998</v>
      </c>
      <c r="AD124" s="57">
        <f t="shared" si="543"/>
        <v>-61207.254000000001</v>
      </c>
      <c r="AE124" s="57">
        <f t="shared" si="543"/>
        <v>-70746.225999999995</v>
      </c>
      <c r="AF124" s="57">
        <f t="shared" ref="AF124:AI124" si="544">AF121-AF122-AF123</f>
        <v>-84539.534</v>
      </c>
      <c r="AG124" s="57">
        <f t="shared" si="544"/>
        <v>-85596.111000000004</v>
      </c>
      <c r="AH124" s="57">
        <f t="shared" si="544"/>
        <v>-100967.06199999999</v>
      </c>
      <c r="AI124" s="57">
        <f t="shared" si="544"/>
        <v>-92820.334000000003</v>
      </c>
      <c r="AJ124" s="57">
        <f t="shared" ref="AJ124:AM124" si="545">AJ121-AJ122-AJ123</f>
        <v>-106733.69099999999</v>
      </c>
      <c r="AK124" s="57">
        <f t="shared" si="545"/>
        <v>-118327.45800000001</v>
      </c>
      <c r="AL124" s="57">
        <f t="shared" si="545"/>
        <v>-120040.25</v>
      </c>
      <c r="AM124" s="57">
        <f t="shared" si="545"/>
        <v>-90021.81</v>
      </c>
      <c r="AN124" s="57">
        <f t="shared" ref="AN124:AO124" si="546">AN121-AN122-AN123</f>
        <v>-80214.597999999998</v>
      </c>
      <c r="AO124" s="57">
        <f t="shared" si="546"/>
        <v>-67566.270000000019</v>
      </c>
    </row>
    <row r="125" spans="2:42" ht="13.5" customHeight="1">
      <c r="B125" s="32"/>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row>
    <row r="126" spans="2:42" ht="13.5" customHeight="1">
      <c r="B126" s="29" t="s">
        <v>275</v>
      </c>
      <c r="C126" s="57"/>
      <c r="D126" s="57"/>
      <c r="E126" s="65">
        <v>12775.666999999999</v>
      </c>
      <c r="F126" s="65">
        <v>13276.919</v>
      </c>
      <c r="G126" s="65">
        <v>14605.601000000001</v>
      </c>
      <c r="H126" s="65">
        <v>19373.228999999999</v>
      </c>
      <c r="I126" s="65">
        <v>19549.62</v>
      </c>
      <c r="J126" s="65">
        <v>21631.575000000001</v>
      </c>
      <c r="K126" s="14">
        <f>AO126</f>
        <v>19868.723000000002</v>
      </c>
      <c r="L126" s="14"/>
      <c r="M126" s="65">
        <v>10802.498</v>
      </c>
      <c r="N126" s="65">
        <v>10237.25</v>
      </c>
      <c r="O126" s="65">
        <v>15139.821</v>
      </c>
      <c r="P126" s="14">
        <f>D126</f>
        <v>0</v>
      </c>
      <c r="Q126" s="65">
        <f>14137.828</f>
        <v>14137.828</v>
      </c>
      <c r="R126" s="65">
        <f>13935.056</f>
        <v>13935.056</v>
      </c>
      <c r="S126" s="65">
        <f>19689.601</f>
        <v>19689.600999999999</v>
      </c>
      <c r="T126" s="14">
        <f>E126</f>
        <v>12775.666999999999</v>
      </c>
      <c r="U126" s="65">
        <f>17792.902</f>
        <v>17792.901999999998</v>
      </c>
      <c r="V126" s="65">
        <v>12435.628000000001</v>
      </c>
      <c r="W126" s="65">
        <v>12914.679</v>
      </c>
      <c r="X126" s="14">
        <f>F126</f>
        <v>13276.919</v>
      </c>
      <c r="Y126" s="65">
        <v>11112.441999999999</v>
      </c>
      <c r="Z126" s="65">
        <v>13252.364</v>
      </c>
      <c r="AA126" s="65">
        <v>12635.221</v>
      </c>
      <c r="AB126" s="14">
        <f>G126</f>
        <v>14605.601000000001</v>
      </c>
      <c r="AC126" s="65">
        <v>13240.142</v>
      </c>
      <c r="AD126" s="65">
        <v>14870.796</v>
      </c>
      <c r="AE126" s="65">
        <v>18194.060000000001</v>
      </c>
      <c r="AF126" s="14">
        <f>H126</f>
        <v>19373.228999999999</v>
      </c>
      <c r="AG126" s="65">
        <v>18276.776000000002</v>
      </c>
      <c r="AH126" s="65">
        <v>19111.918000000001</v>
      </c>
      <c r="AI126" s="65">
        <v>19145.044999999998</v>
      </c>
      <c r="AJ126" s="14">
        <f t="shared" ref="AJ126" si="547">I126</f>
        <v>19549.62</v>
      </c>
      <c r="AK126" s="65">
        <v>17299.328000000001</v>
      </c>
      <c r="AL126" s="65">
        <v>17920.671999999999</v>
      </c>
      <c r="AM126" s="65">
        <v>21490.98</v>
      </c>
      <c r="AN126" s="14">
        <f t="shared" ref="AN126" si="548">J126</f>
        <v>21631.575000000001</v>
      </c>
      <c r="AO126" s="65">
        <v>19868.723000000002</v>
      </c>
    </row>
    <row r="127" spans="2:42" ht="13.5" customHeight="1">
      <c r="B127" s="32" t="s">
        <v>276</v>
      </c>
      <c r="C127" s="57">
        <f>C124</f>
        <v>-56603.6</v>
      </c>
      <c r="D127" s="57">
        <f>D124</f>
        <v>-57285.722000000002</v>
      </c>
      <c r="E127" s="57">
        <f t="shared" ref="E127" si="549">E124-E126</f>
        <v>-49750.090000000004</v>
      </c>
      <c r="F127" s="57">
        <f t="shared" ref="F127" si="550">F124-F126</f>
        <v>-71093.013000000006</v>
      </c>
      <c r="G127" s="57">
        <f t="shared" ref="G127" si="551">G124-G126</f>
        <v>-68549.851999999999</v>
      </c>
      <c r="H127" s="57">
        <f t="shared" ref="H127:I127" si="552">H124-H126</f>
        <v>-103912.76300000001</v>
      </c>
      <c r="I127" s="57">
        <f t="shared" si="552"/>
        <v>-126283.31099999999</v>
      </c>
      <c r="J127" s="57">
        <f t="shared" ref="J127:K127" si="553">J124-J126</f>
        <v>-101846.173</v>
      </c>
      <c r="K127" s="57">
        <f t="shared" si="553"/>
        <v>-87434.993000000017</v>
      </c>
      <c r="L127" s="57"/>
      <c r="M127" s="57">
        <f>M124</f>
        <v>-49617.772999999994</v>
      </c>
      <c r="N127" s="57">
        <f>N124</f>
        <v>-53031.315000000002</v>
      </c>
      <c r="O127" s="57">
        <f>O124</f>
        <v>-55542.029000000002</v>
      </c>
      <c r="P127" s="57">
        <f>D127</f>
        <v>-57285.722000000002</v>
      </c>
      <c r="Q127" s="57">
        <f>Q124</f>
        <v>-50957.218999999997</v>
      </c>
      <c r="R127" s="57">
        <f>R124</f>
        <v>-53484.136000000006</v>
      </c>
      <c r="S127" s="57">
        <f>S124</f>
        <v>-43515.663</v>
      </c>
      <c r="T127" s="57">
        <f>E127</f>
        <v>-49750.090000000004</v>
      </c>
      <c r="U127" s="57">
        <f>U124</f>
        <v>-41081.998999999996</v>
      </c>
      <c r="V127" s="57">
        <f t="shared" ref="V127:Z127" si="554">V124-V126</f>
        <v>-81821.864000000001</v>
      </c>
      <c r="W127" s="57">
        <f t="shared" si="554"/>
        <v>-74950.164999999994</v>
      </c>
      <c r="X127" s="57">
        <f>F127</f>
        <v>-71093.013000000006</v>
      </c>
      <c r="Y127" s="57">
        <f t="shared" si="554"/>
        <v>-52589.231999999989</v>
      </c>
      <c r="Z127" s="57">
        <f t="shared" si="554"/>
        <v>-55401.834999999999</v>
      </c>
      <c r="AA127" s="57">
        <f>AA124-AA126</f>
        <v>-58144.616999999991</v>
      </c>
      <c r="AB127" s="57">
        <f>G127</f>
        <v>-68549.851999999999</v>
      </c>
      <c r="AC127" s="57">
        <f>AC124-AC126</f>
        <v>-66969.31</v>
      </c>
      <c r="AD127" s="57">
        <f>AD124-AD126</f>
        <v>-76078.05</v>
      </c>
      <c r="AE127" s="57">
        <f>AE124-AE126</f>
        <v>-88940.285999999993</v>
      </c>
      <c r="AF127" s="57">
        <f>H127</f>
        <v>-103912.76300000001</v>
      </c>
      <c r="AG127" s="57">
        <f t="shared" ref="AG127" si="555">AG124-AG126</f>
        <v>-103872.887</v>
      </c>
      <c r="AH127" s="57">
        <f>AH124-AH126</f>
        <v>-120078.98</v>
      </c>
      <c r="AI127" s="57">
        <f>AI124-AI126</f>
        <v>-111965.379</v>
      </c>
      <c r="AJ127" s="57">
        <f>N127</f>
        <v>-53031.315000000002</v>
      </c>
      <c r="AK127" s="57">
        <f t="shared" ref="AK127:AL127" si="556">AK124-AK126</f>
        <v>-135626.78600000002</v>
      </c>
      <c r="AL127" s="57">
        <f t="shared" si="556"/>
        <v>-137960.92199999999</v>
      </c>
      <c r="AM127" s="57">
        <f>AM124-AM126</f>
        <v>-111512.79</v>
      </c>
      <c r="AN127" s="57">
        <f>AN124-AN126</f>
        <v>-101846.173</v>
      </c>
      <c r="AO127" s="57">
        <f t="shared" ref="AO127" si="557">AO124-AO126</f>
        <v>-87434.993000000017</v>
      </c>
    </row>
    <row r="128" spans="2:42" ht="13.5" customHeight="1">
      <c r="B128" s="29" t="s">
        <v>277</v>
      </c>
      <c r="C128" s="65">
        <v>86509.771999999997</v>
      </c>
      <c r="D128" s="65">
        <v>92054.394</v>
      </c>
      <c r="E128" s="65">
        <v>97634.274999999994</v>
      </c>
      <c r="F128" s="65">
        <v>125556.762</v>
      </c>
      <c r="G128" s="65">
        <v>128705.717</v>
      </c>
      <c r="H128" s="65">
        <v>151956.367</v>
      </c>
      <c r="I128" s="65">
        <v>172604.07800000001</v>
      </c>
      <c r="J128" s="65">
        <v>150987.85200000001</v>
      </c>
      <c r="K128" s="14">
        <f>AO128</f>
        <v>149881.761</v>
      </c>
      <c r="L128" s="14"/>
      <c r="M128" s="65">
        <v>84702.062000000005</v>
      </c>
      <c r="N128" s="65">
        <v>87123.342999999993</v>
      </c>
      <c r="O128" s="65">
        <v>90385.54</v>
      </c>
      <c r="P128" s="14">
        <f>D128</f>
        <v>92054.394</v>
      </c>
      <c r="Q128" s="65">
        <v>91989.828999999998</v>
      </c>
      <c r="R128" s="65">
        <v>95003.319000000003</v>
      </c>
      <c r="S128" s="65">
        <v>100683.33900000001</v>
      </c>
      <c r="T128" s="14">
        <f>E128</f>
        <v>97634.274999999994</v>
      </c>
      <c r="U128" s="65">
        <v>94047.864000000001</v>
      </c>
      <c r="V128" s="65">
        <v>134829.103</v>
      </c>
      <c r="W128" s="65">
        <v>129241.15399999999</v>
      </c>
      <c r="X128" s="14">
        <f>F128</f>
        <v>125556.762</v>
      </c>
      <c r="Y128" s="65">
        <v>121087.69</v>
      </c>
      <c r="Z128" s="65">
        <v>123564.823</v>
      </c>
      <c r="AA128" s="65">
        <v>127631.52800000001</v>
      </c>
      <c r="AB128" s="14">
        <f>G128</f>
        <v>128705.717</v>
      </c>
      <c r="AC128" s="65">
        <v>134143.35</v>
      </c>
      <c r="AD128" s="65">
        <v>142038.285</v>
      </c>
      <c r="AE128" s="65">
        <v>147823.76500000001</v>
      </c>
      <c r="AF128" s="14">
        <f>H128</f>
        <v>151956.367</v>
      </c>
      <c r="AG128" s="65">
        <v>156738.75</v>
      </c>
      <c r="AH128" s="65">
        <v>160499.35999999999</v>
      </c>
      <c r="AI128" s="65">
        <v>160265.43400000001</v>
      </c>
      <c r="AJ128" s="14">
        <f t="shared" ref="AJ128" si="558">I128</f>
        <v>172604.07800000001</v>
      </c>
      <c r="AK128" s="65">
        <v>184135.986</v>
      </c>
      <c r="AL128" s="65">
        <v>184297.56400000001</v>
      </c>
      <c r="AM128" s="65">
        <v>167377.902</v>
      </c>
      <c r="AN128" s="14">
        <f t="shared" ref="AN128" si="559">J128</f>
        <v>150987.85200000001</v>
      </c>
      <c r="AO128" s="65">
        <v>149881.761</v>
      </c>
    </row>
    <row r="129" spans="2:41" s="32" customFormat="1" ht="13.5" customHeight="1">
      <c r="B129" s="32" t="s">
        <v>278</v>
      </c>
      <c r="C129" s="57">
        <f t="shared" ref="C129:G129" si="560">+C121+C128</f>
        <v>88779.827999999994</v>
      </c>
      <c r="D129" s="57">
        <f t="shared" si="560"/>
        <v>97600.456000000006</v>
      </c>
      <c r="E129" s="57">
        <f t="shared" si="560"/>
        <v>121752.67499999999</v>
      </c>
      <c r="F129" s="57">
        <f t="shared" si="560"/>
        <v>184536.11199999999</v>
      </c>
      <c r="G129" s="57">
        <f t="shared" si="560"/>
        <v>186793.342</v>
      </c>
      <c r="H129" s="57">
        <f t="shared" ref="H129:I129" si="561">+H121+H128</f>
        <v>212577.266</v>
      </c>
      <c r="I129" s="57">
        <f t="shared" si="561"/>
        <v>234113.64500000002</v>
      </c>
      <c r="J129" s="57">
        <f t="shared" ref="J129:K129" si="562">+J121+J128</f>
        <v>237606.95800000001</v>
      </c>
      <c r="K129" s="57">
        <f t="shared" si="562"/>
        <v>262685.64600000001</v>
      </c>
      <c r="L129" s="57"/>
      <c r="M129" s="57">
        <f t="shared" ref="M129:AD129" si="563">+M121+M128</f>
        <v>89047.932000000001</v>
      </c>
      <c r="N129" s="57">
        <f t="shared" si="563"/>
        <v>92689.166999999987</v>
      </c>
      <c r="O129" s="57">
        <f t="shared" si="563"/>
        <v>96037.155999999988</v>
      </c>
      <c r="P129" s="57">
        <f t="shared" si="563"/>
        <v>97600.456000000006</v>
      </c>
      <c r="Q129" s="57">
        <f t="shared" si="563"/>
        <v>97546.59</v>
      </c>
      <c r="R129" s="57">
        <f t="shared" si="563"/>
        <v>99977.184999999998</v>
      </c>
      <c r="S129" s="57">
        <f t="shared" si="563"/>
        <v>110559.326</v>
      </c>
      <c r="T129" s="57">
        <f t="shared" si="563"/>
        <v>121752.67499999999</v>
      </c>
      <c r="U129" s="57">
        <f t="shared" si="563"/>
        <v>106091.621</v>
      </c>
      <c r="V129" s="57">
        <f t="shared" si="563"/>
        <v>187952.52600000001</v>
      </c>
      <c r="W129" s="57">
        <f t="shared" si="563"/>
        <v>188098.24900000001</v>
      </c>
      <c r="X129" s="57">
        <f t="shared" si="563"/>
        <v>184536.11199999999</v>
      </c>
      <c r="Y129" s="57">
        <f t="shared" si="563"/>
        <v>183058.99100000001</v>
      </c>
      <c r="Z129" s="57">
        <f t="shared" si="563"/>
        <v>188954.47899999999</v>
      </c>
      <c r="AA129" s="57">
        <f t="shared" si="563"/>
        <v>193639.65400000001</v>
      </c>
      <c r="AB129" s="57">
        <f t="shared" si="563"/>
        <v>186793.342</v>
      </c>
      <c r="AC129" s="57">
        <f t="shared" si="563"/>
        <v>191814.611</v>
      </c>
      <c r="AD129" s="57">
        <f t="shared" si="563"/>
        <v>201022.96299999999</v>
      </c>
      <c r="AE129" s="57">
        <f t="shared" ref="AE129:AH129" si="564">+AE121+AE128</f>
        <v>210697.82900000003</v>
      </c>
      <c r="AF129" s="57">
        <f t="shared" si="564"/>
        <v>212577.266</v>
      </c>
      <c r="AG129" s="57">
        <f t="shared" si="564"/>
        <v>209736.91999999998</v>
      </c>
      <c r="AH129" s="57">
        <f t="shared" si="564"/>
        <v>192784.51499999998</v>
      </c>
      <c r="AI129" s="57">
        <f t="shared" ref="AI129:AL129" si="565">+AI121+AI128</f>
        <v>201607.61900000001</v>
      </c>
      <c r="AJ129" s="57">
        <f t="shared" si="565"/>
        <v>234113.64500000002</v>
      </c>
      <c r="AK129" s="57">
        <f t="shared" si="565"/>
        <v>246191.49100000001</v>
      </c>
      <c r="AL129" s="57">
        <f t="shared" si="565"/>
        <v>235274.96600000001</v>
      </c>
      <c r="AM129" s="57">
        <f t="shared" ref="AM129:AO129" si="566">+AM121+AM128</f>
        <v>218643.851</v>
      </c>
      <c r="AN129" s="57">
        <f t="shared" si="566"/>
        <v>237606.95800000001</v>
      </c>
      <c r="AO129" s="57">
        <f t="shared" si="566"/>
        <v>262685.64600000001</v>
      </c>
    </row>
    <row r="130" spans="2:41" ht="13.5" customHeight="1"/>
    <row r="131" spans="2:41" ht="13.5" customHeight="1">
      <c r="B131" s="54" t="s">
        <v>279</v>
      </c>
      <c r="C131" s="58">
        <f t="shared" ref="C131:K131" si="567">C3</f>
        <v>43465</v>
      </c>
      <c r="D131" s="58">
        <f t="shared" si="567"/>
        <v>43830</v>
      </c>
      <c r="E131" s="58">
        <f t="shared" si="567"/>
        <v>44196</v>
      </c>
      <c r="F131" s="58">
        <f t="shared" si="567"/>
        <v>44561</v>
      </c>
      <c r="G131" s="58">
        <f t="shared" si="567"/>
        <v>44926</v>
      </c>
      <c r="H131" s="58">
        <f t="shared" si="567"/>
        <v>45291</v>
      </c>
      <c r="I131" s="58">
        <f t="shared" si="567"/>
        <v>45657</v>
      </c>
      <c r="J131" s="58">
        <f t="shared" si="567"/>
        <v>46022</v>
      </c>
      <c r="K131" s="58">
        <f t="shared" si="567"/>
        <v>46112</v>
      </c>
      <c r="L131" s="146"/>
      <c r="M131" s="58">
        <f t="shared" ref="M131:AN131" si="568">M3</f>
        <v>43555</v>
      </c>
      <c r="N131" s="58">
        <f t="shared" si="568"/>
        <v>43646</v>
      </c>
      <c r="O131" s="58">
        <f t="shared" si="568"/>
        <v>43738</v>
      </c>
      <c r="P131" s="58">
        <f t="shared" si="568"/>
        <v>43830</v>
      </c>
      <c r="Q131" s="58">
        <f t="shared" si="568"/>
        <v>43921</v>
      </c>
      <c r="R131" s="58">
        <f t="shared" si="568"/>
        <v>44012</v>
      </c>
      <c r="S131" s="58">
        <f t="shared" si="568"/>
        <v>44104</v>
      </c>
      <c r="T131" s="58">
        <f t="shared" si="568"/>
        <v>44196</v>
      </c>
      <c r="U131" s="58">
        <f t="shared" si="568"/>
        <v>44286</v>
      </c>
      <c r="V131" s="58">
        <f t="shared" si="568"/>
        <v>44377</v>
      </c>
      <c r="W131" s="58">
        <f t="shared" si="568"/>
        <v>44469</v>
      </c>
      <c r="X131" s="58">
        <f t="shared" si="568"/>
        <v>44561</v>
      </c>
      <c r="Y131" s="58">
        <f t="shared" si="568"/>
        <v>44651</v>
      </c>
      <c r="Z131" s="58">
        <f t="shared" si="568"/>
        <v>44742</v>
      </c>
      <c r="AA131" s="58">
        <f t="shared" si="568"/>
        <v>44834</v>
      </c>
      <c r="AB131" s="58">
        <f t="shared" si="568"/>
        <v>44926</v>
      </c>
      <c r="AC131" s="58">
        <f t="shared" si="568"/>
        <v>45016</v>
      </c>
      <c r="AD131" s="58">
        <f t="shared" si="568"/>
        <v>45107</v>
      </c>
      <c r="AE131" s="58">
        <f t="shared" si="568"/>
        <v>45199</v>
      </c>
      <c r="AF131" s="58">
        <f t="shared" si="568"/>
        <v>45291</v>
      </c>
      <c r="AG131" s="58">
        <f t="shared" si="568"/>
        <v>45382</v>
      </c>
      <c r="AH131" s="58">
        <f t="shared" si="568"/>
        <v>45473</v>
      </c>
      <c r="AI131" s="58">
        <f t="shared" si="568"/>
        <v>45565</v>
      </c>
      <c r="AJ131" s="58">
        <f t="shared" si="568"/>
        <v>45657</v>
      </c>
      <c r="AK131" s="58">
        <f t="shared" si="568"/>
        <v>45747</v>
      </c>
      <c r="AL131" s="58">
        <f t="shared" si="568"/>
        <v>45838</v>
      </c>
      <c r="AM131" s="58">
        <f t="shared" si="568"/>
        <v>45930</v>
      </c>
      <c r="AN131" s="58">
        <f t="shared" si="568"/>
        <v>46022</v>
      </c>
      <c r="AO131" s="58">
        <f t="shared" ref="AO131" si="569">AO3</f>
        <v>46112</v>
      </c>
    </row>
    <row r="132" spans="2:41" ht="13.5" customHeight="1">
      <c r="B132" s="32"/>
    </row>
    <row r="133" spans="2:41" ht="13.5" customHeight="1">
      <c r="B133" s="8" t="s">
        <v>280</v>
      </c>
      <c r="C133" s="102" t="str">
        <f t="shared" ref="C133:K133" si="570">IF((C124-C116)&lt;0,"net cash",(C124-C116)/C89)</f>
        <v>net cash</v>
      </c>
      <c r="D133" s="102" t="str">
        <f t="shared" si="570"/>
        <v>net cash</v>
      </c>
      <c r="E133" s="102" t="str">
        <f t="shared" si="570"/>
        <v>net cash</v>
      </c>
      <c r="F133" s="102" t="str">
        <f t="shared" si="570"/>
        <v>net cash</v>
      </c>
      <c r="G133" s="102" t="str">
        <f t="shared" si="570"/>
        <v>net cash</v>
      </c>
      <c r="H133" s="102" t="str">
        <f t="shared" si="570"/>
        <v>net cash</v>
      </c>
      <c r="I133" s="102" t="str">
        <f t="shared" si="570"/>
        <v>net cash</v>
      </c>
      <c r="J133" s="102" t="str">
        <f t="shared" si="570"/>
        <v>net cash</v>
      </c>
      <c r="K133" s="102" t="str">
        <f t="shared" si="570"/>
        <v>net cash</v>
      </c>
      <c r="M133" s="191"/>
      <c r="N133" s="191"/>
      <c r="O133" s="191"/>
      <c r="P133" s="102" t="str">
        <f t="shared" ref="P133:AN133" si="571">IF((P124-P116)&lt;0,"net cash",(P124-P116)/P89)</f>
        <v>net cash</v>
      </c>
      <c r="Q133" s="102" t="str">
        <f t="shared" si="571"/>
        <v>net cash</v>
      </c>
      <c r="R133" s="102" t="str">
        <f t="shared" si="571"/>
        <v>net cash</v>
      </c>
      <c r="S133" s="102" t="str">
        <f t="shared" si="571"/>
        <v>net cash</v>
      </c>
      <c r="T133" s="102" t="str">
        <f t="shared" si="571"/>
        <v>net cash</v>
      </c>
      <c r="U133" s="102" t="str">
        <f t="shared" si="571"/>
        <v>net cash</v>
      </c>
      <c r="V133" s="102" t="str">
        <f t="shared" si="571"/>
        <v>net cash</v>
      </c>
      <c r="W133" s="102" t="str">
        <f t="shared" si="571"/>
        <v>net cash</v>
      </c>
      <c r="X133" s="102" t="str">
        <f t="shared" si="571"/>
        <v>net cash</v>
      </c>
      <c r="Y133" s="102" t="str">
        <f t="shared" si="571"/>
        <v>net cash</v>
      </c>
      <c r="Z133" s="102" t="str">
        <f t="shared" si="571"/>
        <v>net cash</v>
      </c>
      <c r="AA133" s="102" t="str">
        <f t="shared" si="571"/>
        <v>net cash</v>
      </c>
      <c r="AB133" s="102" t="str">
        <f t="shared" si="571"/>
        <v>net cash</v>
      </c>
      <c r="AC133" s="102" t="str">
        <f t="shared" si="571"/>
        <v>net cash</v>
      </c>
      <c r="AD133" s="102" t="str">
        <f t="shared" si="571"/>
        <v>net cash</v>
      </c>
      <c r="AE133" s="102" t="str">
        <f t="shared" si="571"/>
        <v>net cash</v>
      </c>
      <c r="AF133" s="102" t="str">
        <f t="shared" si="571"/>
        <v>net cash</v>
      </c>
      <c r="AG133" s="102" t="str">
        <f t="shared" si="571"/>
        <v>net cash</v>
      </c>
      <c r="AH133" s="102" t="str">
        <f t="shared" si="571"/>
        <v>net cash</v>
      </c>
      <c r="AI133" s="102" t="str">
        <f t="shared" si="571"/>
        <v>net cash</v>
      </c>
      <c r="AJ133" s="102" t="str">
        <f t="shared" si="571"/>
        <v>net cash</v>
      </c>
      <c r="AK133" s="102" t="str">
        <f t="shared" si="571"/>
        <v>net cash</v>
      </c>
      <c r="AL133" s="102" t="str">
        <f t="shared" si="571"/>
        <v>net cash</v>
      </c>
      <c r="AM133" s="102" t="str">
        <f t="shared" si="571"/>
        <v>net cash</v>
      </c>
      <c r="AN133" s="102" t="str">
        <f t="shared" si="571"/>
        <v>net cash</v>
      </c>
      <c r="AO133" s="102" t="str">
        <f t="shared" ref="AO133" si="572">IF((AO124-AO116)&lt;0,"net cash",(AO124-AO116)/AO89)</f>
        <v>net cash</v>
      </c>
    </row>
    <row r="134" spans="2:41" ht="13.5" customHeight="1">
      <c r="B134" s="13" t="s">
        <v>281</v>
      </c>
      <c r="C134" s="63">
        <f t="shared" ref="C134:K134" si="573">(C121-C116)/C89</f>
        <v>-0.47953887665191258</v>
      </c>
      <c r="D134" s="63">
        <f t="shared" si="573"/>
        <v>0.55410336391386716</v>
      </c>
      <c r="E134" s="63">
        <f t="shared" si="573"/>
        <v>4.5127227889013488</v>
      </c>
      <c r="F134" s="63">
        <f t="shared" si="573"/>
        <v>-5.5939900821904027</v>
      </c>
      <c r="G134" s="63">
        <f t="shared" si="573"/>
        <v>5.4211529145344857</v>
      </c>
      <c r="H134" s="63">
        <f t="shared" si="573"/>
        <v>2.2842290344198588</v>
      </c>
      <c r="I134" s="63">
        <f t="shared" si="573"/>
        <v>1.1350449109720395</v>
      </c>
      <c r="J134" s="63">
        <f t="shared" si="573"/>
        <v>-5.8247047040220332</v>
      </c>
      <c r="K134" s="63">
        <f t="shared" si="573"/>
        <v>-3.6419512451294556</v>
      </c>
      <c r="M134" s="191"/>
      <c r="N134" s="191"/>
      <c r="O134" s="191"/>
      <c r="P134" s="63">
        <f t="shared" ref="P134:AN134" si="574">(P121-P116)/P89</f>
        <v>0.55410336391386716</v>
      </c>
      <c r="Q134" s="63">
        <f t="shared" si="574"/>
        <v>0.58871184924790854</v>
      </c>
      <c r="R134" s="63">
        <f t="shared" si="574"/>
        <v>0.46710506067233071</v>
      </c>
      <c r="S134" s="63">
        <f t="shared" si="574"/>
        <v>1.047829391728726</v>
      </c>
      <c r="T134" s="63">
        <f t="shared" si="574"/>
        <v>4.5127227889013488</v>
      </c>
      <c r="U134" s="63">
        <f t="shared" si="574"/>
        <v>3.9094644710120781</v>
      </c>
      <c r="V134" s="63">
        <f t="shared" si="574"/>
        <v>-32.380623380139781</v>
      </c>
      <c r="W134" s="63">
        <f t="shared" si="574"/>
        <v>-6.6694342726908804</v>
      </c>
      <c r="X134" s="63">
        <f t="shared" si="574"/>
        <v>-5.5939900821904027</v>
      </c>
      <c r="Y134" s="63">
        <f t="shared" si="574"/>
        <v>-6.2718600759339536</v>
      </c>
      <c r="Z134" s="63">
        <f t="shared" si="574"/>
        <v>-14.76273976216207</v>
      </c>
      <c r="AA134" s="63">
        <f t="shared" si="574"/>
        <v>12.814345856652498</v>
      </c>
      <c r="AB134" s="63">
        <f t="shared" si="574"/>
        <v>5.4211529145344857</v>
      </c>
      <c r="AC134" s="63">
        <f t="shared" si="574"/>
        <v>2.9463823144347305</v>
      </c>
      <c r="AD134" s="63">
        <f t="shared" si="574"/>
        <v>2.4855896914501896</v>
      </c>
      <c r="AE134" s="63">
        <f t="shared" si="574"/>
        <v>2.4747731439895091</v>
      </c>
      <c r="AF134" s="63">
        <f t="shared" si="574"/>
        <v>2.2842290344198588</v>
      </c>
      <c r="AG134" s="63">
        <f t="shared" si="574"/>
        <v>1.8436196009694037</v>
      </c>
      <c r="AH134" s="63">
        <f t="shared" si="574"/>
        <v>0.80925519173262039</v>
      </c>
      <c r="AI134" s="63">
        <f t="shared" si="574"/>
        <v>0.86280586728778685</v>
      </c>
      <c r="AJ134" s="63">
        <f t="shared" si="574"/>
        <v>1.1350449109720395</v>
      </c>
      <c r="AK134" s="63">
        <f t="shared" si="574"/>
        <v>1.0509249140166614</v>
      </c>
      <c r="AL134" s="63">
        <f t="shared" si="574"/>
        <v>1.0894150483782401</v>
      </c>
      <c r="AM134" s="63">
        <f t="shared" si="574"/>
        <v>3.8181492003547679</v>
      </c>
      <c r="AN134" s="63">
        <f t="shared" si="574"/>
        <v>-5.8247047040220332</v>
      </c>
      <c r="AO134" s="63">
        <f>(AO121-AO116)/AO89</f>
        <v>-3.6419512451294556</v>
      </c>
    </row>
    <row r="135" spans="2:41" ht="13.5" customHeight="1">
      <c r="B135" s="8"/>
      <c r="M135" s="191"/>
      <c r="N135" s="191"/>
      <c r="O135" s="191"/>
    </row>
    <row r="136" spans="2:41" s="32" customFormat="1" ht="13.5" customHeight="1">
      <c r="B136" s="8" t="s">
        <v>282</v>
      </c>
      <c r="C136" s="102" t="str">
        <f t="shared" ref="C136:K136" si="575">IF(C124&lt;0,"net cash", C124/C89)</f>
        <v>net cash</v>
      </c>
      <c r="D136" s="102" t="str">
        <f t="shared" si="575"/>
        <v>net cash</v>
      </c>
      <c r="E136" s="102" t="str">
        <f t="shared" si="575"/>
        <v>net cash</v>
      </c>
      <c r="F136" s="102" t="str">
        <f t="shared" si="575"/>
        <v>net cash</v>
      </c>
      <c r="G136" s="102" t="str">
        <f t="shared" si="575"/>
        <v>net cash</v>
      </c>
      <c r="H136" s="102" t="str">
        <f t="shared" si="575"/>
        <v>net cash</v>
      </c>
      <c r="I136" s="102" t="str">
        <f t="shared" si="575"/>
        <v>net cash</v>
      </c>
      <c r="J136" s="102" t="str">
        <f t="shared" si="575"/>
        <v>net cash</v>
      </c>
      <c r="K136" s="102" t="str">
        <f t="shared" si="575"/>
        <v>net cash</v>
      </c>
      <c r="L136" s="64"/>
      <c r="M136" s="191"/>
      <c r="N136" s="191"/>
      <c r="O136" s="191"/>
      <c r="P136" s="102" t="str">
        <f t="shared" ref="P136:AN136" si="576">IF(P124&lt;0,"net cash", P124/P89)</f>
        <v>net cash</v>
      </c>
      <c r="Q136" s="102" t="str">
        <f t="shared" si="576"/>
        <v>net cash</v>
      </c>
      <c r="R136" s="102" t="str">
        <f t="shared" si="576"/>
        <v>net cash</v>
      </c>
      <c r="S136" s="102" t="str">
        <f t="shared" si="576"/>
        <v>net cash</v>
      </c>
      <c r="T136" s="102" t="str">
        <f t="shared" si="576"/>
        <v>net cash</v>
      </c>
      <c r="U136" s="102" t="str">
        <f t="shared" si="576"/>
        <v>net cash</v>
      </c>
      <c r="V136" s="102" t="str">
        <f t="shared" si="576"/>
        <v>net cash</v>
      </c>
      <c r="W136" s="102" t="str">
        <f t="shared" si="576"/>
        <v>net cash</v>
      </c>
      <c r="X136" s="102" t="str">
        <f t="shared" si="576"/>
        <v>net cash</v>
      </c>
      <c r="Y136" s="102" t="str">
        <f t="shared" si="576"/>
        <v>net cash</v>
      </c>
      <c r="Z136" s="102" t="str">
        <f t="shared" si="576"/>
        <v>net cash</v>
      </c>
      <c r="AA136" s="102" t="str">
        <f t="shared" si="576"/>
        <v>net cash</v>
      </c>
      <c r="AB136" s="102" t="str">
        <f t="shared" si="576"/>
        <v>net cash</v>
      </c>
      <c r="AC136" s="102" t="str">
        <f t="shared" si="576"/>
        <v>net cash</v>
      </c>
      <c r="AD136" s="102" t="str">
        <f t="shared" si="576"/>
        <v>net cash</v>
      </c>
      <c r="AE136" s="102" t="str">
        <f t="shared" si="576"/>
        <v>net cash</v>
      </c>
      <c r="AF136" s="102" t="str">
        <f t="shared" si="576"/>
        <v>net cash</v>
      </c>
      <c r="AG136" s="102" t="str">
        <f t="shared" si="576"/>
        <v>net cash</v>
      </c>
      <c r="AH136" s="102" t="str">
        <f t="shared" si="576"/>
        <v>net cash</v>
      </c>
      <c r="AI136" s="102" t="str">
        <f t="shared" si="576"/>
        <v>net cash</v>
      </c>
      <c r="AJ136" s="102" t="str">
        <f t="shared" si="576"/>
        <v>net cash</v>
      </c>
      <c r="AK136" s="102" t="str">
        <f t="shared" si="576"/>
        <v>net cash</v>
      </c>
      <c r="AL136" s="102" t="str">
        <f t="shared" si="576"/>
        <v>net cash</v>
      </c>
      <c r="AM136" s="102" t="str">
        <f t="shared" si="576"/>
        <v>net cash</v>
      </c>
      <c r="AN136" s="102" t="str">
        <f t="shared" si="576"/>
        <v>net cash</v>
      </c>
      <c r="AO136" s="102" t="str">
        <f t="shared" ref="AO136" si="577">IF(AO124&lt;0,"net cash", AO124/AO89)</f>
        <v>net cash</v>
      </c>
    </row>
    <row r="137" spans="2:41" ht="13.5" customHeight="1">
      <c r="B137" s="13" t="s">
        <v>283</v>
      </c>
      <c r="C137" s="63">
        <f t="shared" ref="C137:K137" si="578">+C121/C89</f>
        <v>-0.47953887665191258</v>
      </c>
      <c r="D137" s="63">
        <f t="shared" si="578"/>
        <v>0.76459082440608384</v>
      </c>
      <c r="E137" s="63">
        <f t="shared" si="578"/>
        <v>5.0905930279999074</v>
      </c>
      <c r="F137" s="63">
        <f t="shared" si="578"/>
        <v>-6.0840610286117007</v>
      </c>
      <c r="G137" s="63">
        <f t="shared" si="578"/>
        <v>5.9732730092757649</v>
      </c>
      <c r="H137" s="63">
        <f t="shared" si="578"/>
        <v>2.5387743237315594</v>
      </c>
      <c r="I137" s="63">
        <f t="shared" si="578"/>
        <v>1.2522458946974107</v>
      </c>
      <c r="J137" s="63">
        <f t="shared" si="578"/>
        <v>-6.2843951025904357</v>
      </c>
      <c r="K137" s="63">
        <f t="shared" si="578"/>
        <v>-3.8718557701020648</v>
      </c>
      <c r="L137" s="63"/>
      <c r="M137" s="191"/>
      <c r="N137" s="191"/>
      <c r="O137" s="191"/>
      <c r="P137" s="63">
        <f t="shared" ref="P137:AN137" si="579">+P121/P89</f>
        <v>0.76459082440608384</v>
      </c>
      <c r="Q137" s="63">
        <f t="shared" si="579"/>
        <v>0.81285887756285735</v>
      </c>
      <c r="R137" s="63">
        <f t="shared" si="579"/>
        <v>0.69901681072506761</v>
      </c>
      <c r="S137" s="63">
        <f t="shared" si="579"/>
        <v>1.315813161213305</v>
      </c>
      <c r="T137" s="63">
        <f t="shared" si="579"/>
        <v>5.0905930279999074</v>
      </c>
      <c r="U137" s="63">
        <f t="shared" si="579"/>
        <v>5.2050882449673539</v>
      </c>
      <c r="V137" s="63">
        <f t="shared" si="579"/>
        <v>-34.576602546996284</v>
      </c>
      <c r="W137" s="63">
        <f t="shared" si="579"/>
        <v>-7.1139672465774879</v>
      </c>
      <c r="X137" s="63">
        <f t="shared" si="579"/>
        <v>-6.0840610286117007</v>
      </c>
      <c r="Y137" s="63">
        <f t="shared" si="579"/>
        <v>-6.7712183697757169</v>
      </c>
      <c r="Z137" s="63">
        <f t="shared" si="579"/>
        <v>-15.912071653610949</v>
      </c>
      <c r="AA137" s="63">
        <f t="shared" si="579"/>
        <v>13.884877821806587</v>
      </c>
      <c r="AB137" s="63">
        <f t="shared" si="579"/>
        <v>5.9732730092757649</v>
      </c>
      <c r="AC137" s="63">
        <f t="shared" si="579"/>
        <v>3.2349751674667453</v>
      </c>
      <c r="AD137" s="63">
        <f t="shared" si="579"/>
        <v>2.717307618776037</v>
      </c>
      <c r="AE137" s="63">
        <f t="shared" si="579"/>
        <v>2.7224697487431531</v>
      </c>
      <c r="AF137" s="63">
        <f t="shared" si="579"/>
        <v>2.5387743237315594</v>
      </c>
      <c r="AG137" s="63">
        <f t="shared" si="579"/>
        <v>2.0632854064896304</v>
      </c>
      <c r="AH137" s="63">
        <f t="shared" si="579"/>
        <v>0.97830192206845223</v>
      </c>
      <c r="AI137" s="63">
        <f t="shared" si="579"/>
        <v>1.0000234874573348</v>
      </c>
      <c r="AJ137" s="63">
        <f t="shared" si="579"/>
        <v>1.2522458946974107</v>
      </c>
      <c r="AK137" s="63">
        <f t="shared" si="579"/>
        <v>1.1631610266421217</v>
      </c>
      <c r="AL137" s="63">
        <f t="shared" si="579"/>
        <v>1.239257607479838</v>
      </c>
      <c r="AM137" s="63">
        <f t="shared" si="579"/>
        <v>4.3577404499121171</v>
      </c>
      <c r="AN137" s="63">
        <f t="shared" si="579"/>
        <v>-6.2843951025904357</v>
      </c>
      <c r="AO137" s="63">
        <f t="shared" ref="AO137" si="580">+AO121/AO89</f>
        <v>-3.8718557701020648</v>
      </c>
    </row>
    <row r="138" spans="2:41" ht="13.5" customHeight="1">
      <c r="C138" s="63"/>
      <c r="D138" s="63"/>
      <c r="E138" s="63"/>
      <c r="F138" s="63"/>
      <c r="G138" s="63"/>
      <c r="H138" s="63"/>
      <c r="I138" s="63"/>
      <c r="J138" s="63"/>
      <c r="K138" s="63"/>
      <c r="L138" s="63"/>
      <c r="M138" s="191"/>
      <c r="N138" s="191"/>
      <c r="O138" s="191"/>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row>
    <row r="139" spans="2:41" s="32" customFormat="1" ht="13.5" customHeight="1">
      <c r="B139" s="32" t="s">
        <v>284</v>
      </c>
      <c r="C139" s="201">
        <f>C129/C91</f>
        <v>-0.76870513758467574</v>
      </c>
      <c r="D139" s="201">
        <f>D129/D91</f>
        <v>43.646357044314563</v>
      </c>
      <c r="E139" s="201">
        <f t="shared" ref="E139:K139" si="581">E127/E89</f>
        <v>-10.500591303584315</v>
      </c>
      <c r="F139" s="201">
        <f t="shared" si="581"/>
        <v>7.3336554200730442</v>
      </c>
      <c r="G139" s="201">
        <f t="shared" si="581"/>
        <v>-7.0491258807955788</v>
      </c>
      <c r="H139" s="201">
        <f t="shared" si="581"/>
        <v>-4.3518169305341843</v>
      </c>
      <c r="I139" s="201">
        <f t="shared" si="581"/>
        <v>-2.5709457159492985</v>
      </c>
      <c r="J139" s="201">
        <f t="shared" si="581"/>
        <v>7.3891502738296353</v>
      </c>
      <c r="K139" s="201">
        <f t="shared" si="581"/>
        <v>3.0010994936555933</v>
      </c>
      <c r="L139" s="201"/>
      <c r="M139" s="202"/>
      <c r="N139" s="202"/>
      <c r="O139" s="202"/>
      <c r="P139" s="201">
        <f t="shared" ref="P139:U139" si="582">P129/P91</f>
        <v>43.646357044314435</v>
      </c>
      <c r="Q139" s="201">
        <f t="shared" si="582"/>
        <v>46.668164118844828</v>
      </c>
      <c r="R139" s="201">
        <f t="shared" si="582"/>
        <v>29.194084220792586</v>
      </c>
      <c r="S139" s="201">
        <f t="shared" si="582"/>
        <v>13.142753449785767</v>
      </c>
      <c r="T139" s="201">
        <f t="shared" si="582"/>
        <v>26.129605791781561</v>
      </c>
      <c r="U139" s="201">
        <f t="shared" si="582"/>
        <v>76.183283019193055</v>
      </c>
      <c r="V139" s="201">
        <f t="shared" ref="V139:AN139" si="583">V127/V89</f>
        <v>53.255643394485027</v>
      </c>
      <c r="W139" s="201">
        <f t="shared" si="583"/>
        <v>9.059112056678611</v>
      </c>
      <c r="X139" s="201">
        <f t="shared" si="583"/>
        <v>7.3336554200730442</v>
      </c>
      <c r="Y139" s="201">
        <f t="shared" si="583"/>
        <v>5.7460980812843809</v>
      </c>
      <c r="Z139" s="201">
        <f t="shared" si="583"/>
        <v>13.481611958037078</v>
      </c>
      <c r="AA139" s="201">
        <f t="shared" si="583"/>
        <v>-12.230780541182734</v>
      </c>
      <c r="AB139" s="201">
        <f t="shared" si="583"/>
        <v>-7.0491258807955788</v>
      </c>
      <c r="AC139" s="201">
        <f t="shared" si="583"/>
        <v>-3.7565340357718617</v>
      </c>
      <c r="AD139" s="201">
        <f t="shared" si="583"/>
        <v>-3.5047655068427144</v>
      </c>
      <c r="AE139" s="201">
        <f t="shared" si="583"/>
        <v>-3.8511466044180658</v>
      </c>
      <c r="AF139" s="201">
        <f t="shared" si="583"/>
        <v>-4.3518169305341843</v>
      </c>
      <c r="AG139" s="201">
        <f t="shared" si="583"/>
        <v>-4.0439021173192673</v>
      </c>
      <c r="AH139" s="201">
        <f t="shared" si="583"/>
        <v>-3.6386226714420054</v>
      </c>
      <c r="AI139" s="201">
        <f t="shared" si="583"/>
        <v>-2.7083234420740525</v>
      </c>
      <c r="AJ139" s="201">
        <f t="shared" si="583"/>
        <v>-1.079640936167787</v>
      </c>
      <c r="AK139" s="201">
        <f t="shared" si="583"/>
        <v>-2.5421723929880415</v>
      </c>
      <c r="AL139" s="201">
        <f t="shared" si="583"/>
        <v>-3.3538217997738005</v>
      </c>
      <c r="AM139" s="201">
        <f t="shared" si="583"/>
        <v>-9.4788803317686643</v>
      </c>
      <c r="AN139" s="201">
        <f t="shared" si="583"/>
        <v>7.3891502738296353</v>
      </c>
      <c r="AO139" s="201">
        <f>AO127/AO89</f>
        <v>3.0010994936555933</v>
      </c>
    </row>
    <row r="140" spans="2:41" ht="13.5" customHeight="1">
      <c r="C140" s="63"/>
      <c r="D140" s="63"/>
      <c r="E140" s="63"/>
      <c r="F140" s="63"/>
      <c r="G140" s="63"/>
      <c r="H140" s="63"/>
      <c r="I140" s="63"/>
      <c r="J140" s="63"/>
      <c r="K140" s="63"/>
      <c r="L140" s="63"/>
      <c r="M140" s="191"/>
      <c r="N140" s="191"/>
      <c r="O140" s="191"/>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row>
    <row r="141" spans="2:41" s="32" customFormat="1" ht="13.5" customHeight="1">
      <c r="B141" s="32" t="s">
        <v>285</v>
      </c>
      <c r="C141" s="201">
        <f>+(C89-C92)/C90</f>
        <v>-111.52558709282272</v>
      </c>
      <c r="D141" s="201">
        <f>+(D89-D92)/D90</f>
        <v>19.804071479523714</v>
      </c>
      <c r="E141" s="201">
        <f>+(E89-E92)/E90</f>
        <v>-49.329031933434273</v>
      </c>
      <c r="F141" s="201">
        <f>+(F89-F92)/F90</f>
        <v>-29.991134074149326</v>
      </c>
      <c r="G141" s="201">
        <f>IFERROR(+(G89-G92)/G90,"")</f>
        <v>3.7868111330434138</v>
      </c>
      <c r="H141" s="201">
        <f>IFERROR(+(H89-H92)/H90,"")</f>
        <v>29.926996944943244</v>
      </c>
      <c r="I141" s="201">
        <f>IFERROR(+(I89-I92)/I90,"")</f>
        <v>91.363638705266098</v>
      </c>
      <c r="J141" s="201">
        <f>IFERROR(+(J89-J92)/J90,"")</f>
        <v>-20.768695857105289</v>
      </c>
      <c r="K141" s="203"/>
      <c r="L141" s="201"/>
      <c r="M141" s="202"/>
      <c r="N141" s="202"/>
      <c r="O141" s="202"/>
      <c r="P141" s="201">
        <f>+(P89-P92)/P90</f>
        <v>19.804071479523714</v>
      </c>
      <c r="Q141" s="203"/>
      <c r="R141" s="201">
        <f>+(R89-R92)/R90</f>
        <v>12.762445295404808</v>
      </c>
      <c r="S141" s="203"/>
      <c r="T141" s="201">
        <f>+(T89-T92)/T90</f>
        <v>-49.329031933434273</v>
      </c>
      <c r="U141" s="203"/>
      <c r="V141" s="201">
        <f>+(V89-V92)/V90</f>
        <v>-53.619192576517904</v>
      </c>
      <c r="W141" s="203"/>
      <c r="X141" s="201">
        <f>+(X89-X92)/X90</f>
        <v>-29.991134074149326</v>
      </c>
      <c r="Y141" s="203"/>
      <c r="Z141" s="201">
        <f>+(Z89-Z92)/Z90</f>
        <v>-13.924587301504198</v>
      </c>
      <c r="AA141" s="203"/>
      <c r="AB141" s="201">
        <f>+(AB89-AB92)/AB90</f>
        <v>3.7868111330434138</v>
      </c>
      <c r="AC141" s="203"/>
      <c r="AD141" s="201">
        <f>+(AD89-AD92)/AD90</f>
        <v>17.862847130950311</v>
      </c>
      <c r="AE141" s="203"/>
      <c r="AF141" s="201"/>
      <c r="AG141" s="203"/>
      <c r="AH141" s="203"/>
      <c r="AI141" s="203"/>
      <c r="AJ141" s="203"/>
      <c r="AK141" s="203"/>
      <c r="AL141" s="203"/>
      <c r="AM141" s="203"/>
      <c r="AN141" s="203"/>
      <c r="AO141" s="203"/>
    </row>
    <row r="142" spans="2:41" ht="13.5" customHeight="1">
      <c r="B142" s="29" t="s">
        <v>286</v>
      </c>
      <c r="C142" s="63">
        <f>+(C89)/C90</f>
        <v>-76.299195719098051</v>
      </c>
      <c r="D142" s="63">
        <f>+(D89)/D90</f>
        <v>33.168264042580432</v>
      </c>
      <c r="E142" s="63">
        <f>+(E89)/E90</f>
        <v>21.672454725517017</v>
      </c>
      <c r="F142" s="63">
        <f>+(F89)/F90</f>
        <v>-15.632404330080773</v>
      </c>
      <c r="G142" s="63">
        <f>IFERROR(+(G89)/G90,"")</f>
        <v>8.3676707722331312</v>
      </c>
      <c r="H142" s="63">
        <f>IFERROR(+(H89)/H90,"")</f>
        <v>41.307304803324236</v>
      </c>
      <c r="I142" s="63">
        <f>IFERROR(+(I89)/I90,"")</f>
        <v>115.01944723488654</v>
      </c>
      <c r="J142" s="63">
        <f>IFERROR(+(J89)/J90,"")</f>
        <v>-10.755969618720089</v>
      </c>
      <c r="K142" s="180"/>
      <c r="L142" s="63"/>
      <c r="M142" s="191"/>
      <c r="N142" s="191"/>
      <c r="O142" s="191"/>
      <c r="P142" s="63">
        <f>+(P89)/P90</f>
        <v>33.168264042580432</v>
      </c>
      <c r="Q142" s="180"/>
      <c r="R142" s="63">
        <f>+(R89)/R90</f>
        <v>32.437623085339162</v>
      </c>
      <c r="S142" s="180"/>
      <c r="T142" s="63">
        <f>+(T89)/T90</f>
        <v>21.672454725517017</v>
      </c>
      <c r="U142" s="180"/>
      <c r="V142" s="63">
        <f>+(V89)/V90</f>
        <v>-4.1833271162396839</v>
      </c>
      <c r="W142" s="180"/>
      <c r="X142" s="63">
        <f>+(X89)/X90</f>
        <v>-15.632404330080773</v>
      </c>
      <c r="Y142" s="180"/>
      <c r="Z142" s="63">
        <f>+(Z89)/Z90</f>
        <v>-5.3788724024733101</v>
      </c>
      <c r="AA142" s="180"/>
      <c r="AB142" s="63">
        <f>+(AB89)/AB90</f>
        <v>8.3676707722331312</v>
      </c>
      <c r="AC142" s="180"/>
      <c r="AD142" s="63">
        <f>+(AD89)/AD90</f>
        <v>21.946066556938167</v>
      </c>
      <c r="AE142" s="180"/>
      <c r="AF142" s="63"/>
      <c r="AG142" s="180"/>
      <c r="AH142" s="180"/>
      <c r="AI142" s="180"/>
      <c r="AJ142" s="180"/>
      <c r="AK142" s="180"/>
      <c r="AL142" s="180"/>
      <c r="AM142" s="180"/>
      <c r="AN142" s="180"/>
      <c r="AO142" s="180"/>
    </row>
    <row r="143" spans="2:41" ht="13.5" customHeight="1">
      <c r="C143" s="62"/>
      <c r="D143" s="62"/>
      <c r="E143" s="62"/>
      <c r="F143" s="62"/>
      <c r="G143" s="62"/>
      <c r="H143" s="62"/>
      <c r="I143" s="62"/>
      <c r="J143" s="62"/>
      <c r="K143" s="62"/>
      <c r="L143" s="62"/>
      <c r="M143" s="191"/>
      <c r="N143" s="191"/>
      <c r="O143" s="191"/>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row>
    <row r="144" spans="2:41" s="32" customFormat="1" ht="13.5" customHeight="1">
      <c r="B144" s="61" t="s">
        <v>287</v>
      </c>
      <c r="C144" s="60">
        <f t="shared" ref="C144:K144" si="584">C124/C128</f>
        <v>-0.65430296128858134</v>
      </c>
      <c r="D144" s="60">
        <f t="shared" si="584"/>
        <v>-0.62230296144255759</v>
      </c>
      <c r="E144" s="60">
        <f t="shared" si="584"/>
        <v>-0.37870330885337145</v>
      </c>
      <c r="F144" s="60">
        <f t="shared" si="584"/>
        <v>-0.46047773994044228</v>
      </c>
      <c r="G144" s="60">
        <f t="shared" si="584"/>
        <v>-0.419128631247981</v>
      </c>
      <c r="H144" s="60">
        <f t="shared" si="584"/>
        <v>-0.55634084750130941</v>
      </c>
      <c r="I144" s="60">
        <f t="shared" si="584"/>
        <v>-0.6183729390217535</v>
      </c>
      <c r="J144" s="60">
        <f t="shared" si="584"/>
        <v>-0.53126524377603568</v>
      </c>
      <c r="K144" s="60">
        <f t="shared" si="584"/>
        <v>-0.45079714535779986</v>
      </c>
      <c r="L144" s="152"/>
      <c r="M144" s="60">
        <f t="shared" ref="M144:AN144" si="585">M124/M128</f>
        <v>-0.58579179571803097</v>
      </c>
      <c r="N144" s="60">
        <f t="shared" si="585"/>
        <v>-0.60869237995149028</v>
      </c>
      <c r="O144" s="60">
        <f t="shared" si="585"/>
        <v>-0.61450126867638344</v>
      </c>
      <c r="P144" s="60">
        <f t="shared" si="585"/>
        <v>-0.62230296144255759</v>
      </c>
      <c r="Q144" s="60">
        <f t="shared" si="585"/>
        <v>-0.55394405614125009</v>
      </c>
      <c r="R144" s="60">
        <f t="shared" si="585"/>
        <v>-0.56297123682594719</v>
      </c>
      <c r="S144" s="60">
        <f t="shared" si="585"/>
        <v>-0.4322032168599414</v>
      </c>
      <c r="T144" s="60">
        <f t="shared" si="585"/>
        <v>-0.37870330885337145</v>
      </c>
      <c r="U144" s="60">
        <f t="shared" si="585"/>
        <v>-0.43682011746699528</v>
      </c>
      <c r="V144" s="60">
        <f t="shared" si="585"/>
        <v>-0.51462358241751416</v>
      </c>
      <c r="W144" s="60">
        <f t="shared" si="585"/>
        <v>-0.47999792697610855</v>
      </c>
      <c r="X144" s="60">
        <f t="shared" si="585"/>
        <v>-0.46047773994044228</v>
      </c>
      <c r="Y144" s="60">
        <f t="shared" si="585"/>
        <v>-0.34253514952676017</v>
      </c>
      <c r="Z144" s="60">
        <f t="shared" si="585"/>
        <v>-0.341112219292379</v>
      </c>
      <c r="AA144" s="60">
        <f t="shared" si="585"/>
        <v>-0.35656860583851968</v>
      </c>
      <c r="AB144" s="60">
        <f t="shared" si="585"/>
        <v>-0.419128631247981</v>
      </c>
      <c r="AC144" s="60">
        <f t="shared" si="585"/>
        <v>-0.40053545703160087</v>
      </c>
      <c r="AD144" s="60">
        <f t="shared" si="585"/>
        <v>-0.43092081828501377</v>
      </c>
      <c r="AE144" s="60">
        <f t="shared" si="585"/>
        <v>-0.47858492847885448</v>
      </c>
      <c r="AF144" s="60">
        <f t="shared" si="585"/>
        <v>-0.55634084750130941</v>
      </c>
      <c r="AG144" s="60">
        <f t="shared" si="585"/>
        <v>-0.54610688805416663</v>
      </c>
      <c r="AH144" s="60">
        <f t="shared" si="585"/>
        <v>-0.62908077639686533</v>
      </c>
      <c r="AI144" s="60">
        <f t="shared" si="585"/>
        <v>-0.57916627237286866</v>
      </c>
      <c r="AJ144" s="60">
        <f t="shared" si="585"/>
        <v>-0.6183729390217535</v>
      </c>
      <c r="AK144" s="60">
        <f t="shared" si="585"/>
        <v>-0.64260908782925252</v>
      </c>
      <c r="AL144" s="60">
        <f t="shared" si="585"/>
        <v>-0.65133931992720207</v>
      </c>
      <c r="AM144" s="60">
        <f t="shared" si="585"/>
        <v>-0.53783569350749771</v>
      </c>
      <c r="AN144" s="60">
        <f t="shared" si="585"/>
        <v>-0.53126524377603568</v>
      </c>
      <c r="AO144" s="60">
        <f t="shared" ref="AO144" si="586">AO124/AO128</f>
        <v>-0.45079714535779986</v>
      </c>
    </row>
    <row r="145" spans="2:41" s="32" customFormat="1" ht="13.5" customHeight="1">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row>
    <row r="146" spans="2:41" s="32" customFormat="1" ht="13.5" customHeight="1">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row>
    <row r="147" spans="2:41" ht="13.5" customHeight="1">
      <c r="B147" s="51" t="s">
        <v>288</v>
      </c>
      <c r="C147" s="58">
        <f t="shared" ref="C147:K147" si="587">C3</f>
        <v>43465</v>
      </c>
      <c r="D147" s="58">
        <f t="shared" si="587"/>
        <v>43830</v>
      </c>
      <c r="E147" s="58">
        <f t="shared" si="587"/>
        <v>44196</v>
      </c>
      <c r="F147" s="58">
        <f t="shared" si="587"/>
        <v>44561</v>
      </c>
      <c r="G147" s="58">
        <f t="shared" si="587"/>
        <v>44926</v>
      </c>
      <c r="H147" s="58">
        <f t="shared" si="587"/>
        <v>45291</v>
      </c>
      <c r="I147" s="58">
        <f t="shared" si="587"/>
        <v>45657</v>
      </c>
      <c r="J147" s="58">
        <f t="shared" si="587"/>
        <v>46022</v>
      </c>
      <c r="K147" s="58">
        <f t="shared" si="587"/>
        <v>46112</v>
      </c>
      <c r="L147" s="146"/>
      <c r="M147" s="58">
        <f t="shared" ref="M147:AN147" si="588">M3</f>
        <v>43555</v>
      </c>
      <c r="N147" s="58">
        <f t="shared" si="588"/>
        <v>43646</v>
      </c>
      <c r="O147" s="58">
        <f t="shared" si="588"/>
        <v>43738</v>
      </c>
      <c r="P147" s="58">
        <f t="shared" si="588"/>
        <v>43830</v>
      </c>
      <c r="Q147" s="58">
        <f t="shared" si="588"/>
        <v>43921</v>
      </c>
      <c r="R147" s="58">
        <f t="shared" si="588"/>
        <v>44012</v>
      </c>
      <c r="S147" s="58">
        <f t="shared" si="588"/>
        <v>44104</v>
      </c>
      <c r="T147" s="58">
        <f t="shared" si="588"/>
        <v>44196</v>
      </c>
      <c r="U147" s="58">
        <f t="shared" si="588"/>
        <v>44286</v>
      </c>
      <c r="V147" s="58">
        <f t="shared" si="588"/>
        <v>44377</v>
      </c>
      <c r="W147" s="58">
        <f t="shared" si="588"/>
        <v>44469</v>
      </c>
      <c r="X147" s="58">
        <f t="shared" si="588"/>
        <v>44561</v>
      </c>
      <c r="Y147" s="58">
        <f t="shared" si="588"/>
        <v>44651</v>
      </c>
      <c r="Z147" s="58">
        <f t="shared" si="588"/>
        <v>44742</v>
      </c>
      <c r="AA147" s="58">
        <f t="shared" si="588"/>
        <v>44834</v>
      </c>
      <c r="AB147" s="58">
        <f t="shared" si="588"/>
        <v>44926</v>
      </c>
      <c r="AC147" s="58">
        <f t="shared" si="588"/>
        <v>45016</v>
      </c>
      <c r="AD147" s="58">
        <f t="shared" si="588"/>
        <v>45107</v>
      </c>
      <c r="AE147" s="58">
        <f t="shared" si="588"/>
        <v>45199</v>
      </c>
      <c r="AF147" s="58">
        <f t="shared" si="588"/>
        <v>45291</v>
      </c>
      <c r="AG147" s="58">
        <f t="shared" si="588"/>
        <v>45382</v>
      </c>
      <c r="AH147" s="58">
        <f t="shared" si="588"/>
        <v>45473</v>
      </c>
      <c r="AI147" s="58">
        <f t="shared" si="588"/>
        <v>45565</v>
      </c>
      <c r="AJ147" s="58">
        <f t="shared" si="588"/>
        <v>45657</v>
      </c>
      <c r="AK147" s="58">
        <f t="shared" si="588"/>
        <v>45747</v>
      </c>
      <c r="AL147" s="58">
        <f t="shared" si="588"/>
        <v>45838</v>
      </c>
      <c r="AM147" s="58">
        <f t="shared" si="588"/>
        <v>45930</v>
      </c>
      <c r="AN147" s="58">
        <f t="shared" si="588"/>
        <v>46022</v>
      </c>
      <c r="AO147" s="58">
        <f t="shared" ref="AO147" si="589">AO3</f>
        <v>46112</v>
      </c>
    </row>
    <row r="148" spans="2:41" ht="13.5" customHeight="1">
      <c r="B148" s="29" t="s">
        <v>289</v>
      </c>
      <c r="C148" s="14">
        <f t="shared" ref="C148:K148" si="590">C86</f>
        <v>65227.277999999998</v>
      </c>
      <c r="D148" s="14">
        <f t="shared" si="590"/>
        <v>97528.531000000003</v>
      </c>
      <c r="E148" s="14">
        <f t="shared" si="590"/>
        <v>114794.51</v>
      </c>
      <c r="F148" s="14">
        <f t="shared" si="590"/>
        <v>179127.997</v>
      </c>
      <c r="G148" s="14">
        <f t="shared" si="590"/>
        <v>219954.948</v>
      </c>
      <c r="H148" s="14">
        <f t="shared" si="590"/>
        <v>276744.95400000003</v>
      </c>
      <c r="I148" s="14">
        <f t="shared" si="590"/>
        <v>337591.576</v>
      </c>
      <c r="J148" s="14">
        <f t="shared" si="590"/>
        <v>364854.74599999998</v>
      </c>
      <c r="K148" s="14">
        <f t="shared" si="590"/>
        <v>369687.50699999998</v>
      </c>
      <c r="L148" s="14"/>
      <c r="M148" s="180"/>
      <c r="N148" s="180"/>
      <c r="O148" s="180"/>
      <c r="P148" s="14">
        <f t="shared" ref="P148:AN148" si="591">P86</f>
        <v>97528.531000000003</v>
      </c>
      <c r="Q148" s="14">
        <f t="shared" si="591"/>
        <v>95108.906000000017</v>
      </c>
      <c r="R148" s="14">
        <f t="shared" si="591"/>
        <v>97127.606000000014</v>
      </c>
      <c r="S148" s="14">
        <f t="shared" si="591"/>
        <v>105035.25900000002</v>
      </c>
      <c r="T148" s="14">
        <f t="shared" si="591"/>
        <v>114794.51</v>
      </c>
      <c r="U148" s="14">
        <f t="shared" si="591"/>
        <v>135056.88500000001</v>
      </c>
      <c r="V148" s="14">
        <f t="shared" si="591"/>
        <v>154094.28</v>
      </c>
      <c r="W148" s="14">
        <f t="shared" si="591"/>
        <v>167522.36800000002</v>
      </c>
      <c r="X148" s="14">
        <f t="shared" si="591"/>
        <v>179127.997</v>
      </c>
      <c r="Y148" s="14">
        <f t="shared" si="591"/>
        <v>188380.489</v>
      </c>
      <c r="Z148" s="14">
        <f t="shared" si="591"/>
        <v>195559.62</v>
      </c>
      <c r="AA148" s="14">
        <f t="shared" si="591"/>
        <v>209349.14199999999</v>
      </c>
      <c r="AB148" s="14">
        <f t="shared" si="591"/>
        <v>219954.948</v>
      </c>
      <c r="AC148" s="14">
        <f t="shared" si="591"/>
        <v>232303.66600000003</v>
      </c>
      <c r="AD148" s="14">
        <f t="shared" si="591"/>
        <v>249329.92700000003</v>
      </c>
      <c r="AE148" s="14">
        <f t="shared" si="591"/>
        <v>263177.94200000004</v>
      </c>
      <c r="AF148" s="14">
        <f t="shared" si="591"/>
        <v>276744.95400000003</v>
      </c>
      <c r="AG148" s="14">
        <f t="shared" si="591"/>
        <v>291403.36600000004</v>
      </c>
      <c r="AH148" s="14">
        <f t="shared" si="591"/>
        <v>305689.81900000002</v>
      </c>
      <c r="AI148" s="14">
        <f t="shared" si="591"/>
        <v>322800.23100000003</v>
      </c>
      <c r="AJ148" s="14">
        <f t="shared" si="591"/>
        <v>337591.576</v>
      </c>
      <c r="AK148" s="14">
        <f t="shared" si="591"/>
        <v>350521.837</v>
      </c>
      <c r="AL148" s="14">
        <f t="shared" si="591"/>
        <v>360111.24</v>
      </c>
      <c r="AM148" s="14">
        <f t="shared" si="591"/>
        <v>362022.03399999999</v>
      </c>
      <c r="AN148" s="14">
        <f t="shared" si="591"/>
        <v>364854.74599999998</v>
      </c>
      <c r="AO148" s="14">
        <f t="shared" ref="AO148" si="592">AO86</f>
        <v>369687.50699999998</v>
      </c>
    </row>
    <row r="149" spans="2:41" ht="13.5" customHeight="1">
      <c r="B149" s="29" t="s">
        <v>290</v>
      </c>
      <c r="C149" s="14">
        <f t="shared" ref="C149:K149" si="593">C89</f>
        <v>-4733.8310000000001</v>
      </c>
      <c r="D149" s="14">
        <f t="shared" si="593"/>
        <v>7253.634</v>
      </c>
      <c r="E149" s="14">
        <f t="shared" si="593"/>
        <v>4737.8370000000004</v>
      </c>
      <c r="F149" s="14">
        <f t="shared" si="593"/>
        <v>-9694.0759999999991</v>
      </c>
      <c r="G149" s="14">
        <f t="shared" si="593"/>
        <v>9724.5889999999999</v>
      </c>
      <c r="H149" s="14">
        <f t="shared" si="593"/>
        <v>23878.018</v>
      </c>
      <c r="I149" s="14">
        <f t="shared" si="593"/>
        <v>49119.4</v>
      </c>
      <c r="J149" s="14">
        <f t="shared" si="593"/>
        <v>-13783.205</v>
      </c>
      <c r="K149" s="14">
        <f t="shared" si="593"/>
        <v>-29134.32</v>
      </c>
      <c r="L149" s="14"/>
      <c r="M149" s="180"/>
      <c r="N149" s="180"/>
      <c r="O149" s="180"/>
      <c r="P149" s="14">
        <f t="shared" ref="P149:AN149" si="594">P89</f>
        <v>7253.634</v>
      </c>
      <c r="Q149" s="14">
        <f t="shared" si="594"/>
        <v>6836.0709999999999</v>
      </c>
      <c r="R149" s="14">
        <f t="shared" si="594"/>
        <v>7115.5169999999989</v>
      </c>
      <c r="S149" s="14">
        <f t="shared" si="594"/>
        <v>7505.6149999999998</v>
      </c>
      <c r="T149" s="14">
        <f t="shared" si="594"/>
        <v>4737.8370000000004</v>
      </c>
      <c r="U149" s="14">
        <f t="shared" si="594"/>
        <v>2313.8430000000008</v>
      </c>
      <c r="V149" s="14">
        <f t="shared" si="594"/>
        <v>-1536.3979999999999</v>
      </c>
      <c r="W149" s="14">
        <f t="shared" si="594"/>
        <v>-8273.4560000000001</v>
      </c>
      <c r="X149" s="14">
        <f t="shared" si="594"/>
        <v>-9694.0759999999991</v>
      </c>
      <c r="Y149" s="14">
        <f t="shared" si="594"/>
        <v>-9152.1640000000007</v>
      </c>
      <c r="Z149" s="14">
        <f t="shared" si="594"/>
        <v>-4109.436999999999</v>
      </c>
      <c r="AA149" s="14">
        <f t="shared" si="594"/>
        <v>4753.9580000000005</v>
      </c>
      <c r="AB149" s="14">
        <f t="shared" si="594"/>
        <v>9724.5889999999999</v>
      </c>
      <c r="AC149" s="14">
        <f t="shared" si="594"/>
        <v>17827.419999999998</v>
      </c>
      <c r="AD149" s="14">
        <f t="shared" si="594"/>
        <v>21707.03</v>
      </c>
      <c r="AE149" s="14">
        <f t="shared" si="594"/>
        <v>23094.494999999999</v>
      </c>
      <c r="AF149" s="14">
        <f t="shared" si="594"/>
        <v>23878.018</v>
      </c>
      <c r="AG149" s="14">
        <f t="shared" si="594"/>
        <v>25686.300999999999</v>
      </c>
      <c r="AH149" s="14">
        <f t="shared" si="594"/>
        <v>33001.218000000001</v>
      </c>
      <c r="AI149" s="14">
        <f t="shared" si="594"/>
        <v>41341.214</v>
      </c>
      <c r="AJ149" s="14">
        <f t="shared" si="594"/>
        <v>49119.4</v>
      </c>
      <c r="AK149" s="14">
        <f t="shared" si="594"/>
        <v>53350.743000000002</v>
      </c>
      <c r="AL149" s="14">
        <f t="shared" si="594"/>
        <v>41135.436000000002</v>
      </c>
      <c r="AM149" s="14">
        <f t="shared" si="594"/>
        <v>11764.341999999997</v>
      </c>
      <c r="AN149" s="14">
        <f t="shared" si="594"/>
        <v>-13783.205</v>
      </c>
      <c r="AO149" s="14">
        <f t="shared" ref="AO149" si="595">AO89</f>
        <v>-29134.32</v>
      </c>
    </row>
    <row r="150" spans="2:41" ht="13.5" customHeight="1">
      <c r="B150" s="29" t="s">
        <v>291</v>
      </c>
      <c r="C150" s="30">
        <f t="shared" ref="C150:E150" si="596">C149/C148</f>
        <v>-7.2574406676912076E-2</v>
      </c>
      <c r="D150" s="30">
        <f t="shared" si="596"/>
        <v>7.4374482273294976E-2</v>
      </c>
      <c r="E150" s="30">
        <f t="shared" si="596"/>
        <v>4.1272330880631841E-2</v>
      </c>
      <c r="F150" s="30">
        <f t="shared" ref="F150:G150" si="597">F149/F148</f>
        <v>-5.4118151055973673E-2</v>
      </c>
      <c r="G150" s="30">
        <f t="shared" si="597"/>
        <v>4.4211731031392844E-2</v>
      </c>
      <c r="H150" s="30">
        <f t="shared" ref="H150:I150" si="598">H149/H148</f>
        <v>8.6281674353491544E-2</v>
      </c>
      <c r="I150" s="30">
        <f t="shared" si="598"/>
        <v>0.1454994836719504</v>
      </c>
      <c r="J150" s="30">
        <f t="shared" ref="J150:K150" si="599">J149/J148</f>
        <v>-3.7777239164651019E-2</v>
      </c>
      <c r="K150" s="30">
        <f t="shared" si="599"/>
        <v>-7.8807964695436675E-2</v>
      </c>
      <c r="L150" s="30"/>
      <c r="M150" s="192"/>
      <c r="N150" s="192"/>
      <c r="O150" s="192"/>
      <c r="P150" s="30">
        <f t="shared" ref="P150:S150" si="600">P149/P148</f>
        <v>7.4374482273294976E-2</v>
      </c>
      <c r="Q150" s="30">
        <f t="shared" si="600"/>
        <v>7.1876244691532865E-2</v>
      </c>
      <c r="R150" s="30">
        <f t="shared" si="600"/>
        <v>7.3259470639068333E-2</v>
      </c>
      <c r="S150" s="30">
        <f t="shared" si="600"/>
        <v>7.1458052005184264E-2</v>
      </c>
      <c r="T150" s="30">
        <f t="shared" ref="T150:W150" si="601">T149/T148</f>
        <v>4.1272330880631841E-2</v>
      </c>
      <c r="U150" s="30">
        <f t="shared" si="601"/>
        <v>1.7132358709443067E-2</v>
      </c>
      <c r="V150" s="30">
        <f t="shared" si="601"/>
        <v>-9.9705063679196917E-3</v>
      </c>
      <c r="W150" s="30">
        <f t="shared" si="601"/>
        <v>-4.9387171986489585E-2</v>
      </c>
      <c r="X150" s="30">
        <f t="shared" ref="X150:AA150" si="602">X149/X148</f>
        <v>-5.4118151055973673E-2</v>
      </c>
      <c r="Y150" s="30">
        <f t="shared" si="602"/>
        <v>-4.858339655334476E-2</v>
      </c>
      <c r="Z150" s="30">
        <f t="shared" si="602"/>
        <v>-2.1013729726003759E-2</v>
      </c>
      <c r="AA150" s="30">
        <f t="shared" si="602"/>
        <v>2.2708275537140728E-2</v>
      </c>
      <c r="AB150" s="30">
        <f t="shared" ref="AB150:AE150" si="603">AB149/AB148</f>
        <v>4.4211731031392844E-2</v>
      </c>
      <c r="AC150" s="30">
        <f t="shared" si="603"/>
        <v>7.6741879742870681E-2</v>
      </c>
      <c r="AD150" s="30">
        <f t="shared" si="603"/>
        <v>8.7061470161983387E-2</v>
      </c>
      <c r="AE150" s="30">
        <f t="shared" si="603"/>
        <v>8.7752396057569279E-2</v>
      </c>
      <c r="AF150" s="30">
        <f t="shared" ref="AF150:AI150" si="604">AF149/AF148</f>
        <v>8.6281674353491544E-2</v>
      </c>
      <c r="AG150" s="30">
        <f t="shared" si="604"/>
        <v>8.8146891892799881E-2</v>
      </c>
      <c r="AH150" s="30">
        <f t="shared" si="604"/>
        <v>0.1079565492496824</v>
      </c>
      <c r="AI150" s="30">
        <f t="shared" si="604"/>
        <v>0.12807058369174462</v>
      </c>
      <c r="AJ150" s="30">
        <f t="shared" ref="AJ150:AM150" si="605">AJ149/AJ148</f>
        <v>0.1454994836719504</v>
      </c>
      <c r="AK150" s="30">
        <f t="shared" si="605"/>
        <v>0.15220376412668407</v>
      </c>
      <c r="AL150" s="30">
        <f t="shared" si="605"/>
        <v>0.11422980299087583</v>
      </c>
      <c r="AM150" s="30">
        <f t="shared" si="605"/>
        <v>3.2496204360864943E-2</v>
      </c>
      <c r="AN150" s="30">
        <f t="shared" ref="AN150:AO150" si="606">AN149/AN148</f>
        <v>-3.7777239164651019E-2</v>
      </c>
      <c r="AO150" s="30">
        <f t="shared" si="606"/>
        <v>-7.8807964695436675E-2</v>
      </c>
    </row>
    <row r="151" spans="2:41" ht="13.5" customHeight="1">
      <c r="B151" s="29" t="s">
        <v>269</v>
      </c>
      <c r="C151" s="14">
        <f t="shared" ref="C151:K151" si="607">C121</f>
        <v>2270.056</v>
      </c>
      <c r="D151" s="14">
        <f t="shared" si="607"/>
        <v>5546.0619999999999</v>
      </c>
      <c r="E151" s="14">
        <f t="shared" si="607"/>
        <v>24118.400000000001</v>
      </c>
      <c r="F151" s="14">
        <f t="shared" si="607"/>
        <v>58979.35</v>
      </c>
      <c r="G151" s="14">
        <f t="shared" si="607"/>
        <v>58087.625</v>
      </c>
      <c r="H151" s="14">
        <f t="shared" si="607"/>
        <v>60620.899000000005</v>
      </c>
      <c r="I151" s="14">
        <f t="shared" si="607"/>
        <v>61509.566999999995</v>
      </c>
      <c r="J151" s="14">
        <f t="shared" si="607"/>
        <v>86619.106</v>
      </c>
      <c r="K151" s="14">
        <f t="shared" si="607"/>
        <v>112803.88499999999</v>
      </c>
      <c r="L151" s="14"/>
      <c r="M151" s="14">
        <f t="shared" ref="M151:AN151" si="608">M121</f>
        <v>4345.87</v>
      </c>
      <c r="N151" s="14">
        <f t="shared" si="608"/>
        <v>5565.8240000000005</v>
      </c>
      <c r="O151" s="14">
        <f t="shared" si="608"/>
        <v>5651.616</v>
      </c>
      <c r="P151" s="14">
        <f t="shared" si="608"/>
        <v>5546.0619999999999</v>
      </c>
      <c r="Q151" s="14">
        <f t="shared" si="608"/>
        <v>5556.7609999999995</v>
      </c>
      <c r="R151" s="14">
        <f t="shared" si="608"/>
        <v>4973.866</v>
      </c>
      <c r="S151" s="14">
        <f t="shared" si="608"/>
        <v>9875.987000000001</v>
      </c>
      <c r="T151" s="14">
        <f t="shared" si="608"/>
        <v>24118.400000000001</v>
      </c>
      <c r="U151" s="14">
        <f t="shared" si="608"/>
        <v>12043.757000000001</v>
      </c>
      <c r="V151" s="14">
        <f t="shared" si="608"/>
        <v>53123.422999999995</v>
      </c>
      <c r="W151" s="14">
        <f t="shared" si="608"/>
        <v>58857.095000000001</v>
      </c>
      <c r="X151" s="14">
        <f t="shared" si="608"/>
        <v>58979.35</v>
      </c>
      <c r="Y151" s="14">
        <f t="shared" si="608"/>
        <v>61971.301000000007</v>
      </c>
      <c r="Z151" s="14">
        <f t="shared" si="608"/>
        <v>65389.656000000003</v>
      </c>
      <c r="AA151" s="14">
        <f t="shared" si="608"/>
        <v>66008.126000000004</v>
      </c>
      <c r="AB151" s="14">
        <f t="shared" si="608"/>
        <v>58087.625</v>
      </c>
      <c r="AC151" s="14">
        <f t="shared" si="608"/>
        <v>57671.260999999999</v>
      </c>
      <c r="AD151" s="14">
        <f t="shared" si="608"/>
        <v>58984.678</v>
      </c>
      <c r="AE151" s="14">
        <f t="shared" si="608"/>
        <v>62874.063999999998</v>
      </c>
      <c r="AF151" s="14">
        <f t="shared" si="608"/>
        <v>60620.899000000005</v>
      </c>
      <c r="AG151" s="14">
        <f t="shared" si="608"/>
        <v>52998.17</v>
      </c>
      <c r="AH151" s="14">
        <f t="shared" si="608"/>
        <v>32285.155000000002</v>
      </c>
      <c r="AI151" s="14">
        <f t="shared" si="608"/>
        <v>41342.184999999998</v>
      </c>
      <c r="AJ151" s="14">
        <f t="shared" si="608"/>
        <v>61509.566999999995</v>
      </c>
      <c r="AK151" s="14">
        <f t="shared" si="608"/>
        <v>62055.504999999997</v>
      </c>
      <c r="AL151" s="14">
        <f t="shared" si="608"/>
        <v>50977.402000000002</v>
      </c>
      <c r="AM151" s="14">
        <f t="shared" si="608"/>
        <v>51265.949000000001</v>
      </c>
      <c r="AN151" s="14">
        <f t="shared" si="608"/>
        <v>86619.106</v>
      </c>
      <c r="AO151" s="14">
        <f t="shared" ref="AO151" si="609">AO121</f>
        <v>112803.88499999999</v>
      </c>
    </row>
    <row r="152" spans="2:41" ht="13.5" customHeight="1">
      <c r="B152" s="29" t="s">
        <v>292</v>
      </c>
      <c r="C152" s="14">
        <f>C122</f>
        <v>17043.691999999999</v>
      </c>
      <c r="D152" s="14">
        <f>D122</f>
        <v>13396.184999999999</v>
      </c>
      <c r="E152" s="14">
        <f>E122</f>
        <v>17093.559000000001</v>
      </c>
      <c r="F152" s="14">
        <f t="shared" ref="F152:K152" si="610">F122+F123</f>
        <v>116795.444</v>
      </c>
      <c r="G152" s="14">
        <f t="shared" si="610"/>
        <v>112031.876</v>
      </c>
      <c r="H152" s="14">
        <f t="shared" si="610"/>
        <v>145160.43300000002</v>
      </c>
      <c r="I152" s="14">
        <f t="shared" si="610"/>
        <v>168243.25799999997</v>
      </c>
      <c r="J152" s="14">
        <f t="shared" si="610"/>
        <v>166833.704</v>
      </c>
      <c r="K152" s="14">
        <f t="shared" si="610"/>
        <v>180370.155</v>
      </c>
      <c r="L152" s="14"/>
      <c r="M152" s="14">
        <f t="shared" ref="M152:U152" si="611">M122</f>
        <v>10802.498</v>
      </c>
      <c r="N152" s="14">
        <f t="shared" si="611"/>
        <v>10237.25</v>
      </c>
      <c r="O152" s="14">
        <f t="shared" si="611"/>
        <v>15139.821</v>
      </c>
      <c r="P152" s="14">
        <f t="shared" si="611"/>
        <v>13396.184999999999</v>
      </c>
      <c r="Q152" s="14">
        <f t="shared" si="611"/>
        <v>14137.828</v>
      </c>
      <c r="R152" s="14">
        <f t="shared" si="611"/>
        <v>13935.056</v>
      </c>
      <c r="S152" s="14">
        <f t="shared" si="611"/>
        <v>19689.600999999999</v>
      </c>
      <c r="T152" s="14">
        <f t="shared" si="611"/>
        <v>17093.559000000001</v>
      </c>
      <c r="U152" s="14">
        <f t="shared" si="611"/>
        <v>17792.901999999998</v>
      </c>
      <c r="V152" s="14">
        <f t="shared" ref="V152:AN152" si="612">V122+V123</f>
        <v>122509.65900000001</v>
      </c>
      <c r="W152" s="14">
        <f t="shared" si="612"/>
        <v>120892.58100000001</v>
      </c>
      <c r="X152" s="14">
        <f t="shared" si="612"/>
        <v>116795.444</v>
      </c>
      <c r="Y152" s="14">
        <f t="shared" si="612"/>
        <v>103448.09099999999</v>
      </c>
      <c r="Z152" s="14">
        <f t="shared" si="612"/>
        <v>107539.12700000001</v>
      </c>
      <c r="AA152" s="14">
        <f t="shared" si="612"/>
        <v>111517.522</v>
      </c>
      <c r="AB152" s="14">
        <f t="shared" si="612"/>
        <v>112031.876</v>
      </c>
      <c r="AC152" s="14">
        <f t="shared" si="612"/>
        <v>111400.429</v>
      </c>
      <c r="AD152" s="14">
        <f t="shared" si="612"/>
        <v>120191.932</v>
      </c>
      <c r="AE152" s="14">
        <f t="shared" si="612"/>
        <v>133620.28999999998</v>
      </c>
      <c r="AF152" s="14">
        <f t="shared" si="612"/>
        <v>145160.43300000002</v>
      </c>
      <c r="AG152" s="14">
        <f t="shared" si="612"/>
        <v>138594.28099999999</v>
      </c>
      <c r="AH152" s="14">
        <f t="shared" si="612"/>
        <v>133252.217</v>
      </c>
      <c r="AI152" s="14">
        <f t="shared" si="612"/>
        <v>134162.519</v>
      </c>
      <c r="AJ152" s="14">
        <f t="shared" si="612"/>
        <v>168243.25799999997</v>
      </c>
      <c r="AK152" s="14">
        <f t="shared" si="612"/>
        <v>180382.96299999999</v>
      </c>
      <c r="AL152" s="14">
        <f t="shared" si="612"/>
        <v>171017.652</v>
      </c>
      <c r="AM152" s="14">
        <f t="shared" si="612"/>
        <v>141287.75900000002</v>
      </c>
      <c r="AN152" s="14">
        <f t="shared" si="612"/>
        <v>166833.704</v>
      </c>
      <c r="AO152" s="14">
        <f t="shared" ref="AO152" si="613">AO122+AO123</f>
        <v>180370.155</v>
      </c>
    </row>
    <row r="153" spans="2:41" ht="13.5" customHeight="1">
      <c r="B153" s="29" t="s">
        <v>293</v>
      </c>
      <c r="C153" s="14">
        <f t="shared" ref="C153:E153" si="614">C151-C152</f>
        <v>-14773.635999999999</v>
      </c>
      <c r="D153" s="14">
        <f t="shared" si="614"/>
        <v>-7850.1229999999996</v>
      </c>
      <c r="E153" s="14">
        <f t="shared" si="614"/>
        <v>7024.8410000000003</v>
      </c>
      <c r="F153" s="14">
        <f t="shared" ref="F153:G153" si="615">F151-F152</f>
        <v>-57816.094000000005</v>
      </c>
      <c r="G153" s="14">
        <f t="shared" si="615"/>
        <v>-53944.251000000004</v>
      </c>
      <c r="H153" s="14">
        <f t="shared" ref="H153:I153" si="616">H151-H152</f>
        <v>-84539.534000000014</v>
      </c>
      <c r="I153" s="14">
        <f t="shared" si="616"/>
        <v>-106733.69099999998</v>
      </c>
      <c r="J153" s="14">
        <f t="shared" ref="J153:K153" si="617">J151-J152</f>
        <v>-80214.597999999998</v>
      </c>
      <c r="K153" s="14">
        <f t="shared" si="617"/>
        <v>-67566.27</v>
      </c>
      <c r="L153" s="14"/>
      <c r="M153" s="14">
        <f t="shared" ref="M153:S153" si="618">M151-M152</f>
        <v>-6456.6279999999997</v>
      </c>
      <c r="N153" s="14">
        <f t="shared" si="618"/>
        <v>-4671.4259999999995</v>
      </c>
      <c r="O153" s="14">
        <f t="shared" si="618"/>
        <v>-9488.2049999999999</v>
      </c>
      <c r="P153" s="14">
        <f t="shared" si="618"/>
        <v>-7850.1229999999996</v>
      </c>
      <c r="Q153" s="14">
        <f t="shared" si="618"/>
        <v>-8581.0669999999991</v>
      </c>
      <c r="R153" s="14">
        <f t="shared" si="618"/>
        <v>-8961.19</v>
      </c>
      <c r="S153" s="14">
        <f t="shared" si="618"/>
        <v>-9813.6139999999978</v>
      </c>
      <c r="T153" s="14">
        <f t="shared" ref="T153:W153" si="619">T151-T152</f>
        <v>7024.8410000000003</v>
      </c>
      <c r="U153" s="14">
        <f t="shared" si="619"/>
        <v>-5749.1449999999968</v>
      </c>
      <c r="V153" s="14">
        <f t="shared" si="619"/>
        <v>-69386.236000000019</v>
      </c>
      <c r="W153" s="14">
        <f t="shared" si="619"/>
        <v>-62035.486000000004</v>
      </c>
      <c r="X153" s="14">
        <f t="shared" ref="X153:AA153" si="620">X151-X152</f>
        <v>-57816.094000000005</v>
      </c>
      <c r="Y153" s="14">
        <f t="shared" si="620"/>
        <v>-41476.789999999979</v>
      </c>
      <c r="Z153" s="14">
        <f t="shared" si="620"/>
        <v>-42149.471000000005</v>
      </c>
      <c r="AA153" s="14">
        <f t="shared" si="620"/>
        <v>-45509.395999999993</v>
      </c>
      <c r="AB153" s="14">
        <f t="shared" ref="AB153:AE153" si="621">AB151-AB152</f>
        <v>-53944.251000000004</v>
      </c>
      <c r="AC153" s="14">
        <f t="shared" si="621"/>
        <v>-53729.168000000005</v>
      </c>
      <c r="AD153" s="14">
        <f t="shared" si="621"/>
        <v>-61207.254000000001</v>
      </c>
      <c r="AE153" s="14">
        <f t="shared" si="621"/>
        <v>-70746.225999999981</v>
      </c>
      <c r="AF153" s="14">
        <f t="shared" ref="AF153:AI153" si="622">AF151-AF152</f>
        <v>-84539.534000000014</v>
      </c>
      <c r="AG153" s="14">
        <f t="shared" si="622"/>
        <v>-85596.11099999999</v>
      </c>
      <c r="AH153" s="14">
        <f t="shared" si="622"/>
        <v>-100967.06200000001</v>
      </c>
      <c r="AI153" s="14">
        <f t="shared" si="622"/>
        <v>-92820.334000000003</v>
      </c>
      <c r="AJ153" s="14">
        <f t="shared" ref="AJ153:AM153" si="623">AJ151-AJ152</f>
        <v>-106733.69099999998</v>
      </c>
      <c r="AK153" s="14">
        <f t="shared" si="623"/>
        <v>-118327.45799999998</v>
      </c>
      <c r="AL153" s="14">
        <f t="shared" si="623"/>
        <v>-120040.25</v>
      </c>
      <c r="AM153" s="14">
        <f t="shared" si="623"/>
        <v>-90021.810000000027</v>
      </c>
      <c r="AN153" s="14">
        <f t="shared" ref="AN153:AO153" si="624">AN151-AN152</f>
        <v>-80214.597999999998</v>
      </c>
      <c r="AO153" s="14">
        <f t="shared" si="624"/>
        <v>-67566.27</v>
      </c>
    </row>
    <row r="154" spans="2:41" ht="13.5" customHeight="1">
      <c r="B154" s="29" t="s">
        <v>294</v>
      </c>
      <c r="C154" s="36">
        <f t="shared" ref="C154:K154" si="625">C137</f>
        <v>-0.47953887665191258</v>
      </c>
      <c r="D154" s="36">
        <f t="shared" si="625"/>
        <v>0.76459082440608384</v>
      </c>
      <c r="E154" s="36">
        <f t="shared" si="625"/>
        <v>5.0905930279999074</v>
      </c>
      <c r="F154" s="36">
        <f t="shared" si="625"/>
        <v>-6.0840610286117007</v>
      </c>
      <c r="G154" s="36">
        <f t="shared" si="625"/>
        <v>5.9732730092757649</v>
      </c>
      <c r="H154" s="36">
        <f t="shared" si="625"/>
        <v>2.5387743237315594</v>
      </c>
      <c r="I154" s="36">
        <f t="shared" si="625"/>
        <v>1.2522458946974107</v>
      </c>
      <c r="J154" s="36">
        <f t="shared" si="625"/>
        <v>-6.2843951025904357</v>
      </c>
      <c r="K154" s="36">
        <f t="shared" si="625"/>
        <v>-3.8718557701020648</v>
      </c>
      <c r="L154" s="36"/>
      <c r="M154" s="193"/>
      <c r="N154" s="193"/>
      <c r="O154" s="193"/>
      <c r="P154" s="36">
        <f t="shared" ref="P154:AN154" si="626">P137</f>
        <v>0.76459082440608384</v>
      </c>
      <c r="Q154" s="36">
        <f t="shared" si="626"/>
        <v>0.81285887756285735</v>
      </c>
      <c r="R154" s="36">
        <f t="shared" si="626"/>
        <v>0.69901681072506761</v>
      </c>
      <c r="S154" s="36">
        <f t="shared" si="626"/>
        <v>1.315813161213305</v>
      </c>
      <c r="T154" s="36">
        <f t="shared" si="626"/>
        <v>5.0905930279999074</v>
      </c>
      <c r="U154" s="36">
        <f t="shared" si="626"/>
        <v>5.2050882449673539</v>
      </c>
      <c r="V154" s="36">
        <f t="shared" si="626"/>
        <v>-34.576602546996284</v>
      </c>
      <c r="W154" s="36">
        <f t="shared" si="626"/>
        <v>-7.1139672465774879</v>
      </c>
      <c r="X154" s="36">
        <f t="shared" si="626"/>
        <v>-6.0840610286117007</v>
      </c>
      <c r="Y154" s="36">
        <f t="shared" si="626"/>
        <v>-6.7712183697757169</v>
      </c>
      <c r="Z154" s="36">
        <f t="shared" si="626"/>
        <v>-15.912071653610949</v>
      </c>
      <c r="AA154" s="36">
        <f t="shared" si="626"/>
        <v>13.884877821806587</v>
      </c>
      <c r="AB154" s="36">
        <f t="shared" si="626"/>
        <v>5.9732730092757649</v>
      </c>
      <c r="AC154" s="36">
        <f t="shared" si="626"/>
        <v>3.2349751674667453</v>
      </c>
      <c r="AD154" s="36">
        <f t="shared" si="626"/>
        <v>2.717307618776037</v>
      </c>
      <c r="AE154" s="36">
        <f t="shared" si="626"/>
        <v>2.7224697487431531</v>
      </c>
      <c r="AF154" s="36">
        <f t="shared" si="626"/>
        <v>2.5387743237315594</v>
      </c>
      <c r="AG154" s="36">
        <f t="shared" si="626"/>
        <v>2.0632854064896304</v>
      </c>
      <c r="AH154" s="36">
        <f t="shared" si="626"/>
        <v>0.97830192206845223</v>
      </c>
      <c r="AI154" s="36">
        <f t="shared" si="626"/>
        <v>1.0000234874573348</v>
      </c>
      <c r="AJ154" s="36">
        <f t="shared" si="626"/>
        <v>1.2522458946974107</v>
      </c>
      <c r="AK154" s="36">
        <f t="shared" si="626"/>
        <v>1.1631610266421217</v>
      </c>
      <c r="AL154" s="36">
        <f t="shared" si="626"/>
        <v>1.239257607479838</v>
      </c>
      <c r="AM154" s="36">
        <f t="shared" si="626"/>
        <v>4.3577404499121171</v>
      </c>
      <c r="AN154" s="36">
        <f t="shared" si="626"/>
        <v>-6.2843951025904357</v>
      </c>
      <c r="AO154" s="36">
        <f t="shared" ref="AO154" si="627">AO137</f>
        <v>-3.8718557701020648</v>
      </c>
    </row>
    <row r="155" spans="2:41" ht="13.5" customHeight="1">
      <c r="B155" s="29" t="s">
        <v>295</v>
      </c>
      <c r="C155" s="36" t="str">
        <f t="shared" ref="C155:K155" si="628">C136</f>
        <v>net cash</v>
      </c>
      <c r="D155" s="36" t="str">
        <f t="shared" si="628"/>
        <v>net cash</v>
      </c>
      <c r="E155" s="36" t="str">
        <f t="shared" si="628"/>
        <v>net cash</v>
      </c>
      <c r="F155" s="36" t="str">
        <f t="shared" si="628"/>
        <v>net cash</v>
      </c>
      <c r="G155" s="36" t="str">
        <f t="shared" si="628"/>
        <v>net cash</v>
      </c>
      <c r="H155" s="36" t="str">
        <f t="shared" si="628"/>
        <v>net cash</v>
      </c>
      <c r="I155" s="36" t="str">
        <f t="shared" si="628"/>
        <v>net cash</v>
      </c>
      <c r="J155" s="36" t="str">
        <f t="shared" si="628"/>
        <v>net cash</v>
      </c>
      <c r="K155" s="36" t="str">
        <f t="shared" si="628"/>
        <v>net cash</v>
      </c>
      <c r="L155" s="36"/>
      <c r="M155" s="194"/>
      <c r="N155" s="194"/>
      <c r="O155" s="194"/>
      <c r="P155" s="36" t="str">
        <f t="shared" ref="P155:AN155" si="629">P136</f>
        <v>net cash</v>
      </c>
      <c r="Q155" s="36" t="str">
        <f t="shared" si="629"/>
        <v>net cash</v>
      </c>
      <c r="R155" s="36" t="str">
        <f t="shared" si="629"/>
        <v>net cash</v>
      </c>
      <c r="S155" s="36" t="str">
        <f t="shared" si="629"/>
        <v>net cash</v>
      </c>
      <c r="T155" s="36" t="str">
        <f t="shared" si="629"/>
        <v>net cash</v>
      </c>
      <c r="U155" s="36" t="str">
        <f t="shared" si="629"/>
        <v>net cash</v>
      </c>
      <c r="V155" s="36" t="str">
        <f t="shared" si="629"/>
        <v>net cash</v>
      </c>
      <c r="W155" s="36" t="str">
        <f t="shared" si="629"/>
        <v>net cash</v>
      </c>
      <c r="X155" s="36" t="str">
        <f t="shared" si="629"/>
        <v>net cash</v>
      </c>
      <c r="Y155" s="36" t="str">
        <f t="shared" si="629"/>
        <v>net cash</v>
      </c>
      <c r="Z155" s="36" t="str">
        <f t="shared" si="629"/>
        <v>net cash</v>
      </c>
      <c r="AA155" s="36" t="str">
        <f t="shared" si="629"/>
        <v>net cash</v>
      </c>
      <c r="AB155" s="36" t="str">
        <f t="shared" si="629"/>
        <v>net cash</v>
      </c>
      <c r="AC155" s="36" t="str">
        <f t="shared" si="629"/>
        <v>net cash</v>
      </c>
      <c r="AD155" s="36" t="str">
        <f t="shared" si="629"/>
        <v>net cash</v>
      </c>
      <c r="AE155" s="36" t="str">
        <f t="shared" si="629"/>
        <v>net cash</v>
      </c>
      <c r="AF155" s="36" t="str">
        <f t="shared" si="629"/>
        <v>net cash</v>
      </c>
      <c r="AG155" s="36" t="str">
        <f t="shared" si="629"/>
        <v>net cash</v>
      </c>
      <c r="AH155" s="36" t="str">
        <f t="shared" si="629"/>
        <v>net cash</v>
      </c>
      <c r="AI155" s="36" t="str">
        <f t="shared" si="629"/>
        <v>net cash</v>
      </c>
      <c r="AJ155" s="36" t="str">
        <f t="shared" si="629"/>
        <v>net cash</v>
      </c>
      <c r="AK155" s="36" t="str">
        <f t="shared" si="629"/>
        <v>net cash</v>
      </c>
      <c r="AL155" s="36" t="str">
        <f t="shared" si="629"/>
        <v>net cash</v>
      </c>
      <c r="AM155" s="36" t="str">
        <f t="shared" si="629"/>
        <v>net cash</v>
      </c>
      <c r="AN155" s="36" t="str">
        <f t="shared" si="629"/>
        <v>net cash</v>
      </c>
      <c r="AO155" s="36" t="str">
        <f t="shared" ref="AO155" si="630">AO136</f>
        <v>net cash</v>
      </c>
    </row>
    <row r="156" spans="2:41" ht="13.5" customHeight="1">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row>
    <row r="157" spans="2:41" ht="13.5" customHeight="1">
      <c r="B157" s="54" t="s">
        <v>296</v>
      </c>
      <c r="C157" s="53"/>
      <c r="D157" s="53"/>
      <c r="E157" s="53"/>
      <c r="F157" s="53"/>
      <c r="G157" s="53"/>
      <c r="H157" s="53"/>
      <c r="I157" s="53"/>
      <c r="J157" s="53"/>
      <c r="K157" s="53"/>
      <c r="L157" s="1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row>
    <row r="158" spans="2:41" s="52" customFormat="1" ht="13.5" customHeight="1">
      <c r="B158" s="51" t="s">
        <v>187</v>
      </c>
      <c r="C158" s="50">
        <f t="shared" ref="C158:K158" si="631">C3</f>
        <v>43465</v>
      </c>
      <c r="D158" s="50">
        <f t="shared" si="631"/>
        <v>43830</v>
      </c>
      <c r="E158" s="50">
        <f t="shared" si="631"/>
        <v>44196</v>
      </c>
      <c r="F158" s="50">
        <f t="shared" si="631"/>
        <v>44561</v>
      </c>
      <c r="G158" s="50">
        <f t="shared" si="631"/>
        <v>44926</v>
      </c>
      <c r="H158" s="50">
        <f t="shared" si="631"/>
        <v>45291</v>
      </c>
      <c r="I158" s="50">
        <f t="shared" si="631"/>
        <v>45657</v>
      </c>
      <c r="J158" s="50">
        <f t="shared" si="631"/>
        <v>46022</v>
      </c>
      <c r="K158" s="50">
        <f t="shared" si="631"/>
        <v>46112</v>
      </c>
      <c r="L158" s="146"/>
      <c r="M158" s="50">
        <f t="shared" ref="M158:AN158" si="632">M3</f>
        <v>43555</v>
      </c>
      <c r="N158" s="50">
        <f t="shared" si="632"/>
        <v>43646</v>
      </c>
      <c r="O158" s="50">
        <f t="shared" si="632"/>
        <v>43738</v>
      </c>
      <c r="P158" s="50">
        <f t="shared" si="632"/>
        <v>43830</v>
      </c>
      <c r="Q158" s="50">
        <f t="shared" si="632"/>
        <v>43921</v>
      </c>
      <c r="R158" s="50">
        <f t="shared" si="632"/>
        <v>44012</v>
      </c>
      <c r="S158" s="50">
        <f t="shared" si="632"/>
        <v>44104</v>
      </c>
      <c r="T158" s="50">
        <f t="shared" si="632"/>
        <v>44196</v>
      </c>
      <c r="U158" s="50">
        <f t="shared" si="632"/>
        <v>44286</v>
      </c>
      <c r="V158" s="50">
        <f t="shared" si="632"/>
        <v>44377</v>
      </c>
      <c r="W158" s="50">
        <f t="shared" si="632"/>
        <v>44469</v>
      </c>
      <c r="X158" s="50">
        <f t="shared" si="632"/>
        <v>44561</v>
      </c>
      <c r="Y158" s="50">
        <f t="shared" si="632"/>
        <v>44651</v>
      </c>
      <c r="Z158" s="50">
        <f t="shared" si="632"/>
        <v>44742</v>
      </c>
      <c r="AA158" s="50">
        <f t="shared" si="632"/>
        <v>44834</v>
      </c>
      <c r="AB158" s="50">
        <f t="shared" si="632"/>
        <v>44926</v>
      </c>
      <c r="AC158" s="50">
        <f t="shared" si="632"/>
        <v>45016</v>
      </c>
      <c r="AD158" s="50">
        <f t="shared" si="632"/>
        <v>45107</v>
      </c>
      <c r="AE158" s="50">
        <f t="shared" si="632"/>
        <v>45199</v>
      </c>
      <c r="AF158" s="50">
        <f t="shared" si="632"/>
        <v>45291</v>
      </c>
      <c r="AG158" s="50">
        <f t="shared" si="632"/>
        <v>45382</v>
      </c>
      <c r="AH158" s="50">
        <f t="shared" si="632"/>
        <v>45473</v>
      </c>
      <c r="AI158" s="50">
        <f t="shared" si="632"/>
        <v>45565</v>
      </c>
      <c r="AJ158" s="50">
        <f t="shared" si="632"/>
        <v>45657</v>
      </c>
      <c r="AK158" s="50">
        <f t="shared" si="632"/>
        <v>45747</v>
      </c>
      <c r="AL158" s="50">
        <f t="shared" si="632"/>
        <v>45838</v>
      </c>
      <c r="AM158" s="50">
        <f t="shared" si="632"/>
        <v>45930</v>
      </c>
      <c r="AN158" s="50">
        <f t="shared" si="632"/>
        <v>46022</v>
      </c>
      <c r="AO158" s="50">
        <f t="shared" ref="AO158" si="633">AO3</f>
        <v>46112</v>
      </c>
    </row>
    <row r="159" spans="2:41" s="32" customFormat="1" ht="13.5" customHeight="1">
      <c r="B159" s="51"/>
      <c r="C159" s="50" t="s">
        <v>188</v>
      </c>
      <c r="D159" s="50" t="s">
        <v>188</v>
      </c>
      <c r="E159" s="50" t="s">
        <v>188</v>
      </c>
      <c r="F159" s="50" t="s">
        <v>188</v>
      </c>
      <c r="G159" s="50" t="s">
        <v>188</v>
      </c>
      <c r="H159" s="50" t="s">
        <v>188</v>
      </c>
      <c r="I159" s="50" t="s">
        <v>188</v>
      </c>
      <c r="J159" s="50" t="s">
        <v>188</v>
      </c>
      <c r="K159" s="50" t="s">
        <v>188</v>
      </c>
      <c r="L159" s="146"/>
      <c r="M159" s="50" t="s">
        <v>188</v>
      </c>
      <c r="N159" s="50" t="s">
        <v>188</v>
      </c>
      <c r="O159" s="50" t="s">
        <v>188</v>
      </c>
      <c r="P159" s="50" t="s">
        <v>188</v>
      </c>
      <c r="Q159" s="50" t="s">
        <v>188</v>
      </c>
      <c r="R159" s="50" t="s">
        <v>188</v>
      </c>
      <c r="S159" s="50" t="s">
        <v>188</v>
      </c>
      <c r="T159" s="50" t="s">
        <v>188</v>
      </c>
      <c r="U159" s="50" t="s">
        <v>188</v>
      </c>
      <c r="V159" s="50" t="s">
        <v>188</v>
      </c>
      <c r="W159" s="50" t="s">
        <v>188</v>
      </c>
      <c r="X159" s="50" t="s">
        <v>188</v>
      </c>
      <c r="Y159" s="50" t="s">
        <v>188</v>
      </c>
      <c r="Z159" s="50" t="s">
        <v>188</v>
      </c>
      <c r="AA159" s="50" t="s">
        <v>188</v>
      </c>
      <c r="AB159" s="50" t="s">
        <v>188</v>
      </c>
      <c r="AC159" s="50" t="s">
        <v>188</v>
      </c>
      <c r="AD159" s="50" t="s">
        <v>188</v>
      </c>
      <c r="AE159" s="50" t="s">
        <v>188</v>
      </c>
      <c r="AF159" s="50" t="s">
        <v>188</v>
      </c>
      <c r="AG159" s="50" t="s">
        <v>188</v>
      </c>
      <c r="AH159" s="50" t="s">
        <v>188</v>
      </c>
      <c r="AI159" s="50" t="s">
        <v>188</v>
      </c>
      <c r="AJ159" s="50" t="s">
        <v>188</v>
      </c>
      <c r="AK159" s="50" t="s">
        <v>188</v>
      </c>
      <c r="AL159" s="50" t="s">
        <v>188</v>
      </c>
      <c r="AM159" s="50" t="s">
        <v>188</v>
      </c>
      <c r="AN159" s="50" t="s">
        <v>188</v>
      </c>
      <c r="AO159" s="50" t="s">
        <v>188</v>
      </c>
    </row>
    <row r="160" spans="2:41" ht="13.5" customHeight="1"/>
    <row r="161" spans="2:41" s="32" customFormat="1" ht="13.5" customHeight="1">
      <c r="B161" s="32" t="str">
        <f t="shared" ref="B161:K161" si="634">B7</f>
        <v>Revenue</v>
      </c>
      <c r="C161" s="57">
        <f t="shared" si="634"/>
        <v>65227.277999999998</v>
      </c>
      <c r="D161" s="57">
        <f t="shared" si="634"/>
        <v>97528.531000000003</v>
      </c>
      <c r="E161" s="57">
        <f t="shared" si="634"/>
        <v>114794.51</v>
      </c>
      <c r="F161" s="57">
        <f t="shared" si="634"/>
        <v>179127.997</v>
      </c>
      <c r="G161" s="57">
        <f t="shared" si="634"/>
        <v>219954.948</v>
      </c>
      <c r="H161" s="57">
        <f t="shared" si="634"/>
        <v>276744.95400000003</v>
      </c>
      <c r="I161" s="57">
        <f t="shared" si="634"/>
        <v>337591.576</v>
      </c>
      <c r="J161" s="57">
        <f t="shared" si="634"/>
        <v>364854.74599999998</v>
      </c>
      <c r="K161" s="57">
        <f t="shared" si="634"/>
        <v>369687.50699999998</v>
      </c>
      <c r="L161" s="48"/>
      <c r="M161" s="48">
        <f t="shared" ref="M161:AN161" si="635">M7</f>
        <v>19173.511999999999</v>
      </c>
      <c r="N161" s="48">
        <f t="shared" si="635"/>
        <v>22703.136999999999</v>
      </c>
      <c r="O161" s="48">
        <f t="shared" si="635"/>
        <v>27493.629000000001</v>
      </c>
      <c r="P161" s="48">
        <f t="shared" si="635"/>
        <v>28158.253000000012</v>
      </c>
      <c r="Q161" s="48">
        <f t="shared" si="635"/>
        <v>16753.886999999999</v>
      </c>
      <c r="R161" s="48">
        <f t="shared" si="635"/>
        <v>24721.837</v>
      </c>
      <c r="S161" s="48">
        <f t="shared" si="635"/>
        <v>35401.281999999999</v>
      </c>
      <c r="T161" s="48">
        <f t="shared" si="635"/>
        <v>37917.504000000001</v>
      </c>
      <c r="U161" s="48">
        <f t="shared" si="635"/>
        <v>37016.262000000002</v>
      </c>
      <c r="V161" s="48">
        <f t="shared" si="635"/>
        <v>43759.232000000004</v>
      </c>
      <c r="W161" s="48">
        <f t="shared" si="635"/>
        <v>48829.37</v>
      </c>
      <c r="X161" s="48">
        <f t="shared" si="635"/>
        <v>49523.133000000002</v>
      </c>
      <c r="Y161" s="48">
        <f t="shared" si="635"/>
        <v>46268.754000000001</v>
      </c>
      <c r="Z161" s="48">
        <f t="shared" si="635"/>
        <v>50938.362999999998</v>
      </c>
      <c r="AA161" s="48">
        <f t="shared" si="635"/>
        <v>62618.892</v>
      </c>
      <c r="AB161" s="48">
        <f t="shared" si="635"/>
        <v>60128.939000000013</v>
      </c>
      <c r="AC161" s="48">
        <f t="shared" si="635"/>
        <v>58617.472000000002</v>
      </c>
      <c r="AD161" s="48">
        <f t="shared" si="635"/>
        <v>67964.623999999996</v>
      </c>
      <c r="AE161" s="48">
        <f t="shared" si="635"/>
        <v>76466.907000000007</v>
      </c>
      <c r="AF161" s="48">
        <f t="shared" si="635"/>
        <v>73695.95100000003</v>
      </c>
      <c r="AG161" s="48">
        <f t="shared" si="635"/>
        <v>73275.884000000005</v>
      </c>
      <c r="AH161" s="48">
        <f t="shared" si="635"/>
        <v>82251.077000000005</v>
      </c>
      <c r="AI161" s="48">
        <f t="shared" si="635"/>
        <v>93577.319000000003</v>
      </c>
      <c r="AJ161" s="48">
        <f t="shared" si="635"/>
        <v>88487.295999999973</v>
      </c>
      <c r="AK161" s="48">
        <f t="shared" si="635"/>
        <v>86206.145000000004</v>
      </c>
      <c r="AL161" s="48">
        <f t="shared" si="635"/>
        <v>91840.48</v>
      </c>
      <c r="AM161" s="48">
        <f t="shared" si="635"/>
        <v>95488.112999999998</v>
      </c>
      <c r="AN161" s="48">
        <f t="shared" si="635"/>
        <v>91320.007999999973</v>
      </c>
      <c r="AO161" s="48">
        <f t="shared" ref="AO161" si="636">AO7</f>
        <v>91038.906000000003</v>
      </c>
    </row>
    <row r="162" spans="2:41" s="44" customFormat="1" ht="13.5" customHeight="1">
      <c r="B162" s="49" t="s">
        <v>297</v>
      </c>
      <c r="C162" s="56"/>
      <c r="D162" s="56">
        <f t="shared" ref="D162:J162" si="637">D161/C161-1</f>
        <v>0.49521080735578149</v>
      </c>
      <c r="E162" s="56">
        <f t="shared" si="637"/>
        <v>0.17703515907565537</v>
      </c>
      <c r="F162" s="56">
        <f t="shared" si="637"/>
        <v>0.56042302894101836</v>
      </c>
      <c r="G162" s="56">
        <f t="shared" si="637"/>
        <v>0.22792054666920669</v>
      </c>
      <c r="H162" s="56">
        <f t="shared" si="637"/>
        <v>0.25818926337588022</v>
      </c>
      <c r="I162" s="56">
        <f t="shared" si="637"/>
        <v>0.21986533492495042</v>
      </c>
      <c r="J162" s="56">
        <f t="shared" si="637"/>
        <v>8.0757850426931288E-2</v>
      </c>
      <c r="K162" s="56"/>
      <c r="L162" s="154"/>
      <c r="M162" s="56"/>
      <c r="N162" s="56"/>
      <c r="O162" s="56"/>
      <c r="P162" s="56"/>
      <c r="Q162" s="56">
        <f t="shared" ref="Q162:AO162" si="638">Q161/M161-1</f>
        <v>-0.12619623363732213</v>
      </c>
      <c r="R162" s="56">
        <f t="shared" si="638"/>
        <v>8.8917227606035265E-2</v>
      </c>
      <c r="S162" s="56">
        <f t="shared" si="638"/>
        <v>0.28761765134751749</v>
      </c>
      <c r="T162" s="56">
        <f t="shared" si="638"/>
        <v>0.34658581269228539</v>
      </c>
      <c r="U162" s="56">
        <f t="shared" si="638"/>
        <v>1.2094133737442543</v>
      </c>
      <c r="V162" s="56">
        <f t="shared" si="638"/>
        <v>0.77006393173775889</v>
      </c>
      <c r="W162" s="56">
        <f t="shared" si="638"/>
        <v>0.37931078315186451</v>
      </c>
      <c r="X162" s="56">
        <f t="shared" si="638"/>
        <v>0.30607576384774693</v>
      </c>
      <c r="Y162" s="56">
        <f t="shared" si="638"/>
        <v>0.24995749165596459</v>
      </c>
      <c r="Z162" s="56">
        <f t="shared" si="638"/>
        <v>0.164059803426166</v>
      </c>
      <c r="AA162" s="56">
        <f t="shared" si="638"/>
        <v>0.28240220998141075</v>
      </c>
      <c r="AB162" s="56">
        <f t="shared" si="638"/>
        <v>0.21415862360727478</v>
      </c>
      <c r="AC162" s="56">
        <f t="shared" si="638"/>
        <v>0.2668910859367426</v>
      </c>
      <c r="AD162" s="56">
        <f t="shared" si="638"/>
        <v>0.33425222165070356</v>
      </c>
      <c r="AE162" s="56">
        <f t="shared" si="638"/>
        <v>0.2211475571940813</v>
      </c>
      <c r="AF162" s="56">
        <f t="shared" si="638"/>
        <v>0.22563198728652134</v>
      </c>
      <c r="AG162" s="56">
        <f t="shared" si="638"/>
        <v>0.25006898966915525</v>
      </c>
      <c r="AH162" s="56">
        <f t="shared" si="638"/>
        <v>0.21020425273006738</v>
      </c>
      <c r="AI162" s="56">
        <f t="shared" si="638"/>
        <v>0.22376231328409801</v>
      </c>
      <c r="AJ162" s="56">
        <f t="shared" si="638"/>
        <v>0.20070770238109747</v>
      </c>
      <c r="AK162" s="56">
        <f t="shared" si="638"/>
        <v>0.17645997965715421</v>
      </c>
      <c r="AL162" s="56">
        <f t="shared" si="638"/>
        <v>0.11658695970631472</v>
      </c>
      <c r="AM162" s="56">
        <f t="shared" si="638"/>
        <v>2.0419413811160636E-2</v>
      </c>
      <c r="AN162" s="56">
        <f t="shared" si="638"/>
        <v>3.2012640548989113E-2</v>
      </c>
      <c r="AO162" s="56">
        <f t="shared" si="638"/>
        <v>5.6060516335581401E-2</v>
      </c>
    </row>
    <row r="163" spans="2:41" ht="13.5" customHeight="1">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row>
    <row r="164" spans="2:41" s="32" customFormat="1" ht="13.5" customHeight="1" thickBot="1">
      <c r="B164" s="39" t="str">
        <f t="shared" ref="B164:K164" si="639">B54</f>
        <v xml:space="preserve">Adj. EBITDA </v>
      </c>
      <c r="C164" s="47">
        <f t="shared" si="639"/>
        <v>-4733.8310000000001</v>
      </c>
      <c r="D164" s="47">
        <f t="shared" si="639"/>
        <v>7253.634</v>
      </c>
      <c r="E164" s="47">
        <f t="shared" si="639"/>
        <v>4737.8370000000004</v>
      </c>
      <c r="F164" s="47">
        <f t="shared" si="639"/>
        <v>-9694.0759999999991</v>
      </c>
      <c r="G164" s="47">
        <f t="shared" si="639"/>
        <v>9724.5889999999999</v>
      </c>
      <c r="H164" s="47">
        <f t="shared" si="639"/>
        <v>23878.018</v>
      </c>
      <c r="I164" s="47">
        <f t="shared" si="639"/>
        <v>49119.4</v>
      </c>
      <c r="J164" s="47">
        <f t="shared" si="639"/>
        <v>-13783.205</v>
      </c>
      <c r="K164" s="47">
        <f t="shared" si="639"/>
        <v>-29134.32</v>
      </c>
      <c r="L164" s="57"/>
      <c r="M164" s="47">
        <f t="shared" ref="M164:AN164" si="640">M54</f>
        <v>458.87400000000002</v>
      </c>
      <c r="N164" s="47">
        <f t="shared" si="640"/>
        <v>2330.8090000000002</v>
      </c>
      <c r="O164" s="47">
        <f t="shared" si="640"/>
        <v>2285.3009999999999</v>
      </c>
      <c r="P164" s="47">
        <f t="shared" si="640"/>
        <v>2178.6499999999996</v>
      </c>
      <c r="Q164" s="47">
        <f t="shared" si="640"/>
        <v>41.311</v>
      </c>
      <c r="R164" s="47">
        <f t="shared" si="640"/>
        <v>2610.2550000000001</v>
      </c>
      <c r="S164" s="47">
        <f t="shared" si="640"/>
        <v>2675.3989999999999</v>
      </c>
      <c r="T164" s="47">
        <f t="shared" si="640"/>
        <v>-589.1279999999997</v>
      </c>
      <c r="U164" s="47">
        <f t="shared" si="640"/>
        <v>-2382.683</v>
      </c>
      <c r="V164" s="47">
        <f t="shared" si="640"/>
        <v>-1239.9860000000001</v>
      </c>
      <c r="W164" s="47">
        <f t="shared" si="640"/>
        <v>-4061.6590000000001</v>
      </c>
      <c r="X164" s="47">
        <f t="shared" si="640"/>
        <v>-2009.7479999999996</v>
      </c>
      <c r="Y164" s="47">
        <f t="shared" si="640"/>
        <v>-1840.771</v>
      </c>
      <c r="Z164" s="47">
        <f t="shared" si="640"/>
        <v>3802.741</v>
      </c>
      <c r="AA164" s="47">
        <f t="shared" si="640"/>
        <v>4801.7359999999999</v>
      </c>
      <c r="AB164" s="47">
        <f t="shared" si="640"/>
        <v>2960.8829999999998</v>
      </c>
      <c r="AC164" s="47">
        <f t="shared" si="640"/>
        <v>6262.06</v>
      </c>
      <c r="AD164" s="47">
        <f t="shared" si="640"/>
        <v>7682.3509999999997</v>
      </c>
      <c r="AE164" s="47">
        <f t="shared" si="640"/>
        <v>6189.201</v>
      </c>
      <c r="AF164" s="47">
        <f t="shared" si="640"/>
        <v>3744.405999999999</v>
      </c>
      <c r="AG164" s="47">
        <f t="shared" si="640"/>
        <v>8070.3429999999998</v>
      </c>
      <c r="AH164" s="47">
        <f t="shared" si="640"/>
        <v>14997.268</v>
      </c>
      <c r="AI164" s="47">
        <f t="shared" si="640"/>
        <v>14529.197</v>
      </c>
      <c r="AJ164" s="47">
        <f t="shared" si="640"/>
        <v>11522.591999999997</v>
      </c>
      <c r="AK164" s="47">
        <f t="shared" si="640"/>
        <v>12301.686</v>
      </c>
      <c r="AL164" s="47">
        <f t="shared" si="640"/>
        <v>2781.9609999999998</v>
      </c>
      <c r="AM164" s="47">
        <f t="shared" si="640"/>
        <v>-14841.897000000001</v>
      </c>
      <c r="AN164" s="47">
        <f t="shared" si="640"/>
        <v>-14024.954999999998</v>
      </c>
      <c r="AO164" s="47">
        <f t="shared" ref="AO164" si="641">AO54</f>
        <v>-3049.4290000000001</v>
      </c>
    </row>
    <row r="165" spans="2:41" s="44" customFormat="1" ht="13.5" customHeight="1" thickTop="1">
      <c r="B165" s="46" t="str">
        <f t="shared" ref="B165:K165" si="642">B55</f>
        <v xml:space="preserve">% growth </v>
      </c>
      <c r="C165" s="56">
        <f t="shared" si="642"/>
        <v>0</v>
      </c>
      <c r="D165" s="56">
        <f t="shared" si="642"/>
        <v>-2.5322967803455594</v>
      </c>
      <c r="E165" s="56">
        <f t="shared" si="642"/>
        <v>-0.34683263588981739</v>
      </c>
      <c r="F165" s="56">
        <f t="shared" si="642"/>
        <v>-3.0460974068968598</v>
      </c>
      <c r="G165" s="56">
        <f t="shared" si="642"/>
        <v>-2.0031475924059192</v>
      </c>
      <c r="H165" s="56">
        <f t="shared" si="642"/>
        <v>1.4554269594324243</v>
      </c>
      <c r="I165" s="56">
        <f t="shared" si="642"/>
        <v>1.0570970337655328</v>
      </c>
      <c r="J165" s="56">
        <f t="shared" si="642"/>
        <v>-1.2806061352540952</v>
      </c>
      <c r="K165" s="56">
        <f t="shared" si="642"/>
        <v>0</v>
      </c>
      <c r="L165" s="154"/>
      <c r="M165" s="56"/>
      <c r="N165" s="56"/>
      <c r="O165" s="56"/>
      <c r="P165" s="56"/>
      <c r="Q165" s="56">
        <f t="shared" ref="Q165:AN165" si="643">Q55</f>
        <v>-0.9099731080863156</v>
      </c>
      <c r="R165" s="56">
        <f t="shared" si="643"/>
        <v>0.11989227774562394</v>
      </c>
      <c r="S165" s="56">
        <f t="shared" si="643"/>
        <v>0.1706987394658297</v>
      </c>
      <c r="T165" s="56">
        <f t="shared" si="643"/>
        <v>-1.2704096573566197</v>
      </c>
      <c r="U165" s="56">
        <f t="shared" si="643"/>
        <v>-58.676720486069087</v>
      </c>
      <c r="V165" s="56">
        <f t="shared" si="643"/>
        <v>-1.475044009110221</v>
      </c>
      <c r="W165" s="56">
        <f t="shared" si="643"/>
        <v>-2.5181507505983221</v>
      </c>
      <c r="X165" s="56">
        <f t="shared" si="643"/>
        <v>2.4113944677557351</v>
      </c>
      <c r="Y165" s="56">
        <f t="shared" si="643"/>
        <v>-0.22743772461548595</v>
      </c>
      <c r="Z165" s="56">
        <f t="shared" si="643"/>
        <v>-4.066761237626876</v>
      </c>
      <c r="AA165" s="56">
        <f t="shared" si="643"/>
        <v>-2.1822105203809574</v>
      </c>
      <c r="AB165" s="56">
        <f t="shared" si="643"/>
        <v>-2.4732608267305158</v>
      </c>
      <c r="AC165" s="56">
        <f t="shared" si="643"/>
        <v>-4.4018680216061643</v>
      </c>
      <c r="AD165" s="56">
        <f t="shared" si="643"/>
        <v>1.0202141034585317</v>
      </c>
      <c r="AE165" s="56">
        <f t="shared" si="643"/>
        <v>0.28895070449520754</v>
      </c>
      <c r="AF165" s="56">
        <f t="shared" si="643"/>
        <v>0.26462477578479104</v>
      </c>
      <c r="AG165" s="56">
        <f t="shared" si="643"/>
        <v>0.28876807312609576</v>
      </c>
      <c r="AH165" s="56">
        <f t="shared" si="643"/>
        <v>0.9521716724476661</v>
      </c>
      <c r="AI165" s="56">
        <f t="shared" si="643"/>
        <v>1.3475076992975343</v>
      </c>
      <c r="AJ165" s="56">
        <f t="shared" si="643"/>
        <v>2.077281683663577</v>
      </c>
      <c r="AK165" s="56">
        <f t="shared" si="643"/>
        <v>0.52430770290680329</v>
      </c>
      <c r="AL165" s="56">
        <f t="shared" si="643"/>
        <v>-0.81450214799122078</v>
      </c>
      <c r="AM165" s="56">
        <f t="shared" si="643"/>
        <v>-2.0215221804756314</v>
      </c>
      <c r="AN165" s="56">
        <f t="shared" si="643"/>
        <v>-2.2171701471335616</v>
      </c>
      <c r="AO165" s="56">
        <f t="shared" ref="AO165" si="644">AO55</f>
        <v>-1.2478870782427709</v>
      </c>
    </row>
    <row r="166" spans="2:41" s="44" customFormat="1" ht="13.5" customHeight="1">
      <c r="B166" s="46" t="str">
        <f t="shared" ref="B166:K166" si="645">B56</f>
        <v>% margin</v>
      </c>
      <c r="C166" s="56">
        <f t="shared" si="645"/>
        <v>-7.2574406676912076E-2</v>
      </c>
      <c r="D166" s="56">
        <f t="shared" si="645"/>
        <v>7.4374482273294976E-2</v>
      </c>
      <c r="E166" s="56">
        <f t="shared" si="645"/>
        <v>4.1272330880631841E-2</v>
      </c>
      <c r="F166" s="56">
        <f t="shared" si="645"/>
        <v>-5.4118151055973673E-2</v>
      </c>
      <c r="G166" s="56">
        <f t="shared" si="645"/>
        <v>4.4211731031392844E-2</v>
      </c>
      <c r="H166" s="56">
        <f t="shared" si="645"/>
        <v>8.6281674353491544E-2</v>
      </c>
      <c r="I166" s="56">
        <f t="shared" si="645"/>
        <v>0.1454994836719504</v>
      </c>
      <c r="J166" s="56">
        <f t="shared" si="645"/>
        <v>-3.7777239164651019E-2</v>
      </c>
      <c r="K166" s="56">
        <f t="shared" si="645"/>
        <v>-7.8807964695436675E-2</v>
      </c>
      <c r="L166" s="154"/>
      <c r="M166" s="56">
        <f>M56</f>
        <v>2.3932704660471177E-2</v>
      </c>
      <c r="N166" s="56">
        <f>N56</f>
        <v>0.10266462295496875</v>
      </c>
      <c r="O166" s="56">
        <f>O56</f>
        <v>8.3121111440035797E-2</v>
      </c>
      <c r="P166" s="56">
        <f>P56</f>
        <v>7.7371632394950027E-2</v>
      </c>
      <c r="Q166" s="56">
        <f t="shared" ref="Q166:AN166" si="646">Q56</f>
        <v>2.46575615557154E-3</v>
      </c>
      <c r="R166" s="56">
        <f t="shared" si="646"/>
        <v>0.10558499354234882</v>
      </c>
      <c r="S166" s="56">
        <f t="shared" si="646"/>
        <v>7.5573506066814192E-2</v>
      </c>
      <c r="T166" s="56">
        <f t="shared" si="646"/>
        <v>-1.5537098644467728E-2</v>
      </c>
      <c r="U166" s="56">
        <f t="shared" si="646"/>
        <v>-6.4368546991589795E-2</v>
      </c>
      <c r="V166" s="56">
        <f t="shared" si="646"/>
        <v>-2.8336557643424822E-2</v>
      </c>
      <c r="W166" s="56">
        <f t="shared" si="646"/>
        <v>-8.3180655412920537E-2</v>
      </c>
      <c r="X166" s="56">
        <f t="shared" si="646"/>
        <v>-4.0582004373592426E-2</v>
      </c>
      <c r="Y166" s="56">
        <f t="shared" si="646"/>
        <v>-3.9784321834125898E-2</v>
      </c>
      <c r="Z166" s="56">
        <f t="shared" si="646"/>
        <v>7.4653773227851869E-2</v>
      </c>
      <c r="AA166" s="56">
        <f t="shared" si="646"/>
        <v>7.6681906157010885E-2</v>
      </c>
      <c r="AB166" s="56">
        <f t="shared" si="646"/>
        <v>4.9242229270002574E-2</v>
      </c>
      <c r="AC166" s="56">
        <f t="shared" si="646"/>
        <v>0.10682924026474565</v>
      </c>
      <c r="AD166" s="56">
        <f t="shared" si="646"/>
        <v>0.11303455456473945</v>
      </c>
      <c r="AE166" s="56">
        <f t="shared" si="646"/>
        <v>8.0939601754782625E-2</v>
      </c>
      <c r="AF166" s="56">
        <f t="shared" si="646"/>
        <v>5.0808842944437986E-2</v>
      </c>
      <c r="AG166" s="56">
        <f t="shared" si="646"/>
        <v>0.11013641268387836</v>
      </c>
      <c r="AH166" s="56">
        <f t="shared" si="646"/>
        <v>0.18233521732487465</v>
      </c>
      <c r="AI166" s="56">
        <f t="shared" si="646"/>
        <v>0.15526408701664129</v>
      </c>
      <c r="AJ166" s="56">
        <f t="shared" si="646"/>
        <v>0.13021747212164783</v>
      </c>
      <c r="AK166" s="56">
        <f t="shared" si="646"/>
        <v>0.14270080166558891</v>
      </c>
      <c r="AL166" s="56">
        <f t="shared" si="646"/>
        <v>3.0291228878594711E-2</v>
      </c>
      <c r="AM166" s="56">
        <f t="shared" si="646"/>
        <v>-0.15543188082478918</v>
      </c>
      <c r="AN166" s="56">
        <f t="shared" si="646"/>
        <v>-0.15358030849055557</v>
      </c>
      <c r="AO166" s="56">
        <f t="shared" ref="AO166" si="647">AO56</f>
        <v>-3.3495888010780794E-2</v>
      </c>
    </row>
    <row r="167" spans="2:41" ht="13.5" customHeight="1">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row>
    <row r="168" spans="2:41" s="32" customFormat="1" ht="13.5" customHeight="1">
      <c r="B168" s="32" t="str">
        <f t="shared" ref="B168:J168" si="648">B62</f>
        <v xml:space="preserve">Adj. EBITDA </v>
      </c>
      <c r="C168" s="42">
        <f t="shared" si="648"/>
        <v>-4733.8310000000001</v>
      </c>
      <c r="D168" s="42">
        <f t="shared" si="648"/>
        <v>7253.634</v>
      </c>
      <c r="E168" s="42">
        <f t="shared" si="648"/>
        <v>4737.8370000000004</v>
      </c>
      <c r="F168" s="42">
        <f t="shared" si="648"/>
        <v>-9694.0759999999991</v>
      </c>
      <c r="G168" s="42">
        <f t="shared" si="648"/>
        <v>9724.5889999999999</v>
      </c>
      <c r="H168" s="42">
        <f t="shared" si="648"/>
        <v>23878.018</v>
      </c>
      <c r="I168" s="42">
        <f t="shared" si="648"/>
        <v>49119.4</v>
      </c>
      <c r="J168" s="42">
        <f t="shared" si="648"/>
        <v>-13783.205</v>
      </c>
      <c r="K168" s="196"/>
      <c r="L168" s="16"/>
      <c r="M168" s="195"/>
      <c r="N168" s="42">
        <f t="shared" ref="N168:N185" si="649">N62</f>
        <v>2330.8090000000002</v>
      </c>
      <c r="O168" s="195"/>
      <c r="P168" s="42">
        <f t="shared" ref="P168:P185" si="650">P62</f>
        <v>4922.8249999999998</v>
      </c>
      <c r="Q168" s="195"/>
      <c r="R168" s="42">
        <f t="shared" ref="R168:R185" si="651">R62</f>
        <v>2610.2550000000001</v>
      </c>
      <c r="S168" s="195"/>
      <c r="T168" s="42">
        <f t="shared" ref="T168:T185" si="652">T62</f>
        <v>2127.5820000000003</v>
      </c>
      <c r="U168" s="195"/>
      <c r="V168" s="42">
        <f t="shared" ref="V168:V185" si="653">V62</f>
        <v>-1239.9860000000001</v>
      </c>
      <c r="W168" s="195"/>
      <c r="X168" s="42">
        <f t="shared" ref="X168:X185" si="654">X62</f>
        <v>-8454.0899999999983</v>
      </c>
      <c r="Y168" s="195"/>
      <c r="Z168" s="42">
        <f t="shared" ref="Z168:Z185" si="655">Z62</f>
        <v>3802.741</v>
      </c>
      <c r="AA168" s="195"/>
      <c r="AB168" s="42">
        <f t="shared" ref="AB168:AB185" si="656">AB62</f>
        <v>5921.848</v>
      </c>
      <c r="AC168" s="196"/>
      <c r="AD168" s="42">
        <f t="shared" ref="AD168:AD185" si="657">AD62</f>
        <v>7682.3509999999997</v>
      </c>
      <c r="AE168" s="195"/>
      <c r="AF168" s="42">
        <f t="shared" ref="AF168:AF185" si="658">AF62</f>
        <v>16195.667000000001</v>
      </c>
      <c r="AG168" s="196"/>
      <c r="AH168" s="42">
        <f t="shared" ref="AH168:AH185" si="659">AH62</f>
        <v>14997.268</v>
      </c>
      <c r="AI168" s="195"/>
      <c r="AJ168" s="195">
        <f t="shared" ref="AJ168:AJ185" si="660">AJ62</f>
        <v>0</v>
      </c>
      <c r="AK168" s="196"/>
      <c r="AL168" s="195">
        <f t="shared" ref="AL168:AL185" si="661">AL62</f>
        <v>0</v>
      </c>
      <c r="AM168" s="195"/>
      <c r="AN168" s="195">
        <f t="shared" ref="AN168:AN185" si="662">AN62</f>
        <v>0</v>
      </c>
      <c r="AO168" s="196"/>
    </row>
    <row r="169" spans="2:41" ht="13.5" customHeight="1">
      <c r="B169" s="29" t="str">
        <f t="shared" ref="B169:J169" si="663">B63</f>
        <v>Working Capital</v>
      </c>
      <c r="C169" s="21">
        <f t="shared" si="663"/>
        <v>28.669000000000096</v>
      </c>
      <c r="D169" s="21">
        <f t="shared" si="663"/>
        <v>1012.1379999999999</v>
      </c>
      <c r="E169" s="21">
        <f t="shared" si="663"/>
        <v>5337.86</v>
      </c>
      <c r="F169" s="21">
        <f t="shared" si="663"/>
        <v>4093.4840000000004</v>
      </c>
      <c r="G169" s="21">
        <f t="shared" si="663"/>
        <v>-813.48400000000004</v>
      </c>
      <c r="H169" s="21">
        <f t="shared" si="663"/>
        <v>13475.53</v>
      </c>
      <c r="I169" s="21">
        <f t="shared" si="663"/>
        <v>6465.5690000000004</v>
      </c>
      <c r="J169" s="21">
        <f t="shared" si="663"/>
        <v>-1055.9290000000001</v>
      </c>
      <c r="K169" s="196"/>
      <c r="L169" s="128"/>
      <c r="M169" s="196"/>
      <c r="N169" s="21">
        <f t="shared" si="649"/>
        <v>0</v>
      </c>
      <c r="O169" s="196"/>
      <c r="P169" s="21">
        <f t="shared" si="650"/>
        <v>1012.1379999999999</v>
      </c>
      <c r="Q169" s="196"/>
      <c r="R169" s="21">
        <f t="shared" si="651"/>
        <v>0</v>
      </c>
      <c r="S169" s="196"/>
      <c r="T169" s="21">
        <f t="shared" si="652"/>
        <v>5337.86</v>
      </c>
      <c r="U169" s="196"/>
      <c r="V169" s="21">
        <f t="shared" si="653"/>
        <v>0</v>
      </c>
      <c r="W169" s="196"/>
      <c r="X169" s="21">
        <f t="shared" si="654"/>
        <v>4093.4840000000004</v>
      </c>
      <c r="Y169" s="196"/>
      <c r="Z169" s="21">
        <f t="shared" si="655"/>
        <v>0</v>
      </c>
      <c r="AA169" s="196"/>
      <c r="AB169" s="21">
        <f t="shared" si="656"/>
        <v>-813.48400000000004</v>
      </c>
      <c r="AC169" s="196"/>
      <c r="AD169" s="196">
        <f t="shared" si="657"/>
        <v>0</v>
      </c>
      <c r="AE169" s="196"/>
      <c r="AF169" s="21">
        <f t="shared" si="658"/>
        <v>13475.53</v>
      </c>
      <c r="AG169" s="196"/>
      <c r="AH169" s="21">
        <f t="shared" si="659"/>
        <v>0</v>
      </c>
      <c r="AI169" s="196"/>
      <c r="AJ169" s="196">
        <f t="shared" si="660"/>
        <v>0</v>
      </c>
      <c r="AK169" s="196"/>
      <c r="AL169" s="196">
        <f t="shared" si="661"/>
        <v>0</v>
      </c>
      <c r="AM169" s="196"/>
      <c r="AN169" s="196">
        <f t="shared" si="662"/>
        <v>0</v>
      </c>
      <c r="AO169" s="196"/>
    </row>
    <row r="170" spans="2:41" ht="13.5" customHeight="1">
      <c r="B170" s="29" t="str">
        <f t="shared" ref="B170:J170" si="664">B64</f>
        <v>Taxes</v>
      </c>
      <c r="C170" s="21">
        <f t="shared" si="664"/>
        <v>-198.62899999999999</v>
      </c>
      <c r="D170" s="21">
        <f t="shared" si="664"/>
        <v>-463.30399999999997</v>
      </c>
      <c r="E170" s="21">
        <f t="shared" si="664"/>
        <v>-86.311000000000007</v>
      </c>
      <c r="F170" s="21">
        <f t="shared" si="664"/>
        <v>-254.73</v>
      </c>
      <c r="G170" s="21">
        <f t="shared" si="664"/>
        <v>-247.25800000000001</v>
      </c>
      <c r="H170" s="21">
        <f t="shared" si="664"/>
        <v>-222.84899999999999</v>
      </c>
      <c r="I170" s="21">
        <f t="shared" si="664"/>
        <v>-789.63599999999997</v>
      </c>
      <c r="J170" s="21">
        <f t="shared" si="664"/>
        <v>-695.34799999999996</v>
      </c>
      <c r="K170" s="196"/>
      <c r="L170" s="128"/>
      <c r="M170" s="196"/>
      <c r="N170" s="21">
        <f t="shared" si="649"/>
        <v>-127.598</v>
      </c>
      <c r="O170" s="196"/>
      <c r="P170" s="21">
        <f t="shared" si="650"/>
        <v>-335.70599999999996</v>
      </c>
      <c r="Q170" s="196"/>
      <c r="R170" s="21">
        <f t="shared" si="651"/>
        <v>-90.713999999999999</v>
      </c>
      <c r="S170" s="196"/>
      <c r="T170" s="21">
        <f t="shared" si="652"/>
        <v>4.4029999999999916</v>
      </c>
      <c r="U170" s="196"/>
      <c r="V170" s="21">
        <f t="shared" si="653"/>
        <v>-169.679</v>
      </c>
      <c r="W170" s="196"/>
      <c r="X170" s="21">
        <f t="shared" si="654"/>
        <v>-85.050999999999988</v>
      </c>
      <c r="Y170" s="196"/>
      <c r="Z170" s="21">
        <f t="shared" si="655"/>
        <v>-115.143</v>
      </c>
      <c r="AA170" s="196"/>
      <c r="AB170" s="21">
        <f t="shared" si="656"/>
        <v>-132.11500000000001</v>
      </c>
      <c r="AC170" s="196"/>
      <c r="AD170" s="196">
        <f t="shared" si="657"/>
        <v>-143.608</v>
      </c>
      <c r="AE170" s="196"/>
      <c r="AF170" s="21">
        <f t="shared" si="658"/>
        <v>-79.240999999999985</v>
      </c>
      <c r="AG170" s="196"/>
      <c r="AH170" s="21">
        <f t="shared" si="659"/>
        <v>-254.60900000000001</v>
      </c>
      <c r="AI170" s="196"/>
      <c r="AJ170" s="196">
        <f t="shared" si="660"/>
        <v>0</v>
      </c>
      <c r="AK170" s="196"/>
      <c r="AL170" s="196">
        <f t="shared" si="661"/>
        <v>0</v>
      </c>
      <c r="AM170" s="196"/>
      <c r="AN170" s="196">
        <f t="shared" si="662"/>
        <v>0</v>
      </c>
      <c r="AO170" s="196"/>
    </row>
    <row r="171" spans="2:41" ht="13.5" customHeight="1">
      <c r="B171" s="29" t="str">
        <f t="shared" ref="B171:J171" si="665">B65</f>
        <v>Cash interest paid</v>
      </c>
      <c r="C171" s="21">
        <f t="shared" si="665"/>
        <v>-62.042999999999999</v>
      </c>
      <c r="D171" s="21">
        <f t="shared" si="665"/>
        <v>-218.69200000000001</v>
      </c>
      <c r="E171" s="21">
        <f t="shared" si="665"/>
        <v>-218.61099999999999</v>
      </c>
      <c r="F171" s="21">
        <f t="shared" si="665"/>
        <v>-620.12699999999995</v>
      </c>
      <c r="G171" s="21">
        <f t="shared" si="665"/>
        <v>-1162.162</v>
      </c>
      <c r="H171" s="21">
        <f t="shared" si="665"/>
        <v>-578.05799999999999</v>
      </c>
      <c r="I171" s="21">
        <f t="shared" si="665"/>
        <v>-427.053</v>
      </c>
      <c r="J171" s="21">
        <f t="shared" si="665"/>
        <v>-1281.4469999999999</v>
      </c>
      <c r="K171" s="196"/>
      <c r="L171" s="128"/>
      <c r="M171" s="196"/>
      <c r="N171" s="21">
        <f t="shared" si="649"/>
        <v>-100.42400000000001</v>
      </c>
      <c r="O171" s="196"/>
      <c r="P171" s="21">
        <f t="shared" si="650"/>
        <v>-118.268</v>
      </c>
      <c r="Q171" s="196"/>
      <c r="R171" s="21">
        <f t="shared" si="651"/>
        <v>-101.092</v>
      </c>
      <c r="S171" s="196"/>
      <c r="T171" s="21">
        <f t="shared" si="652"/>
        <v>-117.51899999999999</v>
      </c>
      <c r="U171" s="196"/>
      <c r="V171" s="21">
        <f t="shared" si="653"/>
        <v>-249.74799999999999</v>
      </c>
      <c r="W171" s="196"/>
      <c r="X171" s="21">
        <f t="shared" si="654"/>
        <v>-370.37899999999996</v>
      </c>
      <c r="Y171" s="196"/>
      <c r="Z171" s="21">
        <f t="shared" si="655"/>
        <v>-393.61700000000002</v>
      </c>
      <c r="AA171" s="196"/>
      <c r="AB171" s="21">
        <f t="shared" si="656"/>
        <v>-768.54500000000007</v>
      </c>
      <c r="AC171" s="196"/>
      <c r="AD171" s="196">
        <f t="shared" si="657"/>
        <v>-220.56299999999999</v>
      </c>
      <c r="AE171" s="196"/>
      <c r="AF171" s="21">
        <f t="shared" si="658"/>
        <v>-357.495</v>
      </c>
      <c r="AG171" s="196"/>
      <c r="AH171" s="21">
        <f t="shared" si="659"/>
        <v>-219.46799999999999</v>
      </c>
      <c r="AI171" s="196"/>
      <c r="AJ171" s="196">
        <f t="shared" si="660"/>
        <v>0</v>
      </c>
      <c r="AK171" s="196"/>
      <c r="AL171" s="196">
        <f t="shared" si="661"/>
        <v>0</v>
      </c>
      <c r="AM171" s="196"/>
      <c r="AN171" s="196">
        <f t="shared" si="662"/>
        <v>0</v>
      </c>
      <c r="AO171" s="196"/>
    </row>
    <row r="172" spans="2:41" s="32" customFormat="1" ht="13.5" customHeight="1" thickBot="1">
      <c r="B172" s="39" t="str">
        <f t="shared" ref="B172:J172" si="666">B66</f>
        <v xml:space="preserve">Net cash from operations </v>
      </c>
      <c r="C172" s="38">
        <f t="shared" si="666"/>
        <v>-4965.8339999999998</v>
      </c>
      <c r="D172" s="38">
        <f t="shared" si="666"/>
        <v>7583.7760000000007</v>
      </c>
      <c r="E172" s="38">
        <f t="shared" si="666"/>
        <v>9770.7749999999996</v>
      </c>
      <c r="F172" s="38">
        <f t="shared" si="666"/>
        <v>-6475.4489999999987</v>
      </c>
      <c r="G172" s="38">
        <f t="shared" si="666"/>
        <v>7501.6849999999995</v>
      </c>
      <c r="H172" s="38">
        <f t="shared" si="666"/>
        <v>36552.641000000003</v>
      </c>
      <c r="I172" s="38">
        <f t="shared" si="666"/>
        <v>54368.280000000006</v>
      </c>
      <c r="J172" s="38">
        <f t="shared" si="666"/>
        <v>-16815.929</v>
      </c>
      <c r="K172" s="197"/>
      <c r="L172" s="40"/>
      <c r="M172" s="197"/>
      <c r="N172" s="38">
        <f t="shared" si="649"/>
        <v>2102.7870000000003</v>
      </c>
      <c r="O172" s="197"/>
      <c r="P172" s="38">
        <f t="shared" si="650"/>
        <v>5480.9889999999996</v>
      </c>
      <c r="Q172" s="197"/>
      <c r="R172" s="38">
        <f t="shared" si="651"/>
        <v>2418.4490000000001</v>
      </c>
      <c r="S172" s="197"/>
      <c r="T172" s="38">
        <f t="shared" si="652"/>
        <v>7352.326</v>
      </c>
      <c r="U172" s="197"/>
      <c r="V172" s="38">
        <f t="shared" si="653"/>
        <v>-1659.4130000000002</v>
      </c>
      <c r="W172" s="197"/>
      <c r="X172" s="38">
        <f t="shared" si="654"/>
        <v>-4816.0359999999982</v>
      </c>
      <c r="Y172" s="197"/>
      <c r="Z172" s="38">
        <f t="shared" si="655"/>
        <v>3293.9809999999998</v>
      </c>
      <c r="AA172" s="197"/>
      <c r="AB172" s="38">
        <f t="shared" si="656"/>
        <v>4207.7039999999997</v>
      </c>
      <c r="AC172" s="197"/>
      <c r="AD172" s="38">
        <f t="shared" si="657"/>
        <v>7318.1799999999994</v>
      </c>
      <c r="AE172" s="197"/>
      <c r="AF172" s="38">
        <f t="shared" si="658"/>
        <v>29234.460999999999</v>
      </c>
      <c r="AG172" s="197"/>
      <c r="AH172" s="38">
        <f t="shared" si="659"/>
        <v>14523.190999999999</v>
      </c>
      <c r="AI172" s="197"/>
      <c r="AJ172" s="197">
        <f t="shared" si="660"/>
        <v>0</v>
      </c>
      <c r="AK172" s="197"/>
      <c r="AL172" s="197">
        <f t="shared" si="661"/>
        <v>0</v>
      </c>
      <c r="AM172" s="197"/>
      <c r="AN172" s="197">
        <f t="shared" si="662"/>
        <v>0</v>
      </c>
      <c r="AO172" s="197"/>
    </row>
    <row r="173" spans="2:41" ht="13.5" customHeight="1" thickTop="1">
      <c r="B173" s="29" t="str">
        <f t="shared" ref="B173:J173" si="667">B67</f>
        <v>Net Capex</v>
      </c>
      <c r="C173" s="41">
        <f t="shared" si="667"/>
        <v>-2185.5509999999999</v>
      </c>
      <c r="D173" s="41">
        <f t="shared" si="667"/>
        <v>-2922.6420000000003</v>
      </c>
      <c r="E173" s="41">
        <f t="shared" si="667"/>
        <v>-15521.706</v>
      </c>
      <c r="F173" s="41">
        <f t="shared" si="667"/>
        <v>-8904.2360000000008</v>
      </c>
      <c r="G173" s="41">
        <f t="shared" si="667"/>
        <v>-5323.701</v>
      </c>
      <c r="H173" s="41">
        <f t="shared" si="667"/>
        <v>-6578.4780000000001</v>
      </c>
      <c r="I173" s="41">
        <f t="shared" si="667"/>
        <v>-10102.284</v>
      </c>
      <c r="J173" s="41">
        <f t="shared" si="667"/>
        <v>-12830.778</v>
      </c>
      <c r="K173" s="196"/>
      <c r="L173" s="128"/>
      <c r="M173" s="196"/>
      <c r="N173" s="41">
        <f t="shared" si="649"/>
        <v>-1449.6389999999999</v>
      </c>
      <c r="O173" s="196"/>
      <c r="P173" s="41">
        <f t="shared" si="650"/>
        <v>-1473.0030000000004</v>
      </c>
      <c r="Q173" s="196"/>
      <c r="R173" s="41">
        <f t="shared" si="651"/>
        <v>-2842.944</v>
      </c>
      <c r="S173" s="196"/>
      <c r="T173" s="41">
        <f t="shared" si="652"/>
        <v>-12678.762000000001</v>
      </c>
      <c r="U173" s="196"/>
      <c r="V173" s="41">
        <f t="shared" si="653"/>
        <v>-5477.4</v>
      </c>
      <c r="W173" s="196"/>
      <c r="X173" s="41">
        <f t="shared" si="654"/>
        <v>-3426.8360000000011</v>
      </c>
      <c r="Y173" s="196"/>
      <c r="Z173" s="41">
        <f t="shared" si="655"/>
        <v>-3102.056</v>
      </c>
      <c r="AA173" s="196"/>
      <c r="AB173" s="41">
        <f t="shared" si="656"/>
        <v>-2221.645</v>
      </c>
      <c r="AC173" s="196"/>
      <c r="AD173" s="196">
        <f t="shared" si="657"/>
        <v>-1817.1</v>
      </c>
      <c r="AE173" s="196"/>
      <c r="AF173" s="41">
        <f t="shared" si="658"/>
        <v>-4761.3780000000006</v>
      </c>
      <c r="AG173" s="196"/>
      <c r="AH173" s="21">
        <f t="shared" si="659"/>
        <v>-5483.6770000000006</v>
      </c>
      <c r="AI173" s="196"/>
      <c r="AJ173" s="196">
        <f t="shared" si="660"/>
        <v>0</v>
      </c>
      <c r="AK173" s="196"/>
      <c r="AL173" s="196">
        <f t="shared" si="661"/>
        <v>0</v>
      </c>
      <c r="AM173" s="196"/>
      <c r="AN173" s="196">
        <f t="shared" si="662"/>
        <v>0</v>
      </c>
      <c r="AO173" s="196"/>
    </row>
    <row r="174" spans="2:41" ht="13.5" customHeight="1">
      <c r="B174" s="29" t="str">
        <f t="shared" ref="B174:J174" si="668">B68</f>
        <v>Purchase of intangible assets</v>
      </c>
      <c r="C174" s="41">
        <f t="shared" si="668"/>
        <v>-65.814999999999998</v>
      </c>
      <c r="D174" s="41">
        <f t="shared" si="668"/>
        <v>-14.822000000000001</v>
      </c>
      <c r="E174" s="41">
        <f t="shared" si="668"/>
        <v>-22.966000000000001</v>
      </c>
      <c r="F174" s="41">
        <f t="shared" si="668"/>
        <v>0</v>
      </c>
      <c r="G174" s="41">
        <f t="shared" si="668"/>
        <v>0</v>
      </c>
      <c r="H174" s="41">
        <f t="shared" si="668"/>
        <v>0</v>
      </c>
      <c r="I174" s="41">
        <f t="shared" si="668"/>
        <v>0</v>
      </c>
      <c r="J174" s="41">
        <f t="shared" si="668"/>
        <v>0</v>
      </c>
      <c r="K174" s="196"/>
      <c r="L174" s="128"/>
      <c r="M174" s="196"/>
      <c r="N174" s="41">
        <f t="shared" si="649"/>
        <v>-5.7240000000000002</v>
      </c>
      <c r="O174" s="196"/>
      <c r="P174" s="41">
        <f t="shared" si="650"/>
        <v>-9.0980000000000008</v>
      </c>
      <c r="Q174" s="196"/>
      <c r="R174" s="41">
        <f t="shared" si="651"/>
        <v>-8.4469999999999992</v>
      </c>
      <c r="S174" s="196"/>
      <c r="T174" s="41">
        <f t="shared" si="652"/>
        <v>-14.519000000000002</v>
      </c>
      <c r="U174" s="196"/>
      <c r="V174" s="41">
        <f t="shared" si="653"/>
        <v>-27.981999999999999</v>
      </c>
      <c r="W174" s="196"/>
      <c r="X174" s="41">
        <f t="shared" si="654"/>
        <v>27.981999999999999</v>
      </c>
      <c r="Y174" s="196"/>
      <c r="Z174" s="41">
        <f t="shared" si="655"/>
        <v>0</v>
      </c>
      <c r="AA174" s="196"/>
      <c r="AB174" s="41">
        <f t="shared" si="656"/>
        <v>0</v>
      </c>
      <c r="AC174" s="196"/>
      <c r="AD174" s="196">
        <f t="shared" si="657"/>
        <v>0</v>
      </c>
      <c r="AE174" s="196"/>
      <c r="AF174" s="41">
        <f t="shared" si="658"/>
        <v>0</v>
      </c>
      <c r="AG174" s="196"/>
      <c r="AH174" s="21">
        <f t="shared" si="659"/>
        <v>0</v>
      </c>
      <c r="AI174" s="196"/>
      <c r="AJ174" s="196">
        <f t="shared" si="660"/>
        <v>0</v>
      </c>
      <c r="AK174" s="196"/>
      <c r="AL174" s="196">
        <f t="shared" si="661"/>
        <v>0</v>
      </c>
      <c r="AM174" s="196"/>
      <c r="AN174" s="196">
        <f t="shared" si="662"/>
        <v>0</v>
      </c>
      <c r="AO174" s="196"/>
    </row>
    <row r="175" spans="2:41" ht="13.5" customHeight="1">
      <c r="B175" s="29" t="str">
        <f t="shared" ref="B175:J175" si="669">B69</f>
        <v>Disposals/ Acquistion, of subsidiaries, businesses</v>
      </c>
      <c r="C175" s="41">
        <f t="shared" si="669"/>
        <v>-7260.0870000000004</v>
      </c>
      <c r="D175" s="41">
        <f t="shared" si="669"/>
        <v>-1365.9749999999999</v>
      </c>
      <c r="E175" s="41">
        <f t="shared" si="669"/>
        <v>-26.849</v>
      </c>
      <c r="F175" s="41">
        <f t="shared" si="669"/>
        <v>-13.786</v>
      </c>
      <c r="G175" s="41">
        <f t="shared" si="669"/>
        <v>-89.236999999999995</v>
      </c>
      <c r="H175" s="41">
        <f t="shared" si="669"/>
        <v>365.11399999999998</v>
      </c>
      <c r="I175" s="41">
        <f t="shared" si="669"/>
        <v>-36.158000000000001</v>
      </c>
      <c r="J175" s="41">
        <f t="shared" si="669"/>
        <v>-94.623999999999995</v>
      </c>
      <c r="K175" s="196"/>
      <c r="L175" s="128"/>
      <c r="M175" s="196"/>
      <c r="N175" s="41">
        <f t="shared" si="649"/>
        <v>-450.78899999999999</v>
      </c>
      <c r="O175" s="196"/>
      <c r="P175" s="41">
        <f t="shared" si="650"/>
        <v>-915.18599999999992</v>
      </c>
      <c r="Q175" s="196"/>
      <c r="R175" s="41">
        <f t="shared" si="651"/>
        <v>0</v>
      </c>
      <c r="S175" s="196"/>
      <c r="T175" s="41">
        <f t="shared" si="652"/>
        <v>-26.849</v>
      </c>
      <c r="U175" s="196"/>
      <c r="V175" s="41">
        <f t="shared" si="653"/>
        <v>-867.327</v>
      </c>
      <c r="W175" s="196"/>
      <c r="X175" s="41">
        <f t="shared" si="654"/>
        <v>853.54100000000005</v>
      </c>
      <c r="Y175" s="196"/>
      <c r="Z175" s="41">
        <f t="shared" si="655"/>
        <v>-88.528999999999996</v>
      </c>
      <c r="AA175" s="196"/>
      <c r="AB175" s="41">
        <f t="shared" si="656"/>
        <v>-0.70799999999999841</v>
      </c>
      <c r="AC175" s="196"/>
      <c r="AD175" s="196">
        <f t="shared" si="657"/>
        <v>-8.9030000000000005</v>
      </c>
      <c r="AE175" s="196"/>
      <c r="AF175" s="41">
        <f t="shared" si="658"/>
        <v>374.017</v>
      </c>
      <c r="AG175" s="196"/>
      <c r="AH175" s="21">
        <f t="shared" si="659"/>
        <v>-36.158000000000001</v>
      </c>
      <c r="AI175" s="196"/>
      <c r="AJ175" s="196">
        <f t="shared" si="660"/>
        <v>0</v>
      </c>
      <c r="AK175" s="196"/>
      <c r="AL175" s="196">
        <f t="shared" si="661"/>
        <v>0</v>
      </c>
      <c r="AM175" s="196"/>
      <c r="AN175" s="196">
        <f t="shared" si="662"/>
        <v>0</v>
      </c>
      <c r="AO175" s="196"/>
    </row>
    <row r="176" spans="2:41" s="32" customFormat="1" ht="13.5" customHeight="1" thickBot="1">
      <c r="B176" s="39" t="str">
        <f t="shared" ref="B176:J176" si="670">B70</f>
        <v xml:space="preserve">Free cash flow </v>
      </c>
      <c r="C176" s="38">
        <f t="shared" si="670"/>
        <v>-14477.287</v>
      </c>
      <c r="D176" s="38">
        <f t="shared" si="670"/>
        <v>3280.337</v>
      </c>
      <c r="E176" s="38">
        <f t="shared" si="670"/>
        <v>-5800.746000000001</v>
      </c>
      <c r="F176" s="38">
        <f t="shared" si="670"/>
        <v>-15393.471</v>
      </c>
      <c r="G176" s="38">
        <f t="shared" si="670"/>
        <v>2088.7469999999994</v>
      </c>
      <c r="H176" s="38">
        <f t="shared" si="670"/>
        <v>30339.277000000006</v>
      </c>
      <c r="I176" s="38">
        <f t="shared" si="670"/>
        <v>44229.838000000003</v>
      </c>
      <c r="J176" s="38">
        <f t="shared" si="670"/>
        <v>-29741.331000000002</v>
      </c>
      <c r="K176" s="197"/>
      <c r="L176" s="40"/>
      <c r="M176" s="197"/>
      <c r="N176" s="38">
        <f t="shared" si="649"/>
        <v>196.63500000000033</v>
      </c>
      <c r="O176" s="197"/>
      <c r="P176" s="38">
        <f t="shared" si="650"/>
        <v>3083.7019999999993</v>
      </c>
      <c r="Q176" s="197"/>
      <c r="R176" s="38">
        <f t="shared" si="651"/>
        <v>-432.94199999999989</v>
      </c>
      <c r="S176" s="197"/>
      <c r="T176" s="38">
        <f t="shared" si="652"/>
        <v>-5367.804000000001</v>
      </c>
      <c r="U176" s="197"/>
      <c r="V176" s="38">
        <f t="shared" si="653"/>
        <v>-8032.1220000000003</v>
      </c>
      <c r="W176" s="197"/>
      <c r="X176" s="38">
        <f t="shared" si="654"/>
        <v>-7361.3489999999993</v>
      </c>
      <c r="Y176" s="197"/>
      <c r="Z176" s="38">
        <f t="shared" si="655"/>
        <v>103.39599999999973</v>
      </c>
      <c r="AA176" s="197"/>
      <c r="AB176" s="38">
        <f t="shared" si="656"/>
        <v>1985.3509999999997</v>
      </c>
      <c r="AC176" s="197"/>
      <c r="AD176" s="38">
        <f t="shared" si="657"/>
        <v>5492.1769999999997</v>
      </c>
      <c r="AE176" s="197"/>
      <c r="AF176" s="38">
        <f t="shared" si="658"/>
        <v>24847.1</v>
      </c>
      <c r="AG176" s="197"/>
      <c r="AH176" s="38">
        <f t="shared" si="659"/>
        <v>9003.3559999999998</v>
      </c>
      <c r="AI176" s="197"/>
      <c r="AJ176" s="197">
        <f t="shared" si="660"/>
        <v>0</v>
      </c>
      <c r="AK176" s="197"/>
      <c r="AL176" s="197">
        <f t="shared" si="661"/>
        <v>0</v>
      </c>
      <c r="AM176" s="197"/>
      <c r="AN176" s="197">
        <f t="shared" si="662"/>
        <v>0</v>
      </c>
      <c r="AO176" s="197"/>
    </row>
    <row r="177" spans="2:41" s="32" customFormat="1" ht="13.5" customHeight="1" thickTop="1">
      <c r="B177" s="29" t="str">
        <f t="shared" ref="B177:J177" si="671">B71</f>
        <v xml:space="preserve">Other Investing </v>
      </c>
      <c r="C177" s="41">
        <f t="shared" si="671"/>
        <v>-13993.187000000004</v>
      </c>
      <c r="D177" s="41">
        <f t="shared" si="671"/>
        <v>-5884.3400000000147</v>
      </c>
      <c r="E177" s="41">
        <f t="shared" si="671"/>
        <v>-5679.3949999999886</v>
      </c>
      <c r="F177" s="41">
        <f t="shared" si="671"/>
        <v>-49598.136999999973</v>
      </c>
      <c r="G177" s="41">
        <f t="shared" si="671"/>
        <v>-9370.4130000000005</v>
      </c>
      <c r="H177" s="41">
        <f t="shared" si="671"/>
        <v>-18450.48</v>
      </c>
      <c r="I177" s="41">
        <f t="shared" si="671"/>
        <v>20343.694</v>
      </c>
      <c r="J177" s="41">
        <f t="shared" si="671"/>
        <v>42698.269999999982</v>
      </c>
      <c r="K177" s="196"/>
      <c r="L177" s="128"/>
      <c r="M177" s="196"/>
      <c r="N177" s="41">
        <f t="shared" si="649"/>
        <v>-5889.3729999999905</v>
      </c>
      <c r="O177" s="196"/>
      <c r="P177" s="41">
        <f t="shared" si="650"/>
        <v>5.0329999999758002</v>
      </c>
      <c r="Q177" s="196"/>
      <c r="R177" s="41">
        <f t="shared" si="651"/>
        <v>3632.9710000000082</v>
      </c>
      <c r="S177" s="196"/>
      <c r="T177" s="41">
        <f t="shared" si="652"/>
        <v>-9312.3659999999963</v>
      </c>
      <c r="U177" s="196"/>
      <c r="V177" s="41">
        <f t="shared" si="653"/>
        <v>-10073.493999999988</v>
      </c>
      <c r="W177" s="196"/>
      <c r="X177" s="41">
        <f t="shared" si="654"/>
        <v>-39524.642999999982</v>
      </c>
      <c r="Y177" s="196"/>
      <c r="Z177" s="41">
        <f t="shared" si="655"/>
        <v>-4256.0939999999991</v>
      </c>
      <c r="AA177" s="196"/>
      <c r="AB177" s="41">
        <f t="shared" si="656"/>
        <v>-5114.3190000000013</v>
      </c>
      <c r="AC177" s="196"/>
      <c r="AD177" s="41">
        <f t="shared" si="657"/>
        <v>-8722.2519999999986</v>
      </c>
      <c r="AE177" s="196"/>
      <c r="AF177" s="41">
        <f t="shared" si="658"/>
        <v>-9728.228000000001</v>
      </c>
      <c r="AG177" s="196"/>
      <c r="AH177" s="21">
        <f t="shared" si="659"/>
        <v>34091.71</v>
      </c>
      <c r="AI177" s="196"/>
      <c r="AJ177" s="196">
        <f t="shared" si="660"/>
        <v>0</v>
      </c>
      <c r="AK177" s="196"/>
      <c r="AL177" s="196">
        <f t="shared" si="661"/>
        <v>0</v>
      </c>
      <c r="AM177" s="196"/>
      <c r="AN177" s="196">
        <f t="shared" si="662"/>
        <v>0</v>
      </c>
      <c r="AO177" s="196"/>
    </row>
    <row r="178" spans="2:41" ht="13.5" customHeight="1">
      <c r="B178" s="29" t="str">
        <f t="shared" ref="B178:J178" si="672">B72</f>
        <v>Equity Issuance</v>
      </c>
      <c r="C178" s="41">
        <f t="shared" si="672"/>
        <v>27661.543999999998</v>
      </c>
      <c r="D178" s="41">
        <f t="shared" si="672"/>
        <v>0</v>
      </c>
      <c r="E178" s="41">
        <f t="shared" si="672"/>
        <v>0</v>
      </c>
      <c r="F178" s="41">
        <f t="shared" si="672"/>
        <v>45286.099000000002</v>
      </c>
      <c r="G178" s="41">
        <f t="shared" si="672"/>
        <v>170.34100000000001</v>
      </c>
      <c r="H178" s="41">
        <f t="shared" si="672"/>
        <v>193.49199999999999</v>
      </c>
      <c r="I178" s="41">
        <f t="shared" si="672"/>
        <v>-25937.582999999999</v>
      </c>
      <c r="J178" s="41">
        <f t="shared" si="672"/>
        <v>-309.34700000000004</v>
      </c>
      <c r="K178" s="196"/>
      <c r="L178" s="128"/>
      <c r="M178" s="196"/>
      <c r="N178" s="41">
        <f t="shared" si="649"/>
        <v>0</v>
      </c>
      <c r="O178" s="196"/>
      <c r="P178" s="41">
        <f t="shared" si="650"/>
        <v>0</v>
      </c>
      <c r="Q178" s="196"/>
      <c r="R178" s="41">
        <f t="shared" si="651"/>
        <v>0.09</v>
      </c>
      <c r="S178" s="196"/>
      <c r="T178" s="41">
        <f t="shared" si="652"/>
        <v>-0.09</v>
      </c>
      <c r="U178" s="196"/>
      <c r="V178" s="41">
        <f t="shared" si="653"/>
        <v>42694.27</v>
      </c>
      <c r="W178" s="196"/>
      <c r="X178" s="41">
        <f t="shared" si="654"/>
        <v>2591.8290000000052</v>
      </c>
      <c r="Y178" s="196"/>
      <c r="Z178" s="41">
        <f t="shared" si="655"/>
        <v>90.826999999999998</v>
      </c>
      <c r="AA178" s="196"/>
      <c r="AB178" s="41">
        <f t="shared" si="656"/>
        <v>79.51400000000001</v>
      </c>
      <c r="AC178" s="196"/>
      <c r="AD178" s="196">
        <f t="shared" si="657"/>
        <v>116.877</v>
      </c>
      <c r="AE178" s="196"/>
      <c r="AF178" s="41">
        <f t="shared" si="658"/>
        <v>76.614999999999995</v>
      </c>
      <c r="AG178" s="196"/>
      <c r="AH178" s="21">
        <f t="shared" si="659"/>
        <v>-12427.972</v>
      </c>
      <c r="AI178" s="196"/>
      <c r="AJ178" s="196">
        <f t="shared" si="660"/>
        <v>0</v>
      </c>
      <c r="AK178" s="196"/>
      <c r="AL178" s="196">
        <f t="shared" si="661"/>
        <v>0</v>
      </c>
      <c r="AM178" s="196"/>
      <c r="AN178" s="196">
        <f t="shared" si="662"/>
        <v>0</v>
      </c>
      <c r="AO178" s="196"/>
    </row>
    <row r="179" spans="2:41" ht="13.5" customHeight="1">
      <c r="B179" s="29" t="str">
        <f t="shared" ref="B179:J179" si="673">B73</f>
        <v>Dividends</v>
      </c>
      <c r="C179" s="41">
        <f t="shared" si="673"/>
        <v>61.953999999999994</v>
      </c>
      <c r="D179" s="41">
        <f t="shared" si="673"/>
        <v>13.760999999999999</v>
      </c>
      <c r="E179" s="41">
        <f t="shared" si="673"/>
        <v>18.911999999999999</v>
      </c>
      <c r="F179" s="41">
        <f t="shared" si="673"/>
        <v>24.324999999999999</v>
      </c>
      <c r="G179" s="41">
        <f t="shared" si="673"/>
        <v>69.781999999999996</v>
      </c>
      <c r="H179" s="41">
        <f t="shared" si="673"/>
        <v>-2.4500000000000002</v>
      </c>
      <c r="I179" s="41">
        <f t="shared" si="673"/>
        <v>-3.1850000000000001</v>
      </c>
      <c r="J179" s="41">
        <f t="shared" si="673"/>
        <v>0</v>
      </c>
      <c r="K179" s="196"/>
      <c r="L179" s="128"/>
      <c r="M179" s="196"/>
      <c r="N179" s="41">
        <f t="shared" si="649"/>
        <v>9.7010000000000005</v>
      </c>
      <c r="O179" s="196"/>
      <c r="P179" s="41">
        <f t="shared" si="650"/>
        <v>4.0599999999999987</v>
      </c>
      <c r="Q179" s="196"/>
      <c r="R179" s="41">
        <f t="shared" si="651"/>
        <v>17.196999999999999</v>
      </c>
      <c r="S179" s="196"/>
      <c r="T179" s="41">
        <f t="shared" si="652"/>
        <v>1.7149999999999999</v>
      </c>
      <c r="U179" s="196"/>
      <c r="V179" s="41">
        <f t="shared" si="653"/>
        <v>16.972000000000001</v>
      </c>
      <c r="W179" s="196"/>
      <c r="X179" s="41">
        <f t="shared" si="654"/>
        <v>7.352999999999998</v>
      </c>
      <c r="Y179" s="196"/>
      <c r="Z179" s="41">
        <f t="shared" si="655"/>
        <v>0</v>
      </c>
      <c r="AA179" s="196"/>
      <c r="AB179" s="41">
        <f t="shared" si="656"/>
        <v>69.781999999999996</v>
      </c>
      <c r="AC179" s="196"/>
      <c r="AD179" s="196">
        <f t="shared" si="657"/>
        <v>0</v>
      </c>
      <c r="AE179" s="196"/>
      <c r="AF179" s="41">
        <f t="shared" si="658"/>
        <v>-2.4500000000000002</v>
      </c>
      <c r="AG179" s="196"/>
      <c r="AH179" s="21">
        <f t="shared" si="659"/>
        <v>0</v>
      </c>
      <c r="AI179" s="196"/>
      <c r="AJ179" s="196">
        <f t="shared" si="660"/>
        <v>0</v>
      </c>
      <c r="AK179" s="196"/>
      <c r="AL179" s="196">
        <f t="shared" si="661"/>
        <v>0</v>
      </c>
      <c r="AM179" s="196"/>
      <c r="AN179" s="196">
        <f t="shared" si="662"/>
        <v>0</v>
      </c>
      <c r="AO179" s="196"/>
    </row>
    <row r="180" spans="2:41" ht="13.5" customHeight="1">
      <c r="B180" s="29" t="str">
        <f t="shared" ref="B180:J180" si="674">B74</f>
        <v>Net Change in debt</v>
      </c>
      <c r="C180" s="41">
        <f t="shared" si="674"/>
        <v>1248</v>
      </c>
      <c r="D180" s="41">
        <f t="shared" si="674"/>
        <v>604.17499999999995</v>
      </c>
      <c r="E180" s="41">
        <f t="shared" si="674"/>
        <v>17853.035</v>
      </c>
      <c r="F180" s="41">
        <f t="shared" si="674"/>
        <v>32865.588000000003</v>
      </c>
      <c r="G180" s="41">
        <f t="shared" si="674"/>
        <v>-9478.8280000000032</v>
      </c>
      <c r="H180" s="41">
        <f t="shared" si="674"/>
        <v>-2306.0829999999987</v>
      </c>
      <c r="I180" s="41">
        <f t="shared" si="674"/>
        <v>-4327.509</v>
      </c>
      <c r="J180" s="41">
        <f t="shared" si="674"/>
        <v>22833.470999999994</v>
      </c>
      <c r="K180" s="196"/>
      <c r="L180" s="128"/>
      <c r="M180" s="196"/>
      <c r="N180" s="41">
        <f t="shared" si="649"/>
        <v>1200</v>
      </c>
      <c r="O180" s="196"/>
      <c r="P180" s="41">
        <f t="shared" si="650"/>
        <v>-595.82500000000005</v>
      </c>
      <c r="Q180" s="196"/>
      <c r="R180" s="41">
        <f t="shared" si="651"/>
        <v>-73</v>
      </c>
      <c r="S180" s="196"/>
      <c r="T180" s="41">
        <f t="shared" si="652"/>
        <v>17926.035</v>
      </c>
      <c r="U180" s="196"/>
      <c r="V180" s="41">
        <f t="shared" si="653"/>
        <v>30143.737000000001</v>
      </c>
      <c r="W180" s="196"/>
      <c r="X180" s="41">
        <f t="shared" si="654"/>
        <v>2721.8510000000024</v>
      </c>
      <c r="Y180" s="196"/>
      <c r="Z180" s="41">
        <f t="shared" si="655"/>
        <v>1980.3980000000001</v>
      </c>
      <c r="AA180" s="196"/>
      <c r="AB180" s="41">
        <f t="shared" si="656"/>
        <v>-11459.226000000002</v>
      </c>
      <c r="AC180" s="196"/>
      <c r="AD180" s="196">
        <f t="shared" si="657"/>
        <v>-1872.2560000000008</v>
      </c>
      <c r="AE180" s="196"/>
      <c r="AF180" s="41">
        <f t="shared" si="658"/>
        <v>-433.82699999999795</v>
      </c>
      <c r="AG180" s="196"/>
      <c r="AH180" s="21">
        <f t="shared" si="659"/>
        <v>-20044.541000000001</v>
      </c>
      <c r="AI180" s="196"/>
      <c r="AJ180" s="196">
        <f t="shared" si="660"/>
        <v>0</v>
      </c>
      <c r="AK180" s="196"/>
      <c r="AL180" s="196">
        <f t="shared" si="661"/>
        <v>0</v>
      </c>
      <c r="AM180" s="196"/>
      <c r="AN180" s="196">
        <f t="shared" si="662"/>
        <v>0</v>
      </c>
      <c r="AO180" s="196"/>
    </row>
    <row r="181" spans="2:41" ht="13.5" customHeight="1">
      <c r="B181" s="29" t="str">
        <f t="shared" ref="B181:J181" si="675">B75</f>
        <v>Other financing activities</v>
      </c>
      <c r="C181" s="41">
        <f t="shared" si="675"/>
        <v>451.79300000000001</v>
      </c>
      <c r="D181" s="41">
        <f t="shared" si="675"/>
        <v>728.78400000000011</v>
      </c>
      <c r="E181" s="41">
        <f t="shared" si="675"/>
        <v>-216.3429999999999</v>
      </c>
      <c r="F181" s="41">
        <f t="shared" si="675"/>
        <v>1066.771</v>
      </c>
      <c r="G181" s="41">
        <f t="shared" si="675"/>
        <v>480.44799999999998</v>
      </c>
      <c r="H181" s="41">
        <f t="shared" si="675"/>
        <v>-88.203999999999951</v>
      </c>
      <c r="I181" s="41">
        <f t="shared" si="675"/>
        <v>280.67</v>
      </c>
      <c r="J181" s="41">
        <f t="shared" si="675"/>
        <v>0</v>
      </c>
      <c r="K181" s="196"/>
      <c r="L181" s="128"/>
      <c r="M181" s="196"/>
      <c r="N181" s="41">
        <f t="shared" si="649"/>
        <v>199.65399999999997</v>
      </c>
      <c r="O181" s="196"/>
      <c r="P181" s="41">
        <f t="shared" si="650"/>
        <v>529.13000000000011</v>
      </c>
      <c r="Q181" s="196"/>
      <c r="R181" s="41">
        <f t="shared" si="651"/>
        <v>-738.82200000000012</v>
      </c>
      <c r="S181" s="196"/>
      <c r="T181" s="41">
        <f t="shared" si="652"/>
        <v>522.47900000000027</v>
      </c>
      <c r="U181" s="196"/>
      <c r="V181" s="41">
        <f t="shared" si="653"/>
        <v>2.0859999999999417</v>
      </c>
      <c r="W181" s="196"/>
      <c r="X181" s="41">
        <f t="shared" si="654"/>
        <v>1064.6849999999999</v>
      </c>
      <c r="Y181" s="196"/>
      <c r="Z181" s="41">
        <f t="shared" si="655"/>
        <v>380.44799999999998</v>
      </c>
      <c r="AA181" s="196"/>
      <c r="AB181" s="41">
        <f t="shared" si="656"/>
        <v>100</v>
      </c>
      <c r="AC181" s="196"/>
      <c r="AD181" s="41">
        <f t="shared" si="657"/>
        <v>278.72000000000003</v>
      </c>
      <c r="AE181" s="196"/>
      <c r="AF181" s="41">
        <f t="shared" si="658"/>
        <v>-366.92399999999998</v>
      </c>
      <c r="AG181" s="196"/>
      <c r="AH181" s="21">
        <f t="shared" si="659"/>
        <v>278.29000000000002</v>
      </c>
      <c r="AI181" s="196"/>
      <c r="AJ181" s="196">
        <f t="shared" si="660"/>
        <v>0</v>
      </c>
      <c r="AK181" s="196"/>
      <c r="AL181" s="196">
        <f t="shared" si="661"/>
        <v>0</v>
      </c>
      <c r="AM181" s="196"/>
      <c r="AN181" s="196">
        <f t="shared" si="662"/>
        <v>0</v>
      </c>
      <c r="AO181" s="196"/>
    </row>
    <row r="182" spans="2:41" s="32" customFormat="1" ht="13.5" customHeight="1" thickBot="1">
      <c r="B182" s="39" t="str">
        <f t="shared" ref="B182:J182" si="676">B76</f>
        <v>Cash flow after financing activities</v>
      </c>
      <c r="C182" s="38">
        <f t="shared" si="676"/>
        <v>952.81699999999603</v>
      </c>
      <c r="D182" s="38">
        <f t="shared" si="676"/>
        <v>-1257.2830000000147</v>
      </c>
      <c r="E182" s="38">
        <f t="shared" si="676"/>
        <v>6175.4630000000116</v>
      </c>
      <c r="F182" s="38">
        <f t="shared" si="676"/>
        <v>14251.175000000036</v>
      </c>
      <c r="G182" s="38">
        <f t="shared" si="676"/>
        <v>-16039.923000000003</v>
      </c>
      <c r="H182" s="38">
        <f t="shared" si="676"/>
        <v>9685.552000000007</v>
      </c>
      <c r="I182" s="38">
        <f t="shared" si="676"/>
        <v>34585.92500000001</v>
      </c>
      <c r="J182" s="38">
        <f t="shared" si="676"/>
        <v>35481.062999999973</v>
      </c>
      <c r="K182" s="197"/>
      <c r="L182" s="40"/>
      <c r="M182" s="197"/>
      <c r="N182" s="38">
        <f t="shared" si="649"/>
        <v>-4283.3829999999907</v>
      </c>
      <c r="O182" s="197"/>
      <c r="P182" s="38">
        <f t="shared" si="650"/>
        <v>3026.0999999999749</v>
      </c>
      <c r="Q182" s="197"/>
      <c r="R182" s="38">
        <f t="shared" si="651"/>
        <v>2405.4940000000083</v>
      </c>
      <c r="S182" s="197"/>
      <c r="T182" s="38">
        <f t="shared" si="652"/>
        <v>3769.9690000000019</v>
      </c>
      <c r="U182" s="197"/>
      <c r="V182" s="38">
        <f t="shared" si="653"/>
        <v>54751.449000000015</v>
      </c>
      <c r="W182" s="197"/>
      <c r="X182" s="38">
        <f t="shared" si="654"/>
        <v>-40500.273999999976</v>
      </c>
      <c r="Y182" s="197"/>
      <c r="Z182" s="38">
        <f t="shared" si="655"/>
        <v>-1701.0249999999992</v>
      </c>
      <c r="AA182" s="197"/>
      <c r="AB182" s="38">
        <f t="shared" si="656"/>
        <v>-14338.898000000005</v>
      </c>
      <c r="AC182" s="197"/>
      <c r="AD182" s="38">
        <f t="shared" si="657"/>
        <v>-4706.7339999999995</v>
      </c>
      <c r="AE182" s="197"/>
      <c r="AF182" s="38">
        <f t="shared" si="658"/>
        <v>14392.286</v>
      </c>
      <c r="AG182" s="197"/>
      <c r="AH182" s="38">
        <f t="shared" si="659"/>
        <v>10900.842999999997</v>
      </c>
      <c r="AI182" s="197"/>
      <c r="AJ182" s="197">
        <f t="shared" si="660"/>
        <v>0</v>
      </c>
      <c r="AK182" s="197"/>
      <c r="AL182" s="197">
        <f t="shared" si="661"/>
        <v>0</v>
      </c>
      <c r="AM182" s="197"/>
      <c r="AN182" s="197">
        <f t="shared" si="662"/>
        <v>0</v>
      </c>
      <c r="AO182" s="197"/>
    </row>
    <row r="183" spans="2:41" s="32" customFormat="1" ht="13.5" customHeight="1" thickTop="1">
      <c r="B183" s="29" t="str">
        <f t="shared" ref="B183:J183" si="677">B77</f>
        <v>Balancing figure</v>
      </c>
      <c r="C183" s="41">
        <f t="shared" si="677"/>
        <v>-4276.0269999999964</v>
      </c>
      <c r="D183" s="41">
        <f t="shared" si="677"/>
        <v>-2228.247999999985</v>
      </c>
      <c r="E183" s="41">
        <f t="shared" si="677"/>
        <v>-1514.3730000000114</v>
      </c>
      <c r="F183" s="41">
        <f t="shared" si="677"/>
        <v>1843.8649999999652</v>
      </c>
      <c r="G183" s="41">
        <f t="shared" si="677"/>
        <v>2747.6010000000024</v>
      </c>
      <c r="H183" s="41">
        <f t="shared" si="677"/>
        <v>3391.1509999999926</v>
      </c>
      <c r="I183" s="41">
        <f t="shared" si="677"/>
        <v>2351.4509999999864</v>
      </c>
      <c r="J183" s="41">
        <f t="shared" si="677"/>
        <v>1719.4810000000289</v>
      </c>
      <c r="K183" s="196"/>
      <c r="L183" s="128"/>
      <c r="M183" s="196"/>
      <c r="N183" s="41">
        <f t="shared" si="649"/>
        <v>-2352.9880000000094</v>
      </c>
      <c r="O183" s="196"/>
      <c r="P183" s="41">
        <f t="shared" si="650"/>
        <v>124.74000000002434</v>
      </c>
      <c r="Q183" s="196"/>
      <c r="R183" s="41">
        <f t="shared" si="651"/>
        <v>-1974.3830000000085</v>
      </c>
      <c r="S183" s="196"/>
      <c r="T183" s="41">
        <f t="shared" si="652"/>
        <v>460.00999999999704</v>
      </c>
      <c r="U183" s="196"/>
      <c r="V183" s="41">
        <f t="shared" si="653"/>
        <v>-140.03500000001804</v>
      </c>
      <c r="W183" s="196"/>
      <c r="X183" s="41">
        <f t="shared" si="654"/>
        <v>1983.8999999999833</v>
      </c>
      <c r="Y183" s="196"/>
      <c r="Z183" s="41">
        <f t="shared" si="655"/>
        <v>-5732.4630000000016</v>
      </c>
      <c r="AA183" s="196"/>
      <c r="AB183" s="41">
        <f t="shared" si="656"/>
        <v>8480.0640000000039</v>
      </c>
      <c r="AC183" s="196"/>
      <c r="AD183" s="41">
        <f t="shared" si="657"/>
        <v>11377.68</v>
      </c>
      <c r="AE183" s="196"/>
      <c r="AF183" s="41">
        <f t="shared" si="658"/>
        <v>-7986.5290000000077</v>
      </c>
      <c r="AG183" s="196"/>
      <c r="AH183" s="21">
        <f t="shared" si="659"/>
        <v>10295.678000000004</v>
      </c>
      <c r="AI183" s="196"/>
      <c r="AJ183" s="196">
        <f t="shared" si="660"/>
        <v>0</v>
      </c>
      <c r="AK183" s="196"/>
      <c r="AL183" s="196">
        <f t="shared" si="661"/>
        <v>0</v>
      </c>
      <c r="AM183" s="196"/>
      <c r="AN183" s="196">
        <f t="shared" si="662"/>
        <v>0</v>
      </c>
      <c r="AO183" s="196"/>
    </row>
    <row r="184" spans="2:41" ht="13.5" customHeight="1">
      <c r="B184" s="29" t="str">
        <f t="shared" ref="B184:J184" si="678">B78</f>
        <v xml:space="preserve">FX </v>
      </c>
      <c r="C184" s="41">
        <f t="shared" si="678"/>
        <v>1009.587</v>
      </c>
      <c r="D184" s="41">
        <f t="shared" si="678"/>
        <v>-173.44200000000001</v>
      </c>
      <c r="E184" s="41">
        <f t="shared" si="678"/>
        <v>-963.71600000000001</v>
      </c>
      <c r="F184" s="41">
        <f t="shared" si="678"/>
        <v>-675.17100000000005</v>
      </c>
      <c r="G184" s="41">
        <f t="shared" si="678"/>
        <v>937.5</v>
      </c>
      <c r="H184" s="41">
        <f t="shared" si="678"/>
        <v>104.44499999999999</v>
      </c>
      <c r="I184" s="41">
        <f t="shared" si="678"/>
        <v>556.96699999999998</v>
      </c>
      <c r="J184" s="41">
        <f t="shared" si="678"/>
        <v>-1263.2750000000001</v>
      </c>
      <c r="K184" s="196"/>
      <c r="L184" s="128"/>
      <c r="M184" s="196"/>
      <c r="N184" s="41">
        <f t="shared" si="649"/>
        <v>-198.44800000000001</v>
      </c>
      <c r="O184" s="196"/>
      <c r="P184" s="41">
        <f t="shared" si="650"/>
        <v>25.006</v>
      </c>
      <c r="Q184" s="196"/>
      <c r="R184" s="41">
        <f t="shared" si="651"/>
        <v>107.76</v>
      </c>
      <c r="S184" s="196"/>
      <c r="T184" s="41">
        <f t="shared" si="652"/>
        <v>-1071.4760000000001</v>
      </c>
      <c r="U184" s="196"/>
      <c r="V184" s="41">
        <f t="shared" si="653"/>
        <v>-317.10399999999998</v>
      </c>
      <c r="W184" s="196"/>
      <c r="X184" s="41">
        <f t="shared" si="654"/>
        <v>-358.06700000000006</v>
      </c>
      <c r="Y184" s="196"/>
      <c r="Z184" s="41">
        <f t="shared" si="655"/>
        <v>457.06599999999997</v>
      </c>
      <c r="AA184" s="196"/>
      <c r="AB184" s="41">
        <f t="shared" si="656"/>
        <v>480.43400000000003</v>
      </c>
      <c r="AC184" s="196"/>
      <c r="AD184" s="41">
        <f t="shared" si="657"/>
        <v>173.48599999999999</v>
      </c>
      <c r="AE184" s="196"/>
      <c r="AF184" s="41">
        <f t="shared" si="658"/>
        <v>-69.040999999999997</v>
      </c>
      <c r="AG184" s="196"/>
      <c r="AH184" s="21">
        <f t="shared" si="659"/>
        <v>167.893</v>
      </c>
      <c r="AI184" s="196"/>
      <c r="AJ184" s="196">
        <f t="shared" si="660"/>
        <v>0</v>
      </c>
      <c r="AK184" s="196"/>
      <c r="AL184" s="196">
        <f t="shared" si="661"/>
        <v>0</v>
      </c>
      <c r="AM184" s="196"/>
      <c r="AN184" s="196">
        <f t="shared" si="662"/>
        <v>0</v>
      </c>
      <c r="AO184" s="196"/>
    </row>
    <row r="185" spans="2:41" s="32" customFormat="1" ht="13.5" customHeight="1" thickBot="1">
      <c r="B185" s="39" t="str">
        <f t="shared" ref="B185:J185" si="679">B79</f>
        <v xml:space="preserve">Net change in cash </v>
      </c>
      <c r="C185" s="38">
        <f t="shared" si="679"/>
        <v>-2313.6230000000005</v>
      </c>
      <c r="D185" s="38">
        <f t="shared" si="679"/>
        <v>-3658.973</v>
      </c>
      <c r="E185" s="38">
        <f t="shared" si="679"/>
        <v>3697.3740000000003</v>
      </c>
      <c r="F185" s="38">
        <f t="shared" si="679"/>
        <v>15419.869000000001</v>
      </c>
      <c r="G185" s="38">
        <f t="shared" si="679"/>
        <v>-12354.822</v>
      </c>
      <c r="H185" s="38">
        <f t="shared" si="679"/>
        <v>13181.147999999999</v>
      </c>
      <c r="I185" s="38">
        <f t="shared" si="679"/>
        <v>37494.342999999993</v>
      </c>
      <c r="J185" s="38">
        <f t="shared" si="679"/>
        <v>35937.269</v>
      </c>
      <c r="K185" s="197"/>
      <c r="L185" s="40"/>
      <c r="M185" s="197"/>
      <c r="N185" s="38">
        <f t="shared" si="649"/>
        <v>-6834.8190000000004</v>
      </c>
      <c r="O185" s="197"/>
      <c r="P185" s="38">
        <f t="shared" si="650"/>
        <v>3175.8459999999991</v>
      </c>
      <c r="Q185" s="197"/>
      <c r="R185" s="38">
        <f t="shared" si="651"/>
        <v>538.87099999999987</v>
      </c>
      <c r="S185" s="197"/>
      <c r="T185" s="38">
        <f t="shared" si="652"/>
        <v>3158.5029999999992</v>
      </c>
      <c r="U185" s="197"/>
      <c r="V185" s="38">
        <f t="shared" si="653"/>
        <v>54294.31</v>
      </c>
      <c r="W185" s="197"/>
      <c r="X185" s="38">
        <f t="shared" si="654"/>
        <v>-38874.440999999999</v>
      </c>
      <c r="Y185" s="197"/>
      <c r="Z185" s="38">
        <f t="shared" si="655"/>
        <v>-6976.4220000000014</v>
      </c>
      <c r="AA185" s="197"/>
      <c r="AB185" s="38">
        <f t="shared" si="656"/>
        <v>-5378.4000000000005</v>
      </c>
      <c r="AC185" s="197"/>
      <c r="AD185" s="38">
        <f t="shared" si="657"/>
        <v>6844.4320000000007</v>
      </c>
      <c r="AE185" s="197"/>
      <c r="AF185" s="38">
        <f t="shared" si="658"/>
        <v>6336.7159999999922</v>
      </c>
      <c r="AG185" s="197"/>
      <c r="AH185" s="38">
        <f t="shared" si="659"/>
        <v>21364.414000000001</v>
      </c>
      <c r="AI185" s="197"/>
      <c r="AJ185" s="197">
        <f t="shared" si="660"/>
        <v>0</v>
      </c>
      <c r="AK185" s="197"/>
      <c r="AL185" s="197">
        <f t="shared" si="661"/>
        <v>0</v>
      </c>
      <c r="AM185" s="197"/>
      <c r="AN185" s="197">
        <f t="shared" si="662"/>
        <v>0</v>
      </c>
      <c r="AO185" s="197"/>
    </row>
    <row r="186" spans="2:41" ht="13.5" customHeight="1" thickTop="1">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row>
    <row r="187" spans="2:41" s="32" customFormat="1" ht="13.5" customHeight="1">
      <c r="B187" s="32" t="str">
        <f>+B121</f>
        <v>Total debt</v>
      </c>
      <c r="C187" s="40">
        <f t="shared" ref="C187:K187" si="680">C121</f>
        <v>2270.056</v>
      </c>
      <c r="D187" s="40">
        <f t="shared" si="680"/>
        <v>5546.0619999999999</v>
      </c>
      <c r="E187" s="40">
        <f t="shared" si="680"/>
        <v>24118.400000000001</v>
      </c>
      <c r="F187" s="40">
        <f t="shared" si="680"/>
        <v>58979.35</v>
      </c>
      <c r="G187" s="40">
        <f t="shared" si="680"/>
        <v>58087.625</v>
      </c>
      <c r="H187" s="40">
        <f t="shared" si="680"/>
        <v>60620.899000000005</v>
      </c>
      <c r="I187" s="40">
        <f t="shared" si="680"/>
        <v>61509.566999999995</v>
      </c>
      <c r="J187" s="40">
        <f t="shared" si="680"/>
        <v>86619.106</v>
      </c>
      <c r="K187" s="40">
        <f t="shared" si="680"/>
        <v>112803.88499999999</v>
      </c>
      <c r="L187" s="40"/>
      <c r="M187" s="40">
        <f t="shared" ref="M187:AN187" si="681">M121</f>
        <v>4345.87</v>
      </c>
      <c r="N187" s="40">
        <f t="shared" si="681"/>
        <v>5565.8240000000005</v>
      </c>
      <c r="O187" s="40">
        <f t="shared" si="681"/>
        <v>5651.616</v>
      </c>
      <c r="P187" s="40">
        <f t="shared" si="681"/>
        <v>5546.0619999999999</v>
      </c>
      <c r="Q187" s="40">
        <f t="shared" si="681"/>
        <v>5556.7609999999995</v>
      </c>
      <c r="R187" s="40">
        <f t="shared" si="681"/>
        <v>4973.866</v>
      </c>
      <c r="S187" s="40">
        <f t="shared" si="681"/>
        <v>9875.987000000001</v>
      </c>
      <c r="T187" s="40">
        <f t="shared" si="681"/>
        <v>24118.400000000001</v>
      </c>
      <c r="U187" s="40">
        <f t="shared" si="681"/>
        <v>12043.757000000001</v>
      </c>
      <c r="V187" s="40">
        <f t="shared" si="681"/>
        <v>53123.422999999995</v>
      </c>
      <c r="W187" s="40">
        <f t="shared" si="681"/>
        <v>58857.095000000001</v>
      </c>
      <c r="X187" s="40">
        <f t="shared" si="681"/>
        <v>58979.35</v>
      </c>
      <c r="Y187" s="40">
        <f t="shared" si="681"/>
        <v>61971.301000000007</v>
      </c>
      <c r="Z187" s="40">
        <f t="shared" si="681"/>
        <v>65389.656000000003</v>
      </c>
      <c r="AA187" s="40">
        <f t="shared" si="681"/>
        <v>66008.126000000004</v>
      </c>
      <c r="AB187" s="40">
        <f t="shared" si="681"/>
        <v>58087.625</v>
      </c>
      <c r="AC187" s="40">
        <f t="shared" si="681"/>
        <v>57671.260999999999</v>
      </c>
      <c r="AD187" s="40">
        <f t="shared" si="681"/>
        <v>58984.678</v>
      </c>
      <c r="AE187" s="40">
        <f t="shared" si="681"/>
        <v>62874.063999999998</v>
      </c>
      <c r="AF187" s="40">
        <f t="shared" si="681"/>
        <v>60620.899000000005</v>
      </c>
      <c r="AG187" s="40">
        <f t="shared" si="681"/>
        <v>52998.17</v>
      </c>
      <c r="AH187" s="40">
        <f t="shared" si="681"/>
        <v>32285.155000000002</v>
      </c>
      <c r="AI187" s="40">
        <f t="shared" si="681"/>
        <v>41342.184999999998</v>
      </c>
      <c r="AJ187" s="40">
        <f t="shared" si="681"/>
        <v>61509.566999999995</v>
      </c>
      <c r="AK187" s="40">
        <f t="shared" si="681"/>
        <v>62055.504999999997</v>
      </c>
      <c r="AL187" s="40">
        <f t="shared" si="681"/>
        <v>50977.402000000002</v>
      </c>
      <c r="AM187" s="40">
        <f t="shared" si="681"/>
        <v>51265.949000000001</v>
      </c>
      <c r="AN187" s="40">
        <f t="shared" si="681"/>
        <v>86619.106</v>
      </c>
      <c r="AO187" s="40">
        <f t="shared" ref="AO187" si="682">AO121</f>
        <v>112803.88499999999</v>
      </c>
    </row>
    <row r="188" spans="2:41" ht="13.5" customHeight="1">
      <c r="B188" s="29" t="str">
        <f>+B122</f>
        <v>Cash and cash equivalents</v>
      </c>
      <c r="C188" s="37">
        <f>C122</f>
        <v>17043.691999999999</v>
      </c>
      <c r="D188" s="37">
        <f>D122</f>
        <v>13396.184999999999</v>
      </c>
      <c r="E188" s="37">
        <f t="shared" ref="E188:K188" si="683">E122+E123</f>
        <v>61092.823000000004</v>
      </c>
      <c r="F188" s="37">
        <f t="shared" si="683"/>
        <v>116795.444</v>
      </c>
      <c r="G188" s="37">
        <f t="shared" si="683"/>
        <v>112031.876</v>
      </c>
      <c r="H188" s="37">
        <f t="shared" si="683"/>
        <v>145160.43300000002</v>
      </c>
      <c r="I188" s="37">
        <f t="shared" si="683"/>
        <v>168243.25799999997</v>
      </c>
      <c r="J188" s="37">
        <f t="shared" si="683"/>
        <v>166833.704</v>
      </c>
      <c r="K188" s="37">
        <f t="shared" si="683"/>
        <v>180370.155</v>
      </c>
      <c r="L188" s="37"/>
      <c r="M188" s="37">
        <f t="shared" ref="M188:U188" si="684">M122</f>
        <v>10802.498</v>
      </c>
      <c r="N188" s="37">
        <f t="shared" si="684"/>
        <v>10237.25</v>
      </c>
      <c r="O188" s="37">
        <f t="shared" si="684"/>
        <v>15139.821</v>
      </c>
      <c r="P188" s="37">
        <f t="shared" si="684"/>
        <v>13396.184999999999</v>
      </c>
      <c r="Q188" s="37">
        <f t="shared" si="684"/>
        <v>14137.828</v>
      </c>
      <c r="R188" s="37">
        <f t="shared" si="684"/>
        <v>13935.056</v>
      </c>
      <c r="S188" s="37">
        <f t="shared" si="684"/>
        <v>19689.600999999999</v>
      </c>
      <c r="T188" s="37">
        <f t="shared" si="684"/>
        <v>17093.559000000001</v>
      </c>
      <c r="U188" s="37">
        <f t="shared" si="684"/>
        <v>17792.901999999998</v>
      </c>
      <c r="V188" s="37">
        <f t="shared" ref="V188:AN188" si="685">V122+V123</f>
        <v>122509.65900000001</v>
      </c>
      <c r="W188" s="37">
        <f t="shared" si="685"/>
        <v>120892.58100000001</v>
      </c>
      <c r="X188" s="37">
        <f t="shared" si="685"/>
        <v>116795.444</v>
      </c>
      <c r="Y188" s="37">
        <f t="shared" si="685"/>
        <v>103448.09099999999</v>
      </c>
      <c r="Z188" s="37">
        <f t="shared" si="685"/>
        <v>107539.12700000001</v>
      </c>
      <c r="AA188" s="37">
        <f t="shared" si="685"/>
        <v>111517.522</v>
      </c>
      <c r="AB188" s="37">
        <f t="shared" si="685"/>
        <v>112031.876</v>
      </c>
      <c r="AC188" s="37">
        <f t="shared" si="685"/>
        <v>111400.429</v>
      </c>
      <c r="AD188" s="37">
        <f t="shared" si="685"/>
        <v>120191.932</v>
      </c>
      <c r="AE188" s="37">
        <f t="shared" si="685"/>
        <v>133620.28999999998</v>
      </c>
      <c r="AF188" s="37">
        <f t="shared" si="685"/>
        <v>145160.43300000002</v>
      </c>
      <c r="AG188" s="37">
        <f t="shared" si="685"/>
        <v>138594.28099999999</v>
      </c>
      <c r="AH188" s="37">
        <f t="shared" si="685"/>
        <v>133252.217</v>
      </c>
      <c r="AI188" s="37">
        <f t="shared" si="685"/>
        <v>134162.519</v>
      </c>
      <c r="AJ188" s="37">
        <f t="shared" si="685"/>
        <v>168243.25799999997</v>
      </c>
      <c r="AK188" s="37">
        <f t="shared" si="685"/>
        <v>180382.96299999999</v>
      </c>
      <c r="AL188" s="37">
        <f t="shared" si="685"/>
        <v>171017.652</v>
      </c>
      <c r="AM188" s="37">
        <f t="shared" si="685"/>
        <v>141287.75900000002</v>
      </c>
      <c r="AN188" s="37">
        <f t="shared" si="685"/>
        <v>166833.704</v>
      </c>
      <c r="AO188" s="37">
        <f t="shared" ref="AO188" si="686">AO122+AO123</f>
        <v>180370.155</v>
      </c>
    </row>
    <row r="189" spans="2:41" s="32" customFormat="1" ht="13.5" customHeight="1" thickBot="1">
      <c r="B189" s="39" t="str">
        <f>+B124</f>
        <v>Net debt</v>
      </c>
      <c r="C189" s="38">
        <f t="shared" ref="C189:K189" si="687">C124</f>
        <v>-56603.6</v>
      </c>
      <c r="D189" s="38">
        <f t="shared" si="687"/>
        <v>-57285.722000000002</v>
      </c>
      <c r="E189" s="38">
        <f t="shared" si="687"/>
        <v>-36974.423000000003</v>
      </c>
      <c r="F189" s="38">
        <f t="shared" si="687"/>
        <v>-57816.094000000005</v>
      </c>
      <c r="G189" s="38">
        <f t="shared" si="687"/>
        <v>-53944.251000000004</v>
      </c>
      <c r="H189" s="38">
        <f t="shared" si="687"/>
        <v>-84539.534</v>
      </c>
      <c r="I189" s="38">
        <f t="shared" si="687"/>
        <v>-106733.69099999999</v>
      </c>
      <c r="J189" s="38">
        <f t="shared" si="687"/>
        <v>-80214.597999999998</v>
      </c>
      <c r="K189" s="38">
        <f t="shared" si="687"/>
        <v>-67566.270000000019</v>
      </c>
      <c r="L189" s="40"/>
      <c r="M189" s="38">
        <f t="shared" ref="M189:AN189" si="688">M124</f>
        <v>-49617.772999999994</v>
      </c>
      <c r="N189" s="38">
        <f t="shared" si="688"/>
        <v>-53031.315000000002</v>
      </c>
      <c r="O189" s="38">
        <f t="shared" si="688"/>
        <v>-55542.029000000002</v>
      </c>
      <c r="P189" s="38">
        <f t="shared" si="688"/>
        <v>-57285.722000000002</v>
      </c>
      <c r="Q189" s="38">
        <f t="shared" si="688"/>
        <v>-50957.218999999997</v>
      </c>
      <c r="R189" s="38">
        <f t="shared" si="688"/>
        <v>-53484.136000000006</v>
      </c>
      <c r="S189" s="38">
        <f t="shared" si="688"/>
        <v>-43515.663</v>
      </c>
      <c r="T189" s="38">
        <f t="shared" si="688"/>
        <v>-36974.423000000003</v>
      </c>
      <c r="U189" s="38">
        <f t="shared" si="688"/>
        <v>-41081.998999999996</v>
      </c>
      <c r="V189" s="38">
        <f t="shared" si="688"/>
        <v>-69386.236000000004</v>
      </c>
      <c r="W189" s="38">
        <f t="shared" si="688"/>
        <v>-62035.485999999997</v>
      </c>
      <c r="X189" s="38">
        <f t="shared" si="688"/>
        <v>-57816.094000000005</v>
      </c>
      <c r="Y189" s="38">
        <f t="shared" si="688"/>
        <v>-41476.789999999986</v>
      </c>
      <c r="Z189" s="38">
        <f t="shared" si="688"/>
        <v>-42149.470999999998</v>
      </c>
      <c r="AA189" s="38">
        <f t="shared" si="688"/>
        <v>-45509.395999999993</v>
      </c>
      <c r="AB189" s="38">
        <f t="shared" si="688"/>
        <v>-53944.251000000004</v>
      </c>
      <c r="AC189" s="38">
        <f t="shared" si="688"/>
        <v>-53729.167999999998</v>
      </c>
      <c r="AD189" s="38">
        <f t="shared" si="688"/>
        <v>-61207.254000000001</v>
      </c>
      <c r="AE189" s="38">
        <f t="shared" si="688"/>
        <v>-70746.225999999995</v>
      </c>
      <c r="AF189" s="38">
        <f t="shared" si="688"/>
        <v>-84539.534</v>
      </c>
      <c r="AG189" s="38">
        <f t="shared" si="688"/>
        <v>-85596.111000000004</v>
      </c>
      <c r="AH189" s="38">
        <f t="shared" si="688"/>
        <v>-100967.06199999999</v>
      </c>
      <c r="AI189" s="38">
        <f t="shared" si="688"/>
        <v>-92820.334000000003</v>
      </c>
      <c r="AJ189" s="38">
        <f t="shared" si="688"/>
        <v>-106733.69099999999</v>
      </c>
      <c r="AK189" s="38">
        <f t="shared" si="688"/>
        <v>-118327.45800000001</v>
      </c>
      <c r="AL189" s="38">
        <f t="shared" si="688"/>
        <v>-120040.25</v>
      </c>
      <c r="AM189" s="38">
        <f t="shared" si="688"/>
        <v>-90021.81</v>
      </c>
      <c r="AN189" s="38">
        <f t="shared" si="688"/>
        <v>-80214.597999999998</v>
      </c>
      <c r="AO189" s="38">
        <f t="shared" ref="AO189" si="689">AO124</f>
        <v>-67566.270000000019</v>
      </c>
    </row>
    <row r="190" spans="2:41" ht="13.5" customHeight="1" thickTop="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row>
    <row r="191" spans="2:41" ht="13.5" customHeight="1">
      <c r="B191" s="29" t="str">
        <f>B124</f>
        <v>Net debt</v>
      </c>
      <c r="C191" s="204">
        <f>C125</f>
        <v>0</v>
      </c>
      <c r="D191" s="204">
        <f>D125</f>
        <v>0</v>
      </c>
      <c r="E191" s="204">
        <f t="shared" ref="E191:K191" si="690">E124</f>
        <v>-36974.423000000003</v>
      </c>
      <c r="F191" s="204">
        <f t="shared" si="690"/>
        <v>-57816.094000000005</v>
      </c>
      <c r="G191" s="204">
        <f t="shared" si="690"/>
        <v>-53944.251000000004</v>
      </c>
      <c r="H191" s="204">
        <f t="shared" si="690"/>
        <v>-84539.534</v>
      </c>
      <c r="I191" s="204">
        <f t="shared" si="690"/>
        <v>-106733.69099999999</v>
      </c>
      <c r="J191" s="204">
        <f t="shared" si="690"/>
        <v>-80214.597999999998</v>
      </c>
      <c r="K191" s="204">
        <f t="shared" si="690"/>
        <v>-67566.270000000019</v>
      </c>
      <c r="L191" s="37"/>
      <c r="M191" s="204">
        <f t="shared" ref="M191:U191" si="691">M125</f>
        <v>0</v>
      </c>
      <c r="N191" s="204">
        <f t="shared" si="691"/>
        <v>0</v>
      </c>
      <c r="O191" s="204">
        <f t="shared" si="691"/>
        <v>0</v>
      </c>
      <c r="P191" s="204">
        <f t="shared" si="691"/>
        <v>0</v>
      </c>
      <c r="Q191" s="204">
        <f t="shared" si="691"/>
        <v>0</v>
      </c>
      <c r="R191" s="204">
        <f t="shared" si="691"/>
        <v>0</v>
      </c>
      <c r="S191" s="204">
        <f t="shared" si="691"/>
        <v>0</v>
      </c>
      <c r="T191" s="204">
        <f t="shared" si="691"/>
        <v>0</v>
      </c>
      <c r="U191" s="204">
        <f t="shared" si="691"/>
        <v>0</v>
      </c>
      <c r="V191" s="204">
        <f t="shared" ref="V191:AN191" si="692">V124</f>
        <v>-69386.236000000004</v>
      </c>
      <c r="W191" s="204">
        <f t="shared" si="692"/>
        <v>-62035.485999999997</v>
      </c>
      <c r="X191" s="204">
        <f t="shared" si="692"/>
        <v>-57816.094000000005</v>
      </c>
      <c r="Y191" s="204">
        <f t="shared" si="692"/>
        <v>-41476.789999999986</v>
      </c>
      <c r="Z191" s="204">
        <f t="shared" si="692"/>
        <v>-42149.470999999998</v>
      </c>
      <c r="AA191" s="204">
        <f t="shared" si="692"/>
        <v>-45509.395999999993</v>
      </c>
      <c r="AB191" s="204">
        <f t="shared" si="692"/>
        <v>-53944.251000000004</v>
      </c>
      <c r="AC191" s="204">
        <f t="shared" si="692"/>
        <v>-53729.167999999998</v>
      </c>
      <c r="AD191" s="204">
        <f t="shared" si="692"/>
        <v>-61207.254000000001</v>
      </c>
      <c r="AE191" s="204">
        <f t="shared" si="692"/>
        <v>-70746.225999999995</v>
      </c>
      <c r="AF191" s="204">
        <f t="shared" si="692"/>
        <v>-84539.534</v>
      </c>
      <c r="AG191" s="204">
        <f t="shared" si="692"/>
        <v>-85596.111000000004</v>
      </c>
      <c r="AH191" s="204">
        <f t="shared" si="692"/>
        <v>-100967.06199999999</v>
      </c>
      <c r="AI191" s="204">
        <f t="shared" si="692"/>
        <v>-92820.334000000003</v>
      </c>
      <c r="AJ191" s="204">
        <f t="shared" si="692"/>
        <v>-106733.69099999999</v>
      </c>
      <c r="AK191" s="204">
        <f t="shared" si="692"/>
        <v>-118327.45800000001</v>
      </c>
      <c r="AL191" s="204">
        <f t="shared" si="692"/>
        <v>-120040.25</v>
      </c>
      <c r="AM191" s="204">
        <f t="shared" si="692"/>
        <v>-90021.81</v>
      </c>
      <c r="AN191" s="204">
        <f t="shared" si="692"/>
        <v>-80214.597999999998</v>
      </c>
      <c r="AO191" s="204">
        <f t="shared" ref="AO191" si="693">AO124</f>
        <v>-67566.270000000019</v>
      </c>
    </row>
    <row r="192" spans="2:41" ht="13.5" customHeight="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row>
    <row r="193" spans="2:41" ht="13.5" customHeight="1">
      <c r="B193" s="29" t="str">
        <f t="shared" ref="B193:K193" si="694">B127</f>
        <v>Net debt including Restricted Cash</v>
      </c>
      <c r="C193" s="204">
        <f t="shared" si="694"/>
        <v>-56603.6</v>
      </c>
      <c r="D193" s="204">
        <f t="shared" si="694"/>
        <v>-57285.722000000002</v>
      </c>
      <c r="E193" s="204">
        <f t="shared" si="694"/>
        <v>-49750.090000000004</v>
      </c>
      <c r="F193" s="204">
        <f t="shared" si="694"/>
        <v>-71093.013000000006</v>
      </c>
      <c r="G193" s="204">
        <f t="shared" si="694"/>
        <v>-68549.851999999999</v>
      </c>
      <c r="H193" s="204">
        <f t="shared" si="694"/>
        <v>-103912.76300000001</v>
      </c>
      <c r="I193" s="204">
        <f t="shared" si="694"/>
        <v>-126283.31099999999</v>
      </c>
      <c r="J193" s="204">
        <f t="shared" si="694"/>
        <v>-101846.173</v>
      </c>
      <c r="K193" s="204">
        <f t="shared" si="694"/>
        <v>-87434.993000000017</v>
      </c>
      <c r="L193" s="37"/>
      <c r="M193" s="204">
        <f t="shared" ref="M193:AN193" si="695">M127</f>
        <v>-49617.772999999994</v>
      </c>
      <c r="N193" s="204">
        <f t="shared" si="695"/>
        <v>-53031.315000000002</v>
      </c>
      <c r="O193" s="204">
        <f t="shared" si="695"/>
        <v>-55542.029000000002</v>
      </c>
      <c r="P193" s="204">
        <f t="shared" si="695"/>
        <v>-57285.722000000002</v>
      </c>
      <c r="Q193" s="204">
        <f t="shared" si="695"/>
        <v>-50957.218999999997</v>
      </c>
      <c r="R193" s="204">
        <f t="shared" si="695"/>
        <v>-53484.136000000006</v>
      </c>
      <c r="S193" s="204">
        <f t="shared" si="695"/>
        <v>-43515.663</v>
      </c>
      <c r="T193" s="204">
        <f t="shared" si="695"/>
        <v>-49750.090000000004</v>
      </c>
      <c r="U193" s="204">
        <f t="shared" si="695"/>
        <v>-41081.998999999996</v>
      </c>
      <c r="V193" s="204">
        <f t="shared" si="695"/>
        <v>-81821.864000000001</v>
      </c>
      <c r="W193" s="204">
        <f t="shared" si="695"/>
        <v>-74950.164999999994</v>
      </c>
      <c r="X193" s="204">
        <f t="shared" si="695"/>
        <v>-71093.013000000006</v>
      </c>
      <c r="Y193" s="204">
        <f t="shared" si="695"/>
        <v>-52589.231999999989</v>
      </c>
      <c r="Z193" s="204">
        <f t="shared" si="695"/>
        <v>-55401.834999999999</v>
      </c>
      <c r="AA193" s="204">
        <f t="shared" si="695"/>
        <v>-58144.616999999991</v>
      </c>
      <c r="AB193" s="204">
        <f t="shared" si="695"/>
        <v>-68549.851999999999</v>
      </c>
      <c r="AC193" s="204">
        <f t="shared" si="695"/>
        <v>-66969.31</v>
      </c>
      <c r="AD193" s="204">
        <f t="shared" si="695"/>
        <v>-76078.05</v>
      </c>
      <c r="AE193" s="204">
        <f t="shared" si="695"/>
        <v>-88940.285999999993</v>
      </c>
      <c r="AF193" s="204">
        <f t="shared" si="695"/>
        <v>-103912.76300000001</v>
      </c>
      <c r="AG193" s="204">
        <f t="shared" si="695"/>
        <v>-103872.887</v>
      </c>
      <c r="AH193" s="204">
        <f t="shared" si="695"/>
        <v>-120078.98</v>
      </c>
      <c r="AI193" s="204">
        <f t="shared" si="695"/>
        <v>-111965.379</v>
      </c>
      <c r="AJ193" s="204">
        <f t="shared" si="695"/>
        <v>-53031.315000000002</v>
      </c>
      <c r="AK193" s="204">
        <f t="shared" si="695"/>
        <v>-135626.78600000002</v>
      </c>
      <c r="AL193" s="204">
        <f t="shared" si="695"/>
        <v>-137960.92199999999</v>
      </c>
      <c r="AM193" s="204">
        <f t="shared" si="695"/>
        <v>-111512.79</v>
      </c>
      <c r="AN193" s="204">
        <f t="shared" si="695"/>
        <v>-101846.173</v>
      </c>
      <c r="AO193" s="204">
        <f t="shared" ref="AO193" si="696">AO127</f>
        <v>-87434.993000000017</v>
      </c>
    </row>
    <row r="194" spans="2:41" ht="13.5" customHeight="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row>
    <row r="195" spans="2:41" ht="13.5" customHeight="1">
      <c r="B195" s="32" t="str">
        <f>+B133</f>
        <v>Net Leverage excluding lease obligations</v>
      </c>
      <c r="C195" s="34" t="str">
        <f t="shared" ref="C195:K195" si="697">C133</f>
        <v>net cash</v>
      </c>
      <c r="D195" s="34" t="str">
        <f t="shared" si="697"/>
        <v>net cash</v>
      </c>
      <c r="E195" s="34" t="str">
        <f t="shared" si="697"/>
        <v>net cash</v>
      </c>
      <c r="F195" s="34" t="str">
        <f t="shared" si="697"/>
        <v>net cash</v>
      </c>
      <c r="G195" s="34" t="str">
        <f t="shared" si="697"/>
        <v>net cash</v>
      </c>
      <c r="H195" s="34" t="str">
        <f t="shared" si="697"/>
        <v>net cash</v>
      </c>
      <c r="I195" s="34" t="str">
        <f t="shared" si="697"/>
        <v>net cash</v>
      </c>
      <c r="J195" s="34" t="str">
        <f t="shared" si="697"/>
        <v>net cash</v>
      </c>
      <c r="K195" s="34" t="str">
        <f t="shared" si="697"/>
        <v>net cash</v>
      </c>
      <c r="L195" s="34"/>
      <c r="M195" s="198"/>
      <c r="N195" s="198"/>
      <c r="O195" s="198"/>
      <c r="P195" s="34" t="str">
        <f t="shared" ref="P195:AN195" si="698">P133</f>
        <v>net cash</v>
      </c>
      <c r="Q195" s="34" t="str">
        <f t="shared" si="698"/>
        <v>net cash</v>
      </c>
      <c r="R195" s="34" t="str">
        <f t="shared" si="698"/>
        <v>net cash</v>
      </c>
      <c r="S195" s="34" t="str">
        <f t="shared" si="698"/>
        <v>net cash</v>
      </c>
      <c r="T195" s="34" t="str">
        <f t="shared" si="698"/>
        <v>net cash</v>
      </c>
      <c r="U195" s="34" t="str">
        <f t="shared" si="698"/>
        <v>net cash</v>
      </c>
      <c r="V195" s="34" t="str">
        <f t="shared" si="698"/>
        <v>net cash</v>
      </c>
      <c r="W195" s="34" t="str">
        <f t="shared" si="698"/>
        <v>net cash</v>
      </c>
      <c r="X195" s="34" t="str">
        <f t="shared" si="698"/>
        <v>net cash</v>
      </c>
      <c r="Y195" s="34" t="str">
        <f t="shared" si="698"/>
        <v>net cash</v>
      </c>
      <c r="Z195" s="34" t="str">
        <f t="shared" si="698"/>
        <v>net cash</v>
      </c>
      <c r="AA195" s="34" t="str">
        <f t="shared" si="698"/>
        <v>net cash</v>
      </c>
      <c r="AB195" s="34" t="str">
        <f t="shared" si="698"/>
        <v>net cash</v>
      </c>
      <c r="AC195" s="34" t="str">
        <f t="shared" si="698"/>
        <v>net cash</v>
      </c>
      <c r="AD195" s="34" t="str">
        <f t="shared" si="698"/>
        <v>net cash</v>
      </c>
      <c r="AE195" s="34" t="str">
        <f t="shared" si="698"/>
        <v>net cash</v>
      </c>
      <c r="AF195" s="34" t="str">
        <f t="shared" si="698"/>
        <v>net cash</v>
      </c>
      <c r="AG195" s="34" t="str">
        <f t="shared" si="698"/>
        <v>net cash</v>
      </c>
      <c r="AH195" s="34" t="str">
        <f t="shared" si="698"/>
        <v>net cash</v>
      </c>
      <c r="AI195" s="34" t="str">
        <f t="shared" si="698"/>
        <v>net cash</v>
      </c>
      <c r="AJ195" s="34" t="str">
        <f t="shared" si="698"/>
        <v>net cash</v>
      </c>
      <c r="AK195" s="34" t="str">
        <f t="shared" si="698"/>
        <v>net cash</v>
      </c>
      <c r="AL195" s="34" t="str">
        <f t="shared" si="698"/>
        <v>net cash</v>
      </c>
      <c r="AM195" s="34" t="str">
        <f t="shared" si="698"/>
        <v>net cash</v>
      </c>
      <c r="AN195" s="34" t="str">
        <f t="shared" si="698"/>
        <v>net cash</v>
      </c>
      <c r="AO195" s="34" t="str">
        <f t="shared" ref="AO195" si="699">AO133</f>
        <v>net cash</v>
      </c>
    </row>
    <row r="196" spans="2:41" ht="13.5" customHeight="1">
      <c r="B196" s="29" t="str">
        <f>+B134</f>
        <v>Gross Leverage  excluding lease obligations</v>
      </c>
      <c r="C196" s="36">
        <f t="shared" ref="C196:K196" si="700">C134</f>
        <v>-0.47953887665191258</v>
      </c>
      <c r="D196" s="36">
        <f t="shared" si="700"/>
        <v>0.55410336391386716</v>
      </c>
      <c r="E196" s="36">
        <f t="shared" si="700"/>
        <v>4.5127227889013488</v>
      </c>
      <c r="F196" s="36">
        <f t="shared" si="700"/>
        <v>-5.5939900821904027</v>
      </c>
      <c r="G196" s="36">
        <f t="shared" si="700"/>
        <v>5.4211529145344857</v>
      </c>
      <c r="H196" s="36">
        <f t="shared" si="700"/>
        <v>2.2842290344198588</v>
      </c>
      <c r="I196" s="36">
        <f t="shared" si="700"/>
        <v>1.1350449109720395</v>
      </c>
      <c r="J196" s="36">
        <f t="shared" si="700"/>
        <v>-5.8247047040220332</v>
      </c>
      <c r="K196" s="36">
        <f t="shared" si="700"/>
        <v>-3.6419512451294556</v>
      </c>
      <c r="L196" s="36"/>
      <c r="M196" s="198"/>
      <c r="N196" s="198"/>
      <c r="O196" s="198"/>
      <c r="P196" s="36">
        <f t="shared" ref="P196:AN196" si="701">P134</f>
        <v>0.55410336391386716</v>
      </c>
      <c r="Q196" s="36">
        <f t="shared" si="701"/>
        <v>0.58871184924790854</v>
      </c>
      <c r="R196" s="36">
        <f t="shared" si="701"/>
        <v>0.46710506067233071</v>
      </c>
      <c r="S196" s="36">
        <f t="shared" si="701"/>
        <v>1.047829391728726</v>
      </c>
      <c r="T196" s="36">
        <f t="shared" si="701"/>
        <v>4.5127227889013488</v>
      </c>
      <c r="U196" s="36">
        <f t="shared" si="701"/>
        <v>3.9094644710120781</v>
      </c>
      <c r="V196" s="36">
        <f t="shared" si="701"/>
        <v>-32.380623380139781</v>
      </c>
      <c r="W196" s="36">
        <f t="shared" si="701"/>
        <v>-6.6694342726908804</v>
      </c>
      <c r="X196" s="36">
        <f t="shared" si="701"/>
        <v>-5.5939900821904027</v>
      </c>
      <c r="Y196" s="36">
        <f t="shared" si="701"/>
        <v>-6.2718600759339536</v>
      </c>
      <c r="Z196" s="36">
        <f t="shared" si="701"/>
        <v>-14.76273976216207</v>
      </c>
      <c r="AA196" s="36">
        <f t="shared" si="701"/>
        <v>12.814345856652498</v>
      </c>
      <c r="AB196" s="36">
        <f t="shared" si="701"/>
        <v>5.4211529145344857</v>
      </c>
      <c r="AC196" s="36">
        <f t="shared" si="701"/>
        <v>2.9463823144347305</v>
      </c>
      <c r="AD196" s="36">
        <f t="shared" si="701"/>
        <v>2.4855896914501896</v>
      </c>
      <c r="AE196" s="36">
        <f t="shared" si="701"/>
        <v>2.4747731439895091</v>
      </c>
      <c r="AF196" s="36">
        <f t="shared" si="701"/>
        <v>2.2842290344198588</v>
      </c>
      <c r="AG196" s="36">
        <f t="shared" si="701"/>
        <v>1.8436196009694037</v>
      </c>
      <c r="AH196" s="36">
        <f t="shared" si="701"/>
        <v>0.80925519173262039</v>
      </c>
      <c r="AI196" s="36">
        <f t="shared" si="701"/>
        <v>0.86280586728778685</v>
      </c>
      <c r="AJ196" s="36">
        <f t="shared" si="701"/>
        <v>1.1350449109720395</v>
      </c>
      <c r="AK196" s="36">
        <f t="shared" si="701"/>
        <v>1.0509249140166614</v>
      </c>
      <c r="AL196" s="36">
        <f t="shared" si="701"/>
        <v>1.0894150483782401</v>
      </c>
      <c r="AM196" s="36">
        <f t="shared" si="701"/>
        <v>3.8181492003547679</v>
      </c>
      <c r="AN196" s="36">
        <f t="shared" si="701"/>
        <v>-5.8247047040220332</v>
      </c>
      <c r="AO196" s="36">
        <f t="shared" ref="AO196" si="702">AO134</f>
        <v>-3.6419512451294556</v>
      </c>
    </row>
    <row r="197" spans="2:41" ht="13.5" customHeight="1">
      <c r="C197" s="31"/>
      <c r="D197" s="31"/>
      <c r="E197" s="31"/>
      <c r="F197" s="31"/>
      <c r="G197" s="31"/>
      <c r="H197" s="31"/>
      <c r="I197" s="31"/>
      <c r="J197" s="31"/>
      <c r="K197" s="31"/>
      <c r="L197" s="31"/>
      <c r="M197" s="198"/>
      <c r="N197" s="198"/>
      <c r="O197" s="198"/>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row>
    <row r="198" spans="2:41" s="32" customFormat="1" ht="13.5" customHeight="1">
      <c r="B198" s="32" t="str">
        <f>+B136</f>
        <v>Net Leverage including lease obligations</v>
      </c>
      <c r="C198" s="34" t="str">
        <f t="shared" ref="C198:K198" si="703">C136</f>
        <v>net cash</v>
      </c>
      <c r="D198" s="34" t="str">
        <f t="shared" si="703"/>
        <v>net cash</v>
      </c>
      <c r="E198" s="34" t="str">
        <f t="shared" si="703"/>
        <v>net cash</v>
      </c>
      <c r="F198" s="34" t="str">
        <f t="shared" si="703"/>
        <v>net cash</v>
      </c>
      <c r="G198" s="34" t="str">
        <f t="shared" si="703"/>
        <v>net cash</v>
      </c>
      <c r="H198" s="34" t="str">
        <f t="shared" si="703"/>
        <v>net cash</v>
      </c>
      <c r="I198" s="34" t="str">
        <f t="shared" si="703"/>
        <v>net cash</v>
      </c>
      <c r="J198" s="34" t="str">
        <f t="shared" si="703"/>
        <v>net cash</v>
      </c>
      <c r="K198" s="34" t="str">
        <f t="shared" si="703"/>
        <v>net cash</v>
      </c>
      <c r="L198" s="34"/>
      <c r="M198" s="198"/>
      <c r="N198" s="198"/>
      <c r="O198" s="198"/>
      <c r="P198" s="34" t="str">
        <f t="shared" ref="P198:AN198" si="704">P136</f>
        <v>net cash</v>
      </c>
      <c r="Q198" s="34" t="str">
        <f t="shared" si="704"/>
        <v>net cash</v>
      </c>
      <c r="R198" s="34" t="str">
        <f t="shared" si="704"/>
        <v>net cash</v>
      </c>
      <c r="S198" s="34" t="str">
        <f t="shared" si="704"/>
        <v>net cash</v>
      </c>
      <c r="T198" s="34" t="str">
        <f t="shared" si="704"/>
        <v>net cash</v>
      </c>
      <c r="U198" s="34" t="str">
        <f t="shared" si="704"/>
        <v>net cash</v>
      </c>
      <c r="V198" s="34" t="str">
        <f t="shared" si="704"/>
        <v>net cash</v>
      </c>
      <c r="W198" s="34" t="str">
        <f t="shared" si="704"/>
        <v>net cash</v>
      </c>
      <c r="X198" s="34" t="str">
        <f t="shared" si="704"/>
        <v>net cash</v>
      </c>
      <c r="Y198" s="34" t="str">
        <f t="shared" si="704"/>
        <v>net cash</v>
      </c>
      <c r="Z198" s="34" t="str">
        <f t="shared" si="704"/>
        <v>net cash</v>
      </c>
      <c r="AA198" s="34" t="str">
        <f t="shared" si="704"/>
        <v>net cash</v>
      </c>
      <c r="AB198" s="34" t="str">
        <f t="shared" si="704"/>
        <v>net cash</v>
      </c>
      <c r="AC198" s="34" t="str">
        <f t="shared" si="704"/>
        <v>net cash</v>
      </c>
      <c r="AD198" s="34" t="str">
        <f t="shared" si="704"/>
        <v>net cash</v>
      </c>
      <c r="AE198" s="34" t="str">
        <f t="shared" si="704"/>
        <v>net cash</v>
      </c>
      <c r="AF198" s="34" t="str">
        <f t="shared" si="704"/>
        <v>net cash</v>
      </c>
      <c r="AG198" s="34" t="str">
        <f t="shared" si="704"/>
        <v>net cash</v>
      </c>
      <c r="AH198" s="34" t="str">
        <f t="shared" si="704"/>
        <v>net cash</v>
      </c>
      <c r="AI198" s="34" t="str">
        <f t="shared" si="704"/>
        <v>net cash</v>
      </c>
      <c r="AJ198" s="34" t="str">
        <f t="shared" si="704"/>
        <v>net cash</v>
      </c>
      <c r="AK198" s="34" t="str">
        <f t="shared" si="704"/>
        <v>net cash</v>
      </c>
      <c r="AL198" s="34" t="str">
        <f t="shared" si="704"/>
        <v>net cash</v>
      </c>
      <c r="AM198" s="34" t="str">
        <f t="shared" si="704"/>
        <v>net cash</v>
      </c>
      <c r="AN198" s="34" t="str">
        <f t="shared" si="704"/>
        <v>net cash</v>
      </c>
      <c r="AO198" s="34" t="str">
        <f t="shared" ref="AO198" si="705">AO136</f>
        <v>net cash</v>
      </c>
    </row>
    <row r="199" spans="2:41" ht="13.5" customHeight="1">
      <c r="B199" s="29" t="str">
        <f>+B137</f>
        <v>Gross Leverage  including lease obligations</v>
      </c>
      <c r="C199" s="36">
        <f t="shared" ref="C199:K199" si="706">C137</f>
        <v>-0.47953887665191258</v>
      </c>
      <c r="D199" s="36">
        <f t="shared" si="706"/>
        <v>0.76459082440608384</v>
      </c>
      <c r="E199" s="36">
        <f t="shared" si="706"/>
        <v>5.0905930279999074</v>
      </c>
      <c r="F199" s="36">
        <f t="shared" si="706"/>
        <v>-6.0840610286117007</v>
      </c>
      <c r="G199" s="36">
        <f t="shared" si="706"/>
        <v>5.9732730092757649</v>
      </c>
      <c r="H199" s="36">
        <f t="shared" si="706"/>
        <v>2.5387743237315594</v>
      </c>
      <c r="I199" s="36">
        <f t="shared" si="706"/>
        <v>1.2522458946974107</v>
      </c>
      <c r="J199" s="36">
        <f t="shared" si="706"/>
        <v>-6.2843951025904357</v>
      </c>
      <c r="K199" s="36">
        <f t="shared" si="706"/>
        <v>-3.8718557701020648</v>
      </c>
      <c r="L199" s="36"/>
      <c r="M199" s="198"/>
      <c r="N199" s="198"/>
      <c r="O199" s="198"/>
      <c r="P199" s="36">
        <f t="shared" ref="P199:AN199" si="707">P137</f>
        <v>0.76459082440608384</v>
      </c>
      <c r="Q199" s="36">
        <f t="shared" si="707"/>
        <v>0.81285887756285735</v>
      </c>
      <c r="R199" s="36">
        <f t="shared" si="707"/>
        <v>0.69901681072506761</v>
      </c>
      <c r="S199" s="36">
        <f t="shared" si="707"/>
        <v>1.315813161213305</v>
      </c>
      <c r="T199" s="36">
        <f t="shared" si="707"/>
        <v>5.0905930279999074</v>
      </c>
      <c r="U199" s="36">
        <f t="shared" si="707"/>
        <v>5.2050882449673539</v>
      </c>
      <c r="V199" s="36">
        <f t="shared" si="707"/>
        <v>-34.576602546996284</v>
      </c>
      <c r="W199" s="36">
        <f t="shared" si="707"/>
        <v>-7.1139672465774879</v>
      </c>
      <c r="X199" s="36">
        <f t="shared" si="707"/>
        <v>-6.0840610286117007</v>
      </c>
      <c r="Y199" s="36">
        <f t="shared" si="707"/>
        <v>-6.7712183697757169</v>
      </c>
      <c r="Z199" s="36">
        <f t="shared" si="707"/>
        <v>-15.912071653610949</v>
      </c>
      <c r="AA199" s="36">
        <f t="shared" si="707"/>
        <v>13.884877821806587</v>
      </c>
      <c r="AB199" s="36">
        <f t="shared" si="707"/>
        <v>5.9732730092757649</v>
      </c>
      <c r="AC199" s="36">
        <f t="shared" si="707"/>
        <v>3.2349751674667453</v>
      </c>
      <c r="AD199" s="36">
        <f t="shared" si="707"/>
        <v>2.717307618776037</v>
      </c>
      <c r="AE199" s="36">
        <f t="shared" si="707"/>
        <v>2.7224697487431531</v>
      </c>
      <c r="AF199" s="36">
        <f t="shared" si="707"/>
        <v>2.5387743237315594</v>
      </c>
      <c r="AG199" s="36">
        <f t="shared" si="707"/>
        <v>2.0632854064896304</v>
      </c>
      <c r="AH199" s="36">
        <f t="shared" si="707"/>
        <v>0.97830192206845223</v>
      </c>
      <c r="AI199" s="36">
        <f t="shared" si="707"/>
        <v>1.0000234874573348</v>
      </c>
      <c r="AJ199" s="36">
        <f t="shared" si="707"/>
        <v>1.2522458946974107</v>
      </c>
      <c r="AK199" s="36">
        <f t="shared" si="707"/>
        <v>1.1631610266421217</v>
      </c>
      <c r="AL199" s="36">
        <f t="shared" si="707"/>
        <v>1.239257607479838</v>
      </c>
      <c r="AM199" s="36">
        <f t="shared" si="707"/>
        <v>4.3577404499121171</v>
      </c>
      <c r="AN199" s="36">
        <f t="shared" si="707"/>
        <v>-6.2843951025904357</v>
      </c>
      <c r="AO199" s="36">
        <f t="shared" ref="AO199" si="708">AO137</f>
        <v>-3.8718557701020648</v>
      </c>
    </row>
    <row r="200" spans="2:41" ht="13.5" customHeight="1">
      <c r="C200" s="36"/>
      <c r="D200" s="36"/>
      <c r="E200" s="36"/>
      <c r="F200" s="36"/>
      <c r="G200" s="36"/>
      <c r="H200" s="36"/>
      <c r="I200" s="36"/>
      <c r="J200" s="36"/>
      <c r="K200" s="36"/>
      <c r="L200" s="36"/>
      <c r="M200" s="198"/>
      <c r="N200" s="198"/>
      <c r="O200" s="198"/>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row>
    <row r="201" spans="2:41" ht="13.5" customHeight="1">
      <c r="B201" s="32" t="str">
        <f>+B139</f>
        <v>Net leverage including Restricted Cash</v>
      </c>
      <c r="C201" s="34">
        <f t="shared" ref="C201:K201" si="709">C139</f>
        <v>-0.76870513758467574</v>
      </c>
      <c r="D201" s="34">
        <f t="shared" si="709"/>
        <v>43.646357044314563</v>
      </c>
      <c r="E201" s="34">
        <f t="shared" si="709"/>
        <v>-10.500591303584315</v>
      </c>
      <c r="F201" s="34">
        <f t="shared" si="709"/>
        <v>7.3336554200730442</v>
      </c>
      <c r="G201" s="34">
        <f t="shared" si="709"/>
        <v>-7.0491258807955788</v>
      </c>
      <c r="H201" s="34">
        <f t="shared" si="709"/>
        <v>-4.3518169305341843</v>
      </c>
      <c r="I201" s="34">
        <f t="shared" si="709"/>
        <v>-2.5709457159492985</v>
      </c>
      <c r="J201" s="34">
        <f t="shared" si="709"/>
        <v>7.3891502738296353</v>
      </c>
      <c r="K201" s="34">
        <f t="shared" si="709"/>
        <v>3.0010994936555933</v>
      </c>
      <c r="L201" s="36"/>
      <c r="M201" s="198"/>
      <c r="N201" s="198"/>
      <c r="O201" s="198"/>
      <c r="P201" s="34">
        <f t="shared" ref="P201:AN201" si="710">P139</f>
        <v>43.646357044314435</v>
      </c>
      <c r="Q201" s="34">
        <f t="shared" si="710"/>
        <v>46.668164118844828</v>
      </c>
      <c r="R201" s="34">
        <f t="shared" si="710"/>
        <v>29.194084220792586</v>
      </c>
      <c r="S201" s="34">
        <f t="shared" si="710"/>
        <v>13.142753449785767</v>
      </c>
      <c r="T201" s="34">
        <f t="shared" si="710"/>
        <v>26.129605791781561</v>
      </c>
      <c r="U201" s="34">
        <f t="shared" si="710"/>
        <v>76.183283019193055</v>
      </c>
      <c r="V201" s="34">
        <f t="shared" si="710"/>
        <v>53.255643394485027</v>
      </c>
      <c r="W201" s="34">
        <f t="shared" si="710"/>
        <v>9.059112056678611</v>
      </c>
      <c r="X201" s="34">
        <f t="shared" si="710"/>
        <v>7.3336554200730442</v>
      </c>
      <c r="Y201" s="34">
        <f t="shared" si="710"/>
        <v>5.7460980812843809</v>
      </c>
      <c r="Z201" s="34">
        <f t="shared" si="710"/>
        <v>13.481611958037078</v>
      </c>
      <c r="AA201" s="34">
        <f t="shared" si="710"/>
        <v>-12.230780541182734</v>
      </c>
      <c r="AB201" s="34">
        <f t="shared" si="710"/>
        <v>-7.0491258807955788</v>
      </c>
      <c r="AC201" s="34">
        <f t="shared" si="710"/>
        <v>-3.7565340357718617</v>
      </c>
      <c r="AD201" s="34">
        <f t="shared" si="710"/>
        <v>-3.5047655068427144</v>
      </c>
      <c r="AE201" s="34">
        <f t="shared" si="710"/>
        <v>-3.8511466044180658</v>
      </c>
      <c r="AF201" s="34">
        <f t="shared" si="710"/>
        <v>-4.3518169305341843</v>
      </c>
      <c r="AG201" s="34">
        <f t="shared" si="710"/>
        <v>-4.0439021173192673</v>
      </c>
      <c r="AH201" s="34">
        <f t="shared" si="710"/>
        <v>-3.6386226714420054</v>
      </c>
      <c r="AI201" s="34">
        <f t="shared" si="710"/>
        <v>-2.7083234420740525</v>
      </c>
      <c r="AJ201" s="34">
        <f t="shared" si="710"/>
        <v>-1.079640936167787</v>
      </c>
      <c r="AK201" s="34">
        <f t="shared" si="710"/>
        <v>-2.5421723929880415</v>
      </c>
      <c r="AL201" s="34">
        <f t="shared" si="710"/>
        <v>-3.3538217997738005</v>
      </c>
      <c r="AM201" s="34">
        <f t="shared" si="710"/>
        <v>-9.4788803317686643</v>
      </c>
      <c r="AN201" s="34">
        <f t="shared" si="710"/>
        <v>7.3891502738296353</v>
      </c>
      <c r="AO201" s="34">
        <f t="shared" ref="AO201" si="711">AO139</f>
        <v>3.0010994936555933</v>
      </c>
    </row>
    <row r="202" spans="2:41" ht="13.5" customHeight="1">
      <c r="C202" s="36"/>
      <c r="D202" s="36"/>
      <c r="E202" s="36"/>
      <c r="F202" s="36"/>
      <c r="G202" s="36"/>
      <c r="H202" s="36"/>
      <c r="I202" s="36"/>
      <c r="J202" s="36"/>
      <c r="K202" s="36"/>
      <c r="L202" s="36"/>
      <c r="M202" s="198"/>
      <c r="N202" s="198"/>
      <c r="O202" s="198"/>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row>
    <row r="203" spans="2:41" ht="13.5" customHeight="1">
      <c r="B203" s="29" t="str">
        <f>+B141</f>
        <v>EBITDA - Capex / Interest</v>
      </c>
      <c r="C203" s="36">
        <f t="shared" ref="C203:J203" si="712">C141</f>
        <v>-111.52558709282272</v>
      </c>
      <c r="D203" s="36">
        <f t="shared" si="712"/>
        <v>19.804071479523714</v>
      </c>
      <c r="E203" s="36">
        <f t="shared" si="712"/>
        <v>-49.329031933434273</v>
      </c>
      <c r="F203" s="36">
        <f t="shared" si="712"/>
        <v>-29.991134074149326</v>
      </c>
      <c r="G203" s="36">
        <f t="shared" si="712"/>
        <v>3.7868111330434138</v>
      </c>
      <c r="H203" s="36">
        <f t="shared" si="712"/>
        <v>29.926996944943244</v>
      </c>
      <c r="I203" s="36">
        <f t="shared" si="712"/>
        <v>91.363638705266098</v>
      </c>
      <c r="J203" s="36">
        <f t="shared" si="712"/>
        <v>-20.768695857105289</v>
      </c>
      <c r="K203" s="203"/>
      <c r="L203" s="36"/>
      <c r="M203" s="198"/>
      <c r="N203" s="198"/>
      <c r="O203" s="198"/>
      <c r="P203" s="36">
        <f>P141</f>
        <v>19.804071479523714</v>
      </c>
      <c r="Q203" s="180"/>
      <c r="R203" s="36">
        <f>R141</f>
        <v>12.762445295404808</v>
      </c>
      <c r="S203" s="180"/>
      <c r="T203" s="36">
        <f>T141</f>
        <v>-49.329031933434273</v>
      </c>
      <c r="U203" s="180"/>
      <c r="V203" s="36">
        <f>V141</f>
        <v>-53.619192576517904</v>
      </c>
      <c r="W203" s="180"/>
      <c r="X203" s="36">
        <f>X141</f>
        <v>-29.991134074149326</v>
      </c>
      <c r="Y203" s="180"/>
      <c r="Z203" s="36">
        <f>Z141</f>
        <v>-13.924587301504198</v>
      </c>
      <c r="AA203" s="180"/>
      <c r="AB203" s="36">
        <f>AB141</f>
        <v>3.7868111330434138</v>
      </c>
      <c r="AC203" s="180"/>
      <c r="AD203" s="36">
        <f>AD141</f>
        <v>17.862847130950311</v>
      </c>
      <c r="AE203" s="180"/>
      <c r="AF203" s="36">
        <f>AF141</f>
        <v>0</v>
      </c>
      <c r="AG203" s="203"/>
      <c r="AH203" s="180"/>
      <c r="AI203" s="180"/>
      <c r="AJ203" s="180"/>
      <c r="AK203" s="180"/>
      <c r="AL203" s="180"/>
      <c r="AM203" s="180"/>
      <c r="AN203" s="180"/>
      <c r="AO203" s="180"/>
    </row>
    <row r="204" spans="2:41" s="32" customFormat="1" ht="12.75" customHeight="1">
      <c r="B204" s="32" t="str">
        <f>+B142</f>
        <v>EBITDA/Interest</v>
      </c>
      <c r="C204" s="34">
        <f t="shared" ref="C204:J204" si="713">C142</f>
        <v>-76.299195719098051</v>
      </c>
      <c r="D204" s="34">
        <f t="shared" si="713"/>
        <v>33.168264042580432</v>
      </c>
      <c r="E204" s="34">
        <f t="shared" si="713"/>
        <v>21.672454725517017</v>
      </c>
      <c r="F204" s="34">
        <f t="shared" si="713"/>
        <v>-15.632404330080773</v>
      </c>
      <c r="G204" s="34">
        <f t="shared" si="713"/>
        <v>8.3676707722331312</v>
      </c>
      <c r="H204" s="34">
        <f t="shared" si="713"/>
        <v>41.307304803324236</v>
      </c>
      <c r="I204" s="34">
        <f t="shared" si="713"/>
        <v>115.01944723488654</v>
      </c>
      <c r="J204" s="34">
        <f t="shared" si="713"/>
        <v>-10.755969618720089</v>
      </c>
      <c r="K204" s="180"/>
      <c r="L204" s="34"/>
      <c r="M204" s="198"/>
      <c r="N204" s="198"/>
      <c r="O204" s="198"/>
      <c r="P204" s="34">
        <f>P142</f>
        <v>33.168264042580432</v>
      </c>
      <c r="Q204" s="180"/>
      <c r="R204" s="34">
        <f>R142</f>
        <v>32.437623085339162</v>
      </c>
      <c r="S204" s="180"/>
      <c r="T204" s="34">
        <f>T142</f>
        <v>21.672454725517017</v>
      </c>
      <c r="U204" s="180"/>
      <c r="V204" s="34">
        <f>V142</f>
        <v>-4.1833271162396839</v>
      </c>
      <c r="W204" s="180"/>
      <c r="X204" s="34">
        <f>X142</f>
        <v>-15.632404330080773</v>
      </c>
      <c r="Y204" s="180"/>
      <c r="Z204" s="34">
        <f>Z142</f>
        <v>-5.3788724024733101</v>
      </c>
      <c r="AA204" s="180"/>
      <c r="AB204" s="34">
        <f>AB142</f>
        <v>8.3676707722331312</v>
      </c>
      <c r="AC204" s="180"/>
      <c r="AD204" s="34">
        <f>AD142</f>
        <v>21.946066556938167</v>
      </c>
      <c r="AE204" s="180"/>
      <c r="AF204" s="34">
        <f>AF142</f>
        <v>0</v>
      </c>
      <c r="AG204" s="180"/>
      <c r="AH204" s="180"/>
      <c r="AI204" s="180"/>
      <c r="AJ204" s="180"/>
      <c r="AK204" s="180"/>
      <c r="AL204" s="180"/>
      <c r="AM204" s="180"/>
      <c r="AN204" s="180"/>
      <c r="AO204" s="180"/>
    </row>
    <row r="205" spans="2:41" ht="13.5" customHeight="1">
      <c r="C205" s="31"/>
      <c r="D205" s="31"/>
      <c r="E205" s="31"/>
      <c r="F205" s="31"/>
      <c r="G205" s="31"/>
      <c r="H205" s="31"/>
      <c r="I205" s="31"/>
      <c r="J205" s="31"/>
      <c r="K205" s="31"/>
      <c r="L205" s="31"/>
      <c r="M205" s="198"/>
      <c r="N205" s="198"/>
      <c r="O205" s="198"/>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row>
    <row r="206" spans="2:41" s="32" customFormat="1" ht="13.5" customHeight="1">
      <c r="B206" s="61" t="str">
        <f t="shared" ref="B206:K206" si="714">+B144</f>
        <v xml:space="preserve">Gearing (Net debt / Equity) </v>
      </c>
      <c r="C206" s="205">
        <f t="shared" si="714"/>
        <v>-0.65430296128858134</v>
      </c>
      <c r="D206" s="205">
        <f t="shared" si="714"/>
        <v>-0.62230296144255759</v>
      </c>
      <c r="E206" s="205">
        <f t="shared" si="714"/>
        <v>-0.37870330885337145</v>
      </c>
      <c r="F206" s="205">
        <f t="shared" si="714"/>
        <v>-0.46047773994044228</v>
      </c>
      <c r="G206" s="205">
        <f t="shared" si="714"/>
        <v>-0.419128631247981</v>
      </c>
      <c r="H206" s="205">
        <f t="shared" si="714"/>
        <v>-0.55634084750130941</v>
      </c>
      <c r="I206" s="205">
        <f t="shared" si="714"/>
        <v>-0.6183729390217535</v>
      </c>
      <c r="J206" s="205">
        <f t="shared" si="714"/>
        <v>-0.53126524377603568</v>
      </c>
      <c r="K206" s="205">
        <f t="shared" si="714"/>
        <v>-0.45079714535779986</v>
      </c>
      <c r="L206" s="206"/>
      <c r="M206" s="205">
        <f t="shared" ref="M206:AN206" si="715">+M144</f>
        <v>-0.58579179571803097</v>
      </c>
      <c r="N206" s="205">
        <f t="shared" si="715"/>
        <v>-0.60869237995149028</v>
      </c>
      <c r="O206" s="205">
        <f t="shared" si="715"/>
        <v>-0.61450126867638344</v>
      </c>
      <c r="P206" s="205">
        <f t="shared" si="715"/>
        <v>-0.62230296144255759</v>
      </c>
      <c r="Q206" s="205">
        <f t="shared" si="715"/>
        <v>-0.55394405614125009</v>
      </c>
      <c r="R206" s="205">
        <f t="shared" si="715"/>
        <v>-0.56297123682594719</v>
      </c>
      <c r="S206" s="205">
        <f t="shared" si="715"/>
        <v>-0.4322032168599414</v>
      </c>
      <c r="T206" s="205">
        <f t="shared" si="715"/>
        <v>-0.37870330885337145</v>
      </c>
      <c r="U206" s="205">
        <f t="shared" si="715"/>
        <v>-0.43682011746699528</v>
      </c>
      <c r="V206" s="205">
        <f t="shared" si="715"/>
        <v>-0.51462358241751416</v>
      </c>
      <c r="W206" s="205">
        <f t="shared" si="715"/>
        <v>-0.47999792697610855</v>
      </c>
      <c r="X206" s="205">
        <f t="shared" si="715"/>
        <v>-0.46047773994044228</v>
      </c>
      <c r="Y206" s="205">
        <f t="shared" si="715"/>
        <v>-0.34253514952676017</v>
      </c>
      <c r="Z206" s="205">
        <f t="shared" si="715"/>
        <v>-0.341112219292379</v>
      </c>
      <c r="AA206" s="205">
        <f t="shared" si="715"/>
        <v>-0.35656860583851968</v>
      </c>
      <c r="AB206" s="205">
        <f t="shared" si="715"/>
        <v>-0.419128631247981</v>
      </c>
      <c r="AC206" s="205">
        <f t="shared" si="715"/>
        <v>-0.40053545703160087</v>
      </c>
      <c r="AD206" s="205">
        <f t="shared" si="715"/>
        <v>-0.43092081828501377</v>
      </c>
      <c r="AE206" s="205">
        <f t="shared" si="715"/>
        <v>-0.47858492847885448</v>
      </c>
      <c r="AF206" s="205">
        <f t="shared" si="715"/>
        <v>-0.55634084750130941</v>
      </c>
      <c r="AG206" s="205">
        <f t="shared" si="715"/>
        <v>-0.54610688805416663</v>
      </c>
      <c r="AH206" s="205">
        <f t="shared" si="715"/>
        <v>-0.62908077639686533</v>
      </c>
      <c r="AI206" s="205">
        <f t="shared" si="715"/>
        <v>-0.57916627237286866</v>
      </c>
      <c r="AJ206" s="205">
        <f t="shared" si="715"/>
        <v>-0.6183729390217535</v>
      </c>
      <c r="AK206" s="205">
        <f t="shared" si="715"/>
        <v>-0.64260908782925252</v>
      </c>
      <c r="AL206" s="205">
        <f t="shared" si="715"/>
        <v>-0.65133931992720207</v>
      </c>
      <c r="AM206" s="205">
        <f t="shared" si="715"/>
        <v>-0.53783569350749771</v>
      </c>
      <c r="AN206" s="205">
        <f t="shared" si="715"/>
        <v>-0.53126524377603568</v>
      </c>
      <c r="AO206" s="205">
        <f t="shared" ref="AO206" si="716">+AO144</f>
        <v>-0.45079714535779986</v>
      </c>
    </row>
    <row r="207" spans="2:41" ht="13.5" customHeight="1">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row>
    <row r="208" spans="2:41" ht="13.5" customHeight="1">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row>
    <row r="209" spans="2:41" ht="13.5" customHeight="1">
      <c r="B209" s="207" t="s">
        <v>298</v>
      </c>
      <c r="C209" s="156">
        <v>0.151</v>
      </c>
      <c r="D209" s="156">
        <v>0.1449</v>
      </c>
      <c r="E209" s="156">
        <v>0.1452</v>
      </c>
      <c r="F209" s="156">
        <f>1/6.4495</f>
        <v>0.15505077913016513</v>
      </c>
      <c r="G209" s="156">
        <f>1/6.7313</f>
        <v>0.14855971357687223</v>
      </c>
      <c r="H209" s="156">
        <f>1/7.0764</f>
        <v>0.14131479283251372</v>
      </c>
      <c r="I209" s="156">
        <f>AVERAGE(AG209:AJ209)</f>
        <v>0.13924567043804084</v>
      </c>
      <c r="J209" s="157">
        <f>AVERAGE(AK209:AN209)</f>
        <v>0.13924478026469961</v>
      </c>
      <c r="K209" s="157">
        <f>AVERAGE(AL209:AO209)</f>
        <v>0.14097399145989342</v>
      </c>
      <c r="L209" s="14"/>
      <c r="M209" s="156">
        <v>0.14910000000000001</v>
      </c>
      <c r="N209" s="156">
        <v>0.14630000000000001</v>
      </c>
      <c r="O209" s="156">
        <v>0.1416</v>
      </c>
      <c r="P209" s="156">
        <v>0.1426</v>
      </c>
      <c r="Q209" s="156">
        <v>0.14280000000000001</v>
      </c>
      <c r="R209" s="156">
        <v>0.14099999999999999</v>
      </c>
      <c r="S209" s="156">
        <v>0.14549999999999999</v>
      </c>
      <c r="T209" s="156">
        <v>0.1515</v>
      </c>
      <c r="U209" s="156">
        <v>0.1542</v>
      </c>
      <c r="V209" s="156">
        <v>0.15540000000000001</v>
      </c>
      <c r="W209" s="156">
        <v>0.15490000000000001</v>
      </c>
      <c r="X209" s="156">
        <f>1/6.3875</f>
        <v>0.15655577299412915</v>
      </c>
      <c r="Y209" s="156">
        <v>0.1575</v>
      </c>
      <c r="Z209" s="156">
        <v>0.15129999999999999</v>
      </c>
      <c r="AA209" s="156">
        <v>0.14610000000000001</v>
      </c>
      <c r="AB209" s="156">
        <f>1/7.1092</f>
        <v>0.14066280312834073</v>
      </c>
      <c r="AC209" s="156">
        <v>0.14610000000000001</v>
      </c>
      <c r="AD209" s="156">
        <v>0.1431</v>
      </c>
      <c r="AE209" s="156">
        <f>AVERAGE(AD210:AE210)</f>
        <v>0.13743376934666485</v>
      </c>
      <c r="AF209" s="156">
        <f>1/7.2183</f>
        <v>0.13853677458681407</v>
      </c>
      <c r="AG209" s="156">
        <f>AVERAGE(0.1406,0.1397,0.139)</f>
        <v>0.13976666666666668</v>
      </c>
      <c r="AH209" s="156">
        <v>0.1381</v>
      </c>
      <c r="AI209" s="156">
        <f>AVERAGE(AH210:AI210)</f>
        <v>0.14004943000455997</v>
      </c>
      <c r="AJ209" s="156">
        <f>1/7.1908</f>
        <v>0.13906658508093675</v>
      </c>
      <c r="AK209" s="156">
        <v>0.13750000000000001</v>
      </c>
      <c r="AL209" s="156">
        <v>0.13869999999999999</v>
      </c>
      <c r="AM209" s="156">
        <f>1/7.1573</f>
        <v>0.13971749123272742</v>
      </c>
      <c r="AN209" s="156">
        <f>1/7.0891</f>
        <v>0.14106162982607101</v>
      </c>
      <c r="AO209" s="156">
        <f>1/6.9244</f>
        <v>0.14441684478077521</v>
      </c>
    </row>
    <row r="210" spans="2:41" ht="13.5" customHeight="1">
      <c r="B210" s="207" t="s">
        <v>299</v>
      </c>
      <c r="C210" s="156">
        <v>0.14530000000000001</v>
      </c>
      <c r="D210" s="156">
        <v>0.14360000000000001</v>
      </c>
      <c r="E210" s="156">
        <v>0.1532</v>
      </c>
      <c r="F210" s="156">
        <f>1/6.3691</f>
        <v>0.15700805451319652</v>
      </c>
      <c r="G210" s="156">
        <f>1/6.8972</f>
        <v>0.14498637128109959</v>
      </c>
      <c r="H210" s="156">
        <f>1/7.0978</f>
        <v>0.14088872608413874</v>
      </c>
      <c r="I210" s="156">
        <f>AJ210</f>
        <v>0.13699943830230296</v>
      </c>
      <c r="J210" s="157">
        <f>AN210</f>
        <v>0.14298583010423668</v>
      </c>
      <c r="K210" s="157">
        <f>AO210</f>
        <v>0.14494854326714016</v>
      </c>
      <c r="L210" s="14"/>
      <c r="M210" s="156">
        <v>0.14899999999999999</v>
      </c>
      <c r="N210" s="156">
        <v>0.14560000000000001</v>
      </c>
      <c r="O210" s="156">
        <v>0.1399</v>
      </c>
      <c r="P210" s="156">
        <v>0.14360000000000001</v>
      </c>
      <c r="Q210" s="156">
        <v>0.14119999999999999</v>
      </c>
      <c r="R210" s="156">
        <v>0.14149999999999999</v>
      </c>
      <c r="S210" s="156">
        <v>0.1472</v>
      </c>
      <c r="T210" s="156">
        <v>0.1532</v>
      </c>
      <c r="U210" s="156">
        <v>0.15260000000000001</v>
      </c>
      <c r="V210" s="156">
        <v>0.15490000000000001</v>
      </c>
      <c r="W210" s="156">
        <v>0.15509999999999999</v>
      </c>
      <c r="X210" s="156">
        <f>1/6.3691</f>
        <v>0.15700805451319652</v>
      </c>
      <c r="Y210" s="156">
        <v>0.1575</v>
      </c>
      <c r="Z210" s="156">
        <v>0.1492</v>
      </c>
      <c r="AA210" s="156">
        <v>0.14019999999999999</v>
      </c>
      <c r="AB210" s="156">
        <f>1/6.8972</f>
        <v>0.14498637128109959</v>
      </c>
      <c r="AC210" s="156">
        <v>0.14549999999999999</v>
      </c>
      <c r="AD210" s="156">
        <v>0.13789999999999999</v>
      </c>
      <c r="AE210" s="156">
        <f>1/7.301</f>
        <v>0.13696753869332967</v>
      </c>
      <c r="AF210" s="156">
        <f>1/7.0978</f>
        <v>0.14088872608413874</v>
      </c>
      <c r="AG210" s="156">
        <v>0.1396</v>
      </c>
      <c r="AH210" s="156">
        <v>0.1376</v>
      </c>
      <c r="AI210" s="156">
        <f>1/7.0176</f>
        <v>0.14249886000911993</v>
      </c>
      <c r="AJ210" s="156">
        <f>1/7.2993</f>
        <v>0.13699943830230296</v>
      </c>
      <c r="AK210" s="156">
        <v>0.13780000000000001</v>
      </c>
      <c r="AL210" s="156">
        <v>0.1396</v>
      </c>
      <c r="AM210" s="156">
        <f>1/7.1196</f>
        <v>0.14045732906343053</v>
      </c>
      <c r="AN210" s="156">
        <f>1/6.9937</f>
        <v>0.14298583010423668</v>
      </c>
      <c r="AO210" s="156">
        <f>1/6.899</f>
        <v>0.14494854326714016</v>
      </c>
    </row>
    <row r="211" spans="2:41" ht="13.5" customHeight="1">
      <c r="B211" s="207" t="s">
        <v>300</v>
      </c>
      <c r="C211" s="157">
        <f t="shared" ref="C211:G211" si="717">C209</f>
        <v>0.151</v>
      </c>
      <c r="D211" s="157">
        <f t="shared" si="717"/>
        <v>0.1449</v>
      </c>
      <c r="E211" s="157">
        <f t="shared" si="717"/>
        <v>0.1452</v>
      </c>
      <c r="F211" s="157">
        <f t="shared" si="717"/>
        <v>0.15505077913016513</v>
      </c>
      <c r="G211" s="157">
        <f t="shared" si="717"/>
        <v>0.14855971357687223</v>
      </c>
      <c r="H211" s="157">
        <f t="shared" ref="H211:I211" si="718">H209</f>
        <v>0.14131479283251372</v>
      </c>
      <c r="I211" s="157">
        <f t="shared" si="718"/>
        <v>0.13924567043804084</v>
      </c>
      <c r="J211" s="157">
        <f t="shared" ref="J211" si="719">J209</f>
        <v>0.13924478026469961</v>
      </c>
      <c r="K211" s="157">
        <f>K209</f>
        <v>0.14097399145989342</v>
      </c>
      <c r="L211" s="14"/>
      <c r="M211" s="157">
        <f>M209</f>
        <v>0.14910000000000001</v>
      </c>
      <c r="N211" s="157">
        <f>N209</f>
        <v>0.14630000000000001</v>
      </c>
      <c r="O211" s="157">
        <f>O209</f>
        <v>0.1416</v>
      </c>
      <c r="P211" s="157">
        <f t="shared" ref="P211:AO211" si="720">AVERAGE(M209:P209)</f>
        <v>0.1449</v>
      </c>
      <c r="Q211" s="157">
        <f t="shared" si="720"/>
        <v>0.14332500000000001</v>
      </c>
      <c r="R211" s="157">
        <f t="shared" si="720"/>
        <v>0.14200000000000002</v>
      </c>
      <c r="S211" s="157">
        <f t="shared" si="720"/>
        <v>0.14297499999999999</v>
      </c>
      <c r="T211" s="157">
        <f t="shared" si="720"/>
        <v>0.1452</v>
      </c>
      <c r="U211" s="157">
        <f t="shared" si="720"/>
        <v>0.14804999999999999</v>
      </c>
      <c r="V211" s="157">
        <f t="shared" si="720"/>
        <v>0.15165000000000001</v>
      </c>
      <c r="W211" s="157">
        <f t="shared" si="720"/>
        <v>0.154</v>
      </c>
      <c r="X211" s="157">
        <f t="shared" si="720"/>
        <v>0.15526394324853229</v>
      </c>
      <c r="Y211" s="157">
        <f t="shared" si="720"/>
        <v>0.15608894324853229</v>
      </c>
      <c r="Z211" s="157">
        <f t="shared" si="720"/>
        <v>0.15506394324853229</v>
      </c>
      <c r="AA211" s="157">
        <f t="shared" si="720"/>
        <v>0.15286394324853228</v>
      </c>
      <c r="AB211" s="157">
        <f t="shared" si="720"/>
        <v>0.14889070078208516</v>
      </c>
      <c r="AC211" s="157">
        <f t="shared" si="720"/>
        <v>0.1460407007820852</v>
      </c>
      <c r="AD211" s="157">
        <f t="shared" si="720"/>
        <v>0.1439907007820852</v>
      </c>
      <c r="AE211" s="157">
        <f t="shared" si="720"/>
        <v>0.14182414311875141</v>
      </c>
      <c r="AF211" s="157">
        <f t="shared" si="720"/>
        <v>0.14129263598336972</v>
      </c>
      <c r="AG211" s="157">
        <f t="shared" si="720"/>
        <v>0.13970930265003639</v>
      </c>
      <c r="AH211" s="157">
        <f t="shared" si="720"/>
        <v>0.13845930265003639</v>
      </c>
      <c r="AI211" s="157">
        <f t="shared" si="720"/>
        <v>0.13911321781451016</v>
      </c>
      <c r="AJ211" s="157">
        <f t="shared" si="720"/>
        <v>0.13924567043804084</v>
      </c>
      <c r="AK211" s="157">
        <f t="shared" si="720"/>
        <v>0.13867900377137415</v>
      </c>
      <c r="AL211" s="157">
        <f t="shared" si="720"/>
        <v>0.13882900377137419</v>
      </c>
      <c r="AM211" s="157">
        <f t="shared" si="720"/>
        <v>0.13874601907841605</v>
      </c>
      <c r="AN211" s="157">
        <f t="shared" si="720"/>
        <v>0.13924478026469961</v>
      </c>
      <c r="AO211" s="157">
        <f t="shared" si="720"/>
        <v>0.14097399145989342</v>
      </c>
    </row>
    <row r="212" spans="2:41" ht="13.5" customHeight="1">
      <c r="B212" s="173" t="s">
        <v>301</v>
      </c>
      <c r="C212" s="208">
        <f>1/C210</f>
        <v>6.8823124569855469</v>
      </c>
      <c r="D212" s="208">
        <f t="shared" ref="D212:AN212" si="721">1/D210</f>
        <v>6.9637883008356543</v>
      </c>
      <c r="E212" s="208">
        <f t="shared" si="721"/>
        <v>6.5274151436031334</v>
      </c>
      <c r="F212" s="208">
        <f t="shared" si="721"/>
        <v>6.3691000000000004</v>
      </c>
      <c r="G212" s="208">
        <f t="shared" si="721"/>
        <v>6.8971999999999989</v>
      </c>
      <c r="H212" s="208">
        <f t="shared" si="721"/>
        <v>7.0978000000000003</v>
      </c>
      <c r="I212" s="208">
        <f t="shared" si="721"/>
        <v>7.2992999999999997</v>
      </c>
      <c r="J212" s="208">
        <f t="shared" si="721"/>
        <v>6.9936999999999996</v>
      </c>
      <c r="K212" s="208">
        <f t="shared" si="721"/>
        <v>6.899</v>
      </c>
      <c r="L212" s="14"/>
      <c r="M212" s="208">
        <f t="shared" si="721"/>
        <v>6.7114093959731544</v>
      </c>
      <c r="N212" s="208">
        <f t="shared" si="721"/>
        <v>6.8681318681318677</v>
      </c>
      <c r="O212" s="208">
        <f t="shared" si="721"/>
        <v>7.147962830593281</v>
      </c>
      <c r="P212" s="208">
        <f t="shared" si="721"/>
        <v>6.9637883008356543</v>
      </c>
      <c r="Q212" s="208">
        <f t="shared" si="721"/>
        <v>7.0821529745042495</v>
      </c>
      <c r="R212" s="208">
        <f t="shared" si="721"/>
        <v>7.0671378091872796</v>
      </c>
      <c r="S212" s="208">
        <f t="shared" si="721"/>
        <v>6.7934782608695654</v>
      </c>
      <c r="T212" s="208">
        <f t="shared" si="721"/>
        <v>6.5274151436031334</v>
      </c>
      <c r="U212" s="208">
        <f t="shared" si="721"/>
        <v>6.5530799475753598</v>
      </c>
      <c r="V212" s="208">
        <f t="shared" si="721"/>
        <v>6.455777921239509</v>
      </c>
      <c r="W212" s="208">
        <f t="shared" si="721"/>
        <v>6.4474532559638948</v>
      </c>
      <c r="X212" s="208">
        <f t="shared" si="721"/>
        <v>6.3691000000000004</v>
      </c>
      <c r="Y212" s="208">
        <f t="shared" si="721"/>
        <v>6.3492063492063489</v>
      </c>
      <c r="Z212" s="208">
        <f t="shared" si="721"/>
        <v>6.7024128686327078</v>
      </c>
      <c r="AA212" s="208">
        <f t="shared" si="721"/>
        <v>7.132667617689016</v>
      </c>
      <c r="AB212" s="208">
        <f t="shared" si="721"/>
        <v>6.8971999999999989</v>
      </c>
      <c r="AC212" s="208">
        <f t="shared" si="721"/>
        <v>6.8728522336769764</v>
      </c>
      <c r="AD212" s="208">
        <f t="shared" si="721"/>
        <v>7.2516316171138513</v>
      </c>
      <c r="AE212" s="208">
        <f t="shared" si="721"/>
        <v>7.3010000000000002</v>
      </c>
      <c r="AF212" s="208">
        <f t="shared" si="721"/>
        <v>7.0978000000000003</v>
      </c>
      <c r="AG212" s="208">
        <f t="shared" si="721"/>
        <v>7.1633237822349569</v>
      </c>
      <c r="AH212" s="208">
        <f t="shared" si="721"/>
        <v>7.2674418604651159</v>
      </c>
      <c r="AI212" s="208">
        <f t="shared" si="721"/>
        <v>7.0175999999999998</v>
      </c>
      <c r="AJ212" s="208">
        <f t="shared" si="721"/>
        <v>7.2992999999999997</v>
      </c>
      <c r="AK212" s="208">
        <f t="shared" si="721"/>
        <v>7.2568940493468794</v>
      </c>
      <c r="AL212" s="208">
        <f t="shared" si="721"/>
        <v>7.1633237822349569</v>
      </c>
      <c r="AM212" s="208">
        <f t="shared" si="721"/>
        <v>7.1196000000000002</v>
      </c>
      <c r="AN212" s="208">
        <f t="shared" si="721"/>
        <v>6.9936999999999996</v>
      </c>
      <c r="AO212" s="208">
        <f t="shared" ref="AO212" si="722">1/AO210</f>
        <v>6.899</v>
      </c>
    </row>
    <row r="213" spans="2:41" ht="13.5" customHeight="1">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row>
    <row r="214" spans="2:41" ht="13.5" customHeight="1">
      <c r="B214" s="51" t="s">
        <v>302</v>
      </c>
      <c r="C214" s="50">
        <f t="shared" ref="C214:K214" si="723">C3</f>
        <v>43465</v>
      </c>
      <c r="D214" s="50">
        <f t="shared" si="723"/>
        <v>43830</v>
      </c>
      <c r="E214" s="50">
        <f t="shared" si="723"/>
        <v>44196</v>
      </c>
      <c r="F214" s="50">
        <f t="shared" si="723"/>
        <v>44561</v>
      </c>
      <c r="G214" s="50">
        <f t="shared" si="723"/>
        <v>44926</v>
      </c>
      <c r="H214" s="50">
        <f t="shared" si="723"/>
        <v>45291</v>
      </c>
      <c r="I214" s="50">
        <f t="shared" si="723"/>
        <v>45657</v>
      </c>
      <c r="J214" s="50">
        <f t="shared" si="723"/>
        <v>46022</v>
      </c>
      <c r="K214" s="50">
        <f t="shared" si="723"/>
        <v>46112</v>
      </c>
      <c r="L214" s="14"/>
      <c r="M214" s="50">
        <f t="shared" ref="M214:AN214" si="724">M3</f>
        <v>43555</v>
      </c>
      <c r="N214" s="50">
        <f t="shared" si="724"/>
        <v>43646</v>
      </c>
      <c r="O214" s="50">
        <f t="shared" si="724"/>
        <v>43738</v>
      </c>
      <c r="P214" s="50">
        <f t="shared" si="724"/>
        <v>43830</v>
      </c>
      <c r="Q214" s="50">
        <f t="shared" si="724"/>
        <v>43921</v>
      </c>
      <c r="R214" s="50">
        <f t="shared" si="724"/>
        <v>44012</v>
      </c>
      <c r="S214" s="50">
        <f t="shared" si="724"/>
        <v>44104</v>
      </c>
      <c r="T214" s="50">
        <f t="shared" si="724"/>
        <v>44196</v>
      </c>
      <c r="U214" s="50">
        <f t="shared" si="724"/>
        <v>44286</v>
      </c>
      <c r="V214" s="50">
        <f t="shared" si="724"/>
        <v>44377</v>
      </c>
      <c r="W214" s="50">
        <f t="shared" si="724"/>
        <v>44469</v>
      </c>
      <c r="X214" s="50">
        <f t="shared" si="724"/>
        <v>44561</v>
      </c>
      <c r="Y214" s="50">
        <f t="shared" si="724"/>
        <v>44651</v>
      </c>
      <c r="Z214" s="50">
        <f t="shared" si="724"/>
        <v>44742</v>
      </c>
      <c r="AA214" s="50">
        <f t="shared" si="724"/>
        <v>44834</v>
      </c>
      <c r="AB214" s="50">
        <f t="shared" si="724"/>
        <v>44926</v>
      </c>
      <c r="AC214" s="50">
        <f t="shared" si="724"/>
        <v>45016</v>
      </c>
      <c r="AD214" s="50">
        <f t="shared" si="724"/>
        <v>45107</v>
      </c>
      <c r="AE214" s="50">
        <f t="shared" si="724"/>
        <v>45199</v>
      </c>
      <c r="AF214" s="50">
        <f t="shared" si="724"/>
        <v>45291</v>
      </c>
      <c r="AG214" s="50">
        <f t="shared" si="724"/>
        <v>45382</v>
      </c>
      <c r="AH214" s="50">
        <f t="shared" si="724"/>
        <v>45473</v>
      </c>
      <c r="AI214" s="50">
        <f t="shared" si="724"/>
        <v>45565</v>
      </c>
      <c r="AJ214" s="50">
        <f t="shared" si="724"/>
        <v>45657</v>
      </c>
      <c r="AK214" s="50">
        <f t="shared" si="724"/>
        <v>45747</v>
      </c>
      <c r="AL214" s="50">
        <f t="shared" si="724"/>
        <v>45838</v>
      </c>
      <c r="AM214" s="50">
        <f t="shared" si="724"/>
        <v>45930</v>
      </c>
      <c r="AN214" s="50">
        <f t="shared" si="724"/>
        <v>46022</v>
      </c>
      <c r="AO214" s="50">
        <f t="shared" ref="AO214" si="725">AO3</f>
        <v>46112</v>
      </c>
    </row>
    <row r="215" spans="2:41" ht="13.5" customHeight="1">
      <c r="B215" s="29" t="s">
        <v>289</v>
      </c>
      <c r="C215" s="14">
        <f t="shared" ref="C215:K215" si="726">C148*C$209</f>
        <v>9849.3189779999993</v>
      </c>
      <c r="D215" s="14">
        <f t="shared" si="726"/>
        <v>14131.8841419</v>
      </c>
      <c r="E215" s="14">
        <f t="shared" si="726"/>
        <v>16668.162851999998</v>
      </c>
      <c r="F215" s="14">
        <f t="shared" si="726"/>
        <v>27773.935498875882</v>
      </c>
      <c r="G215" s="14">
        <f t="shared" si="726"/>
        <v>32676.444074695824</v>
      </c>
      <c r="H215" s="14">
        <f t="shared" si="726"/>
        <v>39108.155841953543</v>
      </c>
      <c r="I215" s="14">
        <f t="shared" si="726"/>
        <v>47008.165334354817</v>
      </c>
      <c r="J215" s="14">
        <f t="shared" si="726"/>
        <v>50804.118935302788</v>
      </c>
      <c r="K215" s="14">
        <f t="shared" si="726"/>
        <v>52116.323454647289</v>
      </c>
      <c r="L215" s="14"/>
      <c r="M215" s="180"/>
      <c r="N215" s="180"/>
      <c r="O215" s="180"/>
      <c r="P215" s="14">
        <f t="shared" ref="P215:AN215" si="727">P148*P$211</f>
        <v>14131.8841419</v>
      </c>
      <c r="Q215" s="14">
        <f t="shared" si="727"/>
        <v>13631.483952450004</v>
      </c>
      <c r="R215" s="14">
        <f t="shared" si="727"/>
        <v>13792.120052000004</v>
      </c>
      <c r="S215" s="14">
        <f t="shared" si="727"/>
        <v>15017.416155525001</v>
      </c>
      <c r="T215" s="14">
        <f t="shared" si="727"/>
        <v>16668.162851999998</v>
      </c>
      <c r="U215" s="14">
        <f t="shared" si="727"/>
        <v>19995.171824249999</v>
      </c>
      <c r="V215" s="14">
        <f t="shared" si="727"/>
        <v>23368.397562000002</v>
      </c>
      <c r="W215" s="14">
        <f t="shared" si="727"/>
        <v>25798.444672000001</v>
      </c>
      <c r="X215" s="14">
        <f t="shared" si="727"/>
        <v>27812.119160431263</v>
      </c>
      <c r="Y215" s="14">
        <f t="shared" si="727"/>
        <v>29404.111456651761</v>
      </c>
      <c r="Z215" s="14">
        <f t="shared" si="727"/>
        <v>30324.245817384541</v>
      </c>
      <c r="AA215" s="14">
        <f t="shared" si="727"/>
        <v>32001.935361816926</v>
      </c>
      <c r="AB215" s="14">
        <f t="shared" si="727"/>
        <v>32749.2463482071</v>
      </c>
      <c r="AC215" s="14">
        <f t="shared" si="727"/>
        <v>33925.790176887465</v>
      </c>
      <c r="AD215" s="14">
        <f t="shared" si="727"/>
        <v>35901.190914676146</v>
      </c>
      <c r="AE215" s="14">
        <f t="shared" si="727"/>
        <v>37324.986111906466</v>
      </c>
      <c r="AF215" s="14">
        <f t="shared" si="727"/>
        <v>39102.0240457564</v>
      </c>
      <c r="AG215" s="14">
        <f t="shared" si="727"/>
        <v>40711.761053733331</v>
      </c>
      <c r="AH215" s="14">
        <f t="shared" si="727"/>
        <v>42325.599165955849</v>
      </c>
      <c r="AI215" s="14">
        <f t="shared" si="727"/>
        <v>44905.778845677203</v>
      </c>
      <c r="AJ215" s="14">
        <f t="shared" si="727"/>
        <v>47008.165334354817</v>
      </c>
      <c r="AK215" s="14">
        <f t="shared" si="727"/>
        <v>48610.019155271999</v>
      </c>
      <c r="AL215" s="14">
        <f t="shared" si="727"/>
        <v>49993.884696074238</v>
      </c>
      <c r="AM215" s="14">
        <f t="shared" si="727"/>
        <v>50229.116036170984</v>
      </c>
      <c r="AN215" s="14">
        <f t="shared" si="727"/>
        <v>50804.118935302788</v>
      </c>
      <c r="AO215" s="14">
        <f>AO148*AO$211</f>
        <v>52116.323454647289</v>
      </c>
    </row>
    <row r="216" spans="2:41" ht="13.5" customHeight="1">
      <c r="B216" s="29" t="s">
        <v>290</v>
      </c>
      <c r="C216" s="14">
        <f t="shared" ref="C216:K216" si="728">C149*C$209</f>
        <v>-714.80848100000003</v>
      </c>
      <c r="D216" s="14">
        <f t="shared" si="728"/>
        <v>1051.0515666000001</v>
      </c>
      <c r="E216" s="14">
        <f t="shared" si="728"/>
        <v>687.9339324</v>
      </c>
      <c r="F216" s="14">
        <f t="shared" si="728"/>
        <v>-1503.0740367470346</v>
      </c>
      <c r="G216" s="14">
        <f t="shared" si="728"/>
        <v>1444.6821564928023</v>
      </c>
      <c r="H216" s="14">
        <f t="shared" si="728"/>
        <v>3374.3171669210337</v>
      </c>
      <c r="I216" s="14">
        <f t="shared" si="728"/>
        <v>6839.6637845143032</v>
      </c>
      <c r="J216" s="14">
        <f t="shared" si="728"/>
        <v>-1919.2393515683088</v>
      </c>
      <c r="K216" s="14">
        <f t="shared" si="728"/>
        <v>-4107.1813788698018</v>
      </c>
      <c r="L216" s="14"/>
      <c r="M216" s="180"/>
      <c r="N216" s="180"/>
      <c r="O216" s="180"/>
      <c r="P216" s="14">
        <f t="shared" ref="P216:AN216" si="729">P149*P$211</f>
        <v>1051.0515666000001</v>
      </c>
      <c r="Q216" s="14">
        <f t="shared" si="729"/>
        <v>979.77987607500006</v>
      </c>
      <c r="R216" s="14">
        <f t="shared" si="729"/>
        <v>1010.403414</v>
      </c>
      <c r="S216" s="14">
        <f t="shared" si="729"/>
        <v>1073.1153046249999</v>
      </c>
      <c r="T216" s="14">
        <f t="shared" si="729"/>
        <v>687.9339324</v>
      </c>
      <c r="U216" s="14">
        <f t="shared" si="729"/>
        <v>342.56445615000007</v>
      </c>
      <c r="V216" s="14">
        <f t="shared" si="729"/>
        <v>-232.99475670000001</v>
      </c>
      <c r="W216" s="14">
        <f t="shared" si="729"/>
        <v>-1274.112224</v>
      </c>
      <c r="X216" s="14">
        <f t="shared" si="729"/>
        <v>-1505.1404659109587</v>
      </c>
      <c r="Y216" s="14">
        <f t="shared" si="729"/>
        <v>-1428.5516071972604</v>
      </c>
      <c r="Z216" s="14">
        <f t="shared" si="729"/>
        <v>-637.22550575141861</v>
      </c>
      <c r="AA216" s="14">
        <f t="shared" si="729"/>
        <v>726.70876591790613</v>
      </c>
      <c r="AB216" s="14">
        <f t="shared" si="729"/>
        <v>1447.9008710277567</v>
      </c>
      <c r="AC216" s="14">
        <f t="shared" si="729"/>
        <v>2603.5289099365609</v>
      </c>
      <c r="AD216" s="14">
        <f t="shared" si="729"/>
        <v>3125.610461597747</v>
      </c>
      <c r="AE216" s="14">
        <f t="shared" si="729"/>
        <v>3275.3569641352888</v>
      </c>
      <c r="AF216" s="14">
        <f t="shared" si="729"/>
        <v>3373.78810527835</v>
      </c>
      <c r="AG216" s="14">
        <f t="shared" si="729"/>
        <v>3588.6152003689322</v>
      </c>
      <c r="AH216" s="14">
        <f t="shared" si="729"/>
        <v>4569.3256308818291</v>
      </c>
      <c r="AI216" s="14">
        <f t="shared" si="729"/>
        <v>5751.1093078982767</v>
      </c>
      <c r="AJ216" s="14">
        <f t="shared" si="729"/>
        <v>6839.6637845143032</v>
      </c>
      <c r="AK216" s="14">
        <f t="shared" si="729"/>
        <v>7398.6278897026132</v>
      </c>
      <c r="AL216" s="14">
        <f t="shared" si="729"/>
        <v>5710.7915995811218</v>
      </c>
      <c r="AM216" s="14">
        <f t="shared" si="729"/>
        <v>1632.2556195770107</v>
      </c>
      <c r="AN216" s="14">
        <f t="shared" si="729"/>
        <v>-1919.2393515683088</v>
      </c>
      <c r="AO216" s="14">
        <f t="shared" ref="AO216" si="730">AO149*AO$211</f>
        <v>-4107.1813788698018</v>
      </c>
    </row>
    <row r="217" spans="2:41" ht="13.5" customHeight="1">
      <c r="B217" s="29" t="s">
        <v>291</v>
      </c>
      <c r="C217" s="30">
        <f t="shared" ref="C217:E217" si="731">C216/C215</f>
        <v>-7.2574406676912076E-2</v>
      </c>
      <c r="D217" s="30">
        <f t="shared" si="731"/>
        <v>7.437448227329499E-2</v>
      </c>
      <c r="E217" s="30">
        <f t="shared" si="731"/>
        <v>4.1272330880631841E-2</v>
      </c>
      <c r="F217" s="30">
        <f t="shared" ref="F217:G217" si="732">F216/F215</f>
        <v>-5.4118151055973673E-2</v>
      </c>
      <c r="G217" s="30">
        <f t="shared" si="732"/>
        <v>4.4211731031392844E-2</v>
      </c>
      <c r="H217" s="30">
        <f t="shared" ref="H217:I217" si="733">H216/H215</f>
        <v>8.6281674353491544E-2</v>
      </c>
      <c r="I217" s="30">
        <f t="shared" si="733"/>
        <v>0.1454994836719504</v>
      </c>
      <c r="J217" s="30">
        <f t="shared" ref="J217:K217" si="734">J216/J215</f>
        <v>-3.7777239164651019E-2</v>
      </c>
      <c r="K217" s="30">
        <f t="shared" si="734"/>
        <v>-7.8807964695436675E-2</v>
      </c>
      <c r="L217" s="30"/>
      <c r="M217" s="192"/>
      <c r="N217" s="192"/>
      <c r="O217" s="192"/>
      <c r="P217" s="30">
        <f t="shared" ref="P217:S217" si="735">P216/P215</f>
        <v>7.437448227329499E-2</v>
      </c>
      <c r="Q217" s="30">
        <f t="shared" si="735"/>
        <v>7.1876244691532865E-2</v>
      </c>
      <c r="R217" s="30">
        <f t="shared" si="735"/>
        <v>7.3259470639068347E-2</v>
      </c>
      <c r="S217" s="30">
        <f t="shared" si="735"/>
        <v>7.1458052005184264E-2</v>
      </c>
      <c r="T217" s="30">
        <f t="shared" ref="T217:W217" si="736">T216/T215</f>
        <v>4.1272330880631841E-2</v>
      </c>
      <c r="U217" s="30">
        <f t="shared" si="736"/>
        <v>1.7132358709443067E-2</v>
      </c>
      <c r="V217" s="30">
        <f t="shared" si="736"/>
        <v>-9.9705063679196917E-3</v>
      </c>
      <c r="W217" s="30">
        <f t="shared" si="736"/>
        <v>-4.9387171986489585E-2</v>
      </c>
      <c r="X217" s="30">
        <f t="shared" ref="X217:AA217" si="737">X216/X215</f>
        <v>-5.4118151055973673E-2</v>
      </c>
      <c r="Y217" s="30">
        <f t="shared" si="737"/>
        <v>-4.858339655334476E-2</v>
      </c>
      <c r="Z217" s="30">
        <f t="shared" si="737"/>
        <v>-2.1013729726003755E-2</v>
      </c>
      <c r="AA217" s="30">
        <f t="shared" si="737"/>
        <v>2.2708275537140728E-2</v>
      </c>
      <c r="AB217" s="30">
        <f t="shared" ref="AB217:AE217" si="738">AB216/AB215</f>
        <v>4.4211731031392844E-2</v>
      </c>
      <c r="AC217" s="30">
        <f t="shared" si="738"/>
        <v>7.6741879742870667E-2</v>
      </c>
      <c r="AD217" s="30">
        <f t="shared" si="738"/>
        <v>8.7061470161983401E-2</v>
      </c>
      <c r="AE217" s="30">
        <f t="shared" si="738"/>
        <v>8.7752396057569265E-2</v>
      </c>
      <c r="AF217" s="30">
        <f t="shared" ref="AF217:AI217" si="739">AF216/AF215</f>
        <v>8.6281674353491558E-2</v>
      </c>
      <c r="AG217" s="30">
        <f t="shared" si="739"/>
        <v>8.8146891892799867E-2</v>
      </c>
      <c r="AH217" s="30">
        <f t="shared" si="739"/>
        <v>0.1079565492496824</v>
      </c>
      <c r="AI217" s="30">
        <f t="shared" si="739"/>
        <v>0.12807058369174459</v>
      </c>
      <c r="AJ217" s="30">
        <f t="shared" ref="AJ217:AM217" si="740">AJ216/AJ215</f>
        <v>0.1454994836719504</v>
      </c>
      <c r="AK217" s="30">
        <f t="shared" si="740"/>
        <v>0.15220376412668407</v>
      </c>
      <c r="AL217" s="30">
        <f t="shared" si="740"/>
        <v>0.11422980299087582</v>
      </c>
      <c r="AM217" s="30">
        <f t="shared" si="740"/>
        <v>3.2496204360864943E-2</v>
      </c>
      <c r="AN217" s="30">
        <f t="shared" ref="AN217:AO217" si="741">AN216/AN215</f>
        <v>-3.7777239164651019E-2</v>
      </c>
      <c r="AO217" s="30">
        <f t="shared" si="741"/>
        <v>-7.8807964695436675E-2</v>
      </c>
    </row>
    <row r="218" spans="2:41" ht="13.5" customHeight="1">
      <c r="B218" s="29" t="s">
        <v>269</v>
      </c>
      <c r="C218" s="14">
        <f t="shared" ref="C218:K218" si="742">C151*C$210</f>
        <v>329.83913680000006</v>
      </c>
      <c r="D218" s="14">
        <f t="shared" si="742"/>
        <v>796.41450320000001</v>
      </c>
      <c r="E218" s="14">
        <f t="shared" si="742"/>
        <v>3694.9388800000002</v>
      </c>
      <c r="F218" s="14">
        <f t="shared" si="742"/>
        <v>9260.2329999528974</v>
      </c>
      <c r="G218" s="14">
        <f t="shared" si="742"/>
        <v>8421.9139650872821</v>
      </c>
      <c r="H218" s="14">
        <f t="shared" si="742"/>
        <v>8540.8012341852409</v>
      </c>
      <c r="I218" s="14">
        <f t="shared" si="742"/>
        <v>8426.7761292178693</v>
      </c>
      <c r="J218" s="14">
        <f t="shared" si="742"/>
        <v>12385.304774296868</v>
      </c>
      <c r="K218" s="14">
        <f t="shared" si="742"/>
        <v>16350.758805624002</v>
      </c>
      <c r="L218" s="14"/>
      <c r="M218" s="14">
        <f t="shared" ref="M218:AN218" si="743">M151*M$210</f>
        <v>647.53462999999999</v>
      </c>
      <c r="N218" s="14">
        <f t="shared" si="743"/>
        <v>810.38397440000017</v>
      </c>
      <c r="O218" s="14">
        <f t="shared" si="743"/>
        <v>790.66107839999995</v>
      </c>
      <c r="P218" s="14">
        <f t="shared" si="743"/>
        <v>796.41450320000001</v>
      </c>
      <c r="Q218" s="14">
        <f t="shared" si="743"/>
        <v>784.61465319999991</v>
      </c>
      <c r="R218" s="14">
        <f t="shared" si="743"/>
        <v>703.80203899999992</v>
      </c>
      <c r="S218" s="14">
        <f t="shared" si="743"/>
        <v>1453.7452864000002</v>
      </c>
      <c r="T218" s="14">
        <f t="shared" si="743"/>
        <v>3694.9388800000002</v>
      </c>
      <c r="U218" s="14">
        <f t="shared" si="743"/>
        <v>1837.8773182000004</v>
      </c>
      <c r="V218" s="14">
        <f t="shared" si="743"/>
        <v>8228.8182226999998</v>
      </c>
      <c r="W218" s="14">
        <f t="shared" si="743"/>
        <v>9128.7354345000003</v>
      </c>
      <c r="X218" s="14">
        <f t="shared" si="743"/>
        <v>9260.2329999528974</v>
      </c>
      <c r="Y218" s="14">
        <f t="shared" si="743"/>
        <v>9760.479907500001</v>
      </c>
      <c r="Z218" s="14">
        <f t="shared" si="743"/>
        <v>9756.1366751999994</v>
      </c>
      <c r="AA218" s="14">
        <f t="shared" si="743"/>
        <v>9254.3392652000002</v>
      </c>
      <c r="AB218" s="14">
        <f t="shared" si="743"/>
        <v>8421.9139650872821</v>
      </c>
      <c r="AC218" s="14">
        <f t="shared" si="743"/>
        <v>8391.1684754999987</v>
      </c>
      <c r="AD218" s="14">
        <f t="shared" si="743"/>
        <v>8133.9870961999995</v>
      </c>
      <c r="AE218" s="14">
        <f t="shared" si="743"/>
        <v>8611.7057937268855</v>
      </c>
      <c r="AF218" s="14">
        <f t="shared" si="743"/>
        <v>8540.8012341852409</v>
      </c>
      <c r="AG218" s="14">
        <f t="shared" si="743"/>
        <v>7398.5445319999999</v>
      </c>
      <c r="AH218" s="14">
        <f t="shared" si="743"/>
        <v>4442.437328</v>
      </c>
      <c r="AI218" s="14">
        <f t="shared" si="743"/>
        <v>5891.2142327861375</v>
      </c>
      <c r="AJ218" s="14">
        <f t="shared" si="743"/>
        <v>8426.7761292178693</v>
      </c>
      <c r="AK218" s="14">
        <f t="shared" si="743"/>
        <v>8551.2485890000007</v>
      </c>
      <c r="AL218" s="14">
        <f t="shared" si="743"/>
        <v>7116.4453192000001</v>
      </c>
      <c r="AM218" s="14">
        <f t="shared" si="743"/>
        <v>7200.6782684420477</v>
      </c>
      <c r="AN218" s="14">
        <f t="shared" si="743"/>
        <v>12385.304774296868</v>
      </c>
      <c r="AO218" s="14">
        <f t="shared" ref="AO218" si="744">AO151*AO$210</f>
        <v>16350.758805624002</v>
      </c>
    </row>
    <row r="219" spans="2:41" ht="13.5" customHeight="1">
      <c r="B219" s="29" t="s">
        <v>292</v>
      </c>
      <c r="C219" s="14">
        <f t="shared" ref="C219:K219" si="745">C152*C$210</f>
        <v>2476.4484476000002</v>
      </c>
      <c r="D219" s="14">
        <f t="shared" si="745"/>
        <v>1923.692166</v>
      </c>
      <c r="E219" s="14">
        <f t="shared" si="745"/>
        <v>2618.7332388000004</v>
      </c>
      <c r="F219" s="14">
        <f t="shared" si="745"/>
        <v>18337.825438444994</v>
      </c>
      <c r="G219" s="14">
        <f t="shared" si="745"/>
        <v>16243.095169054111</v>
      </c>
      <c r="H219" s="14">
        <f t="shared" si="745"/>
        <v>20451.468483191977</v>
      </c>
      <c r="I219" s="14">
        <f t="shared" si="745"/>
        <v>23049.231844149435</v>
      </c>
      <c r="J219" s="14">
        <f t="shared" si="745"/>
        <v>23854.855655804513</v>
      </c>
      <c r="K219" s="14">
        <f t="shared" si="745"/>
        <v>26144.391216118278</v>
      </c>
      <c r="L219" s="14"/>
      <c r="M219" s="14">
        <f t="shared" ref="M219:AN219" si="746">M152*M$210</f>
        <v>1609.5722019999998</v>
      </c>
      <c r="N219" s="14">
        <f t="shared" si="746"/>
        <v>1490.5436</v>
      </c>
      <c r="O219" s="14">
        <f t="shared" si="746"/>
        <v>2118.0609578999997</v>
      </c>
      <c r="P219" s="14">
        <f t="shared" si="746"/>
        <v>1923.692166</v>
      </c>
      <c r="Q219" s="14">
        <f t="shared" si="746"/>
        <v>1996.2613135999998</v>
      </c>
      <c r="R219" s="14">
        <f t="shared" si="746"/>
        <v>1971.8104239999998</v>
      </c>
      <c r="S219" s="14">
        <f t="shared" si="746"/>
        <v>2898.3092671999998</v>
      </c>
      <c r="T219" s="14">
        <f t="shared" si="746"/>
        <v>2618.7332388000004</v>
      </c>
      <c r="U219" s="14">
        <f t="shared" si="746"/>
        <v>2715.1968452000001</v>
      </c>
      <c r="V219" s="14">
        <f t="shared" si="746"/>
        <v>18976.746179100002</v>
      </c>
      <c r="W219" s="14">
        <f t="shared" si="746"/>
        <v>18750.4393131</v>
      </c>
      <c r="X219" s="14">
        <f t="shared" si="746"/>
        <v>18337.825438444994</v>
      </c>
      <c r="Y219" s="14">
        <f t="shared" si="746"/>
        <v>16293.074332499998</v>
      </c>
      <c r="Z219" s="14">
        <f t="shared" si="746"/>
        <v>16044.837748400001</v>
      </c>
      <c r="AA219" s="14">
        <f t="shared" si="746"/>
        <v>15634.756584399998</v>
      </c>
      <c r="AB219" s="14">
        <f t="shared" si="746"/>
        <v>16243.095169054111</v>
      </c>
      <c r="AC219" s="14">
        <f t="shared" si="746"/>
        <v>16208.762419499999</v>
      </c>
      <c r="AD219" s="14">
        <f t="shared" si="746"/>
        <v>16574.4674228</v>
      </c>
      <c r="AE219" s="14">
        <f t="shared" si="746"/>
        <v>18301.642240788929</v>
      </c>
      <c r="AF219" s="14">
        <f t="shared" si="746"/>
        <v>20451.468483191977</v>
      </c>
      <c r="AG219" s="14">
        <f t="shared" si="746"/>
        <v>19347.761627599997</v>
      </c>
      <c r="AH219" s="14">
        <f t="shared" si="746"/>
        <v>18335.505059200001</v>
      </c>
      <c r="AI219" s="14">
        <f t="shared" si="746"/>
        <v>19118.006013451894</v>
      </c>
      <c r="AJ219" s="14">
        <f t="shared" si="746"/>
        <v>23049.231844149435</v>
      </c>
      <c r="AK219" s="14">
        <f t="shared" si="746"/>
        <v>24856.7723014</v>
      </c>
      <c r="AL219" s="14">
        <f t="shared" si="746"/>
        <v>23874.064219200001</v>
      </c>
      <c r="AM219" s="14">
        <f t="shared" si="746"/>
        <v>19844.90125849767</v>
      </c>
      <c r="AN219" s="14">
        <f t="shared" si="746"/>
        <v>23854.855655804513</v>
      </c>
      <c r="AO219" s="14">
        <f t="shared" ref="AO219" si="747">AO152*AO$210</f>
        <v>26144.391216118278</v>
      </c>
    </row>
    <row r="220" spans="2:41" ht="13.5" customHeight="1">
      <c r="B220" s="29" t="s">
        <v>293</v>
      </c>
      <c r="C220" s="14">
        <f t="shared" ref="C220:K220" si="748">C153*C$210</f>
        <v>-2146.6093108</v>
      </c>
      <c r="D220" s="14">
        <f t="shared" si="748"/>
        <v>-1127.2776627999999</v>
      </c>
      <c r="E220" s="14">
        <f t="shared" si="748"/>
        <v>1076.2056412000002</v>
      </c>
      <c r="F220" s="14">
        <f t="shared" si="748"/>
        <v>-9077.5924384920945</v>
      </c>
      <c r="G220" s="14">
        <f t="shared" si="748"/>
        <v>-7821.1812039668284</v>
      </c>
      <c r="H220" s="14">
        <f t="shared" si="748"/>
        <v>-11910.667249006736</v>
      </c>
      <c r="I220" s="14">
        <f t="shared" si="748"/>
        <v>-14622.455714931566</v>
      </c>
      <c r="J220" s="14">
        <f t="shared" si="748"/>
        <v>-11469.550881507643</v>
      </c>
      <c r="K220" s="14">
        <f t="shared" si="748"/>
        <v>-9793.6324104942742</v>
      </c>
      <c r="L220" s="14"/>
      <c r="M220" s="14">
        <f t="shared" ref="M220:AN220" si="749">M153*M$210</f>
        <v>-962.03757199999995</v>
      </c>
      <c r="N220" s="14">
        <f t="shared" si="749"/>
        <v>-680.15962559999991</v>
      </c>
      <c r="O220" s="14">
        <f t="shared" si="749"/>
        <v>-1327.3998795</v>
      </c>
      <c r="P220" s="14">
        <f t="shared" si="749"/>
        <v>-1127.2776627999999</v>
      </c>
      <c r="Q220" s="14">
        <f t="shared" si="749"/>
        <v>-1211.6466603999997</v>
      </c>
      <c r="R220" s="14">
        <f t="shared" si="749"/>
        <v>-1268.0083849999999</v>
      </c>
      <c r="S220" s="14">
        <f t="shared" si="749"/>
        <v>-1444.5639807999996</v>
      </c>
      <c r="T220" s="14">
        <f t="shared" si="749"/>
        <v>1076.2056412000002</v>
      </c>
      <c r="U220" s="14">
        <f t="shared" si="749"/>
        <v>-877.31952699999954</v>
      </c>
      <c r="V220" s="14">
        <f t="shared" si="749"/>
        <v>-10747.927956400004</v>
      </c>
      <c r="W220" s="14">
        <f t="shared" si="749"/>
        <v>-9621.7038785999994</v>
      </c>
      <c r="X220" s="14">
        <f t="shared" si="749"/>
        <v>-9077.5924384920945</v>
      </c>
      <c r="Y220" s="14">
        <f t="shared" si="749"/>
        <v>-6532.5944249999966</v>
      </c>
      <c r="Z220" s="14">
        <f t="shared" si="749"/>
        <v>-6288.7010732000008</v>
      </c>
      <c r="AA220" s="14">
        <f t="shared" si="749"/>
        <v>-6380.4173191999989</v>
      </c>
      <c r="AB220" s="14">
        <f t="shared" si="749"/>
        <v>-7821.1812039668284</v>
      </c>
      <c r="AC220" s="14">
        <f t="shared" si="749"/>
        <v>-7817.5939440000002</v>
      </c>
      <c r="AD220" s="14">
        <f t="shared" si="749"/>
        <v>-8440.4803265999999</v>
      </c>
      <c r="AE220" s="14">
        <f t="shared" si="749"/>
        <v>-9689.9364470620421</v>
      </c>
      <c r="AF220" s="14">
        <f t="shared" si="749"/>
        <v>-11910.667249006736</v>
      </c>
      <c r="AG220" s="14">
        <f t="shared" si="749"/>
        <v>-11949.217095599999</v>
      </c>
      <c r="AH220" s="14">
        <f t="shared" si="749"/>
        <v>-13893.067731200001</v>
      </c>
      <c r="AI220" s="14">
        <f t="shared" si="749"/>
        <v>-13226.791780665755</v>
      </c>
      <c r="AJ220" s="14">
        <f t="shared" si="749"/>
        <v>-14622.455714931566</v>
      </c>
      <c r="AK220" s="14">
        <f t="shared" si="749"/>
        <v>-16305.523712399998</v>
      </c>
      <c r="AL220" s="14">
        <f t="shared" si="749"/>
        <v>-16757.618900000001</v>
      </c>
      <c r="AM220" s="14">
        <f t="shared" si="749"/>
        <v>-12644.222990055625</v>
      </c>
      <c r="AN220" s="14">
        <f t="shared" si="749"/>
        <v>-11469.550881507643</v>
      </c>
      <c r="AO220" s="14">
        <f t="shared" ref="AO220" si="750">AO153*AO$210</f>
        <v>-9793.6324104942742</v>
      </c>
    </row>
    <row r="221" spans="2:41" ht="13.5" customHeight="1">
      <c r="B221" s="29" t="s">
        <v>294</v>
      </c>
      <c r="C221" s="36">
        <f t="shared" ref="C221:E221" si="751">C218/C216</f>
        <v>-0.46143707799684047</v>
      </c>
      <c r="D221" s="36">
        <f t="shared" si="751"/>
        <v>0.75773114137138464</v>
      </c>
      <c r="E221" s="36">
        <f t="shared" si="751"/>
        <v>5.3710664730687734</v>
      </c>
      <c r="F221" s="36">
        <f t="shared" ref="F221:G221" si="752">F218/F216</f>
        <v>-6.1608628540973083</v>
      </c>
      <c r="G221" s="36">
        <f t="shared" si="752"/>
        <v>5.8295964459980798</v>
      </c>
      <c r="H221" s="36">
        <f t="shared" ref="H221:I221" si="753">H218/H216</f>
        <v>2.5311198715734458</v>
      </c>
      <c r="I221" s="36">
        <f t="shared" si="753"/>
        <v>1.2320453745543678</v>
      </c>
      <c r="J221" s="36">
        <f t="shared" ref="J221:K221" si="754">J218/J216</f>
        <v>-6.4532361553425845</v>
      </c>
      <c r="K221" s="36">
        <f t="shared" si="754"/>
        <v>-3.9810169791243406</v>
      </c>
      <c r="L221" s="36"/>
      <c r="M221" s="193"/>
      <c r="N221" s="193"/>
      <c r="O221" s="193"/>
      <c r="P221" s="36">
        <f t="shared" ref="P221:S221" si="755">P218/P216</f>
        <v>0.75773114137138464</v>
      </c>
      <c r="Q221" s="36">
        <f t="shared" si="755"/>
        <v>0.80080707142421381</v>
      </c>
      <c r="R221" s="36">
        <f t="shared" si="755"/>
        <v>0.69655548392673972</v>
      </c>
      <c r="S221" s="36">
        <f t="shared" si="755"/>
        <v>1.3546962569022454</v>
      </c>
      <c r="T221" s="36">
        <f t="shared" ref="T221:W221" si="756">T218/T216</f>
        <v>5.3710664730687734</v>
      </c>
      <c r="U221" s="36">
        <f t="shared" si="756"/>
        <v>5.3650554959947208</v>
      </c>
      <c r="V221" s="36">
        <f t="shared" si="756"/>
        <v>-35.317611173951363</v>
      </c>
      <c r="W221" s="36">
        <f t="shared" si="756"/>
        <v>-7.1647812983387569</v>
      </c>
      <c r="X221" s="36">
        <f t="shared" ref="X221:AA221" si="757">X218/X216</f>
        <v>-6.152404516178037</v>
      </c>
      <c r="Y221" s="36">
        <f t="shared" si="757"/>
        <v>-6.8324307349662536</v>
      </c>
      <c r="Z221" s="36">
        <f t="shared" si="757"/>
        <v>-15.310336116718254</v>
      </c>
      <c r="AA221" s="36">
        <f t="shared" si="757"/>
        <v>12.734591488669937</v>
      </c>
      <c r="AB221" s="36">
        <f t="shared" ref="AB221:AE221" si="758">AB218/AB216</f>
        <v>5.8166371286932055</v>
      </c>
      <c r="AC221" s="36">
        <f t="shared" si="758"/>
        <v>3.222998002240145</v>
      </c>
      <c r="AD221" s="36">
        <f t="shared" si="758"/>
        <v>2.602367504248138</v>
      </c>
      <c r="AE221" s="36">
        <f t="shared" si="758"/>
        <v>2.6292419079886216</v>
      </c>
      <c r="AF221" s="36">
        <f t="shared" ref="AF221:AI221" si="759">AF218/AF216</f>
        <v>2.5315167899320676</v>
      </c>
      <c r="AG221" s="36">
        <f t="shared" si="759"/>
        <v>2.06167117924468</v>
      </c>
      <c r="AH221" s="36">
        <f t="shared" si="759"/>
        <v>0.97223040922619886</v>
      </c>
      <c r="AI221" s="36">
        <f t="shared" si="759"/>
        <v>1.0243613740214341</v>
      </c>
      <c r="AJ221" s="36">
        <f t="shared" ref="AJ221:AM221" si="760">AJ218/AJ216</f>
        <v>1.2320453745543678</v>
      </c>
      <c r="AK221" s="36">
        <f t="shared" si="760"/>
        <v>1.1557884403000727</v>
      </c>
      <c r="AL221" s="36">
        <f t="shared" si="760"/>
        <v>1.2461399081209654</v>
      </c>
      <c r="AM221" s="36">
        <f t="shared" si="760"/>
        <v>4.4114893415456953</v>
      </c>
      <c r="AN221" s="36">
        <f t="shared" ref="AN221:AO221" si="761">AN218/AN216</f>
        <v>-6.4532361553425845</v>
      </c>
      <c r="AO221" s="36">
        <f t="shared" si="761"/>
        <v>-3.9810169791243406</v>
      </c>
    </row>
    <row r="222" spans="2:41" ht="13.5" customHeight="1">
      <c r="B222" s="29" t="s">
        <v>295</v>
      </c>
      <c r="C222" s="36">
        <f t="shared" ref="C222:E222" si="762">C220/C216</f>
        <v>3.0030551789158193</v>
      </c>
      <c r="D222" s="36">
        <f t="shared" si="762"/>
        <v>-1.072523650239712</v>
      </c>
      <c r="E222" s="36">
        <f t="shared" si="762"/>
        <v>1.5644026126832178</v>
      </c>
      <c r="F222" s="36" t="str">
        <f t="shared" ref="F222:K222" si="763">F136</f>
        <v>net cash</v>
      </c>
      <c r="G222" s="36" t="str">
        <f t="shared" si="763"/>
        <v>net cash</v>
      </c>
      <c r="H222" s="36" t="str">
        <f t="shared" si="763"/>
        <v>net cash</v>
      </c>
      <c r="I222" s="36" t="str">
        <f t="shared" si="763"/>
        <v>net cash</v>
      </c>
      <c r="J222" s="36" t="str">
        <f t="shared" si="763"/>
        <v>net cash</v>
      </c>
      <c r="K222" s="36" t="str">
        <f t="shared" si="763"/>
        <v>net cash</v>
      </c>
      <c r="L222" s="36"/>
      <c r="M222" s="193"/>
      <c r="N222" s="193"/>
      <c r="O222" s="193"/>
      <c r="P222" s="36">
        <f t="shared" ref="P222:S222" si="764">P220/P216</f>
        <v>-1.072523650239712</v>
      </c>
      <c r="Q222" s="36">
        <f t="shared" si="764"/>
        <v>-1.236651915381094</v>
      </c>
      <c r="R222" s="36">
        <f t="shared" si="764"/>
        <v>-1.2549525936182158</v>
      </c>
      <c r="S222" s="36">
        <f t="shared" si="764"/>
        <v>-1.3461405075243078</v>
      </c>
      <c r="T222" s="36">
        <f t="shared" ref="T222:U222" si="765">T220/T216</f>
        <v>1.5644026126832178</v>
      </c>
      <c r="U222" s="36">
        <f t="shared" si="765"/>
        <v>-2.5610348979575517</v>
      </c>
      <c r="V222" s="36" t="str">
        <f t="shared" ref="V222:AN222" si="766">V136</f>
        <v>net cash</v>
      </c>
      <c r="W222" s="36" t="str">
        <f t="shared" si="766"/>
        <v>net cash</v>
      </c>
      <c r="X222" s="36" t="str">
        <f t="shared" si="766"/>
        <v>net cash</v>
      </c>
      <c r="Y222" s="36" t="str">
        <f t="shared" si="766"/>
        <v>net cash</v>
      </c>
      <c r="Z222" s="36" t="str">
        <f t="shared" si="766"/>
        <v>net cash</v>
      </c>
      <c r="AA222" s="36" t="str">
        <f t="shared" si="766"/>
        <v>net cash</v>
      </c>
      <c r="AB222" s="36" t="str">
        <f t="shared" si="766"/>
        <v>net cash</v>
      </c>
      <c r="AC222" s="36" t="str">
        <f t="shared" si="766"/>
        <v>net cash</v>
      </c>
      <c r="AD222" s="36" t="str">
        <f t="shared" si="766"/>
        <v>net cash</v>
      </c>
      <c r="AE222" s="36" t="str">
        <f t="shared" si="766"/>
        <v>net cash</v>
      </c>
      <c r="AF222" s="36" t="str">
        <f t="shared" si="766"/>
        <v>net cash</v>
      </c>
      <c r="AG222" s="36" t="str">
        <f t="shared" si="766"/>
        <v>net cash</v>
      </c>
      <c r="AH222" s="36" t="str">
        <f t="shared" si="766"/>
        <v>net cash</v>
      </c>
      <c r="AI222" s="36" t="str">
        <f t="shared" si="766"/>
        <v>net cash</v>
      </c>
      <c r="AJ222" s="36" t="str">
        <f t="shared" si="766"/>
        <v>net cash</v>
      </c>
      <c r="AK222" s="36" t="str">
        <f t="shared" si="766"/>
        <v>net cash</v>
      </c>
      <c r="AL222" s="36" t="str">
        <f t="shared" si="766"/>
        <v>net cash</v>
      </c>
      <c r="AM222" s="36" t="str">
        <f t="shared" si="766"/>
        <v>net cash</v>
      </c>
      <c r="AN222" s="36" t="str">
        <f t="shared" si="766"/>
        <v>net cash</v>
      </c>
      <c r="AO222" s="36" t="str">
        <f t="shared" ref="AO222" si="767">AO136</f>
        <v>net cash</v>
      </c>
    </row>
    <row r="223" spans="2:41" ht="13.5" customHeight="1">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row>
    <row r="224" spans="2:41" ht="13.5" customHeight="1">
      <c r="B224" s="54" t="s">
        <v>296</v>
      </c>
      <c r="C224" s="53"/>
      <c r="D224" s="53"/>
      <c r="E224" s="53"/>
      <c r="F224" s="53"/>
      <c r="G224" s="53"/>
      <c r="H224" s="53"/>
      <c r="I224" s="53"/>
      <c r="J224" s="53"/>
      <c r="K224" s="53"/>
      <c r="L224" s="1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row>
    <row r="225" spans="2:41" s="52" customFormat="1" ht="13.5" customHeight="1">
      <c r="B225" s="51" t="s">
        <v>303</v>
      </c>
      <c r="C225" s="50">
        <f t="shared" ref="C225:K225" si="768">C3</f>
        <v>43465</v>
      </c>
      <c r="D225" s="50">
        <f t="shared" si="768"/>
        <v>43830</v>
      </c>
      <c r="E225" s="50">
        <f t="shared" si="768"/>
        <v>44196</v>
      </c>
      <c r="F225" s="50">
        <f t="shared" si="768"/>
        <v>44561</v>
      </c>
      <c r="G225" s="50">
        <f t="shared" si="768"/>
        <v>44926</v>
      </c>
      <c r="H225" s="50">
        <f t="shared" si="768"/>
        <v>45291</v>
      </c>
      <c r="I225" s="50">
        <f t="shared" si="768"/>
        <v>45657</v>
      </c>
      <c r="J225" s="50">
        <f t="shared" si="768"/>
        <v>46022</v>
      </c>
      <c r="K225" s="50">
        <f t="shared" si="768"/>
        <v>46112</v>
      </c>
      <c r="L225" s="146"/>
      <c r="M225" s="50">
        <f t="shared" ref="M225:AN225" si="769">M3</f>
        <v>43555</v>
      </c>
      <c r="N225" s="50">
        <f t="shared" si="769"/>
        <v>43646</v>
      </c>
      <c r="O225" s="50">
        <f t="shared" si="769"/>
        <v>43738</v>
      </c>
      <c r="P225" s="50">
        <f t="shared" si="769"/>
        <v>43830</v>
      </c>
      <c r="Q225" s="50">
        <f t="shared" si="769"/>
        <v>43921</v>
      </c>
      <c r="R225" s="50">
        <f t="shared" si="769"/>
        <v>44012</v>
      </c>
      <c r="S225" s="50">
        <f t="shared" si="769"/>
        <v>44104</v>
      </c>
      <c r="T225" s="50">
        <f t="shared" si="769"/>
        <v>44196</v>
      </c>
      <c r="U225" s="50">
        <f t="shared" si="769"/>
        <v>44286</v>
      </c>
      <c r="V225" s="50">
        <f t="shared" si="769"/>
        <v>44377</v>
      </c>
      <c r="W225" s="50">
        <f t="shared" si="769"/>
        <v>44469</v>
      </c>
      <c r="X225" s="50">
        <f t="shared" si="769"/>
        <v>44561</v>
      </c>
      <c r="Y225" s="50">
        <f t="shared" si="769"/>
        <v>44651</v>
      </c>
      <c r="Z225" s="50">
        <f t="shared" si="769"/>
        <v>44742</v>
      </c>
      <c r="AA225" s="50">
        <f t="shared" si="769"/>
        <v>44834</v>
      </c>
      <c r="AB225" s="50">
        <f t="shared" si="769"/>
        <v>44926</v>
      </c>
      <c r="AC225" s="50">
        <f t="shared" si="769"/>
        <v>45016</v>
      </c>
      <c r="AD225" s="50">
        <f t="shared" si="769"/>
        <v>45107</v>
      </c>
      <c r="AE225" s="50">
        <f t="shared" si="769"/>
        <v>45199</v>
      </c>
      <c r="AF225" s="50">
        <f t="shared" si="769"/>
        <v>45291</v>
      </c>
      <c r="AG225" s="50">
        <f t="shared" si="769"/>
        <v>45382</v>
      </c>
      <c r="AH225" s="50">
        <f t="shared" si="769"/>
        <v>45473</v>
      </c>
      <c r="AI225" s="50">
        <f t="shared" si="769"/>
        <v>45565</v>
      </c>
      <c r="AJ225" s="50">
        <f t="shared" si="769"/>
        <v>45657</v>
      </c>
      <c r="AK225" s="50">
        <f t="shared" si="769"/>
        <v>45747</v>
      </c>
      <c r="AL225" s="50">
        <f t="shared" si="769"/>
        <v>45838</v>
      </c>
      <c r="AM225" s="50">
        <f t="shared" si="769"/>
        <v>45930</v>
      </c>
      <c r="AN225" s="50">
        <f t="shared" si="769"/>
        <v>46022</v>
      </c>
      <c r="AO225" s="50">
        <f t="shared" ref="AO225" si="770">AO3</f>
        <v>46112</v>
      </c>
    </row>
    <row r="226" spans="2:41" s="32" customFormat="1" ht="13.5" customHeight="1">
      <c r="B226" s="51"/>
      <c r="C226" s="50" t="s">
        <v>188</v>
      </c>
      <c r="D226" s="50" t="s">
        <v>188</v>
      </c>
      <c r="E226" s="50" t="s">
        <v>188</v>
      </c>
      <c r="F226" s="50" t="s">
        <v>188</v>
      </c>
      <c r="G226" s="50" t="s">
        <v>188</v>
      </c>
      <c r="H226" s="50" t="s">
        <v>188</v>
      </c>
      <c r="I226" s="50" t="s">
        <v>188</v>
      </c>
      <c r="J226" s="50" t="s">
        <v>188</v>
      </c>
      <c r="K226" s="50" t="s">
        <v>188</v>
      </c>
      <c r="L226" s="146"/>
      <c r="M226" s="50" t="s">
        <v>188</v>
      </c>
      <c r="N226" s="50" t="s">
        <v>188</v>
      </c>
      <c r="O226" s="50" t="s">
        <v>188</v>
      </c>
      <c r="P226" s="50" t="s">
        <v>188</v>
      </c>
      <c r="Q226" s="50" t="s">
        <v>188</v>
      </c>
      <c r="R226" s="50" t="s">
        <v>188</v>
      </c>
      <c r="S226" s="50" t="s">
        <v>188</v>
      </c>
      <c r="T226" s="50" t="s">
        <v>188</v>
      </c>
      <c r="U226" s="50" t="s">
        <v>188</v>
      </c>
      <c r="V226" s="50" t="s">
        <v>188</v>
      </c>
      <c r="W226" s="50" t="s">
        <v>188</v>
      </c>
      <c r="X226" s="50" t="s">
        <v>188</v>
      </c>
      <c r="Y226" s="50" t="s">
        <v>188</v>
      </c>
      <c r="Z226" s="50" t="s">
        <v>188</v>
      </c>
      <c r="AA226" s="50" t="s">
        <v>188</v>
      </c>
      <c r="AB226" s="50" t="s">
        <v>188</v>
      </c>
      <c r="AC226" s="50" t="s">
        <v>188</v>
      </c>
      <c r="AD226" s="50" t="s">
        <v>188</v>
      </c>
      <c r="AE226" s="50" t="s">
        <v>188</v>
      </c>
      <c r="AF226" s="50" t="s">
        <v>188</v>
      </c>
      <c r="AG226" s="50" t="s">
        <v>188</v>
      </c>
      <c r="AH226" s="50" t="s">
        <v>188</v>
      </c>
      <c r="AI226" s="50" t="s">
        <v>188</v>
      </c>
      <c r="AJ226" s="50" t="s">
        <v>188</v>
      </c>
      <c r="AK226" s="50" t="s">
        <v>188</v>
      </c>
      <c r="AL226" s="50" t="s">
        <v>188</v>
      </c>
      <c r="AM226" s="50" t="s">
        <v>188</v>
      </c>
      <c r="AN226" s="50" t="s">
        <v>188</v>
      </c>
      <c r="AO226" s="50" t="s">
        <v>188</v>
      </c>
    </row>
    <row r="227" spans="2:41" ht="13.5" customHeight="1"/>
    <row r="228" spans="2:41" s="32" customFormat="1" ht="13.5" customHeight="1">
      <c r="B228" s="32" t="str">
        <f>B7</f>
        <v>Revenue</v>
      </c>
      <c r="C228" s="48">
        <f t="shared" ref="C228:K228" si="771">C7*C$209</f>
        <v>9849.3189779999993</v>
      </c>
      <c r="D228" s="48">
        <f t="shared" si="771"/>
        <v>14131.8841419</v>
      </c>
      <c r="E228" s="48">
        <f t="shared" si="771"/>
        <v>16668.162851999998</v>
      </c>
      <c r="F228" s="48">
        <f t="shared" si="771"/>
        <v>27773.935498875882</v>
      </c>
      <c r="G228" s="48">
        <f t="shared" si="771"/>
        <v>32676.444074695824</v>
      </c>
      <c r="H228" s="48">
        <f t="shared" si="771"/>
        <v>39108.155841953543</v>
      </c>
      <c r="I228" s="48">
        <f t="shared" si="771"/>
        <v>47008.165334354817</v>
      </c>
      <c r="J228" s="48">
        <f t="shared" si="771"/>
        <v>50804.118935302788</v>
      </c>
      <c r="K228" s="48">
        <f t="shared" si="771"/>
        <v>52116.323454647289</v>
      </c>
      <c r="L228" s="48"/>
      <c r="M228" s="48">
        <f t="shared" ref="M228:AN228" si="772">M7*M$209</f>
        <v>2858.7706392</v>
      </c>
      <c r="N228" s="48">
        <f t="shared" si="772"/>
        <v>3321.4689431000002</v>
      </c>
      <c r="O228" s="48">
        <f t="shared" si="772"/>
        <v>3893.0978664000004</v>
      </c>
      <c r="P228" s="48">
        <f t="shared" si="772"/>
        <v>4015.3668778000019</v>
      </c>
      <c r="Q228" s="48">
        <f t="shared" si="772"/>
        <v>2392.4550635999999</v>
      </c>
      <c r="R228" s="48">
        <f t="shared" si="772"/>
        <v>3485.7790169999994</v>
      </c>
      <c r="S228" s="48">
        <f t="shared" si="772"/>
        <v>5150.8865309999992</v>
      </c>
      <c r="T228" s="48">
        <f t="shared" si="772"/>
        <v>5744.5018559999999</v>
      </c>
      <c r="U228" s="48">
        <f t="shared" si="772"/>
        <v>5707.9076004000008</v>
      </c>
      <c r="V228" s="48">
        <f t="shared" si="772"/>
        <v>6800.1846528000015</v>
      </c>
      <c r="W228" s="48">
        <f t="shared" si="772"/>
        <v>7563.6694130000005</v>
      </c>
      <c r="X228" s="48">
        <f t="shared" si="772"/>
        <v>7753.1323679060661</v>
      </c>
      <c r="Y228" s="48">
        <f t="shared" si="772"/>
        <v>7287.3287550000005</v>
      </c>
      <c r="Z228" s="48">
        <f t="shared" si="772"/>
        <v>7706.9743218999993</v>
      </c>
      <c r="AA228" s="48">
        <f t="shared" si="772"/>
        <v>9148.6201211999996</v>
      </c>
      <c r="AB228" s="48">
        <f t="shared" si="772"/>
        <v>8457.9051088730102</v>
      </c>
      <c r="AC228" s="48">
        <f t="shared" si="772"/>
        <v>8564.0126592000015</v>
      </c>
      <c r="AD228" s="48">
        <f t="shared" si="772"/>
        <v>9725.7376944000007</v>
      </c>
      <c r="AE228" s="48">
        <f t="shared" si="772"/>
        <v>10509.135259290873</v>
      </c>
      <c r="AF228" s="48">
        <f t="shared" si="772"/>
        <v>10209.599351647899</v>
      </c>
      <c r="AG228" s="48">
        <f t="shared" si="772"/>
        <v>10241.526053733334</v>
      </c>
      <c r="AH228" s="48">
        <f t="shared" si="772"/>
        <v>11358.8737337</v>
      </c>
      <c r="AI228" s="48">
        <f t="shared" si="772"/>
        <v>13105.450187304879</v>
      </c>
      <c r="AJ228" s="48">
        <f t="shared" si="772"/>
        <v>12305.62607776603</v>
      </c>
      <c r="AK228" s="48">
        <f t="shared" si="772"/>
        <v>11853.344937500002</v>
      </c>
      <c r="AL228" s="48">
        <f t="shared" si="772"/>
        <v>12738.274575999998</v>
      </c>
      <c r="AM228" s="48">
        <f t="shared" si="772"/>
        <v>13341.359590907185</v>
      </c>
      <c r="AN228" s="48">
        <f t="shared" si="772"/>
        <v>12881.749164209839</v>
      </c>
      <c r="AO228" s="48">
        <f t="shared" ref="AO228" si="773">AO7*AO$209</f>
        <v>13147.551556813585</v>
      </c>
    </row>
    <row r="229" spans="2:41" s="44" customFormat="1" ht="13.5" customHeight="1">
      <c r="B229" s="49" t="s">
        <v>297</v>
      </c>
      <c r="C229" s="45"/>
      <c r="D229" s="45">
        <f t="shared" ref="D229:J229" si="774">D228/C228-1</f>
        <v>0.4348082515619387</v>
      </c>
      <c r="E229" s="45">
        <f t="shared" si="774"/>
        <v>0.1794720848708431</v>
      </c>
      <c r="F229" s="45">
        <f t="shared" si="774"/>
        <v>0.66628654552312061</v>
      </c>
      <c r="G229" s="45">
        <f t="shared" si="774"/>
        <v>0.17651472460639805</v>
      </c>
      <c r="H229" s="45">
        <f t="shared" si="774"/>
        <v>0.19683022279154128</v>
      </c>
      <c r="I229" s="45">
        <f t="shared" si="774"/>
        <v>0.20200414267364875</v>
      </c>
      <c r="J229" s="45">
        <f t="shared" si="774"/>
        <v>8.0750941330054227E-2</v>
      </c>
      <c r="K229" s="45"/>
      <c r="L229" s="48"/>
      <c r="M229" s="45"/>
      <c r="N229" s="45"/>
      <c r="O229" s="45"/>
      <c r="P229" s="45"/>
      <c r="Q229" s="45">
        <f t="shared" ref="Q229:AO229" si="775">Q228/M228-1</f>
        <v>-0.16311751953997056</v>
      </c>
      <c r="R229" s="45">
        <f t="shared" si="775"/>
        <v>4.946909837628799E-2</v>
      </c>
      <c r="S229" s="45">
        <f t="shared" si="775"/>
        <v>0.32308169682954646</v>
      </c>
      <c r="T229" s="45">
        <f t="shared" si="775"/>
        <v>0.43062938725723154</v>
      </c>
      <c r="U229" s="45">
        <f t="shared" si="775"/>
        <v>1.3857951136650142</v>
      </c>
      <c r="V229" s="45">
        <f t="shared" si="775"/>
        <v>0.950836418383318</v>
      </c>
      <c r="W229" s="45">
        <f t="shared" si="775"/>
        <v>0.468420895602913</v>
      </c>
      <c r="X229" s="45">
        <f t="shared" si="775"/>
        <v>0.34966139140647989</v>
      </c>
      <c r="Y229" s="45">
        <f t="shared" si="775"/>
        <v>0.27670755470696773</v>
      </c>
      <c r="Z229" s="45">
        <f t="shared" si="775"/>
        <v>0.13334780089046894</v>
      </c>
      <c r="AA229" s="45">
        <f t="shared" si="775"/>
        <v>0.20954785589595937</v>
      </c>
      <c r="AB229" s="45">
        <f t="shared" si="775"/>
        <v>9.0901677866914277E-2</v>
      </c>
      <c r="AC229" s="45">
        <f t="shared" si="775"/>
        <v>0.17519230257370233</v>
      </c>
      <c r="AD229" s="45">
        <f t="shared" si="775"/>
        <v>0.26193980778728165</v>
      </c>
      <c r="AE229" s="45">
        <f t="shared" si="775"/>
        <v>0.14871260584294754</v>
      </c>
      <c r="AF229" s="45">
        <f t="shared" si="775"/>
        <v>0.20710734162023448</v>
      </c>
      <c r="AG229" s="45">
        <f t="shared" si="775"/>
        <v>0.1958793688530156</v>
      </c>
      <c r="AH229" s="45">
        <f t="shared" si="775"/>
        <v>0.1679189888331396</v>
      </c>
      <c r="AI229" s="45">
        <f t="shared" si="775"/>
        <v>0.24705314604440609</v>
      </c>
      <c r="AJ229" s="45">
        <f t="shared" si="775"/>
        <v>0.2052996061769865</v>
      </c>
      <c r="AK229" s="45">
        <f t="shared" si="775"/>
        <v>0.15738073362407867</v>
      </c>
      <c r="AL229" s="45">
        <f t="shared" si="775"/>
        <v>0.12143817024812331</v>
      </c>
      <c r="AM229" s="45">
        <f t="shared" si="775"/>
        <v>1.8000862254303085E-2</v>
      </c>
      <c r="AN229" s="45">
        <f t="shared" si="775"/>
        <v>4.6817860611314766E-2</v>
      </c>
      <c r="AO229" s="45">
        <f t="shared" si="775"/>
        <v>0.10918492848538874</v>
      </c>
    </row>
    <row r="230" spans="2:41" ht="13.5" customHeight="1">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row>
    <row r="231" spans="2:41" s="32" customFormat="1" ht="13.5" customHeight="1" thickBot="1">
      <c r="B231" s="39" t="str">
        <f>B54</f>
        <v xml:space="preserve">Adj. EBITDA </v>
      </c>
      <c r="C231" s="47">
        <f t="shared" ref="C231:K231" si="776">C54*C$209</f>
        <v>-714.80848100000003</v>
      </c>
      <c r="D231" s="47">
        <f t="shared" si="776"/>
        <v>1051.0515666000001</v>
      </c>
      <c r="E231" s="47">
        <f t="shared" si="776"/>
        <v>687.9339324</v>
      </c>
      <c r="F231" s="47">
        <f t="shared" si="776"/>
        <v>-1503.0740367470346</v>
      </c>
      <c r="G231" s="47">
        <f t="shared" si="776"/>
        <v>1444.6821564928023</v>
      </c>
      <c r="H231" s="47">
        <f t="shared" si="776"/>
        <v>3374.3171669210337</v>
      </c>
      <c r="I231" s="47">
        <f t="shared" si="776"/>
        <v>6839.6637845143032</v>
      </c>
      <c r="J231" s="47">
        <f t="shared" si="776"/>
        <v>-1919.2393515683088</v>
      </c>
      <c r="K231" s="47">
        <f t="shared" si="776"/>
        <v>-4107.1813788698018</v>
      </c>
      <c r="L231" s="57"/>
      <c r="M231" s="47">
        <f t="shared" ref="M231:AN231" si="777">M54*M$209</f>
        <v>68.41811340000001</v>
      </c>
      <c r="N231" s="47">
        <f t="shared" si="777"/>
        <v>340.99735670000007</v>
      </c>
      <c r="O231" s="47">
        <f t="shared" si="777"/>
        <v>323.5986216</v>
      </c>
      <c r="P231" s="47">
        <f t="shared" si="777"/>
        <v>310.67548999999997</v>
      </c>
      <c r="Q231" s="47">
        <f t="shared" si="777"/>
        <v>5.8992108000000005</v>
      </c>
      <c r="R231" s="47">
        <f t="shared" si="777"/>
        <v>368.04595499999999</v>
      </c>
      <c r="S231" s="47">
        <f t="shared" si="777"/>
        <v>389.27055449999995</v>
      </c>
      <c r="T231" s="47">
        <f t="shared" si="777"/>
        <v>-89.252891999999946</v>
      </c>
      <c r="U231" s="47">
        <f t="shared" si="777"/>
        <v>-367.40971860000002</v>
      </c>
      <c r="V231" s="47">
        <f t="shared" si="777"/>
        <v>-192.69382440000004</v>
      </c>
      <c r="W231" s="47">
        <f t="shared" si="777"/>
        <v>-629.15097910000009</v>
      </c>
      <c r="X231" s="47">
        <f t="shared" si="777"/>
        <v>-314.63765166340499</v>
      </c>
      <c r="Y231" s="47">
        <f t="shared" si="777"/>
        <v>-289.92143249999998</v>
      </c>
      <c r="Z231" s="47">
        <f t="shared" si="777"/>
        <v>575.35471329999996</v>
      </c>
      <c r="AA231" s="47">
        <f t="shared" si="777"/>
        <v>701.53362960000004</v>
      </c>
      <c r="AB231" s="47">
        <f t="shared" si="777"/>
        <v>416.48610251505085</v>
      </c>
      <c r="AC231" s="47">
        <f t="shared" si="777"/>
        <v>914.88696600000014</v>
      </c>
      <c r="AD231" s="47">
        <f t="shared" si="777"/>
        <v>1099.3444281</v>
      </c>
      <c r="AE231" s="47">
        <f t="shared" si="777"/>
        <v>850.6052226741474</v>
      </c>
      <c r="AF231" s="47">
        <f t="shared" si="777"/>
        <v>518.73792998351405</v>
      </c>
      <c r="AG231" s="47">
        <f t="shared" si="777"/>
        <v>1127.9649399666666</v>
      </c>
      <c r="AH231" s="47">
        <f t="shared" si="777"/>
        <v>2071.1227107999998</v>
      </c>
      <c r="AI231" s="47">
        <f t="shared" si="777"/>
        <v>2034.8057582739627</v>
      </c>
      <c r="AJ231" s="47">
        <f t="shared" si="777"/>
        <v>1602.4075207209207</v>
      </c>
      <c r="AK231" s="47">
        <f t="shared" si="777"/>
        <v>1691.4818250000001</v>
      </c>
      <c r="AL231" s="47">
        <f t="shared" si="777"/>
        <v>385.85799069999996</v>
      </c>
      <c r="AM231" s="47">
        <f t="shared" si="777"/>
        <v>-2073.6726139745433</v>
      </c>
      <c r="AN231" s="47">
        <f t="shared" si="777"/>
        <v>-1978.3830105373036</v>
      </c>
      <c r="AO231" s="47">
        <f t="shared" ref="AO231" si="778">AO54*AO$209</f>
        <v>-440.38891456299456</v>
      </c>
    </row>
    <row r="232" spans="2:41" s="44" customFormat="1" ht="13.5" customHeight="1" thickTop="1">
      <c r="B232" s="46" t="str">
        <f>B55</f>
        <v xml:space="preserve">% growth </v>
      </c>
      <c r="C232" s="45"/>
      <c r="D232" s="45">
        <f t="shared" ref="D232:J232" si="779">D231/C231-1</f>
        <v>-2.4703960494839174</v>
      </c>
      <c r="E232" s="45">
        <f t="shared" si="779"/>
        <v>-0.34548032250656657</v>
      </c>
      <c r="F232" s="45">
        <f t="shared" si="779"/>
        <v>-3.1849104484543296</v>
      </c>
      <c r="G232" s="45">
        <f t="shared" si="779"/>
        <v>-1.9611516939108307</v>
      </c>
      <c r="H232" s="45">
        <f t="shared" si="779"/>
        <v>1.3356813481470069</v>
      </c>
      <c r="I232" s="45">
        <f t="shared" si="779"/>
        <v>1.0269771471290881</v>
      </c>
      <c r="J232" s="45">
        <f t="shared" si="779"/>
        <v>-1.2806043413879002</v>
      </c>
      <c r="K232" s="45"/>
      <c r="L232" s="155"/>
      <c r="M232" s="45"/>
      <c r="N232" s="45"/>
      <c r="O232" s="45"/>
      <c r="P232" s="45"/>
      <c r="Q232" s="45">
        <f t="shared" ref="Q232:AO232" si="780">Q231/M231-1</f>
        <v>-0.91377706126576708</v>
      </c>
      <c r="R232" s="45">
        <f t="shared" si="780"/>
        <v>7.932201751287038E-2</v>
      </c>
      <c r="S232" s="45">
        <f t="shared" si="780"/>
        <v>0.20294256067993066</v>
      </c>
      <c r="T232" s="45">
        <f t="shared" si="780"/>
        <v>-1.2872865574300694</v>
      </c>
      <c r="U232" s="45">
        <f t="shared" si="780"/>
        <v>-63.28116455848636</v>
      </c>
      <c r="V232" s="45">
        <f t="shared" si="780"/>
        <v>-1.5235591419555203</v>
      </c>
      <c r="W232" s="45">
        <f t="shared" si="780"/>
        <v>-2.6162305929050182</v>
      </c>
      <c r="X232" s="45">
        <f t="shared" si="780"/>
        <v>2.525237609817788</v>
      </c>
      <c r="Y232" s="45">
        <f t="shared" si="780"/>
        <v>-0.21090429070647898</v>
      </c>
      <c r="Z232" s="45">
        <f t="shared" si="780"/>
        <v>-3.9858492616019707</v>
      </c>
      <c r="AA232" s="45">
        <f t="shared" si="780"/>
        <v>-2.1150481409145119</v>
      </c>
      <c r="AB232" s="45">
        <f t="shared" si="780"/>
        <v>-2.3237007723430443</v>
      </c>
      <c r="AC232" s="45">
        <f t="shared" si="780"/>
        <v>-4.1556375743280043</v>
      </c>
      <c r="AD232" s="45">
        <f t="shared" si="780"/>
        <v>0.91072464114286777</v>
      </c>
      <c r="AE232" s="45">
        <f t="shared" si="780"/>
        <v>0.21249386598778575</v>
      </c>
      <c r="AF232" s="45">
        <f t="shared" si="780"/>
        <v>0.24551077899356333</v>
      </c>
      <c r="AG232" s="45">
        <f t="shared" si="780"/>
        <v>0.23290087397164472</v>
      </c>
      <c r="AH232" s="45">
        <f t="shared" si="780"/>
        <v>0.88396162099945963</v>
      </c>
      <c r="AI232" s="45">
        <f t="shared" si="780"/>
        <v>1.3921858272594485</v>
      </c>
      <c r="AJ232" s="45">
        <f t="shared" si="780"/>
        <v>2.0890502276782548</v>
      </c>
      <c r="AK232" s="45">
        <f t="shared" si="780"/>
        <v>0.49958723455534559</v>
      </c>
      <c r="AL232" s="45">
        <f t="shared" si="780"/>
        <v>-0.81369621959726524</v>
      </c>
      <c r="AM232" s="45">
        <f t="shared" si="780"/>
        <v>-2.0191010151915187</v>
      </c>
      <c r="AN232" s="45">
        <f t="shared" si="780"/>
        <v>-2.2346316308146332</v>
      </c>
      <c r="AO232" s="45">
        <f t="shared" si="780"/>
        <v>-1.2603568705581536</v>
      </c>
    </row>
    <row r="233" spans="2:41" s="44" customFormat="1" ht="13.5" customHeight="1">
      <c r="B233" s="46" t="str">
        <f>B56</f>
        <v>% margin</v>
      </c>
      <c r="C233" s="45">
        <f t="shared" ref="C233:E233" si="781">C231/C228</f>
        <v>-7.2574406676912076E-2</v>
      </c>
      <c r="D233" s="45">
        <f t="shared" si="781"/>
        <v>7.437448227329499E-2</v>
      </c>
      <c r="E233" s="45">
        <f t="shared" si="781"/>
        <v>4.1272330880631841E-2</v>
      </c>
      <c r="F233" s="45">
        <f t="shared" ref="F233:G233" si="782">F231/F228</f>
        <v>-5.4118151055973673E-2</v>
      </c>
      <c r="G233" s="45">
        <f t="shared" si="782"/>
        <v>4.4211731031392844E-2</v>
      </c>
      <c r="H233" s="45">
        <f t="shared" ref="H233:I233" si="783">H231/H228</f>
        <v>8.6281674353491544E-2</v>
      </c>
      <c r="I233" s="45">
        <f t="shared" si="783"/>
        <v>0.1454994836719504</v>
      </c>
      <c r="J233" s="45">
        <f t="shared" ref="J233:K233" si="784">J231/J228</f>
        <v>-3.7777239164651019E-2</v>
      </c>
      <c r="K233" s="45">
        <f t="shared" si="784"/>
        <v>-7.8807964695436675E-2</v>
      </c>
      <c r="L233" s="155"/>
      <c r="M233" s="45">
        <f t="shared" ref="M233:S233" si="785">M231/M228</f>
        <v>2.3932704660471177E-2</v>
      </c>
      <c r="N233" s="45">
        <f t="shared" si="785"/>
        <v>0.10266462295496875</v>
      </c>
      <c r="O233" s="45">
        <f t="shared" si="785"/>
        <v>8.3121111440035797E-2</v>
      </c>
      <c r="P233" s="45">
        <f t="shared" si="785"/>
        <v>7.7371632394950027E-2</v>
      </c>
      <c r="Q233" s="45">
        <f t="shared" si="785"/>
        <v>2.4657561555715404E-3</v>
      </c>
      <c r="R233" s="45">
        <f t="shared" si="785"/>
        <v>0.10558499354234883</v>
      </c>
      <c r="S233" s="45">
        <f t="shared" si="785"/>
        <v>7.5573506066814192E-2</v>
      </c>
      <c r="T233" s="45">
        <f t="shared" ref="T233:W233" si="786">T231/T228</f>
        <v>-1.5537098644467728E-2</v>
      </c>
      <c r="U233" s="45">
        <f t="shared" si="786"/>
        <v>-6.4368546991589795E-2</v>
      </c>
      <c r="V233" s="45">
        <f t="shared" si="786"/>
        <v>-2.8336557643424819E-2</v>
      </c>
      <c r="W233" s="45">
        <f t="shared" si="786"/>
        <v>-8.3180655412920551E-2</v>
      </c>
      <c r="X233" s="45">
        <f t="shared" ref="X233:AA233" si="787">X231/X228</f>
        <v>-4.0582004373592426E-2</v>
      </c>
      <c r="Y233" s="45">
        <f t="shared" si="787"/>
        <v>-3.9784321834125891E-2</v>
      </c>
      <c r="Z233" s="45">
        <f t="shared" si="787"/>
        <v>7.4653773227851869E-2</v>
      </c>
      <c r="AA233" s="45">
        <f t="shared" si="787"/>
        <v>7.6681906157010898E-2</v>
      </c>
      <c r="AB233" s="45">
        <f t="shared" ref="AB233:AE233" si="788">AB231/AB228</f>
        <v>4.9242229270002574E-2</v>
      </c>
      <c r="AC233" s="45">
        <f t="shared" si="788"/>
        <v>0.10682924026474563</v>
      </c>
      <c r="AD233" s="45">
        <f t="shared" si="788"/>
        <v>0.11303455456473943</v>
      </c>
      <c r="AE233" s="45">
        <f t="shared" si="788"/>
        <v>8.0939601754782611E-2</v>
      </c>
      <c r="AF233" s="45">
        <f t="shared" ref="AF233:AI233" si="789">AF231/AF228</f>
        <v>5.0808842944437993E-2</v>
      </c>
      <c r="AG233" s="45">
        <f t="shared" si="789"/>
        <v>0.11013641268387836</v>
      </c>
      <c r="AH233" s="45">
        <f t="shared" si="789"/>
        <v>0.18233521732487465</v>
      </c>
      <c r="AI233" s="45">
        <f t="shared" si="789"/>
        <v>0.15526408701664129</v>
      </c>
      <c r="AJ233" s="45">
        <f t="shared" ref="AJ233:AM233" si="790">AJ231/AJ228</f>
        <v>0.13021747212164783</v>
      </c>
      <c r="AK233" s="45">
        <f t="shared" si="790"/>
        <v>0.14270080166558891</v>
      </c>
      <c r="AL233" s="45">
        <f t="shared" si="790"/>
        <v>3.0291228878594714E-2</v>
      </c>
      <c r="AM233" s="45">
        <f t="shared" si="790"/>
        <v>-0.15543188082478915</v>
      </c>
      <c r="AN233" s="45">
        <f t="shared" ref="AN233:AO233" si="791">AN231/AN228</f>
        <v>-0.15358030849055557</v>
      </c>
      <c r="AO233" s="45">
        <f t="shared" si="791"/>
        <v>-3.3495888010780794E-2</v>
      </c>
    </row>
    <row r="234" spans="2:41" ht="13.5" customHeight="1">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row>
    <row r="235" spans="2:41" s="32" customFormat="1" ht="13.5" customHeight="1">
      <c r="B235" s="32" t="str">
        <f t="shared" ref="B235:B252" si="792">B62</f>
        <v xml:space="preserve">Adj. EBITDA </v>
      </c>
      <c r="C235" s="42">
        <f t="shared" ref="C235:J235" si="793">C62*C$209</f>
        <v>-714.80848100000003</v>
      </c>
      <c r="D235" s="42">
        <f t="shared" si="793"/>
        <v>1051.0515666000001</v>
      </c>
      <c r="E235" s="42">
        <f t="shared" si="793"/>
        <v>687.9339324</v>
      </c>
      <c r="F235" s="42">
        <f t="shared" si="793"/>
        <v>-1503.0740367470346</v>
      </c>
      <c r="G235" s="42">
        <f t="shared" si="793"/>
        <v>1444.6821564928023</v>
      </c>
      <c r="H235" s="42">
        <f t="shared" si="793"/>
        <v>3374.3171669210337</v>
      </c>
      <c r="I235" s="42">
        <f t="shared" si="793"/>
        <v>6839.6637845143032</v>
      </c>
      <c r="J235" s="42">
        <f t="shared" si="793"/>
        <v>-1919.2393515683088</v>
      </c>
      <c r="K235" s="195"/>
      <c r="L235" s="16"/>
      <c r="M235" s="195"/>
      <c r="N235" s="42">
        <f t="shared" ref="N235:N252" si="794">N62*N$209</f>
        <v>340.99735670000007</v>
      </c>
      <c r="O235" s="195"/>
      <c r="P235" s="42">
        <f t="shared" ref="P235:P252" si="795">P62*P$209</f>
        <v>701.99484499999994</v>
      </c>
      <c r="Q235" s="195"/>
      <c r="R235" s="42">
        <f t="shared" ref="R235:R252" si="796">R62*R$209</f>
        <v>368.04595499999999</v>
      </c>
      <c r="S235" s="195"/>
      <c r="T235" s="42">
        <f t="shared" ref="T235:T252" si="797">T62*T$209</f>
        <v>322.32867300000004</v>
      </c>
      <c r="U235" s="195"/>
      <c r="V235" s="42">
        <f t="shared" ref="V235:V252" si="798">V62*V$209</f>
        <v>-192.69382440000004</v>
      </c>
      <c r="W235" s="195"/>
      <c r="X235" s="42">
        <f t="shared" ref="X235:X252" si="799">X62*X$209</f>
        <v>-1323.5365949119371</v>
      </c>
      <c r="Y235" s="195"/>
      <c r="Z235" s="42">
        <f t="shared" ref="Z235:Z252" si="800">Z62*Z$209</f>
        <v>575.35471329999996</v>
      </c>
      <c r="AA235" s="195"/>
      <c r="AB235" s="42">
        <f t="shared" ref="AB235:AB252" si="801">AB62*AB$209</f>
        <v>832.98373937995825</v>
      </c>
      <c r="AC235" s="195"/>
      <c r="AD235" s="42">
        <f t="shared" ref="AD235:AD252" si="802">AD62*AD$209</f>
        <v>1099.3444281</v>
      </c>
      <c r="AE235" s="195"/>
      <c r="AF235" s="42">
        <f t="shared" ref="AF235:AF252" si="803">AF62*AF$209</f>
        <v>2243.6954684621032</v>
      </c>
      <c r="AG235" s="195"/>
      <c r="AH235" s="42">
        <f t="shared" ref="AH235:AH252" si="804">AH62*AH$209</f>
        <v>2071.1227107999998</v>
      </c>
      <c r="AI235" s="195"/>
      <c r="AJ235" s="195">
        <f t="shared" ref="AJ235:AJ252" si="805">AJ62*AJ$209</f>
        <v>0</v>
      </c>
      <c r="AK235" s="195"/>
      <c r="AL235" s="195">
        <f t="shared" ref="AL235:AL252" si="806">AL62*AL$209</f>
        <v>0</v>
      </c>
      <c r="AM235" s="195"/>
      <c r="AN235" s="195">
        <f t="shared" ref="AN235:AN252" si="807">AN62*AN$209</f>
        <v>0</v>
      </c>
      <c r="AO235" s="195"/>
    </row>
    <row r="236" spans="2:41" ht="13.5" customHeight="1">
      <c r="B236" s="29" t="str">
        <f t="shared" si="792"/>
        <v>Working Capital</v>
      </c>
      <c r="C236" s="21">
        <f t="shared" ref="C236:J236" si="808">C63*C$209</f>
        <v>4.3290190000000148</v>
      </c>
      <c r="D236" s="21">
        <f t="shared" si="808"/>
        <v>146.65879619999998</v>
      </c>
      <c r="E236" s="21">
        <f t="shared" si="808"/>
        <v>775.0572719999999</v>
      </c>
      <c r="F236" s="21">
        <f t="shared" si="808"/>
        <v>634.69788355686489</v>
      </c>
      <c r="G236" s="21">
        <f t="shared" si="808"/>
        <v>-120.85095003936833</v>
      </c>
      <c r="H236" s="21">
        <f t="shared" si="808"/>
        <v>1904.2917302583237</v>
      </c>
      <c r="I236" s="21">
        <f t="shared" si="808"/>
        <v>900.30249016841333</v>
      </c>
      <c r="J236" s="21">
        <f t="shared" si="808"/>
        <v>-147.03260158012401</v>
      </c>
      <c r="K236" s="196"/>
      <c r="L236" s="128"/>
      <c r="M236" s="196"/>
      <c r="N236" s="21">
        <f t="shared" si="794"/>
        <v>0</v>
      </c>
      <c r="O236" s="196"/>
      <c r="P236" s="21">
        <f t="shared" si="795"/>
        <v>144.33087879999999</v>
      </c>
      <c r="Q236" s="196"/>
      <c r="R236" s="21">
        <f t="shared" si="796"/>
        <v>0</v>
      </c>
      <c r="S236" s="196"/>
      <c r="T236" s="21">
        <f t="shared" si="797"/>
        <v>808.68578999999988</v>
      </c>
      <c r="U236" s="196"/>
      <c r="V236" s="21">
        <f t="shared" si="798"/>
        <v>0</v>
      </c>
      <c r="W236" s="196"/>
      <c r="X236" s="21">
        <f t="shared" si="799"/>
        <v>640.85855185909986</v>
      </c>
      <c r="Y236" s="196"/>
      <c r="Z236" s="21">
        <f t="shared" si="800"/>
        <v>0</v>
      </c>
      <c r="AA236" s="196"/>
      <c r="AB236" s="21">
        <f t="shared" si="801"/>
        <v>-114.42693974005513</v>
      </c>
      <c r="AC236" s="196"/>
      <c r="AD236" s="21">
        <f t="shared" si="802"/>
        <v>0</v>
      </c>
      <c r="AE236" s="196"/>
      <c r="AF236" s="21">
        <f t="shared" si="803"/>
        <v>1866.8564620478508</v>
      </c>
      <c r="AG236" s="196"/>
      <c r="AH236" s="21">
        <f t="shared" si="804"/>
        <v>0</v>
      </c>
      <c r="AI236" s="196"/>
      <c r="AJ236" s="196">
        <f t="shared" si="805"/>
        <v>0</v>
      </c>
      <c r="AK236" s="196"/>
      <c r="AL236" s="196">
        <f t="shared" si="806"/>
        <v>0</v>
      </c>
      <c r="AM236" s="196"/>
      <c r="AN236" s="196">
        <f t="shared" si="807"/>
        <v>0</v>
      </c>
      <c r="AO236" s="196"/>
    </row>
    <row r="237" spans="2:41" ht="13.5" customHeight="1">
      <c r="B237" s="29" t="str">
        <f t="shared" si="792"/>
        <v>Taxes</v>
      </c>
      <c r="C237" s="21">
        <f t="shared" ref="C237:J237" si="809">C64*C$209</f>
        <v>-29.992978999999998</v>
      </c>
      <c r="D237" s="21">
        <f t="shared" si="809"/>
        <v>-67.132749599999997</v>
      </c>
      <c r="E237" s="21">
        <f t="shared" si="809"/>
        <v>-12.5323572</v>
      </c>
      <c r="F237" s="21">
        <f t="shared" si="809"/>
        <v>-39.49608496782696</v>
      </c>
      <c r="G237" s="21">
        <f t="shared" si="809"/>
        <v>-36.732577659590277</v>
      </c>
      <c r="H237" s="21">
        <f t="shared" si="809"/>
        <v>-31.49186026793285</v>
      </c>
      <c r="I237" s="21">
        <f t="shared" si="809"/>
        <v>-109.95339422201282</v>
      </c>
      <c r="J237" s="21">
        <f t="shared" si="809"/>
        <v>-96.823579467498334</v>
      </c>
      <c r="K237" s="196"/>
      <c r="L237" s="128"/>
      <c r="M237" s="196"/>
      <c r="N237" s="21">
        <f t="shared" si="794"/>
        <v>-18.667587400000002</v>
      </c>
      <c r="O237" s="196"/>
      <c r="P237" s="21">
        <f t="shared" si="795"/>
        <v>-47.871675599999996</v>
      </c>
      <c r="Q237" s="196"/>
      <c r="R237" s="21">
        <f t="shared" si="796"/>
        <v>-12.790673999999999</v>
      </c>
      <c r="S237" s="196"/>
      <c r="T237" s="21">
        <f t="shared" si="797"/>
        <v>0.66705449999999866</v>
      </c>
      <c r="U237" s="196"/>
      <c r="V237" s="21">
        <f t="shared" si="798"/>
        <v>-26.3681166</v>
      </c>
      <c r="W237" s="196"/>
      <c r="X237" s="21">
        <f t="shared" si="799"/>
        <v>-13.315225048923676</v>
      </c>
      <c r="Y237" s="196"/>
      <c r="Z237" s="21">
        <f t="shared" si="800"/>
        <v>-17.421135899999999</v>
      </c>
      <c r="AA237" s="196"/>
      <c r="AB237" s="21">
        <f t="shared" si="801"/>
        <v>-18.583666235300736</v>
      </c>
      <c r="AC237" s="196"/>
      <c r="AD237" s="21">
        <f t="shared" si="802"/>
        <v>-20.550304800000003</v>
      </c>
      <c r="AE237" s="196"/>
      <c r="AF237" s="21">
        <f t="shared" si="803"/>
        <v>-10.977792555033732</v>
      </c>
      <c r="AG237" s="196"/>
      <c r="AH237" s="21">
        <f t="shared" si="804"/>
        <v>-35.161502900000002</v>
      </c>
      <c r="AI237" s="196"/>
      <c r="AJ237" s="196">
        <f t="shared" si="805"/>
        <v>0</v>
      </c>
      <c r="AK237" s="196"/>
      <c r="AL237" s="196">
        <f t="shared" si="806"/>
        <v>0</v>
      </c>
      <c r="AM237" s="196"/>
      <c r="AN237" s="196">
        <f t="shared" si="807"/>
        <v>0</v>
      </c>
      <c r="AO237" s="196"/>
    </row>
    <row r="238" spans="2:41" ht="13.5" customHeight="1">
      <c r="B238" s="29" t="str">
        <f t="shared" si="792"/>
        <v>Cash interest paid</v>
      </c>
      <c r="C238" s="21">
        <f t="shared" ref="C238:J238" si="810">C65*C$209</f>
        <v>-9.3684929999999991</v>
      </c>
      <c r="D238" s="21">
        <f t="shared" si="810"/>
        <v>-31.688470800000001</v>
      </c>
      <c r="E238" s="21">
        <f t="shared" si="810"/>
        <v>-31.742317199999999</v>
      </c>
      <c r="F238" s="21">
        <f t="shared" si="810"/>
        <v>-96.151174509651909</v>
      </c>
      <c r="G238" s="21">
        <f t="shared" si="810"/>
        <v>-172.65045384992499</v>
      </c>
      <c r="H238" s="21">
        <f t="shared" si="810"/>
        <v>-81.688146515177209</v>
      </c>
      <c r="I238" s="21">
        <f t="shared" si="810"/>
        <v>-59.465281297576652</v>
      </c>
      <c r="J238" s="21">
        <f t="shared" si="810"/>
        <v>-178.43480593585849</v>
      </c>
      <c r="K238" s="196"/>
      <c r="L238" s="128"/>
      <c r="M238" s="196"/>
      <c r="N238" s="21">
        <f t="shared" si="794"/>
        <v>-14.692031200000002</v>
      </c>
      <c r="O238" s="196"/>
      <c r="P238" s="21">
        <f t="shared" si="795"/>
        <v>-16.865016799999999</v>
      </c>
      <c r="Q238" s="196"/>
      <c r="R238" s="21">
        <f t="shared" si="796"/>
        <v>-14.253971999999999</v>
      </c>
      <c r="S238" s="196"/>
      <c r="T238" s="21">
        <f t="shared" si="797"/>
        <v>-17.804128499999997</v>
      </c>
      <c r="U238" s="196"/>
      <c r="V238" s="21">
        <f t="shared" si="798"/>
        <v>-38.810839200000004</v>
      </c>
      <c r="W238" s="196"/>
      <c r="X238" s="21">
        <f t="shared" si="799"/>
        <v>-57.984970645792558</v>
      </c>
      <c r="Y238" s="196"/>
      <c r="Z238" s="21">
        <f t="shared" si="800"/>
        <v>-59.554252099999999</v>
      </c>
      <c r="AA238" s="196"/>
      <c r="AB238" s="21">
        <f t="shared" si="801"/>
        <v>-108.10569403027064</v>
      </c>
      <c r="AC238" s="196"/>
      <c r="AD238" s="21">
        <f t="shared" si="802"/>
        <v>-31.562565299999999</v>
      </c>
      <c r="AE238" s="196"/>
      <c r="AF238" s="21">
        <f t="shared" si="803"/>
        <v>-49.526204230913095</v>
      </c>
      <c r="AG238" s="196"/>
      <c r="AH238" s="21">
        <f t="shared" si="804"/>
        <v>-30.3085308</v>
      </c>
      <c r="AI238" s="196"/>
      <c r="AJ238" s="196">
        <f t="shared" si="805"/>
        <v>0</v>
      </c>
      <c r="AK238" s="196"/>
      <c r="AL238" s="196">
        <f t="shared" si="806"/>
        <v>0</v>
      </c>
      <c r="AM238" s="196"/>
      <c r="AN238" s="196">
        <f t="shared" si="807"/>
        <v>0</v>
      </c>
      <c r="AO238" s="196"/>
    </row>
    <row r="239" spans="2:41" s="32" customFormat="1" ht="13.5" customHeight="1" thickBot="1">
      <c r="B239" s="39" t="str">
        <f t="shared" si="792"/>
        <v xml:space="preserve">Net cash from operations </v>
      </c>
      <c r="C239" s="38">
        <f t="shared" ref="C239:J239" si="811">C66*C$209</f>
        <v>-749.84093399999995</v>
      </c>
      <c r="D239" s="38">
        <f t="shared" si="811"/>
        <v>1098.8891424000001</v>
      </c>
      <c r="E239" s="38">
        <f t="shared" si="811"/>
        <v>1418.7165299999999</v>
      </c>
      <c r="F239" s="38">
        <f t="shared" si="811"/>
        <v>-1004.0234126676485</v>
      </c>
      <c r="G239" s="38">
        <f t="shared" si="811"/>
        <v>1114.4481749439187</v>
      </c>
      <c r="H239" s="38">
        <f t="shared" si="811"/>
        <v>5165.4288903962479</v>
      </c>
      <c r="I239" s="38">
        <f t="shared" si="811"/>
        <v>7570.5475991631283</v>
      </c>
      <c r="J239" s="38">
        <f t="shared" si="811"/>
        <v>-2341.53033855179</v>
      </c>
      <c r="K239" s="197"/>
      <c r="L239" s="40"/>
      <c r="M239" s="197"/>
      <c r="N239" s="38">
        <f t="shared" si="794"/>
        <v>307.63773810000009</v>
      </c>
      <c r="O239" s="197"/>
      <c r="P239" s="38">
        <f t="shared" si="795"/>
        <v>781.58903139999995</v>
      </c>
      <c r="Q239" s="197"/>
      <c r="R239" s="38">
        <f t="shared" si="796"/>
        <v>341.00130899999999</v>
      </c>
      <c r="S239" s="197"/>
      <c r="T239" s="38">
        <f t="shared" si="797"/>
        <v>1113.877389</v>
      </c>
      <c r="U239" s="197"/>
      <c r="V239" s="38">
        <f t="shared" si="798"/>
        <v>-257.87278020000008</v>
      </c>
      <c r="W239" s="197"/>
      <c r="X239" s="38">
        <f t="shared" si="799"/>
        <v>-753.97823874755352</v>
      </c>
      <c r="Y239" s="197"/>
      <c r="Z239" s="38">
        <f t="shared" si="800"/>
        <v>498.37932529999995</v>
      </c>
      <c r="AA239" s="197"/>
      <c r="AB239" s="38">
        <f t="shared" si="801"/>
        <v>591.86743937433175</v>
      </c>
      <c r="AC239" s="197"/>
      <c r="AD239" s="38">
        <f t="shared" si="802"/>
        <v>1047.2315579999999</v>
      </c>
      <c r="AE239" s="197"/>
      <c r="AF239" s="38">
        <f t="shared" si="803"/>
        <v>4050.0479337240072</v>
      </c>
      <c r="AG239" s="197"/>
      <c r="AH239" s="38">
        <f t="shared" si="804"/>
        <v>2005.6526770999999</v>
      </c>
      <c r="AI239" s="197"/>
      <c r="AJ239" s="197">
        <f t="shared" si="805"/>
        <v>0</v>
      </c>
      <c r="AK239" s="197"/>
      <c r="AL239" s="197">
        <f t="shared" si="806"/>
        <v>0</v>
      </c>
      <c r="AM239" s="197"/>
      <c r="AN239" s="197">
        <f t="shared" si="807"/>
        <v>0</v>
      </c>
      <c r="AO239" s="197"/>
    </row>
    <row r="240" spans="2:41" ht="13.5" customHeight="1" thickTop="1">
      <c r="B240" s="29" t="str">
        <f t="shared" si="792"/>
        <v>Net Capex</v>
      </c>
      <c r="C240" s="41">
        <f t="shared" ref="C240:J240" si="812">C67*C$209</f>
        <v>-330.01820099999998</v>
      </c>
      <c r="D240" s="41">
        <f t="shared" si="812"/>
        <v>-423.49082580000004</v>
      </c>
      <c r="E240" s="41">
        <f t="shared" si="812"/>
        <v>-2253.7517112</v>
      </c>
      <c r="F240" s="41">
        <f t="shared" si="812"/>
        <v>-1380.608729358865</v>
      </c>
      <c r="G240" s="41">
        <f t="shared" si="812"/>
        <v>-790.88749572890822</v>
      </c>
      <c r="H240" s="41">
        <f t="shared" si="812"/>
        <v>-929.63625572324918</v>
      </c>
      <c r="I240" s="41">
        <f t="shared" si="812"/>
        <v>-1406.6993085354929</v>
      </c>
      <c r="J240" s="41">
        <f t="shared" si="812"/>
        <v>-1786.618863235142</v>
      </c>
      <c r="K240" s="196"/>
      <c r="L240" s="128"/>
      <c r="M240" s="196"/>
      <c r="N240" s="41">
        <f t="shared" si="794"/>
        <v>-212.0821857</v>
      </c>
      <c r="O240" s="196"/>
      <c r="P240" s="41">
        <f t="shared" si="795"/>
        <v>-210.05022780000007</v>
      </c>
      <c r="Q240" s="196"/>
      <c r="R240" s="41">
        <f t="shared" si="796"/>
        <v>-400.85510399999998</v>
      </c>
      <c r="S240" s="196"/>
      <c r="T240" s="41">
        <f t="shared" si="797"/>
        <v>-1920.832443</v>
      </c>
      <c r="U240" s="196"/>
      <c r="V240" s="41">
        <f t="shared" si="798"/>
        <v>-851.18795999999998</v>
      </c>
      <c r="W240" s="196"/>
      <c r="X240" s="41">
        <f t="shared" si="799"/>
        <v>-536.49095890410979</v>
      </c>
      <c r="Y240" s="196"/>
      <c r="Z240" s="41">
        <f t="shared" si="800"/>
        <v>-469.34107279999995</v>
      </c>
      <c r="AA240" s="196"/>
      <c r="AB240" s="41">
        <f t="shared" si="801"/>
        <v>-312.50281325606255</v>
      </c>
      <c r="AC240" s="196"/>
      <c r="AD240" s="21">
        <f t="shared" si="802"/>
        <v>-260.02701000000002</v>
      </c>
      <c r="AE240" s="196"/>
      <c r="AF240" s="41">
        <f t="shared" si="803"/>
        <v>-659.62595070861573</v>
      </c>
      <c r="AG240" s="196"/>
      <c r="AH240" s="21">
        <f t="shared" si="804"/>
        <v>-757.2957937000001</v>
      </c>
      <c r="AI240" s="196"/>
      <c r="AJ240" s="196">
        <f t="shared" si="805"/>
        <v>0</v>
      </c>
      <c r="AK240" s="196"/>
      <c r="AL240" s="196">
        <f t="shared" si="806"/>
        <v>0</v>
      </c>
      <c r="AM240" s="196"/>
      <c r="AN240" s="196">
        <f t="shared" si="807"/>
        <v>0</v>
      </c>
      <c r="AO240" s="196"/>
    </row>
    <row r="241" spans="2:41" ht="13.5" customHeight="1">
      <c r="B241" s="29" t="str">
        <f t="shared" si="792"/>
        <v>Purchase of intangible assets</v>
      </c>
      <c r="C241" s="41">
        <f t="shared" ref="C241:J241" si="813">C68*C$209</f>
        <v>-9.9380649999999999</v>
      </c>
      <c r="D241" s="41">
        <f t="shared" si="813"/>
        <v>-2.1477078000000001</v>
      </c>
      <c r="E241" s="41">
        <f t="shared" si="813"/>
        <v>-3.3346632</v>
      </c>
      <c r="F241" s="41">
        <f t="shared" si="813"/>
        <v>0</v>
      </c>
      <c r="G241" s="41">
        <f t="shared" si="813"/>
        <v>0</v>
      </c>
      <c r="H241" s="41">
        <f t="shared" si="813"/>
        <v>0</v>
      </c>
      <c r="I241" s="41">
        <f t="shared" si="813"/>
        <v>0</v>
      </c>
      <c r="J241" s="41">
        <f t="shared" si="813"/>
        <v>0</v>
      </c>
      <c r="K241" s="196"/>
      <c r="L241" s="128"/>
      <c r="M241" s="196"/>
      <c r="N241" s="41">
        <f t="shared" si="794"/>
        <v>-0.83742120000000009</v>
      </c>
      <c r="O241" s="196"/>
      <c r="P241" s="41">
        <f t="shared" si="795"/>
        <v>-1.2973748000000001</v>
      </c>
      <c r="Q241" s="196"/>
      <c r="R241" s="41">
        <f t="shared" si="796"/>
        <v>-1.1910269999999998</v>
      </c>
      <c r="S241" s="196"/>
      <c r="T241" s="41">
        <f t="shared" si="797"/>
        <v>-2.1996285000000002</v>
      </c>
      <c r="U241" s="196"/>
      <c r="V241" s="41">
        <f t="shared" si="798"/>
        <v>-4.3484028000000006</v>
      </c>
      <c r="W241" s="196"/>
      <c r="X241" s="41">
        <f t="shared" si="799"/>
        <v>4.3807436399217217</v>
      </c>
      <c r="Y241" s="196"/>
      <c r="Z241" s="41">
        <f t="shared" si="800"/>
        <v>0</v>
      </c>
      <c r="AA241" s="196"/>
      <c r="AB241" s="41">
        <f t="shared" si="801"/>
        <v>0</v>
      </c>
      <c r="AC241" s="196"/>
      <c r="AD241" s="21">
        <f t="shared" si="802"/>
        <v>0</v>
      </c>
      <c r="AE241" s="196"/>
      <c r="AF241" s="41">
        <f t="shared" si="803"/>
        <v>0</v>
      </c>
      <c r="AG241" s="196"/>
      <c r="AH241" s="21">
        <f t="shared" si="804"/>
        <v>0</v>
      </c>
      <c r="AI241" s="196"/>
      <c r="AJ241" s="196">
        <f t="shared" si="805"/>
        <v>0</v>
      </c>
      <c r="AK241" s="196"/>
      <c r="AL241" s="196">
        <f t="shared" si="806"/>
        <v>0</v>
      </c>
      <c r="AM241" s="196"/>
      <c r="AN241" s="196">
        <f t="shared" si="807"/>
        <v>0</v>
      </c>
      <c r="AO241" s="196"/>
    </row>
    <row r="242" spans="2:41" ht="13.5" customHeight="1">
      <c r="B242" s="29" t="str">
        <f t="shared" si="792"/>
        <v>Disposals/ Acquistion, of subsidiaries, businesses</v>
      </c>
      <c r="C242" s="41">
        <f t="shared" ref="C242:J242" si="814">C69*C$209</f>
        <v>-1096.2731370000001</v>
      </c>
      <c r="D242" s="41">
        <f t="shared" si="814"/>
        <v>-197.9297775</v>
      </c>
      <c r="E242" s="41">
        <f t="shared" si="814"/>
        <v>-3.8984747999999998</v>
      </c>
      <c r="F242" s="41">
        <f t="shared" si="814"/>
        <v>-2.1375300410884566</v>
      </c>
      <c r="G242" s="41">
        <f t="shared" si="814"/>
        <v>-13.257023160459346</v>
      </c>
      <c r="H242" s="41">
        <f t="shared" si="814"/>
        <v>51.596009270250413</v>
      </c>
      <c r="I242" s="41">
        <f t="shared" si="814"/>
        <v>-5.0348449516986813</v>
      </c>
      <c r="J242" s="41">
        <f t="shared" si="814"/>
        <v>-13.175898087766935</v>
      </c>
      <c r="K242" s="196"/>
      <c r="L242" s="128"/>
      <c r="M242" s="196"/>
      <c r="N242" s="41">
        <f t="shared" si="794"/>
        <v>-65.950430699999998</v>
      </c>
      <c r="O242" s="196"/>
      <c r="P242" s="41">
        <f t="shared" si="795"/>
        <v>-130.5055236</v>
      </c>
      <c r="Q242" s="196"/>
      <c r="R242" s="41">
        <f t="shared" si="796"/>
        <v>0</v>
      </c>
      <c r="S242" s="196"/>
      <c r="T242" s="41">
        <f t="shared" si="797"/>
        <v>-4.0676234999999998</v>
      </c>
      <c r="U242" s="196"/>
      <c r="V242" s="41">
        <f t="shared" si="798"/>
        <v>-134.7826158</v>
      </c>
      <c r="W242" s="196"/>
      <c r="X242" s="41">
        <f t="shared" si="799"/>
        <v>133.62677103718201</v>
      </c>
      <c r="Y242" s="196"/>
      <c r="Z242" s="41">
        <f t="shared" si="800"/>
        <v>-13.394437699999999</v>
      </c>
      <c r="AA242" s="196"/>
      <c r="AB242" s="41">
        <f t="shared" si="801"/>
        <v>-9.9589264614865017E-2</v>
      </c>
      <c r="AC242" s="196"/>
      <c r="AD242" s="21">
        <f t="shared" si="802"/>
        <v>-1.2740193000000002</v>
      </c>
      <c r="AE242" s="196"/>
      <c r="AF242" s="41">
        <f t="shared" si="803"/>
        <v>51.815108820636439</v>
      </c>
      <c r="AG242" s="196"/>
      <c r="AH242" s="21">
        <f t="shared" si="804"/>
        <v>-4.9934197999999999</v>
      </c>
      <c r="AI242" s="196"/>
      <c r="AJ242" s="196">
        <f t="shared" si="805"/>
        <v>0</v>
      </c>
      <c r="AK242" s="196"/>
      <c r="AL242" s="196">
        <f t="shared" si="806"/>
        <v>0</v>
      </c>
      <c r="AM242" s="196"/>
      <c r="AN242" s="196">
        <f t="shared" si="807"/>
        <v>0</v>
      </c>
      <c r="AO242" s="196"/>
    </row>
    <row r="243" spans="2:41" s="32" customFormat="1" ht="13.5" customHeight="1" thickBot="1">
      <c r="B243" s="39" t="str">
        <f t="shared" si="792"/>
        <v xml:space="preserve">Free cash flow </v>
      </c>
      <c r="C243" s="38">
        <f t="shared" ref="C243:J243" si="815">C70*C$209</f>
        <v>-2186.0703370000001</v>
      </c>
      <c r="D243" s="38">
        <f t="shared" si="815"/>
        <v>475.32083130000001</v>
      </c>
      <c r="E243" s="38">
        <f t="shared" si="815"/>
        <v>-842.26831920000006</v>
      </c>
      <c r="F243" s="38">
        <f t="shared" si="815"/>
        <v>-2386.7696720676022</v>
      </c>
      <c r="G243" s="38">
        <f t="shared" si="815"/>
        <v>310.30365605455103</v>
      </c>
      <c r="H243" s="38">
        <f t="shared" si="815"/>
        <v>4287.388643943249</v>
      </c>
      <c r="I243" s="38">
        <f t="shared" si="815"/>
        <v>6158.8134456759362</v>
      </c>
      <c r="J243" s="38">
        <f t="shared" si="815"/>
        <v>-4141.3250998746989</v>
      </c>
      <c r="K243" s="197"/>
      <c r="L243" s="40"/>
      <c r="M243" s="197"/>
      <c r="N243" s="38">
        <f t="shared" si="794"/>
        <v>28.76770050000005</v>
      </c>
      <c r="O243" s="197"/>
      <c r="P243" s="38">
        <f t="shared" si="795"/>
        <v>439.73590519999993</v>
      </c>
      <c r="Q243" s="197"/>
      <c r="R243" s="38">
        <f t="shared" si="796"/>
        <v>-61.044821999999982</v>
      </c>
      <c r="S243" s="197"/>
      <c r="T243" s="38">
        <f t="shared" si="797"/>
        <v>-813.22230600000012</v>
      </c>
      <c r="U243" s="197"/>
      <c r="V243" s="38">
        <f t="shared" si="798"/>
        <v>-1248.1917588000001</v>
      </c>
      <c r="W243" s="197"/>
      <c r="X243" s="38">
        <f t="shared" si="799"/>
        <v>-1152.4616829745596</v>
      </c>
      <c r="Y243" s="197"/>
      <c r="Z243" s="38">
        <f t="shared" si="800"/>
        <v>15.643814799999959</v>
      </c>
      <c r="AA243" s="197"/>
      <c r="AB243" s="38">
        <f t="shared" si="801"/>
        <v>279.26503685365435</v>
      </c>
      <c r="AC243" s="197"/>
      <c r="AD243" s="38">
        <f t="shared" si="802"/>
        <v>785.93052869999997</v>
      </c>
      <c r="AE243" s="197"/>
      <c r="AF243" s="38">
        <f t="shared" si="803"/>
        <v>3442.2370918360275</v>
      </c>
      <c r="AG243" s="197"/>
      <c r="AH243" s="38">
        <f t="shared" si="804"/>
        <v>1243.3634635999999</v>
      </c>
      <c r="AI243" s="197"/>
      <c r="AJ243" s="197">
        <f t="shared" si="805"/>
        <v>0</v>
      </c>
      <c r="AK243" s="197"/>
      <c r="AL243" s="197">
        <f t="shared" si="806"/>
        <v>0</v>
      </c>
      <c r="AM243" s="197"/>
      <c r="AN243" s="197">
        <f t="shared" si="807"/>
        <v>0</v>
      </c>
      <c r="AO243" s="197"/>
    </row>
    <row r="244" spans="2:41" s="32" customFormat="1" ht="13.5" customHeight="1" thickTop="1">
      <c r="B244" s="29" t="str">
        <f t="shared" si="792"/>
        <v xml:space="preserve">Other Investing </v>
      </c>
      <c r="C244" s="41">
        <f t="shared" ref="C244:J244" si="816">C71*C$209</f>
        <v>-2112.9712370000007</v>
      </c>
      <c r="D244" s="41">
        <f t="shared" si="816"/>
        <v>-852.64086600000212</v>
      </c>
      <c r="E244" s="41">
        <f t="shared" si="816"/>
        <v>-824.64815399999827</v>
      </c>
      <c r="F244" s="41">
        <f t="shared" si="816"/>
        <v>-7690.2297852546671</v>
      </c>
      <c r="G244" s="41">
        <f t="shared" si="816"/>
        <v>-1392.0658713770001</v>
      </c>
      <c r="H244" s="41">
        <f t="shared" si="816"/>
        <v>-2607.3257588604379</v>
      </c>
      <c r="I244" s="41">
        <f t="shared" si="816"/>
        <v>2832.7713102163489</v>
      </c>
      <c r="J244" s="41">
        <f t="shared" si="816"/>
        <v>5945.5112238328129</v>
      </c>
      <c r="K244" s="196"/>
      <c r="L244" s="128"/>
      <c r="M244" s="196"/>
      <c r="N244" s="41">
        <f t="shared" si="794"/>
        <v>-861.61526989999868</v>
      </c>
      <c r="O244" s="196"/>
      <c r="P244" s="41">
        <f t="shared" si="795"/>
        <v>0.71770579999654915</v>
      </c>
      <c r="Q244" s="196"/>
      <c r="R244" s="41">
        <f t="shared" si="796"/>
        <v>512.24891100000116</v>
      </c>
      <c r="S244" s="196"/>
      <c r="T244" s="41">
        <f t="shared" si="797"/>
        <v>-1410.8234489999993</v>
      </c>
      <c r="U244" s="196"/>
      <c r="V244" s="41">
        <f t="shared" si="798"/>
        <v>-1565.4209675999982</v>
      </c>
      <c r="W244" s="196"/>
      <c r="X244" s="41">
        <f t="shared" si="799"/>
        <v>-6187.811037181993</v>
      </c>
      <c r="Y244" s="196"/>
      <c r="Z244" s="41">
        <f t="shared" si="800"/>
        <v>-643.94702219999988</v>
      </c>
      <c r="AA244" s="196"/>
      <c r="AB244" s="41">
        <f t="shared" si="801"/>
        <v>-719.39444663253266</v>
      </c>
      <c r="AC244" s="196"/>
      <c r="AD244" s="21">
        <f t="shared" si="802"/>
        <v>-1248.1542611999998</v>
      </c>
      <c r="AE244" s="196"/>
      <c r="AF244" s="41">
        <f t="shared" si="803"/>
        <v>-1347.7173295651332</v>
      </c>
      <c r="AG244" s="196"/>
      <c r="AH244" s="21">
        <f t="shared" si="804"/>
        <v>4708.0651509999998</v>
      </c>
      <c r="AI244" s="196"/>
      <c r="AJ244" s="196">
        <f t="shared" si="805"/>
        <v>0</v>
      </c>
      <c r="AK244" s="196"/>
      <c r="AL244" s="196">
        <f t="shared" si="806"/>
        <v>0</v>
      </c>
      <c r="AM244" s="196"/>
      <c r="AN244" s="196">
        <f t="shared" si="807"/>
        <v>0</v>
      </c>
      <c r="AO244" s="196"/>
    </row>
    <row r="245" spans="2:41" ht="13.5" customHeight="1">
      <c r="B245" s="29" t="str">
        <f t="shared" si="792"/>
        <v>Equity Issuance</v>
      </c>
      <c r="C245" s="41">
        <f t="shared" ref="C245:J245" si="817">C72*C$209</f>
        <v>4176.8931439999997</v>
      </c>
      <c r="D245" s="41">
        <f t="shared" si="817"/>
        <v>0</v>
      </c>
      <c r="E245" s="41">
        <f t="shared" si="817"/>
        <v>0</v>
      </c>
      <c r="F245" s="41">
        <f t="shared" si="817"/>
        <v>7021.6449337157919</v>
      </c>
      <c r="G245" s="41">
        <f t="shared" si="817"/>
        <v>25.305810170397994</v>
      </c>
      <c r="H245" s="41">
        <f t="shared" si="817"/>
        <v>27.343281894748742</v>
      </c>
      <c r="I245" s="41">
        <f t="shared" si="817"/>
        <v>-3611.6961343773305</v>
      </c>
      <c r="J245" s="41">
        <f t="shared" si="817"/>
        <v>-43.074955040544033</v>
      </c>
      <c r="K245" s="196"/>
      <c r="L245" s="128"/>
      <c r="M245" s="196"/>
      <c r="N245" s="41">
        <f t="shared" si="794"/>
        <v>0</v>
      </c>
      <c r="O245" s="196"/>
      <c r="P245" s="41">
        <f t="shared" si="795"/>
        <v>0</v>
      </c>
      <c r="Q245" s="196"/>
      <c r="R245" s="41">
        <f t="shared" si="796"/>
        <v>1.2689999999999998E-2</v>
      </c>
      <c r="S245" s="196"/>
      <c r="T245" s="41">
        <f t="shared" si="797"/>
        <v>-1.3635E-2</v>
      </c>
      <c r="U245" s="196"/>
      <c r="V245" s="41">
        <f t="shared" si="798"/>
        <v>6634.689558</v>
      </c>
      <c r="W245" s="196"/>
      <c r="X245" s="41">
        <f t="shared" si="799"/>
        <v>405.76579256360156</v>
      </c>
      <c r="Y245" s="196"/>
      <c r="Z245" s="41">
        <f t="shared" si="800"/>
        <v>13.742125099999999</v>
      </c>
      <c r="AA245" s="196"/>
      <c r="AB245" s="41">
        <f t="shared" si="801"/>
        <v>11.184662127946886</v>
      </c>
      <c r="AC245" s="196"/>
      <c r="AD245" s="21">
        <f t="shared" si="802"/>
        <v>16.7250987</v>
      </c>
      <c r="AE245" s="196"/>
      <c r="AF245" s="41">
        <f t="shared" si="803"/>
        <v>10.613994984968759</v>
      </c>
      <c r="AG245" s="196"/>
      <c r="AH245" s="21">
        <f t="shared" si="804"/>
        <v>-1716.3029331999999</v>
      </c>
      <c r="AI245" s="196"/>
      <c r="AJ245" s="196">
        <f t="shared" si="805"/>
        <v>0</v>
      </c>
      <c r="AK245" s="196"/>
      <c r="AL245" s="196">
        <f t="shared" si="806"/>
        <v>0</v>
      </c>
      <c r="AM245" s="196"/>
      <c r="AN245" s="196">
        <f t="shared" si="807"/>
        <v>0</v>
      </c>
      <c r="AO245" s="196"/>
    </row>
    <row r="246" spans="2:41" ht="13.5" customHeight="1">
      <c r="B246" s="29" t="str">
        <f t="shared" si="792"/>
        <v>Dividends</v>
      </c>
      <c r="C246" s="41">
        <f t="shared" ref="C246:J246" si="818">C73*C$209</f>
        <v>9.3550539999999991</v>
      </c>
      <c r="D246" s="41">
        <f t="shared" si="818"/>
        <v>1.9939688999999998</v>
      </c>
      <c r="E246" s="41">
        <f t="shared" si="818"/>
        <v>2.7460223999999998</v>
      </c>
      <c r="F246" s="41">
        <f t="shared" si="818"/>
        <v>3.7716102023412668</v>
      </c>
      <c r="G246" s="41">
        <f t="shared" si="818"/>
        <v>10.366793932821297</v>
      </c>
      <c r="H246" s="41">
        <f t="shared" si="818"/>
        <v>-0.34622124243965863</v>
      </c>
      <c r="I246" s="41">
        <f t="shared" si="818"/>
        <v>-0.44349746034516008</v>
      </c>
      <c r="J246" s="41">
        <f t="shared" si="818"/>
        <v>0</v>
      </c>
      <c r="K246" s="196"/>
      <c r="L246" s="128"/>
      <c r="M246" s="196"/>
      <c r="N246" s="41">
        <f t="shared" si="794"/>
        <v>1.4192563000000002</v>
      </c>
      <c r="O246" s="196"/>
      <c r="P246" s="41">
        <f t="shared" si="795"/>
        <v>0.5789559999999998</v>
      </c>
      <c r="Q246" s="196"/>
      <c r="R246" s="41">
        <f t="shared" si="796"/>
        <v>2.4247769999999997</v>
      </c>
      <c r="S246" s="196"/>
      <c r="T246" s="41">
        <f t="shared" si="797"/>
        <v>0.25982249999999996</v>
      </c>
      <c r="U246" s="196"/>
      <c r="V246" s="41">
        <f t="shared" si="798"/>
        <v>2.6374488000000005</v>
      </c>
      <c r="W246" s="196"/>
      <c r="X246" s="41">
        <f t="shared" si="799"/>
        <v>1.1511545988258314</v>
      </c>
      <c r="Y246" s="196"/>
      <c r="Z246" s="41">
        <f t="shared" si="800"/>
        <v>0</v>
      </c>
      <c r="AA246" s="196"/>
      <c r="AB246" s="41">
        <f t="shared" si="801"/>
        <v>9.8157317279018717</v>
      </c>
      <c r="AC246" s="196"/>
      <c r="AD246" s="21">
        <f t="shared" si="802"/>
        <v>0</v>
      </c>
      <c r="AE246" s="196"/>
      <c r="AF246" s="41">
        <f t="shared" si="803"/>
        <v>-0.33941509773769452</v>
      </c>
      <c r="AG246" s="196"/>
      <c r="AH246" s="21">
        <f t="shared" si="804"/>
        <v>0</v>
      </c>
      <c r="AI246" s="196"/>
      <c r="AJ246" s="196">
        <f t="shared" si="805"/>
        <v>0</v>
      </c>
      <c r="AK246" s="196"/>
      <c r="AL246" s="196">
        <f t="shared" si="806"/>
        <v>0</v>
      </c>
      <c r="AM246" s="196"/>
      <c r="AN246" s="196">
        <f t="shared" si="807"/>
        <v>0</v>
      </c>
      <c r="AO246" s="196"/>
    </row>
    <row r="247" spans="2:41" ht="13.5" customHeight="1">
      <c r="B247" s="29" t="str">
        <f t="shared" si="792"/>
        <v>Net Change in debt</v>
      </c>
      <c r="C247" s="41">
        <f t="shared" ref="C247:J247" si="819">C74*C$209</f>
        <v>188.44800000000001</v>
      </c>
      <c r="D247" s="41">
        <f t="shared" si="819"/>
        <v>87.544957499999995</v>
      </c>
      <c r="E247" s="41">
        <f t="shared" si="819"/>
        <v>2592.2606820000001</v>
      </c>
      <c r="F247" s="41">
        <f t="shared" si="819"/>
        <v>5095.835025971006</v>
      </c>
      <c r="G247" s="41">
        <f t="shared" si="819"/>
        <v>-1408.1719727244372</v>
      </c>
      <c r="H247" s="41">
        <f t="shared" si="819"/>
        <v>-325.88364139958156</v>
      </c>
      <c r="I247" s="41">
        <f t="shared" si="819"/>
        <v>-602.58689203165568</v>
      </c>
      <c r="J247" s="41">
        <f t="shared" si="819"/>
        <v>3179.4416520753898</v>
      </c>
      <c r="K247" s="196"/>
      <c r="L247" s="128"/>
      <c r="M247" s="196"/>
      <c r="N247" s="41">
        <f t="shared" si="794"/>
        <v>175.56</v>
      </c>
      <c r="O247" s="196"/>
      <c r="P247" s="41">
        <f t="shared" si="795"/>
        <v>-84.964645000000004</v>
      </c>
      <c r="Q247" s="196"/>
      <c r="R247" s="41">
        <f t="shared" si="796"/>
        <v>-10.292999999999999</v>
      </c>
      <c r="S247" s="196"/>
      <c r="T247" s="41">
        <f t="shared" si="797"/>
        <v>2715.7943025</v>
      </c>
      <c r="U247" s="196"/>
      <c r="V247" s="41">
        <f t="shared" si="798"/>
        <v>4684.3367298000003</v>
      </c>
      <c r="W247" s="196"/>
      <c r="X247" s="41">
        <f t="shared" si="799"/>
        <v>426.12148727984379</v>
      </c>
      <c r="Y247" s="196"/>
      <c r="Z247" s="41">
        <f t="shared" si="800"/>
        <v>299.63421740000001</v>
      </c>
      <c r="AA247" s="196"/>
      <c r="AB247" s="41">
        <f t="shared" si="801"/>
        <v>-1611.8868508411638</v>
      </c>
      <c r="AC247" s="196"/>
      <c r="AD247" s="21">
        <f t="shared" si="802"/>
        <v>-267.91983360000012</v>
      </c>
      <c r="AE247" s="196"/>
      <c r="AF247" s="41">
        <f t="shared" si="803"/>
        <v>-60.100993308673502</v>
      </c>
      <c r="AG247" s="196"/>
      <c r="AH247" s="21">
        <f t="shared" si="804"/>
        <v>-2768.1511121000003</v>
      </c>
      <c r="AI247" s="196"/>
      <c r="AJ247" s="196">
        <f t="shared" si="805"/>
        <v>0</v>
      </c>
      <c r="AK247" s="196"/>
      <c r="AL247" s="196">
        <f t="shared" si="806"/>
        <v>0</v>
      </c>
      <c r="AM247" s="196"/>
      <c r="AN247" s="196">
        <f t="shared" si="807"/>
        <v>0</v>
      </c>
      <c r="AO247" s="196"/>
    </row>
    <row r="248" spans="2:41" ht="13.5" customHeight="1">
      <c r="B248" s="29" t="str">
        <f t="shared" si="792"/>
        <v>Other financing activities</v>
      </c>
      <c r="C248" s="41">
        <f t="shared" ref="C248:J248" si="820">C75*C$209</f>
        <v>68.220742999999999</v>
      </c>
      <c r="D248" s="41">
        <f t="shared" si="820"/>
        <v>105.60080160000001</v>
      </c>
      <c r="E248" s="41">
        <f t="shared" si="820"/>
        <v>-31.413003599999985</v>
      </c>
      <c r="F248" s="41">
        <f t="shared" si="820"/>
        <v>165.40367470346538</v>
      </c>
      <c r="G248" s="41">
        <f t="shared" si="820"/>
        <v>71.37521726858111</v>
      </c>
      <c r="H248" s="41">
        <f t="shared" si="820"/>
        <v>-12.464529986999032</v>
      </c>
      <c r="I248" s="41">
        <f t="shared" si="820"/>
        <v>39.082082321844922</v>
      </c>
      <c r="J248" s="41">
        <f t="shared" si="820"/>
        <v>0</v>
      </c>
      <c r="K248" s="196"/>
      <c r="L248" s="128"/>
      <c r="M248" s="196"/>
      <c r="N248" s="41">
        <f t="shared" si="794"/>
        <v>29.209380199999998</v>
      </c>
      <c r="O248" s="196"/>
      <c r="P248" s="41">
        <f t="shared" si="795"/>
        <v>75.453938000000022</v>
      </c>
      <c r="Q248" s="196"/>
      <c r="R248" s="41">
        <f t="shared" si="796"/>
        <v>-104.17390200000001</v>
      </c>
      <c r="S248" s="196"/>
      <c r="T248" s="41">
        <f t="shared" si="797"/>
        <v>79.155568500000044</v>
      </c>
      <c r="U248" s="196"/>
      <c r="V248" s="41">
        <f t="shared" si="798"/>
        <v>0.32416439999999097</v>
      </c>
      <c r="W248" s="196"/>
      <c r="X248" s="41">
        <f t="shared" si="799"/>
        <v>166.68258317025439</v>
      </c>
      <c r="Y248" s="196"/>
      <c r="Z248" s="41">
        <f t="shared" si="800"/>
        <v>57.561782399999991</v>
      </c>
      <c r="AA248" s="196"/>
      <c r="AB248" s="41">
        <f t="shared" si="801"/>
        <v>14.066280312834072</v>
      </c>
      <c r="AC248" s="196"/>
      <c r="AD248" s="21">
        <f t="shared" si="802"/>
        <v>39.884832000000003</v>
      </c>
      <c r="AE248" s="196"/>
      <c r="AF248" s="41">
        <f t="shared" si="803"/>
        <v>-50.832467478492163</v>
      </c>
      <c r="AG248" s="196"/>
      <c r="AH248" s="21">
        <f t="shared" si="804"/>
        <v>38.431849</v>
      </c>
      <c r="AI248" s="196"/>
      <c r="AJ248" s="196">
        <f t="shared" si="805"/>
        <v>0</v>
      </c>
      <c r="AK248" s="196"/>
      <c r="AL248" s="196">
        <f t="shared" si="806"/>
        <v>0</v>
      </c>
      <c r="AM248" s="196"/>
      <c r="AN248" s="196">
        <f t="shared" si="807"/>
        <v>0</v>
      </c>
      <c r="AO248" s="196"/>
    </row>
    <row r="249" spans="2:41" s="32" customFormat="1" ht="13.5" customHeight="1" thickBot="1">
      <c r="B249" s="39" t="str">
        <f t="shared" si="792"/>
        <v>Cash flow after financing activities</v>
      </c>
      <c r="C249" s="38">
        <f t="shared" ref="C249:J249" si="821">C76*C$209</f>
        <v>143.87536699999939</v>
      </c>
      <c r="D249" s="38">
        <f t="shared" si="821"/>
        <v>-182.18030670000212</v>
      </c>
      <c r="E249" s="38">
        <f t="shared" si="821"/>
        <v>896.67722760000163</v>
      </c>
      <c r="F249" s="38">
        <f t="shared" si="821"/>
        <v>2209.6557872703365</v>
      </c>
      <c r="G249" s="38">
        <f t="shared" si="821"/>
        <v>-2382.8863666750854</v>
      </c>
      <c r="H249" s="38">
        <f t="shared" si="821"/>
        <v>1368.7117743485398</v>
      </c>
      <c r="I249" s="38">
        <f t="shared" si="821"/>
        <v>4815.9403143447989</v>
      </c>
      <c r="J249" s="38">
        <f t="shared" si="821"/>
        <v>4940.5528209929598</v>
      </c>
      <c r="K249" s="197"/>
      <c r="L249" s="40"/>
      <c r="M249" s="197"/>
      <c r="N249" s="38">
        <f t="shared" si="794"/>
        <v>-626.65893289999872</v>
      </c>
      <c r="O249" s="197"/>
      <c r="P249" s="38">
        <f t="shared" si="795"/>
        <v>431.52185999999642</v>
      </c>
      <c r="Q249" s="197"/>
      <c r="R249" s="38">
        <f t="shared" si="796"/>
        <v>339.17465400000117</v>
      </c>
      <c r="S249" s="197"/>
      <c r="T249" s="38">
        <f t="shared" si="797"/>
        <v>571.15030350000029</v>
      </c>
      <c r="U249" s="197"/>
      <c r="V249" s="38">
        <f t="shared" si="798"/>
        <v>8508.3751746000034</v>
      </c>
      <c r="W249" s="197"/>
      <c r="X249" s="38">
        <f t="shared" si="799"/>
        <v>-6340.5517025440267</v>
      </c>
      <c r="Y249" s="197"/>
      <c r="Z249" s="38">
        <f t="shared" si="800"/>
        <v>-257.36508249999986</v>
      </c>
      <c r="AA249" s="197"/>
      <c r="AB249" s="38">
        <f t="shared" si="801"/>
        <v>-2016.9495864513592</v>
      </c>
      <c r="AC249" s="197"/>
      <c r="AD249" s="38">
        <f t="shared" si="802"/>
        <v>-673.53363539999998</v>
      </c>
      <c r="AE249" s="197"/>
      <c r="AF249" s="38">
        <f t="shared" si="803"/>
        <v>1993.86088137096</v>
      </c>
      <c r="AG249" s="197"/>
      <c r="AH249" s="38">
        <f t="shared" si="804"/>
        <v>1505.4064182999996</v>
      </c>
      <c r="AI249" s="197"/>
      <c r="AJ249" s="197">
        <f t="shared" si="805"/>
        <v>0</v>
      </c>
      <c r="AK249" s="197"/>
      <c r="AL249" s="197">
        <f t="shared" si="806"/>
        <v>0</v>
      </c>
      <c r="AM249" s="197"/>
      <c r="AN249" s="197">
        <f t="shared" si="807"/>
        <v>0</v>
      </c>
      <c r="AO249" s="197"/>
    </row>
    <row r="250" spans="2:41" s="32" customFormat="1" ht="13.5" customHeight="1" thickTop="1">
      <c r="B250" s="29" t="str">
        <f t="shared" si="792"/>
        <v>Balancing figure</v>
      </c>
      <c r="C250" s="41">
        <f t="shared" ref="C250:J250" si="822">C77*C$209</f>
        <v>-645.68007699999941</v>
      </c>
      <c r="D250" s="41">
        <f t="shared" si="822"/>
        <v>-322.87313519999782</v>
      </c>
      <c r="E250" s="41">
        <f t="shared" si="822"/>
        <v>-219.88695960000166</v>
      </c>
      <c r="F250" s="41">
        <f t="shared" si="822"/>
        <v>285.89270486083655</v>
      </c>
      <c r="G250" s="41">
        <f t="shared" si="822"/>
        <v>408.18281758352805</v>
      </c>
      <c r="H250" s="41">
        <f t="shared" si="822"/>
        <v>479.21980102877069</v>
      </c>
      <c r="I250" s="41">
        <f t="shared" si="822"/>
        <v>327.42937099719967</v>
      </c>
      <c r="J250" s="41">
        <f t="shared" si="822"/>
        <v>239.42875401432997</v>
      </c>
      <c r="K250" s="196"/>
      <c r="L250" s="128"/>
      <c r="M250" s="196"/>
      <c r="N250" s="41">
        <f t="shared" si="794"/>
        <v>-344.24214440000139</v>
      </c>
      <c r="O250" s="196"/>
      <c r="P250" s="41">
        <f t="shared" si="795"/>
        <v>17.787924000003471</v>
      </c>
      <c r="Q250" s="196"/>
      <c r="R250" s="41">
        <f t="shared" si="796"/>
        <v>-278.38800300000116</v>
      </c>
      <c r="S250" s="196"/>
      <c r="T250" s="41">
        <f t="shared" si="797"/>
        <v>69.691514999999555</v>
      </c>
      <c r="U250" s="196"/>
      <c r="V250" s="41">
        <f t="shared" si="798"/>
        <v>-21.761439000002806</v>
      </c>
      <c r="W250" s="196"/>
      <c r="X250" s="41">
        <f t="shared" si="799"/>
        <v>310.59099804305021</v>
      </c>
      <c r="Y250" s="196"/>
      <c r="Z250" s="41">
        <f t="shared" si="800"/>
        <v>-867.32165190000023</v>
      </c>
      <c r="AA250" s="196"/>
      <c r="AB250" s="41">
        <f t="shared" si="801"/>
        <v>1192.8295729477302</v>
      </c>
      <c r="AC250" s="196"/>
      <c r="AD250" s="21">
        <f t="shared" si="802"/>
        <v>1628.1460080000002</v>
      </c>
      <c r="AE250" s="196"/>
      <c r="AF250" s="41">
        <f t="shared" si="803"/>
        <v>-1106.4279678040546</v>
      </c>
      <c r="AG250" s="196"/>
      <c r="AH250" s="21">
        <f t="shared" si="804"/>
        <v>1421.8331318000005</v>
      </c>
      <c r="AI250" s="196"/>
      <c r="AJ250" s="196">
        <f t="shared" si="805"/>
        <v>0</v>
      </c>
      <c r="AK250" s="196"/>
      <c r="AL250" s="196">
        <f t="shared" si="806"/>
        <v>0</v>
      </c>
      <c r="AM250" s="196"/>
      <c r="AN250" s="196">
        <f t="shared" si="807"/>
        <v>0</v>
      </c>
      <c r="AO250" s="196"/>
    </row>
    <row r="251" spans="2:41" ht="13.5" customHeight="1">
      <c r="B251" s="29" t="str">
        <f t="shared" si="792"/>
        <v xml:space="preserve">FX </v>
      </c>
      <c r="C251" s="41">
        <f t="shared" ref="C251:J251" si="823">C78*C$209</f>
        <v>152.44763699999999</v>
      </c>
      <c r="D251" s="41">
        <f t="shared" si="823"/>
        <v>-25.131745800000001</v>
      </c>
      <c r="E251" s="41">
        <f t="shared" si="823"/>
        <v>-139.9315632</v>
      </c>
      <c r="F251" s="41">
        <f t="shared" si="823"/>
        <v>-104.68578959609273</v>
      </c>
      <c r="G251" s="41">
        <f t="shared" si="823"/>
        <v>139.2747314783177</v>
      </c>
      <c r="H251" s="41">
        <f t="shared" si="823"/>
        <v>14.759623537391894</v>
      </c>
      <c r="I251" s="41">
        <f t="shared" si="823"/>
        <v>77.555243326864286</v>
      </c>
      <c r="J251" s="41">
        <f t="shared" si="823"/>
        <v>-175.9044497888884</v>
      </c>
      <c r="K251" s="196"/>
      <c r="L251" s="128"/>
      <c r="M251" s="196"/>
      <c r="N251" s="41">
        <f t="shared" si="794"/>
        <v>-29.032942400000003</v>
      </c>
      <c r="O251" s="196"/>
      <c r="P251" s="41">
        <f t="shared" si="795"/>
        <v>3.5658556000000003</v>
      </c>
      <c r="Q251" s="196"/>
      <c r="R251" s="41">
        <f t="shared" si="796"/>
        <v>15.19416</v>
      </c>
      <c r="S251" s="196"/>
      <c r="T251" s="41">
        <f t="shared" si="797"/>
        <v>-162.32861400000002</v>
      </c>
      <c r="U251" s="196"/>
      <c r="V251" s="41">
        <f t="shared" si="798"/>
        <v>-49.277961599999998</v>
      </c>
      <c r="W251" s="196"/>
      <c r="X251" s="41">
        <f t="shared" si="799"/>
        <v>-56.057455968688849</v>
      </c>
      <c r="Y251" s="196"/>
      <c r="Z251" s="41">
        <f t="shared" si="800"/>
        <v>69.15408579999999</v>
      </c>
      <c r="AA251" s="196"/>
      <c r="AB251" s="41">
        <f t="shared" si="801"/>
        <v>67.57919315816126</v>
      </c>
      <c r="AC251" s="196"/>
      <c r="AD251" s="21">
        <f t="shared" si="802"/>
        <v>24.825846599999998</v>
      </c>
      <c r="AE251" s="196"/>
      <c r="AF251" s="41">
        <f t="shared" si="803"/>
        <v>-9.5647174542482301</v>
      </c>
      <c r="AG251" s="196"/>
      <c r="AH251" s="21">
        <f t="shared" si="804"/>
        <v>23.186023299999999</v>
      </c>
      <c r="AI251" s="196"/>
      <c r="AJ251" s="196">
        <f t="shared" si="805"/>
        <v>0</v>
      </c>
      <c r="AK251" s="196"/>
      <c r="AL251" s="196">
        <f t="shared" si="806"/>
        <v>0</v>
      </c>
      <c r="AM251" s="196"/>
      <c r="AN251" s="196">
        <f t="shared" si="807"/>
        <v>0</v>
      </c>
      <c r="AO251" s="196"/>
    </row>
    <row r="252" spans="2:41" s="32" customFormat="1" ht="13.5" customHeight="1" thickBot="1">
      <c r="B252" s="39" t="str">
        <f t="shared" si="792"/>
        <v xml:space="preserve">Net change in cash </v>
      </c>
      <c r="C252" s="38">
        <f t="shared" ref="C252:J252" si="824">C79*C$209</f>
        <v>-349.35707300000007</v>
      </c>
      <c r="D252" s="38">
        <f t="shared" si="824"/>
        <v>-530.18518770000003</v>
      </c>
      <c r="E252" s="38">
        <f t="shared" si="824"/>
        <v>536.85870480000006</v>
      </c>
      <c r="F252" s="38">
        <f t="shared" si="824"/>
        <v>2390.8627025350802</v>
      </c>
      <c r="G252" s="38">
        <f t="shared" si="824"/>
        <v>-1835.4288176132397</v>
      </c>
      <c r="H252" s="38">
        <f t="shared" si="824"/>
        <v>1862.6911989147025</v>
      </c>
      <c r="I252" s="38">
        <f t="shared" si="824"/>
        <v>5220.9249286688628</v>
      </c>
      <c r="J252" s="38">
        <f t="shared" si="824"/>
        <v>5004.0771252184013</v>
      </c>
      <c r="K252" s="197"/>
      <c r="L252" s="40"/>
      <c r="M252" s="197"/>
      <c r="N252" s="38">
        <f t="shared" si="794"/>
        <v>-999.93401970000014</v>
      </c>
      <c r="O252" s="197"/>
      <c r="P252" s="38">
        <f t="shared" si="795"/>
        <v>452.87563959999989</v>
      </c>
      <c r="Q252" s="197"/>
      <c r="R252" s="38">
        <f t="shared" si="796"/>
        <v>75.980810999999974</v>
      </c>
      <c r="S252" s="197"/>
      <c r="T252" s="38">
        <f t="shared" si="797"/>
        <v>478.51320449999986</v>
      </c>
      <c r="U252" s="197"/>
      <c r="V252" s="38">
        <f t="shared" si="798"/>
        <v>8437.335774000001</v>
      </c>
      <c r="W252" s="197"/>
      <c r="X252" s="38">
        <f t="shared" si="799"/>
        <v>-6086.0181604696672</v>
      </c>
      <c r="Y252" s="197"/>
      <c r="Z252" s="38">
        <f t="shared" si="800"/>
        <v>-1055.5326486000001</v>
      </c>
      <c r="AA252" s="197"/>
      <c r="AB252" s="38">
        <f t="shared" si="801"/>
        <v>-756.54082034546786</v>
      </c>
      <c r="AC252" s="197"/>
      <c r="AD252" s="38">
        <f t="shared" si="802"/>
        <v>979.43821920000016</v>
      </c>
      <c r="AE252" s="197"/>
      <c r="AF252" s="38">
        <f t="shared" si="803"/>
        <v>877.86819611265707</v>
      </c>
      <c r="AG252" s="197"/>
      <c r="AH252" s="38">
        <f t="shared" si="804"/>
        <v>2950.4255734000003</v>
      </c>
      <c r="AI252" s="197"/>
      <c r="AJ252" s="197">
        <f t="shared" si="805"/>
        <v>0</v>
      </c>
      <c r="AK252" s="197"/>
      <c r="AL252" s="197">
        <f t="shared" si="806"/>
        <v>0</v>
      </c>
      <c r="AM252" s="197"/>
      <c r="AN252" s="197">
        <f t="shared" si="807"/>
        <v>0</v>
      </c>
      <c r="AO252" s="197"/>
    </row>
    <row r="253" spans="2:41" ht="13.5" customHeight="1" thickTop="1">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row>
    <row r="254" spans="2:41" s="32" customFormat="1" ht="13.5" customHeight="1">
      <c r="B254" s="32" t="str">
        <f>+B121</f>
        <v>Total debt</v>
      </c>
      <c r="C254" s="40">
        <f t="shared" ref="C254:K254" si="825">C121*C$210</f>
        <v>329.83913680000006</v>
      </c>
      <c r="D254" s="40">
        <f t="shared" si="825"/>
        <v>796.41450320000001</v>
      </c>
      <c r="E254" s="40">
        <f t="shared" si="825"/>
        <v>3694.9388800000002</v>
      </c>
      <c r="F254" s="40">
        <f t="shared" si="825"/>
        <v>9260.2329999528974</v>
      </c>
      <c r="G254" s="40">
        <f t="shared" si="825"/>
        <v>8421.9139650872821</v>
      </c>
      <c r="H254" s="40">
        <f t="shared" si="825"/>
        <v>8540.8012341852409</v>
      </c>
      <c r="I254" s="40">
        <f t="shared" si="825"/>
        <v>8426.7761292178693</v>
      </c>
      <c r="J254" s="40">
        <f t="shared" si="825"/>
        <v>12385.304774296868</v>
      </c>
      <c r="K254" s="40">
        <f t="shared" si="825"/>
        <v>16350.758805624002</v>
      </c>
      <c r="L254" s="40"/>
      <c r="M254" s="40">
        <f t="shared" ref="M254:AN254" si="826">M121*M$210</f>
        <v>647.53462999999999</v>
      </c>
      <c r="N254" s="40">
        <f t="shared" si="826"/>
        <v>810.38397440000017</v>
      </c>
      <c r="O254" s="40">
        <f t="shared" si="826"/>
        <v>790.66107839999995</v>
      </c>
      <c r="P254" s="40">
        <f t="shared" si="826"/>
        <v>796.41450320000001</v>
      </c>
      <c r="Q254" s="40">
        <f t="shared" si="826"/>
        <v>784.61465319999991</v>
      </c>
      <c r="R254" s="40">
        <f t="shared" si="826"/>
        <v>703.80203899999992</v>
      </c>
      <c r="S254" s="40">
        <f t="shared" si="826"/>
        <v>1453.7452864000002</v>
      </c>
      <c r="T254" s="40">
        <f t="shared" si="826"/>
        <v>3694.9388800000002</v>
      </c>
      <c r="U254" s="40">
        <f t="shared" si="826"/>
        <v>1837.8773182000004</v>
      </c>
      <c r="V254" s="40">
        <f t="shared" si="826"/>
        <v>8228.8182226999998</v>
      </c>
      <c r="W254" s="40">
        <f t="shared" si="826"/>
        <v>9128.7354345000003</v>
      </c>
      <c r="X254" s="40">
        <f t="shared" si="826"/>
        <v>9260.2329999528974</v>
      </c>
      <c r="Y254" s="40">
        <f t="shared" si="826"/>
        <v>9760.479907500001</v>
      </c>
      <c r="Z254" s="40">
        <f t="shared" si="826"/>
        <v>9756.1366751999994</v>
      </c>
      <c r="AA254" s="40">
        <f t="shared" si="826"/>
        <v>9254.3392652000002</v>
      </c>
      <c r="AB254" s="40">
        <f t="shared" si="826"/>
        <v>8421.9139650872821</v>
      </c>
      <c r="AC254" s="40">
        <f t="shared" si="826"/>
        <v>8391.1684754999987</v>
      </c>
      <c r="AD254" s="40">
        <f t="shared" si="826"/>
        <v>8133.9870961999995</v>
      </c>
      <c r="AE254" s="40">
        <f t="shared" si="826"/>
        <v>8611.7057937268855</v>
      </c>
      <c r="AF254" s="40">
        <f t="shared" si="826"/>
        <v>8540.8012341852409</v>
      </c>
      <c r="AG254" s="40">
        <f t="shared" si="826"/>
        <v>7398.5445319999999</v>
      </c>
      <c r="AH254" s="40">
        <f t="shared" si="826"/>
        <v>4442.437328</v>
      </c>
      <c r="AI254" s="40">
        <f t="shared" si="826"/>
        <v>5891.2142327861375</v>
      </c>
      <c r="AJ254" s="40">
        <f t="shared" si="826"/>
        <v>8426.7761292178693</v>
      </c>
      <c r="AK254" s="40">
        <f t="shared" si="826"/>
        <v>8551.2485890000007</v>
      </c>
      <c r="AL254" s="40">
        <f t="shared" si="826"/>
        <v>7116.4453192000001</v>
      </c>
      <c r="AM254" s="40">
        <f t="shared" si="826"/>
        <v>7200.6782684420477</v>
      </c>
      <c r="AN254" s="40">
        <f t="shared" si="826"/>
        <v>12385.304774296868</v>
      </c>
      <c r="AO254" s="40">
        <f t="shared" ref="AO254" si="827">AO121*AO$210</f>
        <v>16350.758805624002</v>
      </c>
    </row>
    <row r="255" spans="2:41" ht="13.5" customHeight="1">
      <c r="B255" s="29" t="str">
        <f>+B122</f>
        <v>Cash and cash equivalents</v>
      </c>
      <c r="C255" s="37">
        <f>(C122)*C$210</f>
        <v>2476.4484476000002</v>
      </c>
      <c r="D255" s="37">
        <f>(D122)*D$210</f>
        <v>1923.692166</v>
      </c>
      <c r="E255" s="37">
        <f t="shared" ref="E255:K255" si="828">(E122+E123)*E$210</f>
        <v>9359.4204836000008</v>
      </c>
      <c r="F255" s="37">
        <f t="shared" si="828"/>
        <v>18337.825438444994</v>
      </c>
      <c r="G255" s="37">
        <f t="shared" si="828"/>
        <v>16243.095169054111</v>
      </c>
      <c r="H255" s="37">
        <f t="shared" si="828"/>
        <v>20451.468483191977</v>
      </c>
      <c r="I255" s="37">
        <f t="shared" si="828"/>
        <v>23049.231844149435</v>
      </c>
      <c r="J255" s="37">
        <f t="shared" si="828"/>
        <v>23854.855655804513</v>
      </c>
      <c r="K255" s="37">
        <f t="shared" si="828"/>
        <v>26144.391216118278</v>
      </c>
      <c r="L255" s="37"/>
      <c r="M255" s="37">
        <f t="shared" ref="M255:U255" si="829">(M122)*M$210</f>
        <v>1609.5722019999998</v>
      </c>
      <c r="N255" s="37">
        <f t="shared" si="829"/>
        <v>1490.5436</v>
      </c>
      <c r="O255" s="37">
        <f t="shared" si="829"/>
        <v>2118.0609578999997</v>
      </c>
      <c r="P255" s="37">
        <f t="shared" si="829"/>
        <v>1923.692166</v>
      </c>
      <c r="Q255" s="37">
        <f t="shared" si="829"/>
        <v>1996.2613135999998</v>
      </c>
      <c r="R255" s="37">
        <f t="shared" si="829"/>
        <v>1971.8104239999998</v>
      </c>
      <c r="S255" s="37">
        <f t="shared" si="829"/>
        <v>2898.3092671999998</v>
      </c>
      <c r="T255" s="37">
        <f t="shared" si="829"/>
        <v>2618.7332388000004</v>
      </c>
      <c r="U255" s="37">
        <f t="shared" si="829"/>
        <v>2715.1968452000001</v>
      </c>
      <c r="V255" s="37">
        <f t="shared" ref="V255:AN255" si="830">(V122+V123)*V$210</f>
        <v>18976.746179100002</v>
      </c>
      <c r="W255" s="37">
        <f t="shared" si="830"/>
        <v>18750.4393131</v>
      </c>
      <c r="X255" s="37">
        <f t="shared" si="830"/>
        <v>18337.825438444994</v>
      </c>
      <c r="Y255" s="37">
        <f t="shared" si="830"/>
        <v>16293.074332499998</v>
      </c>
      <c r="Z255" s="37">
        <f t="shared" si="830"/>
        <v>16044.837748400001</v>
      </c>
      <c r="AA255" s="37">
        <f t="shared" si="830"/>
        <v>15634.756584399998</v>
      </c>
      <c r="AB255" s="37">
        <f t="shared" si="830"/>
        <v>16243.095169054111</v>
      </c>
      <c r="AC255" s="37">
        <f t="shared" si="830"/>
        <v>16208.762419499999</v>
      </c>
      <c r="AD255" s="37">
        <f t="shared" si="830"/>
        <v>16574.4674228</v>
      </c>
      <c r="AE255" s="37">
        <f t="shared" si="830"/>
        <v>18301.642240788929</v>
      </c>
      <c r="AF255" s="37">
        <f t="shared" si="830"/>
        <v>20451.468483191977</v>
      </c>
      <c r="AG255" s="37">
        <f t="shared" si="830"/>
        <v>19347.761627599997</v>
      </c>
      <c r="AH255" s="37">
        <f t="shared" si="830"/>
        <v>18335.505059200001</v>
      </c>
      <c r="AI255" s="37">
        <f t="shared" si="830"/>
        <v>19118.006013451894</v>
      </c>
      <c r="AJ255" s="37">
        <f t="shared" si="830"/>
        <v>23049.231844149435</v>
      </c>
      <c r="AK255" s="37">
        <f t="shared" si="830"/>
        <v>24856.7723014</v>
      </c>
      <c r="AL255" s="37">
        <f t="shared" si="830"/>
        <v>23874.064219200001</v>
      </c>
      <c r="AM255" s="37">
        <f t="shared" si="830"/>
        <v>19844.90125849767</v>
      </c>
      <c r="AN255" s="37">
        <f t="shared" si="830"/>
        <v>23854.855655804513</v>
      </c>
      <c r="AO255" s="37">
        <f t="shared" ref="AO255" si="831">(AO122+AO123)*AO$210</f>
        <v>26144.391216118278</v>
      </c>
    </row>
    <row r="256" spans="2:41" s="32" customFormat="1" ht="13.5" customHeight="1" thickBot="1">
      <c r="B256" s="39" t="str">
        <f>+B124</f>
        <v>Net debt</v>
      </c>
      <c r="C256" s="38">
        <f t="shared" ref="C256:E256" si="832">C254-C255</f>
        <v>-2146.6093108</v>
      </c>
      <c r="D256" s="38">
        <f t="shared" si="832"/>
        <v>-1127.2776628000001</v>
      </c>
      <c r="E256" s="38">
        <f t="shared" si="832"/>
        <v>-5664.4816036000011</v>
      </c>
      <c r="F256" s="38">
        <f t="shared" ref="F256:G256" si="833">F254-F255</f>
        <v>-9077.5924384920963</v>
      </c>
      <c r="G256" s="38">
        <f t="shared" si="833"/>
        <v>-7821.1812039668293</v>
      </c>
      <c r="H256" s="38">
        <f t="shared" ref="H256:I256" si="834">H254-H255</f>
        <v>-11910.667249006736</v>
      </c>
      <c r="I256" s="38">
        <f t="shared" si="834"/>
        <v>-14622.455714931566</v>
      </c>
      <c r="J256" s="38">
        <f t="shared" ref="J256:K256" si="835">J254-J255</f>
        <v>-11469.550881507645</v>
      </c>
      <c r="K256" s="38">
        <f t="shared" si="835"/>
        <v>-9793.632410494276</v>
      </c>
      <c r="L256" s="40"/>
      <c r="M256" s="38">
        <f t="shared" ref="M256:S256" si="836">M254-M255</f>
        <v>-962.03757199999984</v>
      </c>
      <c r="N256" s="38">
        <f t="shared" si="836"/>
        <v>-680.1596255999998</v>
      </c>
      <c r="O256" s="38">
        <f t="shared" si="836"/>
        <v>-1327.3998794999998</v>
      </c>
      <c r="P256" s="38">
        <f t="shared" si="836"/>
        <v>-1127.2776628000001</v>
      </c>
      <c r="Q256" s="38">
        <f t="shared" si="836"/>
        <v>-1211.6466603999997</v>
      </c>
      <c r="R256" s="38">
        <f t="shared" si="836"/>
        <v>-1268.0083849999999</v>
      </c>
      <c r="S256" s="38">
        <f t="shared" si="836"/>
        <v>-1444.5639807999996</v>
      </c>
      <c r="T256" s="38">
        <f t="shared" ref="T256:W256" si="837">T254-T255</f>
        <v>1076.2056411999997</v>
      </c>
      <c r="U256" s="38">
        <f t="shared" si="837"/>
        <v>-877.31952699999965</v>
      </c>
      <c r="V256" s="38">
        <f t="shared" si="837"/>
        <v>-10747.927956400003</v>
      </c>
      <c r="W256" s="38">
        <f t="shared" si="837"/>
        <v>-9621.7038785999994</v>
      </c>
      <c r="X256" s="38">
        <f t="shared" ref="X256:AA256" si="838">X254-X255</f>
        <v>-9077.5924384920963</v>
      </c>
      <c r="Y256" s="38">
        <f t="shared" si="838"/>
        <v>-6532.5944249999975</v>
      </c>
      <c r="Z256" s="38">
        <f t="shared" si="838"/>
        <v>-6288.7010732000017</v>
      </c>
      <c r="AA256" s="38">
        <f t="shared" si="838"/>
        <v>-6380.417319199998</v>
      </c>
      <c r="AB256" s="38">
        <f t="shared" ref="AB256:AE256" si="839">AB254-AB255</f>
        <v>-7821.1812039668293</v>
      </c>
      <c r="AC256" s="38">
        <f t="shared" si="839"/>
        <v>-7817.5939440000002</v>
      </c>
      <c r="AD256" s="38">
        <f t="shared" si="839"/>
        <v>-8440.4803266000017</v>
      </c>
      <c r="AE256" s="38">
        <f t="shared" si="839"/>
        <v>-9689.936447062044</v>
      </c>
      <c r="AF256" s="38">
        <f t="shared" ref="AF256:AI256" si="840">AF254-AF255</f>
        <v>-11910.667249006736</v>
      </c>
      <c r="AG256" s="38">
        <f t="shared" si="840"/>
        <v>-11949.217095599997</v>
      </c>
      <c r="AH256" s="38">
        <f t="shared" si="840"/>
        <v>-13893.067731200001</v>
      </c>
      <c r="AI256" s="38">
        <f t="shared" si="840"/>
        <v>-13226.791780665757</v>
      </c>
      <c r="AJ256" s="38">
        <f t="shared" ref="AJ256:AM256" si="841">AJ254-AJ255</f>
        <v>-14622.455714931566</v>
      </c>
      <c r="AK256" s="38">
        <f t="shared" si="841"/>
        <v>-16305.5237124</v>
      </c>
      <c r="AL256" s="38">
        <f t="shared" si="841"/>
        <v>-16757.618900000001</v>
      </c>
      <c r="AM256" s="38">
        <f t="shared" si="841"/>
        <v>-12644.222990055623</v>
      </c>
      <c r="AN256" s="38">
        <f t="shared" ref="AN256:AO256" si="842">AN254-AN255</f>
        <v>-11469.550881507645</v>
      </c>
      <c r="AO256" s="38">
        <f t="shared" si="842"/>
        <v>-9793.632410494276</v>
      </c>
    </row>
    <row r="257" spans="2:41" ht="13.5" customHeight="1" thickTop="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row>
    <row r="258" spans="2:41" ht="13.5" customHeight="1">
      <c r="B258" s="29" t="str">
        <f>B127</f>
        <v>Net debt including Restricted Cash</v>
      </c>
      <c r="C258" s="35">
        <f t="shared" ref="C258:K258" si="843">C127*C210</f>
        <v>-8224.5030800000004</v>
      </c>
      <c r="D258" s="35">
        <f t="shared" si="843"/>
        <v>-8226.2296791999997</v>
      </c>
      <c r="E258" s="37">
        <f t="shared" si="843"/>
        <v>-7621.7137880000009</v>
      </c>
      <c r="F258" s="37">
        <f t="shared" si="843"/>
        <v>-11162.17566061139</v>
      </c>
      <c r="G258" s="37">
        <f t="shared" si="843"/>
        <v>-9938.7942933364266</v>
      </c>
      <c r="H258" s="37">
        <f t="shared" si="843"/>
        <v>-14640.136802953028</v>
      </c>
      <c r="I258" s="37">
        <f t="shared" si="843"/>
        <v>-17300.742673955036</v>
      </c>
      <c r="J258" s="37">
        <f t="shared" si="843"/>
        <v>-14562.559589344697</v>
      </c>
      <c r="K258" s="37">
        <f t="shared" si="843"/>
        <v>-12673.574865922599</v>
      </c>
      <c r="L258" s="31"/>
      <c r="M258" s="35">
        <f t="shared" ref="M258:AN258" si="844">M127*M210</f>
        <v>-7393.0481769999988</v>
      </c>
      <c r="N258" s="35">
        <f t="shared" si="844"/>
        <v>-7721.359464000001</v>
      </c>
      <c r="O258" s="35">
        <f t="shared" si="844"/>
        <v>-7770.3298571000005</v>
      </c>
      <c r="P258" s="35">
        <f t="shared" si="844"/>
        <v>-8226.2296791999997</v>
      </c>
      <c r="Q258" s="35">
        <f t="shared" si="844"/>
        <v>-7195.1593227999992</v>
      </c>
      <c r="R258" s="35">
        <f t="shared" si="844"/>
        <v>-7568.0052439999999</v>
      </c>
      <c r="S258" s="35">
        <f t="shared" si="844"/>
        <v>-6405.5055935999999</v>
      </c>
      <c r="T258" s="35">
        <f t="shared" si="844"/>
        <v>-7621.7137880000009</v>
      </c>
      <c r="U258" s="35">
        <f t="shared" si="844"/>
        <v>-6269.1130474000001</v>
      </c>
      <c r="V258" s="37">
        <f t="shared" si="844"/>
        <v>-12674.206733600002</v>
      </c>
      <c r="W258" s="37">
        <f t="shared" si="844"/>
        <v>-11624.770591499999</v>
      </c>
      <c r="X258" s="37">
        <f t="shared" si="844"/>
        <v>-11162.17566061139</v>
      </c>
      <c r="Y258" s="37">
        <f t="shared" si="844"/>
        <v>-8282.8040399999991</v>
      </c>
      <c r="Z258" s="37">
        <f t="shared" si="844"/>
        <v>-8265.9537820000005</v>
      </c>
      <c r="AA258" s="37">
        <f t="shared" si="844"/>
        <v>-8151.8753033999983</v>
      </c>
      <c r="AB258" s="37">
        <f t="shared" si="844"/>
        <v>-9938.7942933364266</v>
      </c>
      <c r="AC258" s="37">
        <f t="shared" si="844"/>
        <v>-9744.0346049999989</v>
      </c>
      <c r="AD258" s="37">
        <f t="shared" si="844"/>
        <v>-10491.163095</v>
      </c>
      <c r="AE258" s="37">
        <f t="shared" si="844"/>
        <v>-12181.932064100807</v>
      </c>
      <c r="AF258" s="37">
        <f t="shared" si="844"/>
        <v>-14640.136802953028</v>
      </c>
      <c r="AG258" s="37">
        <f t="shared" si="844"/>
        <v>-14500.6550252</v>
      </c>
      <c r="AH258" s="37">
        <f t="shared" si="844"/>
        <v>-16522.867647999999</v>
      </c>
      <c r="AI258" s="37">
        <f t="shared" si="844"/>
        <v>-15954.938867989056</v>
      </c>
      <c r="AJ258" s="37">
        <f t="shared" si="844"/>
        <v>-7265.2603674324937</v>
      </c>
      <c r="AK258" s="37">
        <f t="shared" si="844"/>
        <v>-18689.371110800002</v>
      </c>
      <c r="AL258" s="37">
        <f t="shared" si="844"/>
        <v>-19259.344711199999</v>
      </c>
      <c r="AM258" s="37">
        <f t="shared" si="844"/>
        <v>-15662.788639811224</v>
      </c>
      <c r="AN258" s="37">
        <f t="shared" si="844"/>
        <v>-14562.559589344697</v>
      </c>
      <c r="AO258" s="37">
        <f t="shared" ref="AO258" si="845">AO127*AO210</f>
        <v>-12673.574865922599</v>
      </c>
    </row>
    <row r="259" spans="2:41" ht="13.5" customHeight="1">
      <c r="B259" s="32"/>
      <c r="C259" s="33"/>
      <c r="D259" s="33"/>
      <c r="E259" s="40"/>
      <c r="F259" s="40"/>
      <c r="G259" s="40"/>
      <c r="H259" s="40"/>
      <c r="I259" s="40"/>
      <c r="J259" s="40"/>
      <c r="K259" s="40"/>
      <c r="L259" s="31"/>
      <c r="M259" s="33"/>
      <c r="N259" s="33"/>
      <c r="O259" s="33"/>
      <c r="P259" s="33"/>
      <c r="Q259" s="33"/>
      <c r="R259" s="33"/>
      <c r="S259" s="33"/>
      <c r="T259" s="33"/>
      <c r="U259" s="33"/>
      <c r="V259" s="40"/>
      <c r="W259" s="40"/>
      <c r="X259" s="40"/>
      <c r="Y259" s="40"/>
      <c r="Z259" s="40"/>
      <c r="AA259" s="40"/>
      <c r="AB259" s="40"/>
      <c r="AC259" s="40"/>
      <c r="AD259" s="40"/>
      <c r="AE259" s="40"/>
      <c r="AF259" s="40"/>
      <c r="AG259" s="40"/>
      <c r="AH259" s="40"/>
      <c r="AI259" s="40"/>
      <c r="AJ259" s="40"/>
      <c r="AK259" s="40"/>
      <c r="AL259" s="40"/>
      <c r="AM259" s="40"/>
      <c r="AN259" s="40"/>
      <c r="AO259" s="40"/>
    </row>
    <row r="260" spans="2:41" ht="13.5" customHeight="1">
      <c r="B260" s="29" t="s">
        <v>277</v>
      </c>
      <c r="C260" s="35">
        <f t="shared" ref="C260:K260" si="846">C128*C$210</f>
        <v>12569.8698716</v>
      </c>
      <c r="D260" s="35">
        <f t="shared" si="846"/>
        <v>13219.0109784</v>
      </c>
      <c r="E260" s="35">
        <f t="shared" si="846"/>
        <v>14957.57093</v>
      </c>
      <c r="F260" s="35">
        <f t="shared" si="846"/>
        <v>19713.422932596441</v>
      </c>
      <c r="G260" s="35">
        <f t="shared" si="846"/>
        <v>18660.574870962133</v>
      </c>
      <c r="H260" s="35">
        <f t="shared" si="846"/>
        <v>21408.938967003858</v>
      </c>
      <c r="I260" s="35">
        <f t="shared" si="846"/>
        <v>23646.661734686888</v>
      </c>
      <c r="J260" s="35">
        <f t="shared" si="846"/>
        <v>21589.123353875635</v>
      </c>
      <c r="K260" s="35">
        <f t="shared" si="846"/>
        <v>21725.142919263661</v>
      </c>
      <c r="L260" s="31"/>
      <c r="M260" s="35">
        <f t="shared" ref="M260:AN260" si="847">M128*M$210</f>
        <v>12620.607238000001</v>
      </c>
      <c r="N260" s="35">
        <f t="shared" si="847"/>
        <v>12685.1587408</v>
      </c>
      <c r="O260" s="35">
        <f t="shared" si="847"/>
        <v>12644.937045999999</v>
      </c>
      <c r="P260" s="35">
        <f t="shared" si="847"/>
        <v>13219.0109784</v>
      </c>
      <c r="Q260" s="35">
        <f t="shared" si="847"/>
        <v>12988.963854799998</v>
      </c>
      <c r="R260" s="35">
        <f t="shared" si="847"/>
        <v>13442.969638499999</v>
      </c>
      <c r="S260" s="35">
        <f t="shared" si="847"/>
        <v>14820.5875008</v>
      </c>
      <c r="T260" s="35">
        <f t="shared" si="847"/>
        <v>14957.57093</v>
      </c>
      <c r="U260" s="35">
        <f t="shared" si="847"/>
        <v>14351.704046400002</v>
      </c>
      <c r="V260" s="35">
        <f t="shared" si="847"/>
        <v>20885.0280547</v>
      </c>
      <c r="W260" s="35">
        <f t="shared" si="847"/>
        <v>20045.302985399998</v>
      </c>
      <c r="X260" s="35">
        <f t="shared" si="847"/>
        <v>19713.422932596441</v>
      </c>
      <c r="Y260" s="35">
        <f t="shared" si="847"/>
        <v>19071.311174999999</v>
      </c>
      <c r="Z260" s="35">
        <f t="shared" si="847"/>
        <v>18435.8715916</v>
      </c>
      <c r="AA260" s="35">
        <f t="shared" si="847"/>
        <v>17893.940225599999</v>
      </c>
      <c r="AB260" s="35">
        <f t="shared" si="847"/>
        <v>18660.574870962133</v>
      </c>
      <c r="AC260" s="35">
        <f t="shared" si="847"/>
        <v>19517.857424999998</v>
      </c>
      <c r="AD260" s="35">
        <f t="shared" si="847"/>
        <v>19587.0795015</v>
      </c>
      <c r="AE260" s="35">
        <f t="shared" si="847"/>
        <v>20247.057252431176</v>
      </c>
      <c r="AF260" s="35">
        <f t="shared" si="847"/>
        <v>21408.938967003858</v>
      </c>
      <c r="AG260" s="35">
        <f t="shared" si="847"/>
        <v>21880.729500000001</v>
      </c>
      <c r="AH260" s="35">
        <f t="shared" si="847"/>
        <v>22084.711936</v>
      </c>
      <c r="AI260" s="35">
        <f t="shared" si="847"/>
        <v>22837.641643866849</v>
      </c>
      <c r="AJ260" s="35">
        <f t="shared" si="847"/>
        <v>23646.661734686888</v>
      </c>
      <c r="AK260" s="35">
        <f t="shared" si="847"/>
        <v>25373.938870800001</v>
      </c>
      <c r="AL260" s="35">
        <f t="shared" si="847"/>
        <v>25727.939934400001</v>
      </c>
      <c r="AM260" s="35">
        <f t="shared" si="847"/>
        <v>23509.453059160627</v>
      </c>
      <c r="AN260" s="35">
        <f t="shared" si="847"/>
        <v>21589.123353875635</v>
      </c>
      <c r="AO260" s="35">
        <f t="shared" ref="AO260" si="848">AO128*AO$210</f>
        <v>21725.142919263661</v>
      </c>
    </row>
    <row r="261" spans="2:41" ht="13.5" customHeight="1">
      <c r="B261" s="32"/>
      <c r="C261" s="33"/>
      <c r="D261" s="33"/>
      <c r="E261" s="40"/>
      <c r="F261" s="40"/>
      <c r="G261" s="40"/>
      <c r="H261" s="40"/>
      <c r="I261" s="40"/>
      <c r="J261" s="40"/>
      <c r="K261" s="40"/>
      <c r="L261" s="31"/>
      <c r="M261" s="33"/>
      <c r="N261" s="33"/>
      <c r="O261" s="33"/>
      <c r="P261" s="33"/>
      <c r="Q261" s="33"/>
      <c r="R261" s="33"/>
      <c r="S261" s="33"/>
      <c r="T261" s="33"/>
      <c r="U261" s="33"/>
      <c r="V261" s="40"/>
      <c r="W261" s="40"/>
      <c r="X261" s="40"/>
      <c r="Y261" s="40"/>
      <c r="Z261" s="40"/>
      <c r="AA261" s="40"/>
      <c r="AB261" s="40"/>
      <c r="AC261" s="40"/>
      <c r="AD261" s="40"/>
      <c r="AE261" s="40"/>
      <c r="AF261" s="40"/>
      <c r="AG261" s="40"/>
      <c r="AH261" s="40"/>
      <c r="AI261" s="40"/>
      <c r="AJ261" s="40"/>
      <c r="AK261" s="40"/>
      <c r="AL261" s="40"/>
      <c r="AM261" s="40"/>
      <c r="AN261" s="40"/>
      <c r="AO261" s="40"/>
    </row>
    <row r="262" spans="2:41" ht="13.5" customHeight="1">
      <c r="B262" s="8" t="s">
        <v>270</v>
      </c>
      <c r="C262" s="33"/>
      <c r="D262" s="33"/>
      <c r="E262" s="40"/>
      <c r="F262" s="40"/>
      <c r="G262" s="40"/>
      <c r="H262" s="40"/>
      <c r="I262" s="40"/>
      <c r="J262" s="40"/>
      <c r="K262" s="40"/>
      <c r="L262" s="31"/>
      <c r="M262" s="33"/>
      <c r="N262" s="33"/>
      <c r="O262" s="33"/>
      <c r="P262" s="33"/>
      <c r="Q262" s="33"/>
      <c r="R262" s="33"/>
      <c r="S262" s="33"/>
      <c r="T262" s="33"/>
      <c r="U262" s="33"/>
      <c r="V262" s="40"/>
      <c r="W262" s="40"/>
      <c r="X262" s="40"/>
      <c r="Y262" s="40"/>
      <c r="Z262" s="40"/>
      <c r="AA262" s="40"/>
      <c r="AB262" s="40"/>
      <c r="AC262" s="40"/>
      <c r="AD262" s="40"/>
      <c r="AE262" s="40"/>
      <c r="AF262" s="40"/>
      <c r="AG262" s="40"/>
      <c r="AH262" s="40"/>
      <c r="AI262" s="40"/>
      <c r="AJ262" s="40"/>
      <c r="AK262" s="40"/>
      <c r="AL262" s="40"/>
      <c r="AM262" s="40"/>
      <c r="AN262" s="40"/>
      <c r="AO262" s="40"/>
    </row>
    <row r="263" spans="2:41" ht="13.5" customHeight="1">
      <c r="B263" s="13" t="s">
        <v>271</v>
      </c>
      <c r="C263" s="35">
        <f t="shared" ref="C263:K263" si="849">C114*C$210</f>
        <v>0</v>
      </c>
      <c r="D263" s="35">
        <f t="shared" si="849"/>
        <v>76.763677600000008</v>
      </c>
      <c r="E263" s="35">
        <f t="shared" si="849"/>
        <v>166.96456040000001</v>
      </c>
      <c r="F263" s="35">
        <f t="shared" si="849"/>
        <v>275.79391122764594</v>
      </c>
      <c r="G263" s="35">
        <f t="shared" si="849"/>
        <v>314.03729049469354</v>
      </c>
      <c r="H263" s="35">
        <f t="shared" si="849"/>
        <v>349.37374961255597</v>
      </c>
      <c r="I263" s="35">
        <f t="shared" si="849"/>
        <v>359.22156919156629</v>
      </c>
      <c r="J263" s="35">
        <f t="shared" si="849"/>
        <v>391.46503281524809</v>
      </c>
      <c r="K263" s="35">
        <f t="shared" si="849"/>
        <v>410.18553413538189</v>
      </c>
      <c r="L263" s="31"/>
      <c r="M263" s="35">
        <f t="shared" ref="M263:AN263" si="850">M114*M$210</f>
        <v>89.910026999999999</v>
      </c>
      <c r="N263" s="35">
        <f t="shared" si="850"/>
        <v>70.393814400000011</v>
      </c>
      <c r="O263" s="35">
        <f t="shared" si="850"/>
        <v>75.376301300000009</v>
      </c>
      <c r="P263" s="35">
        <f t="shared" si="850"/>
        <v>76.763677600000008</v>
      </c>
      <c r="Q263" s="35">
        <f t="shared" si="850"/>
        <v>77.033495599999995</v>
      </c>
      <c r="R263" s="35">
        <f t="shared" si="850"/>
        <v>89.000103999999993</v>
      </c>
      <c r="S263" s="35">
        <f t="shared" si="850"/>
        <v>120.351456</v>
      </c>
      <c r="T263" s="35">
        <f t="shared" si="850"/>
        <v>166.96456040000001</v>
      </c>
      <c r="U263" s="35">
        <f t="shared" si="850"/>
        <v>198.58402620000001</v>
      </c>
      <c r="V263" s="35">
        <f t="shared" si="850"/>
        <v>220.6466854</v>
      </c>
      <c r="W263" s="35">
        <f t="shared" si="850"/>
        <v>229.55063669999998</v>
      </c>
      <c r="X263" s="35">
        <f t="shared" si="850"/>
        <v>275.79391122764594</v>
      </c>
      <c r="Y263" s="35">
        <f t="shared" si="850"/>
        <v>283.66805249999999</v>
      </c>
      <c r="Z263" s="35">
        <f t="shared" si="850"/>
        <v>283.4547852</v>
      </c>
      <c r="AA263" s="35">
        <f t="shared" si="850"/>
        <v>281.94822859999999</v>
      </c>
      <c r="AB263" s="35">
        <f t="shared" si="850"/>
        <v>314.03729049469354</v>
      </c>
      <c r="AC263" s="35">
        <f t="shared" si="850"/>
        <v>302.33430449999997</v>
      </c>
      <c r="AD263" s="35">
        <f t="shared" si="850"/>
        <v>289.8940695</v>
      </c>
      <c r="AE263" s="35">
        <f t="shared" si="850"/>
        <v>315.90521846322417</v>
      </c>
      <c r="AF263" s="35">
        <f t="shared" si="850"/>
        <v>349.37374961255597</v>
      </c>
      <c r="AG263" s="35">
        <f t="shared" si="850"/>
        <v>329.86586560000001</v>
      </c>
      <c r="AH263" s="35">
        <f t="shared" si="850"/>
        <v>330.06084479999998</v>
      </c>
      <c r="AI263" s="35">
        <f t="shared" si="850"/>
        <v>362.53419972640216</v>
      </c>
      <c r="AJ263" s="35">
        <f t="shared" si="850"/>
        <v>359.22156919156629</v>
      </c>
      <c r="AK263" s="35">
        <f t="shared" si="850"/>
        <v>370.21816520000004</v>
      </c>
      <c r="AL263" s="35">
        <f t="shared" si="850"/>
        <v>396.19554920000002</v>
      </c>
      <c r="AM263" s="35">
        <f t="shared" si="850"/>
        <v>394.13070959042642</v>
      </c>
      <c r="AN263" s="35">
        <f t="shared" si="850"/>
        <v>391.46503281524809</v>
      </c>
      <c r="AO263" s="35">
        <f t="shared" ref="AO263" si="851">AO114*AO$210</f>
        <v>410.18553413538189</v>
      </c>
    </row>
    <row r="264" spans="2:41" ht="13.5" customHeight="1">
      <c r="B264" s="13" t="s">
        <v>272</v>
      </c>
      <c r="C264" s="35">
        <f t="shared" ref="C264:K264" si="852">C115*C$210</f>
        <v>0</v>
      </c>
      <c r="D264" s="35">
        <f t="shared" si="852"/>
        <v>142.48465880000001</v>
      </c>
      <c r="E264" s="35">
        <f t="shared" si="852"/>
        <v>252.4748256</v>
      </c>
      <c r="F264" s="35">
        <f t="shared" si="852"/>
        <v>470.11759903283041</v>
      </c>
      <c r="G264" s="35">
        <f t="shared" si="852"/>
        <v>464.41497999188078</v>
      </c>
      <c r="H264" s="35">
        <f t="shared" si="852"/>
        <v>506.95314040970442</v>
      </c>
      <c r="I264" s="35">
        <f t="shared" si="852"/>
        <v>429.46255120354004</v>
      </c>
      <c r="J264" s="35">
        <f t="shared" si="852"/>
        <v>514.49418762600624</v>
      </c>
      <c r="K264" s="35">
        <f t="shared" si="852"/>
        <v>560.69604290476877</v>
      </c>
      <c r="L264" s="31"/>
      <c r="M264" s="35">
        <f t="shared" ref="M264:AN264" si="853">M115*M$210</f>
        <v>174.66793200000001</v>
      </c>
      <c r="N264" s="35">
        <f t="shared" si="853"/>
        <v>166.78421760000003</v>
      </c>
      <c r="O264" s="35">
        <f t="shared" si="853"/>
        <v>144.90646140000001</v>
      </c>
      <c r="P264" s="35">
        <f t="shared" si="853"/>
        <v>142.48465880000001</v>
      </c>
      <c r="Q264" s="35">
        <f t="shared" si="853"/>
        <v>139.32514639999999</v>
      </c>
      <c r="R264" s="35">
        <f t="shared" si="853"/>
        <v>144.499234</v>
      </c>
      <c r="S264" s="35">
        <f t="shared" si="853"/>
        <v>175.72412159999999</v>
      </c>
      <c r="T264" s="35">
        <f t="shared" si="853"/>
        <v>252.4748256</v>
      </c>
      <c r="U264" s="35">
        <f t="shared" si="853"/>
        <v>258.89093580000002</v>
      </c>
      <c r="V264" s="35">
        <f t="shared" si="853"/>
        <v>301.97011480000003</v>
      </c>
      <c r="W264" s="35">
        <f t="shared" si="853"/>
        <v>340.87986569999993</v>
      </c>
      <c r="X264" s="35">
        <f t="shared" si="853"/>
        <v>470.11759903283041</v>
      </c>
      <c r="Y264" s="35">
        <f t="shared" si="853"/>
        <v>436.13986499999999</v>
      </c>
      <c r="Z264" s="35">
        <f t="shared" si="853"/>
        <v>421.23277919999998</v>
      </c>
      <c r="AA264" s="35">
        <f t="shared" si="853"/>
        <v>431.56658419999997</v>
      </c>
      <c r="AB264" s="35">
        <f t="shared" si="853"/>
        <v>464.41497999188078</v>
      </c>
      <c r="AC264" s="35">
        <f t="shared" si="853"/>
        <v>446.24369849999999</v>
      </c>
      <c r="AD264" s="35">
        <f t="shared" si="853"/>
        <v>403.73024369999996</v>
      </c>
      <c r="AE264" s="35">
        <f t="shared" si="853"/>
        <v>467.60772496918224</v>
      </c>
      <c r="AF264" s="35">
        <f t="shared" si="853"/>
        <v>506.95314040970442</v>
      </c>
      <c r="AG264" s="35">
        <f t="shared" si="853"/>
        <v>457.8134536</v>
      </c>
      <c r="AH264" s="35">
        <f t="shared" si="853"/>
        <v>437.57488000000001</v>
      </c>
      <c r="AI264" s="35">
        <f t="shared" si="853"/>
        <v>445.82521089831283</v>
      </c>
      <c r="AJ264" s="35">
        <f t="shared" si="853"/>
        <v>429.46255120354004</v>
      </c>
      <c r="AK264" s="35">
        <f t="shared" si="853"/>
        <v>454.91169880000001</v>
      </c>
      <c r="AL264" s="35">
        <f t="shared" si="853"/>
        <v>464.27637520000002</v>
      </c>
      <c r="AM264" s="35">
        <f t="shared" si="853"/>
        <v>497.48342603517051</v>
      </c>
      <c r="AN264" s="35">
        <f t="shared" si="853"/>
        <v>514.49418762600624</v>
      </c>
      <c r="AO264" s="35">
        <f t="shared" ref="AO264" si="854">AO115*AO$210</f>
        <v>560.69604290476877</v>
      </c>
    </row>
    <row r="265" spans="2:41" ht="13.5" customHeight="1">
      <c r="B265" s="8" t="s">
        <v>273</v>
      </c>
      <c r="C265" s="33">
        <f>SUM(C263:C264)</f>
        <v>0</v>
      </c>
      <c r="D265" s="33">
        <f t="shared" ref="D265:M265" si="855">SUM(D263:D264)</f>
        <v>219.24833640000003</v>
      </c>
      <c r="E265" s="33">
        <f t="shared" si="855"/>
        <v>419.43938600000001</v>
      </c>
      <c r="F265" s="33">
        <f t="shared" si="855"/>
        <v>745.91151026047635</v>
      </c>
      <c r="G265" s="33">
        <f t="shared" si="855"/>
        <v>778.45227048657432</v>
      </c>
      <c r="H265" s="33">
        <f t="shared" si="855"/>
        <v>856.32689002226039</v>
      </c>
      <c r="I265" s="33">
        <f t="shared" si="855"/>
        <v>788.68412039510633</v>
      </c>
      <c r="J265" s="33">
        <f t="shared" ref="J265:K265" si="856">SUM(J263:J264)</f>
        <v>905.95922044125427</v>
      </c>
      <c r="K265" s="33">
        <f t="shared" si="856"/>
        <v>970.88157704015066</v>
      </c>
      <c r="L265" s="31"/>
      <c r="M265" s="33">
        <f t="shared" si="855"/>
        <v>264.57795900000002</v>
      </c>
      <c r="N265" s="33">
        <f t="shared" ref="N265" si="857">SUM(N263:N264)</f>
        <v>237.17803200000003</v>
      </c>
      <c r="O265" s="33">
        <f t="shared" ref="O265" si="858">SUM(O263:O264)</f>
        <v>220.28276270000003</v>
      </c>
      <c r="P265" s="33">
        <f t="shared" ref="P265" si="859">SUM(P263:P264)</f>
        <v>219.24833640000003</v>
      </c>
      <c r="Q265" s="33">
        <f t="shared" ref="Q265" si="860">SUM(Q263:Q264)</f>
        <v>216.35864199999997</v>
      </c>
      <c r="R265" s="33">
        <f t="shared" ref="R265" si="861">SUM(R263:R264)</f>
        <v>233.49933799999999</v>
      </c>
      <c r="S265" s="33">
        <f t="shared" ref="S265" si="862">SUM(S263:S264)</f>
        <v>296.07557759999997</v>
      </c>
      <c r="T265" s="33">
        <f t="shared" ref="T265" si="863">SUM(T263:T264)</f>
        <v>419.43938600000001</v>
      </c>
      <c r="U265" s="33">
        <f t="shared" ref="U265" si="864">SUM(U263:U264)</f>
        <v>457.474962</v>
      </c>
      <c r="V265" s="33">
        <f t="shared" ref="V265" si="865">SUM(V263:V264)</f>
        <v>522.61680020000006</v>
      </c>
      <c r="W265" s="33">
        <f t="shared" ref="W265" si="866">SUM(W263:W264)</f>
        <v>570.43050239999991</v>
      </c>
      <c r="X265" s="33">
        <f t="shared" ref="X265" si="867">SUM(X263:X264)</f>
        <v>745.91151026047635</v>
      </c>
      <c r="Y265" s="33">
        <f t="shared" ref="Y265" si="868">SUM(Y263:Y264)</f>
        <v>719.80791750000003</v>
      </c>
      <c r="Z265" s="33">
        <f t="shared" ref="Z265" si="869">SUM(Z263:Z264)</f>
        <v>704.68756439999993</v>
      </c>
      <c r="AA265" s="33">
        <f t="shared" ref="AA265" si="870">SUM(AA263:AA264)</f>
        <v>713.51481279999996</v>
      </c>
      <c r="AB265" s="33">
        <f t="shared" ref="AB265" si="871">SUM(AB263:AB264)</f>
        <v>778.45227048657432</v>
      </c>
      <c r="AC265" s="33">
        <f t="shared" ref="AC265" si="872">SUM(AC263:AC264)</f>
        <v>748.57800299999997</v>
      </c>
      <c r="AD265" s="33">
        <f t="shared" ref="AD265" si="873">SUM(AD263:AD264)</f>
        <v>693.62431319999996</v>
      </c>
      <c r="AE265" s="33">
        <f t="shared" ref="AE265" si="874">SUM(AE263:AE264)</f>
        <v>783.51294343240647</v>
      </c>
      <c r="AF265" s="33">
        <f t="shared" ref="AF265" si="875">SUM(AF263:AF264)</f>
        <v>856.32689002226039</v>
      </c>
      <c r="AG265" s="33">
        <f t="shared" ref="AG265" si="876">SUM(AG263:AG264)</f>
        <v>787.67931920000001</v>
      </c>
      <c r="AH265" s="33">
        <f t="shared" ref="AH265" si="877">SUM(AH263:AH264)</f>
        <v>767.63572479999993</v>
      </c>
      <c r="AI265" s="33">
        <f t="shared" ref="AI265" si="878">SUM(AI263:AI264)</f>
        <v>808.359410624715</v>
      </c>
      <c r="AJ265" s="33">
        <f t="shared" ref="AJ265:AM265" si="879">SUM(AJ263:AJ264)</f>
        <v>788.68412039510633</v>
      </c>
      <c r="AK265" s="33">
        <f t="shared" si="879"/>
        <v>825.129864</v>
      </c>
      <c r="AL265" s="33">
        <f t="shared" si="879"/>
        <v>860.47192440000003</v>
      </c>
      <c r="AM265" s="33">
        <f t="shared" si="879"/>
        <v>891.61413562559687</v>
      </c>
      <c r="AN265" s="33">
        <f t="shared" ref="AN265:AO265" si="880">SUM(AN263:AN264)</f>
        <v>905.95922044125427</v>
      </c>
      <c r="AO265" s="33">
        <f t="shared" si="880"/>
        <v>970.88157704015066</v>
      </c>
    </row>
    <row r="266" spans="2:41" ht="13.5" customHeight="1">
      <c r="B266" s="8"/>
      <c r="C266" s="33"/>
      <c r="D266" s="33"/>
      <c r="E266" s="33"/>
      <c r="F266" s="33"/>
      <c r="G266" s="33"/>
      <c r="H266" s="33"/>
      <c r="I266" s="33"/>
      <c r="J266" s="33"/>
      <c r="K266" s="33"/>
      <c r="L266" s="31"/>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row>
    <row r="267" spans="2:41" ht="13.5" customHeight="1">
      <c r="B267" s="13" t="s">
        <v>304</v>
      </c>
      <c r="C267" s="21">
        <f t="shared" ref="C267:H267" si="881">C231</f>
        <v>-714.80848100000003</v>
      </c>
      <c r="D267" s="21">
        <f t="shared" si="881"/>
        <v>1051.0515666000001</v>
      </c>
      <c r="E267" s="21">
        <f t="shared" si="881"/>
        <v>687.9339324</v>
      </c>
      <c r="F267" s="21">
        <f t="shared" si="881"/>
        <v>-1503.0740367470346</v>
      </c>
      <c r="G267" s="21">
        <f t="shared" si="881"/>
        <v>1444.6821564928023</v>
      </c>
      <c r="H267" s="21">
        <f t="shared" si="881"/>
        <v>3374.3171669210337</v>
      </c>
      <c r="I267" s="21">
        <f>I231</f>
        <v>6839.6637845143032</v>
      </c>
      <c r="J267" s="21">
        <f>J231</f>
        <v>-1919.2393515683088</v>
      </c>
      <c r="K267" s="21">
        <f>K231</f>
        <v>-4107.1813788698018</v>
      </c>
      <c r="L267" s="21"/>
      <c r="M267" s="21"/>
      <c r="N267" s="21"/>
      <c r="O267" s="21"/>
      <c r="P267" s="21">
        <f t="shared" ref="P267:AN267" si="882">SUM(M231:P231)</f>
        <v>1043.6895817</v>
      </c>
      <c r="Q267" s="21">
        <f t="shared" si="882"/>
        <v>981.17067910000003</v>
      </c>
      <c r="R267" s="21">
        <f t="shared" si="882"/>
        <v>1008.2192774</v>
      </c>
      <c r="S267" s="21">
        <f t="shared" si="882"/>
        <v>1073.8912102999998</v>
      </c>
      <c r="T267" s="21">
        <f t="shared" si="882"/>
        <v>673.96282829999996</v>
      </c>
      <c r="U267" s="21">
        <f t="shared" si="882"/>
        <v>300.65389889999994</v>
      </c>
      <c r="V267" s="21">
        <f t="shared" si="882"/>
        <v>-260.08588050000003</v>
      </c>
      <c r="W267" s="21">
        <f t="shared" si="882"/>
        <v>-1278.5074141</v>
      </c>
      <c r="X267" s="21">
        <f t="shared" si="882"/>
        <v>-1503.892173763405</v>
      </c>
      <c r="Y267" s="21">
        <f t="shared" si="882"/>
        <v>-1426.4038876634052</v>
      </c>
      <c r="Z267" s="21">
        <f t="shared" si="882"/>
        <v>-658.35534996340516</v>
      </c>
      <c r="AA267" s="21">
        <f t="shared" si="882"/>
        <v>672.32925873659497</v>
      </c>
      <c r="AB267" s="21">
        <f t="shared" si="882"/>
        <v>1403.4530129150507</v>
      </c>
      <c r="AC267" s="21">
        <f t="shared" si="882"/>
        <v>2608.261411415051</v>
      </c>
      <c r="AD267" s="21">
        <f t="shared" si="882"/>
        <v>3132.251126215051</v>
      </c>
      <c r="AE267" s="21">
        <f t="shared" si="882"/>
        <v>3281.3227192891982</v>
      </c>
      <c r="AF267" s="21">
        <f t="shared" si="882"/>
        <v>3383.5745467576617</v>
      </c>
      <c r="AG267" s="21">
        <f t="shared" si="882"/>
        <v>3596.6525207243285</v>
      </c>
      <c r="AH267" s="21">
        <f t="shared" si="882"/>
        <v>4568.4308034243277</v>
      </c>
      <c r="AI267" s="21">
        <f t="shared" si="882"/>
        <v>5752.631339024143</v>
      </c>
      <c r="AJ267" s="21">
        <f t="shared" si="882"/>
        <v>6836.3009297615499</v>
      </c>
      <c r="AK267" s="21">
        <f>SUM(AH231:AK231)</f>
        <v>7399.8178147948829</v>
      </c>
      <c r="AL267" s="21">
        <f t="shared" si="882"/>
        <v>5714.5530946948838</v>
      </c>
      <c r="AM267" s="21">
        <f>SUM(AJ231:AM231)</f>
        <v>1606.0747224463771</v>
      </c>
      <c r="AN267" s="21">
        <f t="shared" si="882"/>
        <v>-1974.7158088118467</v>
      </c>
      <c r="AO267" s="21">
        <f>SUM(AL231:AO231)</f>
        <v>-4106.5865483748412</v>
      </c>
    </row>
    <row r="268" spans="2:41" ht="13.5" customHeight="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row>
    <row r="269" spans="2:41" ht="13.5" customHeight="1">
      <c r="B269" s="32" t="str">
        <f>+B133</f>
        <v>Net Leverage excluding lease obligations</v>
      </c>
      <c r="C269" s="34" t="str">
        <f t="shared" ref="C269:H269" si="883">IF(C256-C265&lt;0, "net cash", (C256-C265)/C267)</f>
        <v>net cash</v>
      </c>
      <c r="D269" s="34" t="str">
        <f t="shared" si="883"/>
        <v>net cash</v>
      </c>
      <c r="E269" s="34" t="str">
        <f t="shared" si="883"/>
        <v>net cash</v>
      </c>
      <c r="F269" s="34" t="str">
        <f t="shared" si="883"/>
        <v>net cash</v>
      </c>
      <c r="G269" s="34" t="str">
        <f t="shared" si="883"/>
        <v>net cash</v>
      </c>
      <c r="H269" s="34" t="str">
        <f t="shared" si="883"/>
        <v>net cash</v>
      </c>
      <c r="I269" s="34" t="str">
        <f>IF(I256-I265&lt;0, "net cash", (I256-I265)/I267)</f>
        <v>net cash</v>
      </c>
      <c r="J269" s="34" t="str">
        <f>IF(J256-J265&lt;0, "net cash", (J256-J265)/J267)</f>
        <v>net cash</v>
      </c>
      <c r="K269" s="34" t="str">
        <f>IF(K256-K265&lt;0, "net cash", (K256-K265)/K267)</f>
        <v>net cash</v>
      </c>
      <c r="L269" s="31"/>
      <c r="M269" s="198"/>
      <c r="N269" s="198"/>
      <c r="O269" s="198"/>
      <c r="P269" s="34" t="str">
        <f t="shared" ref="P269:AL269" si="884">IF(P256-P265&lt;0, "net cash", (P256-P265)/P267)</f>
        <v>net cash</v>
      </c>
      <c r="Q269" s="34" t="str">
        <f t="shared" si="884"/>
        <v>net cash</v>
      </c>
      <c r="R269" s="34" t="str">
        <f t="shared" si="884"/>
        <v>net cash</v>
      </c>
      <c r="S269" s="34" t="str">
        <f t="shared" si="884"/>
        <v>net cash</v>
      </c>
      <c r="T269" s="34">
        <f t="shared" si="884"/>
        <v>0.97448438937889681</v>
      </c>
      <c r="U269" s="34" t="str">
        <f t="shared" si="884"/>
        <v>net cash</v>
      </c>
      <c r="V269" s="34" t="str">
        <f t="shared" si="884"/>
        <v>net cash</v>
      </c>
      <c r="W269" s="34" t="str">
        <f t="shared" si="884"/>
        <v>net cash</v>
      </c>
      <c r="X269" s="34" t="str">
        <f t="shared" si="884"/>
        <v>net cash</v>
      </c>
      <c r="Y269" s="34" t="str">
        <f t="shared" si="884"/>
        <v>net cash</v>
      </c>
      <c r="Z269" s="34" t="str">
        <f t="shared" si="884"/>
        <v>net cash</v>
      </c>
      <c r="AA269" s="34" t="str">
        <f t="shared" si="884"/>
        <v>net cash</v>
      </c>
      <c r="AB269" s="34" t="str">
        <f t="shared" si="884"/>
        <v>net cash</v>
      </c>
      <c r="AC269" s="34" t="str">
        <f t="shared" si="884"/>
        <v>net cash</v>
      </c>
      <c r="AD269" s="34" t="str">
        <f t="shared" si="884"/>
        <v>net cash</v>
      </c>
      <c r="AE269" s="34" t="str">
        <f t="shared" si="884"/>
        <v>net cash</v>
      </c>
      <c r="AF269" s="34" t="str">
        <f t="shared" si="884"/>
        <v>net cash</v>
      </c>
      <c r="AG269" s="34" t="str">
        <f t="shared" si="884"/>
        <v>net cash</v>
      </c>
      <c r="AH269" s="34" t="str">
        <f t="shared" si="884"/>
        <v>net cash</v>
      </c>
      <c r="AI269" s="34" t="str">
        <f t="shared" si="884"/>
        <v>net cash</v>
      </c>
      <c r="AJ269" s="34" t="str">
        <f t="shared" si="884"/>
        <v>net cash</v>
      </c>
      <c r="AK269" s="34" t="str">
        <f t="shared" si="884"/>
        <v>net cash</v>
      </c>
      <c r="AL269" s="34" t="str">
        <f t="shared" si="884"/>
        <v>net cash</v>
      </c>
      <c r="AM269" s="34" t="str">
        <f>IF(AM256-AM265&lt;0, "net cash", (AM256-AM265)/AM267)</f>
        <v>net cash</v>
      </c>
      <c r="AN269" s="34" t="str">
        <f t="shared" ref="AN269:AO269" si="885">IF(AN256-AN265&lt;0, "net cash", (AN256-AN265)/AN267)</f>
        <v>net cash</v>
      </c>
      <c r="AO269" s="34" t="str">
        <f t="shared" si="885"/>
        <v>net cash</v>
      </c>
    </row>
    <row r="270" spans="2:41" ht="13.5" customHeight="1">
      <c r="B270" s="29" t="str">
        <f>+B134</f>
        <v>Gross Leverage  excluding lease obligations</v>
      </c>
      <c r="C270" s="36">
        <f t="shared" ref="C270:H270" si="886">IF(C254-C265&lt;0, "net cash", (C254-C265)/C267)</f>
        <v>-0.46143707799684047</v>
      </c>
      <c r="D270" s="36">
        <f t="shared" si="886"/>
        <v>0.5491321122017343</v>
      </c>
      <c r="E270" s="36">
        <f t="shared" si="886"/>
        <v>4.7613576533036275</v>
      </c>
      <c r="F270" s="36">
        <f t="shared" si="886"/>
        <v>-5.6646055227719767</v>
      </c>
      <c r="G270" s="36">
        <f t="shared" si="886"/>
        <v>5.2907566278498503</v>
      </c>
      <c r="H270" s="36">
        <f t="shared" si="886"/>
        <v>2.2773420410787408</v>
      </c>
      <c r="I270" s="36">
        <f>IF(I254-I265&lt;0, "net cash", (I254-I265)/I267)</f>
        <v>1.1167350105887051</v>
      </c>
      <c r="J270" s="36">
        <f>IF(J254-J265&lt;0, "net cash", (J254-J265)/J267)</f>
        <v>-5.9811953858049298</v>
      </c>
      <c r="K270" s="36">
        <f>IF(K254-K265&lt;0, "net cash", (K254-K265)/K267)</f>
        <v>-3.7446306383517998</v>
      </c>
      <c r="L270" s="31"/>
      <c r="M270" s="198"/>
      <c r="N270" s="198"/>
      <c r="O270" s="198"/>
      <c r="P270" s="36">
        <f t="shared" ref="P270:AL270" si="887">IF(P254-P265&lt;0, "net cash", (P254-P265)/P267)</f>
        <v>0.55300558415069201</v>
      </c>
      <c r="Q270" s="36">
        <f t="shared" si="887"/>
        <v>0.57916122373453405</v>
      </c>
      <c r="R270" s="36">
        <f t="shared" si="887"/>
        <v>0.46646866563870759</v>
      </c>
      <c r="S270" s="36">
        <f t="shared" si="887"/>
        <v>1.0780139530861754</v>
      </c>
      <c r="T270" s="36">
        <f t="shared" si="887"/>
        <v>4.8600595707364178</v>
      </c>
      <c r="U270" s="36">
        <f t="shared" si="887"/>
        <v>4.591333627305243</v>
      </c>
      <c r="V270" s="36">
        <f t="shared" si="887"/>
        <v>-29.629449348366293</v>
      </c>
      <c r="W270" s="36">
        <f t="shared" si="887"/>
        <v>-6.6939814644130031</v>
      </c>
      <c r="X270" s="36">
        <f t="shared" si="887"/>
        <v>-5.6615239032634994</v>
      </c>
      <c r="Y270" s="36">
        <f t="shared" si="887"/>
        <v>-6.3380870370519968</v>
      </c>
      <c r="Z270" s="36">
        <f t="shared" si="887"/>
        <v>-13.748576830587201</v>
      </c>
      <c r="AA270" s="36">
        <f t="shared" si="887"/>
        <v>12.703335964359871</v>
      </c>
      <c r="AB270" s="36">
        <f t="shared" si="887"/>
        <v>5.4461828249773809</v>
      </c>
      <c r="AC270" s="36">
        <f t="shared" si="887"/>
        <v>2.9301474304117741</v>
      </c>
      <c r="AD270" s="36">
        <f t="shared" si="887"/>
        <v>2.3754042965229241</v>
      </c>
      <c r="AE270" s="36">
        <f t="shared" si="887"/>
        <v>2.3856820922479174</v>
      </c>
      <c r="AF270" s="36">
        <f t="shared" si="887"/>
        <v>2.2711112871819807</v>
      </c>
      <c r="AG270" s="36">
        <f t="shared" si="887"/>
        <v>1.8380605784705162</v>
      </c>
      <c r="AH270" s="36">
        <f t="shared" si="887"/>
        <v>0.80439033911720936</v>
      </c>
      <c r="AI270" s="36">
        <f t="shared" si="887"/>
        <v>0.88357040849825452</v>
      </c>
      <c r="AJ270" s="36">
        <f t="shared" si="887"/>
        <v>1.1172843453351577</v>
      </c>
      <c r="AK270" s="36">
        <f t="shared" si="887"/>
        <v>1.0440958032173069</v>
      </c>
      <c r="AL270" s="36">
        <f t="shared" si="887"/>
        <v>1.0947441192921534</v>
      </c>
      <c r="AM270" s="36">
        <f>IF(AM254-AM265&lt;0, "net cash", (AM254-AM265)/AM267)</f>
        <v>3.928250687618362</v>
      </c>
      <c r="AN270" s="36">
        <f t="shared" ref="AN270:AO270" si="888">IF(AN254-AN265&lt;0, "net cash", (AN254-AN265)/AN267)</f>
        <v>-5.8131633436218566</v>
      </c>
      <c r="AO270" s="36">
        <f t="shared" si="888"/>
        <v>-3.7451730402882539</v>
      </c>
    </row>
    <row r="271" spans="2:41" ht="13.5" customHeight="1">
      <c r="C271" s="31"/>
      <c r="D271" s="31"/>
      <c r="E271" s="31"/>
      <c r="F271" s="31"/>
      <c r="G271" s="31"/>
      <c r="H271" s="31"/>
      <c r="I271" s="31"/>
      <c r="J271" s="31"/>
      <c r="K271" s="31"/>
      <c r="L271" s="31"/>
      <c r="M271" s="198"/>
      <c r="N271" s="198"/>
      <c r="O271" s="198"/>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row>
    <row r="272" spans="2:41" s="32" customFormat="1" ht="13.5" customHeight="1">
      <c r="B272" s="32" t="str">
        <f>+B136</f>
        <v>Net Leverage including lease obligations</v>
      </c>
      <c r="C272" s="34" t="str">
        <f t="shared" ref="C272:H272" si="889">IF(C256&lt;0,"net cash", C256/C267)</f>
        <v>net cash</v>
      </c>
      <c r="D272" s="34" t="str">
        <f t="shared" si="889"/>
        <v>net cash</v>
      </c>
      <c r="E272" s="34" t="str">
        <f t="shared" si="889"/>
        <v>net cash</v>
      </c>
      <c r="F272" s="34" t="str">
        <f t="shared" si="889"/>
        <v>net cash</v>
      </c>
      <c r="G272" s="34" t="str">
        <f t="shared" si="889"/>
        <v>net cash</v>
      </c>
      <c r="H272" s="34" t="str">
        <f t="shared" si="889"/>
        <v>net cash</v>
      </c>
      <c r="I272" s="34" t="str">
        <f>IF(I256&lt;0,"net cash", I256/I267)</f>
        <v>net cash</v>
      </c>
      <c r="J272" s="34" t="str">
        <f>IF(J256&lt;0,"net cash", J256/J267)</f>
        <v>net cash</v>
      </c>
      <c r="K272" s="34" t="str">
        <f>IF(K256&lt;0,"net cash", K256/K267)</f>
        <v>net cash</v>
      </c>
      <c r="L272" s="31"/>
      <c r="M272" s="198"/>
      <c r="N272" s="198"/>
      <c r="O272" s="198"/>
      <c r="P272" s="34" t="str">
        <f t="shared" ref="P272:AL272" si="890">IF(P256&lt;0,"net cash", P256/P267)</f>
        <v>net cash</v>
      </c>
      <c r="Q272" s="34" t="str">
        <f t="shared" si="890"/>
        <v>net cash</v>
      </c>
      <c r="R272" s="34" t="str">
        <f t="shared" si="890"/>
        <v>net cash</v>
      </c>
      <c r="S272" s="34" t="str">
        <f t="shared" si="890"/>
        <v>net cash</v>
      </c>
      <c r="T272" s="34">
        <f t="shared" si="890"/>
        <v>1.596832341502594</v>
      </c>
      <c r="U272" s="34" t="str">
        <f t="shared" si="890"/>
        <v>net cash</v>
      </c>
      <c r="V272" s="34" t="str">
        <f t="shared" si="890"/>
        <v>net cash</v>
      </c>
      <c r="W272" s="34" t="str">
        <f t="shared" si="890"/>
        <v>net cash</v>
      </c>
      <c r="X272" s="34" t="str">
        <f t="shared" si="890"/>
        <v>net cash</v>
      </c>
      <c r="Y272" s="34" t="str">
        <f t="shared" si="890"/>
        <v>net cash</v>
      </c>
      <c r="Z272" s="34" t="str">
        <f t="shared" si="890"/>
        <v>net cash</v>
      </c>
      <c r="AA272" s="34" t="str">
        <f t="shared" si="890"/>
        <v>net cash</v>
      </c>
      <c r="AB272" s="34" t="str">
        <f t="shared" si="890"/>
        <v>net cash</v>
      </c>
      <c r="AC272" s="34" t="str">
        <f t="shared" si="890"/>
        <v>net cash</v>
      </c>
      <c r="AD272" s="34" t="str">
        <f t="shared" si="890"/>
        <v>net cash</v>
      </c>
      <c r="AE272" s="34" t="str">
        <f t="shared" si="890"/>
        <v>net cash</v>
      </c>
      <c r="AF272" s="34" t="str">
        <f t="shared" si="890"/>
        <v>net cash</v>
      </c>
      <c r="AG272" s="34" t="str">
        <f t="shared" si="890"/>
        <v>net cash</v>
      </c>
      <c r="AH272" s="34" t="str">
        <f t="shared" si="890"/>
        <v>net cash</v>
      </c>
      <c r="AI272" s="34" t="str">
        <f t="shared" si="890"/>
        <v>net cash</v>
      </c>
      <c r="AJ272" s="34" t="str">
        <f t="shared" si="890"/>
        <v>net cash</v>
      </c>
      <c r="AK272" s="34" t="str">
        <f t="shared" si="890"/>
        <v>net cash</v>
      </c>
      <c r="AL272" s="34" t="str">
        <f t="shared" si="890"/>
        <v>net cash</v>
      </c>
      <c r="AM272" s="34" t="str">
        <f>IF(AM256&lt;0,"net cash", AM256/AM267)</f>
        <v>net cash</v>
      </c>
      <c r="AN272" s="34" t="str">
        <f t="shared" ref="AN272:AO272" si="891">IF(AN256&lt;0,"net cash", AN256/AN267)</f>
        <v>net cash</v>
      </c>
      <c r="AO272" s="34" t="str">
        <f t="shared" si="891"/>
        <v>net cash</v>
      </c>
    </row>
    <row r="273" spans="2:41" ht="13.5" customHeight="1">
      <c r="B273" s="29" t="str">
        <f>+B137</f>
        <v>Gross Leverage  including lease obligations</v>
      </c>
      <c r="C273" s="36">
        <f t="shared" ref="C273:H273" si="892">IF(C254&lt;0,"net cash", C254/C267)</f>
        <v>-0.46143707799684047</v>
      </c>
      <c r="D273" s="36">
        <f t="shared" si="892"/>
        <v>0.75773114137138464</v>
      </c>
      <c r="E273" s="36">
        <f t="shared" si="892"/>
        <v>5.3710664730687734</v>
      </c>
      <c r="F273" s="36">
        <f t="shared" si="892"/>
        <v>-6.1608628540973083</v>
      </c>
      <c r="G273" s="36">
        <f t="shared" si="892"/>
        <v>5.8295964459980798</v>
      </c>
      <c r="H273" s="36">
        <f t="shared" si="892"/>
        <v>2.5311198715734458</v>
      </c>
      <c r="I273" s="36">
        <f>IF(I254&lt;0,"net cash", I254/I267)</f>
        <v>1.2320453745543678</v>
      </c>
      <c r="J273" s="36">
        <f>IF(J254&lt;0,"net cash", J254/J267)</f>
        <v>-6.4532361553425845</v>
      </c>
      <c r="K273" s="36">
        <f>IF(K254&lt;0,"net cash", K254/K267)</f>
        <v>-3.9810169791243406</v>
      </c>
      <c r="L273" s="31"/>
      <c r="M273" s="198"/>
      <c r="N273" s="198"/>
      <c r="O273" s="198"/>
      <c r="P273" s="36">
        <f t="shared" ref="P273:AL273" si="893">IF(P254&lt;0,"net cash", P254/P267)</f>
        <v>0.76307603061704499</v>
      </c>
      <c r="Q273" s="36">
        <f t="shared" si="893"/>
        <v>0.79967193263429415</v>
      </c>
      <c r="R273" s="36">
        <f t="shared" si="893"/>
        <v>0.69806445361267788</v>
      </c>
      <c r="S273" s="36">
        <f t="shared" si="893"/>
        <v>1.3537174645408312</v>
      </c>
      <c r="T273" s="36">
        <f t="shared" si="893"/>
        <v>5.4824075228601155</v>
      </c>
      <c r="U273" s="36">
        <f t="shared" si="893"/>
        <v>6.1129335921610455</v>
      </c>
      <c r="V273" s="36">
        <f t="shared" si="893"/>
        <v>-31.638850240084444</v>
      </c>
      <c r="W273" s="36">
        <f t="shared" si="893"/>
        <v>-7.1401505644972234</v>
      </c>
      <c r="X273" s="36">
        <f t="shared" si="893"/>
        <v>-6.1575112641085754</v>
      </c>
      <c r="Y273" s="36">
        <f t="shared" si="893"/>
        <v>-6.8427182454533693</v>
      </c>
      <c r="Z273" s="36">
        <f t="shared" si="893"/>
        <v>-14.818952524259576</v>
      </c>
      <c r="AA273" s="36">
        <f t="shared" si="893"/>
        <v>13.76459397675219</v>
      </c>
      <c r="AB273" s="36">
        <f t="shared" si="893"/>
        <v>6.000852103765479</v>
      </c>
      <c r="AC273" s="36">
        <f t="shared" si="893"/>
        <v>3.2171501057279253</v>
      </c>
      <c r="AD273" s="36">
        <f t="shared" si="893"/>
        <v>2.5968502423459721</v>
      </c>
      <c r="AE273" s="36">
        <f t="shared" si="893"/>
        <v>2.6244616974438766</v>
      </c>
      <c r="AF273" s="36">
        <f t="shared" si="893"/>
        <v>2.5241947875419308</v>
      </c>
      <c r="AG273" s="36">
        <f t="shared" si="893"/>
        <v>2.0570640308922612</v>
      </c>
      <c r="AH273" s="36">
        <f t="shared" si="893"/>
        <v>0.97242084189391953</v>
      </c>
      <c r="AI273" s="36">
        <f t="shared" si="893"/>
        <v>1.0240903485022392</v>
      </c>
      <c r="AJ273" s="36">
        <f t="shared" si="893"/>
        <v>1.2326514317899981</v>
      </c>
      <c r="AK273" s="36">
        <f t="shared" si="893"/>
        <v>1.1556025841478146</v>
      </c>
      <c r="AL273" s="36">
        <f t="shared" si="893"/>
        <v>1.24531966039594</v>
      </c>
      <c r="AM273" s="36">
        <f>IF(AM254&lt;0,"net cash", AM254/AM267)</f>
        <v>4.4834017793854297</v>
      </c>
      <c r="AN273" s="36">
        <f t="shared" ref="AN273:AO273" si="894">IF(AN254&lt;0,"net cash", AN254/AN267)</f>
        <v>-6.2719428887080708</v>
      </c>
      <c r="AO273" s="36">
        <f t="shared" si="894"/>
        <v>-3.9815936211291403</v>
      </c>
    </row>
    <row r="274" spans="2:41" ht="13.5" customHeight="1">
      <c r="C274" s="36"/>
      <c r="D274" s="36"/>
      <c r="E274" s="36"/>
      <c r="F274" s="36"/>
      <c r="G274" s="36"/>
      <c r="H274" s="36"/>
      <c r="I274" s="36"/>
      <c r="J274" s="36"/>
      <c r="K274" s="36"/>
      <c r="L274" s="31"/>
      <c r="M274" s="198"/>
      <c r="N274" s="198"/>
      <c r="O274" s="198"/>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row>
    <row r="275" spans="2:41" ht="13.5" customHeight="1">
      <c r="B275" s="32" t="s">
        <v>284</v>
      </c>
      <c r="C275" s="34">
        <f t="shared" ref="C275:H275" si="895">C258/C267</f>
        <v>11.505883461950699</v>
      </c>
      <c r="D275" s="34">
        <f t="shared" si="895"/>
        <v>-7.8266661128822284</v>
      </c>
      <c r="E275" s="34">
        <f t="shared" si="895"/>
        <v>-11.079136278988411</v>
      </c>
      <c r="F275" s="34">
        <f t="shared" si="895"/>
        <v>7.4262314348591003</v>
      </c>
      <c r="G275" s="34">
        <f t="shared" si="895"/>
        <v>-6.8795715712751964</v>
      </c>
      <c r="H275" s="34">
        <f t="shared" si="895"/>
        <v>-4.3386961209434043</v>
      </c>
      <c r="I275" s="34">
        <f>I258/I267</f>
        <v>-2.5294726786316137</v>
      </c>
      <c r="J275" s="34">
        <f>J258/J267</f>
        <v>7.5876724690148123</v>
      </c>
      <c r="K275" s="34">
        <f>K258/K267</f>
        <v>3.0857110258447031</v>
      </c>
      <c r="L275" s="31"/>
      <c r="M275" s="198"/>
      <c r="N275" s="198"/>
      <c r="O275" s="198"/>
      <c r="P275" s="34">
        <f t="shared" ref="P275:AJ275" si="896">P258/P267</f>
        <v>-7.8818739052667501</v>
      </c>
      <c r="Q275" s="34">
        <f t="shared" si="896"/>
        <v>-7.3332392376420321</v>
      </c>
      <c r="R275" s="34">
        <f t="shared" si="896"/>
        <v>-7.5063088096434765</v>
      </c>
      <c r="S275" s="34">
        <f t="shared" si="896"/>
        <v>-5.9647621026813065</v>
      </c>
      <c r="T275" s="34">
        <f t="shared" si="896"/>
        <v>-11.308804384991037</v>
      </c>
      <c r="U275" s="34">
        <f t="shared" si="896"/>
        <v>-20.851594043306122</v>
      </c>
      <c r="V275" s="34">
        <f t="shared" si="896"/>
        <v>48.730852706169877</v>
      </c>
      <c r="W275" s="34">
        <f t="shared" si="896"/>
        <v>9.092454578906926</v>
      </c>
      <c r="X275" s="34">
        <f t="shared" si="896"/>
        <v>7.4221914678089442</v>
      </c>
      <c r="Y275" s="34">
        <f t="shared" si="896"/>
        <v>5.806773321101975</v>
      </c>
      <c r="Z275" s="34">
        <f t="shared" si="896"/>
        <v>12.555459270528393</v>
      </c>
      <c r="AA275" s="34">
        <f t="shared" si="896"/>
        <v>-12.124826039429795</v>
      </c>
      <c r="AB275" s="34">
        <f t="shared" si="896"/>
        <v>-7.0816722767889413</v>
      </c>
      <c r="AC275" s="34">
        <f t="shared" si="896"/>
        <v>-3.7358351284711149</v>
      </c>
      <c r="AD275" s="34">
        <f t="shared" si="896"/>
        <v>-3.3494003744448517</v>
      </c>
      <c r="AE275" s="34">
        <f t="shared" si="896"/>
        <v>-3.7125065427089914</v>
      </c>
      <c r="AF275" s="34">
        <f t="shared" si="896"/>
        <v>-4.3268255510971558</v>
      </c>
      <c r="AG275" s="34">
        <f t="shared" si="896"/>
        <v>-4.0317086350837466</v>
      </c>
      <c r="AH275" s="34">
        <f t="shared" si="896"/>
        <v>-3.6167490236724316</v>
      </c>
      <c r="AI275" s="34">
        <f t="shared" si="896"/>
        <v>-2.7735027551227711</v>
      </c>
      <c r="AJ275" s="34">
        <f t="shared" si="896"/>
        <v>-1.0627473018052038</v>
      </c>
      <c r="AK275" s="34">
        <f>AK258/AK267</f>
        <v>-2.5256528712684339</v>
      </c>
      <c r="AL275" s="34">
        <f t="shared" ref="AL275:AN275" si="897">AL258/AL267</f>
        <v>-3.3702276262127038</v>
      </c>
      <c r="AM275" s="34">
        <f t="shared" si="897"/>
        <v>-9.7522166440385938</v>
      </c>
      <c r="AN275" s="34">
        <f t="shared" si="897"/>
        <v>7.3745090429527398</v>
      </c>
      <c r="AO275" s="34">
        <f>AO258/AO267</f>
        <v>3.0861579846498293</v>
      </c>
    </row>
    <row r="276" spans="2:41" ht="13.5" customHeight="1">
      <c r="C276" s="36"/>
      <c r="D276" s="36"/>
      <c r="E276" s="36"/>
      <c r="F276" s="36"/>
      <c r="G276" s="36"/>
      <c r="H276" s="36"/>
      <c r="I276" s="36"/>
      <c r="J276" s="36"/>
      <c r="K276" s="36"/>
      <c r="L276" s="31"/>
      <c r="M276" s="198"/>
      <c r="N276" s="198"/>
      <c r="O276" s="198"/>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row>
    <row r="277" spans="2:41" s="32" customFormat="1" ht="13.5" customHeight="1">
      <c r="B277" s="32" t="str">
        <f>+B141</f>
        <v>EBITDA - Capex / Interest</v>
      </c>
      <c r="C277" s="34">
        <f t="shared" ref="C277:H277" si="898">(C267+C240)/-C238</f>
        <v>-111.52558709282272</v>
      </c>
      <c r="D277" s="34">
        <f t="shared" si="898"/>
        <v>19.804071479523717</v>
      </c>
      <c r="E277" s="34">
        <f t="shared" si="898"/>
        <v>-49.32903193343428</v>
      </c>
      <c r="F277" s="34">
        <f t="shared" si="898"/>
        <v>-29.991134074149329</v>
      </c>
      <c r="G277" s="34">
        <f t="shared" si="898"/>
        <v>3.7868111330434138</v>
      </c>
      <c r="H277" s="34">
        <f t="shared" si="898"/>
        <v>29.926996944943244</v>
      </c>
      <c r="I277" s="34">
        <f>(I267+I240)/-I238</f>
        <v>91.363638705266084</v>
      </c>
      <c r="J277" s="34">
        <f>(J267+J240)/-J238</f>
        <v>-20.768695857105293</v>
      </c>
      <c r="K277" s="198"/>
      <c r="L277" s="209"/>
      <c r="M277" s="198"/>
      <c r="N277" s="198"/>
      <c r="O277" s="198"/>
      <c r="P277" s="34">
        <f>(P267+SUM(M240:P240))/-SUM(M238:P238)</f>
        <v>19.696302651629512</v>
      </c>
      <c r="Q277" s="198"/>
      <c r="R277" s="34">
        <f>(R267+SUM(O240:R240))/-SUM(O238:R238)</f>
        <v>12.767572499013848</v>
      </c>
      <c r="S277" s="198"/>
      <c r="T277" s="34">
        <f>(T267+SUM(Q240:T240))/-SUM(Q238:T238)</f>
        <v>-51.39807702268574</v>
      </c>
      <c r="U277" s="198"/>
      <c r="V277" s="34">
        <f>(V267+SUM(S240:V240))/-SUM(S238:V238)</f>
        <v>-53.556619506823459</v>
      </c>
      <c r="W277" s="198"/>
      <c r="X277" s="34">
        <f>(X267+SUM(U240:X240))/-SUM(U238:X238)</f>
        <v>-29.872895296543696</v>
      </c>
      <c r="Y277" s="198"/>
      <c r="Z277" s="34">
        <f>(Z267+SUM(W240:Z240))/-SUM(W238:Z238)</f>
        <v>-14.158570584278314</v>
      </c>
      <c r="AA277" s="198"/>
      <c r="AB277" s="34">
        <f>(AB267+SUM(Y240:AB240))/-SUM(Y238:AB238)</f>
        <v>3.7075589084109701</v>
      </c>
      <c r="AC277" s="198"/>
      <c r="AD277" s="34">
        <f>(AD267+SUM(AA240:AD240))/-SUM(AA238:AD238)</f>
        <v>18.327151174026366</v>
      </c>
      <c r="AE277" s="198"/>
      <c r="AF277" s="34">
        <f>(AF267+SUM(AC240:AF240))/-SUM(AC238:AF238)</f>
        <v>30.385484948192936</v>
      </c>
      <c r="AG277" s="198"/>
      <c r="AH277" s="198"/>
      <c r="AI277" s="198"/>
      <c r="AJ277" s="198"/>
      <c r="AK277" s="198"/>
      <c r="AL277" s="198"/>
      <c r="AM277" s="198"/>
      <c r="AN277" s="198"/>
      <c r="AO277" s="198"/>
    </row>
    <row r="278" spans="2:41" ht="12.75" customHeight="1">
      <c r="B278" s="29" t="str">
        <f>+B142</f>
        <v>EBITDA/Interest</v>
      </c>
      <c r="C278" s="36">
        <f t="shared" ref="C278:H278" si="899">(C267)/-C238</f>
        <v>-76.299195719098051</v>
      </c>
      <c r="D278" s="36">
        <f t="shared" si="899"/>
        <v>33.168264042580432</v>
      </c>
      <c r="E278" s="36">
        <f t="shared" si="899"/>
        <v>21.672454725517014</v>
      </c>
      <c r="F278" s="36">
        <f t="shared" si="899"/>
        <v>-15.632404330080773</v>
      </c>
      <c r="G278" s="36">
        <f t="shared" si="899"/>
        <v>8.3676707722331312</v>
      </c>
      <c r="H278" s="36">
        <f t="shared" si="899"/>
        <v>41.307304803324236</v>
      </c>
      <c r="I278" s="36">
        <f>(I267)/-I238</f>
        <v>115.01944723488654</v>
      </c>
      <c r="J278" s="36">
        <f>(J267)/-J238</f>
        <v>-10.755969618720089</v>
      </c>
      <c r="K278" s="194"/>
      <c r="L278" s="31"/>
      <c r="M278" s="194"/>
      <c r="N278" s="194"/>
      <c r="O278" s="194"/>
      <c r="P278" s="36">
        <f>(P267)/-SUM(M238:P238)</f>
        <v>33.07310562445511</v>
      </c>
      <c r="Q278" s="194"/>
      <c r="R278" s="36">
        <f>(R267)/-SUM(O238:R238)</f>
        <v>32.398844444457019</v>
      </c>
      <c r="S278" s="194"/>
      <c r="T278" s="36">
        <f>(T267)/-SUM(Q238:T238)</f>
        <v>21.023167866729974</v>
      </c>
      <c r="U278" s="194"/>
      <c r="V278" s="36">
        <f>(V267)/-SUM(S238:V238)</f>
        <v>-4.5939420451175144</v>
      </c>
      <c r="W278" s="194"/>
      <c r="X278" s="36">
        <f>(X267)/-SUM(U238:X238)</f>
        <v>-15.536748710086597</v>
      </c>
      <c r="Y278" s="194"/>
      <c r="Z278" s="36">
        <f>(Z267)/-SUM(W238:Z238)</f>
        <v>-5.6011545302393255</v>
      </c>
      <c r="AA278" s="194"/>
      <c r="AB278" s="36">
        <f>(AB267)/-SUM(Y238:AB238)</f>
        <v>8.3708306325267294</v>
      </c>
      <c r="AC278" s="194"/>
      <c r="AD278" s="36">
        <f>(AD267)/-SUM(AA238:AD238)</f>
        <v>22.426363307129659</v>
      </c>
      <c r="AE278" s="194"/>
      <c r="AF278" s="36">
        <f>(AF267)/-SUM(AC238:AF238)</f>
        <v>41.726796032683133</v>
      </c>
      <c r="AG278" s="194"/>
      <c r="AH278" s="194"/>
      <c r="AI278" s="194"/>
      <c r="AJ278" s="194"/>
      <c r="AK278" s="194"/>
      <c r="AL278" s="194"/>
      <c r="AM278" s="194"/>
      <c r="AN278" s="194"/>
      <c r="AO278" s="194"/>
    </row>
    <row r="279" spans="2:41" ht="13.5" customHeight="1">
      <c r="C279" s="31"/>
      <c r="D279" s="31"/>
      <c r="E279" s="31"/>
      <c r="F279" s="31"/>
      <c r="G279" s="31"/>
      <c r="H279" s="31"/>
      <c r="I279" s="31"/>
      <c r="J279" s="31"/>
      <c r="K279" s="31"/>
      <c r="L279" s="31"/>
      <c r="M279" s="198"/>
      <c r="N279" s="198"/>
      <c r="O279" s="198"/>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row>
    <row r="280" spans="2:41" s="32" customFormat="1" ht="13.5" customHeight="1">
      <c r="B280" s="61" t="str">
        <f>+B144</f>
        <v xml:space="preserve">Gearing (Net debt / Equity) </v>
      </c>
      <c r="C280" s="205">
        <f t="shared" ref="C280:H280" si="900">C256/(C260)</f>
        <v>-0.17077418722130028</v>
      </c>
      <c r="D280" s="205">
        <f t="shared" si="900"/>
        <v>-8.5277004810873025E-2</v>
      </c>
      <c r="E280" s="205">
        <f t="shared" si="900"/>
        <v>-0.3787033088533715</v>
      </c>
      <c r="F280" s="205">
        <f t="shared" si="900"/>
        <v>-0.46047773994044233</v>
      </c>
      <c r="G280" s="205">
        <f t="shared" si="900"/>
        <v>-0.41912863124798105</v>
      </c>
      <c r="H280" s="205">
        <f t="shared" si="900"/>
        <v>-0.55634084750130952</v>
      </c>
      <c r="I280" s="205">
        <f>I256/(I260)</f>
        <v>-0.6183729390217535</v>
      </c>
      <c r="J280" s="205">
        <f>J256/(J260)</f>
        <v>-0.53126524377603568</v>
      </c>
      <c r="K280" s="205">
        <f>K256/(K260)</f>
        <v>-0.4507971453577998</v>
      </c>
      <c r="L280" s="206"/>
      <c r="M280" s="205">
        <f t="shared" ref="M280:AJ280" si="901">M256/(M260)</f>
        <v>-7.6227518522512458E-2</v>
      </c>
      <c r="N280" s="205">
        <f t="shared" si="901"/>
        <v>-5.3618534816782672E-2</v>
      </c>
      <c r="O280" s="205">
        <f t="shared" si="901"/>
        <v>-0.10497481123639908</v>
      </c>
      <c r="P280" s="205">
        <f t="shared" si="901"/>
        <v>-8.5277004810873025E-2</v>
      </c>
      <c r="Q280" s="205">
        <f t="shared" si="901"/>
        <v>-9.3282780208233662E-2</v>
      </c>
      <c r="R280" s="205">
        <f t="shared" si="901"/>
        <v>-9.43250203711304E-2</v>
      </c>
      <c r="S280" s="205">
        <f t="shared" si="901"/>
        <v>-9.747008886942056E-2</v>
      </c>
      <c r="T280" s="205">
        <f t="shared" si="901"/>
        <v>7.1950562443363231E-2</v>
      </c>
      <c r="U280" s="205">
        <f t="shared" si="901"/>
        <v>-6.1129990150547139E-2</v>
      </c>
      <c r="V280" s="205">
        <f t="shared" si="901"/>
        <v>-0.51462358241751427</v>
      </c>
      <c r="W280" s="205">
        <f t="shared" si="901"/>
        <v>-0.4799979269761086</v>
      </c>
      <c r="X280" s="205">
        <f t="shared" si="901"/>
        <v>-0.46047773994044233</v>
      </c>
      <c r="Y280" s="205">
        <f t="shared" si="901"/>
        <v>-0.34253514952676023</v>
      </c>
      <c r="Z280" s="205">
        <f t="shared" si="901"/>
        <v>-0.34111221929237912</v>
      </c>
      <c r="AA280" s="205">
        <f t="shared" si="901"/>
        <v>-0.35656860583851968</v>
      </c>
      <c r="AB280" s="205">
        <f t="shared" si="901"/>
        <v>-0.41912863124798105</v>
      </c>
      <c r="AC280" s="205">
        <f t="shared" si="901"/>
        <v>-0.40053545703160093</v>
      </c>
      <c r="AD280" s="205">
        <f t="shared" si="901"/>
        <v>-0.43092081828501388</v>
      </c>
      <c r="AE280" s="205">
        <f t="shared" si="901"/>
        <v>-0.47858492847885437</v>
      </c>
      <c r="AF280" s="205">
        <f t="shared" si="901"/>
        <v>-0.55634084750130952</v>
      </c>
      <c r="AG280" s="205">
        <f t="shared" si="901"/>
        <v>-0.54610688805416641</v>
      </c>
      <c r="AH280" s="205">
        <f t="shared" si="901"/>
        <v>-0.62908077639686544</v>
      </c>
      <c r="AI280" s="205">
        <f t="shared" si="901"/>
        <v>-0.57916627237286877</v>
      </c>
      <c r="AJ280" s="205">
        <f t="shared" si="901"/>
        <v>-0.6183729390217535</v>
      </c>
      <c r="AK280" s="205">
        <f t="shared" ref="AK280:AN280" si="902">AK256/(AK260)</f>
        <v>-0.64260908782925241</v>
      </c>
      <c r="AL280" s="205">
        <f t="shared" si="902"/>
        <v>-0.65133931992720207</v>
      </c>
      <c r="AM280" s="205">
        <f t="shared" si="902"/>
        <v>-0.53783569350749783</v>
      </c>
      <c r="AN280" s="205">
        <f t="shared" si="902"/>
        <v>-0.53126524377603568</v>
      </c>
      <c r="AO280" s="205">
        <f t="shared" ref="AO280" si="903">AO256/(AO260)</f>
        <v>-0.4507971453577998</v>
      </c>
    </row>
    <row r="281" spans="2:41" ht="13.5" customHeight="1">
      <c r="C281" s="30"/>
      <c r="D281" s="30"/>
      <c r="E281" s="30"/>
      <c r="F281" s="30"/>
      <c r="G281" s="30"/>
      <c r="H281" s="30"/>
      <c r="I281" s="30"/>
      <c r="J281" s="30"/>
      <c r="K281" s="30"/>
      <c r="L281" s="30"/>
      <c r="M281" s="30"/>
      <c r="N281" s="30"/>
      <c r="O281" s="30"/>
      <c r="P281" s="30"/>
      <c r="Q281" s="30"/>
      <c r="R281" s="30"/>
      <c r="S281" s="30"/>
    </row>
    <row r="282" spans="2:41" ht="13.5" customHeight="1">
      <c r="C282" s="14"/>
      <c r="D282" s="14"/>
      <c r="E282" s="14"/>
      <c r="F282" s="14"/>
      <c r="G282" s="14"/>
      <c r="H282" s="14"/>
      <c r="I282" s="14"/>
      <c r="J282" s="14"/>
      <c r="K282" s="14"/>
      <c r="L282" s="14"/>
      <c r="M282" s="14"/>
      <c r="N282" s="14"/>
      <c r="O282" s="14"/>
      <c r="P282" s="14"/>
      <c r="Q282" s="14"/>
      <c r="R282" s="14"/>
      <c r="S282" s="14"/>
    </row>
  </sheetData>
  <pageMargins left="0.7" right="0.7" top="0.75" bottom="0.75" header="0.3" footer="0.3"/>
  <pageSetup orientation="portrait" horizontalDpi="90" verticalDpi="90" r:id="rId1"/>
  <ignoredErrors>
    <ignoredError sqref="L24:AB24 C91:G91 AB19 P66:AA71 P119:P120 L121:X121 L124 L122:P122 X122 T122 L127:U127 W91 Y91 X127 AB127 P76:AA76 P74:Y74 AA74 P75:Y75 AA75 P73:AA73 P72:Y72 AA72 AD91 L91:U91" formula="1"/>
    <ignoredError sqref="P145:S145 M32:S34 L37:S37 L50:S51 M59:S59 C55:D58 P140:S140 L150:S151 L162:S166 L202:S202 P217:S222 L232:S233 M276:S276 L153:S155 L152 M279:S279 M277:O278 P141:P142 R141:R142 L205:S205 L203:P204 R203:R204 C153:E155 C276:E276 C232:E233 C217:E222 C202:E206 C162:E166 C150:E151 C140:E142 C59:E59 C50:E51 C32:E34 C37:E37 Q144:S144 L206 P206:S206 L280 C133:E138 P133:S138 C195:E200 L195:S200 M269:O274 C279:E279 C43:E44 M43:S44 L38:L39 M40:S41 C40:E41" evalError="1"/>
    <ignoredError sqref="M57:S58 E55:E58 M55:P55 M56:P56 R56:S56" evalError="1" formula="1"/>
    <ignoredError sqref="AA43:AC44 W43:Y44 AD83 V90 V92:V93 Z90:AB90 Z92:AB93 X90 X92:X93" emptyCellReference="1"/>
    <ignoredError sqref="V91 Z91:AB91 X91" formula="1" emptyCellReference="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0D2B-8DAD-4562-8F1D-660E5E06A003}">
  <dimension ref="B2:P27"/>
  <sheetViews>
    <sheetView showGridLines="0" zoomScaleNormal="100" workbookViewId="0">
      <pane xSplit="2" ySplit="6" topLeftCell="C7" activePane="bottomRight" state="frozen"/>
      <selection pane="bottomRight" activeCell="R1" sqref="R1"/>
      <selection pane="bottomLeft" activeCell="I19" sqref="I19"/>
      <selection pane="topRight" activeCell="I19" sqref="I19"/>
    </sheetView>
  </sheetViews>
  <sheetFormatPr defaultRowHeight="12.75"/>
  <cols>
    <col min="1" max="1" width="2.7109375" customWidth="1"/>
    <col min="2" max="2" width="46.85546875" customWidth="1"/>
    <col min="3" max="20" width="12.7109375" customWidth="1"/>
  </cols>
  <sheetData>
    <row r="2" spans="2:16" ht="21">
      <c r="B2" s="111" t="s">
        <v>183</v>
      </c>
      <c r="C2" s="83" t="s">
        <v>184</v>
      </c>
      <c r="D2" s="83" t="s">
        <v>184</v>
      </c>
      <c r="E2" s="83" t="s">
        <v>184</v>
      </c>
      <c r="G2" s="83" t="s">
        <v>186</v>
      </c>
      <c r="H2" s="83" t="s">
        <v>186</v>
      </c>
      <c r="I2" s="83" t="s">
        <v>186</v>
      </c>
      <c r="J2" s="83" t="s">
        <v>186</v>
      </c>
      <c r="K2" s="83" t="s">
        <v>186</v>
      </c>
      <c r="L2" s="83" t="s">
        <v>186</v>
      </c>
      <c r="M2" s="83" t="s">
        <v>186</v>
      </c>
      <c r="N2" s="83" t="s">
        <v>186</v>
      </c>
      <c r="O2" s="83" t="s">
        <v>186</v>
      </c>
    </row>
    <row r="3" spans="2:16">
      <c r="B3" s="51" t="s">
        <v>187</v>
      </c>
      <c r="C3" s="50">
        <v>45291</v>
      </c>
      <c r="D3" s="50">
        <v>45657</v>
      </c>
      <c r="E3" s="50">
        <v>46022</v>
      </c>
      <c r="G3" s="50">
        <v>45382</v>
      </c>
      <c r="H3" s="50">
        <v>45473</v>
      </c>
      <c r="I3" s="50">
        <v>45565</v>
      </c>
      <c r="J3" s="50">
        <v>45657</v>
      </c>
      <c r="K3" s="50">
        <v>45747</v>
      </c>
      <c r="L3" s="50">
        <v>45838</v>
      </c>
      <c r="M3" s="50">
        <v>45930</v>
      </c>
      <c r="N3" s="50">
        <v>46022</v>
      </c>
      <c r="O3" s="50">
        <v>46112</v>
      </c>
    </row>
    <row r="4" spans="2:16">
      <c r="B4" s="55"/>
      <c r="C4" s="50" t="s">
        <v>188</v>
      </c>
      <c r="D4" s="50" t="s">
        <v>188</v>
      </c>
      <c r="E4" s="50" t="s">
        <v>188</v>
      </c>
      <c r="G4" s="50" t="s">
        <v>188</v>
      </c>
      <c r="H4" s="50" t="s">
        <v>188</v>
      </c>
      <c r="I4" s="50" t="s">
        <v>188</v>
      </c>
      <c r="J4" s="50" t="s">
        <v>188</v>
      </c>
      <c r="K4" s="50" t="s">
        <v>188</v>
      </c>
      <c r="L4" s="50" t="s">
        <v>188</v>
      </c>
      <c r="M4" s="50" t="s">
        <v>188</v>
      </c>
      <c r="N4" s="50" t="s">
        <v>188</v>
      </c>
      <c r="O4" s="50" t="s">
        <v>188</v>
      </c>
    </row>
    <row r="5" spans="2:16">
      <c r="B5" s="80"/>
      <c r="C5" s="82" t="s">
        <v>189</v>
      </c>
      <c r="D5" s="82" t="s">
        <v>189</v>
      </c>
      <c r="E5" s="82" t="s">
        <v>189</v>
      </c>
      <c r="G5" s="82" t="s">
        <v>190</v>
      </c>
      <c r="H5" s="82" t="s">
        <v>191</v>
      </c>
      <c r="I5" s="82" t="s">
        <v>192</v>
      </c>
      <c r="J5" s="81" t="s">
        <v>193</v>
      </c>
      <c r="K5" s="82" t="s">
        <v>190</v>
      </c>
      <c r="L5" s="82" t="s">
        <v>191</v>
      </c>
      <c r="M5" s="82" t="s">
        <v>192</v>
      </c>
      <c r="N5" s="81" t="s">
        <v>193</v>
      </c>
      <c r="O5" s="82" t="s">
        <v>190</v>
      </c>
    </row>
    <row r="6" spans="2:16">
      <c r="B6" s="51"/>
      <c r="C6" s="78"/>
      <c r="D6" s="78"/>
      <c r="E6" s="78"/>
      <c r="G6" s="78"/>
      <c r="H6" s="78"/>
      <c r="I6" s="78"/>
      <c r="J6" s="78"/>
      <c r="K6" s="78"/>
      <c r="L6" s="78"/>
      <c r="M6" s="78"/>
      <c r="N6" s="78"/>
      <c r="O6" s="78"/>
    </row>
    <row r="9" spans="2:16">
      <c r="B9" s="138" t="s">
        <v>305</v>
      </c>
      <c r="C9" s="82">
        <v>13857.331</v>
      </c>
      <c r="D9" s="82">
        <v>35808.322</v>
      </c>
      <c r="E9" s="82">
        <v>-23354.194</v>
      </c>
      <c r="G9" s="82">
        <v>5368.9790000000003</v>
      </c>
      <c r="H9" s="82">
        <v>11352.338</v>
      </c>
      <c r="I9" s="82">
        <v>12864.954</v>
      </c>
      <c r="J9" s="82">
        <v>6222.0510000000004</v>
      </c>
      <c r="K9" s="82">
        <v>10056.879999999999</v>
      </c>
      <c r="L9" s="82">
        <v>365.29599999999999</v>
      </c>
      <c r="M9" s="82">
        <v>-18632.088</v>
      </c>
      <c r="N9" s="82">
        <v>-15144.281999999999</v>
      </c>
      <c r="O9" s="82">
        <v>-6827.2579999999998</v>
      </c>
      <c r="P9" s="82"/>
    </row>
    <row r="10" spans="2:16">
      <c r="B10" s="123" t="s">
        <v>306</v>
      </c>
      <c r="C10" s="84"/>
      <c r="D10" s="84"/>
      <c r="E10" s="84"/>
      <c r="G10" s="84"/>
      <c r="H10" s="84"/>
      <c r="I10" s="84"/>
      <c r="J10" s="84"/>
      <c r="K10" s="84"/>
      <c r="L10" s="84"/>
      <c r="M10" s="84"/>
      <c r="N10" s="84"/>
      <c r="O10" s="84"/>
    </row>
    <row r="11" spans="2:16">
      <c r="B11" s="139" t="s">
        <v>307</v>
      </c>
      <c r="C11" s="84">
        <v>8383.3529999999992</v>
      </c>
      <c r="D11" s="84">
        <v>7582.6930000000002</v>
      </c>
      <c r="E11" s="84">
        <v>6001.8670000000002</v>
      </c>
      <c r="G11" s="84">
        <v>1851.0119999999999</v>
      </c>
      <c r="H11" s="84">
        <v>2069.3270000000002</v>
      </c>
      <c r="I11" s="84">
        <v>1890.0219999999999</v>
      </c>
      <c r="J11" s="84">
        <v>1772.3320000000001</v>
      </c>
      <c r="K11" s="84">
        <v>1707.846</v>
      </c>
      <c r="L11" s="84">
        <v>1387.4159999999999</v>
      </c>
      <c r="M11" s="84">
        <v>1558.306</v>
      </c>
      <c r="N11" s="84">
        <v>1348.299</v>
      </c>
      <c r="O11" s="84">
        <v>1383.0060000000001</v>
      </c>
    </row>
    <row r="12" spans="2:16">
      <c r="B12" s="139" t="s">
        <v>308</v>
      </c>
      <c r="C12" s="84">
        <v>0</v>
      </c>
      <c r="D12" s="84">
        <v>119.455</v>
      </c>
      <c r="E12" s="84">
        <v>-1512.297</v>
      </c>
      <c r="G12" s="84">
        <v>0</v>
      </c>
      <c r="H12" s="84">
        <v>0</v>
      </c>
      <c r="I12" s="84">
        <v>-1548.588</v>
      </c>
      <c r="J12" s="84">
        <v>1668.0429999999999</v>
      </c>
      <c r="K12" s="84">
        <v>-265.904</v>
      </c>
      <c r="L12" s="84">
        <v>-464.20600000000002</v>
      </c>
      <c r="M12" s="84">
        <v>-153.97499999999999</v>
      </c>
      <c r="N12" s="84">
        <v>-628.21199999999999</v>
      </c>
      <c r="O12" s="84">
        <v>-312.00599999999997</v>
      </c>
    </row>
    <row r="13" spans="2:16">
      <c r="B13" s="139" t="s">
        <v>309</v>
      </c>
      <c r="C13" s="84">
        <v>12.486000000000001</v>
      </c>
      <c r="D13" s="84">
        <v>-192.79499999999999</v>
      </c>
      <c r="E13" s="84">
        <v>-2334.922</v>
      </c>
      <c r="G13" s="84">
        <v>359.322</v>
      </c>
      <c r="H13" s="84">
        <v>-62.506999999999998</v>
      </c>
      <c r="I13" s="84">
        <v>-567.67899999999997</v>
      </c>
      <c r="J13" s="84">
        <v>78.069000000000003</v>
      </c>
      <c r="K13" s="84">
        <v>-777.43799999999999</v>
      </c>
      <c r="L13" s="84">
        <v>-355.45499999999998</v>
      </c>
      <c r="M13" s="84">
        <v>335.24299999999999</v>
      </c>
      <c r="N13" s="84">
        <v>-1537.2719999999999</v>
      </c>
      <c r="O13" s="84">
        <v>-389.74599999999998</v>
      </c>
    </row>
    <row r="14" spans="2:16">
      <c r="B14" s="139" t="s">
        <v>310</v>
      </c>
      <c r="C14" s="84">
        <v>817.78499999999997</v>
      </c>
      <c r="D14" s="84">
        <v>202.48</v>
      </c>
      <c r="E14" s="84">
        <v>2060.7750000000001</v>
      </c>
      <c r="G14" s="84">
        <v>0</v>
      </c>
      <c r="H14" s="84">
        <v>129.15299999999999</v>
      </c>
      <c r="I14" s="84">
        <v>0</v>
      </c>
      <c r="J14" s="84">
        <v>73.326999999999998</v>
      </c>
      <c r="K14" s="84">
        <v>0</v>
      </c>
      <c r="L14" s="84">
        <v>428.137</v>
      </c>
      <c r="M14" s="84">
        <v>1017.919</v>
      </c>
      <c r="N14" s="84">
        <v>614.71900000000005</v>
      </c>
      <c r="O14" s="84">
        <v>1094.0319999999999</v>
      </c>
    </row>
    <row r="15" spans="2:16">
      <c r="B15" s="139" t="s">
        <v>311</v>
      </c>
      <c r="C15" s="84">
        <v>246.19</v>
      </c>
      <c r="D15" s="84">
        <v>171.12700000000001</v>
      </c>
      <c r="E15" s="84">
        <v>199.88800000000001</v>
      </c>
      <c r="G15" s="84">
        <v>42.84</v>
      </c>
      <c r="H15" s="84">
        <v>42.841000000000001</v>
      </c>
      <c r="I15" s="84">
        <v>42.841000000000001</v>
      </c>
      <c r="J15" s="84">
        <v>42.604999999999997</v>
      </c>
      <c r="K15" s="84">
        <v>45.186999999999998</v>
      </c>
      <c r="L15" s="84">
        <v>51.503999999999998</v>
      </c>
      <c r="M15" s="84">
        <v>51.503999999999998</v>
      </c>
      <c r="N15" s="84">
        <v>51.692999999999998</v>
      </c>
      <c r="O15" s="84">
        <v>51.694000000000003</v>
      </c>
    </row>
    <row r="16" spans="2:16">
      <c r="B16" s="123" t="s">
        <v>312</v>
      </c>
      <c r="C16" s="84">
        <v>-63.726999999999997</v>
      </c>
      <c r="D16" s="84">
        <v>81.167000000000002</v>
      </c>
      <c r="E16" s="84">
        <v>290.88200000000001</v>
      </c>
      <c r="G16" s="84">
        <v>-133.75899999999999</v>
      </c>
      <c r="H16" s="84">
        <v>75.103999999999999</v>
      </c>
      <c r="I16" s="84">
        <v>147.71100000000001</v>
      </c>
      <c r="J16" s="84">
        <v>-7.8890000000000002</v>
      </c>
      <c r="K16" s="84">
        <v>181.93299999999999</v>
      </c>
      <c r="L16" s="84">
        <v>80.343000000000004</v>
      </c>
      <c r="M16" s="84">
        <v>-186.54300000000001</v>
      </c>
      <c r="N16" s="84">
        <v>215.149</v>
      </c>
      <c r="O16" s="84">
        <v>32.375</v>
      </c>
    </row>
    <row r="17" spans="2:15">
      <c r="B17" s="138" t="s">
        <v>313</v>
      </c>
      <c r="C17" s="81">
        <f>SUM(C9:C16)</f>
        <v>23253.418000000001</v>
      </c>
      <c r="D17" s="81">
        <f>SUM(D9:D16)</f>
        <v>43772.449000000008</v>
      </c>
      <c r="E17" s="81">
        <f>SUM(E9:E16)</f>
        <v>-18648.000999999993</v>
      </c>
      <c r="G17" s="81">
        <f t="shared" ref="G17:M17" si="0">SUM(G9:G16)</f>
        <v>7488.3940000000002</v>
      </c>
      <c r="H17" s="81">
        <f t="shared" si="0"/>
        <v>13606.256000000001</v>
      </c>
      <c r="I17" s="81">
        <f t="shared" si="0"/>
        <v>12829.260999999999</v>
      </c>
      <c r="J17" s="81">
        <f t="shared" si="0"/>
        <v>9848.5380000000005</v>
      </c>
      <c r="K17" s="81">
        <f t="shared" si="0"/>
        <v>10948.503999999997</v>
      </c>
      <c r="L17" s="81">
        <f t="shared" si="0"/>
        <v>1493.0349999999999</v>
      </c>
      <c r="M17" s="81">
        <f t="shared" si="0"/>
        <v>-16009.633999999998</v>
      </c>
      <c r="N17" s="81">
        <f t="shared" ref="N17:O17" si="1">SUM(N9:N16)</f>
        <v>-15079.906000000001</v>
      </c>
      <c r="O17" s="81">
        <f t="shared" si="1"/>
        <v>-4967.9029999999993</v>
      </c>
    </row>
    <row r="18" spans="2:15">
      <c r="B18" s="123"/>
      <c r="C18" s="84"/>
      <c r="D18" s="84"/>
      <c r="E18" s="84"/>
      <c r="G18" s="84"/>
      <c r="H18" s="84"/>
      <c r="I18" s="84"/>
      <c r="J18" s="84"/>
      <c r="K18" s="84"/>
      <c r="L18" s="84"/>
      <c r="M18" s="84"/>
      <c r="N18" s="84"/>
      <c r="O18" s="84"/>
    </row>
    <row r="19" spans="2:15">
      <c r="B19" s="138" t="s">
        <v>306</v>
      </c>
      <c r="C19" s="84"/>
      <c r="D19" s="84"/>
      <c r="E19" s="84"/>
      <c r="G19" s="84"/>
      <c r="H19" s="84"/>
      <c r="I19" s="84"/>
      <c r="J19" s="84"/>
      <c r="K19" s="84"/>
      <c r="L19" s="84"/>
      <c r="M19" s="84"/>
      <c r="N19" s="84"/>
      <c r="O19" s="84"/>
    </row>
    <row r="20" spans="2:15">
      <c r="B20" s="139" t="s">
        <v>314</v>
      </c>
      <c r="C20" s="84">
        <v>228.26400000000001</v>
      </c>
      <c r="D20" s="84">
        <v>2095.94</v>
      </c>
      <c r="E20" s="84">
        <v>-1774.2</v>
      </c>
      <c r="G20" s="84">
        <v>246.261</v>
      </c>
      <c r="H20" s="84">
        <v>229.77199999999999</v>
      </c>
      <c r="I20" s="84">
        <v>937.76900000000001</v>
      </c>
      <c r="J20" s="84">
        <v>682.13800000000003</v>
      </c>
      <c r="K20" s="84">
        <v>361.988</v>
      </c>
      <c r="L20" s="84">
        <v>-51.972999999999999</v>
      </c>
      <c r="M20" s="84">
        <v>-831.79300000000001</v>
      </c>
      <c r="N20" s="84">
        <v>-1252.422</v>
      </c>
      <c r="O20" s="84">
        <v>-481.98</v>
      </c>
    </row>
    <row r="21" spans="2:15">
      <c r="B21" s="139" t="s">
        <v>315</v>
      </c>
      <c r="C21" s="84">
        <v>-1554.673</v>
      </c>
      <c r="D21" s="84">
        <v>-934.36099999999999</v>
      </c>
      <c r="E21" s="84">
        <v>13.07</v>
      </c>
      <c r="G21" s="84">
        <v>-143.376</v>
      </c>
      <c r="H21" s="84">
        <v>-93.96</v>
      </c>
      <c r="I21" s="84">
        <v>-385.3</v>
      </c>
      <c r="J21" s="84">
        <v>-311.72500000000002</v>
      </c>
      <c r="K21" s="84">
        <v>-30.765000000000001</v>
      </c>
      <c r="L21" s="84">
        <v>-141.76599999999999</v>
      </c>
      <c r="M21" s="84">
        <v>45.935000000000002</v>
      </c>
      <c r="N21" s="84">
        <v>139.666</v>
      </c>
      <c r="O21" s="84">
        <v>503.60300000000001</v>
      </c>
    </row>
    <row r="22" spans="2:15">
      <c r="B22" s="139" t="s">
        <v>209</v>
      </c>
      <c r="C22" s="84">
        <v>-818.98599999999999</v>
      </c>
      <c r="D22" s="84">
        <v>-1291.807</v>
      </c>
      <c r="E22" s="84">
        <v>-2011.5350000000001</v>
      </c>
      <c r="G22" s="84">
        <v>-279.755</v>
      </c>
      <c r="H22" s="84">
        <v>-344.49400000000003</v>
      </c>
      <c r="I22" s="84">
        <v>-313.08800000000002</v>
      </c>
      <c r="J22" s="84">
        <v>-354.47</v>
      </c>
      <c r="K22" s="84">
        <v>-491.358</v>
      </c>
      <c r="L22" s="84">
        <v>-508.30700000000002</v>
      </c>
      <c r="M22" s="84">
        <v>-513.37199999999996</v>
      </c>
      <c r="N22" s="84">
        <v>-498.49799999999999</v>
      </c>
      <c r="O22" s="84">
        <v>-481.92599999999999</v>
      </c>
    </row>
    <row r="23" spans="2:15">
      <c r="B23" s="139" t="s">
        <v>316</v>
      </c>
      <c r="C23" s="84">
        <v>1425.1569999999999</v>
      </c>
      <c r="D23" s="84">
        <v>1337.038</v>
      </c>
      <c r="E23" s="84">
        <v>1886.8019999999999</v>
      </c>
      <c r="G23" s="84">
        <v>321.863</v>
      </c>
      <c r="H23" s="84">
        <v>285.37299999999999</v>
      </c>
      <c r="I23" s="84">
        <v>261.65100000000001</v>
      </c>
      <c r="J23" s="84">
        <v>468.15100000000001</v>
      </c>
      <c r="K23" s="84">
        <v>475.12</v>
      </c>
      <c r="L23" s="84">
        <v>430.214</v>
      </c>
      <c r="M23" s="84">
        <v>413.98700000000002</v>
      </c>
      <c r="N23" s="84">
        <v>567.48099999999999</v>
      </c>
      <c r="O23" s="84">
        <v>786.97699999999998</v>
      </c>
    </row>
    <row r="24" spans="2:15">
      <c r="B24" s="139" t="s">
        <v>317</v>
      </c>
      <c r="C24" s="84">
        <v>-6405.7290000000003</v>
      </c>
      <c r="D24" s="84">
        <v>-4110.0820000000003</v>
      </c>
      <c r="E24" s="84">
        <v>-3248.4920000000002</v>
      </c>
      <c r="G24" s="84">
        <v>-1404.9590000000001</v>
      </c>
      <c r="H24" s="84">
        <v>-695.27200000000005</v>
      </c>
      <c r="I24" s="84">
        <v>-963.27099999999996</v>
      </c>
      <c r="J24" s="84">
        <v>-1046.58</v>
      </c>
      <c r="K24" s="84">
        <v>-1145.115</v>
      </c>
      <c r="L24" s="84">
        <v>-822.35400000000004</v>
      </c>
      <c r="M24" s="84">
        <v>-577.59799999999996</v>
      </c>
      <c r="N24" s="84">
        <v>-703.42499999999995</v>
      </c>
      <c r="O24" s="84">
        <v>-1212.6179999999999</v>
      </c>
    </row>
    <row r="25" spans="2:15">
      <c r="B25" s="139" t="s">
        <v>318</v>
      </c>
      <c r="C25" s="84">
        <v>62.744</v>
      </c>
      <c r="D25" s="84">
        <v>68.522000000000006</v>
      </c>
      <c r="E25" s="84">
        <v>62.52</v>
      </c>
      <c r="G25" s="84">
        <v>14.384</v>
      </c>
      <c r="H25" s="84">
        <v>18.391999999999999</v>
      </c>
      <c r="I25" s="84">
        <v>17.622</v>
      </c>
      <c r="J25" s="84">
        <v>18.123999999999999</v>
      </c>
      <c r="K25" s="84">
        <v>14.047000000000001</v>
      </c>
      <c r="L25" s="84">
        <v>15.721</v>
      </c>
      <c r="M25" s="84">
        <v>16.116</v>
      </c>
      <c r="N25" s="84">
        <v>16.635999999999999</v>
      </c>
      <c r="O25" s="84">
        <v>17.788</v>
      </c>
    </row>
    <row r="26" spans="2:15">
      <c r="B26" s="139" t="s">
        <v>319</v>
      </c>
      <c r="C26" s="84">
        <v>7687.8230000000003</v>
      </c>
      <c r="D26" s="84">
        <v>8181.701</v>
      </c>
      <c r="E26" s="84">
        <v>9936.6309999999994</v>
      </c>
      <c r="G26" s="84">
        <v>1827.5309999999999</v>
      </c>
      <c r="H26" s="84">
        <v>1991.201</v>
      </c>
      <c r="I26" s="84">
        <v>2144.5529999999999</v>
      </c>
      <c r="J26" s="84">
        <v>2218.4160000000002</v>
      </c>
      <c r="K26" s="84">
        <v>2169.2649999999999</v>
      </c>
      <c r="L26" s="84">
        <v>2367.3910000000001</v>
      </c>
      <c r="M26" s="84">
        <v>2614.462</v>
      </c>
      <c r="N26" s="84">
        <v>2785.5129999999999</v>
      </c>
      <c r="O26" s="84">
        <v>2786.7130000000002</v>
      </c>
    </row>
    <row r="27" spans="2:15">
      <c r="B27" s="138" t="s">
        <v>253</v>
      </c>
      <c r="C27" s="81">
        <f>SUM(C20:C26,C17)</f>
        <v>23878.018</v>
      </c>
      <c r="D27" s="81">
        <f>SUM(D20:D26,D17)</f>
        <v>49119.400000000009</v>
      </c>
      <c r="E27" s="81">
        <f>SUM(E20:E26,E17)</f>
        <v>-13783.204999999994</v>
      </c>
      <c r="G27" s="81">
        <f t="shared" ref="G27:M27" si="2">SUM(G20:G26,G17)</f>
        <v>8070.3429999999998</v>
      </c>
      <c r="H27" s="81">
        <f t="shared" si="2"/>
        <v>14997.268000000002</v>
      </c>
      <c r="I27" s="81">
        <f t="shared" si="2"/>
        <v>14529.196999999998</v>
      </c>
      <c r="J27" s="81">
        <f t="shared" si="2"/>
        <v>11522.592000000001</v>
      </c>
      <c r="K27" s="81">
        <f t="shared" si="2"/>
        <v>12301.685999999998</v>
      </c>
      <c r="L27" s="81">
        <f t="shared" si="2"/>
        <v>2781.9609999999998</v>
      </c>
      <c r="M27" s="81">
        <f t="shared" si="2"/>
        <v>-14841.896999999997</v>
      </c>
      <c r="N27" s="81">
        <f t="shared" ref="N27:O27" si="3">SUM(N20:N26,N17)</f>
        <v>-14024.955000000002</v>
      </c>
      <c r="O27" s="81">
        <f t="shared" si="3"/>
        <v>-3049.3459999999991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P61"/>
  <sheetViews>
    <sheetView showGridLines="0" zoomScaleNormal="100" workbookViewId="0">
      <pane xSplit="2" ySplit="6" topLeftCell="C7" activePane="bottomRight" state="frozen"/>
      <selection pane="bottomRight" activeCell="AR1" sqref="AR1"/>
      <selection pane="bottomLeft" activeCell="I19" sqref="I19"/>
      <selection pane="topRight" activeCell="I19" sqref="I19"/>
    </sheetView>
  </sheetViews>
  <sheetFormatPr defaultRowHeight="12.75" outlineLevelRow="1" outlineLevelCol="1"/>
  <cols>
    <col min="1" max="1" width="2.7109375" style="85" customWidth="1"/>
    <col min="2" max="2" width="50.7109375" style="85" customWidth="1"/>
    <col min="3" max="7" width="12.7109375" style="85" hidden="1" customWidth="1" outlineLevel="1"/>
    <col min="8" max="8" width="12.7109375" style="85" customWidth="1" collapsed="1"/>
    <col min="9" max="12" width="12.7109375" style="85" customWidth="1"/>
    <col min="13" max="21" width="12.7109375" style="85" hidden="1" customWidth="1" outlineLevel="1"/>
    <col min="22" max="22" width="12.7109375" style="85" hidden="1" customWidth="1" outlineLevel="1" collapsed="1"/>
    <col min="23" max="32" width="12.7109375" style="85" hidden="1" customWidth="1" outlineLevel="1"/>
    <col min="33" max="33" width="12.7109375" style="85" customWidth="1" collapsed="1"/>
    <col min="34" max="41" width="12.7109375" style="85" customWidth="1"/>
    <col min="42" max="42" width="12.7109375" style="132" customWidth="1"/>
    <col min="43" max="269" width="9.28515625" style="85"/>
    <col min="270" max="270" width="2.5703125" style="85" customWidth="1"/>
    <col min="271" max="271" width="29.42578125" style="85" customWidth="1"/>
    <col min="272" max="276" width="11.28515625" style="85" customWidth="1"/>
    <col min="277" max="277" width="6.28515625" style="85" customWidth="1"/>
    <col min="278" max="281" width="11.28515625" style="85" customWidth="1"/>
    <col min="282" max="525" width="9.28515625" style="85"/>
    <col min="526" max="526" width="2.5703125" style="85" customWidth="1"/>
    <col min="527" max="527" width="29.42578125" style="85" customWidth="1"/>
    <col min="528" max="532" width="11.28515625" style="85" customWidth="1"/>
    <col min="533" max="533" width="6.28515625" style="85" customWidth="1"/>
    <col min="534" max="537" width="11.28515625" style="85" customWidth="1"/>
    <col min="538" max="781" width="9.28515625" style="85"/>
    <col min="782" max="782" width="2.5703125" style="85" customWidth="1"/>
    <col min="783" max="783" width="29.42578125" style="85" customWidth="1"/>
    <col min="784" max="788" width="11.28515625" style="85" customWidth="1"/>
    <col min="789" max="789" width="6.28515625" style="85" customWidth="1"/>
    <col min="790" max="793" width="11.28515625" style="85" customWidth="1"/>
    <col min="794" max="1037" width="9.28515625" style="85"/>
    <col min="1038" max="1038" width="2.5703125" style="85" customWidth="1"/>
    <col min="1039" max="1039" width="29.42578125" style="85" customWidth="1"/>
    <col min="1040" max="1044" width="11.28515625" style="85" customWidth="1"/>
    <col min="1045" max="1045" width="6.28515625" style="85" customWidth="1"/>
    <col min="1046" max="1049" width="11.28515625" style="85" customWidth="1"/>
    <col min="1050" max="1293" width="9.28515625" style="85"/>
    <col min="1294" max="1294" width="2.5703125" style="85" customWidth="1"/>
    <col min="1295" max="1295" width="29.42578125" style="85" customWidth="1"/>
    <col min="1296" max="1300" width="11.28515625" style="85" customWidth="1"/>
    <col min="1301" max="1301" width="6.28515625" style="85" customWidth="1"/>
    <col min="1302" max="1305" width="11.28515625" style="85" customWidth="1"/>
    <col min="1306" max="1549" width="9.28515625" style="85"/>
    <col min="1550" max="1550" width="2.5703125" style="85" customWidth="1"/>
    <col min="1551" max="1551" width="29.42578125" style="85" customWidth="1"/>
    <col min="1552" max="1556" width="11.28515625" style="85" customWidth="1"/>
    <col min="1557" max="1557" width="6.28515625" style="85" customWidth="1"/>
    <col min="1558" max="1561" width="11.28515625" style="85" customWidth="1"/>
    <col min="1562" max="1805" width="9.28515625" style="85"/>
    <col min="1806" max="1806" width="2.5703125" style="85" customWidth="1"/>
    <col min="1807" max="1807" width="29.42578125" style="85" customWidth="1"/>
    <col min="1808" max="1812" width="11.28515625" style="85" customWidth="1"/>
    <col min="1813" max="1813" width="6.28515625" style="85" customWidth="1"/>
    <col min="1814" max="1817" width="11.28515625" style="85" customWidth="1"/>
    <col min="1818" max="2061" width="9.28515625" style="85"/>
    <col min="2062" max="2062" width="2.5703125" style="85" customWidth="1"/>
    <col min="2063" max="2063" width="29.42578125" style="85" customWidth="1"/>
    <col min="2064" max="2068" width="11.28515625" style="85" customWidth="1"/>
    <col min="2069" max="2069" width="6.28515625" style="85" customWidth="1"/>
    <col min="2070" max="2073" width="11.28515625" style="85" customWidth="1"/>
    <col min="2074" max="2317" width="9.28515625" style="85"/>
    <col min="2318" max="2318" width="2.5703125" style="85" customWidth="1"/>
    <col min="2319" max="2319" width="29.42578125" style="85" customWidth="1"/>
    <col min="2320" max="2324" width="11.28515625" style="85" customWidth="1"/>
    <col min="2325" max="2325" width="6.28515625" style="85" customWidth="1"/>
    <col min="2326" max="2329" width="11.28515625" style="85" customWidth="1"/>
    <col min="2330" max="2573" width="9.28515625" style="85"/>
    <col min="2574" max="2574" width="2.5703125" style="85" customWidth="1"/>
    <col min="2575" max="2575" width="29.42578125" style="85" customWidth="1"/>
    <col min="2576" max="2580" width="11.28515625" style="85" customWidth="1"/>
    <col min="2581" max="2581" width="6.28515625" style="85" customWidth="1"/>
    <col min="2582" max="2585" width="11.28515625" style="85" customWidth="1"/>
    <col min="2586" max="2829" width="9.28515625" style="85"/>
    <col min="2830" max="2830" width="2.5703125" style="85" customWidth="1"/>
    <col min="2831" max="2831" width="29.42578125" style="85" customWidth="1"/>
    <col min="2832" max="2836" width="11.28515625" style="85" customWidth="1"/>
    <col min="2837" max="2837" width="6.28515625" style="85" customWidth="1"/>
    <col min="2838" max="2841" width="11.28515625" style="85" customWidth="1"/>
    <col min="2842" max="3085" width="9.28515625" style="85"/>
    <col min="3086" max="3086" width="2.5703125" style="85" customWidth="1"/>
    <col min="3087" max="3087" width="29.42578125" style="85" customWidth="1"/>
    <col min="3088" max="3092" width="11.28515625" style="85" customWidth="1"/>
    <col min="3093" max="3093" width="6.28515625" style="85" customWidth="1"/>
    <col min="3094" max="3097" width="11.28515625" style="85" customWidth="1"/>
    <col min="3098" max="3341" width="9.28515625" style="85"/>
    <col min="3342" max="3342" width="2.5703125" style="85" customWidth="1"/>
    <col min="3343" max="3343" width="29.42578125" style="85" customWidth="1"/>
    <col min="3344" max="3348" width="11.28515625" style="85" customWidth="1"/>
    <col min="3349" max="3349" width="6.28515625" style="85" customWidth="1"/>
    <col min="3350" max="3353" width="11.28515625" style="85" customWidth="1"/>
    <col min="3354" max="3597" width="9.28515625" style="85"/>
    <col min="3598" max="3598" width="2.5703125" style="85" customWidth="1"/>
    <col min="3599" max="3599" width="29.42578125" style="85" customWidth="1"/>
    <col min="3600" max="3604" width="11.28515625" style="85" customWidth="1"/>
    <col min="3605" max="3605" width="6.28515625" style="85" customWidth="1"/>
    <col min="3606" max="3609" width="11.28515625" style="85" customWidth="1"/>
    <col min="3610" max="3853" width="9.28515625" style="85"/>
    <col min="3854" max="3854" width="2.5703125" style="85" customWidth="1"/>
    <col min="3855" max="3855" width="29.42578125" style="85" customWidth="1"/>
    <col min="3856" max="3860" width="11.28515625" style="85" customWidth="1"/>
    <col min="3861" max="3861" width="6.28515625" style="85" customWidth="1"/>
    <col min="3862" max="3865" width="11.28515625" style="85" customWidth="1"/>
    <col min="3866" max="4109" width="9.28515625" style="85"/>
    <col min="4110" max="4110" width="2.5703125" style="85" customWidth="1"/>
    <col min="4111" max="4111" width="29.42578125" style="85" customWidth="1"/>
    <col min="4112" max="4116" width="11.28515625" style="85" customWidth="1"/>
    <col min="4117" max="4117" width="6.28515625" style="85" customWidth="1"/>
    <col min="4118" max="4121" width="11.28515625" style="85" customWidth="1"/>
    <col min="4122" max="4365" width="9.28515625" style="85"/>
    <col min="4366" max="4366" width="2.5703125" style="85" customWidth="1"/>
    <col min="4367" max="4367" width="29.42578125" style="85" customWidth="1"/>
    <col min="4368" max="4372" width="11.28515625" style="85" customWidth="1"/>
    <col min="4373" max="4373" width="6.28515625" style="85" customWidth="1"/>
    <col min="4374" max="4377" width="11.28515625" style="85" customWidth="1"/>
    <col min="4378" max="4621" width="9.28515625" style="85"/>
    <col min="4622" max="4622" width="2.5703125" style="85" customWidth="1"/>
    <col min="4623" max="4623" width="29.42578125" style="85" customWidth="1"/>
    <col min="4624" max="4628" width="11.28515625" style="85" customWidth="1"/>
    <col min="4629" max="4629" width="6.28515625" style="85" customWidth="1"/>
    <col min="4630" max="4633" width="11.28515625" style="85" customWidth="1"/>
    <col min="4634" max="4877" width="9.28515625" style="85"/>
    <col min="4878" max="4878" width="2.5703125" style="85" customWidth="1"/>
    <col min="4879" max="4879" width="29.42578125" style="85" customWidth="1"/>
    <col min="4880" max="4884" width="11.28515625" style="85" customWidth="1"/>
    <col min="4885" max="4885" width="6.28515625" style="85" customWidth="1"/>
    <col min="4886" max="4889" width="11.28515625" style="85" customWidth="1"/>
    <col min="4890" max="5133" width="9.28515625" style="85"/>
    <col min="5134" max="5134" width="2.5703125" style="85" customWidth="1"/>
    <col min="5135" max="5135" width="29.42578125" style="85" customWidth="1"/>
    <col min="5136" max="5140" width="11.28515625" style="85" customWidth="1"/>
    <col min="5141" max="5141" width="6.28515625" style="85" customWidth="1"/>
    <col min="5142" max="5145" width="11.28515625" style="85" customWidth="1"/>
    <col min="5146" max="5389" width="9.28515625" style="85"/>
    <col min="5390" max="5390" width="2.5703125" style="85" customWidth="1"/>
    <col min="5391" max="5391" width="29.42578125" style="85" customWidth="1"/>
    <col min="5392" max="5396" width="11.28515625" style="85" customWidth="1"/>
    <col min="5397" max="5397" width="6.28515625" style="85" customWidth="1"/>
    <col min="5398" max="5401" width="11.28515625" style="85" customWidth="1"/>
    <col min="5402" max="5645" width="9.28515625" style="85"/>
    <col min="5646" max="5646" width="2.5703125" style="85" customWidth="1"/>
    <col min="5647" max="5647" width="29.42578125" style="85" customWidth="1"/>
    <col min="5648" max="5652" width="11.28515625" style="85" customWidth="1"/>
    <col min="5653" max="5653" width="6.28515625" style="85" customWidth="1"/>
    <col min="5654" max="5657" width="11.28515625" style="85" customWidth="1"/>
    <col min="5658" max="5901" width="9.28515625" style="85"/>
    <col min="5902" max="5902" width="2.5703125" style="85" customWidth="1"/>
    <col min="5903" max="5903" width="29.42578125" style="85" customWidth="1"/>
    <col min="5904" max="5908" width="11.28515625" style="85" customWidth="1"/>
    <col min="5909" max="5909" width="6.28515625" style="85" customWidth="1"/>
    <col min="5910" max="5913" width="11.28515625" style="85" customWidth="1"/>
    <col min="5914" max="6157" width="9.28515625" style="85"/>
    <col min="6158" max="6158" width="2.5703125" style="85" customWidth="1"/>
    <col min="6159" max="6159" width="29.42578125" style="85" customWidth="1"/>
    <col min="6160" max="6164" width="11.28515625" style="85" customWidth="1"/>
    <col min="6165" max="6165" width="6.28515625" style="85" customWidth="1"/>
    <col min="6166" max="6169" width="11.28515625" style="85" customWidth="1"/>
    <col min="6170" max="6413" width="9.28515625" style="85"/>
    <col min="6414" max="6414" width="2.5703125" style="85" customWidth="1"/>
    <col min="6415" max="6415" width="29.42578125" style="85" customWidth="1"/>
    <col min="6416" max="6420" width="11.28515625" style="85" customWidth="1"/>
    <col min="6421" max="6421" width="6.28515625" style="85" customWidth="1"/>
    <col min="6422" max="6425" width="11.28515625" style="85" customWidth="1"/>
    <col min="6426" max="6669" width="9.28515625" style="85"/>
    <col min="6670" max="6670" width="2.5703125" style="85" customWidth="1"/>
    <col min="6671" max="6671" width="29.42578125" style="85" customWidth="1"/>
    <col min="6672" max="6676" width="11.28515625" style="85" customWidth="1"/>
    <col min="6677" max="6677" width="6.28515625" style="85" customWidth="1"/>
    <col min="6678" max="6681" width="11.28515625" style="85" customWidth="1"/>
    <col min="6682" max="6925" width="9.28515625" style="85"/>
    <col min="6926" max="6926" width="2.5703125" style="85" customWidth="1"/>
    <col min="6927" max="6927" width="29.42578125" style="85" customWidth="1"/>
    <col min="6928" max="6932" width="11.28515625" style="85" customWidth="1"/>
    <col min="6933" max="6933" width="6.28515625" style="85" customWidth="1"/>
    <col min="6934" max="6937" width="11.28515625" style="85" customWidth="1"/>
    <col min="6938" max="7181" width="9.28515625" style="85"/>
    <col min="7182" max="7182" width="2.5703125" style="85" customWidth="1"/>
    <col min="7183" max="7183" width="29.42578125" style="85" customWidth="1"/>
    <col min="7184" max="7188" width="11.28515625" style="85" customWidth="1"/>
    <col min="7189" max="7189" width="6.28515625" style="85" customWidth="1"/>
    <col min="7190" max="7193" width="11.28515625" style="85" customWidth="1"/>
    <col min="7194" max="7437" width="9.28515625" style="85"/>
    <col min="7438" max="7438" width="2.5703125" style="85" customWidth="1"/>
    <col min="7439" max="7439" width="29.42578125" style="85" customWidth="1"/>
    <col min="7440" max="7444" width="11.28515625" style="85" customWidth="1"/>
    <col min="7445" max="7445" width="6.28515625" style="85" customWidth="1"/>
    <col min="7446" max="7449" width="11.28515625" style="85" customWidth="1"/>
    <col min="7450" max="7693" width="9.28515625" style="85"/>
    <col min="7694" max="7694" width="2.5703125" style="85" customWidth="1"/>
    <col min="7695" max="7695" width="29.42578125" style="85" customWidth="1"/>
    <col min="7696" max="7700" width="11.28515625" style="85" customWidth="1"/>
    <col min="7701" max="7701" width="6.28515625" style="85" customWidth="1"/>
    <col min="7702" max="7705" width="11.28515625" style="85" customWidth="1"/>
    <col min="7706" max="7949" width="9.28515625" style="85"/>
    <col min="7950" max="7950" width="2.5703125" style="85" customWidth="1"/>
    <col min="7951" max="7951" width="29.42578125" style="85" customWidth="1"/>
    <col min="7952" max="7956" width="11.28515625" style="85" customWidth="1"/>
    <col min="7957" max="7957" width="6.28515625" style="85" customWidth="1"/>
    <col min="7958" max="7961" width="11.28515625" style="85" customWidth="1"/>
    <col min="7962" max="8205" width="9.28515625" style="85"/>
    <col min="8206" max="8206" width="2.5703125" style="85" customWidth="1"/>
    <col min="8207" max="8207" width="29.42578125" style="85" customWidth="1"/>
    <col min="8208" max="8212" width="11.28515625" style="85" customWidth="1"/>
    <col min="8213" max="8213" width="6.28515625" style="85" customWidth="1"/>
    <col min="8214" max="8217" width="11.28515625" style="85" customWidth="1"/>
    <col min="8218" max="8461" width="9.28515625" style="85"/>
    <col min="8462" max="8462" width="2.5703125" style="85" customWidth="1"/>
    <col min="8463" max="8463" width="29.42578125" style="85" customWidth="1"/>
    <col min="8464" max="8468" width="11.28515625" style="85" customWidth="1"/>
    <col min="8469" max="8469" width="6.28515625" style="85" customWidth="1"/>
    <col min="8470" max="8473" width="11.28515625" style="85" customWidth="1"/>
    <col min="8474" max="8717" width="9.28515625" style="85"/>
    <col min="8718" max="8718" width="2.5703125" style="85" customWidth="1"/>
    <col min="8719" max="8719" width="29.42578125" style="85" customWidth="1"/>
    <col min="8720" max="8724" width="11.28515625" style="85" customWidth="1"/>
    <col min="8725" max="8725" width="6.28515625" style="85" customWidth="1"/>
    <col min="8726" max="8729" width="11.28515625" style="85" customWidth="1"/>
    <col min="8730" max="8973" width="9.28515625" style="85"/>
    <col min="8974" max="8974" width="2.5703125" style="85" customWidth="1"/>
    <col min="8975" max="8975" width="29.42578125" style="85" customWidth="1"/>
    <col min="8976" max="8980" width="11.28515625" style="85" customWidth="1"/>
    <col min="8981" max="8981" width="6.28515625" style="85" customWidth="1"/>
    <col min="8982" max="8985" width="11.28515625" style="85" customWidth="1"/>
    <col min="8986" max="9229" width="9.28515625" style="85"/>
    <col min="9230" max="9230" width="2.5703125" style="85" customWidth="1"/>
    <col min="9231" max="9231" width="29.42578125" style="85" customWidth="1"/>
    <col min="9232" max="9236" width="11.28515625" style="85" customWidth="1"/>
    <col min="9237" max="9237" width="6.28515625" style="85" customWidth="1"/>
    <col min="9238" max="9241" width="11.28515625" style="85" customWidth="1"/>
    <col min="9242" max="9485" width="9.28515625" style="85"/>
    <col min="9486" max="9486" width="2.5703125" style="85" customWidth="1"/>
    <col min="9487" max="9487" width="29.42578125" style="85" customWidth="1"/>
    <col min="9488" max="9492" width="11.28515625" style="85" customWidth="1"/>
    <col min="9493" max="9493" width="6.28515625" style="85" customWidth="1"/>
    <col min="9494" max="9497" width="11.28515625" style="85" customWidth="1"/>
    <col min="9498" max="9741" width="9.28515625" style="85"/>
    <col min="9742" max="9742" width="2.5703125" style="85" customWidth="1"/>
    <col min="9743" max="9743" width="29.42578125" style="85" customWidth="1"/>
    <col min="9744" max="9748" width="11.28515625" style="85" customWidth="1"/>
    <col min="9749" max="9749" width="6.28515625" style="85" customWidth="1"/>
    <col min="9750" max="9753" width="11.28515625" style="85" customWidth="1"/>
    <col min="9754" max="9997" width="9.28515625" style="85"/>
    <col min="9998" max="9998" width="2.5703125" style="85" customWidth="1"/>
    <col min="9999" max="9999" width="29.42578125" style="85" customWidth="1"/>
    <col min="10000" max="10004" width="11.28515625" style="85" customWidth="1"/>
    <col min="10005" max="10005" width="6.28515625" style="85" customWidth="1"/>
    <col min="10006" max="10009" width="11.28515625" style="85" customWidth="1"/>
    <col min="10010" max="10253" width="9.28515625" style="85"/>
    <col min="10254" max="10254" width="2.5703125" style="85" customWidth="1"/>
    <col min="10255" max="10255" width="29.42578125" style="85" customWidth="1"/>
    <col min="10256" max="10260" width="11.28515625" style="85" customWidth="1"/>
    <col min="10261" max="10261" width="6.28515625" style="85" customWidth="1"/>
    <col min="10262" max="10265" width="11.28515625" style="85" customWidth="1"/>
    <col min="10266" max="10509" width="9.28515625" style="85"/>
    <col min="10510" max="10510" width="2.5703125" style="85" customWidth="1"/>
    <col min="10511" max="10511" width="29.42578125" style="85" customWidth="1"/>
    <col min="10512" max="10516" width="11.28515625" style="85" customWidth="1"/>
    <col min="10517" max="10517" width="6.28515625" style="85" customWidth="1"/>
    <col min="10518" max="10521" width="11.28515625" style="85" customWidth="1"/>
    <col min="10522" max="10765" width="9.28515625" style="85"/>
    <col min="10766" max="10766" width="2.5703125" style="85" customWidth="1"/>
    <col min="10767" max="10767" width="29.42578125" style="85" customWidth="1"/>
    <col min="10768" max="10772" width="11.28515625" style="85" customWidth="1"/>
    <col min="10773" max="10773" width="6.28515625" style="85" customWidth="1"/>
    <col min="10774" max="10777" width="11.28515625" style="85" customWidth="1"/>
    <col min="10778" max="11021" width="9.28515625" style="85"/>
    <col min="11022" max="11022" width="2.5703125" style="85" customWidth="1"/>
    <col min="11023" max="11023" width="29.42578125" style="85" customWidth="1"/>
    <col min="11024" max="11028" width="11.28515625" style="85" customWidth="1"/>
    <col min="11029" max="11029" width="6.28515625" style="85" customWidth="1"/>
    <col min="11030" max="11033" width="11.28515625" style="85" customWidth="1"/>
    <col min="11034" max="11277" width="9.28515625" style="85"/>
    <col min="11278" max="11278" width="2.5703125" style="85" customWidth="1"/>
    <col min="11279" max="11279" width="29.42578125" style="85" customWidth="1"/>
    <col min="11280" max="11284" width="11.28515625" style="85" customWidth="1"/>
    <col min="11285" max="11285" width="6.28515625" style="85" customWidth="1"/>
    <col min="11286" max="11289" width="11.28515625" style="85" customWidth="1"/>
    <col min="11290" max="11533" width="9.28515625" style="85"/>
    <col min="11534" max="11534" width="2.5703125" style="85" customWidth="1"/>
    <col min="11535" max="11535" width="29.42578125" style="85" customWidth="1"/>
    <col min="11536" max="11540" width="11.28515625" style="85" customWidth="1"/>
    <col min="11541" max="11541" width="6.28515625" style="85" customWidth="1"/>
    <col min="11542" max="11545" width="11.28515625" style="85" customWidth="1"/>
    <col min="11546" max="11789" width="9.28515625" style="85"/>
    <col min="11790" max="11790" width="2.5703125" style="85" customWidth="1"/>
    <col min="11791" max="11791" width="29.42578125" style="85" customWidth="1"/>
    <col min="11792" max="11796" width="11.28515625" style="85" customWidth="1"/>
    <col min="11797" max="11797" width="6.28515625" style="85" customWidth="1"/>
    <col min="11798" max="11801" width="11.28515625" style="85" customWidth="1"/>
    <col min="11802" max="12045" width="9.28515625" style="85"/>
    <col min="12046" max="12046" width="2.5703125" style="85" customWidth="1"/>
    <col min="12047" max="12047" width="29.42578125" style="85" customWidth="1"/>
    <col min="12048" max="12052" width="11.28515625" style="85" customWidth="1"/>
    <col min="12053" max="12053" width="6.28515625" style="85" customWidth="1"/>
    <col min="12054" max="12057" width="11.28515625" style="85" customWidth="1"/>
    <col min="12058" max="12301" width="9.28515625" style="85"/>
    <col min="12302" max="12302" width="2.5703125" style="85" customWidth="1"/>
    <col min="12303" max="12303" width="29.42578125" style="85" customWidth="1"/>
    <col min="12304" max="12308" width="11.28515625" style="85" customWidth="1"/>
    <col min="12309" max="12309" width="6.28515625" style="85" customWidth="1"/>
    <col min="12310" max="12313" width="11.28515625" style="85" customWidth="1"/>
    <col min="12314" max="12557" width="9.28515625" style="85"/>
    <col min="12558" max="12558" width="2.5703125" style="85" customWidth="1"/>
    <col min="12559" max="12559" width="29.42578125" style="85" customWidth="1"/>
    <col min="12560" max="12564" width="11.28515625" style="85" customWidth="1"/>
    <col min="12565" max="12565" width="6.28515625" style="85" customWidth="1"/>
    <col min="12566" max="12569" width="11.28515625" style="85" customWidth="1"/>
    <col min="12570" max="12813" width="9.28515625" style="85"/>
    <col min="12814" max="12814" width="2.5703125" style="85" customWidth="1"/>
    <col min="12815" max="12815" width="29.42578125" style="85" customWidth="1"/>
    <col min="12816" max="12820" width="11.28515625" style="85" customWidth="1"/>
    <col min="12821" max="12821" width="6.28515625" style="85" customWidth="1"/>
    <col min="12822" max="12825" width="11.28515625" style="85" customWidth="1"/>
    <col min="12826" max="13069" width="9.28515625" style="85"/>
    <col min="13070" max="13070" width="2.5703125" style="85" customWidth="1"/>
    <col min="13071" max="13071" width="29.42578125" style="85" customWidth="1"/>
    <col min="13072" max="13076" width="11.28515625" style="85" customWidth="1"/>
    <col min="13077" max="13077" width="6.28515625" style="85" customWidth="1"/>
    <col min="13078" max="13081" width="11.28515625" style="85" customWidth="1"/>
    <col min="13082" max="13325" width="9.28515625" style="85"/>
    <col min="13326" max="13326" width="2.5703125" style="85" customWidth="1"/>
    <col min="13327" max="13327" width="29.42578125" style="85" customWidth="1"/>
    <col min="13328" max="13332" width="11.28515625" style="85" customWidth="1"/>
    <col min="13333" max="13333" width="6.28515625" style="85" customWidth="1"/>
    <col min="13334" max="13337" width="11.28515625" style="85" customWidth="1"/>
    <col min="13338" max="13581" width="9.28515625" style="85"/>
    <col min="13582" max="13582" width="2.5703125" style="85" customWidth="1"/>
    <col min="13583" max="13583" width="29.42578125" style="85" customWidth="1"/>
    <col min="13584" max="13588" width="11.28515625" style="85" customWidth="1"/>
    <col min="13589" max="13589" width="6.28515625" style="85" customWidth="1"/>
    <col min="13590" max="13593" width="11.28515625" style="85" customWidth="1"/>
    <col min="13594" max="13837" width="9.28515625" style="85"/>
    <col min="13838" max="13838" width="2.5703125" style="85" customWidth="1"/>
    <col min="13839" max="13839" width="29.42578125" style="85" customWidth="1"/>
    <col min="13840" max="13844" width="11.28515625" style="85" customWidth="1"/>
    <col min="13845" max="13845" width="6.28515625" style="85" customWidth="1"/>
    <col min="13846" max="13849" width="11.28515625" style="85" customWidth="1"/>
    <col min="13850" max="14093" width="9.28515625" style="85"/>
    <col min="14094" max="14094" width="2.5703125" style="85" customWidth="1"/>
    <col min="14095" max="14095" width="29.42578125" style="85" customWidth="1"/>
    <col min="14096" max="14100" width="11.28515625" style="85" customWidth="1"/>
    <col min="14101" max="14101" width="6.28515625" style="85" customWidth="1"/>
    <col min="14102" max="14105" width="11.28515625" style="85" customWidth="1"/>
    <col min="14106" max="14349" width="9.28515625" style="85"/>
    <col min="14350" max="14350" width="2.5703125" style="85" customWidth="1"/>
    <col min="14351" max="14351" width="29.42578125" style="85" customWidth="1"/>
    <col min="14352" max="14356" width="11.28515625" style="85" customWidth="1"/>
    <col min="14357" max="14357" width="6.28515625" style="85" customWidth="1"/>
    <col min="14358" max="14361" width="11.28515625" style="85" customWidth="1"/>
    <col min="14362" max="14605" width="9.28515625" style="85"/>
    <col min="14606" max="14606" width="2.5703125" style="85" customWidth="1"/>
    <col min="14607" max="14607" width="29.42578125" style="85" customWidth="1"/>
    <col min="14608" max="14612" width="11.28515625" style="85" customWidth="1"/>
    <col min="14613" max="14613" width="6.28515625" style="85" customWidth="1"/>
    <col min="14614" max="14617" width="11.28515625" style="85" customWidth="1"/>
    <col min="14618" max="14861" width="9.28515625" style="85"/>
    <col min="14862" max="14862" width="2.5703125" style="85" customWidth="1"/>
    <col min="14863" max="14863" width="29.42578125" style="85" customWidth="1"/>
    <col min="14864" max="14868" width="11.28515625" style="85" customWidth="1"/>
    <col min="14869" max="14869" width="6.28515625" style="85" customWidth="1"/>
    <col min="14870" max="14873" width="11.28515625" style="85" customWidth="1"/>
    <col min="14874" max="15117" width="9.28515625" style="85"/>
    <col min="15118" max="15118" width="2.5703125" style="85" customWidth="1"/>
    <col min="15119" max="15119" width="29.42578125" style="85" customWidth="1"/>
    <col min="15120" max="15124" width="11.28515625" style="85" customWidth="1"/>
    <col min="15125" max="15125" width="6.28515625" style="85" customWidth="1"/>
    <col min="15126" max="15129" width="11.28515625" style="85" customWidth="1"/>
    <col min="15130" max="15373" width="9.28515625" style="85"/>
    <col min="15374" max="15374" width="2.5703125" style="85" customWidth="1"/>
    <col min="15375" max="15375" width="29.42578125" style="85" customWidth="1"/>
    <col min="15376" max="15380" width="11.28515625" style="85" customWidth="1"/>
    <col min="15381" max="15381" width="6.28515625" style="85" customWidth="1"/>
    <col min="15382" max="15385" width="11.28515625" style="85" customWidth="1"/>
    <col min="15386" max="15629" width="9.28515625" style="85"/>
    <col min="15630" max="15630" width="2.5703125" style="85" customWidth="1"/>
    <col min="15631" max="15631" width="29.42578125" style="85" customWidth="1"/>
    <col min="15632" max="15636" width="11.28515625" style="85" customWidth="1"/>
    <col min="15637" max="15637" width="6.28515625" style="85" customWidth="1"/>
    <col min="15638" max="15641" width="11.28515625" style="85" customWidth="1"/>
    <col min="15642" max="15885" width="9.28515625" style="85"/>
    <col min="15886" max="15886" width="2.5703125" style="85" customWidth="1"/>
    <col min="15887" max="15887" width="29.42578125" style="85" customWidth="1"/>
    <col min="15888" max="15892" width="11.28515625" style="85" customWidth="1"/>
    <col min="15893" max="15893" width="6.28515625" style="85" customWidth="1"/>
    <col min="15894" max="15897" width="11.28515625" style="85" customWidth="1"/>
    <col min="15898" max="16141" width="9.28515625" style="85"/>
    <col min="16142" max="16142" width="2.5703125" style="85" customWidth="1"/>
    <col min="16143" max="16143" width="29.42578125" style="85" customWidth="1"/>
    <col min="16144" max="16148" width="11.28515625" style="85" customWidth="1"/>
    <col min="16149" max="16149" width="6.28515625" style="85" customWidth="1"/>
    <col min="16150" max="16153" width="11.28515625" style="85" customWidth="1"/>
    <col min="16154" max="16384" width="9.28515625" style="85"/>
  </cols>
  <sheetData>
    <row r="2" spans="2:42" s="98" customFormat="1" ht="24.75" customHeight="1">
      <c r="B2" s="111" t="s">
        <v>183</v>
      </c>
      <c r="C2" s="99" t="s">
        <v>184</v>
      </c>
      <c r="D2" s="99" t="s">
        <v>184</v>
      </c>
      <c r="E2" s="99" t="s">
        <v>184</v>
      </c>
      <c r="F2" s="99" t="s">
        <v>184</v>
      </c>
      <c r="G2" s="99" t="s">
        <v>184</v>
      </c>
      <c r="H2" s="99" t="s">
        <v>184</v>
      </c>
      <c r="I2" s="99" t="s">
        <v>184</v>
      </c>
      <c r="J2" s="99" t="s">
        <v>184</v>
      </c>
      <c r="K2" s="99" t="s">
        <v>185</v>
      </c>
      <c r="L2" s="143"/>
      <c r="M2" s="83" t="s">
        <v>186</v>
      </c>
      <c r="N2" s="83" t="s">
        <v>186</v>
      </c>
      <c r="O2" s="83" t="s">
        <v>186</v>
      </c>
      <c r="P2" s="83" t="s">
        <v>186</v>
      </c>
      <c r="Q2" s="83" t="s">
        <v>186</v>
      </c>
      <c r="R2" s="83" t="s">
        <v>186</v>
      </c>
      <c r="S2" s="83" t="s">
        <v>186</v>
      </c>
      <c r="T2" s="83" t="s">
        <v>186</v>
      </c>
      <c r="U2" s="83" t="s">
        <v>186</v>
      </c>
      <c r="V2" s="83" t="s">
        <v>186</v>
      </c>
      <c r="W2" s="83" t="s">
        <v>186</v>
      </c>
      <c r="X2" s="83" t="s">
        <v>186</v>
      </c>
      <c r="Y2" s="83" t="s">
        <v>186</v>
      </c>
      <c r="Z2" s="83" t="s">
        <v>186</v>
      </c>
      <c r="AA2" s="83" t="s">
        <v>186</v>
      </c>
      <c r="AB2" s="83" t="s">
        <v>186</v>
      </c>
      <c r="AC2" s="83" t="s">
        <v>186</v>
      </c>
      <c r="AD2" s="83" t="s">
        <v>186</v>
      </c>
      <c r="AE2" s="83" t="s">
        <v>186</v>
      </c>
      <c r="AF2" s="83" t="s">
        <v>186</v>
      </c>
      <c r="AG2" s="83" t="s">
        <v>186</v>
      </c>
      <c r="AH2" s="83" t="s">
        <v>186</v>
      </c>
      <c r="AI2" s="83" t="s">
        <v>186</v>
      </c>
      <c r="AJ2" s="83" t="s">
        <v>186</v>
      </c>
      <c r="AK2" s="83" t="s">
        <v>186</v>
      </c>
      <c r="AL2" s="83" t="s">
        <v>186</v>
      </c>
      <c r="AM2" s="83" t="s">
        <v>186</v>
      </c>
      <c r="AN2" s="83" t="s">
        <v>186</v>
      </c>
      <c r="AO2" s="83" t="s">
        <v>186</v>
      </c>
      <c r="AP2" s="129"/>
    </row>
    <row r="3" spans="2:42" s="98" customFormat="1" ht="13.5" customHeight="1">
      <c r="B3" s="51" t="s">
        <v>187</v>
      </c>
      <c r="C3" s="50">
        <v>43465</v>
      </c>
      <c r="D3" s="50">
        <v>43830</v>
      </c>
      <c r="E3" s="50">
        <v>44196</v>
      </c>
      <c r="F3" s="50">
        <v>44561</v>
      </c>
      <c r="G3" s="50">
        <v>44926</v>
      </c>
      <c r="H3" s="50">
        <v>45291</v>
      </c>
      <c r="I3" s="50">
        <v>45657</v>
      </c>
      <c r="J3" s="50">
        <v>46022</v>
      </c>
      <c r="K3" s="50">
        <f>AO3</f>
        <v>46112</v>
      </c>
      <c r="L3" s="144"/>
      <c r="M3" s="50">
        <v>43555</v>
      </c>
      <c r="N3" s="50">
        <v>43646</v>
      </c>
      <c r="O3" s="50">
        <v>43738</v>
      </c>
      <c r="P3" s="50">
        <v>43830</v>
      </c>
      <c r="Q3" s="50">
        <v>43921</v>
      </c>
      <c r="R3" s="50">
        <v>44012</v>
      </c>
      <c r="S3" s="50">
        <v>44104</v>
      </c>
      <c r="T3" s="50">
        <v>44196</v>
      </c>
      <c r="U3" s="50">
        <v>44286</v>
      </c>
      <c r="V3" s="50">
        <v>44377</v>
      </c>
      <c r="W3" s="50">
        <v>44469</v>
      </c>
      <c r="X3" s="50">
        <v>44561</v>
      </c>
      <c r="Y3" s="50">
        <v>44651</v>
      </c>
      <c r="Z3" s="50">
        <v>44742</v>
      </c>
      <c r="AA3" s="50">
        <v>44834</v>
      </c>
      <c r="AB3" s="50">
        <v>44926</v>
      </c>
      <c r="AC3" s="50">
        <v>45016</v>
      </c>
      <c r="AD3" s="50">
        <v>45107</v>
      </c>
      <c r="AE3" s="50">
        <v>45199</v>
      </c>
      <c r="AF3" s="50">
        <v>45291</v>
      </c>
      <c r="AG3" s="50">
        <v>45382</v>
      </c>
      <c r="AH3" s="50">
        <v>45473</v>
      </c>
      <c r="AI3" s="50">
        <v>45565</v>
      </c>
      <c r="AJ3" s="50">
        <v>45657</v>
      </c>
      <c r="AK3" s="50">
        <v>45747</v>
      </c>
      <c r="AL3" s="50">
        <v>45838</v>
      </c>
      <c r="AM3" s="50">
        <v>45930</v>
      </c>
      <c r="AN3" s="50">
        <v>46022</v>
      </c>
      <c r="AO3" s="50">
        <v>46112</v>
      </c>
      <c r="AP3" s="129"/>
    </row>
    <row r="4" spans="2:42" s="96" customFormat="1" ht="13.5" customHeight="1">
      <c r="B4" s="51"/>
      <c r="C4" s="97" t="s">
        <v>188</v>
      </c>
      <c r="D4" s="97" t="s">
        <v>188</v>
      </c>
      <c r="E4" s="97" t="s">
        <v>188</v>
      </c>
      <c r="F4" s="97" t="s">
        <v>188</v>
      </c>
      <c r="G4" s="97" t="s">
        <v>188</v>
      </c>
      <c r="H4" s="97" t="s">
        <v>188</v>
      </c>
      <c r="I4" s="97" t="s">
        <v>188</v>
      </c>
      <c r="J4" s="97" t="s">
        <v>188</v>
      </c>
      <c r="K4" s="97" t="s">
        <v>188</v>
      </c>
      <c r="L4" s="144"/>
      <c r="M4" s="50" t="s">
        <v>188</v>
      </c>
      <c r="N4" s="50" t="s">
        <v>188</v>
      </c>
      <c r="O4" s="50" t="s">
        <v>188</v>
      </c>
      <c r="P4" s="50" t="s">
        <v>188</v>
      </c>
      <c r="Q4" s="50" t="s">
        <v>188</v>
      </c>
      <c r="R4" s="50" t="s">
        <v>188</v>
      </c>
      <c r="S4" s="50" t="s">
        <v>188</v>
      </c>
      <c r="T4" s="50" t="s">
        <v>188</v>
      </c>
      <c r="U4" s="50" t="s">
        <v>188</v>
      </c>
      <c r="V4" s="50" t="s">
        <v>188</v>
      </c>
      <c r="W4" s="50" t="s">
        <v>188</v>
      </c>
      <c r="X4" s="50" t="s">
        <v>188</v>
      </c>
      <c r="Y4" s="50" t="s">
        <v>188</v>
      </c>
      <c r="Z4" s="50" t="s">
        <v>188</v>
      </c>
      <c r="AA4" s="50" t="s">
        <v>188</v>
      </c>
      <c r="AB4" s="50" t="s">
        <v>188</v>
      </c>
      <c r="AC4" s="50" t="s">
        <v>188</v>
      </c>
      <c r="AD4" s="50" t="s">
        <v>188</v>
      </c>
      <c r="AE4" s="50" t="s">
        <v>188</v>
      </c>
      <c r="AF4" s="50" t="s">
        <v>188</v>
      </c>
      <c r="AG4" s="50" t="s">
        <v>188</v>
      </c>
      <c r="AH4" s="50" t="s">
        <v>188</v>
      </c>
      <c r="AI4" s="50" t="s">
        <v>188</v>
      </c>
      <c r="AJ4" s="50" t="s">
        <v>188</v>
      </c>
      <c r="AK4" s="50" t="s">
        <v>188</v>
      </c>
      <c r="AL4" s="50" t="s">
        <v>188</v>
      </c>
      <c r="AM4" s="50" t="s">
        <v>188</v>
      </c>
      <c r="AN4" s="50" t="s">
        <v>188</v>
      </c>
      <c r="AO4" s="50" t="s">
        <v>188</v>
      </c>
      <c r="AP4" s="130"/>
    </row>
    <row r="5" spans="2:42" s="89" customFormat="1" ht="13.5" customHeight="1">
      <c r="C5" s="90" t="s">
        <v>189</v>
      </c>
      <c r="D5" s="90" t="s">
        <v>189</v>
      </c>
      <c r="E5" s="90" t="s">
        <v>189</v>
      </c>
      <c r="F5" s="90" t="s">
        <v>189</v>
      </c>
      <c r="G5" s="90" t="s">
        <v>189</v>
      </c>
      <c r="H5" s="90" t="s">
        <v>189</v>
      </c>
      <c r="I5" s="90" t="s">
        <v>189</v>
      </c>
      <c r="J5" s="90" t="s">
        <v>189</v>
      </c>
      <c r="K5" s="91" t="s">
        <v>185</v>
      </c>
      <c r="L5" s="144"/>
      <c r="M5" s="82" t="s">
        <v>190</v>
      </c>
      <c r="N5" s="82" t="s">
        <v>191</v>
      </c>
      <c r="O5" s="82" t="s">
        <v>192</v>
      </c>
      <c r="P5" s="81" t="s">
        <v>193</v>
      </c>
      <c r="Q5" s="82" t="s">
        <v>190</v>
      </c>
      <c r="R5" s="82" t="s">
        <v>191</v>
      </c>
      <c r="S5" s="82" t="s">
        <v>192</v>
      </c>
      <c r="T5" s="81" t="s">
        <v>193</v>
      </c>
      <c r="U5" s="82" t="s">
        <v>190</v>
      </c>
      <c r="V5" s="82" t="s">
        <v>191</v>
      </c>
      <c r="W5" s="82" t="s">
        <v>192</v>
      </c>
      <c r="X5" s="81" t="s">
        <v>193</v>
      </c>
      <c r="Y5" s="82" t="s">
        <v>190</v>
      </c>
      <c r="Z5" s="82" t="s">
        <v>191</v>
      </c>
      <c r="AA5" s="82" t="s">
        <v>192</v>
      </c>
      <c r="AB5" s="81" t="s">
        <v>193</v>
      </c>
      <c r="AC5" s="82" t="s">
        <v>190</v>
      </c>
      <c r="AD5" s="82" t="s">
        <v>191</v>
      </c>
      <c r="AE5" s="82" t="s">
        <v>192</v>
      </c>
      <c r="AF5" s="81" t="s">
        <v>193</v>
      </c>
      <c r="AG5" s="82" t="s">
        <v>190</v>
      </c>
      <c r="AH5" s="82" t="s">
        <v>191</v>
      </c>
      <c r="AI5" s="82" t="s">
        <v>192</v>
      </c>
      <c r="AJ5" s="81" t="s">
        <v>193</v>
      </c>
      <c r="AK5" s="82" t="s">
        <v>190</v>
      </c>
      <c r="AL5" s="82" t="s">
        <v>191</v>
      </c>
      <c r="AM5" s="82" t="s">
        <v>192</v>
      </c>
      <c r="AN5" s="81" t="s">
        <v>193</v>
      </c>
      <c r="AO5" s="82" t="s">
        <v>190</v>
      </c>
      <c r="AP5" s="131"/>
    </row>
    <row r="6" spans="2:42" s="89" customFormat="1" ht="13.5" customHeight="1">
      <c r="B6" s="158"/>
      <c r="C6" s="159"/>
      <c r="D6" s="159"/>
      <c r="E6" s="159"/>
      <c r="F6" s="159"/>
      <c r="G6" s="159"/>
      <c r="H6" s="159"/>
      <c r="I6" s="159"/>
      <c r="J6" s="159"/>
      <c r="K6" s="159"/>
      <c r="L6" s="144"/>
      <c r="M6" s="160"/>
      <c r="N6" s="160"/>
      <c r="O6" s="160"/>
      <c r="P6" s="161"/>
      <c r="Q6" s="160"/>
      <c r="R6" s="160"/>
      <c r="S6" s="160"/>
      <c r="T6" s="161"/>
      <c r="U6" s="160"/>
      <c r="V6" s="160"/>
      <c r="W6" s="160"/>
      <c r="X6" s="161"/>
      <c r="Y6" s="160"/>
      <c r="Z6" s="160"/>
      <c r="AA6" s="160"/>
      <c r="AB6" s="161"/>
      <c r="AC6" s="160"/>
      <c r="AD6" s="160"/>
      <c r="AE6" s="160"/>
      <c r="AF6" s="161"/>
      <c r="AG6" s="160"/>
      <c r="AH6" s="160"/>
      <c r="AI6" s="160"/>
      <c r="AJ6" s="161"/>
      <c r="AK6" s="160"/>
      <c r="AL6" s="160"/>
      <c r="AM6" s="160"/>
      <c r="AN6" s="161"/>
      <c r="AO6" s="160"/>
      <c r="AP6" s="131"/>
    </row>
    <row r="7" spans="2:42">
      <c r="B7" s="95" t="s">
        <v>320</v>
      </c>
      <c r="C7" s="90"/>
      <c r="D7" s="90"/>
      <c r="E7" s="87"/>
      <c r="F7" s="87"/>
      <c r="G7" s="87"/>
      <c r="H7" s="87"/>
      <c r="I7" s="87"/>
      <c r="J7" s="87"/>
      <c r="K7" s="87"/>
      <c r="L7" s="144"/>
      <c r="M7" s="93"/>
      <c r="N7" s="93"/>
      <c r="O7" s="93"/>
      <c r="P7" s="93"/>
      <c r="Q7" s="93"/>
      <c r="R7" s="93"/>
      <c r="S7" s="93"/>
      <c r="T7" s="93"/>
      <c r="X7" s="93"/>
      <c r="AB7" s="93"/>
      <c r="AF7" s="93"/>
      <c r="AJ7" s="93"/>
      <c r="AN7" s="93"/>
    </row>
    <row r="8" spans="2:42">
      <c r="B8" s="140" t="s">
        <v>321</v>
      </c>
      <c r="C8" s="87">
        <v>38143.082999999999</v>
      </c>
      <c r="D8" s="87">
        <v>54843.205000000002</v>
      </c>
      <c r="E8" s="87">
        <v>66265.319000000003</v>
      </c>
      <c r="F8" s="87">
        <v>96311.778000000006</v>
      </c>
      <c r="G8" s="87">
        <v>160759.022</v>
      </c>
      <c r="H8" s="87">
        <v>206906.932</v>
      </c>
      <c r="I8" s="87">
        <v>250247.49600000001</v>
      </c>
      <c r="J8" s="87">
        <v>260826.09400000001</v>
      </c>
      <c r="K8" s="88">
        <f>SUM(AL8:AO8)</f>
        <v>260915.64700000003</v>
      </c>
      <c r="L8" s="87"/>
      <c r="M8" s="87">
        <v>10705.803</v>
      </c>
      <c r="N8" s="87">
        <v>12844.72</v>
      </c>
      <c r="O8" s="87">
        <v>15576.972</v>
      </c>
      <c r="P8" s="87">
        <v>15715.71</v>
      </c>
      <c r="Q8" s="87">
        <v>9490.4230000000007</v>
      </c>
      <c r="R8" s="87">
        <v>14544.094999999999</v>
      </c>
      <c r="S8" s="87">
        <v>20692.815999999999</v>
      </c>
      <c r="T8" s="87">
        <v>21537.985000000001</v>
      </c>
      <c r="U8" s="87">
        <v>20575.41</v>
      </c>
      <c r="V8" s="87">
        <v>23125.083999999999</v>
      </c>
      <c r="W8" s="87">
        <v>26484.643</v>
      </c>
      <c r="X8" s="87">
        <v>26126.641</v>
      </c>
      <c r="Y8" s="87">
        <v>24156.722000000002</v>
      </c>
      <c r="Z8" s="87">
        <v>36779.243000000002</v>
      </c>
      <c r="AA8" s="87">
        <v>46327.529000000002</v>
      </c>
      <c r="AB8" s="87">
        <v>43472.663999999997</v>
      </c>
      <c r="AC8" s="87">
        <v>42885.336000000003</v>
      </c>
      <c r="AD8" s="87">
        <v>51199.946000000004</v>
      </c>
      <c r="AE8" s="87">
        <v>57691.008000000002</v>
      </c>
      <c r="AF8" s="88">
        <f>H8-AC8-AD8-AE8</f>
        <v>55130.641999999993</v>
      </c>
      <c r="AG8" s="87">
        <v>54625.707000000002</v>
      </c>
      <c r="AH8" s="87">
        <v>60681.858</v>
      </c>
      <c r="AI8" s="87">
        <v>69373.099000000002</v>
      </c>
      <c r="AJ8" s="88">
        <f>I8-AG8-AH8-AI8</f>
        <v>65566.832000000009</v>
      </c>
      <c r="AK8" s="87">
        <v>63973.733</v>
      </c>
      <c r="AL8" s="87">
        <v>65347.283000000003</v>
      </c>
      <c r="AM8" s="87">
        <v>67446.865999999995</v>
      </c>
      <c r="AN8" s="88">
        <f>J8-AK8-AL8-AM8</f>
        <v>64058.212000000014</v>
      </c>
      <c r="AO8" s="87">
        <v>64063.286</v>
      </c>
    </row>
    <row r="9" spans="2:42">
      <c r="B9" s="140" t="s">
        <v>322</v>
      </c>
      <c r="C9" s="87">
        <v>15840.361000000001</v>
      </c>
      <c r="D9" s="87">
        <v>22275.472000000002</v>
      </c>
      <c r="E9" s="87">
        <v>21252.398000000001</v>
      </c>
      <c r="F9" s="87">
        <v>32530.325000000001</v>
      </c>
      <c r="G9" s="180"/>
      <c r="H9" s="180"/>
      <c r="I9" s="180"/>
      <c r="J9" s="180"/>
      <c r="K9" s="180"/>
      <c r="L9" s="87"/>
      <c r="M9" s="87">
        <v>4492.1019999999999</v>
      </c>
      <c r="N9" s="87">
        <v>5245.308</v>
      </c>
      <c r="O9" s="87">
        <v>6181.1170000000002</v>
      </c>
      <c r="P9" s="87">
        <v>6356.9449999999997</v>
      </c>
      <c r="Q9" s="87">
        <v>3094.9780000000001</v>
      </c>
      <c r="R9" s="87">
        <v>4543.982</v>
      </c>
      <c r="S9" s="87">
        <v>6478.0780000000004</v>
      </c>
      <c r="T9" s="87">
        <v>7135.36</v>
      </c>
      <c r="U9" s="87">
        <v>6584.3909999999996</v>
      </c>
      <c r="V9" s="87">
        <v>8602.1790000000001</v>
      </c>
      <c r="W9" s="87">
        <v>8621.3279999999995</v>
      </c>
      <c r="X9" s="87">
        <v>8722.4269999999997</v>
      </c>
      <c r="Y9" s="87">
        <v>7621.509</v>
      </c>
      <c r="Z9" s="87">
        <v>0</v>
      </c>
      <c r="AA9" s="87">
        <v>0</v>
      </c>
      <c r="AB9" s="87">
        <v>0</v>
      </c>
      <c r="AC9" s="87">
        <v>0</v>
      </c>
      <c r="AD9" s="87">
        <v>0</v>
      </c>
      <c r="AE9" s="87">
        <v>0</v>
      </c>
      <c r="AF9" s="88">
        <f t="shared" ref="AF9:AF10" si="0">H9-AC9-AD9-AE9</f>
        <v>0</v>
      </c>
      <c r="AG9" s="87">
        <v>0</v>
      </c>
      <c r="AH9" s="87">
        <v>0</v>
      </c>
      <c r="AI9" s="87">
        <v>0</v>
      </c>
      <c r="AJ9" s="88">
        <f t="shared" ref="AJ9:AJ10" si="1">I9-AG9-AH9-AI9</f>
        <v>0</v>
      </c>
      <c r="AK9" s="87">
        <v>0</v>
      </c>
      <c r="AL9" s="87">
        <v>0</v>
      </c>
      <c r="AM9" s="87">
        <v>0</v>
      </c>
      <c r="AN9" s="88">
        <f t="shared" ref="AN9:AN10" si="2">J9-AK9-AL9-AM9</f>
        <v>0</v>
      </c>
      <c r="AO9" s="87">
        <v>0</v>
      </c>
    </row>
    <row r="10" spans="2:42">
      <c r="B10" s="140" t="s">
        <v>323</v>
      </c>
      <c r="C10" s="87">
        <v>11243.834000000001</v>
      </c>
      <c r="D10" s="87">
        <v>20409.853999999999</v>
      </c>
      <c r="E10" s="87">
        <v>27276.793000000001</v>
      </c>
      <c r="F10" s="87">
        <v>50285.894</v>
      </c>
      <c r="G10" s="87">
        <v>59195.925999999999</v>
      </c>
      <c r="H10" s="87">
        <v>69838.021999999997</v>
      </c>
      <c r="I10" s="87">
        <v>87344.08</v>
      </c>
      <c r="J10" s="87">
        <v>104028.652</v>
      </c>
      <c r="K10" s="88">
        <f>SUM(AL10:AO10)</f>
        <v>108771.86</v>
      </c>
      <c r="L10" s="87"/>
      <c r="M10" s="87">
        <v>3975.607</v>
      </c>
      <c r="N10" s="87">
        <v>4613.1090000000004</v>
      </c>
      <c r="O10" s="87">
        <v>5735.54</v>
      </c>
      <c r="P10" s="87">
        <v>6085.598</v>
      </c>
      <c r="Q10" s="87">
        <v>4168.4859999999999</v>
      </c>
      <c r="R10" s="87">
        <v>5633.76</v>
      </c>
      <c r="S10" s="87">
        <v>8230.3880000000008</v>
      </c>
      <c r="T10" s="87">
        <v>9244.1589999999997</v>
      </c>
      <c r="U10" s="87">
        <v>9856.4609999999993</v>
      </c>
      <c r="V10" s="87">
        <v>12031.968999999999</v>
      </c>
      <c r="W10" s="87">
        <v>13723.398999999999</v>
      </c>
      <c r="X10" s="87">
        <v>14674.065000000001</v>
      </c>
      <c r="Y10" s="87">
        <v>14490.522999999999</v>
      </c>
      <c r="Z10" s="87">
        <v>14159.12</v>
      </c>
      <c r="AA10" s="87">
        <v>16291.362999999999</v>
      </c>
      <c r="AB10" s="87">
        <v>16656.275000000001</v>
      </c>
      <c r="AC10" s="87">
        <v>15732.136</v>
      </c>
      <c r="AD10" s="87">
        <v>16764.678</v>
      </c>
      <c r="AE10" s="87">
        <v>18775.899000000001</v>
      </c>
      <c r="AF10" s="88">
        <f t="shared" si="0"/>
        <v>18565.308999999997</v>
      </c>
      <c r="AG10" s="87">
        <v>18650.177</v>
      </c>
      <c r="AH10" s="87">
        <v>21569.219000000001</v>
      </c>
      <c r="AI10" s="87">
        <v>24204.22</v>
      </c>
      <c r="AJ10" s="88">
        <f t="shared" si="1"/>
        <v>22920.464000000007</v>
      </c>
      <c r="AK10" s="87">
        <v>22232.412</v>
      </c>
      <c r="AL10" s="87">
        <v>26493.197</v>
      </c>
      <c r="AM10" s="87">
        <v>28041.246999999999</v>
      </c>
      <c r="AN10" s="88">
        <f t="shared" si="2"/>
        <v>27261.796000000006</v>
      </c>
      <c r="AO10" s="87">
        <v>26975.62</v>
      </c>
    </row>
    <row r="11" spans="2:42" s="86" customFormat="1">
      <c r="B11" s="141" t="s">
        <v>324</v>
      </c>
      <c r="C11" s="92">
        <f t="shared" ref="C11:G11" si="3">SUM(C8:C10)</f>
        <v>65227.278000000006</v>
      </c>
      <c r="D11" s="92">
        <f t="shared" si="3"/>
        <v>97528.530999999988</v>
      </c>
      <c r="E11" s="92">
        <f t="shared" si="3"/>
        <v>114794.51000000001</v>
      </c>
      <c r="F11" s="92">
        <f t="shared" si="3"/>
        <v>179127.997</v>
      </c>
      <c r="G11" s="92">
        <f t="shared" si="3"/>
        <v>219954.948</v>
      </c>
      <c r="H11" s="92">
        <f t="shared" ref="H11:I11" si="4">SUM(H8:H10)</f>
        <v>276744.95400000003</v>
      </c>
      <c r="I11" s="92">
        <f t="shared" si="4"/>
        <v>337591.576</v>
      </c>
      <c r="J11" s="92">
        <f t="shared" ref="J11:K11" si="5">SUM(J8:J10)</f>
        <v>364854.74600000004</v>
      </c>
      <c r="K11" s="92">
        <f t="shared" si="5"/>
        <v>369687.50700000004</v>
      </c>
      <c r="L11" s="92"/>
      <c r="M11" s="92">
        <f t="shared" ref="M11:W11" si="6">SUM(M8:M10)</f>
        <v>19173.511999999999</v>
      </c>
      <c r="N11" s="92">
        <f t="shared" si="6"/>
        <v>22703.136999999999</v>
      </c>
      <c r="O11" s="92">
        <f t="shared" si="6"/>
        <v>27493.629000000001</v>
      </c>
      <c r="P11" s="92">
        <f t="shared" si="6"/>
        <v>28158.252999999997</v>
      </c>
      <c r="Q11" s="92">
        <f t="shared" si="6"/>
        <v>16753.887000000002</v>
      </c>
      <c r="R11" s="92">
        <f t="shared" si="6"/>
        <v>24721.837</v>
      </c>
      <c r="S11" s="92">
        <f t="shared" si="6"/>
        <v>35401.281999999999</v>
      </c>
      <c r="T11" s="92">
        <f t="shared" si="6"/>
        <v>37917.504000000001</v>
      </c>
      <c r="U11" s="92">
        <f t="shared" si="6"/>
        <v>37016.262000000002</v>
      </c>
      <c r="V11" s="92">
        <f t="shared" si="6"/>
        <v>43759.231999999996</v>
      </c>
      <c r="W11" s="92">
        <f t="shared" si="6"/>
        <v>48829.369999999995</v>
      </c>
      <c r="X11" s="92">
        <f t="shared" ref="X11:AA11" si="7">SUM(X8:X10)</f>
        <v>49523.133000000002</v>
      </c>
      <c r="Y11" s="92">
        <f t="shared" si="7"/>
        <v>46268.754000000001</v>
      </c>
      <c r="Z11" s="92">
        <f t="shared" si="7"/>
        <v>50938.363000000005</v>
      </c>
      <c r="AA11" s="92">
        <f t="shared" si="7"/>
        <v>62618.892</v>
      </c>
      <c r="AB11" s="92">
        <f t="shared" ref="AB11:AE11" si="8">SUM(AB8:AB10)</f>
        <v>60128.938999999998</v>
      </c>
      <c r="AC11" s="92">
        <f t="shared" si="8"/>
        <v>58617.472000000002</v>
      </c>
      <c r="AD11" s="92">
        <f t="shared" si="8"/>
        <v>67964.624000000011</v>
      </c>
      <c r="AE11" s="92">
        <f t="shared" si="8"/>
        <v>76466.907000000007</v>
      </c>
      <c r="AF11" s="92">
        <f t="shared" ref="AF11:AI11" si="9">SUM(AF8:AF10)</f>
        <v>73695.950999999986</v>
      </c>
      <c r="AG11" s="92">
        <f t="shared" si="9"/>
        <v>73275.884000000005</v>
      </c>
      <c r="AH11" s="92">
        <f t="shared" si="9"/>
        <v>82251.077000000005</v>
      </c>
      <c r="AI11" s="92">
        <f t="shared" si="9"/>
        <v>93577.319000000003</v>
      </c>
      <c r="AJ11" s="92">
        <f t="shared" ref="AJ11:AM11" si="10">SUM(AJ8:AJ10)</f>
        <v>88487.296000000017</v>
      </c>
      <c r="AK11" s="92">
        <f t="shared" si="10"/>
        <v>86206.145000000004</v>
      </c>
      <c r="AL11" s="92">
        <f t="shared" si="10"/>
        <v>91840.48000000001</v>
      </c>
      <c r="AM11" s="92">
        <f t="shared" si="10"/>
        <v>95488.112999999998</v>
      </c>
      <c r="AN11" s="92">
        <f t="shared" ref="AN11:AO11" si="11">SUM(AN8:AN10)</f>
        <v>91320.008000000016</v>
      </c>
      <c r="AO11" s="92">
        <f t="shared" si="11"/>
        <v>91038.906000000003</v>
      </c>
      <c r="AP11" s="132"/>
    </row>
    <row r="12" spans="2:42" s="213" customFormat="1" ht="11.25">
      <c r="B12" s="210" t="s">
        <v>63</v>
      </c>
      <c r="C12" s="211">
        <f>C11-Model!C7</f>
        <v>0</v>
      </c>
      <c r="D12" s="211">
        <f>D11-Model!D7</f>
        <v>0</v>
      </c>
      <c r="E12" s="211">
        <f>E11-Model!E7</f>
        <v>0</v>
      </c>
      <c r="F12" s="211">
        <f>F11-Model!F7</f>
        <v>0</v>
      </c>
      <c r="G12" s="211">
        <f>G11-Model!G7</f>
        <v>0</v>
      </c>
      <c r="H12" s="211">
        <f>H11-Model!H7</f>
        <v>0</v>
      </c>
      <c r="I12" s="211">
        <f>I11-Model!I7</f>
        <v>0</v>
      </c>
      <c r="J12" s="211">
        <f>J11-Model!J7</f>
        <v>0</v>
      </c>
      <c r="K12" s="211">
        <f>K11-Model!K7</f>
        <v>0</v>
      </c>
      <c r="L12" s="211" t="s">
        <v>325</v>
      </c>
      <c r="M12" s="211">
        <f>M11-Model!M7</f>
        <v>0</v>
      </c>
      <c r="N12" s="211">
        <f>N11-Model!N7</f>
        <v>0</v>
      </c>
      <c r="O12" s="211">
        <f>O11-Model!O7</f>
        <v>0</v>
      </c>
      <c r="P12" s="211">
        <f>P11-Model!P7</f>
        <v>0</v>
      </c>
      <c r="Q12" s="211">
        <f>Q11-Model!Q7</f>
        <v>0</v>
      </c>
      <c r="R12" s="211">
        <f>R11-Model!R7</f>
        <v>0</v>
      </c>
      <c r="S12" s="211">
        <f>S11-Model!S7</f>
        <v>0</v>
      </c>
      <c r="T12" s="211">
        <f>T11-Model!T7</f>
        <v>0</v>
      </c>
      <c r="U12" s="211">
        <f>U11-Model!U7</f>
        <v>0</v>
      </c>
      <c r="V12" s="211">
        <f>V11-Model!V7</f>
        <v>0</v>
      </c>
      <c r="W12" s="211">
        <f>W11-Model!W7</f>
        <v>0</v>
      </c>
      <c r="X12" s="211">
        <f>X11-Model!X7</f>
        <v>0</v>
      </c>
      <c r="Y12" s="211">
        <f>Y11-Model!Y7</f>
        <v>0</v>
      </c>
      <c r="Z12" s="211">
        <f>Z11-Model!Z7</f>
        <v>0</v>
      </c>
      <c r="AA12" s="211">
        <f>AA11-Model!AA7</f>
        <v>0</v>
      </c>
      <c r="AB12" s="211">
        <f>AB11-Model!AB7</f>
        <v>0</v>
      </c>
      <c r="AC12" s="211">
        <f>AC11-Model!AC7</f>
        <v>0</v>
      </c>
      <c r="AD12" s="211">
        <f>AD11-Model!AD7</f>
        <v>0</v>
      </c>
      <c r="AE12" s="211">
        <f>AE11-Model!AE7</f>
        <v>0</v>
      </c>
      <c r="AF12" s="211">
        <f>AF11-Model!AF7</f>
        <v>0</v>
      </c>
      <c r="AG12" s="211">
        <f>AG11-Model!AG7</f>
        <v>0</v>
      </c>
      <c r="AH12" s="211">
        <f>AH11-Model!AH7</f>
        <v>0</v>
      </c>
      <c r="AI12" s="211">
        <f>AI11-Model!AI7</f>
        <v>0</v>
      </c>
      <c r="AJ12" s="211">
        <f>AJ11-Model!AJ7</f>
        <v>0</v>
      </c>
      <c r="AK12" s="211">
        <f>AK11-Model!AK7</f>
        <v>0</v>
      </c>
      <c r="AL12" s="211">
        <f>AL11-Model!AL7</f>
        <v>0</v>
      </c>
      <c r="AM12" s="211">
        <f>AM11-Model!AM7</f>
        <v>0</v>
      </c>
      <c r="AN12" s="211">
        <f>AN11-Model!AN7</f>
        <v>0</v>
      </c>
      <c r="AO12" s="211">
        <f>AO11-Model!AO7</f>
        <v>0</v>
      </c>
      <c r="AP12" s="212"/>
    </row>
    <row r="13" spans="2:42" s="89" customFormat="1" ht="13.5" customHeight="1">
      <c r="C13" s="90"/>
      <c r="D13" s="90"/>
      <c r="E13" s="90"/>
      <c r="F13" s="90"/>
      <c r="G13" s="90"/>
      <c r="H13" s="90"/>
      <c r="I13" s="90"/>
      <c r="J13" s="90"/>
      <c r="K13" s="90"/>
      <c r="L13" s="110"/>
      <c r="M13" s="90"/>
      <c r="N13" s="90"/>
      <c r="O13" s="90"/>
      <c r="P13" s="91"/>
      <c r="Q13" s="90"/>
      <c r="R13" s="90"/>
      <c r="S13" s="90"/>
      <c r="T13" s="91"/>
      <c r="X13" s="91"/>
      <c r="AB13" s="91"/>
      <c r="AF13" s="91"/>
      <c r="AJ13" s="91"/>
      <c r="AN13" s="91"/>
      <c r="AP13" s="131"/>
    </row>
    <row r="14" spans="2:42">
      <c r="B14" s="95" t="s">
        <v>326</v>
      </c>
      <c r="C14" s="90"/>
      <c r="D14" s="90"/>
      <c r="E14" s="87"/>
      <c r="F14" s="87"/>
      <c r="G14" s="87"/>
      <c r="H14" s="87"/>
      <c r="I14" s="87"/>
      <c r="J14" s="87"/>
      <c r="K14" s="87"/>
      <c r="L14" s="90"/>
      <c r="M14" s="93"/>
      <c r="N14" s="93"/>
      <c r="O14" s="93"/>
      <c r="P14" s="93"/>
      <c r="Q14" s="93"/>
      <c r="R14" s="93"/>
      <c r="S14" s="93"/>
      <c r="T14" s="93"/>
      <c r="X14" s="93"/>
      <c r="AB14" s="93"/>
      <c r="AF14" s="93"/>
      <c r="AJ14" s="93"/>
      <c r="AN14" s="93"/>
    </row>
    <row r="15" spans="2:42">
      <c r="B15" s="140" t="s">
        <v>321</v>
      </c>
      <c r="C15" s="180"/>
      <c r="D15" s="87">
        <v>1415.88</v>
      </c>
      <c r="E15" s="87">
        <v>2833.3690000000001</v>
      </c>
      <c r="F15" s="87">
        <v>6174.6409999999996</v>
      </c>
      <c r="G15" s="87">
        <v>29502.669000000002</v>
      </c>
      <c r="H15" s="87">
        <v>38698.847000000002</v>
      </c>
      <c r="I15" s="87">
        <v>52415.161999999997</v>
      </c>
      <c r="J15" s="87">
        <v>-6904.0829999999996</v>
      </c>
      <c r="K15" s="88">
        <f>SUM(AL15:AO15)</f>
        <v>-22425.505000000001</v>
      </c>
      <c r="L15" s="87"/>
      <c r="M15" s="87">
        <v>-154.203</v>
      </c>
      <c r="N15" s="87">
        <v>756.34699999999998</v>
      </c>
      <c r="O15" s="87">
        <v>330.90699999999998</v>
      </c>
      <c r="P15" s="87">
        <v>482.82900000000001</v>
      </c>
      <c r="Q15" s="87">
        <v>-70.881</v>
      </c>
      <c r="R15" s="87">
        <v>1253.421</v>
      </c>
      <c r="S15" s="87">
        <v>768.47699999999998</v>
      </c>
      <c r="T15" s="87">
        <v>882.35199999999998</v>
      </c>
      <c r="U15" s="87">
        <v>1115.885</v>
      </c>
      <c r="V15" s="87">
        <v>2447.076</v>
      </c>
      <c r="W15" s="87">
        <v>876.10299999999995</v>
      </c>
      <c r="X15" s="87">
        <v>1735.577</v>
      </c>
      <c r="Y15" s="87">
        <v>1577.143</v>
      </c>
      <c r="Z15" s="87">
        <v>8260.9930000000004</v>
      </c>
      <c r="AA15" s="87">
        <v>9321.2929999999997</v>
      </c>
      <c r="AB15" s="87">
        <v>7215.2420000000002</v>
      </c>
      <c r="AC15" s="87">
        <v>9445.07</v>
      </c>
      <c r="AD15" s="87">
        <v>11138.521000000001</v>
      </c>
      <c r="AE15" s="87">
        <v>10095.831</v>
      </c>
      <c r="AF15" s="88">
        <f>H15-AC15-AD15-AE15</f>
        <v>8019.4250000000011</v>
      </c>
      <c r="AG15" s="87">
        <v>9698.8469999999998</v>
      </c>
      <c r="AH15" s="87">
        <v>15233.584999999999</v>
      </c>
      <c r="AI15" s="87">
        <v>14582.403</v>
      </c>
      <c r="AJ15" s="88">
        <f t="shared" ref="AJ15:AJ18" si="12">I15-AG15-AH15-AI15</f>
        <v>12900.326999999996</v>
      </c>
      <c r="AK15" s="87">
        <v>13491.48</v>
      </c>
      <c r="AL15" s="87">
        <v>3721.13</v>
      </c>
      <c r="AM15" s="87">
        <v>-14071.01</v>
      </c>
      <c r="AN15" s="88">
        <f t="shared" ref="AN15:AN18" si="13">J15-AK15-AL15-AM15</f>
        <v>-10045.682999999999</v>
      </c>
      <c r="AO15" s="87">
        <v>-2029.942</v>
      </c>
    </row>
    <row r="16" spans="2:42">
      <c r="B16" s="140" t="s">
        <v>322</v>
      </c>
      <c r="C16" s="180"/>
      <c r="D16" s="87">
        <v>8403.2929999999997</v>
      </c>
      <c r="E16" s="87">
        <v>8180.933</v>
      </c>
      <c r="F16" s="87">
        <v>14093.112999999999</v>
      </c>
      <c r="G16" s="180"/>
      <c r="H16" s="180"/>
      <c r="I16" s="180"/>
      <c r="J16" s="180"/>
      <c r="K16" s="180"/>
      <c r="L16" s="87"/>
      <c r="M16" s="87">
        <v>1592.8779999999999</v>
      </c>
      <c r="N16" s="87">
        <v>2147.4989999999998</v>
      </c>
      <c r="O16" s="87">
        <v>2331.6390000000001</v>
      </c>
      <c r="P16" s="87">
        <v>2331.277</v>
      </c>
      <c r="Q16" s="87">
        <v>680.17899999999997</v>
      </c>
      <c r="R16" s="87">
        <v>1891.5630000000001</v>
      </c>
      <c r="S16" s="87">
        <v>2787.2559999999999</v>
      </c>
      <c r="T16" s="87">
        <v>2821.9349999999999</v>
      </c>
      <c r="U16" s="87">
        <v>2748.2049999999999</v>
      </c>
      <c r="V16" s="87">
        <v>3663.8180000000002</v>
      </c>
      <c r="W16" s="87">
        <v>3784.0740000000001</v>
      </c>
      <c r="X16" s="87">
        <v>3897.0160000000001</v>
      </c>
      <c r="Y16" s="87">
        <v>3473.5459999999998</v>
      </c>
      <c r="Z16" s="87">
        <v>0</v>
      </c>
      <c r="AA16" s="87">
        <v>0</v>
      </c>
      <c r="AB16" s="87">
        <v>0</v>
      </c>
      <c r="AC16" s="87">
        <v>0</v>
      </c>
      <c r="AD16" s="87">
        <v>0</v>
      </c>
      <c r="AE16" s="87">
        <v>0</v>
      </c>
      <c r="AF16" s="88">
        <f t="shared" ref="AF16:AF18" si="14">H16-AC16-AD16-AE16</f>
        <v>0</v>
      </c>
      <c r="AG16" s="87">
        <v>0</v>
      </c>
      <c r="AH16" s="87">
        <v>0</v>
      </c>
      <c r="AI16" s="87">
        <v>0</v>
      </c>
      <c r="AJ16" s="88">
        <f t="shared" si="12"/>
        <v>0</v>
      </c>
      <c r="AK16" s="87">
        <v>0</v>
      </c>
      <c r="AL16" s="87">
        <v>0</v>
      </c>
      <c r="AM16" s="87">
        <v>0</v>
      </c>
      <c r="AN16" s="88">
        <f t="shared" si="13"/>
        <v>0</v>
      </c>
      <c r="AO16" s="87">
        <v>0</v>
      </c>
    </row>
    <row r="17" spans="2:42">
      <c r="B17" s="140" t="s">
        <v>323</v>
      </c>
      <c r="C17" s="180"/>
      <c r="D17" s="87">
        <v>-6749.1490000000003</v>
      </c>
      <c r="E17" s="87">
        <v>-10854.995999999999</v>
      </c>
      <c r="F17" s="87">
        <v>-38393.894999999997</v>
      </c>
      <c r="G17" s="87">
        <v>-28379.21</v>
      </c>
      <c r="H17" s="87">
        <v>-20166.484</v>
      </c>
      <c r="I17" s="87">
        <v>-7273.3140000000003</v>
      </c>
      <c r="J17" s="87">
        <v>-10082.34</v>
      </c>
      <c r="K17" s="88">
        <f t="shared" ref="K17:K18" si="15">SUM(AL17:AO17)</f>
        <v>-9924.887999999999</v>
      </c>
      <c r="L17" s="87"/>
      <c r="M17" s="87">
        <v>-2583.1239999999998</v>
      </c>
      <c r="N17" s="87">
        <v>-1645.7349999999999</v>
      </c>
      <c r="O17" s="87">
        <v>-1201.845</v>
      </c>
      <c r="P17" s="87">
        <v>-1318.4449999999999</v>
      </c>
      <c r="Q17" s="87">
        <v>-1363.7170000000001</v>
      </c>
      <c r="R17" s="87">
        <v>-1459.539</v>
      </c>
      <c r="S17" s="87">
        <v>-2028.9090000000001</v>
      </c>
      <c r="T17" s="87">
        <v>-6002.8310000000001</v>
      </c>
      <c r="U17" s="87">
        <v>-8044.4449999999997</v>
      </c>
      <c r="V17" s="87">
        <v>-9238.125</v>
      </c>
      <c r="W17" s="87">
        <v>-10906.087</v>
      </c>
      <c r="X17" s="87">
        <v>-10205.237999999999</v>
      </c>
      <c r="Y17" s="87">
        <v>-9024.7540000000008</v>
      </c>
      <c r="Z17" s="87">
        <v>-6789.5460000000003</v>
      </c>
      <c r="AA17" s="87">
        <v>-6771.36</v>
      </c>
      <c r="AB17" s="87">
        <v>-6365.02</v>
      </c>
      <c r="AC17" s="87">
        <v>-5028.8940000000002</v>
      </c>
      <c r="AD17" s="87">
        <v>-5192.9219999999996</v>
      </c>
      <c r="AE17" s="87">
        <v>-5111.9759999999997</v>
      </c>
      <c r="AF17" s="88">
        <f t="shared" si="14"/>
        <v>-4832.6920000000018</v>
      </c>
      <c r="AG17" s="87">
        <v>-2756.8989999999999</v>
      </c>
      <c r="AH17" s="87">
        <v>-1314.3589999999999</v>
      </c>
      <c r="AI17" s="87">
        <v>-1026.0419999999999</v>
      </c>
      <c r="AJ17" s="88">
        <f t="shared" si="12"/>
        <v>-2176.014000000001</v>
      </c>
      <c r="AK17" s="87">
        <v>-2273.2669999999998</v>
      </c>
      <c r="AL17" s="87">
        <v>-1881.318</v>
      </c>
      <c r="AM17" s="87">
        <v>-1277.9090000000001</v>
      </c>
      <c r="AN17" s="88">
        <f t="shared" si="13"/>
        <v>-4649.8459999999995</v>
      </c>
      <c r="AO17" s="87">
        <v>-2115.8150000000001</v>
      </c>
    </row>
    <row r="18" spans="2:42">
      <c r="B18" s="140" t="s">
        <v>327</v>
      </c>
      <c r="C18" s="180"/>
      <c r="D18" s="87">
        <v>-390.16399999999999</v>
      </c>
      <c r="E18" s="87">
        <v>4170.7960000000003</v>
      </c>
      <c r="F18" s="87">
        <v>-5001.058</v>
      </c>
      <c r="G18" s="87">
        <v>-6943.9070000000002</v>
      </c>
      <c r="H18" s="87">
        <v>-5116.9759999999997</v>
      </c>
      <c r="I18" s="87">
        <v>-8296.8919999999998</v>
      </c>
      <c r="J18" s="87">
        <v>-8054.7139999999999</v>
      </c>
      <c r="K18" s="88">
        <f t="shared" si="15"/>
        <v>-9726.6650000000009</v>
      </c>
      <c r="L18" s="87"/>
      <c r="M18" s="87">
        <v>-159.19300000000001</v>
      </c>
      <c r="N18" s="87">
        <v>-145.53299999999999</v>
      </c>
      <c r="O18" s="87">
        <v>-13.637</v>
      </c>
      <c r="P18" s="87">
        <v>-71.801000000000002</v>
      </c>
      <c r="Q18" s="87">
        <v>-961.11099999999999</v>
      </c>
      <c r="R18" s="87">
        <v>489.2</v>
      </c>
      <c r="S18" s="87">
        <v>5196.8590000000004</v>
      </c>
      <c r="T18" s="87">
        <v>-554.15200000000004</v>
      </c>
      <c r="U18" s="87">
        <v>-586.65200000000004</v>
      </c>
      <c r="V18" s="87">
        <v>-124.474</v>
      </c>
      <c r="W18" s="87">
        <v>-3856.721</v>
      </c>
      <c r="X18" s="87">
        <v>-433.21100000000001</v>
      </c>
      <c r="Y18" s="87">
        <v>-1610.1769999999999</v>
      </c>
      <c r="Z18" s="87">
        <v>-1964.2850000000001</v>
      </c>
      <c r="AA18" s="87">
        <v>-1561.711</v>
      </c>
      <c r="AB18" s="87">
        <v>-1581.8119999999999</v>
      </c>
      <c r="AC18" s="87">
        <v>-830.45500000000004</v>
      </c>
      <c r="AD18" s="87">
        <v>-1232.5999999999999</v>
      </c>
      <c r="AE18" s="87">
        <v>-1625.3219999999999</v>
      </c>
      <c r="AF18" s="88">
        <f t="shared" si="14"/>
        <v>-1428.5989999999999</v>
      </c>
      <c r="AG18" s="87">
        <v>-1732.556</v>
      </c>
      <c r="AH18" s="87">
        <v>-2662.337</v>
      </c>
      <c r="AI18" s="87">
        <v>128.815</v>
      </c>
      <c r="AJ18" s="88">
        <f t="shared" si="12"/>
        <v>-4030.8139999999994</v>
      </c>
      <c r="AK18" s="87">
        <v>-652.10299999999995</v>
      </c>
      <c r="AL18" s="87">
        <v>-1613.462</v>
      </c>
      <c r="AM18" s="87">
        <v>-4410.4309999999996</v>
      </c>
      <c r="AN18" s="88">
        <f t="shared" si="13"/>
        <v>-1378.7179999999998</v>
      </c>
      <c r="AO18" s="87">
        <v>-2324.0540000000001</v>
      </c>
    </row>
    <row r="19" spans="2:42" s="86" customFormat="1">
      <c r="B19" s="141" t="s">
        <v>324</v>
      </c>
      <c r="C19" s="180"/>
      <c r="D19" s="92">
        <f t="shared" ref="D19:I19" si="16">SUM(D15:D18)</f>
        <v>2679.8599999999988</v>
      </c>
      <c r="E19" s="92">
        <f t="shared" si="16"/>
        <v>4330.1020000000008</v>
      </c>
      <c r="F19" s="92">
        <f t="shared" si="16"/>
        <v>-23127.198999999997</v>
      </c>
      <c r="G19" s="92">
        <f t="shared" si="16"/>
        <v>-5820.4479999999976</v>
      </c>
      <c r="H19" s="92">
        <f t="shared" si="16"/>
        <v>13415.387000000002</v>
      </c>
      <c r="I19" s="92">
        <f t="shared" si="16"/>
        <v>36844.955999999998</v>
      </c>
      <c r="J19" s="92">
        <f t="shared" ref="J19:K19" si="17">SUM(J15:J18)</f>
        <v>-25041.136999999999</v>
      </c>
      <c r="K19" s="92">
        <f t="shared" si="17"/>
        <v>-42077.058000000005</v>
      </c>
      <c r="L19" s="92"/>
      <c r="M19" s="92">
        <f>SUM(M15:M18)</f>
        <v>-1303.6419999999998</v>
      </c>
      <c r="N19" s="92">
        <f>SUM(N15:N18)</f>
        <v>1112.5779999999997</v>
      </c>
      <c r="O19" s="92">
        <f>SUM(O15:O18)</f>
        <v>1447.0640000000003</v>
      </c>
      <c r="P19" s="92">
        <f t="shared" ref="P19:W19" si="18">SUM(P15:P18)</f>
        <v>1423.8600000000004</v>
      </c>
      <c r="Q19" s="92">
        <f t="shared" si="18"/>
        <v>-1715.5300000000002</v>
      </c>
      <c r="R19" s="92">
        <f t="shared" si="18"/>
        <v>2174.6450000000004</v>
      </c>
      <c r="S19" s="92">
        <f t="shared" si="18"/>
        <v>6723.683</v>
      </c>
      <c r="T19" s="92">
        <f t="shared" si="18"/>
        <v>-2852.6960000000004</v>
      </c>
      <c r="U19" s="92">
        <f t="shared" si="18"/>
        <v>-4767.0069999999996</v>
      </c>
      <c r="V19" s="92">
        <f t="shared" si="18"/>
        <v>-3251.7049999999999</v>
      </c>
      <c r="W19" s="92">
        <f t="shared" si="18"/>
        <v>-10102.630999999999</v>
      </c>
      <c r="X19" s="92">
        <f t="shared" ref="X19:AA19" si="19">SUM(X15:X18)</f>
        <v>-5005.8559999999998</v>
      </c>
      <c r="Y19" s="92">
        <f t="shared" si="19"/>
        <v>-5584.2420000000002</v>
      </c>
      <c r="Z19" s="92">
        <f t="shared" si="19"/>
        <v>-492.83799999999997</v>
      </c>
      <c r="AA19" s="92">
        <f t="shared" si="19"/>
        <v>988.22199999999998</v>
      </c>
      <c r="AB19" s="92">
        <f t="shared" ref="AB19:AE19" si="20">SUM(AB15:AB18)</f>
        <v>-731.59000000000015</v>
      </c>
      <c r="AC19" s="92">
        <f t="shared" si="20"/>
        <v>3585.7209999999995</v>
      </c>
      <c r="AD19" s="92">
        <f t="shared" si="20"/>
        <v>4712.9990000000016</v>
      </c>
      <c r="AE19" s="92">
        <f t="shared" si="20"/>
        <v>3358.5330000000004</v>
      </c>
      <c r="AF19" s="92">
        <f t="shared" ref="AF19:AI19" si="21">SUM(AF15:AF18)</f>
        <v>1758.1339999999993</v>
      </c>
      <c r="AG19" s="92">
        <f t="shared" si="21"/>
        <v>5209.3919999999998</v>
      </c>
      <c r="AH19" s="92">
        <f t="shared" si="21"/>
        <v>11256.888999999999</v>
      </c>
      <c r="AI19" s="92">
        <f t="shared" si="21"/>
        <v>13685.176000000001</v>
      </c>
      <c r="AJ19" s="92">
        <f t="shared" ref="AJ19:AM19" si="22">SUM(AJ15:AJ18)</f>
        <v>6693.4989999999952</v>
      </c>
      <c r="AK19" s="92">
        <f t="shared" si="22"/>
        <v>10566.11</v>
      </c>
      <c r="AL19" s="92">
        <f t="shared" si="22"/>
        <v>226.35000000000014</v>
      </c>
      <c r="AM19" s="92">
        <f t="shared" si="22"/>
        <v>-19759.349999999999</v>
      </c>
      <c r="AN19" s="92">
        <f t="shared" ref="AN19:AO19" si="23">SUM(AN15:AN18)</f>
        <v>-16074.246999999999</v>
      </c>
      <c r="AO19" s="92">
        <f t="shared" si="23"/>
        <v>-6469.8109999999997</v>
      </c>
      <c r="AP19" s="133"/>
    </row>
    <row r="20" spans="2:42" s="213" customFormat="1" ht="11.25">
      <c r="B20" s="210" t="s">
        <v>63</v>
      </c>
      <c r="C20" s="211"/>
      <c r="D20" s="211">
        <f>D19-Model!D19</f>
        <v>-9.0949470177292824E-12</v>
      </c>
      <c r="E20" s="211">
        <f>E19-Model!E19</f>
        <v>9.0949470177292824E-12</v>
      </c>
      <c r="F20" s="211">
        <f>F19-Model!F19</f>
        <v>0</v>
      </c>
      <c r="G20" s="211">
        <f>G19-Model!G19</f>
        <v>0</v>
      </c>
      <c r="H20" s="211">
        <f>H19-Model!H19</f>
        <v>-1.4551915228366852E-11</v>
      </c>
      <c r="I20" s="211">
        <f>I19-Model!I19</f>
        <v>0</v>
      </c>
      <c r="J20" s="211">
        <f>J19-Model!J19</f>
        <v>0</v>
      </c>
      <c r="K20" s="211">
        <f>K19-Model!K19</f>
        <v>0</v>
      </c>
      <c r="L20" s="211"/>
      <c r="M20" s="211">
        <f>M19-Model!M19</f>
        <v>0</v>
      </c>
      <c r="N20" s="211">
        <f>N19-Model!N19</f>
        <v>0</v>
      </c>
      <c r="O20" s="211">
        <f>O19-Model!O19</f>
        <v>0</v>
      </c>
      <c r="P20" s="211">
        <f>P19-Model!P19</f>
        <v>-1.4779288903810084E-11</v>
      </c>
      <c r="Q20" s="211">
        <f>Q19-Model!Q19</f>
        <v>2.2737367544323206E-12</v>
      </c>
      <c r="R20" s="211">
        <f>R19-Model!R19</f>
        <v>0</v>
      </c>
      <c r="S20" s="211">
        <f>S19-Model!S19</f>
        <v>0</v>
      </c>
      <c r="T20" s="211">
        <f>T19-Model!T19</f>
        <v>-4.0927261579781771E-12</v>
      </c>
      <c r="U20" s="211">
        <f>U19-Model!U19</f>
        <v>0</v>
      </c>
      <c r="V20" s="211">
        <f>V19-Model!V19</f>
        <v>-3.637978807091713E-12</v>
      </c>
      <c r="W20" s="211">
        <f>W19-Model!W19</f>
        <v>0</v>
      </c>
      <c r="X20" s="211">
        <f>X19-Model!X19</f>
        <v>-7.2759576141834259E-12</v>
      </c>
      <c r="Y20" s="211">
        <f>Y19-Model!Y19</f>
        <v>0</v>
      </c>
      <c r="Z20" s="211">
        <f>Z19-Model!Z19</f>
        <v>1.5916157281026244E-12</v>
      </c>
      <c r="AA20" s="211">
        <f>AA19-Model!AA19</f>
        <v>-1.5916157281026244E-12</v>
      </c>
      <c r="AB20" s="211">
        <f>AB19-Model!AB19</f>
        <v>-1.0913936421275139E-11</v>
      </c>
      <c r="AC20" s="211">
        <f>AC19-Model!AC19</f>
        <v>0</v>
      </c>
      <c r="AD20" s="211">
        <f>AD19-Model!AD19</f>
        <v>0</v>
      </c>
      <c r="AE20" s="211">
        <f>AE19-Model!AE19</f>
        <v>-1.0004441719502211E-11</v>
      </c>
      <c r="AF20" s="211">
        <f>AF19-Model!AF19</f>
        <v>-2.0691004465334117E-11</v>
      </c>
      <c r="AG20" s="211">
        <f>AG19-Model!AG19</f>
        <v>-7.2759576141834259E-12</v>
      </c>
      <c r="AH20" s="211">
        <f>AH19-Model!AH19</f>
        <v>0</v>
      </c>
      <c r="AI20" s="211">
        <f>AI19-Model!AI19</f>
        <v>0</v>
      </c>
      <c r="AJ20" s="211">
        <f>AJ19-Model!AJ19</f>
        <v>-8.1854523159563541E-12</v>
      </c>
      <c r="AK20" s="211">
        <f>AK19-Model!AK19</f>
        <v>0</v>
      </c>
      <c r="AL20" s="211">
        <f>AL19-Model!AL19</f>
        <v>5.2295945351943374E-12</v>
      </c>
      <c r="AM20" s="211">
        <f>AM19-Model!AM19</f>
        <v>0</v>
      </c>
      <c r="AN20" s="211">
        <f>AN19-Model!AN19</f>
        <v>4.0017766878008842E-11</v>
      </c>
      <c r="AO20" s="211">
        <f>AO19-Model!AO19</f>
        <v>0</v>
      </c>
      <c r="AP20" s="212"/>
    </row>
    <row r="21" spans="2:42" s="109" customFormat="1">
      <c r="B21" s="94"/>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34"/>
    </row>
    <row r="22" spans="2:42" s="109" customFormat="1">
      <c r="B22" s="219" t="s">
        <v>328</v>
      </c>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34"/>
    </row>
    <row r="23" spans="2:42" s="109" customFormat="1">
      <c r="B23" s="140" t="s">
        <v>329</v>
      </c>
      <c r="C23" s="110"/>
      <c r="D23" s="110"/>
      <c r="E23" s="110"/>
      <c r="F23" s="199"/>
      <c r="G23" s="199"/>
      <c r="H23" s="87">
        <v>82190.98</v>
      </c>
      <c r="I23" s="87">
        <v>98065.26</v>
      </c>
      <c r="J23" s="87">
        <v>96067.514999999999</v>
      </c>
      <c r="K23" s="199"/>
      <c r="L23" s="110"/>
      <c r="M23" s="110"/>
      <c r="N23" s="110"/>
      <c r="O23" s="110"/>
      <c r="P23" s="110"/>
      <c r="Q23" s="110"/>
      <c r="R23" s="110"/>
      <c r="S23" s="110"/>
      <c r="T23" s="110"/>
      <c r="U23" s="110"/>
      <c r="V23" s="110"/>
      <c r="W23" s="110"/>
      <c r="X23" s="110"/>
      <c r="Y23" s="110"/>
      <c r="Z23" s="110"/>
      <c r="AA23" s="110"/>
      <c r="AB23" s="110"/>
      <c r="AC23" s="199"/>
      <c r="AD23" s="199"/>
      <c r="AE23" s="199"/>
      <c r="AF23" s="199"/>
      <c r="AG23" s="87">
        <v>21065.057000000001</v>
      </c>
      <c r="AH23" s="87">
        <v>23021.272000000001</v>
      </c>
      <c r="AI23" s="87">
        <v>27784.111000000001</v>
      </c>
      <c r="AJ23" s="87">
        <v>26194.82</v>
      </c>
      <c r="AK23" s="87">
        <v>25751.439999999999</v>
      </c>
      <c r="AL23" s="87">
        <v>23655.555</v>
      </c>
      <c r="AM23" s="87">
        <v>23021.931</v>
      </c>
      <c r="AN23" s="88">
        <f t="shared" ref="AN23:AN28" si="24">J23-AK23-AL23-AM23</f>
        <v>23638.588999999996</v>
      </c>
      <c r="AO23" s="87">
        <v>25005.93</v>
      </c>
      <c r="AP23" s="134"/>
    </row>
    <row r="24" spans="2:42" s="109" customFormat="1">
      <c r="B24" s="140" t="s">
        <v>330</v>
      </c>
      <c r="C24" s="110"/>
      <c r="D24" s="110"/>
      <c r="E24" s="110"/>
      <c r="F24" s="199"/>
      <c r="G24" s="199"/>
      <c r="H24" s="87">
        <v>76688.543000000005</v>
      </c>
      <c r="I24" s="87">
        <v>95340.956000000006</v>
      </c>
      <c r="J24" s="87">
        <v>105476.787</v>
      </c>
      <c r="K24" s="199"/>
      <c r="L24" s="110"/>
      <c r="M24" s="110"/>
      <c r="N24" s="110"/>
      <c r="O24" s="110"/>
      <c r="P24" s="110"/>
      <c r="Q24" s="110"/>
      <c r="R24" s="110"/>
      <c r="S24" s="110"/>
      <c r="T24" s="110"/>
      <c r="U24" s="110"/>
      <c r="V24" s="110"/>
      <c r="W24" s="110"/>
      <c r="X24" s="110"/>
      <c r="Y24" s="110"/>
      <c r="Z24" s="110"/>
      <c r="AA24" s="110"/>
      <c r="AB24" s="110"/>
      <c r="AC24" s="199"/>
      <c r="AD24" s="199"/>
      <c r="AE24" s="199"/>
      <c r="AF24" s="199"/>
      <c r="AG24" s="87">
        <v>20657.273000000001</v>
      </c>
      <c r="AH24" s="87">
        <v>22825.277999999998</v>
      </c>
      <c r="AI24" s="87">
        <v>26889.907999999999</v>
      </c>
      <c r="AJ24" s="87">
        <v>24968.496999999999</v>
      </c>
      <c r="AK24" s="199"/>
      <c r="AL24" s="87">
        <v>26471.514999999999</v>
      </c>
      <c r="AM24" s="87">
        <v>28002.842000000001</v>
      </c>
      <c r="AN24" s="88">
        <f t="shared" si="24"/>
        <v>51002.429999999993</v>
      </c>
      <c r="AO24" s="199"/>
      <c r="AP24" s="134"/>
    </row>
    <row r="25" spans="2:42" s="109" customFormat="1">
      <c r="B25" s="140" t="s">
        <v>331</v>
      </c>
      <c r="C25" s="110"/>
      <c r="D25" s="110"/>
      <c r="E25" s="110"/>
      <c r="F25" s="199"/>
      <c r="G25" s="199"/>
      <c r="H25" s="87">
        <v>40513.216</v>
      </c>
      <c r="I25" s="87">
        <v>49240.392</v>
      </c>
      <c r="J25" s="87">
        <v>51920.379000000001</v>
      </c>
      <c r="K25" s="199"/>
      <c r="L25" s="110"/>
      <c r="M25" s="110"/>
      <c r="N25" s="110"/>
      <c r="O25" s="110"/>
      <c r="P25" s="110"/>
      <c r="Q25" s="110"/>
      <c r="R25" s="110"/>
      <c r="S25" s="110"/>
      <c r="T25" s="110"/>
      <c r="U25" s="110"/>
      <c r="V25" s="110"/>
      <c r="W25" s="110"/>
      <c r="X25" s="110"/>
      <c r="Y25" s="110"/>
      <c r="Z25" s="110"/>
      <c r="AA25" s="110"/>
      <c r="AB25" s="110"/>
      <c r="AC25" s="199"/>
      <c r="AD25" s="199"/>
      <c r="AE25" s="199"/>
      <c r="AF25" s="199"/>
      <c r="AG25" s="87">
        <v>10390.897999999999</v>
      </c>
      <c r="AH25" s="87">
        <v>12359.848</v>
      </c>
      <c r="AI25" s="87">
        <v>13539.14</v>
      </c>
      <c r="AJ25" s="87">
        <v>12950.505999999999</v>
      </c>
      <c r="AK25" s="199"/>
      <c r="AL25" s="87">
        <v>13649.757</v>
      </c>
      <c r="AM25" s="87">
        <v>14326.536</v>
      </c>
      <c r="AN25" s="88">
        <f t="shared" si="24"/>
        <v>23944.086000000003</v>
      </c>
      <c r="AO25" s="199"/>
      <c r="AP25" s="134"/>
    </row>
    <row r="26" spans="2:42" s="109" customFormat="1">
      <c r="B26" s="140" t="s">
        <v>332</v>
      </c>
      <c r="C26" s="110"/>
      <c r="D26" s="110"/>
      <c r="E26" s="110"/>
      <c r="F26" s="199"/>
      <c r="G26" s="199"/>
      <c r="H26" s="199"/>
      <c r="I26" s="199"/>
      <c r="J26" s="199"/>
      <c r="K26" s="199"/>
      <c r="L26" s="110"/>
      <c r="M26" s="110"/>
      <c r="N26" s="110"/>
      <c r="O26" s="110"/>
      <c r="P26" s="110"/>
      <c r="Q26" s="110"/>
      <c r="R26" s="110"/>
      <c r="S26" s="110"/>
      <c r="T26" s="110"/>
      <c r="U26" s="110"/>
      <c r="V26" s="110"/>
      <c r="W26" s="110"/>
      <c r="X26" s="110"/>
      <c r="Y26" s="110"/>
      <c r="Z26" s="110"/>
      <c r="AA26" s="110"/>
      <c r="AB26" s="110"/>
      <c r="AC26" s="199"/>
      <c r="AD26" s="199"/>
      <c r="AE26" s="199"/>
      <c r="AF26" s="199"/>
      <c r="AG26" s="199"/>
      <c r="AH26" s="199"/>
      <c r="AI26" s="199"/>
      <c r="AJ26" s="199"/>
      <c r="AK26" s="87">
        <v>36774.286999999997</v>
      </c>
      <c r="AL26" s="199"/>
      <c r="AM26" s="199"/>
      <c r="AN26" s="88">
        <f t="shared" si="24"/>
        <v>-36774.286999999997</v>
      </c>
      <c r="AO26" s="87">
        <v>38058.92</v>
      </c>
      <c r="AP26" s="134"/>
    </row>
    <row r="27" spans="2:42" s="109" customFormat="1">
      <c r="B27" s="140" t="s">
        <v>333</v>
      </c>
      <c r="C27" s="110"/>
      <c r="D27" s="110"/>
      <c r="E27" s="110"/>
      <c r="F27" s="199"/>
      <c r="G27" s="199"/>
      <c r="H27" s="199"/>
      <c r="I27" s="199"/>
      <c r="J27" s="199"/>
      <c r="K27" s="199"/>
      <c r="L27" s="110"/>
      <c r="M27" s="110"/>
      <c r="N27" s="110"/>
      <c r="O27" s="110"/>
      <c r="P27" s="110"/>
      <c r="Q27" s="110"/>
      <c r="R27" s="110"/>
      <c r="S27" s="110"/>
      <c r="T27" s="110"/>
      <c r="U27" s="110"/>
      <c r="V27" s="110"/>
      <c r="W27" s="110"/>
      <c r="X27" s="110"/>
      <c r="Y27" s="110"/>
      <c r="Z27" s="110"/>
      <c r="AA27" s="110"/>
      <c r="AB27" s="110"/>
      <c r="AC27" s="199"/>
      <c r="AD27" s="199"/>
      <c r="AE27" s="199"/>
      <c r="AF27" s="199"/>
      <c r="AG27" s="199"/>
      <c r="AH27" s="199"/>
      <c r="AI27" s="199"/>
      <c r="AJ27" s="199"/>
      <c r="AK27" s="87">
        <v>14308.694</v>
      </c>
      <c r="AL27" s="199"/>
      <c r="AM27" s="199"/>
      <c r="AN27" s="88">
        <f t="shared" si="24"/>
        <v>-14308.694</v>
      </c>
      <c r="AO27" s="87">
        <v>20972.101999999999</v>
      </c>
      <c r="AP27" s="134"/>
    </row>
    <row r="28" spans="2:42" s="109" customFormat="1">
      <c r="B28" s="140" t="s">
        <v>334</v>
      </c>
      <c r="C28" s="110"/>
      <c r="D28" s="110"/>
      <c r="E28" s="110"/>
      <c r="F28" s="199"/>
      <c r="G28" s="199"/>
      <c r="H28" s="87">
        <v>77352.214999999997</v>
      </c>
      <c r="I28" s="87">
        <v>94944.967999999993</v>
      </c>
      <c r="J28" s="87">
        <v>111390.065</v>
      </c>
      <c r="K28" s="199"/>
      <c r="L28" s="110"/>
      <c r="M28" s="110"/>
      <c r="N28" s="110"/>
      <c r="O28" s="110"/>
      <c r="P28" s="110"/>
      <c r="Q28" s="110"/>
      <c r="R28" s="110"/>
      <c r="S28" s="110"/>
      <c r="T28" s="110"/>
      <c r="U28" s="110"/>
      <c r="V28" s="110"/>
      <c r="W28" s="110"/>
      <c r="X28" s="110"/>
      <c r="Y28" s="110"/>
      <c r="Z28" s="110"/>
      <c r="AA28" s="110"/>
      <c r="AB28" s="110"/>
      <c r="AC28" s="199"/>
      <c r="AD28" s="199"/>
      <c r="AE28" s="199"/>
      <c r="AF28" s="199"/>
      <c r="AG28" s="87">
        <v>21162.655999999999</v>
      </c>
      <c r="AH28" s="87">
        <v>24044.679</v>
      </c>
      <c r="AI28" s="87">
        <v>25364.16</v>
      </c>
      <c r="AJ28" s="87">
        <v>24373.473000000002</v>
      </c>
      <c r="AK28" s="87">
        <v>9371.7240000000002</v>
      </c>
      <c r="AL28" s="87">
        <v>28063.652999999998</v>
      </c>
      <c r="AM28" s="87">
        <v>30136.804</v>
      </c>
      <c r="AN28" s="88">
        <f t="shared" si="24"/>
        <v>43817.883999999991</v>
      </c>
      <c r="AO28" s="87">
        <v>7001.9539999999997</v>
      </c>
      <c r="AP28" s="134"/>
    </row>
    <row r="29" spans="2:42" s="109" customFormat="1">
      <c r="B29" s="141" t="s">
        <v>324</v>
      </c>
      <c r="C29" s="110"/>
      <c r="D29" s="110"/>
      <c r="E29" s="110"/>
      <c r="F29" s="199"/>
      <c r="G29" s="199"/>
      <c r="H29" s="92">
        <f>SUM(H23:H28)</f>
        <v>276744.95400000003</v>
      </c>
      <c r="I29" s="92">
        <f>SUM(I23:I28)</f>
        <v>337591.576</v>
      </c>
      <c r="J29" s="92">
        <f>SUM(J23:J28)</f>
        <v>364854.74599999998</v>
      </c>
      <c r="K29" s="199"/>
      <c r="L29" s="110"/>
      <c r="M29" s="110"/>
      <c r="N29" s="110"/>
      <c r="O29" s="110"/>
      <c r="P29" s="110"/>
      <c r="Q29" s="110"/>
      <c r="R29" s="110"/>
      <c r="S29" s="110"/>
      <c r="T29" s="110"/>
      <c r="U29" s="110"/>
      <c r="V29" s="110"/>
      <c r="W29" s="110"/>
      <c r="X29" s="110"/>
      <c r="Y29" s="110"/>
      <c r="Z29" s="110"/>
      <c r="AA29" s="110"/>
      <c r="AB29" s="110"/>
      <c r="AC29" s="199"/>
      <c r="AD29" s="199"/>
      <c r="AE29" s="199"/>
      <c r="AF29" s="199"/>
      <c r="AG29" s="92">
        <f t="shared" ref="AG29:AM29" si="25">SUM(AG23:AG28)</f>
        <v>73275.884000000005</v>
      </c>
      <c r="AH29" s="92">
        <f t="shared" si="25"/>
        <v>82251.077000000005</v>
      </c>
      <c r="AI29" s="92">
        <f t="shared" si="25"/>
        <v>93577.319000000003</v>
      </c>
      <c r="AJ29" s="92">
        <f t="shared" si="25"/>
        <v>88487.296000000002</v>
      </c>
      <c r="AK29" s="92">
        <f t="shared" si="25"/>
        <v>86206.145000000004</v>
      </c>
      <c r="AL29" s="92">
        <f t="shared" si="25"/>
        <v>91840.48</v>
      </c>
      <c r="AM29" s="92">
        <f t="shared" si="25"/>
        <v>95488.112999999998</v>
      </c>
      <c r="AN29" s="92">
        <f t="shared" ref="AN29:AO29" si="26">SUM(AN23:AN28)</f>
        <v>91320.007999999973</v>
      </c>
      <c r="AO29" s="92">
        <f t="shared" si="26"/>
        <v>91038.905999999988</v>
      </c>
      <c r="AP29" s="134"/>
    </row>
    <row r="30" spans="2:42" s="213" customFormat="1">
      <c r="B30" s="210" t="s">
        <v>63</v>
      </c>
      <c r="C30" s="211"/>
      <c r="D30" s="211"/>
      <c r="E30" s="211"/>
      <c r="F30" s="214"/>
      <c r="G30" s="214"/>
      <c r="H30" s="211">
        <f>H29-Model!H7</f>
        <v>0</v>
      </c>
      <c r="I30" s="211">
        <f>I29-Model!I7</f>
        <v>0</v>
      </c>
      <c r="J30" s="211">
        <f>J29-Model!J7</f>
        <v>0</v>
      </c>
      <c r="K30" s="199"/>
      <c r="L30" s="211"/>
      <c r="M30" s="211"/>
      <c r="N30" s="211"/>
      <c r="O30" s="211"/>
      <c r="P30" s="211"/>
      <c r="Q30" s="211"/>
      <c r="R30" s="211"/>
      <c r="S30" s="211"/>
      <c r="T30" s="211"/>
      <c r="U30" s="211"/>
      <c r="V30" s="211"/>
      <c r="W30" s="211"/>
      <c r="X30" s="211"/>
      <c r="Y30" s="211"/>
      <c r="Z30" s="211"/>
      <c r="AA30" s="211"/>
      <c r="AB30" s="211"/>
      <c r="AC30" s="214"/>
      <c r="AD30" s="214"/>
      <c r="AE30" s="214"/>
      <c r="AF30" s="214"/>
      <c r="AG30" s="211">
        <f>AG29-Model!AG7</f>
        <v>0</v>
      </c>
      <c r="AH30" s="211">
        <f>AH29-Model!AH7</f>
        <v>0</v>
      </c>
      <c r="AI30" s="211">
        <f>AI29-Model!AI7</f>
        <v>0</v>
      </c>
      <c r="AJ30" s="211">
        <f>AJ29-Model!AJ7</f>
        <v>0</v>
      </c>
      <c r="AK30" s="211">
        <f>AK29-Model!AK7</f>
        <v>0</v>
      </c>
      <c r="AL30" s="211">
        <f>AL29-Model!AL7</f>
        <v>0</v>
      </c>
      <c r="AM30" s="211">
        <f>AM29-Model!AM7</f>
        <v>0</v>
      </c>
      <c r="AN30" s="211">
        <f>AN29-Model!AN7</f>
        <v>0</v>
      </c>
      <c r="AO30" s="211">
        <f>AO29-Model!AO7</f>
        <v>0</v>
      </c>
      <c r="AP30" s="212"/>
    </row>
    <row r="31" spans="2:42" s="213" customFormat="1" ht="11.25">
      <c r="B31" s="210"/>
      <c r="C31" s="211"/>
      <c r="D31" s="211"/>
      <c r="E31" s="211"/>
      <c r="F31" s="211"/>
      <c r="G31" s="211"/>
      <c r="H31" s="211"/>
      <c r="I31" s="211"/>
      <c r="J31" s="211"/>
      <c r="K31" s="211"/>
      <c r="L31" s="211"/>
      <c r="M31" s="211"/>
      <c r="N31" s="211"/>
      <c r="O31" s="211"/>
      <c r="P31" s="211"/>
      <c r="Q31" s="211"/>
      <c r="R31" s="211"/>
      <c r="S31" s="211"/>
      <c r="T31" s="211"/>
      <c r="U31" s="211"/>
      <c r="V31" s="211"/>
      <c r="W31" s="211"/>
      <c r="X31" s="211"/>
      <c r="Y31" s="211"/>
      <c r="Z31" s="211"/>
      <c r="AA31" s="211"/>
      <c r="AB31" s="211"/>
      <c r="AC31" s="211"/>
      <c r="AD31" s="211"/>
      <c r="AE31" s="211"/>
      <c r="AF31" s="211"/>
      <c r="AG31" s="211"/>
      <c r="AH31" s="211"/>
      <c r="AI31" s="211"/>
      <c r="AJ31" s="211"/>
      <c r="AK31" s="211"/>
      <c r="AL31" s="211"/>
      <c r="AM31" s="211"/>
      <c r="AN31" s="211"/>
      <c r="AO31" s="211"/>
      <c r="AP31" s="212"/>
    </row>
    <row r="32" spans="2:42" s="213" customFormat="1">
      <c r="B32" s="219" t="s">
        <v>335</v>
      </c>
      <c r="C32" s="211"/>
      <c r="D32" s="211"/>
      <c r="E32" s="211"/>
      <c r="F32" s="211"/>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2"/>
    </row>
    <row r="33" spans="2:42" s="213" customFormat="1">
      <c r="B33" s="140" t="s">
        <v>329</v>
      </c>
      <c r="C33" s="214"/>
      <c r="D33" s="214"/>
      <c r="E33" s="214"/>
      <c r="F33" s="214"/>
      <c r="G33" s="214"/>
      <c r="H33" s="215">
        <f t="shared" ref="H33:J35" si="27">H23/H$29</f>
        <v>0.29699179266697662</v>
      </c>
      <c r="I33" s="215">
        <f t="shared" si="27"/>
        <v>0.2904849142325755</v>
      </c>
      <c r="J33" s="215">
        <f t="shared" si="27"/>
        <v>0.26330345446568482</v>
      </c>
      <c r="K33" s="199"/>
      <c r="L33" s="211"/>
      <c r="M33" s="217"/>
      <c r="N33" s="217"/>
      <c r="O33" s="217"/>
      <c r="P33" s="217"/>
      <c r="Q33" s="217"/>
      <c r="R33" s="217"/>
      <c r="S33" s="217"/>
      <c r="T33" s="217"/>
      <c r="U33" s="217"/>
      <c r="V33" s="217"/>
      <c r="W33" s="217"/>
      <c r="X33" s="217"/>
      <c r="Y33" s="217"/>
      <c r="Z33" s="217"/>
      <c r="AA33" s="217"/>
      <c r="AB33" s="217"/>
      <c r="AC33" s="217"/>
      <c r="AD33" s="217"/>
      <c r="AE33" s="217"/>
      <c r="AF33" s="217"/>
      <c r="AG33" s="215">
        <f t="shared" ref="AG33:AN33" si="28">AG23/AG$29</f>
        <v>0.28747598596012841</v>
      </c>
      <c r="AH33" s="215">
        <f t="shared" si="28"/>
        <v>0.27989021955299137</v>
      </c>
      <c r="AI33" s="215">
        <f t="shared" si="28"/>
        <v>0.29691073966331522</v>
      </c>
      <c r="AJ33" s="215">
        <f t="shared" si="28"/>
        <v>0.29602916106736948</v>
      </c>
      <c r="AK33" s="215">
        <f t="shared" si="28"/>
        <v>0.29871930823492915</v>
      </c>
      <c r="AL33" s="215">
        <f t="shared" si="28"/>
        <v>0.25757220563307159</v>
      </c>
      <c r="AM33" s="215">
        <f t="shared" si="28"/>
        <v>0.24109734999161625</v>
      </c>
      <c r="AN33" s="215">
        <f t="shared" si="28"/>
        <v>0.25885443417832382</v>
      </c>
      <c r="AO33" s="215">
        <f t="shared" ref="AO33" si="29">AO23/AO$29</f>
        <v>0.27467300628590596</v>
      </c>
      <c r="AP33" s="212"/>
    </row>
    <row r="34" spans="2:42" s="213" customFormat="1">
      <c r="B34" s="140" t="s">
        <v>330</v>
      </c>
      <c r="C34" s="214"/>
      <c r="D34" s="214"/>
      <c r="E34" s="214"/>
      <c r="F34" s="214"/>
      <c r="G34" s="214"/>
      <c r="H34" s="215">
        <f t="shared" si="27"/>
        <v>0.27710909229441633</v>
      </c>
      <c r="I34" s="215">
        <f t="shared" si="27"/>
        <v>0.28241509201639559</v>
      </c>
      <c r="J34" s="215">
        <f t="shared" si="27"/>
        <v>0.28909254479041369</v>
      </c>
      <c r="K34" s="199"/>
      <c r="L34" s="211"/>
      <c r="M34" s="217"/>
      <c r="N34" s="217"/>
      <c r="O34" s="217"/>
      <c r="P34" s="217"/>
      <c r="Q34" s="217"/>
      <c r="R34" s="217"/>
      <c r="S34" s="217"/>
      <c r="T34" s="217"/>
      <c r="U34" s="217"/>
      <c r="V34" s="217"/>
      <c r="W34" s="217"/>
      <c r="X34" s="217"/>
      <c r="Y34" s="217"/>
      <c r="Z34" s="217"/>
      <c r="AA34" s="217"/>
      <c r="AB34" s="217"/>
      <c r="AC34" s="217"/>
      <c r="AD34" s="217"/>
      <c r="AE34" s="217"/>
      <c r="AF34" s="217"/>
      <c r="AG34" s="215">
        <f t="shared" ref="AG34:AJ35" si="30">AG24/AG$29</f>
        <v>0.28191093539042122</v>
      </c>
      <c r="AH34" s="215">
        <f t="shared" si="30"/>
        <v>0.277507344979811</v>
      </c>
      <c r="AI34" s="215">
        <f t="shared" si="30"/>
        <v>0.28735497327082005</v>
      </c>
      <c r="AJ34" s="215">
        <f t="shared" si="30"/>
        <v>0.28217041460957287</v>
      </c>
      <c r="AK34" s="214"/>
      <c r="AL34" s="215">
        <f t="shared" ref="AL34:AN35" si="31">AL24/AL$29</f>
        <v>0.28823363074757452</v>
      </c>
      <c r="AM34" s="215">
        <f t="shared" si="31"/>
        <v>0.29325997886249988</v>
      </c>
      <c r="AN34" s="215">
        <f t="shared" si="31"/>
        <v>0.55850225067873416</v>
      </c>
      <c r="AO34" s="214"/>
      <c r="AP34" s="212"/>
    </row>
    <row r="35" spans="2:42" s="213" customFormat="1">
      <c r="B35" s="140" t="s">
        <v>331</v>
      </c>
      <c r="C35" s="214"/>
      <c r="D35" s="214"/>
      <c r="E35" s="214"/>
      <c r="F35" s="214"/>
      <c r="G35" s="214"/>
      <c r="H35" s="215">
        <f t="shared" si="27"/>
        <v>0.14639188687790852</v>
      </c>
      <c r="I35" s="215">
        <f t="shared" si="27"/>
        <v>0.14585788124049637</v>
      </c>
      <c r="J35" s="215">
        <f t="shared" si="27"/>
        <v>0.14230424454996676</v>
      </c>
      <c r="K35" s="199"/>
      <c r="L35" s="211"/>
      <c r="M35" s="217"/>
      <c r="N35" s="217"/>
      <c r="O35" s="217"/>
      <c r="P35" s="217"/>
      <c r="Q35" s="217"/>
      <c r="R35" s="217"/>
      <c r="S35" s="217"/>
      <c r="T35" s="217"/>
      <c r="U35" s="217"/>
      <c r="V35" s="217"/>
      <c r="W35" s="217"/>
      <c r="X35" s="217"/>
      <c r="Y35" s="217"/>
      <c r="Z35" s="217"/>
      <c r="AA35" s="217"/>
      <c r="AB35" s="217"/>
      <c r="AC35" s="217"/>
      <c r="AD35" s="217"/>
      <c r="AE35" s="217"/>
      <c r="AF35" s="217"/>
      <c r="AG35" s="215">
        <f t="shared" si="30"/>
        <v>0.1418051537938457</v>
      </c>
      <c r="AH35" s="215">
        <f t="shared" si="30"/>
        <v>0.150269740540905</v>
      </c>
      <c r="AI35" s="215">
        <f t="shared" si="30"/>
        <v>0.1446839912137256</v>
      </c>
      <c r="AJ35" s="215">
        <f t="shared" si="30"/>
        <v>0.14635441001609992</v>
      </c>
      <c r="AK35" s="214"/>
      <c r="AL35" s="215">
        <f t="shared" si="31"/>
        <v>0.1486246260908044</v>
      </c>
      <c r="AM35" s="215">
        <f t="shared" si="31"/>
        <v>0.15003475877672859</v>
      </c>
      <c r="AN35" s="215">
        <f t="shared" si="31"/>
        <v>0.26219977992117577</v>
      </c>
      <c r="AO35" s="214"/>
      <c r="AP35" s="212"/>
    </row>
    <row r="36" spans="2:42" s="213" customFormat="1">
      <c r="B36" s="140" t="s">
        <v>332</v>
      </c>
      <c r="C36" s="214"/>
      <c r="D36" s="214"/>
      <c r="E36" s="214"/>
      <c r="F36" s="214"/>
      <c r="G36" s="214"/>
      <c r="H36" s="214"/>
      <c r="I36" s="214"/>
      <c r="J36" s="214"/>
      <c r="K36" s="199"/>
      <c r="L36" s="211"/>
      <c r="M36" s="217"/>
      <c r="N36" s="217"/>
      <c r="O36" s="217"/>
      <c r="P36" s="217"/>
      <c r="Q36" s="217"/>
      <c r="R36" s="217"/>
      <c r="S36" s="217"/>
      <c r="T36" s="217"/>
      <c r="U36" s="217"/>
      <c r="V36" s="217"/>
      <c r="W36" s="217"/>
      <c r="X36" s="217"/>
      <c r="Y36" s="217"/>
      <c r="Z36" s="217"/>
      <c r="AA36" s="217"/>
      <c r="AB36" s="217"/>
      <c r="AC36" s="217"/>
      <c r="AD36" s="217"/>
      <c r="AE36" s="217"/>
      <c r="AF36" s="217"/>
      <c r="AG36" s="214"/>
      <c r="AH36" s="214"/>
      <c r="AI36" s="214"/>
      <c r="AJ36" s="214"/>
      <c r="AK36" s="215">
        <f t="shared" ref="AK36:AK37" si="32">AK26/AK$29</f>
        <v>0.42658544817193711</v>
      </c>
      <c r="AL36" s="214"/>
      <c r="AM36" s="214"/>
      <c r="AN36" s="214"/>
      <c r="AO36" s="215">
        <f t="shared" ref="AO36:AO37" si="33">AO26/AO$29</f>
        <v>0.41805115716131303</v>
      </c>
      <c r="AP36" s="212"/>
    </row>
    <row r="37" spans="2:42" s="213" customFormat="1">
      <c r="B37" s="140" t="s">
        <v>336</v>
      </c>
      <c r="C37" s="214"/>
      <c r="D37" s="214"/>
      <c r="E37" s="214"/>
      <c r="F37" s="214"/>
      <c r="G37" s="214"/>
      <c r="H37" s="214"/>
      <c r="I37" s="214"/>
      <c r="J37" s="214"/>
      <c r="K37" s="199"/>
      <c r="L37" s="211"/>
      <c r="M37" s="217"/>
      <c r="N37" s="217"/>
      <c r="O37" s="217"/>
      <c r="P37" s="217"/>
      <c r="Q37" s="217"/>
      <c r="R37" s="217"/>
      <c r="S37" s="217"/>
      <c r="T37" s="217"/>
      <c r="U37" s="217"/>
      <c r="V37" s="217"/>
      <c r="W37" s="217"/>
      <c r="X37" s="217"/>
      <c r="Y37" s="217"/>
      <c r="Z37" s="217"/>
      <c r="AA37" s="217"/>
      <c r="AB37" s="217"/>
      <c r="AC37" s="217"/>
      <c r="AD37" s="217"/>
      <c r="AE37" s="217"/>
      <c r="AF37" s="217"/>
      <c r="AG37" s="214"/>
      <c r="AH37" s="214"/>
      <c r="AI37" s="214"/>
      <c r="AJ37" s="214"/>
      <c r="AK37" s="215">
        <f t="shared" si="32"/>
        <v>0.16598229743366902</v>
      </c>
      <c r="AL37" s="214"/>
      <c r="AM37" s="214"/>
      <c r="AN37" s="214"/>
      <c r="AO37" s="215">
        <f t="shared" si="33"/>
        <v>0.23036416979791038</v>
      </c>
      <c r="AP37" s="212"/>
    </row>
    <row r="38" spans="2:42" s="213" customFormat="1">
      <c r="B38" s="140" t="s">
        <v>334</v>
      </c>
      <c r="C38" s="214"/>
      <c r="D38" s="214"/>
      <c r="E38" s="214"/>
      <c r="F38" s="214"/>
      <c r="G38" s="214"/>
      <c r="H38" s="215">
        <f>H28/H$29</f>
        <v>0.2795072281606984</v>
      </c>
      <c r="I38" s="215">
        <f>I28/I$29</f>
        <v>0.28124211251053255</v>
      </c>
      <c r="J38" s="215">
        <f>J28/J$29</f>
        <v>0.30529975619393479</v>
      </c>
      <c r="K38" s="199"/>
      <c r="L38" s="211"/>
      <c r="M38" s="217"/>
      <c r="N38" s="217"/>
      <c r="O38" s="217"/>
      <c r="P38" s="217"/>
      <c r="Q38" s="217"/>
      <c r="R38" s="217"/>
      <c r="S38" s="217"/>
      <c r="T38" s="217"/>
      <c r="U38" s="217"/>
      <c r="V38" s="217"/>
      <c r="W38" s="217"/>
      <c r="X38" s="217"/>
      <c r="Y38" s="217"/>
      <c r="Z38" s="217"/>
      <c r="AA38" s="217"/>
      <c r="AB38" s="217"/>
      <c r="AC38" s="217"/>
      <c r="AD38" s="217"/>
      <c r="AE38" s="217"/>
      <c r="AF38" s="217"/>
      <c r="AG38" s="215">
        <f t="shared" ref="AG38:AN38" si="34">AG28/AG$29</f>
        <v>0.28880792485560458</v>
      </c>
      <c r="AH38" s="215">
        <f t="shared" si="34"/>
        <v>0.29233269492629255</v>
      </c>
      <c r="AI38" s="215">
        <f t="shared" si="34"/>
        <v>0.27105029585213913</v>
      </c>
      <c r="AJ38" s="215">
        <f t="shared" si="34"/>
        <v>0.2754460143069577</v>
      </c>
      <c r="AK38" s="215">
        <f t="shared" si="34"/>
        <v>0.10871294615946461</v>
      </c>
      <c r="AL38" s="215">
        <f t="shared" si="34"/>
        <v>0.30556953752854948</v>
      </c>
      <c r="AM38" s="215">
        <f t="shared" si="34"/>
        <v>0.31560791236915531</v>
      </c>
      <c r="AN38" s="215">
        <f t="shared" si="34"/>
        <v>0.47982785984863258</v>
      </c>
      <c r="AO38" s="215">
        <f t="shared" ref="AO38" si="35">AO28/AO$29</f>
        <v>7.6911666754870725E-2</v>
      </c>
      <c r="AP38" s="212"/>
    </row>
    <row r="39" spans="2:42" s="213" customFormat="1">
      <c r="B39" s="141" t="s">
        <v>324</v>
      </c>
      <c r="C39" s="214"/>
      <c r="D39" s="214"/>
      <c r="E39" s="214"/>
      <c r="F39" s="214"/>
      <c r="G39" s="214"/>
      <c r="H39" s="216">
        <f>SUM(H33:H38)</f>
        <v>0.99999999999999978</v>
      </c>
      <c r="I39" s="216">
        <f t="shared" ref="I39:AN39" si="36">SUM(I33:I38)</f>
        <v>1</v>
      </c>
      <c r="J39" s="216">
        <f t="shared" si="36"/>
        <v>1</v>
      </c>
      <c r="K39" s="199"/>
      <c r="L39" s="211"/>
      <c r="M39" s="218"/>
      <c r="N39" s="218"/>
      <c r="O39" s="218"/>
      <c r="P39" s="218"/>
      <c r="Q39" s="218"/>
      <c r="R39" s="218"/>
      <c r="S39" s="218"/>
      <c r="T39" s="218"/>
      <c r="U39" s="218"/>
      <c r="V39" s="218"/>
      <c r="W39" s="218"/>
      <c r="X39" s="218"/>
      <c r="Y39" s="218"/>
      <c r="Z39" s="218"/>
      <c r="AA39" s="218"/>
      <c r="AB39" s="218"/>
      <c r="AC39" s="218"/>
      <c r="AD39" s="218"/>
      <c r="AE39" s="218"/>
      <c r="AF39" s="218"/>
      <c r="AG39" s="216">
        <f t="shared" si="36"/>
        <v>0.99999999999999989</v>
      </c>
      <c r="AH39" s="216">
        <f t="shared" si="36"/>
        <v>1</v>
      </c>
      <c r="AI39" s="216">
        <f t="shared" si="36"/>
        <v>1</v>
      </c>
      <c r="AJ39" s="216">
        <f t="shared" si="36"/>
        <v>1</v>
      </c>
      <c r="AK39" s="216">
        <f t="shared" si="36"/>
        <v>0.99999999999999978</v>
      </c>
      <c r="AL39" s="216">
        <f t="shared" si="36"/>
        <v>1</v>
      </c>
      <c r="AM39" s="216">
        <f t="shared" si="36"/>
        <v>1</v>
      </c>
      <c r="AN39" s="216">
        <f t="shared" si="36"/>
        <v>1.5593843246268662</v>
      </c>
      <c r="AO39" s="216">
        <f t="shared" ref="AO39" si="37">SUM(AO33:AO38)</f>
        <v>1.0000000000000002</v>
      </c>
      <c r="AP39" s="212"/>
    </row>
    <row r="40" spans="2:42" s="213" customFormat="1" ht="11.25">
      <c r="B40" s="210"/>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2"/>
    </row>
    <row r="41" spans="2:42" s="213" customFormat="1">
      <c r="B41" s="219" t="s">
        <v>337</v>
      </c>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1"/>
      <c r="AK41" s="211"/>
      <c r="AL41" s="211"/>
      <c r="AM41" s="211"/>
      <c r="AN41" s="211"/>
      <c r="AO41" s="211"/>
      <c r="AP41" s="212"/>
    </row>
    <row r="42" spans="2:42" s="213" customFormat="1">
      <c r="B42" s="140" t="s">
        <v>329</v>
      </c>
      <c r="C42" s="214"/>
      <c r="D42" s="214"/>
      <c r="E42" s="214"/>
      <c r="F42" s="214"/>
      <c r="G42" s="214"/>
      <c r="H42" s="214"/>
      <c r="I42" s="215">
        <f>I23/H23-1</f>
        <v>0.1931389551505529</v>
      </c>
      <c r="J42" s="215">
        <f>J23/I23-1</f>
        <v>-2.0371587247104639E-2</v>
      </c>
      <c r="K42" s="214"/>
      <c r="L42" s="211"/>
      <c r="M42" s="214"/>
      <c r="N42" s="214"/>
      <c r="O42" s="214"/>
      <c r="P42" s="214"/>
      <c r="Q42" s="214"/>
      <c r="R42" s="214"/>
      <c r="S42" s="214"/>
      <c r="T42" s="214"/>
      <c r="U42" s="214"/>
      <c r="V42" s="214"/>
      <c r="W42" s="214"/>
      <c r="X42" s="214"/>
      <c r="Y42" s="214"/>
      <c r="Z42" s="214"/>
      <c r="AA42" s="214"/>
      <c r="AB42" s="214"/>
      <c r="AC42" s="214"/>
      <c r="AD42" s="214"/>
      <c r="AE42" s="214"/>
      <c r="AF42" s="214"/>
      <c r="AG42" s="214"/>
      <c r="AH42" s="214"/>
      <c r="AI42" s="214"/>
      <c r="AJ42" s="214"/>
      <c r="AK42" s="215">
        <f>AK23/AG23-1</f>
        <v>0.22247188792320838</v>
      </c>
      <c r="AL42" s="215">
        <f>AL23/AH23-1</f>
        <v>2.7552039696155717E-2</v>
      </c>
      <c r="AM42" s="215">
        <f>AM23/AI23-1</f>
        <v>-0.17139940162202782</v>
      </c>
      <c r="AN42" s="215">
        <f>AN23/AJ23-1</f>
        <v>-9.7585362296820688E-2</v>
      </c>
      <c r="AO42" s="215">
        <f>AO23/AK23-1</f>
        <v>-2.8950225696116383E-2</v>
      </c>
      <c r="AP42" s="212"/>
    </row>
    <row r="43" spans="2:42" s="213" customFormat="1">
      <c r="B43" s="140" t="s">
        <v>330</v>
      </c>
      <c r="C43" s="214"/>
      <c r="D43" s="214"/>
      <c r="E43" s="214"/>
      <c r="F43" s="214"/>
      <c r="G43" s="214"/>
      <c r="H43" s="214"/>
      <c r="I43" s="215">
        <f>I24/H24-1</f>
        <v>0.24322294139816947</v>
      </c>
      <c r="J43" s="215">
        <f t="shared" ref="J43" si="38">J24/I24-1</f>
        <v>0.10631140514261239</v>
      </c>
      <c r="K43" s="214"/>
      <c r="L43" s="211"/>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214"/>
      <c r="AK43" s="215">
        <f t="shared" ref="AK43:AN44" si="39">AK24/AG24-1</f>
        <v>-1</v>
      </c>
      <c r="AL43" s="215">
        <f t="shared" si="39"/>
        <v>0.1597455680495985</v>
      </c>
      <c r="AM43" s="215">
        <f t="shared" si="39"/>
        <v>4.1388538778191375E-2</v>
      </c>
      <c r="AN43" s="215">
        <f t="shared" si="39"/>
        <v>1.0426712108462115</v>
      </c>
      <c r="AO43" s="214"/>
      <c r="AP43" s="212"/>
    </row>
    <row r="44" spans="2:42" s="213" customFormat="1">
      <c r="B44" s="140" t="s">
        <v>331</v>
      </c>
      <c r="C44" s="214"/>
      <c r="D44" s="214"/>
      <c r="E44" s="214"/>
      <c r="F44" s="214"/>
      <c r="G44" s="214"/>
      <c r="H44" s="214"/>
      <c r="I44" s="215">
        <f>I25/H25-1</f>
        <v>0.21541553255115553</v>
      </c>
      <c r="J44" s="215">
        <f t="shared" ref="J44" si="40">J25/I25-1</f>
        <v>5.4426597578670854E-2</v>
      </c>
      <c r="K44" s="214"/>
      <c r="L44" s="211"/>
      <c r="M44" s="214"/>
      <c r="N44" s="214"/>
      <c r="O44" s="214"/>
      <c r="P44" s="214"/>
      <c r="Q44" s="214"/>
      <c r="R44" s="214"/>
      <c r="S44" s="214"/>
      <c r="T44" s="214"/>
      <c r="U44" s="214"/>
      <c r="V44" s="214"/>
      <c r="W44" s="214"/>
      <c r="X44" s="214"/>
      <c r="Y44" s="214"/>
      <c r="Z44" s="214"/>
      <c r="AA44" s="214"/>
      <c r="AB44" s="214"/>
      <c r="AC44" s="214"/>
      <c r="AD44" s="214"/>
      <c r="AE44" s="214"/>
      <c r="AF44" s="214"/>
      <c r="AG44" s="214"/>
      <c r="AH44" s="214"/>
      <c r="AI44" s="214"/>
      <c r="AJ44" s="214"/>
      <c r="AK44" s="215">
        <f t="shared" si="39"/>
        <v>-1</v>
      </c>
      <c r="AL44" s="215">
        <f t="shared" si="39"/>
        <v>0.10436285300595927</v>
      </c>
      <c r="AM44" s="215">
        <f t="shared" si="39"/>
        <v>5.8157017358561935E-2</v>
      </c>
      <c r="AN44" s="215">
        <f t="shared" si="39"/>
        <v>0.84889192746600051</v>
      </c>
      <c r="AO44" s="214"/>
      <c r="AP44" s="212"/>
    </row>
    <row r="45" spans="2:42" s="213" customFormat="1">
      <c r="B45" s="140" t="s">
        <v>332</v>
      </c>
      <c r="C45" s="214"/>
      <c r="D45" s="214"/>
      <c r="E45" s="214"/>
      <c r="F45" s="214"/>
      <c r="G45" s="214"/>
      <c r="H45" s="214"/>
      <c r="I45" s="223" t="str">
        <f>IFERROR(I26/H26-1,"NM")</f>
        <v>NM</v>
      </c>
      <c r="J45" s="223" t="str">
        <f>IFERROR(J26/I26-1,"NM")</f>
        <v>NM</v>
      </c>
      <c r="K45" s="214"/>
      <c r="L45" s="211"/>
      <c r="M45" s="214"/>
      <c r="N45" s="214"/>
      <c r="O45" s="214"/>
      <c r="P45" s="214"/>
      <c r="Q45" s="214"/>
      <c r="R45" s="214"/>
      <c r="S45" s="214"/>
      <c r="T45" s="214"/>
      <c r="U45" s="214"/>
      <c r="V45" s="214"/>
      <c r="W45" s="214"/>
      <c r="X45" s="214"/>
      <c r="Y45" s="214"/>
      <c r="Z45" s="214"/>
      <c r="AA45" s="214"/>
      <c r="AB45" s="214"/>
      <c r="AC45" s="214"/>
      <c r="AD45" s="214"/>
      <c r="AE45" s="214"/>
      <c r="AF45" s="214"/>
      <c r="AG45" s="214"/>
      <c r="AH45" s="214"/>
      <c r="AI45" s="214"/>
      <c r="AJ45" s="214"/>
      <c r="AK45" s="214"/>
      <c r="AL45" s="214"/>
      <c r="AM45" s="214"/>
      <c r="AN45" s="214"/>
      <c r="AO45" s="215">
        <f>AO26/AK26-1</f>
        <v>3.4932913859077708E-2</v>
      </c>
      <c r="AP45" s="212"/>
    </row>
    <row r="46" spans="2:42" s="213" customFormat="1">
      <c r="B46" s="140" t="s">
        <v>336</v>
      </c>
      <c r="C46" s="214"/>
      <c r="D46" s="214"/>
      <c r="E46" s="214"/>
      <c r="F46" s="214"/>
      <c r="G46" s="214"/>
      <c r="H46" s="214"/>
      <c r="I46" s="223" t="str">
        <f>IFERROR(I27/H27-1,"NM")</f>
        <v>NM</v>
      </c>
      <c r="J46" s="223" t="str">
        <f>IFERROR(J27/I27-1,"NM")</f>
        <v>NM</v>
      </c>
      <c r="K46" s="214"/>
      <c r="L46" s="211"/>
      <c r="M46" s="214"/>
      <c r="N46" s="214"/>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5">
        <f>AO27/AK27-1</f>
        <v>0.46568946124642818</v>
      </c>
      <c r="AP46" s="212"/>
    </row>
    <row r="47" spans="2:42" s="213" customFormat="1">
      <c r="B47" s="140" t="s">
        <v>334</v>
      </c>
      <c r="C47" s="214"/>
      <c r="D47" s="214"/>
      <c r="E47" s="214"/>
      <c r="F47" s="214"/>
      <c r="G47" s="214"/>
      <c r="H47" s="214"/>
      <c r="I47" s="215">
        <f t="shared" ref="I47:I48" si="41">I28/H28-1</f>
        <v>0.22743696479796993</v>
      </c>
      <c r="J47" s="215">
        <f t="shared" ref="J47" si="42">J28/I28-1</f>
        <v>0.1732066200706921</v>
      </c>
      <c r="K47" s="214"/>
      <c r="L47" s="211"/>
      <c r="M47" s="214"/>
      <c r="N47" s="214"/>
      <c r="O47" s="214"/>
      <c r="P47" s="214"/>
      <c r="Q47" s="214"/>
      <c r="R47" s="214"/>
      <c r="S47" s="214"/>
      <c r="T47" s="214"/>
      <c r="U47" s="214"/>
      <c r="V47" s="214"/>
      <c r="W47" s="214"/>
      <c r="X47" s="214"/>
      <c r="Y47" s="214"/>
      <c r="Z47" s="214"/>
      <c r="AA47" s="214"/>
      <c r="AB47" s="214"/>
      <c r="AC47" s="214"/>
      <c r="AD47" s="214"/>
      <c r="AE47" s="214"/>
      <c r="AF47" s="214"/>
      <c r="AG47" s="214"/>
      <c r="AH47" s="214"/>
      <c r="AI47" s="214"/>
      <c r="AJ47" s="214"/>
      <c r="AK47" s="215">
        <f t="shared" ref="AK47:AK48" si="43">AK28/AG28-1</f>
        <v>-0.55715747588582454</v>
      </c>
      <c r="AL47" s="215">
        <f t="shared" ref="AL47:AO48" si="44">AL28/AH28-1</f>
        <v>0.16714608666640962</v>
      </c>
      <c r="AM47" s="215">
        <f t="shared" si="44"/>
        <v>0.18816487516243385</v>
      </c>
      <c r="AN47" s="215">
        <f t="shared" si="44"/>
        <v>0.79776940282576825</v>
      </c>
      <c r="AO47" s="215">
        <f t="shared" si="44"/>
        <v>-0.25286382740251423</v>
      </c>
      <c r="AP47" s="212"/>
    </row>
    <row r="48" spans="2:42" s="213" customFormat="1">
      <c r="B48" s="141" t="s">
        <v>324</v>
      </c>
      <c r="C48" s="214"/>
      <c r="D48" s="214"/>
      <c r="E48" s="214"/>
      <c r="F48" s="214"/>
      <c r="G48" s="214"/>
      <c r="H48" s="214"/>
      <c r="I48" s="216">
        <f t="shared" si="41"/>
        <v>0.21986533492495042</v>
      </c>
      <c r="J48" s="216">
        <f t="shared" ref="J48" si="45">J29/I29-1</f>
        <v>8.0757850426931288E-2</v>
      </c>
      <c r="K48" s="214"/>
      <c r="L48" s="211"/>
      <c r="M48" s="214"/>
      <c r="N48" s="214"/>
      <c r="O48" s="214"/>
      <c r="P48" s="214"/>
      <c r="Q48" s="214"/>
      <c r="R48" s="214"/>
      <c r="S48" s="214"/>
      <c r="T48" s="214"/>
      <c r="U48" s="214"/>
      <c r="V48" s="214"/>
      <c r="W48" s="214"/>
      <c r="X48" s="214"/>
      <c r="Y48" s="214"/>
      <c r="Z48" s="214"/>
      <c r="AA48" s="214"/>
      <c r="AB48" s="214"/>
      <c r="AC48" s="214"/>
      <c r="AD48" s="214"/>
      <c r="AE48" s="214"/>
      <c r="AF48" s="214"/>
      <c r="AG48" s="214"/>
      <c r="AH48" s="214"/>
      <c r="AI48" s="214"/>
      <c r="AJ48" s="214"/>
      <c r="AK48" s="216">
        <f t="shared" si="43"/>
        <v>0.17645997965715421</v>
      </c>
      <c r="AL48" s="216">
        <f t="shared" si="44"/>
        <v>0.11658695970631472</v>
      </c>
      <c r="AM48" s="216">
        <f t="shared" si="44"/>
        <v>2.0419413811160636E-2</v>
      </c>
      <c r="AN48" s="216">
        <f t="shared" si="44"/>
        <v>3.2012640548988669E-2</v>
      </c>
      <c r="AO48" s="216">
        <f t="shared" si="44"/>
        <v>5.6060516335581179E-2</v>
      </c>
      <c r="AP48" s="212"/>
    </row>
    <row r="49" spans="2:42" s="109" customFormat="1">
      <c r="B49" s="94"/>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34"/>
    </row>
    <row r="50" spans="2:42" s="89" customFormat="1" ht="13.5" customHeight="1">
      <c r="C50" s="90"/>
      <c r="D50" s="90"/>
      <c r="E50" s="90"/>
      <c r="F50" s="90"/>
      <c r="G50" s="90"/>
      <c r="H50" s="90"/>
      <c r="I50" s="90"/>
      <c r="J50" s="90"/>
      <c r="K50" s="90"/>
      <c r="L50" s="90"/>
      <c r="M50" s="90"/>
      <c r="N50" s="90"/>
      <c r="O50" s="90"/>
      <c r="P50" s="91"/>
      <c r="Q50" s="90"/>
      <c r="R50" s="90"/>
      <c r="S50" s="90"/>
      <c r="T50" s="91"/>
      <c r="X50" s="91"/>
      <c r="AB50" s="91"/>
      <c r="AF50" s="91"/>
      <c r="AJ50" s="91"/>
      <c r="AN50" s="91"/>
      <c r="AP50" s="131"/>
    </row>
    <row r="51" spans="2:42" hidden="1" outlineLevel="1">
      <c r="B51" s="96" t="s">
        <v>338</v>
      </c>
    </row>
    <row r="52" spans="2:42" hidden="1" outlineLevel="1">
      <c r="B52" s="85" t="s">
        <v>339</v>
      </c>
      <c r="C52" s="87">
        <v>282800</v>
      </c>
      <c r="D52" s="87">
        <v>392722.5</v>
      </c>
      <c r="E52" s="87">
        <v>488851.20000000001</v>
      </c>
      <c r="F52" s="87">
        <v>702057.4</v>
      </c>
      <c r="G52" s="180"/>
      <c r="H52" s="180"/>
      <c r="I52" s="180"/>
      <c r="J52" s="180"/>
      <c r="K52" s="180"/>
      <c r="M52" s="87">
        <v>75575.199999999997</v>
      </c>
      <c r="N52" s="87">
        <v>93082.3</v>
      </c>
      <c r="O52" s="87">
        <v>111926.9</v>
      </c>
      <c r="P52" s="87">
        <v>112138.1</v>
      </c>
      <c r="Q52" s="87">
        <v>71504.2</v>
      </c>
      <c r="R52" s="87">
        <v>108827.1</v>
      </c>
      <c r="S52" s="87">
        <v>152232.5</v>
      </c>
      <c r="T52" s="87">
        <v>156287.29999999999</v>
      </c>
      <c r="U52" s="87">
        <v>142735.4</v>
      </c>
      <c r="V52" s="87">
        <v>173603.3</v>
      </c>
      <c r="W52" s="87">
        <v>197098</v>
      </c>
      <c r="X52" s="87">
        <v>188620.79999999999</v>
      </c>
      <c r="Y52" s="180"/>
      <c r="Z52" s="180"/>
      <c r="AA52" s="180"/>
      <c r="AB52" s="180"/>
      <c r="AC52" s="180"/>
      <c r="AD52" s="180"/>
      <c r="AE52" s="180"/>
      <c r="AF52" s="180"/>
      <c r="AG52" s="180"/>
      <c r="AH52" s="180"/>
      <c r="AI52" s="180"/>
      <c r="AJ52" s="180"/>
      <c r="AK52" s="180"/>
      <c r="AL52" s="180"/>
      <c r="AM52" s="180"/>
      <c r="AN52" s="180"/>
      <c r="AO52" s="180"/>
    </row>
    <row r="53" spans="2:42" hidden="1" outlineLevel="1">
      <c r="B53" s="85" t="s">
        <v>340</v>
      </c>
      <c r="C53" s="180"/>
      <c r="D53" s="87">
        <v>8722.1</v>
      </c>
      <c r="E53" s="87">
        <v>10147.4</v>
      </c>
      <c r="F53" s="87">
        <v>14367.6</v>
      </c>
      <c r="G53" s="87">
        <v>17670.2</v>
      </c>
      <c r="H53" s="87">
        <v>21893.200000000001</v>
      </c>
      <c r="I53" s="180"/>
      <c r="J53" s="180"/>
      <c r="K53" s="180"/>
      <c r="M53" s="87">
        <v>1662.6</v>
      </c>
      <c r="N53" s="87">
        <v>2085.1</v>
      </c>
      <c r="O53" s="87">
        <v>2469.1</v>
      </c>
      <c r="P53" s="87">
        <v>2505.3000000000002</v>
      </c>
      <c r="Q53" s="87">
        <v>1374.5</v>
      </c>
      <c r="R53" s="87">
        <v>2228.9</v>
      </c>
      <c r="S53" s="87">
        <v>3212.7</v>
      </c>
      <c r="T53" s="87">
        <v>3331.3</v>
      </c>
      <c r="U53" s="87">
        <v>2902.7</v>
      </c>
      <c r="V53" s="87">
        <v>3541.4</v>
      </c>
      <c r="W53" s="87">
        <v>4013</v>
      </c>
      <c r="X53" s="87">
        <v>3910.6</v>
      </c>
      <c r="Y53" s="87">
        <f>G53-SUM(Z53:AB53)</f>
        <v>3712.5</v>
      </c>
      <c r="Z53" s="87">
        <v>4102.3999999999996</v>
      </c>
      <c r="AA53" s="87">
        <v>5025.1000000000004</v>
      </c>
      <c r="AB53" s="87">
        <v>4830.2</v>
      </c>
      <c r="AC53" s="87">
        <v>4267.3999999999996</v>
      </c>
      <c r="AD53" s="87">
        <v>5400.4</v>
      </c>
      <c r="AE53" s="87">
        <v>6179.4</v>
      </c>
      <c r="AF53" s="88">
        <f>H53-AC53-AD53-AE53</f>
        <v>6046.0000000000036</v>
      </c>
      <c r="AG53" s="87">
        <v>5464.5</v>
      </c>
      <c r="AH53" s="87">
        <v>6167.1</v>
      </c>
      <c r="AI53" s="87">
        <v>7077.7</v>
      </c>
      <c r="AJ53" s="180"/>
      <c r="AK53" s="180"/>
      <c r="AL53" s="180"/>
      <c r="AM53" s="180"/>
      <c r="AN53" s="180"/>
      <c r="AO53" s="180"/>
    </row>
    <row r="54" spans="2:42" hidden="1" outlineLevel="1">
      <c r="B54" s="85" t="s">
        <v>341</v>
      </c>
      <c r="C54" s="180"/>
      <c r="D54" s="87">
        <v>392.5</v>
      </c>
      <c r="E54" s="87">
        <v>354.5</v>
      </c>
      <c r="F54" s="87">
        <v>476.9</v>
      </c>
      <c r="G54" s="180"/>
      <c r="H54" s="180"/>
      <c r="I54" s="180"/>
      <c r="J54" s="180"/>
      <c r="K54" s="180"/>
      <c r="M54" s="87">
        <v>78.599999999999994</v>
      </c>
      <c r="N54" s="87">
        <v>94</v>
      </c>
      <c r="O54" s="87">
        <v>109.8</v>
      </c>
      <c r="P54" s="87">
        <v>110</v>
      </c>
      <c r="Q54" s="87">
        <v>42.8</v>
      </c>
      <c r="R54" s="87">
        <v>78</v>
      </c>
      <c r="S54" s="87">
        <v>113.9</v>
      </c>
      <c r="T54" s="87">
        <v>119.7</v>
      </c>
      <c r="U54" s="87">
        <v>101</v>
      </c>
      <c r="V54" s="87">
        <v>140.80000000000001</v>
      </c>
      <c r="W54" s="87">
        <v>1198</v>
      </c>
      <c r="X54" s="87">
        <v>115.3</v>
      </c>
      <c r="Y54" s="180"/>
      <c r="Z54" s="180"/>
      <c r="AA54" s="180"/>
      <c r="AB54" s="180"/>
      <c r="AC54" s="180"/>
      <c r="AD54" s="180"/>
      <c r="AE54" s="180"/>
      <c r="AF54" s="180"/>
      <c r="AG54" s="180"/>
      <c r="AH54" s="180"/>
      <c r="AI54" s="180"/>
      <c r="AJ54" s="180"/>
      <c r="AK54" s="180"/>
      <c r="AL54" s="180"/>
      <c r="AM54" s="180"/>
      <c r="AN54" s="180"/>
      <c r="AO54" s="180"/>
    </row>
    <row r="55" spans="2:42" hidden="1" outlineLevel="1">
      <c r="C55" s="87"/>
      <c r="D55" s="87"/>
      <c r="E55" s="87"/>
      <c r="F55" s="87"/>
      <c r="G55" s="87"/>
      <c r="H55" s="87"/>
      <c r="I55" s="87"/>
      <c r="J55" s="87"/>
      <c r="K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row>
    <row r="56" spans="2:42" hidden="1" outlineLevel="1">
      <c r="B56" s="96" t="s">
        <v>342</v>
      </c>
      <c r="C56" s="87"/>
      <c r="D56" s="87"/>
      <c r="E56" s="87"/>
      <c r="F56" s="87"/>
      <c r="G56" s="87"/>
      <c r="H56" s="87"/>
      <c r="I56" s="87"/>
      <c r="J56" s="87"/>
      <c r="K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row>
    <row r="57" spans="2:42" hidden="1" outlineLevel="1">
      <c r="C57" s="87"/>
      <c r="D57" s="87"/>
      <c r="E57" s="87"/>
      <c r="F57" s="87"/>
      <c r="G57" s="87"/>
      <c r="H57" s="87"/>
      <c r="I57" s="87"/>
      <c r="J57" s="87"/>
      <c r="K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row>
    <row r="58" spans="2:42" hidden="1" outlineLevel="1">
      <c r="B58" s="85" t="s">
        <v>343</v>
      </c>
      <c r="C58" s="87">
        <v>400.4</v>
      </c>
      <c r="D58" s="87">
        <v>450.5</v>
      </c>
      <c r="E58" s="87">
        <v>510.6</v>
      </c>
      <c r="F58" s="87">
        <v>690.5</v>
      </c>
      <c r="G58" s="87">
        <v>677.9</v>
      </c>
      <c r="H58" s="180"/>
      <c r="I58" s="180"/>
      <c r="J58" s="180"/>
      <c r="K58" s="180"/>
      <c r="M58" s="87">
        <v>411.8</v>
      </c>
      <c r="N58" s="87">
        <v>422.6</v>
      </c>
      <c r="O58" s="87">
        <v>435.8</v>
      </c>
      <c r="P58" s="87">
        <v>450.5</v>
      </c>
      <c r="Q58" s="87">
        <v>448.6</v>
      </c>
      <c r="R58" s="87">
        <v>457.3</v>
      </c>
      <c r="S58" s="87">
        <v>476.5</v>
      </c>
      <c r="T58" s="87">
        <v>510.6</v>
      </c>
      <c r="U58" s="87">
        <v>569.29999999999995</v>
      </c>
      <c r="V58" s="87">
        <v>628.4</v>
      </c>
      <c r="W58" s="87">
        <v>667.5</v>
      </c>
      <c r="X58" s="87">
        <v>690.5</v>
      </c>
      <c r="Y58" s="87">
        <v>692.9</v>
      </c>
      <c r="Z58" s="87">
        <v>684.7</v>
      </c>
      <c r="AA58" s="87">
        <v>687.1</v>
      </c>
      <c r="AB58" s="87">
        <v>677.9</v>
      </c>
      <c r="AC58" s="180"/>
      <c r="AD58" s="200"/>
      <c r="AE58" s="200"/>
      <c r="AF58" s="200"/>
      <c r="AG58" s="180"/>
      <c r="AH58" s="200"/>
      <c r="AI58" s="200"/>
      <c r="AJ58" s="200"/>
      <c r="AK58" s="180"/>
      <c r="AL58" s="200"/>
      <c r="AM58" s="200"/>
      <c r="AN58" s="200"/>
      <c r="AO58" s="180"/>
    </row>
    <row r="59" spans="2:42" hidden="1" outlineLevel="1">
      <c r="B59" s="85" t="s">
        <v>344</v>
      </c>
      <c r="C59" s="87">
        <v>5.8</v>
      </c>
      <c r="D59" s="87">
        <v>6.2</v>
      </c>
      <c r="E59" s="87">
        <v>6.8</v>
      </c>
      <c r="F59" s="87">
        <v>8.8000000000000007</v>
      </c>
      <c r="G59" s="87">
        <v>9.3000000000000007</v>
      </c>
      <c r="H59" s="180"/>
      <c r="I59" s="180"/>
      <c r="J59" s="180"/>
      <c r="K59" s="180"/>
      <c r="M59" s="87">
        <v>5.8</v>
      </c>
      <c r="N59" s="87">
        <v>5.9</v>
      </c>
      <c r="O59" s="87">
        <v>5.9</v>
      </c>
      <c r="P59" s="87">
        <v>6.2</v>
      </c>
      <c r="Q59" s="87">
        <v>6.1</v>
      </c>
      <c r="R59" s="87">
        <v>6.3</v>
      </c>
      <c r="S59" s="87">
        <v>6.5</v>
      </c>
      <c r="T59" s="87">
        <v>6.8</v>
      </c>
      <c r="U59" s="87">
        <v>7.1</v>
      </c>
      <c r="V59" s="87">
        <v>7.7</v>
      </c>
      <c r="W59" s="87">
        <v>8.3000000000000007</v>
      </c>
      <c r="X59" s="87">
        <v>8.8000000000000007</v>
      </c>
      <c r="Y59" s="87">
        <v>9</v>
      </c>
      <c r="Z59" s="87">
        <v>9.1999999999999993</v>
      </c>
      <c r="AA59" s="87">
        <v>9.3000000000000007</v>
      </c>
      <c r="AB59" s="87">
        <v>9.3000000000000007</v>
      </c>
      <c r="AC59" s="180"/>
      <c r="AD59" s="200"/>
      <c r="AE59" s="200"/>
      <c r="AF59" s="200"/>
      <c r="AG59" s="180"/>
      <c r="AH59" s="200"/>
      <c r="AI59" s="200"/>
      <c r="AJ59" s="200"/>
      <c r="AK59" s="180"/>
      <c r="AL59" s="200"/>
      <c r="AM59" s="200"/>
      <c r="AN59" s="200"/>
      <c r="AO59" s="180"/>
    </row>
    <row r="60" spans="2:42" hidden="1" outlineLevel="1">
      <c r="B60" s="85" t="s">
        <v>345</v>
      </c>
      <c r="C60" s="87">
        <v>23.8</v>
      </c>
      <c r="D60" s="87">
        <v>27.4</v>
      </c>
      <c r="E60" s="87">
        <v>28.1</v>
      </c>
      <c r="F60" s="87">
        <v>35.799999999999997</v>
      </c>
      <c r="G60" s="87">
        <v>40.799999999999997</v>
      </c>
      <c r="H60" s="180"/>
      <c r="I60" s="180"/>
      <c r="J60" s="180"/>
      <c r="K60" s="180"/>
      <c r="M60" s="87">
        <v>24.8</v>
      </c>
      <c r="N60" s="87">
        <v>25.5</v>
      </c>
      <c r="O60" s="87">
        <v>26.5</v>
      </c>
      <c r="P60" s="87">
        <v>27.4</v>
      </c>
      <c r="Q60" s="87">
        <v>26.2</v>
      </c>
      <c r="R60" s="87">
        <v>25.7</v>
      </c>
      <c r="S60" s="87">
        <v>26.8</v>
      </c>
      <c r="T60" s="87">
        <v>28.1</v>
      </c>
      <c r="U60" s="87">
        <v>30.5</v>
      </c>
      <c r="V60" s="87">
        <v>32.799999999999997</v>
      </c>
      <c r="W60" s="87">
        <v>34.4</v>
      </c>
      <c r="X60" s="87">
        <v>35.799999999999997</v>
      </c>
      <c r="Y60" s="87">
        <v>37.200000000000003</v>
      </c>
      <c r="Z60" s="87">
        <v>38.1</v>
      </c>
      <c r="AA60" s="87">
        <v>39.5</v>
      </c>
      <c r="AB60" s="87">
        <v>40.799999999999997</v>
      </c>
      <c r="AC60" s="180"/>
      <c r="AD60" s="200"/>
      <c r="AE60" s="200"/>
      <c r="AF60" s="200"/>
      <c r="AG60" s="180"/>
      <c r="AH60" s="200"/>
      <c r="AI60" s="200"/>
      <c r="AJ60" s="200"/>
      <c r="AK60" s="180"/>
      <c r="AL60" s="200"/>
      <c r="AM60" s="200"/>
      <c r="AN60" s="200"/>
      <c r="AO60" s="180"/>
    </row>
    <row r="61" spans="2:42" collapsed="1"/>
  </sheetData>
  <pageMargins left="0.7" right="0.7" top="0.75" bottom="0.75" header="0.3" footer="0.3"/>
  <pageSetup orientation="portrait" horizontalDpi="90" verticalDpi="9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A00EECCAA3DB94895FACE15614ECBE0" ma:contentTypeVersion="3" ma:contentTypeDescription="Create a new document." ma:contentTypeScope="" ma:versionID="df48d4251bee182ecc7fb5dcb95088a2">
  <xsd:schema xmlns:xsd="http://www.w3.org/2001/XMLSchema" xmlns:xs="http://www.w3.org/2001/XMLSchema" xmlns:p="http://schemas.microsoft.com/office/2006/metadata/properties" xmlns:ns2="aa33d72f-12a9-4590-815a-2b1f92f4a722" targetNamespace="http://schemas.microsoft.com/office/2006/metadata/properties" ma:root="true" ma:fieldsID="e53bcbeb5cc26077ba81130311515115" ns2:_="">
    <xsd:import namespace="aa33d72f-12a9-4590-815a-2b1f92f4a7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3d72f-12a9-4590-815a-2b1f92f4a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6D52C4-31B4-41FD-8C33-A43A47EFECBF}"/>
</file>

<file path=customXml/itemProps2.xml><?xml version="1.0" encoding="utf-8"?>
<ds:datastoreItem xmlns:ds="http://schemas.openxmlformats.org/officeDocument/2006/customXml" ds:itemID="{2A4868C1-A713-41DF-9255-CE5569C5D6FD}"/>
</file>

<file path=customXml/itemProps3.xml><?xml version="1.0" encoding="utf-8"?>
<ds:datastoreItem xmlns:ds="http://schemas.openxmlformats.org/officeDocument/2006/customXml" ds:itemID="{FD4C2769-1A23-47FC-96CF-8A65B8A0C3C5}"/>
</file>

<file path=docProps/app.xml><?xml version="1.0" encoding="utf-8"?>
<Properties xmlns="http://schemas.openxmlformats.org/officeDocument/2006/extended-properties" xmlns:vt="http://schemas.openxmlformats.org/officeDocument/2006/docPropsVTypes">
  <Application>Microsoft Excel Online</Application>
  <Manager/>
  <Company>MassMutual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MAB</dc:creator>
  <cp:keywords/>
  <dc:description/>
  <cp:lastModifiedBy/>
  <cp:revision/>
  <dcterms:created xsi:type="dcterms:W3CDTF">2008-03-12T15:44:19Z</dcterms:created>
  <dcterms:modified xsi:type="dcterms:W3CDTF">2026-09-09T15:08:20Z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{7259EA4D-B0FF-4B67-B3B9-C4BFD77D0FED}</vt:lpwstr>
  </property>
  <property fmtid="{D5CDD505-2E9C-101B-9397-08002B2CF9AE}" pid="3" name="MSIP_Label_8c63c790-1b4f-473b-b88f-a693ca173b52_Enabled">
    <vt:lpwstr>true</vt:lpwstr>
  </property>
  <property fmtid="{D5CDD505-2E9C-101B-9397-08002B2CF9AE}" pid="4" name="MSIP_Label_8c63c790-1b4f-473b-b88f-a693ca173b52_SetDate">
    <vt:lpwstr>2021-11-30T10:31:40Z</vt:lpwstr>
  </property>
  <property fmtid="{D5CDD505-2E9C-101B-9397-08002B2CF9AE}" pid="5" name="MSIP_Label_8c63c790-1b4f-473b-b88f-a693ca173b52_Method">
    <vt:lpwstr>Privileged</vt:lpwstr>
  </property>
  <property fmtid="{D5CDD505-2E9C-101B-9397-08002B2CF9AE}" pid="6" name="MSIP_Label_8c63c790-1b4f-473b-b88f-a693ca173b52_Name">
    <vt:lpwstr>Internal</vt:lpwstr>
  </property>
  <property fmtid="{D5CDD505-2E9C-101B-9397-08002B2CF9AE}" pid="7" name="MSIP_Label_8c63c790-1b4f-473b-b88f-a693ca173b52_SiteId">
    <vt:lpwstr>4d8b04bf-7a7c-48a0-b6e3-38da5008297e</vt:lpwstr>
  </property>
  <property fmtid="{D5CDD505-2E9C-101B-9397-08002B2CF9AE}" pid="8" name="MSIP_Label_8c63c790-1b4f-473b-b88f-a693ca173b52_ActionId">
    <vt:lpwstr>51546eab-3c83-42bb-8def-5f41348e9bcf</vt:lpwstr>
  </property>
  <property fmtid="{D5CDD505-2E9C-101B-9397-08002B2CF9AE}" pid="9" name="MSIP_Label_8c63c790-1b4f-473b-b88f-a693ca173b52_ContentBits">
    <vt:lpwstr>0</vt:lpwstr>
  </property>
  <property fmtid="{D5CDD505-2E9C-101B-9397-08002B2CF9AE}" pid="10" name="MSIP_Label_e23aaa83-1940-48a9-a4d6-4a193a1929ec_Enabled">
    <vt:lpwstr>true</vt:lpwstr>
  </property>
  <property fmtid="{D5CDD505-2E9C-101B-9397-08002B2CF9AE}" pid="11" name="MSIP_Label_e23aaa83-1940-48a9-a4d6-4a193a1929ec_SetDate">
    <vt:lpwstr>2023-11-28T11:38:25Z</vt:lpwstr>
  </property>
  <property fmtid="{D5CDD505-2E9C-101B-9397-08002B2CF9AE}" pid="12" name="MSIP_Label_e23aaa83-1940-48a9-a4d6-4a193a1929ec_Method">
    <vt:lpwstr>Standard</vt:lpwstr>
  </property>
  <property fmtid="{D5CDD505-2E9C-101B-9397-08002B2CF9AE}" pid="13" name="MSIP_Label_e23aaa83-1940-48a9-a4d6-4a193a1929ec_Name">
    <vt:lpwstr>Corporate</vt:lpwstr>
  </property>
  <property fmtid="{D5CDD505-2E9C-101B-9397-08002B2CF9AE}" pid="14" name="MSIP_Label_e23aaa83-1940-48a9-a4d6-4a193a1929ec_SiteId">
    <vt:lpwstr>ce78e7b0-e32a-4428-9390-1c2ec8a59c47</vt:lpwstr>
  </property>
  <property fmtid="{D5CDD505-2E9C-101B-9397-08002B2CF9AE}" pid="15" name="MSIP_Label_e23aaa83-1940-48a9-a4d6-4a193a1929ec_ActionId">
    <vt:lpwstr>ddbb93f3-8ae2-4637-9630-b278c5525493</vt:lpwstr>
  </property>
  <property fmtid="{D5CDD505-2E9C-101B-9397-08002B2CF9AE}" pid="16" name="MSIP_Label_e23aaa83-1940-48a9-a4d6-4a193a1929ec_ContentBits">
    <vt:lpwstr>2</vt:lpwstr>
  </property>
  <property fmtid="{D5CDD505-2E9C-101B-9397-08002B2CF9AE}" pid="17" name="ContentTypeId">
    <vt:lpwstr>0x0101003A00EECCAA3DB94895FACE15614ECBE0</vt:lpwstr>
  </property>
</Properties>
</file>