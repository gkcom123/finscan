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https://crisil-my.sharepoint.com/personal/lokeshk_ad_crisil_com/Documents/1_Team_Fixed Income (Credit)/Bara Model Work/Bara - Model Update/WIP/Jun 2026 - CTP/1Q26/"/>
    </mc:Choice>
  </mc:AlternateContent>
  <xr:revisionPtr revIDLastSave="0" documentId="8_{3C8A20AD-1417-4AA9-A54C-23FD69C09C8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apitalisation" sheetId="3" r:id="rId1"/>
    <sheet name="Model" sheetId="1" r:id="rId2"/>
    <sheet name="KPIs" sheetId="2" r:id="rId3"/>
  </sheets>
  <definedNames>
    <definedName name="CIQWBGuid" hidden="1">"81e28db9-2323-4452-a576-a7ae99cfb5c4"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03" i="1" l="1"/>
  <c r="BF204" i="1"/>
  <c r="AA166" i="1"/>
  <c r="AB166" i="1"/>
  <c r="AC166" i="1"/>
  <c r="AD166" i="1"/>
  <c r="AC164" i="1"/>
  <c r="AB164" i="1"/>
  <c r="AA164" i="1"/>
  <c r="AD164" i="1"/>
  <c r="BE164" i="1"/>
  <c r="BD164" i="1"/>
  <c r="BC164" i="1"/>
  <c r="BB164" i="1"/>
  <c r="BA164" i="1"/>
  <c r="BF164" i="1"/>
  <c r="AD108" i="1"/>
  <c r="J8" i="3" l="1"/>
  <c r="C19" i="3"/>
  <c r="C17" i="3"/>
  <c r="J9" i="3" s="1"/>
  <c r="C36" i="3"/>
  <c r="B27" i="3"/>
  <c r="B28" i="3" s="1"/>
  <c r="B29" i="3" s="1"/>
  <c r="B30" i="3" s="1"/>
  <c r="B31" i="3" s="1"/>
  <c r="B32" i="3" s="1"/>
  <c r="B33" i="3" s="1"/>
  <c r="B34" i="3" s="1"/>
  <c r="C16" i="3"/>
  <c r="M3" i="2"/>
  <c r="BF127" i="1"/>
  <c r="O127" i="1" s="1"/>
  <c r="BF126" i="1"/>
  <c r="O126" i="1" s="1"/>
  <c r="BF118" i="1"/>
  <c r="O118" i="1" s="1"/>
  <c r="BF95" i="1"/>
  <c r="BF94" i="1"/>
  <c r="BF89" i="1"/>
  <c r="BF175" i="1" s="1"/>
  <c r="BF233" i="1" s="1"/>
  <c r="O204" i="1"/>
  <c r="J3" i="3" s="1"/>
  <c r="D35" i="3" s="1"/>
  <c r="O203" i="1"/>
  <c r="O147" i="1"/>
  <c r="O134" i="1"/>
  <c r="O130" i="1"/>
  <c r="O121" i="1"/>
  <c r="O120" i="1"/>
  <c r="O119" i="1"/>
  <c r="O3" i="1"/>
  <c r="BF249" i="1"/>
  <c r="BF219" i="1"/>
  <c r="BF207" i="1"/>
  <c r="BF218" i="1" s="1"/>
  <c r="BF205" i="1"/>
  <c r="BF201" i="1"/>
  <c r="BF261" i="1" s="1"/>
  <c r="BF183" i="1"/>
  <c r="BF241" i="1" s="1"/>
  <c r="BF179" i="1"/>
  <c r="BF237" i="1" s="1"/>
  <c r="BF178" i="1"/>
  <c r="BF236" i="1" s="1"/>
  <c r="BF176" i="1"/>
  <c r="BF234" i="1" s="1"/>
  <c r="BF173" i="1"/>
  <c r="BF231" i="1" s="1"/>
  <c r="BF172" i="1"/>
  <c r="BF230" i="1" s="1"/>
  <c r="BF171" i="1"/>
  <c r="BF229" i="1" s="1"/>
  <c r="BF170" i="1"/>
  <c r="BF228" i="1" s="1"/>
  <c r="BF161" i="1"/>
  <c r="BF155" i="1"/>
  <c r="BF213" i="1" s="1"/>
  <c r="BF149" i="1"/>
  <c r="BF160" i="1" s="1"/>
  <c r="BF122" i="1"/>
  <c r="BF105" i="1"/>
  <c r="BF72" i="1"/>
  <c r="BF71" i="1"/>
  <c r="BF61" i="1"/>
  <c r="BF32" i="1"/>
  <c r="BF19" i="1"/>
  <c r="BF16" i="1"/>
  <c r="BF13" i="1"/>
  <c r="BF10" i="1"/>
  <c r="M117" i="2"/>
  <c r="M126" i="2" s="1"/>
  <c r="AB93" i="2"/>
  <c r="M93" i="2"/>
  <c r="M44" i="2"/>
  <c r="M49" i="2" s="1"/>
  <c r="M20" i="2"/>
  <c r="M21" i="2"/>
  <c r="M22" i="2"/>
  <c r="J10" i="3" l="1"/>
  <c r="D19" i="3"/>
  <c r="D27" i="3"/>
  <c r="D31" i="3"/>
  <c r="D17" i="3"/>
  <c r="C18" i="3"/>
  <c r="D10" i="3"/>
  <c r="D28" i="3"/>
  <c r="D32" i="3"/>
  <c r="D33" i="3"/>
  <c r="D26" i="3"/>
  <c r="D30" i="3"/>
  <c r="D34" i="3"/>
  <c r="D13" i="3"/>
  <c r="D14" i="3"/>
  <c r="D29" i="3"/>
  <c r="D9" i="3"/>
  <c r="M132" i="2"/>
  <c r="M123" i="2"/>
  <c r="M130" i="2"/>
  <c r="M122" i="2"/>
  <c r="M125" i="2"/>
  <c r="M131" i="2"/>
  <c r="M129" i="2"/>
  <c r="M121" i="2"/>
  <c r="M133" i="2" s="1"/>
  <c r="M128" i="2"/>
  <c r="M124" i="2"/>
  <c r="M127" i="2"/>
  <c r="M48" i="2"/>
  <c r="M54" i="2" s="1"/>
  <c r="M51" i="2"/>
  <c r="M53" i="2"/>
  <c r="M52" i="2"/>
  <c r="M50" i="2"/>
  <c r="M24" i="2"/>
  <c r="M23" i="2"/>
  <c r="M19" i="2"/>
  <c r="M25" i="2" s="1"/>
  <c r="BF20" i="1"/>
  <c r="BF59" i="1" s="1"/>
  <c r="BF180" i="1"/>
  <c r="BF238" i="1" s="1"/>
  <c r="BF181" i="1"/>
  <c r="BF239" i="1" s="1"/>
  <c r="BF128" i="1"/>
  <c r="C22" i="3" s="1"/>
  <c r="J39" i="3"/>
  <c r="S136" i="2"/>
  <c r="U136" i="2"/>
  <c r="W136" i="2"/>
  <c r="Y136" i="2"/>
  <c r="AA136" i="2"/>
  <c r="S137" i="2"/>
  <c r="U137" i="2"/>
  <c r="W137" i="2"/>
  <c r="Y137" i="2"/>
  <c r="AA137" i="2"/>
  <c r="S138" i="2"/>
  <c r="U138" i="2"/>
  <c r="W138" i="2"/>
  <c r="Y138" i="2"/>
  <c r="AA138" i="2"/>
  <c r="S139" i="2"/>
  <c r="U139" i="2"/>
  <c r="W139" i="2"/>
  <c r="Y139" i="2"/>
  <c r="AA139" i="2"/>
  <c r="S140" i="2"/>
  <c r="U140" i="2"/>
  <c r="W140" i="2"/>
  <c r="Y140" i="2"/>
  <c r="AA140" i="2"/>
  <c r="S141" i="2"/>
  <c r="U141" i="2"/>
  <c r="W141" i="2"/>
  <c r="Y141" i="2"/>
  <c r="AA141" i="2"/>
  <c r="S142" i="2"/>
  <c r="U142" i="2"/>
  <c r="W142" i="2"/>
  <c r="Y142" i="2"/>
  <c r="AA142" i="2"/>
  <c r="S143" i="2"/>
  <c r="U143" i="2"/>
  <c r="W143" i="2"/>
  <c r="Y143" i="2"/>
  <c r="AA143" i="2"/>
  <c r="R144" i="2"/>
  <c r="S144" i="2"/>
  <c r="T144" i="2"/>
  <c r="U144" i="2"/>
  <c r="W144" i="2"/>
  <c r="Y144" i="2"/>
  <c r="AA144" i="2"/>
  <c r="R145" i="2"/>
  <c r="S145" i="2"/>
  <c r="T145" i="2"/>
  <c r="U145" i="2"/>
  <c r="W145" i="2"/>
  <c r="Y145" i="2"/>
  <c r="AA145" i="2"/>
  <c r="S146" i="2"/>
  <c r="U146" i="2"/>
  <c r="W146" i="2"/>
  <c r="Y146" i="2"/>
  <c r="AA146" i="2"/>
  <c r="R147" i="2"/>
  <c r="S147" i="2"/>
  <c r="T147" i="2"/>
  <c r="U147" i="2"/>
  <c r="V147" i="2"/>
  <c r="W147" i="2"/>
  <c r="X147" i="2"/>
  <c r="Y147" i="2"/>
  <c r="Z147" i="2"/>
  <c r="AA147" i="2"/>
  <c r="AB147" i="2"/>
  <c r="Q137" i="2"/>
  <c r="Q138" i="2"/>
  <c r="Q139" i="2"/>
  <c r="Q140" i="2"/>
  <c r="Q141" i="2"/>
  <c r="Q142" i="2"/>
  <c r="Q143" i="2"/>
  <c r="Q144" i="2"/>
  <c r="Q145" i="2"/>
  <c r="Q146" i="2"/>
  <c r="Q147" i="2"/>
  <c r="Q136" i="2"/>
  <c r="E136" i="2"/>
  <c r="F136" i="2"/>
  <c r="G136" i="2"/>
  <c r="H136" i="2"/>
  <c r="I136" i="2"/>
  <c r="J136" i="2"/>
  <c r="K136" i="2"/>
  <c r="L136" i="2"/>
  <c r="E137" i="2"/>
  <c r="F137" i="2"/>
  <c r="G137" i="2"/>
  <c r="H137" i="2"/>
  <c r="I137" i="2"/>
  <c r="J137" i="2"/>
  <c r="K137" i="2"/>
  <c r="L137" i="2"/>
  <c r="E138" i="2"/>
  <c r="F138" i="2"/>
  <c r="G138" i="2"/>
  <c r="H138" i="2"/>
  <c r="I138" i="2"/>
  <c r="J138" i="2"/>
  <c r="K138" i="2"/>
  <c r="L138" i="2"/>
  <c r="E139" i="2"/>
  <c r="F139" i="2"/>
  <c r="G139" i="2"/>
  <c r="H139" i="2"/>
  <c r="I139" i="2"/>
  <c r="J139" i="2"/>
  <c r="K139" i="2"/>
  <c r="L139" i="2"/>
  <c r="E140" i="2"/>
  <c r="F140" i="2"/>
  <c r="G140" i="2"/>
  <c r="H140" i="2"/>
  <c r="I140" i="2"/>
  <c r="J140" i="2"/>
  <c r="K140" i="2"/>
  <c r="L140" i="2"/>
  <c r="E141" i="2"/>
  <c r="F141" i="2"/>
  <c r="G141" i="2"/>
  <c r="H141" i="2"/>
  <c r="I141" i="2"/>
  <c r="J141" i="2"/>
  <c r="K141" i="2"/>
  <c r="L141" i="2"/>
  <c r="E142" i="2"/>
  <c r="F142" i="2"/>
  <c r="G142" i="2"/>
  <c r="H142" i="2"/>
  <c r="I142" i="2"/>
  <c r="J142" i="2"/>
  <c r="K142" i="2"/>
  <c r="L142" i="2"/>
  <c r="E143" i="2"/>
  <c r="F143" i="2"/>
  <c r="G143" i="2"/>
  <c r="H143" i="2"/>
  <c r="I143" i="2"/>
  <c r="J143" i="2"/>
  <c r="K143" i="2"/>
  <c r="L143" i="2"/>
  <c r="E144" i="2"/>
  <c r="F144" i="2"/>
  <c r="G144" i="2"/>
  <c r="H144" i="2"/>
  <c r="I144" i="2"/>
  <c r="J144" i="2"/>
  <c r="K144" i="2"/>
  <c r="L144" i="2"/>
  <c r="E145" i="2"/>
  <c r="F145" i="2"/>
  <c r="G145" i="2"/>
  <c r="H145" i="2"/>
  <c r="I145" i="2"/>
  <c r="J145" i="2"/>
  <c r="K145" i="2"/>
  <c r="L145" i="2"/>
  <c r="E146" i="2"/>
  <c r="F146" i="2"/>
  <c r="G146" i="2"/>
  <c r="H146" i="2"/>
  <c r="I146" i="2"/>
  <c r="J146" i="2"/>
  <c r="K146" i="2"/>
  <c r="L146" i="2"/>
  <c r="E147" i="2"/>
  <c r="F147" i="2"/>
  <c r="G147" i="2"/>
  <c r="H147" i="2"/>
  <c r="I147" i="2"/>
  <c r="J147" i="2"/>
  <c r="K147" i="2"/>
  <c r="L147" i="2"/>
  <c r="D137" i="2"/>
  <c r="D138" i="2"/>
  <c r="D139" i="2"/>
  <c r="D140" i="2"/>
  <c r="D141" i="2"/>
  <c r="D142" i="2"/>
  <c r="D143" i="2"/>
  <c r="D144" i="2"/>
  <c r="D145" i="2"/>
  <c r="D146" i="2"/>
  <c r="D147" i="2"/>
  <c r="D136" i="2"/>
  <c r="AA62" i="2"/>
  <c r="Y62" i="2"/>
  <c r="W62" i="2"/>
  <c r="U62" i="2"/>
  <c r="S62" i="2"/>
  <c r="R62" i="2"/>
  <c r="S61" i="2"/>
  <c r="AA60" i="2"/>
  <c r="Y60" i="2"/>
  <c r="W60" i="2"/>
  <c r="U60" i="2"/>
  <c r="S60" i="2"/>
  <c r="R60" i="2"/>
  <c r="AA59" i="2"/>
  <c r="Y59" i="2"/>
  <c r="W59" i="2"/>
  <c r="U59" i="2"/>
  <c r="S59" i="2"/>
  <c r="AA58" i="2"/>
  <c r="Y58" i="2"/>
  <c r="W58" i="2"/>
  <c r="U58" i="2"/>
  <c r="S58" i="2"/>
  <c r="AA57" i="2"/>
  <c r="Y57" i="2"/>
  <c r="W57" i="2"/>
  <c r="U57" i="2"/>
  <c r="S57" i="2"/>
  <c r="Q62" i="2"/>
  <c r="Q61" i="2"/>
  <c r="Q60" i="2"/>
  <c r="Q59" i="2"/>
  <c r="Q58" i="2"/>
  <c r="Q57" i="2"/>
  <c r="G57" i="2"/>
  <c r="H57" i="2"/>
  <c r="I57" i="2"/>
  <c r="J57" i="2"/>
  <c r="K57" i="2"/>
  <c r="L57" i="2"/>
  <c r="G58" i="2"/>
  <c r="H58" i="2"/>
  <c r="I58" i="2"/>
  <c r="J58" i="2"/>
  <c r="K58" i="2"/>
  <c r="L58" i="2"/>
  <c r="G59" i="2"/>
  <c r="H59" i="2"/>
  <c r="I59" i="2"/>
  <c r="J59" i="2"/>
  <c r="K59" i="2"/>
  <c r="L59" i="2"/>
  <c r="G60" i="2"/>
  <c r="H60" i="2"/>
  <c r="I60" i="2"/>
  <c r="J60" i="2"/>
  <c r="K60" i="2"/>
  <c r="L60" i="2"/>
  <c r="G62" i="2"/>
  <c r="H62" i="2"/>
  <c r="I62" i="2"/>
  <c r="J62" i="2"/>
  <c r="K62" i="2"/>
  <c r="L62" i="2"/>
  <c r="F58" i="2"/>
  <c r="F59" i="2"/>
  <c r="F60" i="2"/>
  <c r="F62" i="2"/>
  <c r="F57" i="2"/>
  <c r="AA33" i="2"/>
  <c r="Y33" i="2"/>
  <c r="W33" i="2"/>
  <c r="U33" i="2"/>
  <c r="S33" i="2"/>
  <c r="R33" i="2"/>
  <c r="S32" i="2"/>
  <c r="AA31" i="2"/>
  <c r="Y31" i="2"/>
  <c r="W31" i="2"/>
  <c r="U31" i="2"/>
  <c r="S31" i="2"/>
  <c r="R31" i="2"/>
  <c r="AA30" i="2"/>
  <c r="Y30" i="2"/>
  <c r="W30" i="2"/>
  <c r="U30" i="2"/>
  <c r="S30" i="2"/>
  <c r="AA29" i="2"/>
  <c r="Y29" i="2"/>
  <c r="W29" i="2"/>
  <c r="U29" i="2"/>
  <c r="S29" i="2"/>
  <c r="AA28" i="2"/>
  <c r="Y28" i="2"/>
  <c r="W28" i="2"/>
  <c r="U28" i="2"/>
  <c r="S28" i="2"/>
  <c r="Q33" i="2"/>
  <c r="Q32" i="2"/>
  <c r="Q31" i="2"/>
  <c r="Q30" i="2"/>
  <c r="Q29" i="2"/>
  <c r="Q28" i="2"/>
  <c r="G28" i="2"/>
  <c r="H28" i="2"/>
  <c r="I28" i="2"/>
  <c r="J28" i="2"/>
  <c r="K28" i="2"/>
  <c r="L28" i="2"/>
  <c r="G29" i="2"/>
  <c r="H29" i="2"/>
  <c r="I29" i="2"/>
  <c r="J29" i="2"/>
  <c r="K29" i="2"/>
  <c r="L29" i="2"/>
  <c r="G30" i="2"/>
  <c r="H30" i="2"/>
  <c r="I30" i="2"/>
  <c r="J30" i="2"/>
  <c r="K30" i="2"/>
  <c r="L30" i="2"/>
  <c r="G31" i="2"/>
  <c r="H31" i="2"/>
  <c r="I31" i="2"/>
  <c r="J31" i="2"/>
  <c r="K31" i="2"/>
  <c r="L31" i="2"/>
  <c r="G33" i="2"/>
  <c r="H33" i="2"/>
  <c r="I33" i="2"/>
  <c r="J33" i="2"/>
  <c r="K33" i="2"/>
  <c r="L33" i="2"/>
  <c r="F29" i="2"/>
  <c r="F30" i="2"/>
  <c r="F31" i="2"/>
  <c r="F32" i="2"/>
  <c r="F33" i="2"/>
  <c r="F28" i="2"/>
  <c r="C20" i="3" l="1"/>
  <c r="D20" i="3" s="1"/>
  <c r="D36" i="3"/>
  <c r="D16" i="3"/>
  <c r="BF57" i="1"/>
  <c r="BF163" i="1"/>
  <c r="BF221" i="1" s="1"/>
  <c r="BF53" i="1"/>
  <c r="BF54" i="1"/>
  <c r="BF55" i="1"/>
  <c r="BF24" i="1"/>
  <c r="BF34" i="1" s="1"/>
  <c r="BF56" i="1"/>
  <c r="BF58" i="1"/>
  <c r="BF154" i="1"/>
  <c r="BF188" i="1"/>
  <c r="BF246" i="1" s="1"/>
  <c r="BF135" i="1"/>
  <c r="BF132" i="1"/>
  <c r="BF62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L205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F40" i="1" l="1"/>
  <c r="BF63" i="1" s="1"/>
  <c r="BF70" i="1"/>
  <c r="D18" i="3"/>
  <c r="BF35" i="1"/>
  <c r="BF73" i="1"/>
  <c r="BF43" i="1"/>
  <c r="BF212" i="1"/>
  <c r="BF156" i="1"/>
  <c r="BF214" i="1" s="1"/>
  <c r="BF189" i="1"/>
  <c r="BF247" i="1" s="1"/>
  <c r="BF145" i="1"/>
  <c r="BF199" i="1" s="1"/>
  <c r="BB72" i="1"/>
  <c r="AX72" i="1"/>
  <c r="AT72" i="1"/>
  <c r="AP72" i="1"/>
  <c r="AL72" i="1"/>
  <c r="AH72" i="1"/>
  <c r="AC72" i="1"/>
  <c r="AA72" i="1"/>
  <c r="Y72" i="1"/>
  <c r="W72" i="1"/>
  <c r="U72" i="1"/>
  <c r="S72" i="1"/>
  <c r="Q72" i="1"/>
  <c r="N72" i="1"/>
  <c r="M72" i="1"/>
  <c r="L72" i="1"/>
  <c r="K72" i="1"/>
  <c r="J72" i="1"/>
  <c r="I72" i="1"/>
  <c r="H72" i="1"/>
  <c r="G72" i="1"/>
  <c r="F72" i="1"/>
  <c r="E72" i="1"/>
  <c r="D72" i="1"/>
  <c r="C72" i="1"/>
  <c r="N71" i="1"/>
  <c r="N10" i="1"/>
  <c r="N13" i="1"/>
  <c r="BC153" i="2"/>
  <c r="BC154" i="2"/>
  <c r="BC155" i="2"/>
  <c r="BC152" i="2"/>
  <c r="AB106" i="2"/>
  <c r="AB107" i="2"/>
  <c r="AB108" i="2"/>
  <c r="AB109" i="2"/>
  <c r="AB110" i="2"/>
  <c r="AB111" i="2"/>
  <c r="AB112" i="2"/>
  <c r="AB113" i="2"/>
  <c r="AB144" i="2" s="1"/>
  <c r="AB114" i="2"/>
  <c r="AB115" i="2"/>
  <c r="AB105" i="2"/>
  <c r="AB43" i="2"/>
  <c r="AB41" i="2"/>
  <c r="AB40" i="2"/>
  <c r="AB39" i="2"/>
  <c r="AB38" i="2"/>
  <c r="AB10" i="2"/>
  <c r="AB11" i="2"/>
  <c r="AB12" i="2"/>
  <c r="AB14" i="2"/>
  <c r="AB9" i="2"/>
  <c r="L117" i="2"/>
  <c r="L42" i="2"/>
  <c r="L13" i="2"/>
  <c r="J44" i="3"/>
  <c r="B63" i="3"/>
  <c r="B64" i="3" s="1"/>
  <c r="B65" i="3" s="1"/>
  <c r="B66" i="3" s="1"/>
  <c r="B67" i="3" s="1"/>
  <c r="B68" i="3" s="1"/>
  <c r="B69" i="3" s="1"/>
  <c r="B70" i="3" s="1"/>
  <c r="C72" i="3"/>
  <c r="C52" i="3"/>
  <c r="O205" i="1"/>
  <c r="BE147" i="1"/>
  <c r="BE134" i="1"/>
  <c r="C55" i="3" s="1"/>
  <c r="BE130" i="1"/>
  <c r="C53" i="3" s="1"/>
  <c r="BE121" i="1"/>
  <c r="BE120" i="1"/>
  <c r="BE119" i="1"/>
  <c r="BE29" i="1"/>
  <c r="O29" i="1" s="1"/>
  <c r="AD29" i="1"/>
  <c r="AD147" i="1"/>
  <c r="AD134" i="1"/>
  <c r="AD130" i="1"/>
  <c r="AD121" i="1"/>
  <c r="AD120" i="1"/>
  <c r="AD119" i="1"/>
  <c r="AD98" i="1"/>
  <c r="AD93" i="1"/>
  <c r="AD92" i="1"/>
  <c r="AD87" i="1"/>
  <c r="AD86" i="1"/>
  <c r="AD85" i="1"/>
  <c r="AD84" i="1"/>
  <c r="AD48" i="1"/>
  <c r="AD42" i="1"/>
  <c r="AD39" i="1"/>
  <c r="AD38" i="1"/>
  <c r="AD37" i="1"/>
  <c r="AD36" i="1"/>
  <c r="AD31" i="1"/>
  <c r="AD30" i="1"/>
  <c r="AD28" i="1"/>
  <c r="AD27" i="1"/>
  <c r="AD72" i="1" s="1"/>
  <c r="AD26" i="1"/>
  <c r="AD22" i="1"/>
  <c r="AD18" i="1"/>
  <c r="AD17" i="1"/>
  <c r="AD15" i="1"/>
  <c r="AD14" i="1"/>
  <c r="AD12" i="1"/>
  <c r="AD11" i="1"/>
  <c r="AD8" i="1"/>
  <c r="AD7" i="1"/>
  <c r="N204" i="1"/>
  <c r="AD204" i="1" s="1"/>
  <c r="N203" i="1"/>
  <c r="N205" i="1" s="1"/>
  <c r="N127" i="1"/>
  <c r="AD127" i="1" s="1"/>
  <c r="N126" i="1"/>
  <c r="BE126" i="1" s="1"/>
  <c r="N118" i="1"/>
  <c r="AD118" i="1" s="1"/>
  <c r="N94" i="1"/>
  <c r="N90" i="1"/>
  <c r="N89" i="1"/>
  <c r="AD207" i="1"/>
  <c r="AD218" i="1" s="1"/>
  <c r="AD149" i="1"/>
  <c r="AD160" i="1" s="1"/>
  <c r="J40" i="3" l="1"/>
  <c r="J4" i="3"/>
  <c r="BF259" i="1"/>
  <c r="BF75" i="1"/>
  <c r="BF78" i="1"/>
  <c r="BF47" i="1"/>
  <c r="BF50" i="1" s="1"/>
  <c r="BF44" i="1"/>
  <c r="L124" i="2"/>
  <c r="AB141" i="2"/>
  <c r="AB140" i="2"/>
  <c r="AB136" i="2"/>
  <c r="AB139" i="2"/>
  <c r="AB138" i="2"/>
  <c r="L44" i="2"/>
  <c r="L45" i="2" s="1"/>
  <c r="L15" i="2"/>
  <c r="L22" i="2" s="1"/>
  <c r="L132" i="2"/>
  <c r="D64" i="3"/>
  <c r="AD126" i="1"/>
  <c r="BE118" i="1"/>
  <c r="BE127" i="1"/>
  <c r="J45" i="3"/>
  <c r="J46" i="3" s="1"/>
  <c r="AB117" i="2"/>
  <c r="L125" i="2"/>
  <c r="L126" i="2"/>
  <c r="L53" i="2"/>
  <c r="L127" i="2"/>
  <c r="L118" i="2"/>
  <c r="L128" i="2"/>
  <c r="L121" i="2"/>
  <c r="L129" i="2"/>
  <c r="L94" i="2"/>
  <c r="L122" i="2"/>
  <c r="L130" i="2"/>
  <c r="L123" i="2"/>
  <c r="L131" i="2"/>
  <c r="C54" i="3"/>
  <c r="D69" i="3"/>
  <c r="D45" i="3"/>
  <c r="D63" i="3"/>
  <c r="BE207" i="1"/>
  <c r="BE218" i="1" s="1"/>
  <c r="BE205" i="1"/>
  <c r="BE149" i="1"/>
  <c r="BE160" i="1" s="1"/>
  <c r="BE201" i="1"/>
  <c r="BE261" i="1" s="1"/>
  <c r="BE249" i="1"/>
  <c r="BE155" i="1"/>
  <c r="BE213" i="1" s="1"/>
  <c r="BE105" i="1"/>
  <c r="N207" i="1"/>
  <c r="N218" i="1" s="1"/>
  <c r="N249" i="1"/>
  <c r="N201" i="1"/>
  <c r="N261" i="1" s="1"/>
  <c r="N183" i="1"/>
  <c r="N173" i="1"/>
  <c r="N172" i="1"/>
  <c r="N171" i="1"/>
  <c r="N170" i="1"/>
  <c r="N155" i="1"/>
  <c r="N149" i="1"/>
  <c r="N160" i="1" s="1"/>
  <c r="N128" i="1"/>
  <c r="N122" i="1"/>
  <c r="BE122" i="1" s="1"/>
  <c r="N111" i="1"/>
  <c r="N181" i="1"/>
  <c r="N239" i="1" s="1"/>
  <c r="N180" i="1"/>
  <c r="N238" i="1" s="1"/>
  <c r="N179" i="1"/>
  <c r="N178" i="1"/>
  <c r="N176" i="1"/>
  <c r="N175" i="1"/>
  <c r="N61" i="1"/>
  <c r="N32" i="1"/>
  <c r="N19" i="1"/>
  <c r="N16" i="1"/>
  <c r="AC203" i="1"/>
  <c r="AD205" i="1" s="1"/>
  <c r="BD11" i="1"/>
  <c r="BE11" i="1" s="1"/>
  <c r="J113" i="3"/>
  <c r="J108" i="3"/>
  <c r="D136" i="3" s="1"/>
  <c r="C124" i="3"/>
  <c r="C122" i="3"/>
  <c r="J114" i="3" s="1"/>
  <c r="C141" i="3"/>
  <c r="C121" i="3"/>
  <c r="AD201" i="1"/>
  <c r="AD261" i="1" s="1"/>
  <c r="BD127" i="1"/>
  <c r="BD126" i="1"/>
  <c r="BD118" i="1"/>
  <c r="AD155" i="1"/>
  <c r="BD98" i="1"/>
  <c r="BD93" i="1"/>
  <c r="BD87" i="1"/>
  <c r="BD86" i="1"/>
  <c r="BD85" i="1"/>
  <c r="BD84" i="1"/>
  <c r="BD170" i="1" s="1"/>
  <c r="BD228" i="1" s="1"/>
  <c r="BD92" i="1"/>
  <c r="BD48" i="1"/>
  <c r="BE48" i="1" s="1"/>
  <c r="BD42" i="1"/>
  <c r="BE42" i="1" s="1"/>
  <c r="BD39" i="1"/>
  <c r="BE39" i="1" s="1"/>
  <c r="BD38" i="1"/>
  <c r="BE38" i="1" s="1"/>
  <c r="BD37" i="1"/>
  <c r="BE37" i="1" s="1"/>
  <c r="BD36" i="1"/>
  <c r="BE36" i="1" s="1"/>
  <c r="BD31" i="1"/>
  <c r="BE31" i="1" s="1"/>
  <c r="BD30" i="1"/>
  <c r="BE30" i="1" s="1"/>
  <c r="BD28" i="1"/>
  <c r="BE28" i="1" s="1"/>
  <c r="BD27" i="1"/>
  <c r="BD26" i="1"/>
  <c r="BE26" i="1" s="1"/>
  <c r="BD22" i="1"/>
  <c r="BE22" i="1" s="1"/>
  <c r="BD18" i="1"/>
  <c r="BE18" i="1" s="1"/>
  <c r="BD17" i="1"/>
  <c r="BE17" i="1" s="1"/>
  <c r="BD15" i="1"/>
  <c r="BE15" i="1" s="1"/>
  <c r="BD14" i="1"/>
  <c r="BE14" i="1" s="1"/>
  <c r="BD12" i="1"/>
  <c r="BE12" i="1" s="1"/>
  <c r="BD8" i="1"/>
  <c r="BE8" i="1" s="1"/>
  <c r="BD7" i="1"/>
  <c r="BE7" i="1" s="1"/>
  <c r="BD249" i="1"/>
  <c r="BD207" i="1"/>
  <c r="BD218" i="1" s="1"/>
  <c r="BD205" i="1"/>
  <c r="J109" i="3" s="1"/>
  <c r="BD201" i="1"/>
  <c r="BD261" i="1" s="1"/>
  <c r="BD155" i="1"/>
  <c r="BD213" i="1" s="1"/>
  <c r="BD149" i="1"/>
  <c r="BD160" i="1" s="1"/>
  <c r="BD122" i="1"/>
  <c r="BD105" i="1"/>
  <c r="AA117" i="2"/>
  <c r="Y93" i="2"/>
  <c r="Y94" i="2" s="1"/>
  <c r="AA93" i="2"/>
  <c r="AA100" i="2" s="1"/>
  <c r="BC205" i="1"/>
  <c r="BC7" i="1"/>
  <c r="AA89" i="1"/>
  <c r="Z106" i="2"/>
  <c r="Z137" i="2" s="1"/>
  <c r="Z107" i="2"/>
  <c r="Z108" i="2"/>
  <c r="Z109" i="2"/>
  <c r="Z110" i="2"/>
  <c r="Z111" i="2"/>
  <c r="Z112" i="2"/>
  <c r="Z114" i="2"/>
  <c r="Z145" i="2" s="1"/>
  <c r="Z115" i="2"/>
  <c r="Z146" i="2" s="1"/>
  <c r="Z105" i="2"/>
  <c r="Z89" i="2"/>
  <c r="Z90" i="2"/>
  <c r="Z91" i="2"/>
  <c r="Z92" i="2"/>
  <c r="Z88" i="2"/>
  <c r="Z39" i="2"/>
  <c r="Z40" i="2"/>
  <c r="Z41" i="2"/>
  <c r="AB60" i="2" s="1"/>
  <c r="Z43" i="2"/>
  <c r="AB62" i="2" s="1"/>
  <c r="Z38" i="2"/>
  <c r="Z10" i="2"/>
  <c r="AB29" i="2" s="1"/>
  <c r="Z11" i="2"/>
  <c r="Z12" i="2"/>
  <c r="Z14" i="2"/>
  <c r="AB33" i="2" s="1"/>
  <c r="Z9" i="2"/>
  <c r="AB28" i="2" s="1"/>
  <c r="X106" i="2"/>
  <c r="X107" i="2"/>
  <c r="X108" i="2"/>
  <c r="X109" i="2"/>
  <c r="X110" i="2"/>
  <c r="X111" i="2"/>
  <c r="X112" i="2"/>
  <c r="X113" i="2"/>
  <c r="X114" i="2"/>
  <c r="X115" i="2"/>
  <c r="X105" i="2"/>
  <c r="X89" i="2"/>
  <c r="X90" i="2"/>
  <c r="X91" i="2"/>
  <c r="X92" i="2"/>
  <c r="X88" i="2"/>
  <c r="X39" i="2"/>
  <c r="X40" i="2"/>
  <c r="X41" i="2"/>
  <c r="X43" i="2"/>
  <c r="X38" i="2"/>
  <c r="X10" i="2"/>
  <c r="X11" i="2"/>
  <c r="X12" i="2"/>
  <c r="X14" i="2"/>
  <c r="X9" i="2"/>
  <c r="AA42" i="2"/>
  <c r="AA13" i="2"/>
  <c r="Y117" i="2"/>
  <c r="Y42" i="2"/>
  <c r="Y13" i="2"/>
  <c r="W117" i="2"/>
  <c r="W93" i="2"/>
  <c r="W94" i="2" s="1"/>
  <c r="W71" i="2"/>
  <c r="W74" i="2" s="1"/>
  <c r="W79" i="2" s="1"/>
  <c r="W42" i="2"/>
  <c r="W13" i="2"/>
  <c r="J152" i="3"/>
  <c r="C178" i="3"/>
  <c r="C179" i="3" s="1"/>
  <c r="J147" i="3"/>
  <c r="D177" i="3" s="1"/>
  <c r="C160" i="3"/>
  <c r="BC130" i="1"/>
  <c r="BC155" i="1" s="1"/>
  <c r="BC213" i="1" s="1"/>
  <c r="AC249" i="1"/>
  <c r="BC207" i="1"/>
  <c r="BC218" i="1" s="1"/>
  <c r="BC149" i="1"/>
  <c r="BC160" i="1" s="1"/>
  <c r="BC147" i="1"/>
  <c r="BC201" i="1" s="1"/>
  <c r="BC261" i="1" s="1"/>
  <c r="BC134" i="1"/>
  <c r="BC249" i="1" s="1"/>
  <c r="BC121" i="1"/>
  <c r="BC120" i="1"/>
  <c r="BC119" i="1"/>
  <c r="BC98" i="1"/>
  <c r="BC93" i="1"/>
  <c r="AC89" i="1"/>
  <c r="AD89" i="1" s="1"/>
  <c r="AC90" i="1"/>
  <c r="BC105" i="1"/>
  <c r="BC87" i="1"/>
  <c r="BC86" i="1"/>
  <c r="BC85" i="1"/>
  <c r="BC84" i="1"/>
  <c r="BC48" i="1"/>
  <c r="O48" i="1" s="1"/>
  <c r="BC37" i="1"/>
  <c r="BC38" i="1"/>
  <c r="BC39" i="1"/>
  <c r="BC41" i="1"/>
  <c r="BC42" i="1"/>
  <c r="O42" i="1" s="1"/>
  <c r="BC36" i="1"/>
  <c r="O36" i="1" s="1"/>
  <c r="BC27" i="1"/>
  <c r="BC28" i="1"/>
  <c r="O28" i="1" s="1"/>
  <c r="BC30" i="1"/>
  <c r="O30" i="1" s="1"/>
  <c r="BC31" i="1"/>
  <c r="O31" i="1" s="1"/>
  <c r="BC26" i="1"/>
  <c r="BC22" i="1"/>
  <c r="BC12" i="1"/>
  <c r="BC11" i="1"/>
  <c r="O11" i="1" s="1"/>
  <c r="BC15" i="1"/>
  <c r="O15" i="1" s="1"/>
  <c r="BC17" i="1"/>
  <c r="O17" i="1" s="1"/>
  <c r="BC18" i="1"/>
  <c r="BC14" i="1"/>
  <c r="O14" i="1" s="1"/>
  <c r="BC8" i="1"/>
  <c r="O8" i="1" s="1"/>
  <c r="AY7" i="1"/>
  <c r="AC207" i="1"/>
  <c r="AC218" i="1" s="1"/>
  <c r="AC201" i="1"/>
  <c r="AC261" i="1" s="1"/>
  <c r="AC183" i="1"/>
  <c r="AC179" i="1"/>
  <c r="AC178" i="1"/>
  <c r="AC173" i="1"/>
  <c r="AC172" i="1"/>
  <c r="AC171" i="1"/>
  <c r="AC170" i="1"/>
  <c r="AC155" i="1"/>
  <c r="AC213" i="1" s="1"/>
  <c r="AC149" i="1"/>
  <c r="AC160" i="1" s="1"/>
  <c r="AC127" i="1"/>
  <c r="BC127" i="1" s="1"/>
  <c r="AC126" i="1"/>
  <c r="BC126" i="1" s="1"/>
  <c r="AC122" i="1"/>
  <c r="AC118" i="1"/>
  <c r="BC118" i="1" s="1"/>
  <c r="AC94" i="1"/>
  <c r="AC180" i="1" s="1"/>
  <c r="AC95" i="1"/>
  <c r="AC71" i="1"/>
  <c r="AC61" i="1"/>
  <c r="AC32" i="1"/>
  <c r="AB22" i="1"/>
  <c r="AB71" i="1" s="1"/>
  <c r="AC19" i="1"/>
  <c r="AC16" i="1"/>
  <c r="AC13" i="1"/>
  <c r="AC9" i="1"/>
  <c r="AZ7" i="1"/>
  <c r="BA7" i="1" s="1"/>
  <c r="AY8" i="1"/>
  <c r="AZ8" i="1"/>
  <c r="BA8" i="1" s="1"/>
  <c r="AX9" i="1"/>
  <c r="AX10" i="1" s="1"/>
  <c r="BB10" i="1"/>
  <c r="BA11" i="1"/>
  <c r="BA12" i="1"/>
  <c r="AX13" i="1"/>
  <c r="BB13" i="1"/>
  <c r="AY14" i="1"/>
  <c r="AZ14" i="1"/>
  <c r="BA14" i="1" s="1"/>
  <c r="AY15" i="1"/>
  <c r="AZ15" i="1"/>
  <c r="BA15" i="1" s="1"/>
  <c r="AX16" i="1"/>
  <c r="BB16" i="1"/>
  <c r="AY17" i="1"/>
  <c r="AZ17" i="1"/>
  <c r="BA17" i="1" s="1"/>
  <c r="AY18" i="1"/>
  <c r="AZ18" i="1"/>
  <c r="BA18" i="1" s="1"/>
  <c r="C214" i="3"/>
  <c r="C215" i="3" s="1"/>
  <c r="J183" i="3"/>
  <c r="C196" i="3"/>
  <c r="C197" i="3"/>
  <c r="J188" i="3"/>
  <c r="C199" i="3"/>
  <c r="BB127" i="1"/>
  <c r="BB126" i="1"/>
  <c r="BB118" i="1"/>
  <c r="BB95" i="1"/>
  <c r="BB181" i="1" s="1"/>
  <c r="BB239" i="1" s="1"/>
  <c r="BB94" i="1"/>
  <c r="BB180" i="1" s="1"/>
  <c r="BB238" i="1" s="1"/>
  <c r="BB92" i="1"/>
  <c r="BC92" i="1" s="1"/>
  <c r="BB89" i="1"/>
  <c r="BB249" i="1"/>
  <c r="BB207" i="1"/>
  <c r="BB218" i="1" s="1"/>
  <c r="BB205" i="1"/>
  <c r="J184" i="3" s="1"/>
  <c r="BB201" i="1"/>
  <c r="BB261" i="1" s="1"/>
  <c r="BB183" i="1"/>
  <c r="BB241" i="1" s="1"/>
  <c r="BB179" i="1"/>
  <c r="BB237" i="1" s="1"/>
  <c r="BB176" i="1"/>
  <c r="BB234" i="1" s="1"/>
  <c r="BB173" i="1"/>
  <c r="BB231" i="1" s="1"/>
  <c r="BB172" i="1"/>
  <c r="BB230" i="1" s="1"/>
  <c r="BB171" i="1"/>
  <c r="BB229" i="1" s="1"/>
  <c r="BB170" i="1"/>
  <c r="BB228" i="1" s="1"/>
  <c r="BB155" i="1"/>
  <c r="BB213" i="1" s="1"/>
  <c r="BB149" i="1"/>
  <c r="BB160" i="1" s="1"/>
  <c r="BB122" i="1"/>
  <c r="BB105" i="1"/>
  <c r="BB71" i="1"/>
  <c r="BB61" i="1"/>
  <c r="BB32" i="1"/>
  <c r="BB19" i="1"/>
  <c r="J222" i="3"/>
  <c r="C230" i="3"/>
  <c r="C248" i="3"/>
  <c r="C249" i="3" s="1"/>
  <c r="J217" i="3"/>
  <c r="D242" i="3" s="1"/>
  <c r="AY155" i="2"/>
  <c r="AY154" i="2"/>
  <c r="AY153" i="2"/>
  <c r="AY152" i="2"/>
  <c r="E93" i="2"/>
  <c r="F93" i="2"/>
  <c r="G93" i="2"/>
  <c r="H93" i="2"/>
  <c r="I93" i="2"/>
  <c r="J93" i="2"/>
  <c r="K93" i="2"/>
  <c r="K42" i="2"/>
  <c r="L61" i="2" s="1"/>
  <c r="K13" i="2"/>
  <c r="L32" i="2" s="1"/>
  <c r="K117" i="2"/>
  <c r="BA147" i="1"/>
  <c r="AW147" i="1"/>
  <c r="BA134" i="1"/>
  <c r="C233" i="3" s="1"/>
  <c r="BA130" i="1"/>
  <c r="BA121" i="1"/>
  <c r="BA120" i="1"/>
  <c r="BA119" i="1"/>
  <c r="M71" i="1"/>
  <c r="AB12" i="1"/>
  <c r="AB11" i="1"/>
  <c r="AB207" i="1"/>
  <c r="AB218" i="1" s="1"/>
  <c r="AB205" i="1"/>
  <c r="AB149" i="1"/>
  <c r="AB160" i="1" s="1"/>
  <c r="AB147" i="1"/>
  <c r="AB201" i="1" s="1"/>
  <c r="AB261" i="1" s="1"/>
  <c r="AB134" i="1"/>
  <c r="AB130" i="1"/>
  <c r="AB155" i="1" s="1"/>
  <c r="AB121" i="1"/>
  <c r="AB120" i="1"/>
  <c r="AB119" i="1"/>
  <c r="AB98" i="1"/>
  <c r="AB183" i="1" s="1"/>
  <c r="AB241" i="1" s="1"/>
  <c r="AB87" i="1"/>
  <c r="AB173" i="1" s="1"/>
  <c r="AB231" i="1" s="1"/>
  <c r="AB86" i="1"/>
  <c r="AB111" i="1" s="1"/>
  <c r="AB85" i="1"/>
  <c r="AB171" i="1" s="1"/>
  <c r="AB229" i="1" s="1"/>
  <c r="AB84" i="1"/>
  <c r="AB170" i="1" s="1"/>
  <c r="AB228" i="1" s="1"/>
  <c r="AB48" i="1"/>
  <c r="AB42" i="1"/>
  <c r="AB39" i="1"/>
  <c r="AB38" i="1"/>
  <c r="AB37" i="1"/>
  <c r="AB36" i="1"/>
  <c r="AB31" i="1"/>
  <c r="AB30" i="1"/>
  <c r="AB28" i="1"/>
  <c r="AB27" i="1"/>
  <c r="AB72" i="1" s="1"/>
  <c r="AB26" i="1"/>
  <c r="AB18" i="1"/>
  <c r="AB17" i="1"/>
  <c r="AB15" i="1"/>
  <c r="AB14" i="1"/>
  <c r="AB8" i="1"/>
  <c r="AB7" i="1"/>
  <c r="AH249" i="1"/>
  <c r="AJ249" i="1"/>
  <c r="AL249" i="1"/>
  <c r="AN249" i="1"/>
  <c r="AP249" i="1"/>
  <c r="AR249" i="1"/>
  <c r="AT249" i="1"/>
  <c r="AV249" i="1"/>
  <c r="AX249" i="1"/>
  <c r="AZ249" i="1"/>
  <c r="AF249" i="1"/>
  <c r="S249" i="1"/>
  <c r="Y249" i="1"/>
  <c r="AA249" i="1"/>
  <c r="C249" i="1"/>
  <c r="D249" i="1"/>
  <c r="E249" i="1"/>
  <c r="F249" i="1"/>
  <c r="G249" i="1"/>
  <c r="K249" i="1"/>
  <c r="L249" i="1"/>
  <c r="M204" i="1"/>
  <c r="M249" i="1" s="1"/>
  <c r="M203" i="1"/>
  <c r="M205" i="1" s="1"/>
  <c r="L111" i="1"/>
  <c r="AZ111" i="1" s="1"/>
  <c r="M127" i="1"/>
  <c r="AB127" i="1" s="1"/>
  <c r="M126" i="1"/>
  <c r="BA126" i="1" s="1"/>
  <c r="M118" i="1"/>
  <c r="AB118" i="1" s="1"/>
  <c r="M93" i="1"/>
  <c r="AB93" i="1" s="1"/>
  <c r="AB179" i="1" s="1"/>
  <c r="AB237" i="1" s="1"/>
  <c r="M94" i="1"/>
  <c r="M95" i="1"/>
  <c r="M92" i="1"/>
  <c r="AB92" i="1" s="1"/>
  <c r="AB178" i="1" s="1"/>
  <c r="AB236" i="1" s="1"/>
  <c r="M90" i="1"/>
  <c r="M89" i="1"/>
  <c r="AX19" i="1"/>
  <c r="AT19" i="1"/>
  <c r="AP19" i="1"/>
  <c r="AL19" i="1"/>
  <c r="AH19" i="1"/>
  <c r="Q19" i="1"/>
  <c r="AA19" i="1"/>
  <c r="Y19" i="1"/>
  <c r="W19" i="1"/>
  <c r="U19" i="1"/>
  <c r="S19" i="1"/>
  <c r="L19" i="1"/>
  <c r="K19" i="1"/>
  <c r="J19" i="1"/>
  <c r="I19" i="1"/>
  <c r="H19" i="1"/>
  <c r="G19" i="1"/>
  <c r="F19" i="1"/>
  <c r="E19" i="1"/>
  <c r="D19" i="1"/>
  <c r="C19" i="1"/>
  <c r="M13" i="1"/>
  <c r="L13" i="1"/>
  <c r="L207" i="1"/>
  <c r="L218" i="1" s="1"/>
  <c r="L201" i="1"/>
  <c r="L261" i="1" s="1"/>
  <c r="L183" i="1"/>
  <c r="L241" i="1" s="1"/>
  <c r="L179" i="1"/>
  <c r="L237" i="1" s="1"/>
  <c r="L173" i="1"/>
  <c r="L231" i="1" s="1"/>
  <c r="L172" i="1"/>
  <c r="L230" i="1" s="1"/>
  <c r="L171" i="1"/>
  <c r="L229" i="1" s="1"/>
  <c r="L170" i="1"/>
  <c r="L228" i="1" s="1"/>
  <c r="L155" i="1"/>
  <c r="L213" i="1" s="1"/>
  <c r="L149" i="1"/>
  <c r="L160" i="1" s="1"/>
  <c r="L127" i="1"/>
  <c r="L126" i="1"/>
  <c r="L122" i="1"/>
  <c r="L118" i="1"/>
  <c r="L95" i="1"/>
  <c r="L181" i="1" s="1"/>
  <c r="L239" i="1" s="1"/>
  <c r="L94" i="1"/>
  <c r="L180" i="1" s="1"/>
  <c r="L238" i="1" s="1"/>
  <c r="L92" i="1"/>
  <c r="L178" i="1" s="1"/>
  <c r="L236" i="1" s="1"/>
  <c r="L90" i="1"/>
  <c r="L176" i="1" s="1"/>
  <c r="L234" i="1" s="1"/>
  <c r="L89" i="1"/>
  <c r="L113" i="1" s="1"/>
  <c r="AZ113" i="1" s="1"/>
  <c r="L71" i="1"/>
  <c r="L61" i="1"/>
  <c r="L32" i="1"/>
  <c r="L16" i="1"/>
  <c r="L10" i="1"/>
  <c r="O13" i="1" l="1"/>
  <c r="O12" i="1"/>
  <c r="O22" i="1"/>
  <c r="M45" i="2" s="1"/>
  <c r="BC72" i="1"/>
  <c r="O26" i="1"/>
  <c r="O39" i="1"/>
  <c r="O7" i="1"/>
  <c r="O16" i="1"/>
  <c r="O38" i="1"/>
  <c r="O18" i="1"/>
  <c r="O37" i="1"/>
  <c r="BF83" i="1"/>
  <c r="BF165" i="1"/>
  <c r="BF80" i="1"/>
  <c r="BF77" i="1"/>
  <c r="BF60" i="1"/>
  <c r="W130" i="2"/>
  <c r="Z143" i="2"/>
  <c r="K123" i="2"/>
  <c r="Y123" i="2"/>
  <c r="Y148" i="2"/>
  <c r="Z142" i="2"/>
  <c r="Z141" i="2"/>
  <c r="AB137" i="2"/>
  <c r="Z140" i="2"/>
  <c r="L148" i="2"/>
  <c r="Z139" i="2"/>
  <c r="AA131" i="2"/>
  <c r="AA148" i="2"/>
  <c r="L49" i="2"/>
  <c r="Z144" i="2"/>
  <c r="AB126" i="2"/>
  <c r="L48" i="2"/>
  <c r="AB142" i="2"/>
  <c r="L51" i="2"/>
  <c r="AB145" i="2"/>
  <c r="Z136" i="2"/>
  <c r="Z138" i="2"/>
  <c r="L50" i="2"/>
  <c r="AB146" i="2"/>
  <c r="AB143" i="2"/>
  <c r="Z59" i="2"/>
  <c r="Z58" i="2"/>
  <c r="Y44" i="2"/>
  <c r="Y61" i="2"/>
  <c r="AB59" i="2"/>
  <c r="L19" i="2"/>
  <c r="AB42" i="2"/>
  <c r="AA61" i="2"/>
  <c r="Z57" i="2"/>
  <c r="L20" i="2"/>
  <c r="Z62" i="2"/>
  <c r="L16" i="2"/>
  <c r="L23" i="2"/>
  <c r="AB57" i="2"/>
  <c r="Z60" i="2"/>
  <c r="L52" i="2"/>
  <c r="L54" i="2" s="1"/>
  <c r="AB58" i="2"/>
  <c r="L24" i="2"/>
  <c r="L21" i="2"/>
  <c r="Z31" i="2"/>
  <c r="Z30" i="2"/>
  <c r="Z29" i="2"/>
  <c r="AB30" i="2"/>
  <c r="W15" i="2"/>
  <c r="W22" i="2" s="1"/>
  <c r="AB31" i="2"/>
  <c r="AB13" i="2"/>
  <c r="AA32" i="2"/>
  <c r="Z28" i="2"/>
  <c r="K15" i="2"/>
  <c r="L34" i="2" s="1"/>
  <c r="Y15" i="2"/>
  <c r="Y21" i="2" s="1"/>
  <c r="Y32" i="2"/>
  <c r="Z33" i="2"/>
  <c r="Z42" i="2"/>
  <c r="D50" i="3"/>
  <c r="D46" i="3"/>
  <c r="D67" i="3"/>
  <c r="BE27" i="1"/>
  <c r="BE72" i="1" s="1"/>
  <c r="BD72" i="1"/>
  <c r="D55" i="3"/>
  <c r="D49" i="3"/>
  <c r="D71" i="3"/>
  <c r="D70" i="3"/>
  <c r="D66" i="3"/>
  <c r="D62" i="3"/>
  <c r="D68" i="3"/>
  <c r="D53" i="3"/>
  <c r="D65" i="3"/>
  <c r="BC9" i="1"/>
  <c r="AD9" i="1"/>
  <c r="AC181" i="1"/>
  <c r="AC239" i="1" s="1"/>
  <c r="AD95" i="1"/>
  <c r="AC238" i="1"/>
  <c r="AC229" i="1"/>
  <c r="D124" i="3"/>
  <c r="BE128" i="1"/>
  <c r="AD94" i="1"/>
  <c r="BB128" i="1"/>
  <c r="BB188" i="1" s="1"/>
  <c r="BB246" i="1" s="1"/>
  <c r="AC176" i="1"/>
  <c r="AC234" i="1" s="1"/>
  <c r="AD90" i="1"/>
  <c r="BC61" i="1"/>
  <c r="BD173" i="1"/>
  <c r="BD231" i="1" s="1"/>
  <c r="BE87" i="1"/>
  <c r="O87" i="1" s="1"/>
  <c r="BC172" i="1"/>
  <c r="BC230" i="1" s="1"/>
  <c r="BD179" i="1"/>
  <c r="BD237" i="1" s="1"/>
  <c r="BE93" i="1"/>
  <c r="O93" i="1" s="1"/>
  <c r="BC178" i="1"/>
  <c r="BC236" i="1" s="1"/>
  <c r="BC171" i="1"/>
  <c r="BC229" i="1" s="1"/>
  <c r="BC71" i="1"/>
  <c r="BC173" i="1"/>
  <c r="BC231" i="1" s="1"/>
  <c r="BD183" i="1"/>
  <c r="BD241" i="1" s="1"/>
  <c r="BE98" i="1"/>
  <c r="BE183" i="1" s="1"/>
  <c r="BE241" i="1" s="1"/>
  <c r="BD178" i="1"/>
  <c r="BD236" i="1" s="1"/>
  <c r="BE92" i="1"/>
  <c r="O92" i="1" s="1"/>
  <c r="BE84" i="1"/>
  <c r="BE170" i="1" s="1"/>
  <c r="BE228" i="1" s="1"/>
  <c r="BC179" i="1"/>
  <c r="BC237" i="1" s="1"/>
  <c r="BE85" i="1"/>
  <c r="O85" i="1" s="1"/>
  <c r="BC170" i="1"/>
  <c r="BC228" i="1" s="1"/>
  <c r="BC183" i="1"/>
  <c r="BC241" i="1" s="1"/>
  <c r="BD172" i="1"/>
  <c r="BD230" i="1" s="1"/>
  <c r="BE86" i="1"/>
  <c r="BE111" i="1" s="1"/>
  <c r="AB127" i="2"/>
  <c r="AB125" i="2"/>
  <c r="AB131" i="2"/>
  <c r="AB122" i="2"/>
  <c r="AB121" i="2"/>
  <c r="AB124" i="2"/>
  <c r="AB130" i="2"/>
  <c r="L133" i="2"/>
  <c r="AA44" i="2"/>
  <c r="AA53" i="2" s="1"/>
  <c r="AB118" i="2"/>
  <c r="AB128" i="2"/>
  <c r="AB123" i="2"/>
  <c r="Z44" i="2"/>
  <c r="Z93" i="2"/>
  <c r="Z94" i="2" s="1"/>
  <c r="K101" i="2"/>
  <c r="J115" i="3"/>
  <c r="C56" i="3"/>
  <c r="D56" i="3" s="1"/>
  <c r="AC228" i="1"/>
  <c r="N229" i="1"/>
  <c r="AC230" i="1"/>
  <c r="AC205" i="1"/>
  <c r="O249" i="1"/>
  <c r="N233" i="1"/>
  <c r="N231" i="1"/>
  <c r="N230" i="1"/>
  <c r="AD16" i="1"/>
  <c r="AC231" i="1"/>
  <c r="N234" i="1"/>
  <c r="AC236" i="1"/>
  <c r="BD89" i="1"/>
  <c r="N236" i="1"/>
  <c r="AD213" i="1"/>
  <c r="AD122" i="1"/>
  <c r="BD128" i="1"/>
  <c r="BD188" i="1" s="1"/>
  <c r="BD246" i="1" s="1"/>
  <c r="N237" i="1"/>
  <c r="BD171" i="1"/>
  <c r="BD229" i="1" s="1"/>
  <c r="AC241" i="1"/>
  <c r="BE13" i="1"/>
  <c r="BC89" i="1"/>
  <c r="AC237" i="1"/>
  <c r="BD90" i="1"/>
  <c r="BE90" i="1" s="1"/>
  <c r="AD128" i="1"/>
  <c r="AC10" i="1"/>
  <c r="AC20" i="1" s="1"/>
  <c r="BC16" i="1"/>
  <c r="N228" i="1"/>
  <c r="N113" i="1"/>
  <c r="N20" i="1"/>
  <c r="N55" i="1" s="1"/>
  <c r="N154" i="1"/>
  <c r="N135" i="1"/>
  <c r="N132" i="1"/>
  <c r="N188" i="1"/>
  <c r="N246" i="1" s="1"/>
  <c r="N65" i="1"/>
  <c r="N62" i="1"/>
  <c r="D133" i="3"/>
  <c r="D137" i="3"/>
  <c r="D119" i="3"/>
  <c r="BD95" i="1"/>
  <c r="N241" i="1"/>
  <c r="BD94" i="1"/>
  <c r="N213" i="1"/>
  <c r="D132" i="3"/>
  <c r="D139" i="3"/>
  <c r="D122" i="3"/>
  <c r="AB13" i="1"/>
  <c r="D134" i="3"/>
  <c r="D140" i="3"/>
  <c r="D118" i="3"/>
  <c r="C123" i="3"/>
  <c r="D135" i="3"/>
  <c r="D130" i="3"/>
  <c r="D138" i="3"/>
  <c r="D114" i="3"/>
  <c r="D131" i="3"/>
  <c r="D115" i="3"/>
  <c r="Y124" i="2"/>
  <c r="X117" i="2"/>
  <c r="W44" i="2"/>
  <c r="W97" i="2"/>
  <c r="J148" i="3"/>
  <c r="BC95" i="1"/>
  <c r="BD13" i="1"/>
  <c r="AB172" i="1"/>
  <c r="AB230" i="1" s="1"/>
  <c r="BA16" i="1"/>
  <c r="BC19" i="1"/>
  <c r="BD9" i="1"/>
  <c r="BE9" i="1" s="1"/>
  <c r="BC94" i="1"/>
  <c r="AB16" i="1"/>
  <c r="D173" i="3"/>
  <c r="D152" i="3"/>
  <c r="BA13" i="1"/>
  <c r="D199" i="3"/>
  <c r="BC122" i="1"/>
  <c r="D169" i="3"/>
  <c r="BC128" i="1"/>
  <c r="BC132" i="1" s="1"/>
  <c r="D176" i="3"/>
  <c r="AC128" i="1"/>
  <c r="AC188" i="1" s="1"/>
  <c r="AC246" i="1" s="1"/>
  <c r="C161" i="3"/>
  <c r="D161" i="3" s="1"/>
  <c r="BC32" i="1"/>
  <c r="BB175" i="1"/>
  <c r="BB233" i="1" s="1"/>
  <c r="C163" i="3"/>
  <c r="D163" i="3" s="1"/>
  <c r="BB178" i="1"/>
  <c r="BB236" i="1" s="1"/>
  <c r="BC13" i="1"/>
  <c r="BC90" i="1"/>
  <c r="O90" i="1" s="1"/>
  <c r="AC111" i="1"/>
  <c r="AB19" i="1"/>
  <c r="AB61" i="1"/>
  <c r="AY16" i="1"/>
  <c r="AA97" i="2"/>
  <c r="AA98" i="2"/>
  <c r="AA94" i="2"/>
  <c r="Y49" i="2"/>
  <c r="Y53" i="2"/>
  <c r="Y50" i="2"/>
  <c r="W122" i="2"/>
  <c r="AA123" i="2"/>
  <c r="AA15" i="2"/>
  <c r="W123" i="2"/>
  <c r="Y52" i="2"/>
  <c r="AA125" i="2"/>
  <c r="Z13" i="2"/>
  <c r="Z117" i="2"/>
  <c r="W121" i="2"/>
  <c r="W98" i="2"/>
  <c r="W124" i="2"/>
  <c r="AA130" i="2"/>
  <c r="AA121" i="2"/>
  <c r="W99" i="2"/>
  <c r="W131" i="2"/>
  <c r="X93" i="2"/>
  <c r="X97" i="2" s="1"/>
  <c r="W100" i="2"/>
  <c r="AA124" i="2"/>
  <c r="AA126" i="2"/>
  <c r="AA118" i="2"/>
  <c r="AA127" i="2"/>
  <c r="AA128" i="2"/>
  <c r="AA122" i="2"/>
  <c r="Y126" i="2"/>
  <c r="Y118" i="2"/>
  <c r="Y127" i="2"/>
  <c r="Y125" i="2"/>
  <c r="Y128" i="2"/>
  <c r="Y121" i="2"/>
  <c r="Y130" i="2"/>
  <c r="Y122" i="2"/>
  <c r="Y131" i="2"/>
  <c r="W125" i="2"/>
  <c r="W126" i="2"/>
  <c r="W127" i="2"/>
  <c r="W118" i="2"/>
  <c r="W128" i="2"/>
  <c r="AA99" i="2"/>
  <c r="Y97" i="2"/>
  <c r="Y98" i="2"/>
  <c r="Y99" i="2"/>
  <c r="Y100" i="2"/>
  <c r="Y51" i="2"/>
  <c r="Y45" i="2"/>
  <c r="Y48" i="2"/>
  <c r="W80" i="2"/>
  <c r="W81" i="2"/>
  <c r="W82" i="2"/>
  <c r="W83" i="2"/>
  <c r="W84" i="2"/>
  <c r="D157" i="3"/>
  <c r="D174" i="3"/>
  <c r="D158" i="3"/>
  <c r="D175" i="3"/>
  <c r="D153" i="3"/>
  <c r="D170" i="3"/>
  <c r="D171" i="3"/>
  <c r="D178" i="3"/>
  <c r="D154" i="3"/>
  <c r="D172" i="3"/>
  <c r="AC175" i="1"/>
  <c r="AC233" i="1" s="1"/>
  <c r="BA118" i="1"/>
  <c r="AZ16" i="1"/>
  <c r="BB20" i="1"/>
  <c r="BF21" i="1" s="1"/>
  <c r="D197" i="3"/>
  <c r="D209" i="3"/>
  <c r="C198" i="3"/>
  <c r="C200" i="3" s="1"/>
  <c r="D200" i="3" s="1"/>
  <c r="D212" i="3"/>
  <c r="J189" i="3"/>
  <c r="J190" i="3" s="1"/>
  <c r="D213" i="3"/>
  <c r="D211" i="3"/>
  <c r="D205" i="3"/>
  <c r="D207" i="3"/>
  <c r="D214" i="3"/>
  <c r="D193" i="3"/>
  <c r="D210" i="3"/>
  <c r="D194" i="3"/>
  <c r="D206" i="3"/>
  <c r="D190" i="3"/>
  <c r="D208" i="3"/>
  <c r="D188" i="3"/>
  <c r="D189" i="3"/>
  <c r="K118" i="2"/>
  <c r="K124" i="2"/>
  <c r="AB204" i="1"/>
  <c r="AB249" i="1" s="1"/>
  <c r="AB122" i="1"/>
  <c r="AB126" i="1"/>
  <c r="AB128" i="1" s="1"/>
  <c r="C231" i="3"/>
  <c r="J223" i="3" s="1"/>
  <c r="J224" i="3" s="1"/>
  <c r="D243" i="3"/>
  <c r="BA127" i="1"/>
  <c r="D223" i="3"/>
  <c r="D224" i="3"/>
  <c r="D227" i="3"/>
  <c r="D228" i="3"/>
  <c r="D233" i="3"/>
  <c r="D245" i="3"/>
  <c r="D222" i="3"/>
  <c r="D244" i="3"/>
  <c r="D246" i="3"/>
  <c r="D239" i="3"/>
  <c r="D247" i="3"/>
  <c r="D240" i="3"/>
  <c r="D248" i="3"/>
  <c r="D241" i="3"/>
  <c r="K121" i="2"/>
  <c r="K94" i="2"/>
  <c r="K125" i="2"/>
  <c r="K126" i="2"/>
  <c r="K129" i="2"/>
  <c r="K100" i="2"/>
  <c r="K24" i="2"/>
  <c r="K22" i="2"/>
  <c r="K44" i="2"/>
  <c r="K127" i="2"/>
  <c r="K128" i="2"/>
  <c r="K97" i="2"/>
  <c r="K122" i="2"/>
  <c r="K130" i="2"/>
  <c r="K131" i="2"/>
  <c r="AB32" i="1"/>
  <c r="L20" i="1"/>
  <c r="L163" i="1" s="1"/>
  <c r="L175" i="1"/>
  <c r="L233" i="1" s="1"/>
  <c r="L128" i="1"/>
  <c r="L62" i="1" s="1"/>
  <c r="BA207" i="1"/>
  <c r="BA218" i="1" s="1"/>
  <c r="BA205" i="1"/>
  <c r="BA149" i="1"/>
  <c r="BA160" i="1" s="1"/>
  <c r="BA201" i="1"/>
  <c r="BA261" i="1" s="1"/>
  <c r="BA249" i="1"/>
  <c r="BA155" i="1"/>
  <c r="BA105" i="1"/>
  <c r="M207" i="1"/>
  <c r="M218" i="1" s="1"/>
  <c r="M201" i="1"/>
  <c r="M261" i="1" s="1"/>
  <c r="M183" i="1"/>
  <c r="M241" i="1" s="1"/>
  <c r="M179" i="1"/>
  <c r="M237" i="1" s="1"/>
  <c r="M173" i="1"/>
  <c r="M231" i="1" s="1"/>
  <c r="M172" i="1"/>
  <c r="M230" i="1" s="1"/>
  <c r="M171" i="1"/>
  <c r="M229" i="1" s="1"/>
  <c r="M170" i="1"/>
  <c r="M228" i="1" s="1"/>
  <c r="M155" i="1"/>
  <c r="M213" i="1" s="1"/>
  <c r="M149" i="1"/>
  <c r="M160" i="1" s="1"/>
  <c r="M122" i="1"/>
  <c r="BA122" i="1" s="1"/>
  <c r="M111" i="1"/>
  <c r="BA111" i="1" s="1"/>
  <c r="M181" i="1"/>
  <c r="M239" i="1" s="1"/>
  <c r="M180" i="1"/>
  <c r="M238" i="1" s="1"/>
  <c r="M178" i="1"/>
  <c r="M236" i="1" s="1"/>
  <c r="M176" i="1"/>
  <c r="M234" i="1" s="1"/>
  <c r="M113" i="1"/>
  <c r="BA113" i="1" s="1"/>
  <c r="M61" i="1"/>
  <c r="M32" i="1"/>
  <c r="M19" i="1"/>
  <c r="M16" i="1"/>
  <c r="M10" i="1"/>
  <c r="C278" i="3"/>
  <c r="C262" i="3"/>
  <c r="C260" i="3"/>
  <c r="J251" i="3"/>
  <c r="D274" i="3" s="1"/>
  <c r="AZ207" i="1"/>
  <c r="AZ218" i="1" s="1"/>
  <c r="AZ201" i="1"/>
  <c r="AZ261" i="1" s="1"/>
  <c r="AZ155" i="1"/>
  <c r="AZ213" i="1" s="1"/>
  <c r="AZ149" i="1"/>
  <c r="AZ160" i="1" s="1"/>
  <c r="AY147" i="1"/>
  <c r="AZ127" i="1"/>
  <c r="AZ126" i="1"/>
  <c r="C256" i="3" s="1"/>
  <c r="AZ122" i="1"/>
  <c r="AV122" i="1"/>
  <c r="AZ118" i="1"/>
  <c r="AZ105" i="1"/>
  <c r="AZ98" i="1"/>
  <c r="AV98" i="1"/>
  <c r="AZ93" i="1"/>
  <c r="AZ92" i="1"/>
  <c r="AZ87" i="1"/>
  <c r="AZ86" i="1"/>
  <c r="AZ85" i="1"/>
  <c r="AV84" i="1"/>
  <c r="AZ84" i="1"/>
  <c r="AZ42" i="1"/>
  <c r="AV39" i="1"/>
  <c r="AZ39" i="1"/>
  <c r="AZ38" i="1"/>
  <c r="AZ37" i="1"/>
  <c r="AZ36" i="1"/>
  <c r="AZ31" i="1"/>
  <c r="AZ30" i="1"/>
  <c r="BA30" i="1" s="1"/>
  <c r="AZ28" i="1"/>
  <c r="AZ27" i="1"/>
  <c r="AZ72" i="1" s="1"/>
  <c r="AZ26" i="1"/>
  <c r="AV22" i="1"/>
  <c r="AV18" i="1"/>
  <c r="Y16" i="1"/>
  <c r="AV28" i="1"/>
  <c r="AV31" i="1"/>
  <c r="AV27" i="1"/>
  <c r="AV72" i="1" s="1"/>
  <c r="AV26" i="1"/>
  <c r="M94" i="2" l="1"/>
  <c r="M118" i="2"/>
  <c r="O89" i="1"/>
  <c r="BF113" i="1"/>
  <c r="BC10" i="1"/>
  <c r="BC20" i="1" s="1"/>
  <c r="O9" i="1"/>
  <c r="O10" i="1" s="1"/>
  <c r="O98" i="1"/>
  <c r="BE135" i="1"/>
  <c r="C58" i="3"/>
  <c r="BF111" i="1"/>
  <c r="O84" i="1"/>
  <c r="O86" i="1"/>
  <c r="O27" i="1"/>
  <c r="O72" i="1" s="1"/>
  <c r="BF223" i="1"/>
  <c r="BF167" i="1"/>
  <c r="BF88" i="1"/>
  <c r="BF169" i="1"/>
  <c r="X124" i="2"/>
  <c r="Z148" i="2"/>
  <c r="AB148" i="2"/>
  <c r="Y22" i="2"/>
  <c r="K23" i="2"/>
  <c r="L25" i="2"/>
  <c r="K16" i="2"/>
  <c r="K20" i="2"/>
  <c r="K19" i="2"/>
  <c r="K21" i="2"/>
  <c r="AB61" i="2"/>
  <c r="Z45" i="2"/>
  <c r="AA51" i="2"/>
  <c r="AA63" i="2"/>
  <c r="L63" i="2"/>
  <c r="W49" i="2"/>
  <c r="Y63" i="2"/>
  <c r="W19" i="2"/>
  <c r="W21" i="2"/>
  <c r="W20" i="2"/>
  <c r="W23" i="2"/>
  <c r="AA49" i="2"/>
  <c r="AB15" i="2"/>
  <c r="AB23" i="2" s="1"/>
  <c r="AB32" i="2"/>
  <c r="AA24" i="2"/>
  <c r="AA34" i="2"/>
  <c r="Y24" i="2"/>
  <c r="Y34" i="2"/>
  <c r="Y23" i="2"/>
  <c r="Y19" i="2"/>
  <c r="W24" i="2"/>
  <c r="Y20" i="2"/>
  <c r="AA52" i="2"/>
  <c r="AA48" i="2"/>
  <c r="Z52" i="2"/>
  <c r="X121" i="2"/>
  <c r="D52" i="3"/>
  <c r="D54" i="3" s="1"/>
  <c r="BD154" i="1"/>
  <c r="D72" i="3"/>
  <c r="BE179" i="1"/>
  <c r="BE237" i="1" s="1"/>
  <c r="BB62" i="1"/>
  <c r="BB132" i="1"/>
  <c r="BB189" i="1" s="1"/>
  <c r="BB247" i="1" s="1"/>
  <c r="BB259" i="1" s="1"/>
  <c r="BE154" i="1"/>
  <c r="BE156" i="1" s="1"/>
  <c r="BE214" i="1" s="1"/>
  <c r="BE132" i="1"/>
  <c r="BE145" i="1" s="1"/>
  <c r="BE199" i="1" s="1"/>
  <c r="BE65" i="1"/>
  <c r="BE188" i="1"/>
  <c r="BE246" i="1" s="1"/>
  <c r="BB154" i="1"/>
  <c r="BB212" i="1" s="1"/>
  <c r="BE171" i="1"/>
  <c r="BE229" i="1" s="1"/>
  <c r="BB135" i="1"/>
  <c r="C202" i="3"/>
  <c r="BE172" i="1"/>
  <c r="BE230" i="1" s="1"/>
  <c r="BD175" i="1"/>
  <c r="BD233" i="1" s="1"/>
  <c r="BE89" i="1"/>
  <c r="BE113" i="1" s="1"/>
  <c r="BE173" i="1"/>
  <c r="BE231" i="1" s="1"/>
  <c r="BE178" i="1"/>
  <c r="BE236" i="1" s="1"/>
  <c r="BC180" i="1"/>
  <c r="BC238" i="1" s="1"/>
  <c r="BB53" i="1"/>
  <c r="BD180" i="1"/>
  <c r="BD238" i="1" s="1"/>
  <c r="BE94" i="1"/>
  <c r="O94" i="1" s="1"/>
  <c r="BC176" i="1"/>
  <c r="BC234" i="1" s="1"/>
  <c r="BC175" i="1"/>
  <c r="BC233" i="1" s="1"/>
  <c r="L65" i="1"/>
  <c r="BC181" i="1"/>
  <c r="BC239" i="1" s="1"/>
  <c r="BD181" i="1"/>
  <c r="BD239" i="1" s="1"/>
  <c r="BE95" i="1"/>
  <c r="O95" i="1" s="1"/>
  <c r="AA50" i="2"/>
  <c r="AA45" i="2"/>
  <c r="X131" i="2"/>
  <c r="Z100" i="2"/>
  <c r="AB133" i="2"/>
  <c r="Z98" i="2"/>
  <c r="W53" i="2"/>
  <c r="Z51" i="2"/>
  <c r="X122" i="2"/>
  <c r="X123" i="2"/>
  <c r="Z53" i="2"/>
  <c r="Z48" i="2"/>
  <c r="Z50" i="2"/>
  <c r="AB44" i="2"/>
  <c r="AB63" i="2" s="1"/>
  <c r="Z49" i="2"/>
  <c r="AA102" i="2"/>
  <c r="X128" i="2"/>
  <c r="BD135" i="1"/>
  <c r="AD249" i="1"/>
  <c r="AD135" i="1"/>
  <c r="BD132" i="1"/>
  <c r="BD145" i="1" s="1"/>
  <c r="BD199" i="1" s="1"/>
  <c r="C127" i="3"/>
  <c r="AD188" i="1"/>
  <c r="AD246" i="1" s="1"/>
  <c r="AD154" i="1"/>
  <c r="AD132" i="1"/>
  <c r="AD13" i="1"/>
  <c r="O19" i="1"/>
  <c r="AD19" i="1"/>
  <c r="BD176" i="1"/>
  <c r="BD234" i="1" s="1"/>
  <c r="BE176" i="1"/>
  <c r="BE234" i="1" s="1"/>
  <c r="BD10" i="1"/>
  <c r="AC132" i="1"/>
  <c r="AC189" i="1" s="1"/>
  <c r="AC247" i="1" s="1"/>
  <c r="AC259" i="1" s="1"/>
  <c r="N107" i="1"/>
  <c r="N123" i="1" s="1"/>
  <c r="N58" i="1"/>
  <c r="N57" i="1"/>
  <c r="N163" i="1"/>
  <c r="N221" i="1" s="1"/>
  <c r="N54" i="1"/>
  <c r="N59" i="1"/>
  <c r="N56" i="1"/>
  <c r="N24" i="1"/>
  <c r="N34" i="1" s="1"/>
  <c r="N70" i="1" s="1"/>
  <c r="N53" i="1"/>
  <c r="N189" i="1"/>
  <c r="N247" i="1" s="1"/>
  <c r="N145" i="1"/>
  <c r="N199" i="1" s="1"/>
  <c r="N212" i="1"/>
  <c r="N156" i="1"/>
  <c r="N214" i="1" s="1"/>
  <c r="D121" i="3"/>
  <c r="D123" i="3" s="1"/>
  <c r="D141" i="3"/>
  <c r="C125" i="3"/>
  <c r="D125" i="3" s="1"/>
  <c r="W45" i="2"/>
  <c r="W51" i="2"/>
  <c r="W85" i="2"/>
  <c r="W48" i="2"/>
  <c r="X130" i="2"/>
  <c r="W52" i="2"/>
  <c r="W50" i="2"/>
  <c r="X126" i="2"/>
  <c r="X125" i="2"/>
  <c r="X127" i="2"/>
  <c r="BC62" i="1"/>
  <c r="BC154" i="1"/>
  <c r="BC135" i="1"/>
  <c r="BC188" i="1"/>
  <c r="BC246" i="1" s="1"/>
  <c r="C166" i="3"/>
  <c r="AC65" i="1"/>
  <c r="BD156" i="1"/>
  <c r="BD214" i="1" s="1"/>
  <c r="BD212" i="1"/>
  <c r="BC189" i="1"/>
  <c r="BC247" i="1" s="1"/>
  <c r="BC259" i="1" s="1"/>
  <c r="BC145" i="1"/>
  <c r="BC199" i="1" s="1"/>
  <c r="AB213" i="1"/>
  <c r="AC135" i="1"/>
  <c r="AC154" i="1"/>
  <c r="BA37" i="1"/>
  <c r="AD62" i="1" s="1"/>
  <c r="BA26" i="1"/>
  <c r="BA28" i="1"/>
  <c r="BA42" i="1"/>
  <c r="BA38" i="1"/>
  <c r="J153" i="3"/>
  <c r="J154" i="3" s="1"/>
  <c r="BA39" i="1"/>
  <c r="BA31" i="1"/>
  <c r="AZ178" i="1"/>
  <c r="AZ236" i="1" s="1"/>
  <c r="BA27" i="1"/>
  <c r="BA72" i="1" s="1"/>
  <c r="AZ179" i="1"/>
  <c r="AZ237" i="1" s="1"/>
  <c r="C162" i="3"/>
  <c r="C164" i="3" s="1"/>
  <c r="D164" i="3" s="1"/>
  <c r="AC62" i="1"/>
  <c r="Z123" i="2"/>
  <c r="Z118" i="2"/>
  <c r="Z127" i="2"/>
  <c r="Z126" i="2"/>
  <c r="AA21" i="2"/>
  <c r="AA20" i="2"/>
  <c r="AA19" i="2"/>
  <c r="AA23" i="2"/>
  <c r="Z128" i="2"/>
  <c r="AA22" i="2"/>
  <c r="AA133" i="2"/>
  <c r="Z15" i="2"/>
  <c r="Z131" i="2"/>
  <c r="Y102" i="2"/>
  <c r="Z122" i="2"/>
  <c r="Z125" i="2"/>
  <c r="W102" i="2"/>
  <c r="Z130" i="2"/>
  <c r="W133" i="2"/>
  <c r="Y54" i="2"/>
  <c r="X100" i="2"/>
  <c r="X98" i="2"/>
  <c r="X99" i="2"/>
  <c r="Z124" i="2"/>
  <c r="Z97" i="2"/>
  <c r="Y133" i="2"/>
  <c r="Z121" i="2"/>
  <c r="AA16" i="2"/>
  <c r="Z99" i="2"/>
  <c r="K102" i="2"/>
  <c r="D179" i="3"/>
  <c r="AC54" i="1"/>
  <c r="AC163" i="1"/>
  <c r="AC221" i="1" s="1"/>
  <c r="AC53" i="1"/>
  <c r="AC59" i="1"/>
  <c r="AC24" i="1"/>
  <c r="AC58" i="1"/>
  <c r="AC57" i="1"/>
  <c r="AC56" i="1"/>
  <c r="AC55" i="1"/>
  <c r="D160" i="3"/>
  <c r="D215" i="3"/>
  <c r="BA92" i="1"/>
  <c r="AD178" i="1" s="1"/>
  <c r="AD236" i="1" s="1"/>
  <c r="D196" i="3"/>
  <c r="C232" i="3"/>
  <c r="C234" i="3" s="1"/>
  <c r="D234" i="3" s="1"/>
  <c r="AB132" i="1"/>
  <c r="AB189" i="1" s="1"/>
  <c r="AB247" i="1" s="1"/>
  <c r="AB188" i="1"/>
  <c r="AB246" i="1" s="1"/>
  <c r="AB65" i="1"/>
  <c r="AB154" i="1"/>
  <c r="AB156" i="1" s="1"/>
  <c r="AB214" i="1" s="1"/>
  <c r="AB62" i="1"/>
  <c r="AB135" i="1"/>
  <c r="AZ170" i="1"/>
  <c r="AZ228" i="1" s="1"/>
  <c r="BA84" i="1"/>
  <c r="AD170" i="1" s="1"/>
  <c r="AD228" i="1" s="1"/>
  <c r="AZ183" i="1"/>
  <c r="AZ241" i="1" s="1"/>
  <c r="BA98" i="1"/>
  <c r="AD183" i="1" s="1"/>
  <c r="AD241" i="1" s="1"/>
  <c r="J218" i="3"/>
  <c r="AZ61" i="1"/>
  <c r="BA36" i="1"/>
  <c r="AD61" i="1" s="1"/>
  <c r="AZ172" i="1"/>
  <c r="AZ230" i="1" s="1"/>
  <c r="BA86" i="1"/>
  <c r="L135" i="1"/>
  <c r="AZ173" i="1"/>
  <c r="AZ231" i="1" s="1"/>
  <c r="BA87" i="1"/>
  <c r="AD173" i="1" s="1"/>
  <c r="AD231" i="1" s="1"/>
  <c r="BA93" i="1"/>
  <c r="AD179" i="1" s="1"/>
  <c r="AD237" i="1" s="1"/>
  <c r="BB24" i="1"/>
  <c r="BB34" i="1" s="1"/>
  <c r="BB59" i="1"/>
  <c r="BB54" i="1"/>
  <c r="BB163" i="1"/>
  <c r="BB221" i="1" s="1"/>
  <c r="BF222" i="1" s="1"/>
  <c r="BB58" i="1"/>
  <c r="BB56" i="1"/>
  <c r="BB57" i="1"/>
  <c r="BB55" i="1"/>
  <c r="AZ171" i="1"/>
  <c r="AZ229" i="1" s="1"/>
  <c r="BA85" i="1"/>
  <c r="AD171" i="1" s="1"/>
  <c r="AD229" i="1" s="1"/>
  <c r="D230" i="3"/>
  <c r="D231" i="3"/>
  <c r="D249" i="3"/>
  <c r="K52" i="2"/>
  <c r="K45" i="2"/>
  <c r="K133" i="2"/>
  <c r="K51" i="2"/>
  <c r="K49" i="2"/>
  <c r="K50" i="2"/>
  <c r="K53" i="2"/>
  <c r="K48" i="2"/>
  <c r="L58" i="1"/>
  <c r="L59" i="1"/>
  <c r="L107" i="1"/>
  <c r="L151" i="1" s="1"/>
  <c r="L209" i="1" s="1"/>
  <c r="L56" i="1"/>
  <c r="L154" i="1"/>
  <c r="L212" i="1" s="1"/>
  <c r="L188" i="1"/>
  <c r="L246" i="1" s="1"/>
  <c r="L132" i="1"/>
  <c r="L189" i="1" s="1"/>
  <c r="L247" i="1" s="1"/>
  <c r="M20" i="1"/>
  <c r="L24" i="1"/>
  <c r="L34" i="1" s="1"/>
  <c r="L54" i="1"/>
  <c r="L55" i="1"/>
  <c r="L53" i="1"/>
  <c r="L57" i="1"/>
  <c r="L221" i="1"/>
  <c r="BA213" i="1"/>
  <c r="BA128" i="1"/>
  <c r="D275" i="3"/>
  <c r="O128" i="1"/>
  <c r="O132" i="1" s="1"/>
  <c r="C257" i="3"/>
  <c r="D257" i="3" s="1"/>
  <c r="M175" i="1"/>
  <c r="M233" i="1" s="1"/>
  <c r="M128" i="1"/>
  <c r="M135" i="1" s="1"/>
  <c r="D268" i="3"/>
  <c r="D276" i="3"/>
  <c r="AZ128" i="1"/>
  <c r="D269" i="3"/>
  <c r="D277" i="3"/>
  <c r="D270" i="3"/>
  <c r="AZ32" i="1"/>
  <c r="D272" i="3"/>
  <c r="D271" i="3"/>
  <c r="D273" i="3"/>
  <c r="D262" i="3"/>
  <c r="D256" i="3"/>
  <c r="D260" i="3"/>
  <c r="AZ22" i="1"/>
  <c r="AY22" i="1"/>
  <c r="AV14" i="1"/>
  <c r="AV17" i="1"/>
  <c r="AV19" i="1" s="1"/>
  <c r="AV15" i="1"/>
  <c r="AV8" i="1"/>
  <c r="AV7" i="1"/>
  <c r="Y9" i="1"/>
  <c r="AV9" i="1" s="1"/>
  <c r="AA9" i="1"/>
  <c r="Z207" i="1"/>
  <c r="Z218" i="1" s="1"/>
  <c r="Z204" i="1"/>
  <c r="Z203" i="1"/>
  <c r="Z205" i="1" s="1"/>
  <c r="Z149" i="1"/>
  <c r="Z160" i="1" s="1"/>
  <c r="Z147" i="1"/>
  <c r="Z201" i="1" s="1"/>
  <c r="Z261" i="1" s="1"/>
  <c r="Z134" i="1"/>
  <c r="Z130" i="1"/>
  <c r="Z155" i="1" s="1"/>
  <c r="Z121" i="1"/>
  <c r="Z120" i="1"/>
  <c r="Z119" i="1"/>
  <c r="Z98" i="1"/>
  <c r="Z183" i="1" s="1"/>
  <c r="Z93" i="1"/>
  <c r="Z179" i="1" s="1"/>
  <c r="Z87" i="1"/>
  <c r="Z173" i="1" s="1"/>
  <c r="Z86" i="1"/>
  <c r="Z172" i="1" s="1"/>
  <c r="Z85" i="1"/>
  <c r="Z171" i="1" s="1"/>
  <c r="Z84" i="1"/>
  <c r="Z170" i="1" s="1"/>
  <c r="Z48" i="1"/>
  <c r="Z39" i="1"/>
  <c r="Z38" i="1"/>
  <c r="Z37" i="1"/>
  <c r="Z36" i="1"/>
  <c r="Z31" i="1"/>
  <c r="Z30" i="1"/>
  <c r="Z28" i="1"/>
  <c r="Z27" i="1"/>
  <c r="Z72" i="1" s="1"/>
  <c r="Z26" i="1"/>
  <c r="Z22" i="1"/>
  <c r="Z71" i="1" s="1"/>
  <c r="Z18" i="1"/>
  <c r="Z17" i="1"/>
  <c r="Z15" i="1"/>
  <c r="Z14" i="1"/>
  <c r="Z8" i="1"/>
  <c r="Z7" i="1"/>
  <c r="C303" i="3"/>
  <c r="C304" i="3" s="1"/>
  <c r="J280" i="3"/>
  <c r="D301" i="3" s="1"/>
  <c r="AY201" i="1"/>
  <c r="AY261" i="1" s="1"/>
  <c r="AY134" i="1"/>
  <c r="AY249" i="1" s="1"/>
  <c r="AY130" i="1"/>
  <c r="C289" i="3" s="1"/>
  <c r="AY121" i="1"/>
  <c r="AY120" i="1"/>
  <c r="AY119" i="1"/>
  <c r="AY98" i="1"/>
  <c r="AY93" i="1"/>
  <c r="AY87" i="1"/>
  <c r="AY86" i="1"/>
  <c r="AY85" i="1"/>
  <c r="AY84" i="1"/>
  <c r="AY48" i="1"/>
  <c r="AY42" i="1"/>
  <c r="AY39" i="1"/>
  <c r="AY38" i="1"/>
  <c r="AY37" i="1"/>
  <c r="AY36" i="1"/>
  <c r="AY31" i="1"/>
  <c r="AY30" i="1"/>
  <c r="AY28" i="1"/>
  <c r="AY27" i="1"/>
  <c r="AY72" i="1" s="1"/>
  <c r="AY26" i="1"/>
  <c r="AA127" i="1"/>
  <c r="AY127" i="1" s="1"/>
  <c r="AA126" i="1"/>
  <c r="AY126" i="1" s="1"/>
  <c r="AA118" i="1"/>
  <c r="AY118" i="1" s="1"/>
  <c r="AA95" i="1"/>
  <c r="AB95" i="1" s="1"/>
  <c r="AB181" i="1" s="1"/>
  <c r="AB239" i="1" s="1"/>
  <c r="AA94" i="1"/>
  <c r="AB94" i="1" s="1"/>
  <c r="AB180" i="1" s="1"/>
  <c r="AB238" i="1" s="1"/>
  <c r="AA90" i="1"/>
  <c r="AB90" i="1" s="1"/>
  <c r="AB176" i="1" s="1"/>
  <c r="AB234" i="1" s="1"/>
  <c r="AA207" i="1"/>
  <c r="AA218" i="1" s="1"/>
  <c r="AA201" i="1"/>
  <c r="AA261" i="1" s="1"/>
  <c r="AA183" i="1"/>
  <c r="AA241" i="1" s="1"/>
  <c r="AA179" i="1"/>
  <c r="AA237" i="1" s="1"/>
  <c r="AA173" i="1"/>
  <c r="AA231" i="1" s="1"/>
  <c r="AA172" i="1"/>
  <c r="AA230" i="1" s="1"/>
  <c r="AA171" i="1"/>
  <c r="AA229" i="1" s="1"/>
  <c r="AA170" i="1"/>
  <c r="AA228" i="1" s="1"/>
  <c r="AA155" i="1"/>
  <c r="AA213" i="1" s="1"/>
  <c r="AA149" i="1"/>
  <c r="AA160" i="1" s="1"/>
  <c r="AA122" i="1"/>
  <c r="AA111" i="1"/>
  <c r="AA178" i="1"/>
  <c r="AA236" i="1" s="1"/>
  <c r="AA71" i="1"/>
  <c r="AA61" i="1"/>
  <c r="AA32" i="1"/>
  <c r="AA16" i="1"/>
  <c r="AY207" i="1"/>
  <c r="AY218" i="1" s="1"/>
  <c r="AY149" i="1"/>
  <c r="AY160" i="1" s="1"/>
  <c r="AY105" i="1"/>
  <c r="C317" i="3"/>
  <c r="C315" i="3"/>
  <c r="BC56" i="1" l="1"/>
  <c r="BB145" i="1"/>
  <c r="BB199" i="1" s="1"/>
  <c r="BF91" i="1"/>
  <c r="BF225" i="1"/>
  <c r="BF174" i="1"/>
  <c r="BF232" i="1" s="1"/>
  <c r="BF227" i="1"/>
  <c r="K25" i="2"/>
  <c r="W25" i="2"/>
  <c r="Y25" i="2"/>
  <c r="Z23" i="2"/>
  <c r="AB34" i="2"/>
  <c r="AB24" i="2"/>
  <c r="AB22" i="2"/>
  <c r="AB20" i="2"/>
  <c r="AB19" i="2"/>
  <c r="AB21" i="2"/>
  <c r="AA54" i="2"/>
  <c r="BB111" i="1"/>
  <c r="BE212" i="1"/>
  <c r="BE189" i="1"/>
  <c r="BE247" i="1" s="1"/>
  <c r="BE259" i="1" s="1"/>
  <c r="AB212" i="1"/>
  <c r="BB156" i="1"/>
  <c r="BB214" i="1" s="1"/>
  <c r="BD189" i="1"/>
  <c r="BD247" i="1" s="1"/>
  <c r="BD259" i="1" s="1"/>
  <c r="Z54" i="2"/>
  <c r="AB45" i="2"/>
  <c r="AB50" i="2"/>
  <c r="AB53" i="2"/>
  <c r="AB51" i="2"/>
  <c r="AB48" i="2"/>
  <c r="AB49" i="2"/>
  <c r="AB52" i="2"/>
  <c r="W54" i="2"/>
  <c r="X133" i="2"/>
  <c r="AD145" i="1"/>
  <c r="AD199" i="1" s="1"/>
  <c r="AD189" i="1"/>
  <c r="AD247" i="1" s="1"/>
  <c r="AD32" i="1"/>
  <c r="AD156" i="1"/>
  <c r="AD214" i="1" s="1"/>
  <c r="AD212" i="1"/>
  <c r="N66" i="1"/>
  <c r="N151" i="1"/>
  <c r="N209" i="1" s="1"/>
  <c r="AC145" i="1"/>
  <c r="AC199" i="1" s="1"/>
  <c r="BC57" i="1"/>
  <c r="BC163" i="1"/>
  <c r="BC221" i="1" s="1"/>
  <c r="BD111" i="1"/>
  <c r="N40" i="1"/>
  <c r="N35" i="1"/>
  <c r="N259" i="1"/>
  <c r="M21" i="1"/>
  <c r="N21" i="1"/>
  <c r="BC111" i="1"/>
  <c r="X102" i="2"/>
  <c r="Z133" i="2"/>
  <c r="BC58" i="1"/>
  <c r="BC53" i="1"/>
  <c r="BC59" i="1"/>
  <c r="BC54" i="1"/>
  <c r="BC55" i="1"/>
  <c r="BC24" i="1"/>
  <c r="BC34" i="1" s="1"/>
  <c r="BC35" i="1" s="1"/>
  <c r="BC212" i="1"/>
  <c r="BC156" i="1"/>
  <c r="BC214" i="1" s="1"/>
  <c r="X118" i="2"/>
  <c r="AC156" i="1"/>
  <c r="AC214" i="1" s="1"/>
  <c r="AC212" i="1"/>
  <c r="L156" i="1"/>
  <c r="L214" i="1" s="1"/>
  <c r="BA22" i="1"/>
  <c r="AD71" i="1" s="1"/>
  <c r="Z102" i="2"/>
  <c r="AA25" i="2"/>
  <c r="Z21" i="2"/>
  <c r="Z20" i="2"/>
  <c r="Z22" i="2"/>
  <c r="Z24" i="2"/>
  <c r="Z19" i="2"/>
  <c r="AC34" i="1"/>
  <c r="D162" i="3"/>
  <c r="AB145" i="1"/>
  <c r="AB199" i="1" s="1"/>
  <c r="L66" i="1"/>
  <c r="L145" i="1"/>
  <c r="L199" i="1" s="1"/>
  <c r="AB9" i="1"/>
  <c r="AB10" i="1" s="1"/>
  <c r="AB20" i="1" s="1"/>
  <c r="AZ9" i="1"/>
  <c r="AY9" i="1"/>
  <c r="D198" i="3"/>
  <c r="AZ19" i="1"/>
  <c r="BA154" i="1"/>
  <c r="BA156" i="1" s="1"/>
  <c r="BA214" i="1" s="1"/>
  <c r="C236" i="3"/>
  <c r="AY71" i="1"/>
  <c r="L123" i="1"/>
  <c r="D232" i="3"/>
  <c r="AZ48" i="1"/>
  <c r="BB40" i="1"/>
  <c r="BB35" i="1"/>
  <c r="BB70" i="1"/>
  <c r="K54" i="2"/>
  <c r="AB259" i="1"/>
  <c r="AB89" i="1"/>
  <c r="Z249" i="1"/>
  <c r="AY19" i="1"/>
  <c r="L259" i="1"/>
  <c r="M57" i="1"/>
  <c r="Z19" i="1"/>
  <c r="BA188" i="1"/>
  <c r="BA246" i="1" s="1"/>
  <c r="BA135" i="1"/>
  <c r="BA132" i="1"/>
  <c r="BA189" i="1" s="1"/>
  <c r="BA247" i="1" s="1"/>
  <c r="BA65" i="1"/>
  <c r="L40" i="1"/>
  <c r="L70" i="1"/>
  <c r="L35" i="1"/>
  <c r="M54" i="1"/>
  <c r="O135" i="1"/>
  <c r="M65" i="1"/>
  <c r="M24" i="1"/>
  <c r="M34" i="1" s="1"/>
  <c r="AY122" i="1"/>
  <c r="M59" i="1"/>
  <c r="C259" i="3"/>
  <c r="C265" i="3" s="1"/>
  <c r="M53" i="1"/>
  <c r="M55" i="1"/>
  <c r="M58" i="1"/>
  <c r="M107" i="1"/>
  <c r="M56" i="1"/>
  <c r="M163" i="1"/>
  <c r="N164" i="1" s="1"/>
  <c r="AY171" i="1"/>
  <c r="AY229" i="1" s="1"/>
  <c r="BA171" i="1"/>
  <c r="BA229" i="1" s="1"/>
  <c r="AY173" i="1"/>
  <c r="AY231" i="1" s="1"/>
  <c r="BA173" i="1"/>
  <c r="BA231" i="1" s="1"/>
  <c r="M154" i="1"/>
  <c r="M212" i="1" s="1"/>
  <c r="AY172" i="1"/>
  <c r="AY230" i="1" s="1"/>
  <c r="BA172" i="1"/>
  <c r="BA230" i="1" s="1"/>
  <c r="AY179" i="1"/>
  <c r="AY237" i="1" s="1"/>
  <c r="BA179" i="1"/>
  <c r="BA237" i="1" s="1"/>
  <c r="M188" i="1"/>
  <c r="M246" i="1" s="1"/>
  <c r="AY183" i="1"/>
  <c r="AY241" i="1" s="1"/>
  <c r="BA183" i="1"/>
  <c r="BA241" i="1" s="1"/>
  <c r="AZ71" i="1"/>
  <c r="M62" i="1"/>
  <c r="M132" i="1"/>
  <c r="M189" i="1" s="1"/>
  <c r="M247" i="1" s="1"/>
  <c r="D278" i="3"/>
  <c r="AY170" i="1"/>
  <c r="AY228" i="1" s="1"/>
  <c r="BA170" i="1"/>
  <c r="BA228" i="1" s="1"/>
  <c r="D259" i="3"/>
  <c r="D261" i="3" s="1"/>
  <c r="AA10" i="1"/>
  <c r="AA180" i="1"/>
  <c r="AA238" i="1" s="1"/>
  <c r="AZ94" i="1"/>
  <c r="C286" i="3"/>
  <c r="AY128" i="1"/>
  <c r="AY132" i="1" s="1"/>
  <c r="AA175" i="1"/>
  <c r="AA233" i="1" s="1"/>
  <c r="AZ89" i="1"/>
  <c r="AY90" i="1"/>
  <c r="AZ90" i="1"/>
  <c r="AA181" i="1"/>
  <c r="AA239" i="1" s="1"/>
  <c r="AZ95" i="1"/>
  <c r="AZ62" i="1"/>
  <c r="AZ154" i="1"/>
  <c r="AZ132" i="1"/>
  <c r="AZ188" i="1"/>
  <c r="AZ246" i="1" s="1"/>
  <c r="AZ135" i="1"/>
  <c r="Z9" i="1"/>
  <c r="Z10" i="1" s="1"/>
  <c r="AY61" i="1"/>
  <c r="Z16" i="1"/>
  <c r="Z231" i="1"/>
  <c r="Z122" i="1"/>
  <c r="AA205" i="1"/>
  <c r="Z241" i="1"/>
  <c r="AV10" i="1"/>
  <c r="Z228" i="1"/>
  <c r="AV16" i="1"/>
  <c r="AA176" i="1"/>
  <c r="AA234" i="1" s="1"/>
  <c r="Z229" i="1"/>
  <c r="Z213" i="1"/>
  <c r="Z61" i="1"/>
  <c r="Z230" i="1"/>
  <c r="AY155" i="1"/>
  <c r="AY213" i="1" s="1"/>
  <c r="Z237" i="1"/>
  <c r="C285" i="3"/>
  <c r="Z111" i="1"/>
  <c r="Z32" i="1"/>
  <c r="C291" i="3"/>
  <c r="D291" i="3" s="1"/>
  <c r="AA128" i="1"/>
  <c r="AA65" i="1" s="1"/>
  <c r="D297" i="3"/>
  <c r="AY32" i="1"/>
  <c r="D299" i="3"/>
  <c r="D303" i="3"/>
  <c r="D300" i="3"/>
  <c r="D289" i="3"/>
  <c r="D302" i="3"/>
  <c r="D298" i="3"/>
  <c r="J306" i="3"/>
  <c r="AX127" i="1"/>
  <c r="AX126" i="1"/>
  <c r="AX118" i="1"/>
  <c r="AX95" i="1"/>
  <c r="AX94" i="1"/>
  <c r="AX92" i="1"/>
  <c r="AX89" i="1"/>
  <c r="AX207" i="1"/>
  <c r="AX218" i="1" s="1"/>
  <c r="AX201" i="1"/>
  <c r="AX261" i="1" s="1"/>
  <c r="AX183" i="1"/>
  <c r="AX241" i="1" s="1"/>
  <c r="AX179" i="1"/>
  <c r="AX237" i="1" s="1"/>
  <c r="AX173" i="1"/>
  <c r="AX231" i="1" s="1"/>
  <c r="AX172" i="1"/>
  <c r="AX230" i="1" s="1"/>
  <c r="AX171" i="1"/>
  <c r="AX229" i="1" s="1"/>
  <c r="AX170" i="1"/>
  <c r="AX228" i="1" s="1"/>
  <c r="AX155" i="1"/>
  <c r="AX213" i="1" s="1"/>
  <c r="AX149" i="1"/>
  <c r="AX160" i="1" s="1"/>
  <c r="AX122" i="1"/>
  <c r="AX105" i="1"/>
  <c r="AX100" i="1"/>
  <c r="AX176" i="1"/>
  <c r="AX234" i="1" s="1"/>
  <c r="AX71" i="1"/>
  <c r="AX61" i="1"/>
  <c r="AX32" i="1"/>
  <c r="C329" i="3"/>
  <c r="C330" i="3" s="1"/>
  <c r="C341" i="3"/>
  <c r="AW204" i="1"/>
  <c r="K111" i="1"/>
  <c r="AY111" i="1" s="1"/>
  <c r="BF96" i="1" l="1"/>
  <c r="BF97" i="1" s="1"/>
  <c r="BF103" i="1" s="1"/>
  <c r="BF177" i="1"/>
  <c r="BF235" i="1" s="1"/>
  <c r="AB25" i="2"/>
  <c r="BB73" i="1"/>
  <c r="AB54" i="2"/>
  <c r="O111" i="1"/>
  <c r="AD259" i="1"/>
  <c r="BC70" i="1"/>
  <c r="N43" i="1"/>
  <c r="N63" i="1"/>
  <c r="N73" i="1"/>
  <c r="N108" i="1"/>
  <c r="BC40" i="1"/>
  <c r="BC43" i="1" s="1"/>
  <c r="BA212" i="1"/>
  <c r="AA20" i="1"/>
  <c r="AA55" i="1" s="1"/>
  <c r="Y16" i="2"/>
  <c r="BA48" i="1"/>
  <c r="Z16" i="2"/>
  <c r="AB24" i="1"/>
  <c r="AB34" i="1" s="1"/>
  <c r="AC107" i="1"/>
  <c r="Z25" i="2"/>
  <c r="AB175" i="1"/>
  <c r="AB233" i="1" s="1"/>
  <c r="AC113" i="1"/>
  <c r="AC35" i="1"/>
  <c r="AC70" i="1"/>
  <c r="AC40" i="1"/>
  <c r="AB53" i="1"/>
  <c r="Z20" i="1"/>
  <c r="AC21" i="1" s="1"/>
  <c r="AY10" i="1"/>
  <c r="AY20" i="1" s="1"/>
  <c r="BC21" i="1" s="1"/>
  <c r="AB113" i="1"/>
  <c r="BA9" i="1"/>
  <c r="AZ10" i="1"/>
  <c r="AY95" i="1"/>
  <c r="AZ181" i="1"/>
  <c r="AZ239" i="1" s="1"/>
  <c r="BA95" i="1"/>
  <c r="AD181" i="1" s="1"/>
  <c r="AD239" i="1" s="1"/>
  <c r="AZ180" i="1"/>
  <c r="AZ238" i="1" s="1"/>
  <c r="BA94" i="1"/>
  <c r="AD180" i="1" s="1"/>
  <c r="AD238" i="1" s="1"/>
  <c r="AV20" i="1"/>
  <c r="AZ176" i="1"/>
  <c r="AZ234" i="1" s="1"/>
  <c r="BA90" i="1"/>
  <c r="AD176" i="1" s="1"/>
  <c r="AD234" i="1" s="1"/>
  <c r="AY89" i="1"/>
  <c r="AX20" i="1"/>
  <c r="AZ175" i="1"/>
  <c r="AZ233" i="1" s="1"/>
  <c r="BA89" i="1"/>
  <c r="M151" i="1"/>
  <c r="M209" i="1" s="1"/>
  <c r="BB63" i="1"/>
  <c r="BB43" i="1"/>
  <c r="BA145" i="1"/>
  <c r="BA199" i="1" s="1"/>
  <c r="BA259" i="1"/>
  <c r="AB163" i="1"/>
  <c r="AB221" i="1" s="1"/>
  <c r="AB57" i="1"/>
  <c r="AB59" i="1"/>
  <c r="AB55" i="1"/>
  <c r="AB54" i="1"/>
  <c r="AB58" i="1"/>
  <c r="AB56" i="1"/>
  <c r="M259" i="1"/>
  <c r="M221" i="1"/>
  <c r="M164" i="1"/>
  <c r="M123" i="1"/>
  <c r="L108" i="1"/>
  <c r="L73" i="1"/>
  <c r="L43" i="1"/>
  <c r="L63" i="1"/>
  <c r="C261" i="3"/>
  <c r="C263" i="3" s="1"/>
  <c r="D263" i="3" s="1"/>
  <c r="AX128" i="1"/>
  <c r="AX132" i="1" s="1"/>
  <c r="M66" i="1"/>
  <c r="M156" i="1"/>
  <c r="M214" i="1" s="1"/>
  <c r="AY135" i="1"/>
  <c r="AY92" i="1"/>
  <c r="M145" i="1"/>
  <c r="M199" i="1" s="1"/>
  <c r="AY176" i="1"/>
  <c r="AY234" i="1" s="1"/>
  <c r="M70" i="1"/>
  <c r="M108" i="1" s="1"/>
  <c r="M40" i="1"/>
  <c r="M35" i="1"/>
  <c r="AX186" i="1"/>
  <c r="AX244" i="1" s="1"/>
  <c r="AZ145" i="1"/>
  <c r="AZ199" i="1" s="1"/>
  <c r="AZ189" i="1"/>
  <c r="AZ247" i="1" s="1"/>
  <c r="AZ259" i="1" s="1"/>
  <c r="AZ212" i="1"/>
  <c r="AZ156" i="1"/>
  <c r="AZ214" i="1" s="1"/>
  <c r="D327" i="3"/>
  <c r="AA154" i="1"/>
  <c r="AA156" i="1" s="1"/>
  <c r="AA214" i="1" s="1"/>
  <c r="AA188" i="1"/>
  <c r="AA246" i="1" s="1"/>
  <c r="AA132" i="1"/>
  <c r="AA189" i="1" s="1"/>
  <c r="AA247" i="1" s="1"/>
  <c r="AA259" i="1" s="1"/>
  <c r="AA135" i="1"/>
  <c r="AY94" i="1"/>
  <c r="AA62" i="1"/>
  <c r="AY62" i="1"/>
  <c r="AY188" i="1"/>
  <c r="AY246" i="1" s="1"/>
  <c r="AY189" i="1"/>
  <c r="AY247" i="1" s="1"/>
  <c r="AY259" i="1" s="1"/>
  <c r="AY154" i="1"/>
  <c r="AY212" i="1" s="1"/>
  <c r="AW203" i="1"/>
  <c r="AZ205" i="1" s="1"/>
  <c r="AX180" i="1"/>
  <c r="AX238" i="1" s="1"/>
  <c r="D286" i="3"/>
  <c r="C312" i="3"/>
  <c r="AX178" i="1"/>
  <c r="AX236" i="1" s="1"/>
  <c r="AX175" i="1"/>
  <c r="AX233" i="1" s="1"/>
  <c r="C311" i="3"/>
  <c r="AX181" i="1"/>
  <c r="AX239" i="1" s="1"/>
  <c r="AX102" i="1"/>
  <c r="D304" i="3"/>
  <c r="D315" i="3"/>
  <c r="D317" i="3"/>
  <c r="D326" i="3"/>
  <c r="D324" i="3"/>
  <c r="D329" i="3"/>
  <c r="D325" i="3"/>
  <c r="D328" i="3"/>
  <c r="D323" i="3"/>
  <c r="C355" i="3"/>
  <c r="C356" i="3" s="1"/>
  <c r="C343" i="3"/>
  <c r="J332" i="3"/>
  <c r="D350" i="3" s="1"/>
  <c r="AU155" i="2"/>
  <c r="AU154" i="2"/>
  <c r="AU153" i="2"/>
  <c r="AU152" i="2"/>
  <c r="I42" i="2"/>
  <c r="J42" i="2"/>
  <c r="J13" i="2"/>
  <c r="J117" i="2"/>
  <c r="J100" i="2"/>
  <c r="K127" i="1"/>
  <c r="Z127" i="1" s="1"/>
  <c r="K126" i="1"/>
  <c r="Z126" i="1" s="1"/>
  <c r="K118" i="1"/>
  <c r="K95" i="1"/>
  <c r="K94" i="1"/>
  <c r="K92" i="1"/>
  <c r="K90" i="1"/>
  <c r="J90" i="1"/>
  <c r="J176" i="1" s="1"/>
  <c r="K89" i="1"/>
  <c r="J207" i="1"/>
  <c r="J218" i="1" s="1"/>
  <c r="J204" i="1"/>
  <c r="J249" i="1" s="1"/>
  <c r="J201" i="1"/>
  <c r="J261" i="1" s="1"/>
  <c r="J183" i="1"/>
  <c r="J173" i="1"/>
  <c r="J172" i="1"/>
  <c r="J171" i="1"/>
  <c r="J170" i="1"/>
  <c r="J155" i="1"/>
  <c r="J149" i="1"/>
  <c r="J160" i="1" s="1"/>
  <c r="J127" i="1"/>
  <c r="J126" i="1"/>
  <c r="J122" i="1"/>
  <c r="J118" i="1"/>
  <c r="J111" i="1"/>
  <c r="AX111" i="1" s="1"/>
  <c r="J95" i="1"/>
  <c r="J181" i="1" s="1"/>
  <c r="J94" i="1"/>
  <c r="J180" i="1" s="1"/>
  <c r="J93" i="1"/>
  <c r="J179" i="1" s="1"/>
  <c r="J92" i="1"/>
  <c r="J178" i="1" s="1"/>
  <c r="J89" i="1"/>
  <c r="J113" i="1" s="1"/>
  <c r="AX113" i="1" s="1"/>
  <c r="J71" i="1"/>
  <c r="J61" i="1"/>
  <c r="J32" i="1"/>
  <c r="J16" i="1"/>
  <c r="J10" i="1"/>
  <c r="K207" i="1"/>
  <c r="K218" i="1" s="1"/>
  <c r="K201" i="1"/>
  <c r="K261" i="1" s="1"/>
  <c r="K183" i="1"/>
  <c r="K173" i="1"/>
  <c r="K172" i="1"/>
  <c r="K171" i="1"/>
  <c r="K170" i="1"/>
  <c r="K155" i="1"/>
  <c r="K213" i="1" s="1"/>
  <c r="K149" i="1"/>
  <c r="K160" i="1" s="1"/>
  <c r="K122" i="1"/>
  <c r="AW111" i="1"/>
  <c r="K179" i="1"/>
  <c r="K71" i="1"/>
  <c r="K61" i="1"/>
  <c r="K32" i="1"/>
  <c r="K16" i="1"/>
  <c r="K10" i="1"/>
  <c r="AW207" i="1"/>
  <c r="AW218" i="1" s="1"/>
  <c r="AW149" i="1"/>
  <c r="AW160" i="1" s="1"/>
  <c r="O201" i="1"/>
  <c r="O261" i="1" s="1"/>
  <c r="AW134" i="1"/>
  <c r="AW249" i="1" s="1"/>
  <c r="AW130" i="1"/>
  <c r="O155" i="1" s="1"/>
  <c r="AW121" i="1"/>
  <c r="AW120" i="1"/>
  <c r="AW119" i="1"/>
  <c r="AW105" i="1"/>
  <c r="O207" i="1"/>
  <c r="O218" i="1" s="1"/>
  <c r="BB78" i="1" l="1"/>
  <c r="BF79" i="1" s="1"/>
  <c r="BF74" i="1"/>
  <c r="BB21" i="1"/>
  <c r="BF99" i="1"/>
  <c r="BF182" i="1"/>
  <c r="BF240" i="1" s="1"/>
  <c r="J128" i="2"/>
  <c r="K148" i="2"/>
  <c r="J61" i="2"/>
  <c r="K61" i="2"/>
  <c r="K32" i="2"/>
  <c r="BB75" i="1"/>
  <c r="AA163" i="1"/>
  <c r="AA221" i="1" s="1"/>
  <c r="BC73" i="1"/>
  <c r="BC78" i="1" s="1"/>
  <c r="BC63" i="1"/>
  <c r="AD111" i="1"/>
  <c r="AD65" i="1" s="1"/>
  <c r="AD172" i="1"/>
  <c r="AD230" i="1" s="1"/>
  <c r="AA56" i="1"/>
  <c r="AA57" i="1"/>
  <c r="AB107" i="1"/>
  <c r="AB151" i="1" s="1"/>
  <c r="AB209" i="1" s="1"/>
  <c r="AA24" i="1"/>
  <c r="AA34" i="1" s="1"/>
  <c r="AA70" i="1" s="1"/>
  <c r="BB113" i="1"/>
  <c r="AA59" i="1"/>
  <c r="AA58" i="1"/>
  <c r="M222" i="1"/>
  <c r="N222" i="1"/>
  <c r="BA10" i="1"/>
  <c r="N109" i="1"/>
  <c r="N75" i="1"/>
  <c r="BD113" i="1"/>
  <c r="N44" i="1"/>
  <c r="N47" i="1"/>
  <c r="N50" i="1" s="1"/>
  <c r="N112" i="1"/>
  <c r="BC113" i="1"/>
  <c r="AA53" i="1"/>
  <c r="Z163" i="1"/>
  <c r="Z221" i="1" s="1"/>
  <c r="AA54" i="1"/>
  <c r="AZ20" i="1"/>
  <c r="AZ58" i="1" s="1"/>
  <c r="AC123" i="1"/>
  <c r="AC66" i="1"/>
  <c r="AC151" i="1"/>
  <c r="AC209" i="1" s="1"/>
  <c r="J15" i="2"/>
  <c r="X13" i="2"/>
  <c r="J44" i="2"/>
  <c r="X42" i="2"/>
  <c r="BC44" i="1"/>
  <c r="AC73" i="1"/>
  <c r="AC43" i="1"/>
  <c r="AC63" i="1"/>
  <c r="AY181" i="1"/>
  <c r="AY239" i="1" s="1"/>
  <c r="AY180" i="1"/>
  <c r="AY238" i="1" s="1"/>
  <c r="BA176" i="1"/>
  <c r="BA234" i="1" s="1"/>
  <c r="AY178" i="1"/>
  <c r="AY236" i="1" s="1"/>
  <c r="AY175" i="1"/>
  <c r="AY233" i="1" s="1"/>
  <c r="AX55" i="1"/>
  <c r="BB60" i="1"/>
  <c r="BB165" i="1"/>
  <c r="BF166" i="1" s="1"/>
  <c r="BB83" i="1"/>
  <c r="BB77" i="1"/>
  <c r="BB80" i="1"/>
  <c r="BB47" i="1"/>
  <c r="BB44" i="1"/>
  <c r="AB70" i="1"/>
  <c r="AB73" i="1" s="1"/>
  <c r="AB35" i="1"/>
  <c r="AB40" i="1"/>
  <c r="L44" i="1"/>
  <c r="L112" i="1"/>
  <c r="L47" i="1"/>
  <c r="L50" i="1" s="1"/>
  <c r="L109" i="1"/>
  <c r="L75" i="1"/>
  <c r="AX154" i="1"/>
  <c r="AX156" i="1" s="1"/>
  <c r="AX214" i="1" s="1"/>
  <c r="AX62" i="1"/>
  <c r="BA178" i="1"/>
  <c r="BA236" i="1" s="1"/>
  <c r="AY59" i="1"/>
  <c r="J252" i="3"/>
  <c r="M43" i="1"/>
  <c r="M63" i="1"/>
  <c r="M73" i="1"/>
  <c r="M74" i="1" s="1"/>
  <c r="AX189" i="1"/>
  <c r="AX247" i="1" s="1"/>
  <c r="AX259" i="1" s="1"/>
  <c r="Z24" i="1"/>
  <c r="Z57" i="1"/>
  <c r="Z54" i="1"/>
  <c r="Z59" i="1"/>
  <c r="Z55" i="1"/>
  <c r="Z58" i="1"/>
  <c r="Z56" i="1"/>
  <c r="Z53" i="1"/>
  <c r="AA145" i="1"/>
  <c r="AA199" i="1" s="1"/>
  <c r="AX188" i="1"/>
  <c r="AX246" i="1" s="1"/>
  <c r="AX135" i="1"/>
  <c r="AA212" i="1"/>
  <c r="J213" i="1"/>
  <c r="Z128" i="1"/>
  <c r="Z65" i="1" s="1"/>
  <c r="K178" i="1"/>
  <c r="AW118" i="1"/>
  <c r="Z118" i="1"/>
  <c r="AY145" i="1"/>
  <c r="AY199" i="1" s="1"/>
  <c r="AY156" i="1"/>
  <c r="AY214" i="1" s="1"/>
  <c r="J130" i="2"/>
  <c r="C288" i="3"/>
  <c r="C294" i="3" s="1"/>
  <c r="D285" i="3"/>
  <c r="D288" i="3" s="1"/>
  <c r="J175" i="1"/>
  <c r="AX53" i="1"/>
  <c r="K181" i="1"/>
  <c r="AX145" i="1"/>
  <c r="AX199" i="1" s="1"/>
  <c r="AW126" i="1"/>
  <c r="K175" i="1"/>
  <c r="AW127" i="1"/>
  <c r="D312" i="3"/>
  <c r="AX56" i="1"/>
  <c r="AX58" i="1"/>
  <c r="AX24" i="1"/>
  <c r="AX34" i="1" s="1"/>
  <c r="AX163" i="1"/>
  <c r="AX221" i="1" s="1"/>
  <c r="BB222" i="1" s="1"/>
  <c r="AX59" i="1"/>
  <c r="AX57" i="1"/>
  <c r="AX54" i="1"/>
  <c r="K176" i="1"/>
  <c r="K180" i="1"/>
  <c r="J94" i="2"/>
  <c r="J129" i="2"/>
  <c r="D330" i="3"/>
  <c r="J128" i="1"/>
  <c r="J65" i="1" s="1"/>
  <c r="C337" i="3"/>
  <c r="C338" i="3"/>
  <c r="D338" i="3" s="1"/>
  <c r="D351" i="3"/>
  <c r="D343" i="3"/>
  <c r="D341" i="3"/>
  <c r="D353" i="3"/>
  <c r="D352" i="3"/>
  <c r="D354" i="3"/>
  <c r="D355" i="3"/>
  <c r="D349" i="3"/>
  <c r="J118" i="2"/>
  <c r="J122" i="2"/>
  <c r="J121" i="2"/>
  <c r="J126" i="2"/>
  <c r="J131" i="2"/>
  <c r="J97" i="2"/>
  <c r="J98" i="2"/>
  <c r="J123" i="2"/>
  <c r="J99" i="2"/>
  <c r="J124" i="2"/>
  <c r="J125" i="2"/>
  <c r="J127" i="2"/>
  <c r="J20" i="1"/>
  <c r="L21" i="1" s="1"/>
  <c r="K113" i="1"/>
  <c r="AY113" i="1" s="1"/>
  <c r="O122" i="1"/>
  <c r="AW201" i="1"/>
  <c r="AW261" i="1" s="1"/>
  <c r="K20" i="1"/>
  <c r="AW122" i="1"/>
  <c r="O213" i="1"/>
  <c r="K128" i="1"/>
  <c r="K65" i="1" s="1"/>
  <c r="AW155" i="1"/>
  <c r="AW213" i="1" s="1"/>
  <c r="O149" i="1"/>
  <c r="O160" i="1" s="1"/>
  <c r="AU48" i="1"/>
  <c r="AU39" i="1"/>
  <c r="AU38" i="1"/>
  <c r="AU37" i="1"/>
  <c r="AU36" i="1"/>
  <c r="AU31" i="1"/>
  <c r="AU30" i="1"/>
  <c r="AU28" i="1"/>
  <c r="AU27" i="1"/>
  <c r="AU72" i="1" s="1"/>
  <c r="AU26" i="1"/>
  <c r="C381" i="3"/>
  <c r="C382" i="3" s="1"/>
  <c r="J358" i="3"/>
  <c r="D375" i="3" s="1"/>
  <c r="C369" i="3"/>
  <c r="C367" i="3"/>
  <c r="AV127" i="1"/>
  <c r="AV126" i="1"/>
  <c r="C363" i="3" s="1"/>
  <c r="AV118" i="1"/>
  <c r="AV93" i="1"/>
  <c r="AV87" i="1"/>
  <c r="AV86" i="1"/>
  <c r="AV85" i="1"/>
  <c r="AV48" i="1"/>
  <c r="AV38" i="1"/>
  <c r="AV37" i="1"/>
  <c r="AV36" i="1"/>
  <c r="AV30" i="1"/>
  <c r="AV32" i="1" s="1"/>
  <c r="AW7" i="1"/>
  <c r="AV207" i="1"/>
  <c r="AV218" i="1" s="1"/>
  <c r="AV203" i="1"/>
  <c r="AV201" i="1"/>
  <c r="AV261" i="1" s="1"/>
  <c r="AV155" i="1"/>
  <c r="AV213" i="1" s="1"/>
  <c r="AV149" i="1"/>
  <c r="AV160" i="1" s="1"/>
  <c r="AV105" i="1"/>
  <c r="C407" i="3"/>
  <c r="C408" i="3" s="1"/>
  <c r="J384" i="3"/>
  <c r="D401" i="3" s="1"/>
  <c r="C416" i="3"/>
  <c r="AU147" i="1"/>
  <c r="AU201" i="1" s="1"/>
  <c r="AU261" i="1" s="1"/>
  <c r="AU134" i="1"/>
  <c r="AU130" i="1"/>
  <c r="AU155" i="1" s="1"/>
  <c r="AU213" i="1" s="1"/>
  <c r="AU121" i="1"/>
  <c r="AU120" i="1"/>
  <c r="AU119" i="1"/>
  <c r="AU98" i="1"/>
  <c r="AU93" i="1"/>
  <c r="AU87" i="1"/>
  <c r="AU86" i="1"/>
  <c r="AU85" i="1"/>
  <c r="AU84" i="1"/>
  <c r="AU22" i="1"/>
  <c r="AU18" i="1"/>
  <c r="AU17" i="1"/>
  <c r="AU15" i="1"/>
  <c r="AU14" i="1"/>
  <c r="AU9" i="1"/>
  <c r="AU8" i="1"/>
  <c r="AU7" i="1"/>
  <c r="AU207" i="1"/>
  <c r="AU218" i="1" s="1"/>
  <c r="AU149" i="1"/>
  <c r="AU160" i="1" s="1"/>
  <c r="AU105" i="1"/>
  <c r="Y127" i="1"/>
  <c r="AU127" i="1" s="1"/>
  <c r="Y126" i="1"/>
  <c r="AU126" i="1" s="1"/>
  <c r="C389" i="3" s="1"/>
  <c r="Y118" i="1"/>
  <c r="AU118" i="1" s="1"/>
  <c r="Y94" i="1"/>
  <c r="Y180" i="1" s="1"/>
  <c r="Y238" i="1" s="1"/>
  <c r="Y95" i="1"/>
  <c r="Y181" i="1" s="1"/>
  <c r="Y239" i="1" s="1"/>
  <c r="Y92" i="1"/>
  <c r="Y178" i="1" s="1"/>
  <c r="Y236" i="1" s="1"/>
  <c r="Y90" i="1"/>
  <c r="AV90" i="1" s="1"/>
  <c r="Y89" i="1"/>
  <c r="Y42" i="1"/>
  <c r="Y207" i="1"/>
  <c r="Y218" i="1" s="1"/>
  <c r="Y201" i="1"/>
  <c r="Y261" i="1" s="1"/>
  <c r="Y183" i="1"/>
  <c r="Y241" i="1" s="1"/>
  <c r="Y179" i="1"/>
  <c r="Y237" i="1" s="1"/>
  <c r="Y173" i="1"/>
  <c r="Y231" i="1" s="1"/>
  <c r="Y172" i="1"/>
  <c r="Y230" i="1" s="1"/>
  <c r="Y171" i="1"/>
  <c r="Y229" i="1" s="1"/>
  <c r="Y170" i="1"/>
  <c r="Y228" i="1" s="1"/>
  <c r="Y155" i="1"/>
  <c r="Y213" i="1" s="1"/>
  <c r="Y149" i="1"/>
  <c r="Y160" i="1" s="1"/>
  <c r="Y122" i="1"/>
  <c r="Y71" i="1"/>
  <c r="Y61" i="1"/>
  <c r="Y32" i="1"/>
  <c r="Y10" i="1"/>
  <c r="C449" i="3"/>
  <c r="C450" i="3" s="1"/>
  <c r="C437" i="3"/>
  <c r="C435" i="3"/>
  <c r="J426" i="3"/>
  <c r="D443" i="3" s="1"/>
  <c r="C458" i="3"/>
  <c r="AT183" i="1"/>
  <c r="AT241" i="1" s="1"/>
  <c r="AT179" i="1"/>
  <c r="AT237" i="1" s="1"/>
  <c r="AT173" i="1"/>
  <c r="AT231" i="1" s="1"/>
  <c r="AT172" i="1"/>
  <c r="AT230" i="1" s="1"/>
  <c r="AT171" i="1"/>
  <c r="AT170" i="1"/>
  <c r="AT228" i="1" s="1"/>
  <c r="AT127" i="1"/>
  <c r="AT126" i="1"/>
  <c r="C431" i="3" s="1"/>
  <c r="AT118" i="1"/>
  <c r="AT100" i="1"/>
  <c r="AT95" i="1"/>
  <c r="AT94" i="1"/>
  <c r="AT92" i="1"/>
  <c r="AT90" i="1"/>
  <c r="AT89" i="1"/>
  <c r="AT207" i="1"/>
  <c r="AT218" i="1" s="1"/>
  <c r="AT201" i="1"/>
  <c r="AT261" i="1" s="1"/>
  <c r="AT155" i="1"/>
  <c r="AT213" i="1" s="1"/>
  <c r="AT149" i="1"/>
  <c r="AT160" i="1" s="1"/>
  <c r="AT122" i="1"/>
  <c r="AT105" i="1"/>
  <c r="AT71" i="1"/>
  <c r="AT61" i="1"/>
  <c r="AT32" i="1"/>
  <c r="AT16" i="1"/>
  <c r="AT10" i="1"/>
  <c r="C491" i="3"/>
  <c r="BC75" i="1" l="1"/>
  <c r="BF185" i="1"/>
  <c r="BF243" i="1" s="1"/>
  <c r="BF184" i="1"/>
  <c r="BF242" i="1" s="1"/>
  <c r="Z61" i="2"/>
  <c r="J49" i="2"/>
  <c r="K63" i="2"/>
  <c r="J21" i="2"/>
  <c r="K34" i="2"/>
  <c r="Z32" i="2"/>
  <c r="J48" i="2"/>
  <c r="AB123" i="1"/>
  <c r="AB66" i="1"/>
  <c r="BB50" i="1"/>
  <c r="J50" i="2"/>
  <c r="J53" i="2"/>
  <c r="J52" i="2"/>
  <c r="J51" i="2"/>
  <c r="AD10" i="1"/>
  <c r="AB16" i="2" s="1"/>
  <c r="AD175" i="1"/>
  <c r="AD233" i="1" s="1"/>
  <c r="AD113" i="1"/>
  <c r="AC109" i="1"/>
  <c r="N83" i="1"/>
  <c r="N60" i="1"/>
  <c r="N165" i="1"/>
  <c r="N80" i="1"/>
  <c r="N77" i="1"/>
  <c r="N110" i="1"/>
  <c r="N74" i="1"/>
  <c r="J45" i="2"/>
  <c r="J20" i="2"/>
  <c r="J24" i="2"/>
  <c r="J19" i="2"/>
  <c r="J23" i="2"/>
  <c r="J22" i="2"/>
  <c r="J16" i="2"/>
  <c r="AU19" i="1"/>
  <c r="AZ57" i="1"/>
  <c r="AZ56" i="1"/>
  <c r="AZ54" i="1"/>
  <c r="AZ163" i="1"/>
  <c r="AZ221" i="1" s="1"/>
  <c r="AT20" i="1"/>
  <c r="AZ59" i="1"/>
  <c r="AZ53" i="1"/>
  <c r="AZ24" i="1"/>
  <c r="AZ34" i="1" s="1"/>
  <c r="AZ40" i="1" s="1"/>
  <c r="AZ55" i="1"/>
  <c r="AC108" i="1"/>
  <c r="Z34" i="1"/>
  <c r="Z70" i="1" s="1"/>
  <c r="Z73" i="1" s="1"/>
  <c r="AB74" i="1" s="1"/>
  <c r="AC25" i="1"/>
  <c r="Y20" i="1"/>
  <c r="Y24" i="1" s="1"/>
  <c r="W16" i="2"/>
  <c r="X44" i="2"/>
  <c r="X15" i="2"/>
  <c r="AC47" i="1"/>
  <c r="AC44" i="1"/>
  <c r="AC78" i="1"/>
  <c r="AD78" i="1" s="1"/>
  <c r="AC75" i="1"/>
  <c r="BC83" i="1"/>
  <c r="BC165" i="1"/>
  <c r="BC80" i="1"/>
  <c r="BC77" i="1"/>
  <c r="BC60" i="1"/>
  <c r="BB88" i="1"/>
  <c r="BB169" i="1"/>
  <c r="BB223" i="1"/>
  <c r="BF224" i="1" s="1"/>
  <c r="BB167" i="1"/>
  <c r="J102" i="2"/>
  <c r="AB75" i="1"/>
  <c r="C395" i="3"/>
  <c r="D395" i="3" s="1"/>
  <c r="AU249" i="1"/>
  <c r="AB108" i="1"/>
  <c r="AB43" i="1"/>
  <c r="AC112" i="1" s="1"/>
  <c r="AB63" i="1"/>
  <c r="AY56" i="1"/>
  <c r="AY163" i="1"/>
  <c r="AY221" i="1" s="1"/>
  <c r="BC222" i="1" s="1"/>
  <c r="AX212" i="1"/>
  <c r="AY54" i="1"/>
  <c r="L60" i="1"/>
  <c r="L77" i="1"/>
  <c r="L80" i="1"/>
  <c r="L165" i="1"/>
  <c r="L110" i="1"/>
  <c r="L83" i="1"/>
  <c r="AY57" i="1"/>
  <c r="AY24" i="1"/>
  <c r="AY34" i="1" s="1"/>
  <c r="AY70" i="1" s="1"/>
  <c r="AY55" i="1"/>
  <c r="AY58" i="1"/>
  <c r="AY53" i="1"/>
  <c r="N79" i="1"/>
  <c r="M75" i="1"/>
  <c r="M109" i="1"/>
  <c r="J107" i="1"/>
  <c r="J151" i="1" s="1"/>
  <c r="AW205" i="1"/>
  <c r="AY205" i="1"/>
  <c r="J281" i="3" s="1"/>
  <c r="AX205" i="1"/>
  <c r="M112" i="1"/>
  <c r="BA112" i="1" s="1"/>
  <c r="M44" i="1"/>
  <c r="M47" i="1"/>
  <c r="M50" i="1" s="1"/>
  <c r="AZ21" i="1"/>
  <c r="J132" i="1"/>
  <c r="J145" i="1" s="1"/>
  <c r="J199" i="1" s="1"/>
  <c r="J188" i="1"/>
  <c r="J246" i="1" s="1"/>
  <c r="Z62" i="1"/>
  <c r="Z135" i="1"/>
  <c r="J135" i="1"/>
  <c r="J154" i="1"/>
  <c r="J212" i="1" s="1"/>
  <c r="Z154" i="1"/>
  <c r="Z212" i="1" s="1"/>
  <c r="J62" i="1"/>
  <c r="Z188" i="1"/>
  <c r="Z246" i="1" s="1"/>
  <c r="Z132" i="1"/>
  <c r="Z145" i="1" s="1"/>
  <c r="Z199" i="1" s="1"/>
  <c r="AV42" i="1"/>
  <c r="AW42" i="1" s="1"/>
  <c r="Z42" i="1"/>
  <c r="Z89" i="1"/>
  <c r="Z175" i="1" s="1"/>
  <c r="Z233" i="1" s="1"/>
  <c r="Z95" i="1"/>
  <c r="Z181" i="1" s="1"/>
  <c r="Z239" i="1" s="1"/>
  <c r="Z90" i="1"/>
  <c r="Z176" i="1" s="1"/>
  <c r="Z234" i="1" s="1"/>
  <c r="Z94" i="1"/>
  <c r="Z180" i="1" s="1"/>
  <c r="Z238" i="1" s="1"/>
  <c r="Z92" i="1"/>
  <c r="Z178" i="1" s="1"/>
  <c r="Z236" i="1" s="1"/>
  <c r="Y175" i="1"/>
  <c r="Y233" i="1" s="1"/>
  <c r="AA113" i="1"/>
  <c r="AV176" i="1"/>
  <c r="AV234" i="1" s="1"/>
  <c r="AW48" i="1"/>
  <c r="AW8" i="1"/>
  <c r="AW28" i="1"/>
  <c r="AV170" i="1"/>
  <c r="AV228" i="1" s="1"/>
  <c r="AA73" i="1"/>
  <c r="AB109" i="1" s="1"/>
  <c r="AA35" i="1"/>
  <c r="AA40" i="1"/>
  <c r="AW38" i="1"/>
  <c r="AW39" i="1"/>
  <c r="AV183" i="1"/>
  <c r="AV241" i="1" s="1"/>
  <c r="AW9" i="1"/>
  <c r="AW30" i="1"/>
  <c r="AV171" i="1"/>
  <c r="AV229" i="1" s="1"/>
  <c r="AW14" i="1"/>
  <c r="AW31" i="1"/>
  <c r="AV172" i="1"/>
  <c r="AV230" i="1" s="1"/>
  <c r="AW18" i="1"/>
  <c r="AW22" i="1"/>
  <c r="AW26" i="1"/>
  <c r="AW15" i="1"/>
  <c r="AW36" i="1"/>
  <c r="AV173" i="1"/>
  <c r="AV231" i="1" s="1"/>
  <c r="AW17" i="1"/>
  <c r="AW37" i="1"/>
  <c r="AV179" i="1"/>
  <c r="AV237" i="1" s="1"/>
  <c r="AW27" i="1"/>
  <c r="AW72" i="1" s="1"/>
  <c r="AT102" i="1"/>
  <c r="D290" i="3"/>
  <c r="C290" i="3"/>
  <c r="D311" i="3"/>
  <c r="D314" i="3" s="1"/>
  <c r="D316" i="3" s="1"/>
  <c r="C314" i="3"/>
  <c r="C320" i="3" s="1"/>
  <c r="AT181" i="1"/>
  <c r="AT239" i="1" s="1"/>
  <c r="AU172" i="1"/>
  <c r="AU230" i="1" s="1"/>
  <c r="AW86" i="1"/>
  <c r="AU173" i="1"/>
  <c r="AU231" i="1" s="1"/>
  <c r="AW87" i="1"/>
  <c r="AU170" i="1"/>
  <c r="AU228" i="1" s="1"/>
  <c r="AW84" i="1"/>
  <c r="AT180" i="1"/>
  <c r="AT238" i="1" s="1"/>
  <c r="AU171" i="1"/>
  <c r="AU229" i="1" s="1"/>
  <c r="AW85" i="1"/>
  <c r="AU179" i="1"/>
  <c r="AU237" i="1" s="1"/>
  <c r="AW93" i="1"/>
  <c r="AT178" i="1"/>
  <c r="AT236" i="1" s="1"/>
  <c r="AT175" i="1"/>
  <c r="AT233" i="1" s="1"/>
  <c r="AU183" i="1"/>
  <c r="AU241" i="1" s="1"/>
  <c r="AW98" i="1"/>
  <c r="AW128" i="1"/>
  <c r="AT176" i="1"/>
  <c r="AT234" i="1" s="1"/>
  <c r="J55" i="1"/>
  <c r="AX35" i="1"/>
  <c r="AX40" i="1"/>
  <c r="AX70" i="1"/>
  <c r="C340" i="3"/>
  <c r="C346" i="3" s="1"/>
  <c r="J56" i="1"/>
  <c r="D337" i="3"/>
  <c r="D340" i="3" s="1"/>
  <c r="D342" i="3" s="1"/>
  <c r="AW113" i="1"/>
  <c r="J54" i="1"/>
  <c r="J24" i="1"/>
  <c r="L25" i="1" s="1"/>
  <c r="J53" i="1"/>
  <c r="D356" i="3"/>
  <c r="J133" i="2"/>
  <c r="J57" i="1"/>
  <c r="J163" i="1"/>
  <c r="L164" i="1" s="1"/>
  <c r="J59" i="1"/>
  <c r="J58" i="1"/>
  <c r="K24" i="1"/>
  <c r="K53" i="1"/>
  <c r="K56" i="1"/>
  <c r="K163" i="1"/>
  <c r="K54" i="1"/>
  <c r="K107" i="1"/>
  <c r="K151" i="1" s="1"/>
  <c r="K57" i="1"/>
  <c r="K59" i="1"/>
  <c r="K58" i="1"/>
  <c r="K55" i="1"/>
  <c r="AV71" i="1"/>
  <c r="AV61" i="1"/>
  <c r="K135" i="1"/>
  <c r="K132" i="1"/>
  <c r="K188" i="1"/>
  <c r="K246" i="1" s="1"/>
  <c r="K62" i="1"/>
  <c r="K154" i="1"/>
  <c r="AU71" i="1"/>
  <c r="D376" i="3"/>
  <c r="AU61" i="1"/>
  <c r="Y128" i="1"/>
  <c r="Y188" i="1" s="1"/>
  <c r="Y246" i="1" s="1"/>
  <c r="AU92" i="1"/>
  <c r="AU42" i="1"/>
  <c r="C364" i="3"/>
  <c r="C366" i="3" s="1"/>
  <c r="C368" i="3" s="1"/>
  <c r="AU90" i="1"/>
  <c r="AU122" i="1"/>
  <c r="C393" i="3"/>
  <c r="D393" i="3" s="1"/>
  <c r="Y176" i="1"/>
  <c r="Y234" i="1" s="1"/>
  <c r="AU89" i="1"/>
  <c r="AU128" i="1"/>
  <c r="AU188" i="1" s="1"/>
  <c r="AU246" i="1" s="1"/>
  <c r="C390" i="3"/>
  <c r="D390" i="3" s="1"/>
  <c r="AU94" i="1"/>
  <c r="AV89" i="1"/>
  <c r="AV128" i="1"/>
  <c r="AV95" i="1"/>
  <c r="D369" i="3"/>
  <c r="AU95" i="1"/>
  <c r="AU16" i="1"/>
  <c r="AV92" i="1"/>
  <c r="AV94" i="1"/>
  <c r="D377" i="3"/>
  <c r="D380" i="3"/>
  <c r="AU32" i="1"/>
  <c r="D367" i="3"/>
  <c r="D378" i="3"/>
  <c r="D363" i="3"/>
  <c r="D379" i="3"/>
  <c r="D381" i="3"/>
  <c r="D407" i="3"/>
  <c r="D403" i="3"/>
  <c r="D411" i="3"/>
  <c r="D404" i="3"/>
  <c r="D412" i="3"/>
  <c r="D389" i="3"/>
  <c r="D405" i="3"/>
  <c r="D413" i="3"/>
  <c r="D406" i="3"/>
  <c r="D414" i="3"/>
  <c r="D402" i="3"/>
  <c r="D415" i="3"/>
  <c r="AU10" i="1"/>
  <c r="AT229" i="1"/>
  <c r="C432" i="3"/>
  <c r="C434" i="3" s="1"/>
  <c r="AT186" i="1"/>
  <c r="AT244" i="1" s="1"/>
  <c r="D437" i="3"/>
  <c r="D445" i="3"/>
  <c r="D453" i="3"/>
  <c r="D446" i="3"/>
  <c r="D454" i="3"/>
  <c r="D455" i="3"/>
  <c r="D444" i="3"/>
  <c r="D431" i="3"/>
  <c r="D456" i="3"/>
  <c r="D457" i="3"/>
  <c r="D449" i="3"/>
  <c r="D435" i="3"/>
  <c r="D447" i="3"/>
  <c r="D448" i="3"/>
  <c r="AT128" i="1"/>
  <c r="AT62" i="1" s="1"/>
  <c r="V73" i="2"/>
  <c r="V113" i="2"/>
  <c r="V114" i="2"/>
  <c r="I71" i="2"/>
  <c r="I74" i="2" s="1"/>
  <c r="H42" i="2"/>
  <c r="I13" i="2"/>
  <c r="H13" i="2"/>
  <c r="AX73" i="1" l="1"/>
  <c r="AX75" i="1" s="1"/>
  <c r="O20" i="1"/>
  <c r="M16" i="2"/>
  <c r="V145" i="2"/>
  <c r="X145" i="2"/>
  <c r="V144" i="2"/>
  <c r="X144" i="2"/>
  <c r="I61" i="2"/>
  <c r="Z63" i="2"/>
  <c r="Z34" i="2"/>
  <c r="I32" i="2"/>
  <c r="J32" i="2"/>
  <c r="AC74" i="1"/>
  <c r="Z75" i="1"/>
  <c r="J25" i="2"/>
  <c r="J54" i="2"/>
  <c r="Z40" i="1"/>
  <c r="Z63" i="1" s="1"/>
  <c r="Z35" i="1"/>
  <c r="AD20" i="1"/>
  <c r="AD53" i="1" s="1"/>
  <c r="N142" i="1"/>
  <c r="N196" i="1" s="1"/>
  <c r="N191" i="1"/>
  <c r="N152" i="1"/>
  <c r="N143" i="1"/>
  <c r="N197" i="1" s="1"/>
  <c r="N140" i="1"/>
  <c r="N139" i="1"/>
  <c r="K34" i="1"/>
  <c r="K40" i="1" s="1"/>
  <c r="N25" i="1"/>
  <c r="N167" i="1"/>
  <c r="N223" i="1"/>
  <c r="N88" i="1"/>
  <c r="N169" i="1"/>
  <c r="AU20" i="1"/>
  <c r="AY21" i="1" s="1"/>
  <c r="AZ35" i="1"/>
  <c r="AZ70" i="1"/>
  <c r="AZ73" i="1" s="1"/>
  <c r="X24" i="2"/>
  <c r="X22" i="2"/>
  <c r="X20" i="2"/>
  <c r="X21" i="2"/>
  <c r="X19" i="2"/>
  <c r="X23" i="2"/>
  <c r="X45" i="2"/>
  <c r="X53" i="2"/>
  <c r="X49" i="2"/>
  <c r="X50" i="2"/>
  <c r="X51" i="2"/>
  <c r="X48" i="2"/>
  <c r="X52" i="2"/>
  <c r="AC80" i="1"/>
  <c r="AC83" i="1"/>
  <c r="AC77" i="1"/>
  <c r="AC165" i="1"/>
  <c r="AC60" i="1"/>
  <c r="BC167" i="1"/>
  <c r="BC223" i="1"/>
  <c r="AC50" i="1"/>
  <c r="BC47" i="1"/>
  <c r="BC169" i="1"/>
  <c r="BC88" i="1"/>
  <c r="BC91" i="1" s="1"/>
  <c r="BB225" i="1"/>
  <c r="BB227" i="1"/>
  <c r="BB174" i="1"/>
  <c r="BB232" i="1" s="1"/>
  <c r="AY73" i="1"/>
  <c r="BB91" i="1"/>
  <c r="AB44" i="1"/>
  <c r="AB47" i="1"/>
  <c r="AB50" i="1" s="1"/>
  <c r="AW19" i="1"/>
  <c r="M79" i="1"/>
  <c r="M110" i="1"/>
  <c r="AY35" i="1"/>
  <c r="AY40" i="1"/>
  <c r="AY63" i="1" s="1"/>
  <c r="L223" i="1"/>
  <c r="L167" i="1"/>
  <c r="L169" i="1"/>
  <c r="L88" i="1"/>
  <c r="L191" i="1"/>
  <c r="L251" i="1" s="1"/>
  <c r="L152" i="1"/>
  <c r="L142" i="1"/>
  <c r="L196" i="1" s="1"/>
  <c r="L143" i="1"/>
  <c r="L197" i="1" s="1"/>
  <c r="L140" i="1"/>
  <c r="L139" i="1"/>
  <c r="J123" i="1"/>
  <c r="Z107" i="1"/>
  <c r="Z151" i="1" s="1"/>
  <c r="Z209" i="1" s="1"/>
  <c r="J66" i="1"/>
  <c r="J34" i="1"/>
  <c r="J40" i="1" s="1"/>
  <c r="M25" i="1"/>
  <c r="AW179" i="1"/>
  <c r="AW237" i="1" s="1"/>
  <c r="O179" i="1"/>
  <c r="M165" i="1"/>
  <c r="M166" i="1" s="1"/>
  <c r="M77" i="1"/>
  <c r="M83" i="1"/>
  <c r="M60" i="1"/>
  <c r="M80" i="1"/>
  <c r="AW172" i="1"/>
  <c r="AW230" i="1" s="1"/>
  <c r="AZ43" i="1"/>
  <c r="AZ63" i="1"/>
  <c r="AW173" i="1"/>
  <c r="AW231" i="1" s="1"/>
  <c r="O173" i="1"/>
  <c r="AW171" i="1"/>
  <c r="AW229" i="1" s="1"/>
  <c r="O171" i="1"/>
  <c r="AW170" i="1"/>
  <c r="AW228" i="1" s="1"/>
  <c r="O170" i="1"/>
  <c r="AW65" i="1"/>
  <c r="AW135" i="1"/>
  <c r="O32" i="1"/>
  <c r="AV132" i="1"/>
  <c r="AV135" i="1"/>
  <c r="AW183" i="1"/>
  <c r="AW241" i="1" s="1"/>
  <c r="O183" i="1"/>
  <c r="O154" i="1"/>
  <c r="O212" i="1" s="1"/>
  <c r="O62" i="1"/>
  <c r="J189" i="1"/>
  <c r="J247" i="1" s="1"/>
  <c r="AV24" i="1"/>
  <c r="Z189" i="1"/>
  <c r="Z247" i="1" s="1"/>
  <c r="Z259" i="1" s="1"/>
  <c r="J156" i="1"/>
  <c r="J214" i="1" s="1"/>
  <c r="Z156" i="1"/>
  <c r="Z214" i="1" s="1"/>
  <c r="AW132" i="1"/>
  <c r="AW145" i="1" s="1"/>
  <c r="AW199" i="1" s="1"/>
  <c r="Z113" i="1"/>
  <c r="AV178" i="1"/>
  <c r="AV236" i="1" s="1"/>
  <c r="O145" i="1"/>
  <c r="O199" i="1" s="1"/>
  <c r="AA78" i="1"/>
  <c r="AA75" i="1"/>
  <c r="AV180" i="1"/>
  <c r="AV238" i="1" s="1"/>
  <c r="O188" i="1"/>
  <c r="O246" i="1" s="1"/>
  <c r="AV181" i="1"/>
  <c r="AV239" i="1" s="1"/>
  <c r="AA43" i="1"/>
  <c r="AB112" i="1" s="1"/>
  <c r="AA63" i="1"/>
  <c r="Y54" i="1"/>
  <c r="AA107" i="1"/>
  <c r="AV175" i="1"/>
  <c r="AV233" i="1" s="1"/>
  <c r="AU178" i="1"/>
  <c r="AU236" i="1" s="1"/>
  <c r="AU180" i="1"/>
  <c r="AU238" i="1" s="1"/>
  <c r="AW154" i="1"/>
  <c r="AW156" i="1" s="1"/>
  <c r="AW214" i="1" s="1"/>
  <c r="C292" i="3"/>
  <c r="D292" i="3" s="1"/>
  <c r="AU181" i="1"/>
  <c r="AU239" i="1" s="1"/>
  <c r="AU175" i="1"/>
  <c r="AU233" i="1" s="1"/>
  <c r="J307" i="3"/>
  <c r="C342" i="3"/>
  <c r="C344" i="3" s="1"/>
  <c r="D344" i="3" s="1"/>
  <c r="AX78" i="1"/>
  <c r="AT54" i="1"/>
  <c r="AX21" i="1"/>
  <c r="AX63" i="1"/>
  <c r="AX43" i="1"/>
  <c r="AW95" i="1"/>
  <c r="J333" i="3"/>
  <c r="AU176" i="1"/>
  <c r="AU234" i="1" s="1"/>
  <c r="AW90" i="1"/>
  <c r="AW188" i="1"/>
  <c r="AW246" i="1" s="1"/>
  <c r="AW92" i="1"/>
  <c r="AW89" i="1"/>
  <c r="AW94" i="1"/>
  <c r="K205" i="1"/>
  <c r="C316" i="3"/>
  <c r="K164" i="1"/>
  <c r="K209" i="1"/>
  <c r="K221" i="1"/>
  <c r="K123" i="1"/>
  <c r="K66" i="1"/>
  <c r="AW107" i="1"/>
  <c r="AW151" i="1" s="1"/>
  <c r="AW209" i="1" s="1"/>
  <c r="K234" i="1"/>
  <c r="K230" i="1"/>
  <c r="K229" i="1"/>
  <c r="K239" i="1"/>
  <c r="K231" i="1"/>
  <c r="K228" i="1"/>
  <c r="K236" i="1"/>
  <c r="K233" i="1"/>
  <c r="K241" i="1"/>
  <c r="K238" i="1"/>
  <c r="K237" i="1"/>
  <c r="K212" i="1"/>
  <c r="K156" i="1"/>
  <c r="K214" i="1" s="1"/>
  <c r="K189" i="1"/>
  <c r="K247" i="1" s="1"/>
  <c r="K145" i="1"/>
  <c r="K199" i="1" s="1"/>
  <c r="Y62" i="1"/>
  <c r="Y154" i="1"/>
  <c r="Y156" i="1" s="1"/>
  <c r="Y214" i="1" s="1"/>
  <c r="Y135" i="1"/>
  <c r="Y132" i="1"/>
  <c r="Y189" i="1" s="1"/>
  <c r="Y247" i="1" s="1"/>
  <c r="Y259" i="1" s="1"/>
  <c r="AU62" i="1"/>
  <c r="AU154" i="1"/>
  <c r="AU156" i="1" s="1"/>
  <c r="AU214" i="1" s="1"/>
  <c r="D364" i="3"/>
  <c r="D366" i="3" s="1"/>
  <c r="D368" i="3" s="1"/>
  <c r="C372" i="3"/>
  <c r="C440" i="3"/>
  <c r="AV188" i="1"/>
  <c r="AV246" i="1" s="1"/>
  <c r="AU135" i="1"/>
  <c r="C392" i="3"/>
  <c r="AU132" i="1"/>
  <c r="AU189" i="1" s="1"/>
  <c r="AU247" i="1" s="1"/>
  <c r="AU259" i="1" s="1"/>
  <c r="D392" i="3"/>
  <c r="D394" i="3" s="1"/>
  <c r="AV62" i="1"/>
  <c r="AV154" i="1"/>
  <c r="AV212" i="1" s="1"/>
  <c r="D382" i="3"/>
  <c r="C370" i="3"/>
  <c r="D370" i="3" s="1"/>
  <c r="D408" i="3"/>
  <c r="D416" i="3"/>
  <c r="D432" i="3"/>
  <c r="D434" i="3" s="1"/>
  <c r="D436" i="3" s="1"/>
  <c r="Y59" i="1"/>
  <c r="Y58" i="1"/>
  <c r="Y57" i="1"/>
  <c r="Y55" i="1"/>
  <c r="Y56" i="1"/>
  <c r="Y163" i="1"/>
  <c r="Y221" i="1" s="1"/>
  <c r="Y53" i="1"/>
  <c r="D458" i="3"/>
  <c r="C436" i="3"/>
  <c r="D450" i="3"/>
  <c r="AT188" i="1"/>
  <c r="AT246" i="1" s="1"/>
  <c r="AT132" i="1"/>
  <c r="AT145" i="1" s="1"/>
  <c r="AT199" i="1" s="1"/>
  <c r="AT154" i="1"/>
  <c r="AT212" i="1" s="1"/>
  <c r="AT135" i="1"/>
  <c r="AT59" i="1"/>
  <c r="AT55" i="1"/>
  <c r="AT58" i="1"/>
  <c r="AT24" i="1"/>
  <c r="AT34" i="1" s="1"/>
  <c r="AT70" i="1" s="1"/>
  <c r="AT163" i="1"/>
  <c r="AT221" i="1" s="1"/>
  <c r="AX222" i="1" s="1"/>
  <c r="AT56" i="1"/>
  <c r="AT53" i="1"/>
  <c r="AT57" i="1"/>
  <c r="AS147" i="1"/>
  <c r="AS201" i="1" s="1"/>
  <c r="AS261" i="1" s="1"/>
  <c r="AS134" i="1"/>
  <c r="AS130" i="1"/>
  <c r="AS119" i="1"/>
  <c r="AS120" i="1"/>
  <c r="AS121" i="1"/>
  <c r="X22" i="1"/>
  <c r="X203" i="1"/>
  <c r="Y205" i="1" s="1"/>
  <c r="AS203" i="1"/>
  <c r="X204" i="1"/>
  <c r="I204" i="1"/>
  <c r="I127" i="1"/>
  <c r="X127" i="1" s="1"/>
  <c r="I126" i="1"/>
  <c r="AS126" i="1" s="1"/>
  <c r="I118" i="1"/>
  <c r="X118" i="1" s="1"/>
  <c r="I92" i="1"/>
  <c r="I178" i="1" s="1"/>
  <c r="I90" i="1"/>
  <c r="X90" i="1" s="1"/>
  <c r="X176" i="1" s="1"/>
  <c r="I95" i="1"/>
  <c r="I94" i="1"/>
  <c r="I180" i="1" s="1"/>
  <c r="I93" i="1"/>
  <c r="I179" i="1" s="1"/>
  <c r="I89" i="1"/>
  <c r="I113" i="1" s="1"/>
  <c r="AS113" i="1" s="1"/>
  <c r="X147" i="1"/>
  <c r="X201" i="1" s="1"/>
  <c r="X261" i="1" s="1"/>
  <c r="X134" i="1"/>
  <c r="X130" i="1"/>
  <c r="X119" i="1"/>
  <c r="X120" i="1"/>
  <c r="X121" i="1"/>
  <c r="X98" i="1"/>
  <c r="X183" i="1" s="1"/>
  <c r="X85" i="1"/>
  <c r="X171" i="1" s="1"/>
  <c r="X86" i="1"/>
  <c r="X87" i="1"/>
  <c r="X173" i="1" s="1"/>
  <c r="X84" i="1"/>
  <c r="X170" i="1" s="1"/>
  <c r="X48" i="1"/>
  <c r="X42" i="1"/>
  <c r="X37" i="1"/>
  <c r="X38" i="1"/>
  <c r="X39" i="1"/>
  <c r="X36" i="1"/>
  <c r="X27" i="1"/>
  <c r="X72" i="1" s="1"/>
  <c r="X28" i="1"/>
  <c r="X30" i="1"/>
  <c r="X31" i="1"/>
  <c r="X26" i="1"/>
  <c r="X18" i="1"/>
  <c r="X17" i="1"/>
  <c r="X15" i="1"/>
  <c r="X14" i="1"/>
  <c r="X8" i="1"/>
  <c r="X9" i="1"/>
  <c r="X7" i="1"/>
  <c r="C500" i="3"/>
  <c r="C492" i="3"/>
  <c r="X207" i="1"/>
  <c r="X218" i="1" s="1"/>
  <c r="X149" i="1"/>
  <c r="X160" i="1" s="1"/>
  <c r="AS207" i="1"/>
  <c r="AS218" i="1" s="1"/>
  <c r="AS149" i="1"/>
  <c r="AS160" i="1" s="1"/>
  <c r="AS105" i="1"/>
  <c r="I207" i="1"/>
  <c r="I218" i="1" s="1"/>
  <c r="I201" i="1"/>
  <c r="I261" i="1" s="1"/>
  <c r="I183" i="1"/>
  <c r="I173" i="1"/>
  <c r="I172" i="1"/>
  <c r="I171" i="1"/>
  <c r="I170" i="1"/>
  <c r="I155" i="1"/>
  <c r="I149" i="1"/>
  <c r="I160" i="1" s="1"/>
  <c r="I122" i="1"/>
  <c r="I111" i="1"/>
  <c r="AS111" i="1" s="1"/>
  <c r="I71" i="1"/>
  <c r="I61" i="1"/>
  <c r="I32" i="1"/>
  <c r="I16" i="1"/>
  <c r="I10" i="1"/>
  <c r="V115" i="2"/>
  <c r="V106" i="2"/>
  <c r="V107" i="2"/>
  <c r="V108" i="2"/>
  <c r="V109" i="2"/>
  <c r="V110" i="2"/>
  <c r="V111" i="2"/>
  <c r="V112" i="2"/>
  <c r="V105" i="2"/>
  <c r="V89" i="2"/>
  <c r="V90" i="2"/>
  <c r="V91" i="2"/>
  <c r="V88" i="2"/>
  <c r="V68" i="2"/>
  <c r="V69" i="2"/>
  <c r="V70" i="2"/>
  <c r="V72" i="2"/>
  <c r="V67" i="2"/>
  <c r="V39" i="2"/>
  <c r="V40" i="2"/>
  <c r="V41" i="2"/>
  <c r="V43" i="2"/>
  <c r="V38" i="2"/>
  <c r="V14" i="2"/>
  <c r="V12" i="2"/>
  <c r="V11" i="2"/>
  <c r="V10" i="2"/>
  <c r="V9" i="2"/>
  <c r="I117" i="2"/>
  <c r="I94" i="2"/>
  <c r="I44" i="2"/>
  <c r="I15" i="2"/>
  <c r="C533" i="3"/>
  <c r="C534" i="3" s="1"/>
  <c r="J510" i="3"/>
  <c r="C521" i="3"/>
  <c r="C519" i="3"/>
  <c r="C543" i="3"/>
  <c r="AR203" i="1"/>
  <c r="AR127" i="1"/>
  <c r="C516" i="3" s="1"/>
  <c r="AR126" i="1"/>
  <c r="C515" i="3" s="1"/>
  <c r="AR118" i="1"/>
  <c r="AR122" i="1"/>
  <c r="AR48" i="1"/>
  <c r="AS48" i="1" s="1"/>
  <c r="AR42" i="1"/>
  <c r="AS42" i="1" s="1"/>
  <c r="AR39" i="1"/>
  <c r="AS39" i="1" s="1"/>
  <c r="AR38" i="1"/>
  <c r="AS38" i="1" s="1"/>
  <c r="AR37" i="1"/>
  <c r="AS37" i="1" s="1"/>
  <c r="AR36" i="1"/>
  <c r="AR61" i="1" s="1"/>
  <c r="AR31" i="1"/>
  <c r="AS31" i="1" s="1"/>
  <c r="AR30" i="1"/>
  <c r="AS30" i="1" s="1"/>
  <c r="AR28" i="1"/>
  <c r="AS28" i="1" s="1"/>
  <c r="AR27" i="1"/>
  <c r="AR26" i="1"/>
  <c r="AS26" i="1" s="1"/>
  <c r="AR22" i="1"/>
  <c r="AR71" i="1" s="1"/>
  <c r="AR18" i="1"/>
  <c r="AS18" i="1" s="1"/>
  <c r="AR17" i="1"/>
  <c r="AR15" i="1"/>
  <c r="AS15" i="1" s="1"/>
  <c r="AR14" i="1"/>
  <c r="AS14" i="1" s="1"/>
  <c r="AR9" i="1"/>
  <c r="AS9" i="1" s="1"/>
  <c r="AR8" i="1"/>
  <c r="AS8" i="1" s="1"/>
  <c r="AR7" i="1"/>
  <c r="AS7" i="1" s="1"/>
  <c r="AR207" i="1"/>
  <c r="AR218" i="1" s="1"/>
  <c r="AR201" i="1"/>
  <c r="AR261" i="1" s="1"/>
  <c r="AR155" i="1"/>
  <c r="AR213" i="1" s="1"/>
  <c r="AR149" i="1"/>
  <c r="AR160" i="1" s="1"/>
  <c r="AR105" i="1"/>
  <c r="AQ7" i="1"/>
  <c r="AQ48" i="1"/>
  <c r="BB74" i="1" l="1"/>
  <c r="X141" i="2"/>
  <c r="X140" i="2"/>
  <c r="X139" i="2"/>
  <c r="X142" i="2"/>
  <c r="J148" i="2"/>
  <c r="X138" i="2"/>
  <c r="X137" i="2"/>
  <c r="X136" i="2"/>
  <c r="X146" i="2"/>
  <c r="X143" i="2"/>
  <c r="X57" i="2"/>
  <c r="X60" i="2"/>
  <c r="X59" i="2"/>
  <c r="I45" i="2"/>
  <c r="J63" i="2"/>
  <c r="X62" i="2"/>
  <c r="X58" i="2"/>
  <c r="X30" i="2"/>
  <c r="X28" i="2"/>
  <c r="X31" i="2"/>
  <c r="I16" i="2"/>
  <c r="J34" i="2"/>
  <c r="X33" i="2"/>
  <c r="X29" i="2"/>
  <c r="K35" i="1"/>
  <c r="AS27" i="1"/>
  <c r="AS72" i="1" s="1"/>
  <c r="AR72" i="1"/>
  <c r="K70" i="1"/>
  <c r="K108" i="1" s="1"/>
  <c r="AW108" i="1" s="1"/>
  <c r="Z43" i="1"/>
  <c r="Z44" i="1" s="1"/>
  <c r="BC50" i="1"/>
  <c r="N166" i="1"/>
  <c r="AD24" i="1"/>
  <c r="AD34" i="1" s="1"/>
  <c r="AD163" i="1"/>
  <c r="AD221" i="1" s="1"/>
  <c r="AD107" i="1"/>
  <c r="AD54" i="1"/>
  <c r="AD58" i="1"/>
  <c r="AD57" i="1"/>
  <c r="AD55" i="1"/>
  <c r="AD59" i="1"/>
  <c r="AD56" i="1"/>
  <c r="N193" i="1"/>
  <c r="N158" i="1"/>
  <c r="N174" i="1"/>
  <c r="N232" i="1" s="1"/>
  <c r="N227" i="1"/>
  <c r="N194" i="1"/>
  <c r="N157" i="1"/>
  <c r="N91" i="1"/>
  <c r="N225" i="1"/>
  <c r="N153" i="1"/>
  <c r="N210" i="1"/>
  <c r="AZ75" i="1"/>
  <c r="AZ78" i="1"/>
  <c r="AZ83" i="1" s="1"/>
  <c r="AY75" i="1"/>
  <c r="BC74" i="1"/>
  <c r="X25" i="2"/>
  <c r="X54" i="2"/>
  <c r="AC169" i="1"/>
  <c r="AC88" i="1"/>
  <c r="AC91" i="1" s="1"/>
  <c r="BC96" i="1"/>
  <c r="BC177" i="1"/>
  <c r="BC235" i="1" s="1"/>
  <c r="BC174" i="1"/>
  <c r="BC232" i="1" s="1"/>
  <c r="BC227" i="1"/>
  <c r="AC167" i="1"/>
  <c r="AC223" i="1"/>
  <c r="AC225" i="1" s="1"/>
  <c r="BC225" i="1"/>
  <c r="AY78" i="1"/>
  <c r="BC79" i="1" s="1"/>
  <c r="BB79" i="1"/>
  <c r="M142" i="1"/>
  <c r="M196" i="1" s="1"/>
  <c r="BB177" i="1"/>
  <c r="BB235" i="1" s="1"/>
  <c r="BB96" i="1"/>
  <c r="BB97" i="1" s="1"/>
  <c r="X249" i="1"/>
  <c r="L253" i="1"/>
  <c r="L254" i="1"/>
  <c r="J259" i="1"/>
  <c r="AS204" i="1"/>
  <c r="AV205" i="1" s="1"/>
  <c r="I249" i="1"/>
  <c r="K259" i="1"/>
  <c r="AB78" i="1"/>
  <c r="AC110" i="1" s="1"/>
  <c r="AC191" i="1" s="1"/>
  <c r="AC251" i="1" s="1"/>
  <c r="AC253" i="1" s="1"/>
  <c r="X19" i="1"/>
  <c r="AS17" i="1"/>
  <c r="AS19" i="1" s="1"/>
  <c r="AR19" i="1"/>
  <c r="AY43" i="1"/>
  <c r="L227" i="1"/>
  <c r="L174" i="1"/>
  <c r="L232" i="1" s="1"/>
  <c r="L193" i="1"/>
  <c r="L158" i="1"/>
  <c r="L157" i="1"/>
  <c r="L194" i="1"/>
  <c r="L153" i="1"/>
  <c r="L210" i="1"/>
  <c r="L225" i="1"/>
  <c r="L91" i="1"/>
  <c r="J70" i="1"/>
  <c r="J73" i="1" s="1"/>
  <c r="L74" i="1" s="1"/>
  <c r="O156" i="1"/>
  <c r="O214" i="1" s="1"/>
  <c r="Z123" i="1"/>
  <c r="Z66" i="1"/>
  <c r="AZ44" i="1"/>
  <c r="AZ47" i="1"/>
  <c r="AZ50" i="1" s="1"/>
  <c r="AV145" i="1"/>
  <c r="AV199" i="1" s="1"/>
  <c r="M223" i="1"/>
  <c r="M224" i="1" s="1"/>
  <c r="M167" i="1"/>
  <c r="AW180" i="1"/>
  <c r="AW238" i="1" s="1"/>
  <c r="O180" i="1"/>
  <c r="O238" i="1" s="1"/>
  <c r="J35" i="1"/>
  <c r="AW175" i="1"/>
  <c r="AW233" i="1" s="1"/>
  <c r="O113" i="1"/>
  <c r="M169" i="1"/>
  <c r="M88" i="1"/>
  <c r="AW178" i="1"/>
  <c r="AW236" i="1" s="1"/>
  <c r="M191" i="1"/>
  <c r="M152" i="1"/>
  <c r="M143" i="1"/>
  <c r="M197" i="1" s="1"/>
  <c r="M140" i="1"/>
  <c r="M139" i="1"/>
  <c r="AW189" i="1"/>
  <c r="AW247" i="1" s="1"/>
  <c r="AW259" i="1" s="1"/>
  <c r="O241" i="1"/>
  <c r="O237" i="1"/>
  <c r="O229" i="1"/>
  <c r="O189" i="1"/>
  <c r="O247" i="1" s="1"/>
  <c r="O259" i="1" s="1"/>
  <c r="AA47" i="1"/>
  <c r="AA50" i="1" s="1"/>
  <c r="AA44" i="1"/>
  <c r="AA83" i="1"/>
  <c r="AA60" i="1"/>
  <c r="AA80" i="1"/>
  <c r="AA165" i="1"/>
  <c r="AA77" i="1"/>
  <c r="AA66" i="1"/>
  <c r="AA151" i="1"/>
  <c r="AA209" i="1" s="1"/>
  <c r="AA123" i="1"/>
  <c r="O178" i="1"/>
  <c r="O236" i="1" s="1"/>
  <c r="O228" i="1"/>
  <c r="O231" i="1"/>
  <c r="AV59" i="1"/>
  <c r="AW66" i="1"/>
  <c r="D533" i="3"/>
  <c r="AW212" i="1"/>
  <c r="AW123" i="1"/>
  <c r="O65" i="1"/>
  <c r="O172" i="1"/>
  <c r="O230" i="1" s="1"/>
  <c r="AU58" i="1"/>
  <c r="C318" i="3"/>
  <c r="D318" i="3" s="1"/>
  <c r="AW176" i="1"/>
  <c r="AW234" i="1" s="1"/>
  <c r="O176" i="1"/>
  <c r="O234" i="1" s="1"/>
  <c r="AW181" i="1"/>
  <c r="AW239" i="1" s="1"/>
  <c r="O181" i="1"/>
  <c r="O239" i="1" s="1"/>
  <c r="AX77" i="1"/>
  <c r="AX165" i="1"/>
  <c r="BB166" i="1" s="1"/>
  <c r="AX60" i="1"/>
  <c r="AX83" i="1"/>
  <c r="AX80" i="1"/>
  <c r="AX44" i="1"/>
  <c r="AX47" i="1"/>
  <c r="AX50" i="1" s="1"/>
  <c r="I130" i="2"/>
  <c r="I129" i="2"/>
  <c r="I118" i="2"/>
  <c r="I76" i="2"/>
  <c r="J43" i="1"/>
  <c r="J63" i="1"/>
  <c r="K73" i="1"/>
  <c r="K43" i="1"/>
  <c r="K63" i="1"/>
  <c r="Y145" i="1"/>
  <c r="Y199" i="1" s="1"/>
  <c r="AU212" i="1"/>
  <c r="AU53" i="1"/>
  <c r="AU54" i="1"/>
  <c r="Y212" i="1"/>
  <c r="AU59" i="1"/>
  <c r="AU55" i="1"/>
  <c r="AU163" i="1"/>
  <c r="AU221" i="1" s="1"/>
  <c r="AY222" i="1" s="1"/>
  <c r="AU24" i="1"/>
  <c r="AU34" i="1" s="1"/>
  <c r="AU40" i="1" s="1"/>
  <c r="AU56" i="1"/>
  <c r="AU57" i="1"/>
  <c r="AV189" i="1"/>
  <c r="AV247" i="1" s="1"/>
  <c r="AV259" i="1" s="1"/>
  <c r="AV156" i="1"/>
  <c r="AV214" i="1" s="1"/>
  <c r="AT156" i="1"/>
  <c r="AT214" i="1" s="1"/>
  <c r="AU145" i="1"/>
  <c r="AU199" i="1" s="1"/>
  <c r="AU205" i="1"/>
  <c r="J385" i="3" s="1"/>
  <c r="C398" i="3"/>
  <c r="C394" i="3"/>
  <c r="C396" i="3" s="1"/>
  <c r="D396" i="3" s="1"/>
  <c r="AV163" i="1"/>
  <c r="AV221" i="1" s="1"/>
  <c r="AZ222" i="1" s="1"/>
  <c r="AV34" i="1"/>
  <c r="AV56" i="1"/>
  <c r="AV57" i="1"/>
  <c r="AV54" i="1"/>
  <c r="AV58" i="1"/>
  <c r="AV53" i="1"/>
  <c r="AV55" i="1"/>
  <c r="I99" i="2"/>
  <c r="X172" i="1"/>
  <c r="X230" i="1" s="1"/>
  <c r="Y111" i="1"/>
  <c r="Y65" i="1" s="1"/>
  <c r="Y34" i="1"/>
  <c r="C438" i="3"/>
  <c r="D438" i="3" s="1"/>
  <c r="AT189" i="1"/>
  <c r="AT247" i="1" s="1"/>
  <c r="AT259" i="1" s="1"/>
  <c r="X16" i="1"/>
  <c r="AS205" i="1"/>
  <c r="AT205" i="1"/>
  <c r="J205" i="1" s="1"/>
  <c r="J203" i="1" s="1"/>
  <c r="AT35" i="1"/>
  <c r="AT40" i="1"/>
  <c r="AT43" i="1" s="1"/>
  <c r="AT73" i="1"/>
  <c r="AX74" i="1" s="1"/>
  <c r="X111" i="1"/>
  <c r="C479" i="3"/>
  <c r="C473" i="3"/>
  <c r="AS155" i="1"/>
  <c r="C477" i="3"/>
  <c r="X241" i="1"/>
  <c r="AS118" i="1"/>
  <c r="AS22" i="1"/>
  <c r="X126" i="1"/>
  <c r="X128" i="1" s="1"/>
  <c r="X132" i="1" s="1"/>
  <c r="X61" i="1"/>
  <c r="I213" i="1"/>
  <c r="X92" i="1"/>
  <c r="X178" i="1" s="1"/>
  <c r="X236" i="1" s="1"/>
  <c r="X71" i="1"/>
  <c r="AS36" i="1"/>
  <c r="AS127" i="1"/>
  <c r="I126" i="2"/>
  <c r="I84" i="2"/>
  <c r="X228" i="1"/>
  <c r="X229" i="1"/>
  <c r="X231" i="1"/>
  <c r="X234" i="1"/>
  <c r="X155" i="1"/>
  <c r="X213" i="1" s="1"/>
  <c r="X122" i="1"/>
  <c r="I176" i="1"/>
  <c r="I181" i="1"/>
  <c r="X93" i="1"/>
  <c r="X179" i="1" s="1"/>
  <c r="X237" i="1" s="1"/>
  <c r="X32" i="1"/>
  <c r="D521" i="3"/>
  <c r="D531" i="3"/>
  <c r="D515" i="3"/>
  <c r="D530" i="3"/>
  <c r="D516" i="3"/>
  <c r="AS122" i="1"/>
  <c r="D519" i="3"/>
  <c r="D532" i="3"/>
  <c r="I20" i="1"/>
  <c r="J21" i="1" s="1"/>
  <c r="I128" i="1"/>
  <c r="I132" i="1" s="1"/>
  <c r="I175" i="1"/>
  <c r="D529" i="3"/>
  <c r="D528" i="3"/>
  <c r="D527" i="3"/>
  <c r="V93" i="2"/>
  <c r="V98" i="2" s="1"/>
  <c r="V117" i="2"/>
  <c r="I83" i="2"/>
  <c r="I53" i="2"/>
  <c r="I48" i="2"/>
  <c r="I51" i="2"/>
  <c r="I50" i="2"/>
  <c r="I49" i="2"/>
  <c r="I20" i="2"/>
  <c r="I23" i="2"/>
  <c r="I19" i="2"/>
  <c r="I22" i="2"/>
  <c r="I21" i="2"/>
  <c r="I24" i="2"/>
  <c r="I127" i="2"/>
  <c r="I128" i="2"/>
  <c r="I80" i="2"/>
  <c r="I97" i="2"/>
  <c r="I122" i="2"/>
  <c r="I52" i="2"/>
  <c r="I81" i="2"/>
  <c r="I98" i="2"/>
  <c r="I123" i="2"/>
  <c r="I79" i="2"/>
  <c r="I121" i="2"/>
  <c r="I82" i="2"/>
  <c r="I124" i="2"/>
  <c r="I100" i="2"/>
  <c r="I125" i="2"/>
  <c r="I131" i="2"/>
  <c r="C518" i="3"/>
  <c r="AR128" i="1"/>
  <c r="AR62" i="1" s="1"/>
  <c r="AR32" i="1"/>
  <c r="AR16" i="1"/>
  <c r="AR10" i="1"/>
  <c r="V122" i="2" l="1"/>
  <c r="X148" i="2"/>
  <c r="Z47" i="1"/>
  <c r="Z50" i="1" s="1"/>
  <c r="AY77" i="1"/>
  <c r="BB103" i="1"/>
  <c r="AD151" i="1"/>
  <c r="AD209" i="1" s="1"/>
  <c r="AD123" i="1"/>
  <c r="AD66" i="1"/>
  <c r="AD40" i="1"/>
  <c r="AD70" i="1"/>
  <c r="AD35" i="1"/>
  <c r="N96" i="1"/>
  <c r="N97" i="1" s="1"/>
  <c r="N114" i="1"/>
  <c r="N177" i="1"/>
  <c r="N235" i="1" s="1"/>
  <c r="N251" i="1"/>
  <c r="N211" i="1"/>
  <c r="N215" i="1"/>
  <c r="N216" i="1"/>
  <c r="N257" i="1"/>
  <c r="N256" i="1"/>
  <c r="N224" i="1"/>
  <c r="AZ80" i="1"/>
  <c r="AZ60" i="1"/>
  <c r="AZ165" i="1"/>
  <c r="AZ223" i="1" s="1"/>
  <c r="AZ77" i="1"/>
  <c r="BA78" i="1"/>
  <c r="BA110" i="1" s="1"/>
  <c r="AC142" i="1"/>
  <c r="AC196" i="1" s="1"/>
  <c r="AC256" i="1" s="1"/>
  <c r="AC139" i="1"/>
  <c r="AC158" i="1" s="1"/>
  <c r="AC152" i="1"/>
  <c r="AC143" i="1"/>
  <c r="AC197" i="1" s="1"/>
  <c r="AC257" i="1" s="1"/>
  <c r="AC140" i="1"/>
  <c r="AC194" i="1" s="1"/>
  <c r="AC177" i="1"/>
  <c r="AC235" i="1" s="1"/>
  <c r="AC96" i="1"/>
  <c r="AC174" i="1"/>
  <c r="AC232" i="1" s="1"/>
  <c r="AC227" i="1"/>
  <c r="BC182" i="1"/>
  <c r="BC240" i="1" s="1"/>
  <c r="BC97" i="1"/>
  <c r="AC254" i="1"/>
  <c r="AY83" i="1"/>
  <c r="AY169" i="1" s="1"/>
  <c r="AY80" i="1"/>
  <c r="AY60" i="1"/>
  <c r="AY165" i="1"/>
  <c r="BC166" i="1" s="1"/>
  <c r="AY47" i="1"/>
  <c r="AY50" i="1" s="1"/>
  <c r="AR20" i="1"/>
  <c r="AV21" i="1" s="1"/>
  <c r="AY44" i="1"/>
  <c r="BB182" i="1"/>
  <c r="BB240" i="1" s="1"/>
  <c r="BB99" i="1"/>
  <c r="BB185" i="1" s="1"/>
  <c r="BB243" i="1" s="1"/>
  <c r="I102" i="2"/>
  <c r="AB80" i="1"/>
  <c r="AB165" i="1"/>
  <c r="AB83" i="1"/>
  <c r="AB77" i="1"/>
  <c r="AB60" i="1"/>
  <c r="AS213" i="1"/>
  <c r="AB110" i="1"/>
  <c r="J468" i="3"/>
  <c r="D487" i="3" s="1"/>
  <c r="L257" i="1"/>
  <c r="L256" i="1"/>
  <c r="AS249" i="1"/>
  <c r="J108" i="1"/>
  <c r="L114" i="1"/>
  <c r="AZ114" i="1" s="1"/>
  <c r="L96" i="1"/>
  <c r="L177" i="1"/>
  <c r="L235" i="1" s="1"/>
  <c r="L211" i="1"/>
  <c r="L216" i="1"/>
  <c r="L215" i="1"/>
  <c r="M157" i="1"/>
  <c r="M194" i="1"/>
  <c r="M91" i="1"/>
  <c r="M174" i="1"/>
  <c r="M232" i="1" s="1"/>
  <c r="M227" i="1"/>
  <c r="M210" i="1"/>
  <c r="M251" i="1" s="1"/>
  <c r="M153" i="1"/>
  <c r="AZ88" i="1"/>
  <c r="AZ91" i="1" s="1"/>
  <c r="AZ169" i="1"/>
  <c r="M225" i="1"/>
  <c r="M158" i="1"/>
  <c r="M193" i="1"/>
  <c r="AA223" i="1"/>
  <c r="AA225" i="1" s="1"/>
  <c r="AA167" i="1"/>
  <c r="AA88" i="1"/>
  <c r="AA169" i="1"/>
  <c r="K74" i="1"/>
  <c r="O175" i="1"/>
  <c r="O233" i="1" s="1"/>
  <c r="AX169" i="1"/>
  <c r="AX88" i="1"/>
  <c r="AX167" i="1"/>
  <c r="AX223" i="1"/>
  <c r="J236" i="1"/>
  <c r="J238" i="1"/>
  <c r="J233" i="1"/>
  <c r="J237" i="1"/>
  <c r="J239" i="1"/>
  <c r="J230" i="1"/>
  <c r="J241" i="1"/>
  <c r="J234" i="1"/>
  <c r="J228" i="1"/>
  <c r="J231" i="1"/>
  <c r="J229" i="1"/>
  <c r="J221" i="1"/>
  <c r="L222" i="1" s="1"/>
  <c r="J209" i="1"/>
  <c r="J78" i="1"/>
  <c r="L79" i="1" s="1"/>
  <c r="J75" i="1"/>
  <c r="J109" i="1"/>
  <c r="J44" i="1"/>
  <c r="J112" i="1"/>
  <c r="J47" i="1"/>
  <c r="J50" i="1" s="1"/>
  <c r="I163" i="1"/>
  <c r="J164" i="1" s="1"/>
  <c r="K21" i="1"/>
  <c r="K78" i="1"/>
  <c r="K75" i="1"/>
  <c r="K109" i="1"/>
  <c r="AW109" i="1" s="1"/>
  <c r="K44" i="1"/>
  <c r="K112" i="1"/>
  <c r="AW112" i="1" s="1"/>
  <c r="K47" i="1"/>
  <c r="K50" i="1" s="1"/>
  <c r="AU70" i="1"/>
  <c r="AU35" i="1"/>
  <c r="J359" i="3"/>
  <c r="AV70" i="1"/>
  <c r="AV40" i="1"/>
  <c r="AV35" i="1"/>
  <c r="V118" i="2"/>
  <c r="V94" i="2"/>
  <c r="AU43" i="1"/>
  <c r="AU63" i="1"/>
  <c r="Y35" i="1"/>
  <c r="Y70" i="1"/>
  <c r="Y40" i="1"/>
  <c r="W76" i="2" s="1"/>
  <c r="J427" i="3"/>
  <c r="I205" i="1"/>
  <c r="I203" i="1" s="1"/>
  <c r="AT63" i="1"/>
  <c r="AT75" i="1"/>
  <c r="AT78" i="1"/>
  <c r="AX79" i="1" s="1"/>
  <c r="AT44" i="1"/>
  <c r="AT47" i="1"/>
  <c r="AT50" i="1" s="1"/>
  <c r="C474" i="3"/>
  <c r="X135" i="1"/>
  <c r="X188" i="1"/>
  <c r="X246" i="1" s="1"/>
  <c r="AS128" i="1"/>
  <c r="AS132" i="1" s="1"/>
  <c r="AS145" i="1" s="1"/>
  <c r="AS199" i="1" s="1"/>
  <c r="X65" i="1"/>
  <c r="X62" i="1"/>
  <c r="X154" i="1"/>
  <c r="X212" i="1" s="1"/>
  <c r="I65" i="1"/>
  <c r="I62" i="1"/>
  <c r="I154" i="1"/>
  <c r="I156" i="1" s="1"/>
  <c r="I214" i="1" s="1"/>
  <c r="I135" i="1"/>
  <c r="I53" i="1"/>
  <c r="I58" i="1"/>
  <c r="I59" i="1"/>
  <c r="I107" i="1"/>
  <c r="X189" i="1"/>
  <c r="X247" i="1" s="1"/>
  <c r="X259" i="1" s="1"/>
  <c r="X145" i="1"/>
  <c r="X199" i="1" s="1"/>
  <c r="I55" i="1"/>
  <c r="I54" i="1"/>
  <c r="I57" i="1"/>
  <c r="I24" i="1"/>
  <c r="J25" i="1" s="1"/>
  <c r="I56" i="1"/>
  <c r="I188" i="1"/>
  <c r="I246" i="1" s="1"/>
  <c r="I189" i="1"/>
  <c r="I247" i="1" s="1"/>
  <c r="I145" i="1"/>
  <c r="I199" i="1" s="1"/>
  <c r="V124" i="2"/>
  <c r="V123" i="2"/>
  <c r="V126" i="2"/>
  <c r="V99" i="2"/>
  <c r="V100" i="2"/>
  <c r="V127" i="2"/>
  <c r="V128" i="2"/>
  <c r="V125" i="2"/>
  <c r="V131" i="2"/>
  <c r="V97" i="2"/>
  <c r="V121" i="2"/>
  <c r="I133" i="2"/>
  <c r="I85" i="2"/>
  <c r="I54" i="2"/>
  <c r="I25" i="2"/>
  <c r="C520" i="3"/>
  <c r="C524" i="3"/>
  <c r="AR188" i="1"/>
  <c r="AR246" i="1" s="1"/>
  <c r="AR154" i="1"/>
  <c r="AR156" i="1" s="1"/>
  <c r="AR214" i="1" s="1"/>
  <c r="AR135" i="1"/>
  <c r="AR132" i="1"/>
  <c r="AR145" i="1" s="1"/>
  <c r="AR199" i="1" s="1"/>
  <c r="AJ9" i="2"/>
  <c r="AK9" i="2" s="1"/>
  <c r="U117" i="2"/>
  <c r="U93" i="2"/>
  <c r="U100" i="2" s="1"/>
  <c r="U71" i="2"/>
  <c r="U42" i="2"/>
  <c r="U13" i="2"/>
  <c r="C616" i="3"/>
  <c r="C617" i="3" s="1"/>
  <c r="C576" i="3"/>
  <c r="C577" i="3" s="1"/>
  <c r="J553" i="3"/>
  <c r="D571" i="3" s="1"/>
  <c r="C586" i="3"/>
  <c r="AQ207" i="1"/>
  <c r="AQ218" i="1" s="1"/>
  <c r="AQ149" i="1"/>
  <c r="AQ160" i="1" s="1"/>
  <c r="AQ147" i="1"/>
  <c r="AQ201" i="1" s="1"/>
  <c r="AQ261" i="1" s="1"/>
  <c r="AQ134" i="1"/>
  <c r="AQ130" i="1"/>
  <c r="AQ155" i="1" s="1"/>
  <c r="AQ213" i="1" s="1"/>
  <c r="AM126" i="1"/>
  <c r="AQ121" i="1"/>
  <c r="AQ120" i="1"/>
  <c r="AQ119" i="1"/>
  <c r="AQ105" i="1"/>
  <c r="AQ42" i="1"/>
  <c r="AQ39" i="1"/>
  <c r="AQ38" i="1"/>
  <c r="AQ37" i="1"/>
  <c r="AQ36" i="1"/>
  <c r="AQ31" i="1"/>
  <c r="AQ30" i="1"/>
  <c r="AQ28" i="1"/>
  <c r="AQ27" i="1"/>
  <c r="AQ72" i="1" s="1"/>
  <c r="AQ26" i="1"/>
  <c r="AQ22" i="1"/>
  <c r="AQ18" i="1"/>
  <c r="AQ17" i="1"/>
  <c r="AQ15" i="1"/>
  <c r="AQ14" i="1"/>
  <c r="AQ8" i="1"/>
  <c r="AQ9" i="1"/>
  <c r="AM7" i="1"/>
  <c r="W207" i="1"/>
  <c r="W218" i="1" s="1"/>
  <c r="W204" i="1"/>
  <c r="W249" i="1" s="1"/>
  <c r="W203" i="1"/>
  <c r="X205" i="1" s="1"/>
  <c r="W201" i="1"/>
  <c r="W261" i="1" s="1"/>
  <c r="W183" i="1"/>
  <c r="W179" i="1"/>
  <c r="W178" i="1"/>
  <c r="W176" i="1"/>
  <c r="W173" i="1"/>
  <c r="W172" i="1"/>
  <c r="W171" i="1"/>
  <c r="W170" i="1"/>
  <c r="W155" i="1"/>
  <c r="W149" i="1"/>
  <c r="W160" i="1" s="1"/>
  <c r="W127" i="1"/>
  <c r="W126" i="1"/>
  <c r="AQ126" i="1" s="1"/>
  <c r="C558" i="3" s="1"/>
  <c r="W122" i="1"/>
  <c r="W118" i="1"/>
  <c r="AQ118" i="1" s="1"/>
  <c r="W95" i="1"/>
  <c r="X95" i="1" s="1"/>
  <c r="X181" i="1" s="1"/>
  <c r="X239" i="1" s="1"/>
  <c r="W94" i="1"/>
  <c r="X94" i="1" s="1"/>
  <c r="X180" i="1" s="1"/>
  <c r="X238" i="1" s="1"/>
  <c r="W89" i="1"/>
  <c r="X89" i="1" s="1"/>
  <c r="Y113" i="1" s="1"/>
  <c r="W71" i="1"/>
  <c r="W61" i="1"/>
  <c r="W32" i="1"/>
  <c r="W16" i="1"/>
  <c r="W10" i="1"/>
  <c r="J593" i="3"/>
  <c r="D615" i="3" s="1"/>
  <c r="C653" i="3"/>
  <c r="C654" i="3" s="1"/>
  <c r="C604" i="3"/>
  <c r="C602" i="3"/>
  <c r="AP201" i="1"/>
  <c r="AP207" i="1"/>
  <c r="AP218" i="1" s="1"/>
  <c r="AP155" i="1"/>
  <c r="AP213" i="1" s="1"/>
  <c r="AP149" i="1"/>
  <c r="AP160" i="1" s="1"/>
  <c r="H126" i="1"/>
  <c r="AO126" i="1" s="1"/>
  <c r="AP126" i="1"/>
  <c r="C598" i="3" s="1"/>
  <c r="AP127" i="1"/>
  <c r="AP119" i="1"/>
  <c r="AP122" i="1" s="1"/>
  <c r="AP118" i="1"/>
  <c r="AP105" i="1"/>
  <c r="AP71" i="1"/>
  <c r="AP61" i="1"/>
  <c r="AP32" i="1"/>
  <c r="AP16" i="1"/>
  <c r="AP10" i="1"/>
  <c r="C661" i="3"/>
  <c r="C660" i="3"/>
  <c r="C658" i="3"/>
  <c r="T72" i="2"/>
  <c r="T70" i="2"/>
  <c r="H71" i="2"/>
  <c r="H74" i="2" s="1"/>
  <c r="T43" i="2"/>
  <c r="T41" i="2"/>
  <c r="T42" i="2"/>
  <c r="T14" i="2"/>
  <c r="H15" i="2"/>
  <c r="T12" i="2"/>
  <c r="T115" i="2"/>
  <c r="T112" i="2"/>
  <c r="T111" i="2"/>
  <c r="T110" i="2"/>
  <c r="T109" i="2"/>
  <c r="T108" i="2"/>
  <c r="T107" i="2"/>
  <c r="T106" i="2"/>
  <c r="T105" i="2"/>
  <c r="T91" i="2"/>
  <c r="T90" i="2"/>
  <c r="T89" i="2"/>
  <c r="T88" i="2"/>
  <c r="T69" i="2"/>
  <c r="T68" i="2"/>
  <c r="T67" i="2"/>
  <c r="T40" i="2"/>
  <c r="T39" i="2"/>
  <c r="T38" i="2"/>
  <c r="T11" i="2"/>
  <c r="T10" i="2"/>
  <c r="T9" i="2"/>
  <c r="AM156" i="2"/>
  <c r="AM155" i="2"/>
  <c r="AM154" i="2"/>
  <c r="AM153" i="2"/>
  <c r="AM152" i="2"/>
  <c r="H117" i="2"/>
  <c r="H94" i="2"/>
  <c r="U204" i="1"/>
  <c r="U249" i="1" s="1"/>
  <c r="U203" i="1"/>
  <c r="U205" i="1" s="1"/>
  <c r="AO203" i="1"/>
  <c r="AQ205" i="1" s="1"/>
  <c r="J554" i="3" s="1"/>
  <c r="V203" i="1"/>
  <c r="V204" i="1"/>
  <c r="H204" i="1"/>
  <c r="H203" i="1"/>
  <c r="H205" i="1" s="1"/>
  <c r="AO205" i="1" s="1"/>
  <c r="J631" i="3" s="1"/>
  <c r="H127" i="1"/>
  <c r="H118" i="1"/>
  <c r="V118" i="1" s="1"/>
  <c r="H93" i="1"/>
  <c r="H179" i="1" s="1"/>
  <c r="H95" i="1"/>
  <c r="H181" i="1" s="1"/>
  <c r="H94" i="1"/>
  <c r="H180" i="1" s="1"/>
  <c r="H92" i="1"/>
  <c r="V92" i="1" s="1"/>
  <c r="V178" i="1" s="1"/>
  <c r="H90" i="1"/>
  <c r="H176" i="1" s="1"/>
  <c r="H89" i="1"/>
  <c r="H113" i="1" s="1"/>
  <c r="AO113" i="1" s="1"/>
  <c r="AO207" i="1"/>
  <c r="AO218" i="1" s="1"/>
  <c r="AO149" i="1"/>
  <c r="AO160" i="1" s="1"/>
  <c r="AO147" i="1"/>
  <c r="AO201" i="1" s="1"/>
  <c r="AO261" i="1" s="1"/>
  <c r="AO134" i="1"/>
  <c r="AO130" i="1"/>
  <c r="AO155" i="1" s="1"/>
  <c r="AO121" i="1"/>
  <c r="AO120" i="1"/>
  <c r="AO119" i="1"/>
  <c r="AO105" i="1"/>
  <c r="V207" i="1"/>
  <c r="V218" i="1" s="1"/>
  <c r="V149" i="1"/>
  <c r="V160" i="1" s="1"/>
  <c r="V147" i="1"/>
  <c r="V201" i="1" s="1"/>
  <c r="V261" i="1" s="1"/>
  <c r="V134" i="1"/>
  <c r="V130" i="1"/>
  <c r="V155" i="1" s="1"/>
  <c r="V121" i="1"/>
  <c r="V120" i="1"/>
  <c r="V119" i="1"/>
  <c r="V98" i="1"/>
  <c r="V183" i="1" s="1"/>
  <c r="V87" i="1"/>
  <c r="V173" i="1" s="1"/>
  <c r="V86" i="1"/>
  <c r="V172" i="1" s="1"/>
  <c r="V85" i="1"/>
  <c r="V171" i="1" s="1"/>
  <c r="V229" i="1" s="1"/>
  <c r="V84" i="1"/>
  <c r="V170" i="1" s="1"/>
  <c r="V48" i="1"/>
  <c r="V42" i="1"/>
  <c r="V39" i="1"/>
  <c r="V38" i="1"/>
  <c r="V37" i="1"/>
  <c r="V36" i="1"/>
  <c r="V31" i="1"/>
  <c r="V30" i="1"/>
  <c r="V28" i="1"/>
  <c r="V27" i="1"/>
  <c r="V72" i="1" s="1"/>
  <c r="V26" i="1"/>
  <c r="V22" i="1"/>
  <c r="V71" i="1" s="1"/>
  <c r="V18" i="1"/>
  <c r="V17" i="1"/>
  <c r="V15" i="1"/>
  <c r="V14" i="1"/>
  <c r="V9" i="1"/>
  <c r="V8" i="1"/>
  <c r="V7" i="1"/>
  <c r="H207" i="1"/>
  <c r="H218" i="1" s="1"/>
  <c r="H201" i="1"/>
  <c r="H261" i="1" s="1"/>
  <c r="H183" i="1"/>
  <c r="H173" i="1"/>
  <c r="H172" i="1"/>
  <c r="H171" i="1"/>
  <c r="H170" i="1"/>
  <c r="H155" i="1"/>
  <c r="H149" i="1"/>
  <c r="H160" i="1" s="1"/>
  <c r="H122" i="1"/>
  <c r="H111" i="1"/>
  <c r="AO111" i="1" s="1"/>
  <c r="H71" i="1"/>
  <c r="H61" i="1"/>
  <c r="H32" i="1"/>
  <c r="H16" i="1"/>
  <c r="H10" i="1"/>
  <c r="AL13" i="2"/>
  <c r="AL12" i="2"/>
  <c r="AL11" i="2"/>
  <c r="AL10" i="2"/>
  <c r="AL9" i="2"/>
  <c r="BA191" i="1" l="1"/>
  <c r="BA142" i="1"/>
  <c r="BA196" i="1" s="1"/>
  <c r="BA140" i="1"/>
  <c r="BA139" i="1"/>
  <c r="C235" i="3"/>
  <c r="D235" i="3" s="1"/>
  <c r="BA152" i="1"/>
  <c r="BA210" i="1" s="1"/>
  <c r="BA143" i="1"/>
  <c r="BA197" i="1" s="1"/>
  <c r="BC99" i="1"/>
  <c r="BC185" i="1" s="1"/>
  <c r="BC243" i="1" s="1"/>
  <c r="V142" i="2"/>
  <c r="U118" i="2"/>
  <c r="W148" i="2"/>
  <c r="H121" i="2"/>
  <c r="I148" i="2"/>
  <c r="V141" i="2"/>
  <c r="V146" i="2"/>
  <c r="V139" i="2"/>
  <c r="T143" i="2"/>
  <c r="V143" i="2"/>
  <c r="V136" i="2"/>
  <c r="V137" i="2"/>
  <c r="V138" i="2"/>
  <c r="T140" i="2"/>
  <c r="V140" i="2"/>
  <c r="U61" i="2"/>
  <c r="W61" i="2"/>
  <c r="T60" i="2"/>
  <c r="V60" i="2"/>
  <c r="V57" i="2"/>
  <c r="T62" i="2"/>
  <c r="V62" i="2"/>
  <c r="V58" i="2"/>
  <c r="V59" i="2"/>
  <c r="I34" i="2"/>
  <c r="V13" i="2"/>
  <c r="U32" i="2"/>
  <c r="W32" i="2"/>
  <c r="V28" i="2"/>
  <c r="T33" i="2"/>
  <c r="V33" i="2"/>
  <c r="V29" i="2"/>
  <c r="V30" i="2"/>
  <c r="T31" i="2"/>
  <c r="V31" i="2"/>
  <c r="AZ167" i="1"/>
  <c r="N103" i="1"/>
  <c r="AD73" i="1"/>
  <c r="AD43" i="1"/>
  <c r="AD63" i="1"/>
  <c r="BB224" i="1"/>
  <c r="N254" i="1"/>
  <c r="N253" i="1"/>
  <c r="AC153" i="1"/>
  <c r="AC210" i="1"/>
  <c r="AC211" i="1" s="1"/>
  <c r="N182" i="1"/>
  <c r="N240" i="1" s="1"/>
  <c r="N99" i="1"/>
  <c r="N185" i="1" s="1"/>
  <c r="N243" i="1" s="1"/>
  <c r="BB110" i="1"/>
  <c r="BB140" i="1" s="1"/>
  <c r="BB194" i="1" s="1"/>
  <c r="AC193" i="1"/>
  <c r="AY223" i="1"/>
  <c r="AY225" i="1" s="1"/>
  <c r="AY167" i="1"/>
  <c r="AP20" i="1"/>
  <c r="BC110" i="1"/>
  <c r="AC157" i="1"/>
  <c r="BC184" i="1"/>
  <c r="BC242" i="1" s="1"/>
  <c r="AC182" i="1"/>
  <c r="AC240" i="1" s="1"/>
  <c r="AC97" i="1"/>
  <c r="D473" i="3"/>
  <c r="AY88" i="1"/>
  <c r="AY91" i="1" s="1"/>
  <c r="D496" i="3"/>
  <c r="D488" i="3"/>
  <c r="E230" i="3"/>
  <c r="BA193" i="1"/>
  <c r="BA158" i="1"/>
  <c r="BA194" i="1"/>
  <c r="BA157" i="1"/>
  <c r="BB184" i="1"/>
  <c r="BB242" i="1" s="1"/>
  <c r="W20" i="1"/>
  <c r="D497" i="3"/>
  <c r="D486" i="3"/>
  <c r="D490" i="3"/>
  <c r="D479" i="3"/>
  <c r="D489" i="3"/>
  <c r="D498" i="3"/>
  <c r="D485" i="3"/>
  <c r="D495" i="3"/>
  <c r="D477" i="3"/>
  <c r="D474" i="3"/>
  <c r="D491" i="3"/>
  <c r="D499" i="3"/>
  <c r="AB191" i="1"/>
  <c r="AB251" i="1" s="1"/>
  <c r="AB152" i="1"/>
  <c r="AB210" i="1" s="1"/>
  <c r="AB142" i="1"/>
  <c r="AB196" i="1" s="1"/>
  <c r="AB256" i="1" s="1"/>
  <c r="AB143" i="1"/>
  <c r="AB197" i="1" s="1"/>
  <c r="AB257" i="1" s="1"/>
  <c r="AB140" i="1"/>
  <c r="AB139" i="1"/>
  <c r="V249" i="1"/>
  <c r="V19" i="1"/>
  <c r="C641" i="3"/>
  <c r="AQ19" i="1"/>
  <c r="AB88" i="1"/>
  <c r="AB91" i="1" s="1"/>
  <c r="AC114" i="1" s="1"/>
  <c r="AB169" i="1"/>
  <c r="I259" i="1"/>
  <c r="AB167" i="1"/>
  <c r="AB223" i="1"/>
  <c r="AB225" i="1" s="1"/>
  <c r="C564" i="3"/>
  <c r="D564" i="3" s="1"/>
  <c r="AQ249" i="1"/>
  <c r="M257" i="1"/>
  <c r="M256" i="1"/>
  <c r="AO204" i="1"/>
  <c r="AR205" i="1" s="1"/>
  <c r="J511" i="3" s="1"/>
  <c r="H249" i="1"/>
  <c r="M253" i="1"/>
  <c r="M254" i="1"/>
  <c r="L182" i="1"/>
  <c r="L240" i="1" s="1"/>
  <c r="L97" i="1"/>
  <c r="M211" i="1"/>
  <c r="M216" i="1"/>
  <c r="M215" i="1"/>
  <c r="AZ225" i="1"/>
  <c r="AZ227" i="1"/>
  <c r="AZ174" i="1"/>
  <c r="AZ232" i="1" s="1"/>
  <c r="M114" i="1"/>
  <c r="BA114" i="1" s="1"/>
  <c r="M177" i="1"/>
  <c r="M235" i="1" s="1"/>
  <c r="M96" i="1"/>
  <c r="M97" i="1" s="1"/>
  <c r="AZ96" i="1"/>
  <c r="AZ177" i="1"/>
  <c r="AZ235" i="1" s="1"/>
  <c r="AA108" i="1"/>
  <c r="Z108" i="1"/>
  <c r="AA227" i="1"/>
  <c r="AA174" i="1"/>
  <c r="AA232" i="1" s="1"/>
  <c r="AA91" i="1"/>
  <c r="AY227" i="1"/>
  <c r="AY174" i="1"/>
  <c r="AY232" i="1" s="1"/>
  <c r="AX225" i="1"/>
  <c r="AX91" i="1"/>
  <c r="AU73" i="1"/>
  <c r="AY74" i="1" s="1"/>
  <c r="AX227" i="1"/>
  <c r="AX174" i="1"/>
  <c r="AX232" i="1" s="1"/>
  <c r="K79" i="1"/>
  <c r="K222" i="1"/>
  <c r="J77" i="1"/>
  <c r="J110" i="1"/>
  <c r="J83" i="1"/>
  <c r="J60" i="1"/>
  <c r="J165" i="1"/>
  <c r="L166" i="1" s="1"/>
  <c r="J80" i="1"/>
  <c r="I34" i="1"/>
  <c r="I70" i="1" s="1"/>
  <c r="K25" i="1"/>
  <c r="K77" i="1"/>
  <c r="K60" i="1"/>
  <c r="K110" i="1"/>
  <c r="K83" i="1"/>
  <c r="K165" i="1"/>
  <c r="K80" i="1"/>
  <c r="AT83" i="1"/>
  <c r="AT88" i="1" s="1"/>
  <c r="AT91" i="1" s="1"/>
  <c r="W229" i="1"/>
  <c r="AR53" i="1"/>
  <c r="AV63" i="1"/>
  <c r="AV43" i="1"/>
  <c r="AV73" i="1"/>
  <c r="AZ74" i="1" s="1"/>
  <c r="AU44" i="1"/>
  <c r="AU47" i="1"/>
  <c r="AU50" i="1" s="1"/>
  <c r="Y73" i="1"/>
  <c r="Y63" i="1"/>
  <c r="Y43" i="1"/>
  <c r="I231" i="1"/>
  <c r="I238" i="1"/>
  <c r="I228" i="1"/>
  <c r="I241" i="1"/>
  <c r="I230" i="1"/>
  <c r="I229" i="1"/>
  <c r="I237" i="1"/>
  <c r="I236" i="1"/>
  <c r="I239" i="1"/>
  <c r="I221" i="1"/>
  <c r="J222" i="1" s="1"/>
  <c r="I234" i="1"/>
  <c r="I233" i="1"/>
  <c r="AT60" i="1"/>
  <c r="AT80" i="1"/>
  <c r="AT165" i="1"/>
  <c r="AX166" i="1" s="1"/>
  <c r="AT77" i="1"/>
  <c r="X156" i="1"/>
  <c r="X214" i="1" s="1"/>
  <c r="C476" i="3"/>
  <c r="AS189" i="1"/>
  <c r="AS247" i="1" s="1"/>
  <c r="AS259" i="1" s="1"/>
  <c r="I212" i="1"/>
  <c r="H230" i="1"/>
  <c r="AS154" i="1"/>
  <c r="X113" i="1"/>
  <c r="X175" i="1"/>
  <c r="X233" i="1" s="1"/>
  <c r="AS135" i="1"/>
  <c r="I151" i="1"/>
  <c r="I209" i="1" s="1"/>
  <c r="AS107" i="1"/>
  <c r="AS65" i="1"/>
  <c r="W236" i="1"/>
  <c r="AS188" i="1"/>
  <c r="AS246" i="1" s="1"/>
  <c r="W237" i="1"/>
  <c r="U127" i="2"/>
  <c r="U74" i="2"/>
  <c r="U82" i="2" s="1"/>
  <c r="V71" i="2"/>
  <c r="V74" i="2" s="1"/>
  <c r="U126" i="2"/>
  <c r="U44" i="2"/>
  <c r="V42" i="2"/>
  <c r="I66" i="1"/>
  <c r="I123" i="1"/>
  <c r="AQ71" i="1"/>
  <c r="H213" i="1"/>
  <c r="AQ122" i="1"/>
  <c r="W230" i="1"/>
  <c r="W180" i="1"/>
  <c r="W238" i="1" s="1"/>
  <c r="W228" i="1"/>
  <c r="W241" i="1"/>
  <c r="W181" i="1"/>
  <c r="W239" i="1" s="1"/>
  <c r="AQ10" i="1"/>
  <c r="H234" i="1"/>
  <c r="W231" i="1"/>
  <c r="W175" i="1"/>
  <c r="W233" i="1" s="1"/>
  <c r="V205" i="1"/>
  <c r="AQ61" i="1"/>
  <c r="W234" i="1"/>
  <c r="C562" i="3"/>
  <c r="D562" i="3" s="1"/>
  <c r="W128" i="1"/>
  <c r="W62" i="1" s="1"/>
  <c r="V213" i="1"/>
  <c r="AQ16" i="1"/>
  <c r="AQ127" i="1"/>
  <c r="C559" i="3" s="1"/>
  <c r="C561" i="3" s="1"/>
  <c r="W213" i="1"/>
  <c r="W111" i="1"/>
  <c r="AP128" i="1"/>
  <c r="AP62" i="1" s="1"/>
  <c r="C635" i="3"/>
  <c r="AP205" i="1"/>
  <c r="J594" i="3" s="1"/>
  <c r="AR189" i="1"/>
  <c r="AR247" i="1" s="1"/>
  <c r="AR259" i="1" s="1"/>
  <c r="W205" i="1"/>
  <c r="V102" i="2"/>
  <c r="V133" i="2"/>
  <c r="U131" i="2"/>
  <c r="U121" i="2"/>
  <c r="U128" i="2"/>
  <c r="U122" i="2"/>
  <c r="U129" i="2"/>
  <c r="U123" i="2"/>
  <c r="U130" i="2"/>
  <c r="U124" i="2"/>
  <c r="U125" i="2"/>
  <c r="D576" i="3"/>
  <c r="D598" i="3"/>
  <c r="D570" i="3"/>
  <c r="D610" i="3"/>
  <c r="D611" i="3"/>
  <c r="C522" i="3"/>
  <c r="D522" i="3" s="1"/>
  <c r="D616" i="3"/>
  <c r="D572" i="3"/>
  <c r="D612" i="3"/>
  <c r="D613" i="3"/>
  <c r="D574" i="3"/>
  <c r="D614" i="3"/>
  <c r="D558" i="3"/>
  <c r="D573" i="3"/>
  <c r="D575" i="3"/>
  <c r="AR212" i="1"/>
  <c r="AR59" i="1"/>
  <c r="AR55" i="1"/>
  <c r="AR54" i="1"/>
  <c r="AR56" i="1"/>
  <c r="AR163" i="1"/>
  <c r="AR221" i="1" s="1"/>
  <c r="AV222" i="1" s="1"/>
  <c r="AR24" i="1"/>
  <c r="AR34" i="1" s="1"/>
  <c r="AR35" i="1" s="1"/>
  <c r="AR58" i="1"/>
  <c r="AR57" i="1"/>
  <c r="U97" i="2"/>
  <c r="U98" i="2"/>
  <c r="U99" i="2"/>
  <c r="U15" i="2"/>
  <c r="AQ32" i="1"/>
  <c r="D602" i="3"/>
  <c r="D604" i="3"/>
  <c r="H231" i="1"/>
  <c r="V126" i="1"/>
  <c r="H239" i="1"/>
  <c r="C599" i="3"/>
  <c r="D599" i="3" s="1"/>
  <c r="H238" i="1"/>
  <c r="H237" i="1"/>
  <c r="H128" i="1"/>
  <c r="H154" i="1" s="1"/>
  <c r="H228" i="1"/>
  <c r="H241" i="1"/>
  <c r="C639" i="3"/>
  <c r="C626" i="3"/>
  <c r="C662" i="3"/>
  <c r="H44" i="2"/>
  <c r="T44" i="2"/>
  <c r="H84" i="2"/>
  <c r="H82" i="2"/>
  <c r="H24" i="2"/>
  <c r="H22" i="2"/>
  <c r="H118" i="2"/>
  <c r="T71" i="2"/>
  <c r="T74" i="2" s="1"/>
  <c r="H131" i="2"/>
  <c r="H16" i="2"/>
  <c r="T13" i="2"/>
  <c r="T93" i="2"/>
  <c r="T117" i="2"/>
  <c r="H123" i="2"/>
  <c r="H124" i="2"/>
  <c r="H98" i="2"/>
  <c r="H99" i="2"/>
  <c r="H100" i="2"/>
  <c r="H125" i="2"/>
  <c r="H97" i="2"/>
  <c r="H126" i="2"/>
  <c r="H23" i="2"/>
  <c r="H20" i="2"/>
  <c r="H19" i="2"/>
  <c r="H21" i="2"/>
  <c r="H81" i="2"/>
  <c r="H79" i="2"/>
  <c r="H83" i="2"/>
  <c r="H80" i="2"/>
  <c r="H122" i="2"/>
  <c r="H127" i="2"/>
  <c r="H128" i="2"/>
  <c r="V241" i="1"/>
  <c r="V230" i="1"/>
  <c r="V231" i="1"/>
  <c r="V236" i="1"/>
  <c r="V228" i="1"/>
  <c r="H229" i="1"/>
  <c r="AO122" i="1"/>
  <c r="AO127" i="1"/>
  <c r="C636" i="3" s="1"/>
  <c r="AO118" i="1"/>
  <c r="V10" i="1"/>
  <c r="V32" i="1"/>
  <c r="V61" i="1"/>
  <c r="V122" i="1"/>
  <c r="V16" i="1"/>
  <c r="V111" i="1"/>
  <c r="H178" i="1"/>
  <c r="H236" i="1" s="1"/>
  <c r="V90" i="1"/>
  <c r="V176" i="1" s="1"/>
  <c r="V234" i="1" s="1"/>
  <c r="V93" i="1"/>
  <c r="V179" i="1" s="1"/>
  <c r="V237" i="1" s="1"/>
  <c r="V127" i="1"/>
  <c r="H20" i="1"/>
  <c r="H175" i="1"/>
  <c r="H233" i="1" s="1"/>
  <c r="C687" i="3"/>
  <c r="C688" i="3" s="1"/>
  <c r="AL15" i="2"/>
  <c r="AL24" i="2" s="1"/>
  <c r="C675" i="3"/>
  <c r="C673" i="3"/>
  <c r="C669" i="3"/>
  <c r="J664" i="3"/>
  <c r="C696" i="3"/>
  <c r="B682" i="3"/>
  <c r="B683" i="3" s="1"/>
  <c r="B684" i="3" s="1"/>
  <c r="B685" i="3" s="1"/>
  <c r="B686" i="3" s="1"/>
  <c r="B687" i="3" s="1"/>
  <c r="AN127" i="1"/>
  <c r="AN118" i="1"/>
  <c r="AN48" i="1"/>
  <c r="AO48" i="1" s="1"/>
  <c r="AN42" i="1"/>
  <c r="AO42" i="1" s="1"/>
  <c r="AN39" i="1"/>
  <c r="AO39" i="1" s="1"/>
  <c r="AN38" i="1"/>
  <c r="AO38" i="1" s="1"/>
  <c r="AN37" i="1"/>
  <c r="AO37" i="1" s="1"/>
  <c r="AN36" i="1"/>
  <c r="AO36" i="1" s="1"/>
  <c r="AN31" i="1"/>
  <c r="AO31" i="1" s="1"/>
  <c r="AN30" i="1"/>
  <c r="AO30" i="1" s="1"/>
  <c r="AN28" i="1"/>
  <c r="AO28" i="1" s="1"/>
  <c r="AN27" i="1"/>
  <c r="AN26" i="1"/>
  <c r="AO26" i="1" s="1"/>
  <c r="AN22" i="1"/>
  <c r="AN18" i="1"/>
  <c r="AO18" i="1" s="1"/>
  <c r="AN17" i="1"/>
  <c r="AN15" i="1"/>
  <c r="AO15" i="1" s="1"/>
  <c r="AN14" i="1"/>
  <c r="AO14" i="1" s="1"/>
  <c r="AN9" i="1"/>
  <c r="AO9" i="1" s="1"/>
  <c r="AN8" i="1"/>
  <c r="AO8" i="1" s="1"/>
  <c r="AN7" i="1"/>
  <c r="AN207" i="1"/>
  <c r="AN218" i="1" s="1"/>
  <c r="AN201" i="1"/>
  <c r="AN261" i="1" s="1"/>
  <c r="AN155" i="1"/>
  <c r="AN213" i="1" s="1"/>
  <c r="AN149" i="1"/>
  <c r="AN160" i="1" s="1"/>
  <c r="AN122" i="1"/>
  <c r="AN105" i="1"/>
  <c r="R115" i="2"/>
  <c r="R146" i="2" s="1"/>
  <c r="R112" i="2"/>
  <c r="R111" i="2"/>
  <c r="R110" i="2"/>
  <c r="R109" i="2"/>
  <c r="R108" i="2"/>
  <c r="R107" i="2"/>
  <c r="R106" i="2"/>
  <c r="T137" i="2" s="1"/>
  <c r="R105" i="2"/>
  <c r="R91" i="2"/>
  <c r="R90" i="2"/>
  <c r="R89" i="2"/>
  <c r="R88" i="2"/>
  <c r="R69" i="2"/>
  <c r="R68" i="2"/>
  <c r="R67" i="2"/>
  <c r="R40" i="2"/>
  <c r="R39" i="2"/>
  <c r="R38" i="2"/>
  <c r="R11" i="2"/>
  <c r="T30" i="2" s="1"/>
  <c r="R10" i="2"/>
  <c r="R9" i="2"/>
  <c r="T147" i="1"/>
  <c r="T201" i="1" s="1"/>
  <c r="T261" i="1" s="1"/>
  <c r="T134" i="1"/>
  <c r="T249" i="1" s="1"/>
  <c r="T130" i="1"/>
  <c r="T155" i="1" s="1"/>
  <c r="T213" i="1" s="1"/>
  <c r="T126" i="1"/>
  <c r="T121" i="1"/>
  <c r="T120" i="1"/>
  <c r="T119" i="1"/>
  <c r="T98" i="1"/>
  <c r="T183" i="1" s="1"/>
  <c r="T241" i="1" s="1"/>
  <c r="T87" i="1"/>
  <c r="T173" i="1" s="1"/>
  <c r="T231" i="1" s="1"/>
  <c r="T86" i="1"/>
  <c r="U111" i="1" s="1"/>
  <c r="T85" i="1"/>
  <c r="T171" i="1" s="1"/>
  <c r="T229" i="1" s="1"/>
  <c r="T84" i="1"/>
  <c r="T170" i="1" s="1"/>
  <c r="T228" i="1" s="1"/>
  <c r="T78" i="1"/>
  <c r="T48" i="1"/>
  <c r="T42" i="1"/>
  <c r="T39" i="1"/>
  <c r="T38" i="1"/>
  <c r="T37" i="1"/>
  <c r="T36" i="1"/>
  <c r="T31" i="1"/>
  <c r="T30" i="1"/>
  <c r="T28" i="1"/>
  <c r="T27" i="1"/>
  <c r="T72" i="1" s="1"/>
  <c r="T26" i="1"/>
  <c r="T22" i="1"/>
  <c r="T71" i="1" s="1"/>
  <c r="T18" i="1"/>
  <c r="T17" i="1"/>
  <c r="T15" i="1"/>
  <c r="T14" i="1"/>
  <c r="T9" i="1"/>
  <c r="T8" i="1"/>
  <c r="T7" i="1"/>
  <c r="T207" i="1"/>
  <c r="T218" i="1" s="1"/>
  <c r="T205" i="1"/>
  <c r="T149" i="1"/>
  <c r="T160" i="1" s="1"/>
  <c r="E232" i="3" l="1"/>
  <c r="T127" i="2"/>
  <c r="V148" i="2"/>
  <c r="T146" i="2"/>
  <c r="T139" i="2"/>
  <c r="T138" i="2"/>
  <c r="T136" i="2"/>
  <c r="T141" i="2"/>
  <c r="T142" i="2"/>
  <c r="H45" i="2"/>
  <c r="I63" i="2"/>
  <c r="T57" i="2"/>
  <c r="T59" i="2"/>
  <c r="T53" i="2"/>
  <c r="V61" i="2"/>
  <c r="X61" i="2"/>
  <c r="T58" i="2"/>
  <c r="U50" i="2"/>
  <c r="W63" i="2"/>
  <c r="T28" i="2"/>
  <c r="T15" i="2"/>
  <c r="T20" i="2" s="1"/>
  <c r="W34" i="2"/>
  <c r="V15" i="2"/>
  <c r="V32" i="2"/>
  <c r="X32" i="2"/>
  <c r="T29" i="2"/>
  <c r="AO27" i="1"/>
  <c r="AO72" i="1" s="1"/>
  <c r="AN72" i="1"/>
  <c r="AC215" i="1"/>
  <c r="AC184" i="1"/>
  <c r="AC242" i="1" s="1"/>
  <c r="AD97" i="1"/>
  <c r="AD44" i="1"/>
  <c r="AD47" i="1"/>
  <c r="AD50" i="1" s="1"/>
  <c r="AD112" i="1"/>
  <c r="AD75" i="1"/>
  <c r="AD74" i="1"/>
  <c r="AD109" i="1"/>
  <c r="BB139" i="1"/>
  <c r="BB193" i="1" s="1"/>
  <c r="AY177" i="1"/>
  <c r="AY235" i="1" s="1"/>
  <c r="BB152" i="1"/>
  <c r="BB210" i="1" s="1"/>
  <c r="BB216" i="1" s="1"/>
  <c r="BC224" i="1"/>
  <c r="AC216" i="1"/>
  <c r="C201" i="3"/>
  <c r="BB142" i="1"/>
  <c r="BB196" i="1" s="1"/>
  <c r="BB143" i="1"/>
  <c r="BB197" i="1" s="1"/>
  <c r="BB191" i="1"/>
  <c r="N184" i="1"/>
  <c r="N242" i="1" s="1"/>
  <c r="BC142" i="1"/>
  <c r="BC196" i="1" s="1"/>
  <c r="BC143" i="1"/>
  <c r="BC197" i="1" s="1"/>
  <c r="D476" i="3"/>
  <c r="D478" i="3" s="1"/>
  <c r="BB157" i="1"/>
  <c r="BC139" i="1"/>
  <c r="BC152" i="1"/>
  <c r="BC140" i="1"/>
  <c r="C165" i="3"/>
  <c r="BC191" i="1"/>
  <c r="AC99" i="1"/>
  <c r="AC185" i="1" s="1"/>
  <c r="AC243" i="1" s="1"/>
  <c r="T19" i="1"/>
  <c r="AB114" i="1"/>
  <c r="AQ20" i="1"/>
  <c r="AU21" i="1" s="1"/>
  <c r="H102" i="2"/>
  <c r="AO213" i="1"/>
  <c r="V20" i="1"/>
  <c r="J630" i="3"/>
  <c r="D625" i="3" s="1"/>
  <c r="F230" i="3"/>
  <c r="F232" i="3"/>
  <c r="BA216" i="1"/>
  <c r="BA215" i="1"/>
  <c r="D492" i="3"/>
  <c r="M103" i="1"/>
  <c r="AB174" i="1"/>
  <c r="AB232" i="1" s="1"/>
  <c r="AB227" i="1"/>
  <c r="AB157" i="1"/>
  <c r="AB194" i="1"/>
  <c r="AB96" i="1"/>
  <c r="AB177" i="1"/>
  <c r="AB235" i="1" s="1"/>
  <c r="AB193" i="1"/>
  <c r="AB158" i="1"/>
  <c r="AO249" i="1"/>
  <c r="AB153" i="1"/>
  <c r="AB254" i="1"/>
  <c r="AB253" i="1"/>
  <c r="AO17" i="1"/>
  <c r="AO19" i="1" s="1"/>
  <c r="AN19" i="1"/>
  <c r="T61" i="1"/>
  <c r="L184" i="1"/>
  <c r="L242" i="1" s="1"/>
  <c r="L103" i="1"/>
  <c r="L99" i="1"/>
  <c r="L185" i="1" s="1"/>
  <c r="L243" i="1" s="1"/>
  <c r="M182" i="1"/>
  <c r="M240" i="1" s="1"/>
  <c r="M99" i="1"/>
  <c r="M185" i="1" s="1"/>
  <c r="M243" i="1" s="1"/>
  <c r="AZ182" i="1"/>
  <c r="AZ240" i="1" s="1"/>
  <c r="AA112" i="1"/>
  <c r="Z112" i="1"/>
  <c r="AA109" i="1"/>
  <c r="Z109" i="1"/>
  <c r="AA96" i="1"/>
  <c r="AA177" i="1"/>
  <c r="AA235" i="1" s="1"/>
  <c r="I35" i="1"/>
  <c r="I40" i="1"/>
  <c r="I43" i="1" s="1"/>
  <c r="AU75" i="1"/>
  <c r="AT169" i="1"/>
  <c r="AT227" i="1" s="1"/>
  <c r="AU78" i="1"/>
  <c r="AX177" i="1"/>
  <c r="AX235" i="1" s="1"/>
  <c r="AX96" i="1"/>
  <c r="K166" i="1"/>
  <c r="J223" i="1"/>
  <c r="L224" i="1" s="1"/>
  <c r="J167" i="1"/>
  <c r="J191" i="1"/>
  <c r="J251" i="1" s="1"/>
  <c r="J152" i="1"/>
  <c r="J143" i="1"/>
  <c r="J197" i="1" s="1"/>
  <c r="J142" i="1"/>
  <c r="J196" i="1" s="1"/>
  <c r="J140" i="1"/>
  <c r="J139" i="1"/>
  <c r="J169" i="1"/>
  <c r="J88" i="1"/>
  <c r="K191" i="1"/>
  <c r="K251" i="1" s="1"/>
  <c r="K152" i="1"/>
  <c r="AW110" i="1"/>
  <c r="C345" i="3" s="1"/>
  <c r="K143" i="1"/>
  <c r="K197" i="1" s="1"/>
  <c r="K142" i="1"/>
  <c r="K196" i="1" s="1"/>
  <c r="K140" i="1"/>
  <c r="K139" i="1"/>
  <c r="K169" i="1"/>
  <c r="K88" i="1"/>
  <c r="K223" i="1"/>
  <c r="K167" i="1"/>
  <c r="AP135" i="1"/>
  <c r="AV78" i="1"/>
  <c r="AV75" i="1"/>
  <c r="AV44" i="1"/>
  <c r="AV47" i="1"/>
  <c r="AV50" i="1" s="1"/>
  <c r="W56" i="1"/>
  <c r="Y21" i="1"/>
  <c r="Y47" i="1"/>
  <c r="Y50" i="1" s="1"/>
  <c r="Y44" i="1"/>
  <c r="Y75" i="1"/>
  <c r="Y78" i="1"/>
  <c r="AT96" i="1"/>
  <c r="AT182" i="1" s="1"/>
  <c r="AT240" i="1" s="1"/>
  <c r="AT177" i="1"/>
  <c r="AT235" i="1" s="1"/>
  <c r="AP59" i="1"/>
  <c r="AT21" i="1"/>
  <c r="AT223" i="1"/>
  <c r="AX224" i="1" s="1"/>
  <c r="AT167" i="1"/>
  <c r="AP188" i="1"/>
  <c r="AP246" i="1" s="1"/>
  <c r="H62" i="1"/>
  <c r="C482" i="3"/>
  <c r="C478" i="3"/>
  <c r="C480" i="3" s="1"/>
  <c r="D480" i="3" s="1"/>
  <c r="W65" i="1"/>
  <c r="W24" i="1"/>
  <c r="H132" i="1"/>
  <c r="H189" i="1" s="1"/>
  <c r="H247" i="1" s="1"/>
  <c r="H65" i="1"/>
  <c r="AS156" i="1"/>
  <c r="AS214" i="1" s="1"/>
  <c r="AS212" i="1"/>
  <c r="H135" i="1"/>
  <c r="H188" i="1"/>
  <c r="H246" i="1" s="1"/>
  <c r="AS151" i="1"/>
  <c r="AS209" i="1" s="1"/>
  <c r="AS123" i="1"/>
  <c r="AS66" i="1"/>
  <c r="U83" i="2"/>
  <c r="U80" i="2"/>
  <c r="U79" i="2"/>
  <c r="U84" i="2"/>
  <c r="U81" i="2"/>
  <c r="U45" i="2"/>
  <c r="U51" i="2"/>
  <c r="V44" i="2"/>
  <c r="U49" i="2"/>
  <c r="U48" i="2"/>
  <c r="U52" i="2"/>
  <c r="U53" i="2"/>
  <c r="V83" i="2"/>
  <c r="W132" i="1"/>
  <c r="W189" i="1" s="1"/>
  <c r="W247" i="1" s="1"/>
  <c r="W259" i="1" s="1"/>
  <c r="W154" i="1"/>
  <c r="W212" i="1" s="1"/>
  <c r="W57" i="1"/>
  <c r="W59" i="1"/>
  <c r="W135" i="1"/>
  <c r="W163" i="1"/>
  <c r="W221" i="1" s="1"/>
  <c r="W188" i="1"/>
  <c r="W246" i="1" s="1"/>
  <c r="W58" i="1"/>
  <c r="W53" i="1"/>
  <c r="W55" i="1"/>
  <c r="W54" i="1"/>
  <c r="AP132" i="1"/>
  <c r="AP189" i="1" s="1"/>
  <c r="AP247" i="1" s="1"/>
  <c r="AP259" i="1" s="1"/>
  <c r="AP154" i="1"/>
  <c r="AP212" i="1" s="1"/>
  <c r="D559" i="3"/>
  <c r="D561" i="3" s="1"/>
  <c r="D563" i="3" s="1"/>
  <c r="AQ128" i="1"/>
  <c r="C567" i="3" s="1"/>
  <c r="H56" i="1"/>
  <c r="I21" i="1"/>
  <c r="I73" i="1"/>
  <c r="J74" i="1" s="1"/>
  <c r="I108" i="1"/>
  <c r="AS108" i="1" s="1"/>
  <c r="AO61" i="1"/>
  <c r="AP163" i="1"/>
  <c r="AP221" i="1" s="1"/>
  <c r="AP24" i="1"/>
  <c r="AP34" i="1" s="1"/>
  <c r="AP70" i="1" s="1"/>
  <c r="AP58" i="1"/>
  <c r="AP54" i="1"/>
  <c r="AP55" i="1"/>
  <c r="AP56" i="1"/>
  <c r="AP57" i="1"/>
  <c r="AP53" i="1"/>
  <c r="U133" i="2"/>
  <c r="D601" i="3"/>
  <c r="D603" i="3" s="1"/>
  <c r="C563" i="3"/>
  <c r="C565" i="3" s="1"/>
  <c r="D565" i="3" s="1"/>
  <c r="D577" i="3"/>
  <c r="D518" i="3"/>
  <c r="D534" i="3"/>
  <c r="AR40" i="1"/>
  <c r="AR43" i="1" s="1"/>
  <c r="AR70" i="1"/>
  <c r="U102" i="2"/>
  <c r="AL21" i="2"/>
  <c r="AL22" i="2"/>
  <c r="U19" i="2"/>
  <c r="U22" i="2"/>
  <c r="U16" i="2"/>
  <c r="U21" i="2"/>
  <c r="U20" i="2"/>
  <c r="U24" i="2"/>
  <c r="H52" i="2"/>
  <c r="AL23" i="2"/>
  <c r="U23" i="2"/>
  <c r="H50" i="2"/>
  <c r="T51" i="2"/>
  <c r="AL20" i="2"/>
  <c r="AL19" i="2"/>
  <c r="C601" i="3"/>
  <c r="C607" i="3" s="1"/>
  <c r="AO22" i="1"/>
  <c r="AO71" i="1" s="1"/>
  <c r="AO7" i="1"/>
  <c r="D617" i="3"/>
  <c r="V128" i="1"/>
  <c r="V62" i="1" s="1"/>
  <c r="C638" i="3"/>
  <c r="C640" i="3" s="1"/>
  <c r="C663" i="3"/>
  <c r="D686" i="3"/>
  <c r="H48" i="2"/>
  <c r="H49" i="2"/>
  <c r="H53" i="2"/>
  <c r="H51" i="2"/>
  <c r="T82" i="2"/>
  <c r="T84" i="2"/>
  <c r="H133" i="2"/>
  <c r="T83" i="2"/>
  <c r="H25" i="2"/>
  <c r="H85" i="2"/>
  <c r="T131" i="2"/>
  <c r="T128" i="2"/>
  <c r="T45" i="2"/>
  <c r="T52" i="2"/>
  <c r="T48" i="2"/>
  <c r="T50" i="2"/>
  <c r="T49" i="2"/>
  <c r="T121" i="2"/>
  <c r="T126" i="2"/>
  <c r="T94" i="2"/>
  <c r="T100" i="2"/>
  <c r="T99" i="2"/>
  <c r="T118" i="2"/>
  <c r="T125" i="2"/>
  <c r="T124" i="2"/>
  <c r="T123" i="2"/>
  <c r="T98" i="2"/>
  <c r="T97" i="2"/>
  <c r="T81" i="2"/>
  <c r="T80" i="2"/>
  <c r="T79" i="2"/>
  <c r="T122" i="2"/>
  <c r="AO128" i="1"/>
  <c r="AO16" i="1"/>
  <c r="H163" i="1"/>
  <c r="I164" i="1" s="1"/>
  <c r="AN61" i="1"/>
  <c r="AN71" i="1"/>
  <c r="H58" i="1"/>
  <c r="D695" i="3"/>
  <c r="H24" i="1"/>
  <c r="H57" i="1"/>
  <c r="H53" i="1"/>
  <c r="D681" i="3"/>
  <c r="H59" i="1"/>
  <c r="H55" i="1"/>
  <c r="D682" i="3"/>
  <c r="H107" i="1"/>
  <c r="AO107" i="1" s="1"/>
  <c r="H54" i="1"/>
  <c r="H212" i="1"/>
  <c r="H156" i="1"/>
  <c r="H214" i="1" s="1"/>
  <c r="D693" i="3"/>
  <c r="D669" i="3"/>
  <c r="D673" i="3"/>
  <c r="D692" i="3"/>
  <c r="D694" i="3"/>
  <c r="D675" i="3"/>
  <c r="AN16" i="1"/>
  <c r="D683" i="3"/>
  <c r="D684" i="3"/>
  <c r="D685" i="3"/>
  <c r="T16" i="1"/>
  <c r="C670" i="3"/>
  <c r="D670" i="3" s="1"/>
  <c r="D687" i="3"/>
  <c r="R93" i="2"/>
  <c r="R99" i="2" s="1"/>
  <c r="R117" i="2"/>
  <c r="T148" i="2" s="1"/>
  <c r="T122" i="1"/>
  <c r="AN128" i="1"/>
  <c r="AN32" i="1"/>
  <c r="AN10" i="1"/>
  <c r="T111" i="1"/>
  <c r="T10" i="1"/>
  <c r="T32" i="1"/>
  <c r="T172" i="1"/>
  <c r="T230" i="1" s="1"/>
  <c r="T110" i="1"/>
  <c r="T83" i="1"/>
  <c r="T165" i="1"/>
  <c r="J699" i="3"/>
  <c r="J698" i="3"/>
  <c r="X520" i="3"/>
  <c r="X519" i="3"/>
  <c r="X518" i="3"/>
  <c r="C730" i="3"/>
  <c r="X511" i="3"/>
  <c r="X510" i="3"/>
  <c r="X509" i="3"/>
  <c r="C722" i="3"/>
  <c r="X508" i="3"/>
  <c r="X507" i="3"/>
  <c r="B716" i="3"/>
  <c r="B717" i="3" s="1"/>
  <c r="B718" i="3" s="1"/>
  <c r="B719" i="3" s="1"/>
  <c r="B720" i="3" s="1"/>
  <c r="B721" i="3" s="1"/>
  <c r="X502" i="3"/>
  <c r="X498" i="3"/>
  <c r="X497" i="3"/>
  <c r="X495" i="3"/>
  <c r="X494" i="3"/>
  <c r="X492" i="3"/>
  <c r="X491" i="3"/>
  <c r="X490" i="3"/>
  <c r="AM147" i="1"/>
  <c r="U127" i="1"/>
  <c r="AM127" i="1" s="1"/>
  <c r="AK155" i="2"/>
  <c r="AK154" i="2"/>
  <c r="AK153" i="2"/>
  <c r="AK156" i="2"/>
  <c r="AK152" i="2"/>
  <c r="AK14" i="2"/>
  <c r="AK12" i="2"/>
  <c r="S117" i="2"/>
  <c r="S74" i="2"/>
  <c r="S84" i="2" s="1"/>
  <c r="S44" i="2"/>
  <c r="U63" i="2" s="1"/>
  <c r="S15" i="2"/>
  <c r="S93" i="2"/>
  <c r="S100" i="2" s="1"/>
  <c r="X676" i="3"/>
  <c r="X663" i="3"/>
  <c r="AM134" i="1"/>
  <c r="AM249" i="1" s="1"/>
  <c r="X659" i="3"/>
  <c r="AM130" i="1"/>
  <c r="X656" i="3"/>
  <c r="X655" i="3"/>
  <c r="X650" i="3"/>
  <c r="X649" i="3"/>
  <c r="AM121" i="1"/>
  <c r="AM120" i="1"/>
  <c r="X648" i="3"/>
  <c r="AM119" i="1"/>
  <c r="X564" i="3"/>
  <c r="AM48" i="1"/>
  <c r="X559" i="3"/>
  <c r="AM42" i="1"/>
  <c r="X556" i="3"/>
  <c r="X555" i="3"/>
  <c r="X554" i="3"/>
  <c r="X553" i="3"/>
  <c r="AM39" i="1"/>
  <c r="AM38" i="1"/>
  <c r="AM37" i="1"/>
  <c r="AM36" i="1"/>
  <c r="X547" i="3"/>
  <c r="X546" i="3"/>
  <c r="X545" i="3"/>
  <c r="X544" i="3"/>
  <c r="X543" i="3"/>
  <c r="AM31" i="1"/>
  <c r="AM30" i="1"/>
  <c r="AM28" i="1"/>
  <c r="AM27" i="1"/>
  <c r="AM72" i="1" s="1"/>
  <c r="AM26" i="1"/>
  <c r="X538" i="3"/>
  <c r="AM22" i="1"/>
  <c r="X534" i="3"/>
  <c r="X533" i="3"/>
  <c r="AM18" i="1"/>
  <c r="AM17" i="1"/>
  <c r="X531" i="3"/>
  <c r="X530" i="3"/>
  <c r="AM15" i="1"/>
  <c r="AM14" i="1"/>
  <c r="X528" i="3"/>
  <c r="AM9" i="1"/>
  <c r="X527" i="3"/>
  <c r="AM8" i="1"/>
  <c r="X526" i="3"/>
  <c r="AM207" i="1"/>
  <c r="AM218" i="1" s="1"/>
  <c r="AM149" i="1"/>
  <c r="AM160" i="1" s="1"/>
  <c r="AM105" i="1"/>
  <c r="O681" i="3"/>
  <c r="X647" i="3" s="1"/>
  <c r="U118" i="1"/>
  <c r="AM118" i="1" s="1"/>
  <c r="O658" i="3"/>
  <c r="U95" i="1"/>
  <c r="O657" i="3"/>
  <c r="U94" i="1"/>
  <c r="O652" i="3"/>
  <c r="U89" i="1"/>
  <c r="O660" i="3"/>
  <c r="O662" i="3" s="1"/>
  <c r="O663" i="3" s="1"/>
  <c r="O630" i="3"/>
  <c r="O600" i="3"/>
  <c r="U207" i="1"/>
  <c r="U218" i="1" s="1"/>
  <c r="U201" i="1"/>
  <c r="U261" i="1" s="1"/>
  <c r="U183" i="1"/>
  <c r="U241" i="1" s="1"/>
  <c r="U179" i="1"/>
  <c r="U237" i="1" s="1"/>
  <c r="U178" i="1"/>
  <c r="U236" i="1" s="1"/>
  <c r="U176" i="1"/>
  <c r="U234" i="1" s="1"/>
  <c r="U173" i="1"/>
  <c r="U231" i="1" s="1"/>
  <c r="U172" i="1"/>
  <c r="U230" i="1" s="1"/>
  <c r="U171" i="1"/>
  <c r="U229" i="1" s="1"/>
  <c r="U170" i="1"/>
  <c r="U228" i="1" s="1"/>
  <c r="U155" i="1"/>
  <c r="U213" i="1" s="1"/>
  <c r="U149" i="1"/>
  <c r="U160" i="1" s="1"/>
  <c r="U122" i="1"/>
  <c r="U71" i="1"/>
  <c r="U61" i="1"/>
  <c r="U32" i="1"/>
  <c r="U16" i="1"/>
  <c r="U10" i="1"/>
  <c r="S131" i="2" l="1"/>
  <c r="U148" i="2"/>
  <c r="T16" i="2"/>
  <c r="R121" i="2"/>
  <c r="T23" i="2"/>
  <c r="T21" i="2"/>
  <c r="T19" i="2"/>
  <c r="S51" i="2"/>
  <c r="V63" i="2"/>
  <c r="X63" i="2"/>
  <c r="S19" i="2"/>
  <c r="U34" i="2"/>
  <c r="T24" i="2"/>
  <c r="T22" i="2"/>
  <c r="V34" i="2"/>
  <c r="X34" i="2"/>
  <c r="V22" i="2"/>
  <c r="V24" i="2"/>
  <c r="V23" i="2"/>
  <c r="V20" i="2"/>
  <c r="V21" i="2"/>
  <c r="V19" i="2"/>
  <c r="AO32" i="1"/>
  <c r="BB215" i="1"/>
  <c r="BB158" i="1"/>
  <c r="D201" i="3"/>
  <c r="E196" i="3"/>
  <c r="E198" i="3"/>
  <c r="BC210" i="1"/>
  <c r="BC216" i="1" s="1"/>
  <c r="E160" i="3"/>
  <c r="E162" i="3"/>
  <c r="D165" i="3"/>
  <c r="BC157" i="1"/>
  <c r="BC194" i="1"/>
  <c r="BC193" i="1"/>
  <c r="BC158" i="1"/>
  <c r="U20" i="1"/>
  <c r="AB79" i="1"/>
  <c r="AC79" i="1"/>
  <c r="D647" i="3"/>
  <c r="D659" i="3"/>
  <c r="D639" i="3"/>
  <c r="D641" i="3"/>
  <c r="D660" i="3"/>
  <c r="D651" i="3"/>
  <c r="D662" i="3"/>
  <c r="D582" i="3"/>
  <c r="D581" i="3"/>
  <c r="D636" i="3"/>
  <c r="D652" i="3"/>
  <c r="D542" i="3"/>
  <c r="D624" i="3"/>
  <c r="D540" i="3"/>
  <c r="D585" i="3"/>
  <c r="D538" i="3"/>
  <c r="D623" i="3"/>
  <c r="D648" i="3"/>
  <c r="D541" i="3"/>
  <c r="D653" i="3"/>
  <c r="D649" i="3"/>
  <c r="D650" i="3"/>
  <c r="D583" i="3"/>
  <c r="D622" i="3"/>
  <c r="D539" i="3"/>
  <c r="D621" i="3"/>
  <c r="D584" i="3"/>
  <c r="D661" i="3"/>
  <c r="D635" i="3"/>
  <c r="D658" i="3"/>
  <c r="AM19" i="1"/>
  <c r="T20" i="1"/>
  <c r="T53" i="1" s="1"/>
  <c r="AL16" i="2"/>
  <c r="AN20" i="1"/>
  <c r="AB182" i="1"/>
  <c r="AB240" i="1" s="1"/>
  <c r="AB211" i="1"/>
  <c r="AB215" i="1"/>
  <c r="AB216" i="1"/>
  <c r="H259" i="1"/>
  <c r="K254" i="1"/>
  <c r="K253" i="1"/>
  <c r="J254" i="1"/>
  <c r="J253" i="1"/>
  <c r="AV83" i="1"/>
  <c r="AV169" i="1" s="1"/>
  <c r="AZ79" i="1"/>
  <c r="AY96" i="1"/>
  <c r="M184" i="1"/>
  <c r="M242" i="1" s="1"/>
  <c r="I63" i="1"/>
  <c r="K224" i="1"/>
  <c r="AA97" i="1"/>
  <c r="AA110" i="1"/>
  <c r="AA191" i="1" s="1"/>
  <c r="AA251" i="1" s="1"/>
  <c r="Z78" i="1"/>
  <c r="AA182" i="1"/>
  <c r="AA240" i="1" s="1"/>
  <c r="AT174" i="1"/>
  <c r="AT232" i="1" s="1"/>
  <c r="AX97" i="1"/>
  <c r="AU77" i="1"/>
  <c r="AY79" i="1"/>
  <c r="AU80" i="1"/>
  <c r="AU60" i="1"/>
  <c r="AU165" i="1"/>
  <c r="AU167" i="1" s="1"/>
  <c r="AX182" i="1"/>
  <c r="AX240" i="1" s="1"/>
  <c r="AW143" i="1"/>
  <c r="AW197" i="1" s="1"/>
  <c r="AW142" i="1"/>
  <c r="AW196" i="1" s="1"/>
  <c r="AW78" i="1"/>
  <c r="AU83" i="1"/>
  <c r="U85" i="2"/>
  <c r="D345" i="3"/>
  <c r="E340" i="3"/>
  <c r="E342" i="3"/>
  <c r="J157" i="1"/>
  <c r="J194" i="1"/>
  <c r="J210" i="1"/>
  <c r="J153" i="1"/>
  <c r="J91" i="1"/>
  <c r="J227" i="1"/>
  <c r="J174" i="1"/>
  <c r="J232" i="1" s="1"/>
  <c r="J158" i="1"/>
  <c r="J193" i="1"/>
  <c r="J225" i="1"/>
  <c r="K158" i="1"/>
  <c r="K193" i="1"/>
  <c r="K157" i="1"/>
  <c r="K194" i="1"/>
  <c r="K225" i="1"/>
  <c r="AW191" i="1"/>
  <c r="AW251" i="1" s="1"/>
  <c r="AW152" i="1"/>
  <c r="AW210" i="1" s="1"/>
  <c r="AW140" i="1"/>
  <c r="AW139" i="1"/>
  <c r="K227" i="1"/>
  <c r="K174" i="1"/>
  <c r="K232" i="1" s="1"/>
  <c r="K210" i="1"/>
  <c r="K153" i="1"/>
  <c r="K91" i="1"/>
  <c r="AR73" i="1"/>
  <c r="AR78" i="1" s="1"/>
  <c r="AV165" i="1"/>
  <c r="AZ166" i="1" s="1"/>
  <c r="AV77" i="1"/>
  <c r="AV60" i="1"/>
  <c r="AV80" i="1"/>
  <c r="V52" i="2"/>
  <c r="V45" i="2"/>
  <c r="W34" i="1"/>
  <c r="W70" i="1" s="1"/>
  <c r="W73" i="1" s="1"/>
  <c r="Y25" i="1"/>
  <c r="Y83" i="1"/>
  <c r="Y60" i="1"/>
  <c r="Y165" i="1"/>
  <c r="Y80" i="1"/>
  <c r="Y77" i="1"/>
  <c r="AT97" i="1"/>
  <c r="AO188" i="1"/>
  <c r="AO246" i="1" s="1"/>
  <c r="AO65" i="1"/>
  <c r="AT222" i="1"/>
  <c r="AQ24" i="1"/>
  <c r="AQ34" i="1" s="1"/>
  <c r="AQ70" i="1" s="1"/>
  <c r="AQ73" i="1" s="1"/>
  <c r="AU74" i="1" s="1"/>
  <c r="AT225" i="1"/>
  <c r="AP35" i="1"/>
  <c r="H145" i="1"/>
  <c r="H199" i="1" s="1"/>
  <c r="AP40" i="1"/>
  <c r="AP63" i="1" s="1"/>
  <c r="AQ62" i="1"/>
  <c r="AQ132" i="1"/>
  <c r="AQ145" i="1" s="1"/>
  <c r="AQ199" i="1" s="1"/>
  <c r="W145" i="1"/>
  <c r="W199" i="1" s="1"/>
  <c r="AP145" i="1"/>
  <c r="AP199" i="1" s="1"/>
  <c r="U54" i="2"/>
  <c r="V49" i="2"/>
  <c r="V53" i="2"/>
  <c r="V50" i="2"/>
  <c r="V51" i="2"/>
  <c r="V48" i="2"/>
  <c r="V84" i="2"/>
  <c r="V79" i="2"/>
  <c r="V82" i="2"/>
  <c r="V80" i="2"/>
  <c r="V81" i="2"/>
  <c r="D500" i="3"/>
  <c r="AQ188" i="1"/>
  <c r="AQ246" i="1" s="1"/>
  <c r="AQ154" i="1"/>
  <c r="AQ212" i="1" s="1"/>
  <c r="AQ55" i="1"/>
  <c r="AQ163" i="1"/>
  <c r="AQ221" i="1" s="1"/>
  <c r="AU222" i="1" s="1"/>
  <c r="AQ53" i="1"/>
  <c r="AQ135" i="1"/>
  <c r="AQ56" i="1"/>
  <c r="AQ54" i="1"/>
  <c r="AQ57" i="1"/>
  <c r="W156" i="1"/>
  <c r="W214" i="1" s="1"/>
  <c r="AQ58" i="1"/>
  <c r="AQ59" i="1"/>
  <c r="AP156" i="1"/>
  <c r="AP214" i="1" s="1"/>
  <c r="V135" i="1"/>
  <c r="V188" i="1"/>
  <c r="V246" i="1" s="1"/>
  <c r="H34" i="1"/>
  <c r="H40" i="1" s="1"/>
  <c r="H76" i="2" s="1"/>
  <c r="I25" i="1"/>
  <c r="I78" i="1"/>
  <c r="J79" i="1" s="1"/>
  <c r="I109" i="1"/>
  <c r="AS109" i="1" s="1"/>
  <c r="I75" i="1"/>
  <c r="I47" i="1"/>
  <c r="I50" i="1" s="1"/>
  <c r="I44" i="1"/>
  <c r="I112" i="1"/>
  <c r="AS112" i="1" s="1"/>
  <c r="V54" i="1"/>
  <c r="W107" i="1"/>
  <c r="AO10" i="1"/>
  <c r="AO20" i="1" s="1"/>
  <c r="V154" i="1"/>
  <c r="V156" i="1" s="1"/>
  <c r="V214" i="1" s="1"/>
  <c r="V65" i="1"/>
  <c r="D520" i="3"/>
  <c r="AR63" i="1"/>
  <c r="AR47" i="1"/>
  <c r="AR50" i="1" s="1"/>
  <c r="AR44" i="1"/>
  <c r="AL25" i="2"/>
  <c r="H54" i="2"/>
  <c r="U25" i="2"/>
  <c r="AM12" i="2"/>
  <c r="AM14" i="2"/>
  <c r="C603" i="3"/>
  <c r="C605" i="3" s="1"/>
  <c r="D605" i="3" s="1"/>
  <c r="V132" i="1"/>
  <c r="AP73" i="1"/>
  <c r="AT74" i="1" s="1"/>
  <c r="C644" i="3"/>
  <c r="C642" i="3"/>
  <c r="D642" i="3" s="1"/>
  <c r="T85" i="2"/>
  <c r="T133" i="2"/>
  <c r="T54" i="2"/>
  <c r="T102" i="2"/>
  <c r="AO135" i="1"/>
  <c r="AO132" i="1"/>
  <c r="AO189" i="1" s="1"/>
  <c r="AO247" i="1" s="1"/>
  <c r="AO259" i="1" s="1"/>
  <c r="AO154" i="1"/>
  <c r="AO212" i="1" s="1"/>
  <c r="AO62" i="1"/>
  <c r="AO151" i="1"/>
  <c r="AO209" i="1" s="1"/>
  <c r="AO66" i="1"/>
  <c r="AO123" i="1"/>
  <c r="AM155" i="1"/>
  <c r="AM213" i="1" s="1"/>
  <c r="C709" i="3"/>
  <c r="D709" i="3" s="1"/>
  <c r="AM201" i="1"/>
  <c r="AM261" i="1" s="1"/>
  <c r="AM71" i="1"/>
  <c r="H123" i="1"/>
  <c r="H221" i="1"/>
  <c r="I222" i="1" s="1"/>
  <c r="V59" i="1"/>
  <c r="V56" i="1"/>
  <c r="V55" i="1"/>
  <c r="V53" i="1"/>
  <c r="V24" i="1"/>
  <c r="V34" i="1" s="1"/>
  <c r="V35" i="1" s="1"/>
  <c r="V57" i="1"/>
  <c r="V163" i="1"/>
  <c r="V221" i="1" s="1"/>
  <c r="V58" i="1"/>
  <c r="U175" i="1"/>
  <c r="U233" i="1" s="1"/>
  <c r="V89" i="1"/>
  <c r="U181" i="1"/>
  <c r="U239" i="1" s="1"/>
  <c r="V95" i="1"/>
  <c r="V181" i="1" s="1"/>
  <c r="V239" i="1" s="1"/>
  <c r="U180" i="1"/>
  <c r="U238" i="1" s="1"/>
  <c r="V94" i="1"/>
  <c r="V180" i="1" s="1"/>
  <c r="V238" i="1" s="1"/>
  <c r="H66" i="1"/>
  <c r="H151" i="1"/>
  <c r="C672" i="3"/>
  <c r="C678" i="3" s="1"/>
  <c r="U128" i="1"/>
  <c r="U135" i="1" s="1"/>
  <c r="D672" i="3"/>
  <c r="S49" i="2"/>
  <c r="R123" i="2"/>
  <c r="S81" i="2"/>
  <c r="S125" i="2"/>
  <c r="R94" i="2"/>
  <c r="R97" i="2"/>
  <c r="R100" i="2"/>
  <c r="S52" i="2"/>
  <c r="R98" i="2"/>
  <c r="S53" i="2"/>
  <c r="AN135" i="1"/>
  <c r="AN154" i="1"/>
  <c r="AN212" i="1" s="1"/>
  <c r="AN62" i="1"/>
  <c r="AN188" i="1"/>
  <c r="AN246" i="1" s="1"/>
  <c r="AN132" i="1"/>
  <c r="AM16" i="1"/>
  <c r="AM10" i="1"/>
  <c r="AM61" i="1"/>
  <c r="C704" i="3"/>
  <c r="D704" i="3" s="1"/>
  <c r="AM128" i="1"/>
  <c r="AM188" i="1" s="1"/>
  <c r="AM246" i="1" s="1"/>
  <c r="C707" i="3"/>
  <c r="D707" i="3" s="1"/>
  <c r="AM32" i="1"/>
  <c r="AM122" i="1"/>
  <c r="S82" i="2"/>
  <c r="S16" i="2"/>
  <c r="C703" i="3"/>
  <c r="D703" i="3" s="1"/>
  <c r="D720" i="3"/>
  <c r="D716" i="3"/>
  <c r="D719" i="3"/>
  <c r="D715" i="3"/>
  <c r="D718" i="3"/>
  <c r="D721" i="3"/>
  <c r="D717" i="3"/>
  <c r="R125" i="2"/>
  <c r="R124" i="2"/>
  <c r="R122" i="2"/>
  <c r="R118" i="2"/>
  <c r="R126" i="2"/>
  <c r="R128" i="2"/>
  <c r="R127" i="2"/>
  <c r="T223" i="1"/>
  <c r="T88" i="1"/>
  <c r="T169" i="1"/>
  <c r="T152" i="1"/>
  <c r="T210" i="1" s="1"/>
  <c r="T191" i="1"/>
  <c r="T251" i="1" s="1"/>
  <c r="T143" i="1"/>
  <c r="T197" i="1" s="1"/>
  <c r="T257" i="1" s="1"/>
  <c r="D728" i="3"/>
  <c r="D729" i="3"/>
  <c r="D726" i="3"/>
  <c r="D727" i="3"/>
  <c r="S122" i="2"/>
  <c r="S22" i="2"/>
  <c r="S79" i="2"/>
  <c r="S97" i="2"/>
  <c r="S126" i="2"/>
  <c r="S24" i="2"/>
  <c r="S80" i="2"/>
  <c r="S98" i="2"/>
  <c r="S83" i="2"/>
  <c r="S20" i="2"/>
  <c r="S21" i="2"/>
  <c r="S45" i="2"/>
  <c r="S123" i="2"/>
  <c r="S127" i="2"/>
  <c r="S23" i="2"/>
  <c r="S48" i="2"/>
  <c r="S99" i="2"/>
  <c r="S118" i="2"/>
  <c r="S124" i="2"/>
  <c r="S128" i="2"/>
  <c r="S50" i="2"/>
  <c r="S94" i="2"/>
  <c r="S121" i="2"/>
  <c r="O666" i="3"/>
  <c r="AF17" i="1"/>
  <c r="T25" i="2" l="1"/>
  <c r="V25" i="2"/>
  <c r="AW256" i="1"/>
  <c r="AW257" i="1"/>
  <c r="BC215" i="1"/>
  <c r="F196" i="3"/>
  <c r="F198" i="3"/>
  <c r="F162" i="3"/>
  <c r="F160" i="3"/>
  <c r="D543" i="3"/>
  <c r="D638" i="3"/>
  <c r="D640" i="3" s="1"/>
  <c r="D586" i="3"/>
  <c r="D663" i="3"/>
  <c r="D654" i="3"/>
  <c r="D626" i="3"/>
  <c r="AM20" i="1"/>
  <c r="AQ21" i="1" s="1"/>
  <c r="AX103" i="1"/>
  <c r="J256" i="1"/>
  <c r="J257" i="1"/>
  <c r="AA103" i="1"/>
  <c r="AB97" i="1"/>
  <c r="K257" i="1"/>
  <c r="K256" i="1"/>
  <c r="AW83" i="1"/>
  <c r="AW169" i="1" s="1"/>
  <c r="AZ110" i="1"/>
  <c r="AA142" i="1"/>
  <c r="AA196" i="1" s="1"/>
  <c r="AA256" i="1" s="1"/>
  <c r="AA143" i="1"/>
  <c r="AA197" i="1" s="1"/>
  <c r="AA257" i="1" s="1"/>
  <c r="AA152" i="1"/>
  <c r="AA139" i="1"/>
  <c r="AA193" i="1" s="1"/>
  <c r="Z77" i="1"/>
  <c r="Z165" i="1"/>
  <c r="Z83" i="1"/>
  <c r="Z60" i="1"/>
  <c r="Z80" i="1"/>
  <c r="Z110" i="1"/>
  <c r="AA140" i="1"/>
  <c r="AA194" i="1" s="1"/>
  <c r="AY97" i="1"/>
  <c r="AA184" i="1"/>
  <c r="AA242" i="1" s="1"/>
  <c r="AA254" i="1"/>
  <c r="AA253" i="1"/>
  <c r="AA99" i="1"/>
  <c r="AA185" i="1" s="1"/>
  <c r="AA243" i="1" s="1"/>
  <c r="AY182" i="1"/>
  <c r="AY240" i="1" s="1"/>
  <c r="AU223" i="1"/>
  <c r="AY166" i="1"/>
  <c r="AY110" i="1"/>
  <c r="AX184" i="1"/>
  <c r="AX242" i="1" s="1"/>
  <c r="AX99" i="1"/>
  <c r="AX185" i="1" s="1"/>
  <c r="AX243" i="1" s="1"/>
  <c r="AX110" i="1"/>
  <c r="AU88" i="1"/>
  <c r="AU91" i="1" s="1"/>
  <c r="AU177" i="1" s="1"/>
  <c r="AU235" i="1" s="1"/>
  <c r="AU169" i="1"/>
  <c r="F340" i="3"/>
  <c r="F342" i="3"/>
  <c r="J114" i="1"/>
  <c r="AX114" i="1" s="1"/>
  <c r="J177" i="1"/>
  <c r="J235" i="1" s="1"/>
  <c r="J96" i="1"/>
  <c r="J211" i="1"/>
  <c r="J215" i="1"/>
  <c r="J216" i="1"/>
  <c r="K211" i="1"/>
  <c r="K216" i="1"/>
  <c r="K215" i="1"/>
  <c r="AW193" i="1"/>
  <c r="AW158" i="1"/>
  <c r="AW157" i="1"/>
  <c r="AW194" i="1"/>
  <c r="K114" i="1"/>
  <c r="AY114" i="1" s="1"/>
  <c r="K177" i="1"/>
  <c r="K235" i="1" s="1"/>
  <c r="K96" i="1"/>
  <c r="K97" i="1" s="1"/>
  <c r="AW153" i="1"/>
  <c r="AW254" i="1"/>
  <c r="AW253" i="1"/>
  <c r="AV79" i="1"/>
  <c r="AV174" i="1"/>
  <c r="AV232" i="1" s="1"/>
  <c r="AV227" i="1"/>
  <c r="AV74" i="1"/>
  <c r="AR75" i="1"/>
  <c r="AV88" i="1"/>
  <c r="AV91" i="1" s="1"/>
  <c r="AV96" i="1" s="1"/>
  <c r="AV223" i="1"/>
  <c r="AV167" i="1"/>
  <c r="W78" i="1"/>
  <c r="Z79" i="1" s="1"/>
  <c r="Y74" i="1"/>
  <c r="W35" i="1"/>
  <c r="W40" i="1"/>
  <c r="U76" i="2" s="1"/>
  <c r="Y223" i="1"/>
  <c r="Y225" i="1" s="1"/>
  <c r="Y167" i="1"/>
  <c r="Y88" i="1"/>
  <c r="Y169" i="1"/>
  <c r="AT103" i="1"/>
  <c r="AT184" i="1"/>
  <c r="AT242" i="1" s="1"/>
  <c r="AT99" i="1"/>
  <c r="AT185" i="1" s="1"/>
  <c r="AT243" i="1" s="1"/>
  <c r="AQ40" i="1"/>
  <c r="AQ43" i="1" s="1"/>
  <c r="AQ44" i="1" s="1"/>
  <c r="AQ35" i="1"/>
  <c r="AP43" i="1"/>
  <c r="AP44" i="1" s="1"/>
  <c r="AQ189" i="1"/>
  <c r="AQ247" i="1" s="1"/>
  <c r="AQ259" i="1" s="1"/>
  <c r="AQ156" i="1"/>
  <c r="AQ214" i="1" s="1"/>
  <c r="V212" i="1"/>
  <c r="W75" i="1"/>
  <c r="V54" i="2"/>
  <c r="V85" i="2"/>
  <c r="H70" i="1"/>
  <c r="H73" i="1" s="1"/>
  <c r="H35" i="1"/>
  <c r="AO145" i="1"/>
  <c r="AO199" i="1" s="1"/>
  <c r="I165" i="1"/>
  <c r="J166" i="1" s="1"/>
  <c r="I80" i="1"/>
  <c r="I83" i="1"/>
  <c r="I77" i="1"/>
  <c r="I110" i="1"/>
  <c r="AS110" i="1" s="1"/>
  <c r="C481" i="3" s="1"/>
  <c r="E476" i="3" s="1"/>
  <c r="I60" i="1"/>
  <c r="AO55" i="1"/>
  <c r="AR107" i="1"/>
  <c r="AO24" i="1"/>
  <c r="AO34" i="1" s="1"/>
  <c r="AO70" i="1" s="1"/>
  <c r="W66" i="1"/>
  <c r="W151" i="1"/>
  <c r="W209" i="1" s="1"/>
  <c r="W123" i="1"/>
  <c r="U24" i="1"/>
  <c r="U34" i="1" s="1"/>
  <c r="W21" i="1"/>
  <c r="V175" i="1"/>
  <c r="V233" i="1" s="1"/>
  <c r="W113" i="1"/>
  <c r="AN54" i="1"/>
  <c r="AR21" i="1"/>
  <c r="AQ107" i="1"/>
  <c r="V189" i="1"/>
  <c r="V247" i="1" s="1"/>
  <c r="V259" i="1" s="1"/>
  <c r="V145" i="1"/>
  <c r="V199" i="1" s="1"/>
  <c r="AR80" i="1"/>
  <c r="AR77" i="1"/>
  <c r="AR165" i="1"/>
  <c r="AV166" i="1" s="1"/>
  <c r="AR60" i="1"/>
  <c r="AQ75" i="1"/>
  <c r="AQ78" i="1"/>
  <c r="AU79" i="1" s="1"/>
  <c r="AO59" i="1"/>
  <c r="AO57" i="1"/>
  <c r="AO58" i="1"/>
  <c r="AO53" i="1"/>
  <c r="AO56" i="1"/>
  <c r="AO163" i="1"/>
  <c r="AO221" i="1" s="1"/>
  <c r="AO54" i="1"/>
  <c r="AP78" i="1"/>
  <c r="AT79" i="1" s="1"/>
  <c r="AP75" i="1"/>
  <c r="AO156" i="1"/>
  <c r="AO214" i="1" s="1"/>
  <c r="V40" i="1"/>
  <c r="V70" i="1"/>
  <c r="V113" i="1"/>
  <c r="V107" i="1"/>
  <c r="H209" i="1"/>
  <c r="H43" i="1"/>
  <c r="H63" i="1"/>
  <c r="U188" i="1"/>
  <c r="U246" i="1" s="1"/>
  <c r="AN53" i="1"/>
  <c r="U154" i="1"/>
  <c r="U212" i="1" s="1"/>
  <c r="AN58" i="1"/>
  <c r="AN24" i="1"/>
  <c r="AN34" i="1" s="1"/>
  <c r="AN40" i="1" s="1"/>
  <c r="AN156" i="1"/>
  <c r="AN214" i="1" s="1"/>
  <c r="C674" i="3"/>
  <c r="C676" i="3" s="1"/>
  <c r="D676" i="3" s="1"/>
  <c r="U65" i="1"/>
  <c r="AN57" i="1"/>
  <c r="T55" i="1"/>
  <c r="U62" i="1"/>
  <c r="AN163" i="1"/>
  <c r="AN221" i="1" s="1"/>
  <c r="U132" i="1"/>
  <c r="U145" i="1" s="1"/>
  <c r="U199" i="1" s="1"/>
  <c r="D674" i="3"/>
  <c r="D696" i="3"/>
  <c r="D688" i="3"/>
  <c r="R102" i="2"/>
  <c r="AN55" i="1"/>
  <c r="AN56" i="1"/>
  <c r="T56" i="1"/>
  <c r="AN59" i="1"/>
  <c r="AN145" i="1"/>
  <c r="AN199" i="1" s="1"/>
  <c r="AN189" i="1"/>
  <c r="AN247" i="1" s="1"/>
  <c r="AN259" i="1" s="1"/>
  <c r="AM62" i="1"/>
  <c r="AM135" i="1"/>
  <c r="AM132" i="1"/>
  <c r="AM145" i="1" s="1"/>
  <c r="AM199" i="1" s="1"/>
  <c r="T54" i="1"/>
  <c r="T59" i="1"/>
  <c r="T24" i="1"/>
  <c r="T34" i="1" s="1"/>
  <c r="T58" i="1"/>
  <c r="T57" i="1"/>
  <c r="T80" i="1"/>
  <c r="T163" i="1"/>
  <c r="T60" i="1"/>
  <c r="AM154" i="1"/>
  <c r="AM212" i="1" s="1"/>
  <c r="C706" i="3"/>
  <c r="C712" i="3" s="1"/>
  <c r="U107" i="1"/>
  <c r="S133" i="2"/>
  <c r="R133" i="2"/>
  <c r="S85" i="2"/>
  <c r="S54" i="2"/>
  <c r="T227" i="1"/>
  <c r="T174" i="1"/>
  <c r="T232" i="1" s="1"/>
  <c r="S102" i="2"/>
  <c r="S25" i="2"/>
  <c r="U56" i="1"/>
  <c r="U59" i="1"/>
  <c r="U53" i="1"/>
  <c r="U163" i="1"/>
  <c r="U57" i="1"/>
  <c r="U55" i="1"/>
  <c r="U58" i="1"/>
  <c r="U54" i="1"/>
  <c r="C744" i="3"/>
  <c r="C742" i="3"/>
  <c r="C738" i="3"/>
  <c r="J734" i="3"/>
  <c r="J733" i="3"/>
  <c r="C765" i="3"/>
  <c r="C757" i="3"/>
  <c r="B751" i="3"/>
  <c r="B752" i="3" s="1"/>
  <c r="B753" i="3" s="1"/>
  <c r="B754" i="3" s="1"/>
  <c r="B755" i="3" s="1"/>
  <c r="B756" i="3" s="1"/>
  <c r="AI156" i="2"/>
  <c r="AG156" i="2"/>
  <c r="AH156" i="2" s="1"/>
  <c r="AE156" i="2"/>
  <c r="AI155" i="2"/>
  <c r="AG155" i="2"/>
  <c r="AE155" i="2"/>
  <c r="AI154" i="2"/>
  <c r="AG154" i="2"/>
  <c r="AE154" i="2"/>
  <c r="AI153" i="2"/>
  <c r="AG153" i="2"/>
  <c r="AE153" i="2"/>
  <c r="AJ152" i="2"/>
  <c r="AI152" i="2"/>
  <c r="AG152" i="2"/>
  <c r="AE152" i="2"/>
  <c r="AJ13" i="2"/>
  <c r="AF13" i="2"/>
  <c r="AG13" i="2" s="1"/>
  <c r="AJ11" i="2"/>
  <c r="AF11" i="2"/>
  <c r="AJ10" i="2"/>
  <c r="AF10" i="2"/>
  <c r="AF9" i="2"/>
  <c r="AG9" i="2" s="1"/>
  <c r="G117" i="2"/>
  <c r="G71" i="2"/>
  <c r="R71" i="2" s="1"/>
  <c r="F71" i="2"/>
  <c r="F42" i="2"/>
  <c r="F61" i="2" s="1"/>
  <c r="G42" i="2"/>
  <c r="G13" i="2"/>
  <c r="H148" i="2" l="1"/>
  <c r="R42" i="2"/>
  <c r="G61" i="2"/>
  <c r="H61" i="2"/>
  <c r="G32" i="2"/>
  <c r="H32" i="2"/>
  <c r="AZ142" i="1"/>
  <c r="AZ196" i="1" s="1"/>
  <c r="AZ143" i="1"/>
  <c r="AZ197" i="1" s="1"/>
  <c r="C319" i="3"/>
  <c r="D319" i="3" s="1"/>
  <c r="AX142" i="1"/>
  <c r="AX196" i="1" s="1"/>
  <c r="AX143" i="1"/>
  <c r="AX197" i="1" s="1"/>
  <c r="C293" i="3"/>
  <c r="E290" i="3" s="1"/>
  <c r="AY142" i="1"/>
  <c r="AY196" i="1" s="1"/>
  <c r="AY143" i="1"/>
  <c r="AY197" i="1" s="1"/>
  <c r="AZ224" i="1"/>
  <c r="AA153" i="1"/>
  <c r="AA210" i="1"/>
  <c r="AA215" i="1" s="1"/>
  <c r="AY224" i="1"/>
  <c r="AY184" i="1"/>
  <c r="AY242" i="1" s="1"/>
  <c r="AW88" i="1"/>
  <c r="AW91" i="1" s="1"/>
  <c r="AW177" i="1" s="1"/>
  <c r="AW235" i="1" s="1"/>
  <c r="AB184" i="1"/>
  <c r="AB242" i="1" s="1"/>
  <c r="AB99" i="1"/>
  <c r="AB185" i="1" s="1"/>
  <c r="AB243" i="1" s="1"/>
  <c r="AU225" i="1"/>
  <c r="C264" i="3"/>
  <c r="AZ152" i="1"/>
  <c r="AZ210" i="1" s="1"/>
  <c r="AZ191" i="1"/>
  <c r="AZ140" i="1"/>
  <c r="AZ139" i="1"/>
  <c r="AZ97" i="1"/>
  <c r="AA158" i="1"/>
  <c r="AY99" i="1"/>
  <c r="AY100" i="1" s="1"/>
  <c r="Z143" i="1"/>
  <c r="Z197" i="1" s="1"/>
  <c r="Z257" i="1" s="1"/>
  <c r="Z142" i="1"/>
  <c r="Z196" i="1" s="1"/>
  <c r="Z256" i="1" s="1"/>
  <c r="Z191" i="1"/>
  <c r="Z251" i="1" s="1"/>
  <c r="Z152" i="1"/>
  <c r="Z210" i="1" s="1"/>
  <c r="Z140" i="1"/>
  <c r="Z139" i="1"/>
  <c r="Z88" i="1"/>
  <c r="Z91" i="1" s="1"/>
  <c r="Z169" i="1"/>
  <c r="AA157" i="1"/>
  <c r="Z223" i="1"/>
  <c r="Z225" i="1" s="1"/>
  <c r="Z167" i="1"/>
  <c r="X78" i="1"/>
  <c r="Y110" i="1" s="1"/>
  <c r="AA79" i="1"/>
  <c r="AY191" i="1"/>
  <c r="AY152" i="1"/>
  <c r="AY210" i="1" s="1"/>
  <c r="AY140" i="1"/>
  <c r="AY139" i="1"/>
  <c r="AX152" i="1"/>
  <c r="AX210" i="1" s="1"/>
  <c r="AX191" i="1"/>
  <c r="AX140" i="1"/>
  <c r="AX139" i="1"/>
  <c r="K103" i="1"/>
  <c r="AU174" i="1"/>
  <c r="AU232" i="1" s="1"/>
  <c r="AU227" i="1"/>
  <c r="AW227" i="1"/>
  <c r="AW174" i="1"/>
  <c r="AW232" i="1" s="1"/>
  <c r="AW114" i="1"/>
  <c r="J97" i="1"/>
  <c r="J103" i="1" s="1"/>
  <c r="J182" i="1"/>
  <c r="J240" i="1" s="1"/>
  <c r="K99" i="1"/>
  <c r="K182" i="1"/>
  <c r="K240" i="1" s="1"/>
  <c r="AW211" i="1"/>
  <c r="AW216" i="1"/>
  <c r="AW215" i="1"/>
  <c r="W77" i="1"/>
  <c r="W79" i="1"/>
  <c r="W60" i="1"/>
  <c r="W165" i="1"/>
  <c r="W223" i="1" s="1"/>
  <c r="W225" i="1" s="1"/>
  <c r="AV177" i="1"/>
  <c r="AV235" i="1" s="1"/>
  <c r="W83" i="1"/>
  <c r="W88" i="1" s="1"/>
  <c r="AS78" i="1"/>
  <c r="AT110" i="1" s="1"/>
  <c r="AT191" i="1" s="1"/>
  <c r="AT251" i="1" s="1"/>
  <c r="W80" i="1"/>
  <c r="AV225" i="1"/>
  <c r="AQ63" i="1"/>
  <c r="W43" i="1"/>
  <c r="W63" i="1"/>
  <c r="Y91" i="1"/>
  <c r="Y227" i="1"/>
  <c r="Y174" i="1"/>
  <c r="Y232" i="1" s="1"/>
  <c r="AR222" i="1"/>
  <c r="E478" i="3"/>
  <c r="AS152" i="1"/>
  <c r="AS210" i="1" s="1"/>
  <c r="AS191" i="1"/>
  <c r="AS251" i="1" s="1"/>
  <c r="AS139" i="1"/>
  <c r="AS140" i="1"/>
  <c r="AO35" i="1"/>
  <c r="H108" i="1"/>
  <c r="AO108" i="1" s="1"/>
  <c r="AO40" i="1"/>
  <c r="AO43" i="1" s="1"/>
  <c r="AR112" i="1" s="1"/>
  <c r="H78" i="1"/>
  <c r="I79" i="1" s="1"/>
  <c r="I74" i="1"/>
  <c r="I191" i="1"/>
  <c r="I251" i="1" s="1"/>
  <c r="I152" i="1"/>
  <c r="I143" i="1"/>
  <c r="I197" i="1" s="1"/>
  <c r="I142" i="1"/>
  <c r="I196" i="1" s="1"/>
  <c r="I140" i="1"/>
  <c r="I139" i="1"/>
  <c r="I169" i="1"/>
  <c r="I88" i="1"/>
  <c r="I167" i="1"/>
  <c r="I223" i="1"/>
  <c r="J224" i="1" s="1"/>
  <c r="AO73" i="1"/>
  <c r="AR109" i="1" s="1"/>
  <c r="AR108" i="1"/>
  <c r="AQ151" i="1"/>
  <c r="AQ209" i="1" s="1"/>
  <c r="AQ66" i="1"/>
  <c r="AQ123" i="1"/>
  <c r="V73" i="1"/>
  <c r="W108" i="1"/>
  <c r="W25" i="1"/>
  <c r="AR66" i="1"/>
  <c r="AR123" i="1"/>
  <c r="AR151" i="1"/>
  <c r="AR209" i="1" s="1"/>
  <c r="AR223" i="1"/>
  <c r="AV224" i="1" s="1"/>
  <c r="AR167" i="1"/>
  <c r="AQ165" i="1"/>
  <c r="AU166" i="1" s="1"/>
  <c r="AQ60" i="1"/>
  <c r="AQ77" i="1"/>
  <c r="AQ80" i="1"/>
  <c r="AK13" i="2"/>
  <c r="AM13" i="2" s="1"/>
  <c r="AM163" i="1"/>
  <c r="AM221" i="1" s="1"/>
  <c r="AP107" i="1"/>
  <c r="V43" i="1"/>
  <c r="T76" i="2"/>
  <c r="AP77" i="1"/>
  <c r="AP165" i="1"/>
  <c r="AT166" i="1" s="1"/>
  <c r="AP80" i="1"/>
  <c r="AP60" i="1"/>
  <c r="V63" i="1"/>
  <c r="U156" i="1"/>
  <c r="U214" i="1" s="1"/>
  <c r="V151" i="1"/>
  <c r="V209" i="1" s="1"/>
  <c r="V66" i="1"/>
  <c r="V123" i="1"/>
  <c r="U189" i="1"/>
  <c r="U247" i="1" s="1"/>
  <c r="U259" i="1" s="1"/>
  <c r="AM57" i="1"/>
  <c r="AN35" i="1"/>
  <c r="AN70" i="1"/>
  <c r="H75" i="1"/>
  <c r="H109" i="1"/>
  <c r="AO109" i="1" s="1"/>
  <c r="H112" i="1"/>
  <c r="AO112" i="1" s="1"/>
  <c r="H44" i="1"/>
  <c r="H47" i="1"/>
  <c r="H50" i="1" s="1"/>
  <c r="AM156" i="1"/>
  <c r="AM214" i="1" s="1"/>
  <c r="AM56" i="1"/>
  <c r="AM53" i="1"/>
  <c r="AM24" i="1"/>
  <c r="AM34" i="1" s="1"/>
  <c r="AM70" i="1" s="1"/>
  <c r="AM59" i="1"/>
  <c r="AM58" i="1"/>
  <c r="AM54" i="1"/>
  <c r="AM55" i="1"/>
  <c r="AN43" i="1"/>
  <c r="AN63" i="1"/>
  <c r="AM189" i="1"/>
  <c r="AM247" i="1" s="1"/>
  <c r="AM259" i="1" s="1"/>
  <c r="T221" i="1"/>
  <c r="T225" i="1" s="1"/>
  <c r="T167" i="1"/>
  <c r="T70" i="1"/>
  <c r="T73" i="1" s="1"/>
  <c r="T35" i="1"/>
  <c r="T40" i="1"/>
  <c r="C708" i="3"/>
  <c r="C710" i="3" s="1"/>
  <c r="D710" i="3" s="1"/>
  <c r="R44" i="2"/>
  <c r="U221" i="1"/>
  <c r="R13" i="2"/>
  <c r="AK11" i="2"/>
  <c r="AM11" i="2" s="1"/>
  <c r="R74" i="2"/>
  <c r="R83" i="2" s="1"/>
  <c r="AK10" i="2"/>
  <c r="AM10" i="2" s="1"/>
  <c r="D762" i="3"/>
  <c r="D706" i="3"/>
  <c r="AJ15" i="2"/>
  <c r="AJ20" i="2" s="1"/>
  <c r="AF15" i="2"/>
  <c r="AF19" i="2" s="1"/>
  <c r="U40" i="1"/>
  <c r="S76" i="2" s="1"/>
  <c r="U35" i="1"/>
  <c r="U70" i="1"/>
  <c r="V108" i="1" s="1"/>
  <c r="D744" i="3"/>
  <c r="D742" i="3"/>
  <c r="D738" i="3"/>
  <c r="D754" i="3"/>
  <c r="D752" i="3"/>
  <c r="D761" i="3"/>
  <c r="D756" i="3"/>
  <c r="D763" i="3"/>
  <c r="D750" i="3"/>
  <c r="D753" i="3"/>
  <c r="D764" i="3"/>
  <c r="D755" i="3"/>
  <c r="D751" i="3"/>
  <c r="AG10" i="2"/>
  <c r="AG11" i="2"/>
  <c r="R52" i="2" l="1"/>
  <c r="T63" i="2"/>
  <c r="T61" i="2"/>
  <c r="T32" i="2"/>
  <c r="AW96" i="1"/>
  <c r="AW182" i="1" s="1"/>
  <c r="AW240" i="1" s="1"/>
  <c r="E288" i="3"/>
  <c r="D293" i="3"/>
  <c r="F288" i="3" s="1"/>
  <c r="E316" i="3"/>
  <c r="E314" i="3"/>
  <c r="BA97" i="1"/>
  <c r="I253" i="1"/>
  <c r="I254" i="1"/>
  <c r="AA211" i="1"/>
  <c r="AA216" i="1"/>
  <c r="X83" i="1"/>
  <c r="X88" i="1" s="1"/>
  <c r="X91" i="1" s="1"/>
  <c r="X177" i="1" s="1"/>
  <c r="X235" i="1" s="1"/>
  <c r="AZ193" i="1"/>
  <c r="AZ158" i="1"/>
  <c r="AZ194" i="1"/>
  <c r="AZ157" i="1"/>
  <c r="AZ184" i="1"/>
  <c r="AZ242" i="1" s="1"/>
  <c r="AZ99" i="1"/>
  <c r="AZ185" i="1" s="1"/>
  <c r="AZ243" i="1" s="1"/>
  <c r="D264" i="3"/>
  <c r="E259" i="3"/>
  <c r="E261" i="3"/>
  <c r="AY185" i="1"/>
  <c r="AY243" i="1" s="1"/>
  <c r="X110" i="1"/>
  <c r="X140" i="1" s="1"/>
  <c r="X157" i="1" s="1"/>
  <c r="X165" i="1"/>
  <c r="X223" i="1" s="1"/>
  <c r="F316" i="3"/>
  <c r="F314" i="3"/>
  <c r="Z227" i="1"/>
  <c r="Z174" i="1"/>
  <c r="Z232" i="1" s="1"/>
  <c r="Z96" i="1"/>
  <c r="Z177" i="1"/>
  <c r="Z235" i="1" s="1"/>
  <c r="Z158" i="1"/>
  <c r="Z193" i="1"/>
  <c r="Z157" i="1"/>
  <c r="Z194" i="1"/>
  <c r="Z153" i="1"/>
  <c r="Z254" i="1"/>
  <c r="Z253" i="1"/>
  <c r="AA114" i="1"/>
  <c r="Z114" i="1"/>
  <c r="AY102" i="1"/>
  <c r="AY186" i="1"/>
  <c r="AY244" i="1" s="1"/>
  <c r="AY193" i="1"/>
  <c r="AY158" i="1"/>
  <c r="AY194" i="1"/>
  <c r="AY157" i="1"/>
  <c r="AX158" i="1"/>
  <c r="AX193" i="1"/>
  <c r="AX194" i="1"/>
  <c r="AX157" i="1"/>
  <c r="J184" i="1"/>
  <c r="J242" i="1" s="1"/>
  <c r="J99" i="1"/>
  <c r="K185" i="1"/>
  <c r="K243" i="1" s="1"/>
  <c r="K184" i="1"/>
  <c r="K242" i="1" s="1"/>
  <c r="W169" i="1"/>
  <c r="W174" i="1" s="1"/>
  <c r="W232" i="1" s="1"/>
  <c r="W167" i="1"/>
  <c r="AV110" i="1"/>
  <c r="AU110" i="1"/>
  <c r="AV182" i="1"/>
  <c r="AV240" i="1" s="1"/>
  <c r="AT139" i="1"/>
  <c r="AT158" i="1" s="1"/>
  <c r="W47" i="1"/>
  <c r="W50" i="1" s="1"/>
  <c r="W44" i="1"/>
  <c r="W112" i="1"/>
  <c r="Y143" i="1"/>
  <c r="Y197" i="1" s="1"/>
  <c r="Y257" i="1" s="1"/>
  <c r="Y142" i="1"/>
  <c r="Y196" i="1" s="1"/>
  <c r="Y256" i="1" s="1"/>
  <c r="Y140" i="1"/>
  <c r="Y139" i="1"/>
  <c r="Y152" i="1"/>
  <c r="Y210" i="1" s="1"/>
  <c r="Y191" i="1"/>
  <c r="Y251" i="1" s="1"/>
  <c r="V74" i="1"/>
  <c r="Y96" i="1"/>
  <c r="Y177" i="1"/>
  <c r="Y235" i="1" s="1"/>
  <c r="C439" i="3"/>
  <c r="AT140" i="1"/>
  <c r="AT194" i="1" s="1"/>
  <c r="AT152" i="1"/>
  <c r="AT210" i="1" s="1"/>
  <c r="AQ222" i="1"/>
  <c r="AT254" i="1"/>
  <c r="AT253" i="1"/>
  <c r="AO63" i="1"/>
  <c r="AS157" i="1"/>
  <c r="AS194" i="1"/>
  <c r="H165" i="1"/>
  <c r="I166" i="1" s="1"/>
  <c r="AS193" i="1"/>
  <c r="AS158" i="1"/>
  <c r="H79" i="1"/>
  <c r="AS253" i="1"/>
  <c r="AS254" i="1"/>
  <c r="H110" i="1"/>
  <c r="H140" i="1" s="1"/>
  <c r="AS153" i="1"/>
  <c r="AQ112" i="1"/>
  <c r="H83" i="1"/>
  <c r="H169" i="1" s="1"/>
  <c r="H77" i="1"/>
  <c r="H80" i="1"/>
  <c r="H60" i="1"/>
  <c r="I91" i="1"/>
  <c r="I193" i="1"/>
  <c r="I158" i="1"/>
  <c r="I157" i="1"/>
  <c r="I194" i="1"/>
  <c r="I153" i="1"/>
  <c r="I210" i="1"/>
  <c r="I174" i="1"/>
  <c r="I232" i="1" s="1"/>
  <c r="I227" i="1"/>
  <c r="I225" i="1"/>
  <c r="AN73" i="1"/>
  <c r="AQ108" i="1"/>
  <c r="V75" i="1"/>
  <c r="W109" i="1"/>
  <c r="AO75" i="1"/>
  <c r="T77" i="1"/>
  <c r="V44" i="1"/>
  <c r="V47" i="1"/>
  <c r="V50" i="1" s="1"/>
  <c r="AR225" i="1"/>
  <c r="W91" i="1"/>
  <c r="AQ223" i="1"/>
  <c r="AU224" i="1" s="1"/>
  <c r="AQ167" i="1"/>
  <c r="AM9" i="2"/>
  <c r="AP66" i="1"/>
  <c r="AP151" i="1"/>
  <c r="AP209" i="1" s="1"/>
  <c r="AP123" i="1"/>
  <c r="AM73" i="1"/>
  <c r="AM78" i="1" s="1"/>
  <c r="AQ79" i="1" s="1"/>
  <c r="AP108" i="1"/>
  <c r="AP223" i="1"/>
  <c r="AT224" i="1" s="1"/>
  <c r="AP167" i="1"/>
  <c r="AO44" i="1"/>
  <c r="AO47" i="1"/>
  <c r="AO50" i="1" s="1"/>
  <c r="U108" i="1"/>
  <c r="AM40" i="1"/>
  <c r="AM43" i="1" s="1"/>
  <c r="AM35" i="1"/>
  <c r="T75" i="1"/>
  <c r="AJ21" i="2"/>
  <c r="AN44" i="1"/>
  <c r="AN47" i="1"/>
  <c r="AN50" i="1" s="1"/>
  <c r="T43" i="1"/>
  <c r="T63" i="1"/>
  <c r="AK15" i="2"/>
  <c r="AK19" i="2" s="1"/>
  <c r="R15" i="2"/>
  <c r="R80" i="2"/>
  <c r="R76" i="2"/>
  <c r="R79" i="2"/>
  <c r="R81" i="2"/>
  <c r="R49" i="2"/>
  <c r="R48" i="2"/>
  <c r="R45" i="2"/>
  <c r="R50" i="2"/>
  <c r="D708" i="3"/>
  <c r="D730" i="3"/>
  <c r="D722" i="3"/>
  <c r="AJ19" i="2"/>
  <c r="AF23" i="2"/>
  <c r="AJ23" i="2"/>
  <c r="AF21" i="2"/>
  <c r="AG15" i="2"/>
  <c r="AG19" i="2" s="1"/>
  <c r="AF20" i="2"/>
  <c r="U73" i="1"/>
  <c r="U63" i="1"/>
  <c r="U43" i="1"/>
  <c r="V112" i="1" s="1"/>
  <c r="AI147" i="1"/>
  <c r="AI201" i="1" s="1"/>
  <c r="AI261" i="1" s="1"/>
  <c r="AI134" i="1"/>
  <c r="AI249" i="1" s="1"/>
  <c r="AI127" i="1"/>
  <c r="AI126" i="1"/>
  <c r="AI121" i="1"/>
  <c r="AI120" i="1"/>
  <c r="AI119" i="1"/>
  <c r="AI130" i="1"/>
  <c r="AI155" i="1" s="1"/>
  <c r="AI213" i="1" s="1"/>
  <c r="AJ118" i="1"/>
  <c r="AJ128" i="1"/>
  <c r="AJ135" i="1" s="1"/>
  <c r="AJ122" i="1"/>
  <c r="AK204" i="1"/>
  <c r="AG204" i="1"/>
  <c r="AG147" i="1"/>
  <c r="AG201" i="1" s="1"/>
  <c r="AG261" i="1" s="1"/>
  <c r="AG134" i="1"/>
  <c r="AG130" i="1"/>
  <c r="AG127" i="1"/>
  <c r="AG126" i="1"/>
  <c r="AG121" i="1"/>
  <c r="AG120" i="1"/>
  <c r="AG119" i="1"/>
  <c r="AK207" i="1"/>
  <c r="AK218" i="1" s="1"/>
  <c r="AJ207" i="1"/>
  <c r="AJ218" i="1" s="1"/>
  <c r="AI207" i="1"/>
  <c r="AI218" i="1" s="1"/>
  <c r="AH207" i="1"/>
  <c r="AH218" i="1" s="1"/>
  <c r="AG207" i="1"/>
  <c r="AG218" i="1" s="1"/>
  <c r="AF207" i="1"/>
  <c r="AF218" i="1" s="1"/>
  <c r="AJ201" i="1"/>
  <c r="AJ261" i="1" s="1"/>
  <c r="AJ155" i="1"/>
  <c r="AJ213" i="1" s="1"/>
  <c r="AK149" i="1"/>
  <c r="AK160" i="1" s="1"/>
  <c r="AJ149" i="1"/>
  <c r="AJ160" i="1" s="1"/>
  <c r="AI149" i="1"/>
  <c r="AI160" i="1" s="1"/>
  <c r="AH149" i="1"/>
  <c r="AH160" i="1" s="1"/>
  <c r="AG149" i="1"/>
  <c r="AG160" i="1" s="1"/>
  <c r="AF149" i="1"/>
  <c r="AF160" i="1" s="1"/>
  <c r="AL155" i="1"/>
  <c r="AL213" i="1" s="1"/>
  <c r="AL207" i="1"/>
  <c r="AL218" i="1" s="1"/>
  <c r="AL201" i="1"/>
  <c r="AL261" i="1" s="1"/>
  <c r="AL149" i="1"/>
  <c r="AL160" i="1" s="1"/>
  <c r="AK147" i="1"/>
  <c r="AK201" i="1" s="1"/>
  <c r="AK261" i="1" s="1"/>
  <c r="AK134" i="1"/>
  <c r="AK130" i="1"/>
  <c r="AK155" i="1" s="1"/>
  <c r="AK126" i="1"/>
  <c r="AK119" i="1"/>
  <c r="AK120" i="1"/>
  <c r="AK121" i="1"/>
  <c r="AL127" i="1"/>
  <c r="AL128" i="1" s="1"/>
  <c r="AL62" i="1" s="1"/>
  <c r="AL118" i="1"/>
  <c r="AL122" i="1"/>
  <c r="AG105" i="1"/>
  <c r="AH105" i="1"/>
  <c r="AI105" i="1"/>
  <c r="AJ105" i="1"/>
  <c r="AK105" i="1"/>
  <c r="AL105" i="1"/>
  <c r="AF105" i="1"/>
  <c r="AI48" i="1"/>
  <c r="AI42" i="1"/>
  <c r="AI39" i="1"/>
  <c r="AI38" i="1"/>
  <c r="AI37" i="1"/>
  <c r="AI36" i="1"/>
  <c r="AI31" i="1"/>
  <c r="AI30" i="1"/>
  <c r="AI28" i="1"/>
  <c r="AI27" i="1"/>
  <c r="AI72" i="1" s="1"/>
  <c r="AI26" i="1"/>
  <c r="AI22" i="1"/>
  <c r="AI18" i="1"/>
  <c r="AI17" i="1"/>
  <c r="AI15" i="1"/>
  <c r="AI14" i="1"/>
  <c r="AI9" i="1"/>
  <c r="AI8" i="1"/>
  <c r="AI7" i="1"/>
  <c r="AH71" i="1"/>
  <c r="AH32" i="1"/>
  <c r="AH16" i="1"/>
  <c r="AH10" i="1"/>
  <c r="AL71" i="1"/>
  <c r="AL61" i="1"/>
  <c r="AL32" i="1"/>
  <c r="AL16" i="1"/>
  <c r="AL10" i="1"/>
  <c r="AG17" i="1"/>
  <c r="AF48" i="1"/>
  <c r="AF42" i="1"/>
  <c r="AF39" i="1"/>
  <c r="AF38" i="1"/>
  <c r="AF37" i="1"/>
  <c r="BE62" i="1" s="1"/>
  <c r="AF36" i="1"/>
  <c r="BE61" i="1" s="1"/>
  <c r="AF31" i="1"/>
  <c r="AF30" i="1"/>
  <c r="AF28" i="1"/>
  <c r="AF27" i="1"/>
  <c r="AF72" i="1" s="1"/>
  <c r="AF26" i="1"/>
  <c r="AF22" i="1"/>
  <c r="BE71" i="1" s="1"/>
  <c r="AF18" i="1"/>
  <c r="AF15" i="1"/>
  <c r="AF14" i="1"/>
  <c r="AF9" i="1"/>
  <c r="AF8" i="1"/>
  <c r="AF7" i="1"/>
  <c r="AJ48" i="1"/>
  <c r="AJ42" i="1"/>
  <c r="AJ39" i="1"/>
  <c r="AJ38" i="1"/>
  <c r="AJ37" i="1"/>
  <c r="AJ36" i="1"/>
  <c r="AJ31" i="1"/>
  <c r="AJ30" i="1"/>
  <c r="AJ28" i="1"/>
  <c r="AJ27" i="1"/>
  <c r="AJ72" i="1" s="1"/>
  <c r="AJ26" i="1"/>
  <c r="AJ22" i="1"/>
  <c r="AJ18" i="1"/>
  <c r="AJ17" i="1"/>
  <c r="AJ15" i="1"/>
  <c r="AJ14" i="1"/>
  <c r="AJ9" i="1"/>
  <c r="AJ8" i="1"/>
  <c r="AJ7" i="1"/>
  <c r="AJ78" i="1"/>
  <c r="R30" i="1"/>
  <c r="R23" i="2" l="1"/>
  <c r="T34" i="2"/>
  <c r="X169" i="1"/>
  <c r="X174" i="1" s="1"/>
  <c r="X232" i="1" s="1"/>
  <c r="F290" i="3"/>
  <c r="BE32" i="1"/>
  <c r="BD19" i="1"/>
  <c r="BE19" i="1"/>
  <c r="BE10" i="1"/>
  <c r="BD16" i="1"/>
  <c r="BE16" i="1"/>
  <c r="BD32" i="1"/>
  <c r="BA71" i="1"/>
  <c r="BD71" i="1"/>
  <c r="BA61" i="1"/>
  <c r="BD61" i="1"/>
  <c r="BA62" i="1"/>
  <c r="BD62" i="1"/>
  <c r="AF16" i="2"/>
  <c r="AH20" i="1"/>
  <c r="AH54" i="1" s="1"/>
  <c r="AJ16" i="2"/>
  <c r="AL20" i="1"/>
  <c r="I256" i="1"/>
  <c r="I257" i="1"/>
  <c r="AG249" i="1"/>
  <c r="AK249" i="1"/>
  <c r="AI19" i="1"/>
  <c r="X114" i="1"/>
  <c r="AZ100" i="1"/>
  <c r="AZ186" i="1" s="1"/>
  <c r="AZ244" i="1" s="1"/>
  <c r="Y114" i="1"/>
  <c r="AJ19" i="1"/>
  <c r="BA19" i="1"/>
  <c r="AF19" i="1"/>
  <c r="X96" i="1"/>
  <c r="X182" i="1" s="1"/>
  <c r="X240" i="1" s="1"/>
  <c r="X152" i="1"/>
  <c r="X143" i="1"/>
  <c r="X197" i="1" s="1"/>
  <c r="X257" i="1" s="1"/>
  <c r="X142" i="1"/>
  <c r="X196" i="1" s="1"/>
  <c r="X256" i="1" s="1"/>
  <c r="X194" i="1"/>
  <c r="BA32" i="1"/>
  <c r="C371" i="3"/>
  <c r="AV140" i="1"/>
  <c r="AV139" i="1"/>
  <c r="F259" i="3"/>
  <c r="F261" i="3"/>
  <c r="AZ215" i="1"/>
  <c r="AZ216" i="1"/>
  <c r="X139" i="1"/>
  <c r="X158" i="1" s="1"/>
  <c r="X191" i="1"/>
  <c r="X251" i="1" s="1"/>
  <c r="X254" i="1" s="1"/>
  <c r="Z182" i="1"/>
  <c r="Z240" i="1" s="1"/>
  <c r="Z211" i="1"/>
  <c r="Z216" i="1"/>
  <c r="Z215" i="1"/>
  <c r="AY216" i="1"/>
  <c r="AY215" i="1"/>
  <c r="W227" i="1"/>
  <c r="AX216" i="1"/>
  <c r="AX215" i="1"/>
  <c r="J185" i="1"/>
  <c r="J243" i="1" s="1"/>
  <c r="AW10" i="1"/>
  <c r="AW16" i="1"/>
  <c r="AW61" i="1"/>
  <c r="O61" i="1"/>
  <c r="AW62" i="1"/>
  <c r="AW71" i="1"/>
  <c r="O71" i="1"/>
  <c r="AW32" i="1"/>
  <c r="AT193" i="1"/>
  <c r="X227" i="1"/>
  <c r="AT157" i="1"/>
  <c r="Y97" i="1"/>
  <c r="AU96" i="1"/>
  <c r="C397" i="3"/>
  <c r="AU152" i="1"/>
  <c r="AU210" i="1" s="1"/>
  <c r="AU139" i="1"/>
  <c r="AU191" i="1"/>
  <c r="AU251" i="1" s="1"/>
  <c r="AU140" i="1"/>
  <c r="AV191" i="1"/>
  <c r="AV251" i="1" s="1"/>
  <c r="AV152" i="1"/>
  <c r="AV210" i="1" s="1"/>
  <c r="Y158" i="1"/>
  <c r="Y193" i="1"/>
  <c r="Y194" i="1"/>
  <c r="Y157" i="1"/>
  <c r="V109" i="1"/>
  <c r="W74" i="1"/>
  <c r="H223" i="1"/>
  <c r="H225" i="1" s="1"/>
  <c r="Y253" i="1"/>
  <c r="Y254" i="1"/>
  <c r="Y182" i="1"/>
  <c r="Y240" i="1" s="1"/>
  <c r="D439" i="3"/>
  <c r="E434" i="3"/>
  <c r="E436" i="3"/>
  <c r="AT215" i="1"/>
  <c r="AT216" i="1"/>
  <c r="H167" i="1"/>
  <c r="H142" i="1"/>
  <c r="H196" i="1" s="1"/>
  <c r="H143" i="1"/>
  <c r="H197" i="1" s="1"/>
  <c r="H152" i="1"/>
  <c r="H210" i="1" s="1"/>
  <c r="H191" i="1"/>
  <c r="H251" i="1" s="1"/>
  <c r="H88" i="1"/>
  <c r="H91" i="1" s="1"/>
  <c r="H139" i="1"/>
  <c r="H193" i="1" s="1"/>
  <c r="AO110" i="1"/>
  <c r="C643" i="3" s="1"/>
  <c r="AS211" i="1"/>
  <c r="AS215" i="1"/>
  <c r="AS216" i="1"/>
  <c r="AM75" i="1"/>
  <c r="AG37" i="1"/>
  <c r="AF71" i="1"/>
  <c r="AG26" i="1"/>
  <c r="AG39" i="1"/>
  <c r="AG42" i="1"/>
  <c r="AG8" i="1"/>
  <c r="AG28" i="1"/>
  <c r="AG48" i="1"/>
  <c r="AG38" i="1"/>
  <c r="AG27" i="1"/>
  <c r="AG72" i="1" s="1"/>
  <c r="AG30" i="1"/>
  <c r="AG7" i="1"/>
  <c r="AG9" i="1"/>
  <c r="AG14" i="1"/>
  <c r="AG31" i="1"/>
  <c r="AG15" i="1"/>
  <c r="AG36" i="1"/>
  <c r="AG61" i="1" s="1"/>
  <c r="AG18" i="1"/>
  <c r="AG19" i="1" s="1"/>
  <c r="I211" i="1"/>
  <c r="I216" i="1"/>
  <c r="I215" i="1"/>
  <c r="I114" i="1"/>
  <c r="AS114" i="1" s="1"/>
  <c r="I177" i="1"/>
  <c r="I235" i="1" s="1"/>
  <c r="I96" i="1"/>
  <c r="I97" i="1" s="1"/>
  <c r="I103" i="1" s="1"/>
  <c r="AN78" i="1"/>
  <c r="AR74" i="1"/>
  <c r="AQ109" i="1"/>
  <c r="AP109" i="1"/>
  <c r="AQ74" i="1"/>
  <c r="AN75" i="1"/>
  <c r="AQ225" i="1"/>
  <c r="W177" i="1"/>
  <c r="W235" i="1" s="1"/>
  <c r="W96" i="1"/>
  <c r="W97" i="1" s="1"/>
  <c r="AM15" i="2"/>
  <c r="AM19" i="2" s="1"/>
  <c r="H227" i="1"/>
  <c r="H174" i="1"/>
  <c r="H232" i="1" s="1"/>
  <c r="AN205" i="1"/>
  <c r="J665" i="3" s="1"/>
  <c r="AM44" i="1"/>
  <c r="AP112" i="1"/>
  <c r="H194" i="1"/>
  <c r="H157" i="1"/>
  <c r="AP225" i="1"/>
  <c r="AJ71" i="1"/>
  <c r="AM63" i="1"/>
  <c r="AM47" i="1"/>
  <c r="AM50" i="1" s="1"/>
  <c r="U112" i="1"/>
  <c r="AJ25" i="2"/>
  <c r="AK21" i="2"/>
  <c r="AK48" i="1"/>
  <c r="T44" i="1"/>
  <c r="T47" i="1"/>
  <c r="T50" i="1" s="1"/>
  <c r="AK213" i="1"/>
  <c r="AI16" i="1"/>
  <c r="AK18" i="1"/>
  <c r="R54" i="2"/>
  <c r="AJ61" i="1"/>
  <c r="AK26" i="1"/>
  <c r="R19" i="2"/>
  <c r="R16" i="2"/>
  <c r="R21" i="2"/>
  <c r="R20" i="2"/>
  <c r="AK37" i="1"/>
  <c r="AK22" i="1"/>
  <c r="AK42" i="1"/>
  <c r="AK9" i="1"/>
  <c r="AK14" i="1"/>
  <c r="AK30" i="1"/>
  <c r="AK17" i="1"/>
  <c r="AK38" i="1"/>
  <c r="AK39" i="1"/>
  <c r="AK8" i="1"/>
  <c r="AK28" i="1"/>
  <c r="AK31" i="1"/>
  <c r="U78" i="1"/>
  <c r="X79" i="1" s="1"/>
  <c r="U109" i="1"/>
  <c r="R85" i="2"/>
  <c r="AK20" i="2"/>
  <c r="AK24" i="2"/>
  <c r="AK22" i="2"/>
  <c r="AK16" i="2"/>
  <c r="AK23" i="2"/>
  <c r="AG23" i="2"/>
  <c r="AF25" i="2"/>
  <c r="AG20" i="2"/>
  <c r="AG21" i="2"/>
  <c r="AM165" i="1"/>
  <c r="AQ166" i="1" s="1"/>
  <c r="AM60" i="1"/>
  <c r="AM77" i="1"/>
  <c r="AM80" i="1"/>
  <c r="AK78" i="1"/>
  <c r="AF16" i="1"/>
  <c r="AI10" i="1"/>
  <c r="AI122" i="1"/>
  <c r="AG155" i="1"/>
  <c r="AG213" i="1" s="1"/>
  <c r="AG128" i="1"/>
  <c r="AG154" i="1" s="1"/>
  <c r="AG212" i="1" s="1"/>
  <c r="AG122" i="1"/>
  <c r="AJ32" i="1"/>
  <c r="AF32" i="1"/>
  <c r="AK122" i="1"/>
  <c r="AI128" i="1"/>
  <c r="AI154" i="1" s="1"/>
  <c r="U47" i="1"/>
  <c r="U50" i="1" s="1"/>
  <c r="U44" i="1"/>
  <c r="U75" i="1"/>
  <c r="AJ10" i="1"/>
  <c r="AJ16" i="1"/>
  <c r="AG22" i="1"/>
  <c r="AK7" i="1"/>
  <c r="AI71" i="1"/>
  <c r="AK36" i="1"/>
  <c r="AJ165" i="1"/>
  <c r="AK15" i="1"/>
  <c r="AK27" i="1"/>
  <c r="AK72" i="1" s="1"/>
  <c r="C739" i="3"/>
  <c r="AL188" i="1"/>
  <c r="AL246" i="1" s="1"/>
  <c r="AL154" i="1"/>
  <c r="AI32" i="1"/>
  <c r="AI61" i="1"/>
  <c r="AJ132" i="1"/>
  <c r="AJ154" i="1"/>
  <c r="AJ188" i="1"/>
  <c r="AJ246" i="1" s="1"/>
  <c r="AJ62" i="1"/>
  <c r="AL132" i="1"/>
  <c r="AL189" i="1" s="1"/>
  <c r="AL247" i="1" s="1"/>
  <c r="AL259" i="1" s="1"/>
  <c r="AL135" i="1"/>
  <c r="AF10" i="1"/>
  <c r="F118" i="1"/>
  <c r="AG118" i="1" s="1"/>
  <c r="F89" i="1"/>
  <c r="BD20" i="1" l="1"/>
  <c r="BE20" i="1"/>
  <c r="BE53" i="1" s="1"/>
  <c r="X210" i="1"/>
  <c r="X215" i="1" s="1"/>
  <c r="AW20" i="1"/>
  <c r="AF20" i="1"/>
  <c r="AF57" i="1" s="1"/>
  <c r="AG16" i="2"/>
  <c r="AI20" i="1"/>
  <c r="AM21" i="1" s="1"/>
  <c r="AK19" i="1"/>
  <c r="X193" i="1"/>
  <c r="AJ20" i="1"/>
  <c r="AJ24" i="1" s="1"/>
  <c r="AJ34" i="1" s="1"/>
  <c r="AJ70" i="1" s="1"/>
  <c r="BA20" i="1"/>
  <c r="BA107" i="1" s="1"/>
  <c r="H253" i="1"/>
  <c r="H254" i="1"/>
  <c r="AZ102" i="1"/>
  <c r="H256" i="1"/>
  <c r="H257" i="1"/>
  <c r="X253" i="1"/>
  <c r="Y103" i="1"/>
  <c r="Z97" i="1"/>
  <c r="Y99" i="1"/>
  <c r="Y185" i="1" s="1"/>
  <c r="Y243" i="1" s="1"/>
  <c r="AU157" i="1"/>
  <c r="AU194" i="1"/>
  <c r="AU254" i="1"/>
  <c r="AU253" i="1"/>
  <c r="AV194" i="1"/>
  <c r="AV157" i="1"/>
  <c r="AU193" i="1"/>
  <c r="AU158" i="1"/>
  <c r="D397" i="3"/>
  <c r="E392" i="3"/>
  <c r="E394" i="3"/>
  <c r="AV193" i="1"/>
  <c r="AV158" i="1"/>
  <c r="AU97" i="1"/>
  <c r="AV97" i="1" s="1"/>
  <c r="AV99" i="1" s="1"/>
  <c r="AU182" i="1"/>
  <c r="AU240" i="1" s="1"/>
  <c r="AV254" i="1"/>
  <c r="AV253" i="1"/>
  <c r="D371" i="3"/>
  <c r="E366" i="3"/>
  <c r="E368" i="3"/>
  <c r="I224" i="1"/>
  <c r="Y215" i="1"/>
  <c r="Y216" i="1"/>
  <c r="Y184" i="1"/>
  <c r="Y242" i="1" s="1"/>
  <c r="F436" i="3"/>
  <c r="F434" i="3"/>
  <c r="H153" i="1"/>
  <c r="H158" i="1"/>
  <c r="AO139" i="1"/>
  <c r="AO158" i="1" s="1"/>
  <c r="AO140" i="1"/>
  <c r="AO157" i="1" s="1"/>
  <c r="AO152" i="1"/>
  <c r="AO210" i="1" s="1"/>
  <c r="AG16" i="1"/>
  <c r="AO191" i="1"/>
  <c r="AO251" i="1" s="1"/>
  <c r="AO254" i="1" s="1"/>
  <c r="AS71" i="1"/>
  <c r="AS62" i="1"/>
  <c r="AS61" i="1"/>
  <c r="AG32" i="1"/>
  <c r="AG10" i="1"/>
  <c r="AS16" i="1"/>
  <c r="AS32" i="1"/>
  <c r="I182" i="1"/>
  <c r="I240" i="1" s="1"/>
  <c r="AR79" i="1"/>
  <c r="AN77" i="1"/>
  <c r="AN80" i="1"/>
  <c r="AN165" i="1"/>
  <c r="AN60" i="1"/>
  <c r="AN79" i="1"/>
  <c r="AO78" i="1"/>
  <c r="AO60" i="1" s="1"/>
  <c r="W182" i="1"/>
  <c r="W240" i="1" s="1"/>
  <c r="X97" i="1"/>
  <c r="AM16" i="2"/>
  <c r="AM22" i="2"/>
  <c r="AM24" i="2"/>
  <c r="AM21" i="2"/>
  <c r="AM20" i="2"/>
  <c r="AM23" i="2"/>
  <c r="AL55" i="1"/>
  <c r="AP21" i="1"/>
  <c r="D643" i="3"/>
  <c r="E638" i="3"/>
  <c r="E640" i="3"/>
  <c r="AJ223" i="1"/>
  <c r="H114" i="1"/>
  <c r="AO114" i="1" s="1"/>
  <c r="H96" i="1"/>
  <c r="H177" i="1"/>
  <c r="H235" i="1" s="1"/>
  <c r="H215" i="1"/>
  <c r="H216" i="1"/>
  <c r="H211" i="1"/>
  <c r="U110" i="1"/>
  <c r="U143" i="1" s="1"/>
  <c r="U197" i="1" s="1"/>
  <c r="U257" i="1" s="1"/>
  <c r="V78" i="1"/>
  <c r="AI188" i="1"/>
  <c r="AI246" i="1" s="1"/>
  <c r="AK25" i="2"/>
  <c r="AK165" i="1"/>
  <c r="AK16" i="1"/>
  <c r="AK61" i="1"/>
  <c r="AK71" i="1"/>
  <c r="AK32" i="1"/>
  <c r="U77" i="1"/>
  <c r="U80" i="1"/>
  <c r="R25" i="2"/>
  <c r="U60" i="1"/>
  <c r="U83" i="1"/>
  <c r="U88" i="1" s="1"/>
  <c r="U165" i="1"/>
  <c r="U223" i="1" s="1"/>
  <c r="AK10" i="1"/>
  <c r="AG25" i="2"/>
  <c r="AG132" i="1"/>
  <c r="AG145" i="1" s="1"/>
  <c r="AG199" i="1" s="1"/>
  <c r="AM223" i="1"/>
  <c r="AQ224" i="1" s="1"/>
  <c r="AM167" i="1"/>
  <c r="AG188" i="1"/>
  <c r="AG246" i="1" s="1"/>
  <c r="AI132" i="1"/>
  <c r="AI145" i="1" s="1"/>
  <c r="AI199" i="1" s="1"/>
  <c r="AG62" i="1"/>
  <c r="AG135" i="1"/>
  <c r="AI62" i="1"/>
  <c r="AG71" i="1"/>
  <c r="AH53" i="1"/>
  <c r="AL53" i="1"/>
  <c r="AH56" i="1"/>
  <c r="AI156" i="1"/>
  <c r="AI214" i="1" s="1"/>
  <c r="AI212" i="1"/>
  <c r="AL163" i="1"/>
  <c r="AL221" i="1" s="1"/>
  <c r="AL57" i="1"/>
  <c r="AL56" i="1"/>
  <c r="AL59" i="1"/>
  <c r="AL58" i="1"/>
  <c r="AH55" i="1"/>
  <c r="AH163" i="1"/>
  <c r="AH221" i="1" s="1"/>
  <c r="AL212" i="1"/>
  <c r="AL156" i="1"/>
  <c r="AL214" i="1" s="1"/>
  <c r="AH57" i="1"/>
  <c r="AJ156" i="1"/>
  <c r="AJ214" i="1" s="1"/>
  <c r="AJ212" i="1"/>
  <c r="AL54" i="1"/>
  <c r="C741" i="3"/>
  <c r="D739" i="3"/>
  <c r="AJ145" i="1"/>
  <c r="AJ199" i="1" s="1"/>
  <c r="AJ189" i="1"/>
  <c r="AJ247" i="1" s="1"/>
  <c r="AJ259" i="1" s="1"/>
  <c r="AG156" i="1"/>
  <c r="AG214" i="1" s="1"/>
  <c r="AL145" i="1"/>
  <c r="AL199" i="1" s="1"/>
  <c r="AH58" i="1"/>
  <c r="AH24" i="1"/>
  <c r="AH34" i="1" s="1"/>
  <c r="AH40" i="1" s="1"/>
  <c r="AH59" i="1"/>
  <c r="AL21" i="1"/>
  <c r="AL24" i="1"/>
  <c r="AL34" i="1" s="1"/>
  <c r="AL70" i="1" s="1"/>
  <c r="AL73" i="1" s="1"/>
  <c r="AP74" i="1" s="1"/>
  <c r="G127" i="1"/>
  <c r="G128" i="1" s="1"/>
  <c r="G135" i="1" s="1"/>
  <c r="G118" i="1"/>
  <c r="G93" i="1"/>
  <c r="G95" i="1"/>
  <c r="G94" i="1"/>
  <c r="G92" i="1"/>
  <c r="G90" i="1"/>
  <c r="G89" i="1"/>
  <c r="G207" i="1"/>
  <c r="G218" i="1" s="1"/>
  <c r="G205" i="1"/>
  <c r="AK205" i="1" s="1"/>
  <c r="G201" i="1"/>
  <c r="G261" i="1" s="1"/>
  <c r="G183" i="1"/>
  <c r="G241" i="1" s="1"/>
  <c r="G173" i="1"/>
  <c r="G231" i="1" s="1"/>
  <c r="G172" i="1"/>
  <c r="G230" i="1" s="1"/>
  <c r="G171" i="1"/>
  <c r="G229" i="1" s="1"/>
  <c r="G170" i="1"/>
  <c r="G228" i="1" s="1"/>
  <c r="G165" i="1"/>
  <c r="G155" i="1"/>
  <c r="G213" i="1" s="1"/>
  <c r="G149" i="1"/>
  <c r="G160" i="1" s="1"/>
  <c r="G122" i="1"/>
  <c r="G111" i="1"/>
  <c r="AK111" i="1" s="1"/>
  <c r="G110" i="1"/>
  <c r="G83" i="1"/>
  <c r="G169" i="1" s="1"/>
  <c r="G79" i="1"/>
  <c r="G71" i="1"/>
  <c r="G61" i="1"/>
  <c r="G32" i="1"/>
  <c r="G16" i="1"/>
  <c r="G10" i="1"/>
  <c r="BA151" i="1" l="1"/>
  <c r="BA123" i="1"/>
  <c r="BA66" i="1"/>
  <c r="BD58" i="1"/>
  <c r="BF107" i="1"/>
  <c r="BD57" i="1"/>
  <c r="BD21" i="1"/>
  <c r="BD56" i="1"/>
  <c r="BD163" i="1"/>
  <c r="BD53" i="1"/>
  <c r="BD107" i="1"/>
  <c r="BD151" i="1" s="1"/>
  <c r="BD209" i="1" s="1"/>
  <c r="BD59" i="1"/>
  <c r="BD24" i="1"/>
  <c r="BD34" i="1" s="1"/>
  <c r="BD40" i="1" s="1"/>
  <c r="BD54" i="1"/>
  <c r="BD55" i="1"/>
  <c r="BE54" i="1"/>
  <c r="BE107" i="1"/>
  <c r="BE55" i="1"/>
  <c r="BE24" i="1"/>
  <c r="BE34" i="1" s="1"/>
  <c r="BE21" i="1"/>
  <c r="BE163" i="1"/>
  <c r="BE221" i="1" s="1"/>
  <c r="BE56" i="1"/>
  <c r="BE59" i="1"/>
  <c r="BE58" i="1"/>
  <c r="BE57" i="1"/>
  <c r="X216" i="1"/>
  <c r="BD221" i="1"/>
  <c r="BD222" i="1" s="1"/>
  <c r="AK20" i="1"/>
  <c r="AO21" i="1" s="1"/>
  <c r="BB107" i="1"/>
  <c r="BB151" i="1" s="1"/>
  <c r="BB209" i="1" s="1"/>
  <c r="O59" i="1"/>
  <c r="BC107" i="1"/>
  <c r="BC151" i="1" s="1"/>
  <c r="BC209" i="1" s="1"/>
  <c r="BA53" i="1"/>
  <c r="AG20" i="1"/>
  <c r="AG54" i="1" s="1"/>
  <c r="BA163" i="1"/>
  <c r="BA221" i="1" s="1"/>
  <c r="BA21" i="1"/>
  <c r="BA24" i="1"/>
  <c r="BA34" i="1" s="1"/>
  <c r="BA55" i="1"/>
  <c r="BA58" i="1"/>
  <c r="BA56" i="1"/>
  <c r="BA54" i="1"/>
  <c r="BA59" i="1"/>
  <c r="BA57" i="1"/>
  <c r="AZ107" i="1"/>
  <c r="AY107" i="1"/>
  <c r="AY123" i="1" s="1"/>
  <c r="Z184" i="1"/>
  <c r="Z242" i="1" s="1"/>
  <c r="Z99" i="1"/>
  <c r="Z185" i="1" s="1"/>
  <c r="Z243" i="1" s="1"/>
  <c r="AU99" i="1"/>
  <c r="AU100" i="1" s="1"/>
  <c r="AV100" i="1" s="1"/>
  <c r="AW53" i="1"/>
  <c r="AX107" i="1"/>
  <c r="AX151" i="1" s="1"/>
  <c r="AX209" i="1" s="1"/>
  <c r="AW163" i="1"/>
  <c r="AW221" i="1" s="1"/>
  <c r="AW24" i="1"/>
  <c r="AW34" i="1" s="1"/>
  <c r="AW56" i="1"/>
  <c r="AW58" i="1"/>
  <c r="AW57" i="1"/>
  <c r="AW59" i="1"/>
  <c r="AW54" i="1"/>
  <c r="AW55" i="1"/>
  <c r="AO194" i="1"/>
  <c r="AU216" i="1"/>
  <c r="AU215" i="1"/>
  <c r="F366" i="3"/>
  <c r="F368" i="3"/>
  <c r="F392" i="3"/>
  <c r="F394" i="3"/>
  <c r="AV215" i="1"/>
  <c r="AV216" i="1"/>
  <c r="AU184" i="1"/>
  <c r="AU242" i="1" s="1"/>
  <c r="AO193" i="1"/>
  <c r="W110" i="1"/>
  <c r="W143" i="1" s="1"/>
  <c r="W197" i="1" s="1"/>
  <c r="W257" i="1" s="1"/>
  <c r="Y79" i="1"/>
  <c r="AL222" i="1"/>
  <c r="AP222" i="1"/>
  <c r="AO153" i="1"/>
  <c r="AO253" i="1"/>
  <c r="U169" i="1"/>
  <c r="U227" i="1" s="1"/>
  <c r="X184" i="1"/>
  <c r="X242" i="1" s="1"/>
  <c r="X99" i="1"/>
  <c r="AO79" i="1"/>
  <c r="W99" i="1"/>
  <c r="W185" i="1" s="1"/>
  <c r="W243" i="1" s="1"/>
  <c r="AO80" i="1"/>
  <c r="AP110" i="1"/>
  <c r="AP139" i="1" s="1"/>
  <c r="AP158" i="1" s="1"/>
  <c r="I184" i="1"/>
  <c r="I242" i="1" s="1"/>
  <c r="I99" i="1"/>
  <c r="AR110" i="1"/>
  <c r="AR166" i="1"/>
  <c r="AN167" i="1"/>
  <c r="AN223" i="1"/>
  <c r="AO77" i="1"/>
  <c r="AO165" i="1"/>
  <c r="AO166" i="1" s="1"/>
  <c r="AN166" i="1"/>
  <c r="AQ110" i="1"/>
  <c r="AM25" i="2"/>
  <c r="W184" i="1"/>
  <c r="W242" i="1" s="1"/>
  <c r="W103" i="1"/>
  <c r="H97" i="1"/>
  <c r="H99" i="1" s="1"/>
  <c r="H185" i="1" s="1"/>
  <c r="H243" i="1" s="1"/>
  <c r="H182" i="1"/>
  <c r="H240" i="1" s="1"/>
  <c r="AK223" i="1"/>
  <c r="AM225" i="1"/>
  <c r="AO216" i="1"/>
  <c r="AO211" i="1"/>
  <c r="AO215" i="1"/>
  <c r="F638" i="3"/>
  <c r="F640" i="3"/>
  <c r="U139" i="1"/>
  <c r="U193" i="1" s="1"/>
  <c r="U191" i="1"/>
  <c r="U251" i="1" s="1"/>
  <c r="U254" i="1" s="1"/>
  <c r="U152" i="1"/>
  <c r="U140" i="1"/>
  <c r="U157" i="1" s="1"/>
  <c r="AF58" i="1"/>
  <c r="V77" i="1"/>
  <c r="V60" i="1"/>
  <c r="V165" i="1"/>
  <c r="V83" i="1"/>
  <c r="V80" i="1"/>
  <c r="V110" i="1"/>
  <c r="V139" i="1" s="1"/>
  <c r="G223" i="1"/>
  <c r="H224" i="1" s="1"/>
  <c r="H166" i="1"/>
  <c r="AJ59" i="1"/>
  <c r="AI55" i="1"/>
  <c r="AG189" i="1"/>
  <c r="AG247" i="1" s="1"/>
  <c r="AG259" i="1" s="1"/>
  <c r="AF54" i="1"/>
  <c r="U167" i="1"/>
  <c r="AJ80" i="1"/>
  <c r="AN21" i="1"/>
  <c r="AF56" i="1"/>
  <c r="AF24" i="1"/>
  <c r="AF34" i="1" s="1"/>
  <c r="AF70" i="1" s="1"/>
  <c r="AF73" i="1" s="1"/>
  <c r="G181" i="1"/>
  <c r="G239" i="1" s="1"/>
  <c r="G179" i="1"/>
  <c r="G237" i="1" s="1"/>
  <c r="T93" i="1"/>
  <c r="T179" i="1" s="1"/>
  <c r="T237" i="1" s="1"/>
  <c r="AJ55" i="1"/>
  <c r="AJ53" i="1"/>
  <c r="AJ163" i="1"/>
  <c r="AJ221" i="1" s="1"/>
  <c r="AJ56" i="1"/>
  <c r="AJ57" i="1"/>
  <c r="G175" i="1"/>
  <c r="G233" i="1" s="1"/>
  <c r="G176" i="1"/>
  <c r="G234" i="1" s="1"/>
  <c r="T90" i="1"/>
  <c r="T176" i="1" s="1"/>
  <c r="T234" i="1" s="1"/>
  <c r="G178" i="1"/>
  <c r="G236" i="1" s="1"/>
  <c r="T92" i="1"/>
  <c r="T178" i="1" s="1"/>
  <c r="T236" i="1" s="1"/>
  <c r="AJ54" i="1"/>
  <c r="AJ60" i="1"/>
  <c r="AK118" i="1"/>
  <c r="T118" i="1"/>
  <c r="AK127" i="1"/>
  <c r="AK128" i="1" s="1"/>
  <c r="AK154" i="1" s="1"/>
  <c r="T127" i="1"/>
  <c r="T128" i="1" s="1"/>
  <c r="AJ21" i="1"/>
  <c r="G180" i="1"/>
  <c r="G238" i="1" s="1"/>
  <c r="AJ58" i="1"/>
  <c r="U225" i="1"/>
  <c r="AF59" i="1"/>
  <c r="AF163" i="1"/>
  <c r="AF221" i="1" s="1"/>
  <c r="AF53" i="1"/>
  <c r="AF55" i="1"/>
  <c r="AI189" i="1"/>
  <c r="AI247" i="1" s="1"/>
  <c r="AI259" i="1" s="1"/>
  <c r="U91" i="1"/>
  <c r="AJ73" i="1"/>
  <c r="AN74" i="1" s="1"/>
  <c r="AL78" i="1"/>
  <c r="AP79" i="1" s="1"/>
  <c r="AL75" i="1"/>
  <c r="C747" i="3"/>
  <c r="C743" i="3"/>
  <c r="G191" i="1"/>
  <c r="G251" i="1" s="1"/>
  <c r="AK110" i="1"/>
  <c r="AI163" i="1"/>
  <c r="AI221" i="1" s="1"/>
  <c r="AM222" i="1" s="1"/>
  <c r="AI24" i="1"/>
  <c r="AI34" i="1" s="1"/>
  <c r="AI58" i="1"/>
  <c r="AI57" i="1"/>
  <c r="AI59" i="1"/>
  <c r="AI53" i="1"/>
  <c r="AI54" i="1"/>
  <c r="AI56" i="1"/>
  <c r="AH70" i="1"/>
  <c r="AH73" i="1" s="1"/>
  <c r="AH78" i="1" s="1"/>
  <c r="AH35" i="1"/>
  <c r="AH63" i="1"/>
  <c r="AH43" i="1"/>
  <c r="AL40" i="1"/>
  <c r="AL35" i="1"/>
  <c r="AJ40" i="1"/>
  <c r="AJ63" i="1" s="1"/>
  <c r="AJ35" i="1"/>
  <c r="G65" i="1"/>
  <c r="G132" i="1"/>
  <c r="G189" i="1" s="1"/>
  <c r="G247" i="1" s="1"/>
  <c r="G62" i="1"/>
  <c r="G227" i="1"/>
  <c r="G174" i="1"/>
  <c r="G232" i="1" s="1"/>
  <c r="G20" i="1"/>
  <c r="G113" i="1"/>
  <c r="G140" i="1"/>
  <c r="G154" i="1"/>
  <c r="G188" i="1"/>
  <c r="G246" i="1" s="1"/>
  <c r="G88" i="1"/>
  <c r="G143" i="1"/>
  <c r="G197" i="1" s="1"/>
  <c r="G152" i="1"/>
  <c r="G127" i="2"/>
  <c r="G94" i="2"/>
  <c r="G74" i="2"/>
  <c r="G83" i="2" s="1"/>
  <c r="G44" i="2"/>
  <c r="G15" i="2"/>
  <c r="BF151" i="1" l="1"/>
  <c r="BF209" i="1" s="1"/>
  <c r="BF123" i="1"/>
  <c r="BF66" i="1"/>
  <c r="BA209" i="1"/>
  <c r="BA211" i="1" s="1"/>
  <c r="BA153" i="1"/>
  <c r="G52" i="2"/>
  <c r="H63" i="2"/>
  <c r="G19" i="2"/>
  <c r="H34" i="2"/>
  <c r="BD66" i="1"/>
  <c r="BD70" i="1"/>
  <c r="BD73" i="1" s="1"/>
  <c r="BD78" i="1" s="1"/>
  <c r="BD123" i="1"/>
  <c r="BD35" i="1"/>
  <c r="BE151" i="1"/>
  <c r="BE209" i="1" s="1"/>
  <c r="BE123" i="1"/>
  <c r="BE66" i="1"/>
  <c r="BE222" i="1"/>
  <c r="BE35" i="1"/>
  <c r="BE70" i="1"/>
  <c r="BE40" i="1"/>
  <c r="U210" i="1"/>
  <c r="U216" i="1" s="1"/>
  <c r="O58" i="1"/>
  <c r="O163" i="1"/>
  <c r="O221" i="1" s="1"/>
  <c r="G254" i="1"/>
  <c r="BB123" i="1"/>
  <c r="BB66" i="1"/>
  <c r="BD43" i="1"/>
  <c r="BD63" i="1"/>
  <c r="BC66" i="1"/>
  <c r="BC123" i="1"/>
  <c r="O107" i="1"/>
  <c r="O151" i="1" s="1"/>
  <c r="O209" i="1" s="1"/>
  <c r="O24" i="1"/>
  <c r="O34" i="1" s="1"/>
  <c r="O54" i="1"/>
  <c r="O53" i="1"/>
  <c r="O57" i="1"/>
  <c r="O56" i="1"/>
  <c r="O55" i="1"/>
  <c r="BB211" i="1"/>
  <c r="BB153" i="1"/>
  <c r="G253" i="1"/>
  <c r="G259" i="1"/>
  <c r="G257" i="1"/>
  <c r="G256" i="1"/>
  <c r="AY66" i="1"/>
  <c r="AY151" i="1"/>
  <c r="BA40" i="1"/>
  <c r="BA70" i="1"/>
  <c r="BA108" i="1" s="1"/>
  <c r="BA35" i="1"/>
  <c r="BA222" i="1"/>
  <c r="AZ66" i="1"/>
  <c r="AZ151" i="1"/>
  <c r="AZ209" i="1" s="1"/>
  <c r="AZ123" i="1"/>
  <c r="AV103" i="1"/>
  <c r="AU185" i="1"/>
  <c r="AU243" i="1" s="1"/>
  <c r="AX66" i="1"/>
  <c r="AX123" i="1"/>
  <c r="AW97" i="1"/>
  <c r="AW35" i="1"/>
  <c r="AW40" i="1"/>
  <c r="AW70" i="1"/>
  <c r="U174" i="1"/>
  <c r="U232" i="1" s="1"/>
  <c r="AV184" i="1"/>
  <c r="AV242" i="1" s="1"/>
  <c r="AV185" i="1"/>
  <c r="AV243" i="1" s="1"/>
  <c r="AU186" i="1"/>
  <c r="AU244" i="1" s="1"/>
  <c r="AU102" i="1"/>
  <c r="W142" i="1"/>
  <c r="W196" i="1" s="1"/>
  <c r="W256" i="1" s="1"/>
  <c r="W139" i="1"/>
  <c r="W158" i="1" s="1"/>
  <c r="W140" i="1"/>
  <c r="W157" i="1" s="1"/>
  <c r="W152" i="1"/>
  <c r="W210" i="1" s="1"/>
  <c r="W191" i="1"/>
  <c r="W251" i="1" s="1"/>
  <c r="W253" i="1" s="1"/>
  <c r="AG24" i="1"/>
  <c r="AG34" i="1" s="1"/>
  <c r="AG40" i="1" s="1"/>
  <c r="AG63" i="1" s="1"/>
  <c r="AG56" i="1"/>
  <c r="AJ225" i="1"/>
  <c r="AN222" i="1"/>
  <c r="AG58" i="1"/>
  <c r="AJ107" i="1"/>
  <c r="AJ123" i="1" s="1"/>
  <c r="AG53" i="1"/>
  <c r="AG55" i="1"/>
  <c r="AG59" i="1"/>
  <c r="AI107" i="1"/>
  <c r="AI151" i="1" s="1"/>
  <c r="AI209" i="1" s="1"/>
  <c r="AG57" i="1"/>
  <c r="AG163" i="1"/>
  <c r="AG221" i="1" s="1"/>
  <c r="AP140" i="1"/>
  <c r="AP194" i="1" s="1"/>
  <c r="AP193" i="1"/>
  <c r="X185" i="1"/>
  <c r="X243" i="1" s="1"/>
  <c r="AP191" i="1"/>
  <c r="AP251" i="1" s="1"/>
  <c r="AP152" i="1"/>
  <c r="C606" i="3"/>
  <c r="E601" i="3" s="1"/>
  <c r="I185" i="1"/>
  <c r="I243" i="1" s="1"/>
  <c r="AO167" i="1"/>
  <c r="AO223" i="1"/>
  <c r="AO224" i="1" s="1"/>
  <c r="AR224" i="1"/>
  <c r="AN224" i="1"/>
  <c r="AN225" i="1"/>
  <c r="AQ140" i="1"/>
  <c r="AQ139" i="1"/>
  <c r="AQ191" i="1"/>
  <c r="AQ251" i="1" s="1"/>
  <c r="C566" i="3"/>
  <c r="AQ152" i="1"/>
  <c r="AQ210" i="1" s="1"/>
  <c r="C523" i="3"/>
  <c r="AR191" i="1"/>
  <c r="AR251" i="1" s="1"/>
  <c r="AR152" i="1"/>
  <c r="AR210" i="1" s="1"/>
  <c r="AR140" i="1"/>
  <c r="AR139" i="1"/>
  <c r="H184" i="1"/>
  <c r="H242" i="1" s="1"/>
  <c r="H103" i="1"/>
  <c r="AK60" i="1"/>
  <c r="AK53" i="1"/>
  <c r="U158" i="1"/>
  <c r="U253" i="1"/>
  <c r="U194" i="1"/>
  <c r="AN107" i="1"/>
  <c r="AN151" i="1" s="1"/>
  <c r="AN209" i="1" s="1"/>
  <c r="AL107" i="1"/>
  <c r="AL151" i="1" s="1"/>
  <c r="AL209" i="1" s="1"/>
  <c r="AJ167" i="1"/>
  <c r="AK56" i="1"/>
  <c r="AK59" i="1"/>
  <c r="AK163" i="1"/>
  <c r="AK167" i="1" s="1"/>
  <c r="AM107" i="1"/>
  <c r="AM66" i="1" s="1"/>
  <c r="AK57" i="1"/>
  <c r="AK58" i="1"/>
  <c r="AK55" i="1"/>
  <c r="V143" i="1"/>
  <c r="V197" i="1" s="1"/>
  <c r="V257" i="1" s="1"/>
  <c r="V142" i="1"/>
  <c r="V196" i="1" s="1"/>
  <c r="V256" i="1" s="1"/>
  <c r="V152" i="1"/>
  <c r="V210" i="1" s="1"/>
  <c r="V191" i="1"/>
  <c r="V251" i="1" s="1"/>
  <c r="V140" i="1"/>
  <c r="AK24" i="1"/>
  <c r="AK34" i="1" s="1"/>
  <c r="AK35" i="1" s="1"/>
  <c r="V169" i="1"/>
  <c r="V88" i="1"/>
  <c r="V91" i="1" s="1"/>
  <c r="AK21" i="1"/>
  <c r="V167" i="1"/>
  <c r="V223" i="1"/>
  <c r="V225" i="1" s="1"/>
  <c r="AK80" i="1"/>
  <c r="AK54" i="1"/>
  <c r="G54" i="1"/>
  <c r="H21" i="1"/>
  <c r="AJ75" i="1"/>
  <c r="AN110" i="1"/>
  <c r="C677" i="3" s="1"/>
  <c r="AK62" i="1"/>
  <c r="AK188" i="1"/>
  <c r="AK246" i="1" s="1"/>
  <c r="AF35" i="1"/>
  <c r="AH75" i="1"/>
  <c r="AF40" i="1"/>
  <c r="AK132" i="1"/>
  <c r="AK145" i="1" s="1"/>
  <c r="AK199" i="1" s="1"/>
  <c r="T65" i="1"/>
  <c r="T135" i="1"/>
  <c r="T62" i="1"/>
  <c r="T132" i="1"/>
  <c r="T188" i="1"/>
  <c r="T246" i="1" s="1"/>
  <c r="T254" i="1" s="1"/>
  <c r="T154" i="1"/>
  <c r="T140" i="1"/>
  <c r="AK140" i="1"/>
  <c r="AK194" i="1" s="1"/>
  <c r="AK135" i="1"/>
  <c r="AK65" i="1"/>
  <c r="AM110" i="1"/>
  <c r="C711" i="3" s="1"/>
  <c r="AJ77" i="1"/>
  <c r="U96" i="1"/>
  <c r="U177" i="1"/>
  <c r="U235" i="1" s="1"/>
  <c r="G142" i="1"/>
  <c r="G196" i="1" s="1"/>
  <c r="AK113" i="1"/>
  <c r="AH165" i="1"/>
  <c r="AI78" i="1"/>
  <c r="AM79" i="1" s="1"/>
  <c r="AI35" i="1"/>
  <c r="AI70" i="1"/>
  <c r="AI40" i="1"/>
  <c r="AK191" i="1"/>
  <c r="AK251" i="1" s="1"/>
  <c r="AK152" i="1"/>
  <c r="AK210" i="1" s="1"/>
  <c r="AK212" i="1"/>
  <c r="AK156" i="1"/>
  <c r="AK214" i="1" s="1"/>
  <c r="AL43" i="1"/>
  <c r="AL44" i="1" s="1"/>
  <c r="AL63" i="1"/>
  <c r="C745" i="3"/>
  <c r="D745" i="3" s="1"/>
  <c r="AL80" i="1"/>
  <c r="AL165" i="1"/>
  <c r="AL60" i="1"/>
  <c r="AL77" i="1"/>
  <c r="AJ74" i="1"/>
  <c r="AF75" i="1"/>
  <c r="AF78" i="1"/>
  <c r="G118" i="2"/>
  <c r="G98" i="2"/>
  <c r="G97" i="2"/>
  <c r="G100" i="2"/>
  <c r="G99" i="2"/>
  <c r="AL74" i="1"/>
  <c r="AH47" i="1"/>
  <c r="AH50" i="1" s="1"/>
  <c r="AH44" i="1"/>
  <c r="AH80" i="1"/>
  <c r="AH77" i="1"/>
  <c r="AH60" i="1"/>
  <c r="AL79" i="1"/>
  <c r="AJ43" i="1"/>
  <c r="G145" i="1"/>
  <c r="G199" i="1" s="1"/>
  <c r="G139" i="1"/>
  <c r="G158" i="1" s="1"/>
  <c r="G212" i="1"/>
  <c r="G156" i="1"/>
  <c r="G214" i="1" s="1"/>
  <c r="G194" i="1"/>
  <c r="G157" i="1"/>
  <c r="G91" i="1"/>
  <c r="G60" i="1"/>
  <c r="G56" i="1"/>
  <c r="G55" i="1"/>
  <c r="G80" i="1"/>
  <c r="G58" i="1"/>
  <c r="G57" i="1"/>
  <c r="G163" i="1"/>
  <c r="H164" i="1" s="1"/>
  <c r="G107" i="1"/>
  <c r="AK107" i="1" s="1"/>
  <c r="G59" i="1"/>
  <c r="G24" i="1"/>
  <c r="H25" i="1" s="1"/>
  <c r="G210" i="1"/>
  <c r="G53" i="1"/>
  <c r="G49" i="2"/>
  <c r="G123" i="2"/>
  <c r="G16" i="2"/>
  <c r="G124" i="2"/>
  <c r="G81" i="2"/>
  <c r="G20" i="2"/>
  <c r="G126" i="2"/>
  <c r="G21" i="2"/>
  <c r="G23" i="2"/>
  <c r="G128" i="2"/>
  <c r="G45" i="2"/>
  <c r="G48" i="2"/>
  <c r="G50" i="2"/>
  <c r="G121" i="2"/>
  <c r="G122" i="2"/>
  <c r="G79" i="2"/>
  <c r="G80" i="2"/>
  <c r="G125" i="2"/>
  <c r="C155" i="1"/>
  <c r="C122" i="1"/>
  <c r="C118" i="1"/>
  <c r="D100" i="1"/>
  <c r="C100" i="1"/>
  <c r="C94" i="1"/>
  <c r="C89" i="1"/>
  <c r="O78" i="1" l="1"/>
  <c r="BE73" i="1"/>
  <c r="BF109" i="1" s="1"/>
  <c r="BF108" i="1"/>
  <c r="U215" i="1"/>
  <c r="BD74" i="1"/>
  <c r="BD75" i="1"/>
  <c r="BE108" i="1"/>
  <c r="BE78" i="1"/>
  <c r="BF110" i="1" s="1"/>
  <c r="BE75" i="1"/>
  <c r="BE43" i="1"/>
  <c r="BE63" i="1"/>
  <c r="AP153" i="1"/>
  <c r="AP210" i="1"/>
  <c r="AP211" i="1" s="1"/>
  <c r="AY209" i="1"/>
  <c r="AY211" i="1" s="1"/>
  <c r="O66" i="1"/>
  <c r="O123" i="1"/>
  <c r="BD47" i="1"/>
  <c r="BD44" i="1"/>
  <c r="BC108" i="1"/>
  <c r="BD108" i="1"/>
  <c r="BD60" i="1"/>
  <c r="BD83" i="1"/>
  <c r="BD80" i="1"/>
  <c r="BD165" i="1"/>
  <c r="BD79" i="1"/>
  <c r="BD77" i="1"/>
  <c r="BD110" i="1"/>
  <c r="O70" i="1"/>
  <c r="O40" i="1"/>
  <c r="O43" i="1" s="1"/>
  <c r="O112" i="1" s="1"/>
  <c r="O35" i="1"/>
  <c r="BC211" i="1"/>
  <c r="BC153" i="1"/>
  <c r="BA73" i="1"/>
  <c r="BB108" i="1"/>
  <c r="G102" i="2"/>
  <c r="AY153" i="1"/>
  <c r="BA60" i="1"/>
  <c r="BA165" i="1"/>
  <c r="BA83" i="1"/>
  <c r="BA80" i="1"/>
  <c r="BA79" i="1"/>
  <c r="BA43" i="1"/>
  <c r="BD112" i="1" s="1"/>
  <c r="BA63" i="1"/>
  <c r="AZ211" i="1"/>
  <c r="AZ153" i="1"/>
  <c r="AY108" i="1"/>
  <c r="AZ108" i="1"/>
  <c r="AW73" i="1"/>
  <c r="AX108" i="1"/>
  <c r="AW184" i="1"/>
  <c r="AW242" i="1" s="1"/>
  <c r="AW99" i="1"/>
  <c r="AX211" i="1"/>
  <c r="AX153" i="1"/>
  <c r="AW60" i="1"/>
  <c r="AW79" i="1"/>
  <c r="AW165" i="1"/>
  <c r="AW80" i="1"/>
  <c r="AW43" i="1"/>
  <c r="AW63" i="1"/>
  <c r="W193" i="1"/>
  <c r="W153" i="1"/>
  <c r="W254" i="1"/>
  <c r="W194" i="1"/>
  <c r="AJ66" i="1"/>
  <c r="AG43" i="1"/>
  <c r="AG44" i="1" s="1"/>
  <c r="AG70" i="1"/>
  <c r="AG73" i="1" s="1"/>
  <c r="AG75" i="1" s="1"/>
  <c r="AG35" i="1"/>
  <c r="AJ151" i="1"/>
  <c r="AJ209" i="1" s="1"/>
  <c r="AI66" i="1"/>
  <c r="AI123" i="1"/>
  <c r="AP157" i="1"/>
  <c r="D606" i="3"/>
  <c r="F601" i="3" s="1"/>
  <c r="AP253" i="1"/>
  <c r="AP254" i="1"/>
  <c r="E603" i="3"/>
  <c r="AF60" i="1"/>
  <c r="AO225" i="1"/>
  <c r="AR193" i="1"/>
  <c r="AR158" i="1"/>
  <c r="AR153" i="1"/>
  <c r="AQ157" i="1"/>
  <c r="AQ194" i="1"/>
  <c r="AR254" i="1"/>
  <c r="AR253" i="1"/>
  <c r="W215" i="1"/>
  <c r="W216" i="1"/>
  <c r="W211" i="1"/>
  <c r="AQ193" i="1"/>
  <c r="AQ158" i="1"/>
  <c r="AR157" i="1"/>
  <c r="AR194" i="1"/>
  <c r="V114" i="1"/>
  <c r="W114" i="1"/>
  <c r="D523" i="3"/>
  <c r="E518" i="3"/>
  <c r="E520" i="3"/>
  <c r="D566" i="3"/>
  <c r="E561" i="3"/>
  <c r="E563" i="3"/>
  <c r="AQ153" i="1"/>
  <c r="AQ253" i="1"/>
  <c r="AQ254" i="1"/>
  <c r="AL166" i="1"/>
  <c r="AP166" i="1"/>
  <c r="AN123" i="1"/>
  <c r="AK221" i="1"/>
  <c r="AN66" i="1"/>
  <c r="AM151" i="1"/>
  <c r="AM209" i="1" s="1"/>
  <c r="AK70" i="1"/>
  <c r="AL108" i="1" s="1"/>
  <c r="AL123" i="1"/>
  <c r="AK40" i="1"/>
  <c r="AK63" i="1" s="1"/>
  <c r="AL66" i="1"/>
  <c r="AK189" i="1"/>
  <c r="AK247" i="1" s="1"/>
  <c r="AM123" i="1"/>
  <c r="V193" i="1"/>
  <c r="V158" i="1"/>
  <c r="V157" i="1"/>
  <c r="V194" i="1"/>
  <c r="V254" i="1"/>
  <c r="V253" i="1"/>
  <c r="V153" i="1"/>
  <c r="V177" i="1"/>
  <c r="V235" i="1" s="1"/>
  <c r="V96" i="1"/>
  <c r="V227" i="1"/>
  <c r="V174" i="1"/>
  <c r="V232" i="1" s="1"/>
  <c r="AK139" i="1"/>
  <c r="AK158" i="1" s="1"/>
  <c r="AK157" i="1"/>
  <c r="D677" i="3"/>
  <c r="E672" i="3"/>
  <c r="E674" i="3"/>
  <c r="AN191" i="1"/>
  <c r="AN251" i="1" s="1"/>
  <c r="AN152" i="1"/>
  <c r="AN210" i="1" s="1"/>
  <c r="AN140" i="1"/>
  <c r="AN139" i="1"/>
  <c r="AK254" i="1"/>
  <c r="AF63" i="1"/>
  <c r="AF43" i="1"/>
  <c r="T189" i="1"/>
  <c r="T247" i="1" s="1"/>
  <c r="T145" i="1"/>
  <c r="T199" i="1" s="1"/>
  <c r="T139" i="1"/>
  <c r="D711" i="3"/>
  <c r="E706" i="3"/>
  <c r="E708" i="3"/>
  <c r="AM152" i="1"/>
  <c r="AM210" i="1" s="1"/>
  <c r="AM191" i="1"/>
  <c r="AM251" i="1" s="1"/>
  <c r="AM253" i="1" s="1"/>
  <c r="T156" i="1"/>
  <c r="T214" i="1" s="1"/>
  <c r="T216" i="1" s="1"/>
  <c r="T212" i="1"/>
  <c r="T215" i="1" s="1"/>
  <c r="AL47" i="1"/>
  <c r="AL50" i="1" s="1"/>
  <c r="AM139" i="1"/>
  <c r="AM158" i="1" s="1"/>
  <c r="AM140" i="1"/>
  <c r="AM157" i="1" s="1"/>
  <c r="T157" i="1"/>
  <c r="T194" i="1"/>
  <c r="AJ79" i="1"/>
  <c r="AF80" i="1"/>
  <c r="AF77" i="1"/>
  <c r="U97" i="1"/>
  <c r="U182" i="1"/>
  <c r="U240" i="1" s="1"/>
  <c r="AL223" i="1"/>
  <c r="AL167" i="1"/>
  <c r="AI165" i="1"/>
  <c r="AM166" i="1" s="1"/>
  <c r="AL110" i="1"/>
  <c r="AI80" i="1"/>
  <c r="AI60" i="1"/>
  <c r="AK151" i="1"/>
  <c r="AK209" i="1" s="1"/>
  <c r="AK66" i="1"/>
  <c r="AK123" i="1"/>
  <c r="AI43" i="1"/>
  <c r="AI63" i="1"/>
  <c r="AH223" i="1"/>
  <c r="AH225" i="1" s="1"/>
  <c r="AH167" i="1"/>
  <c r="AI73" i="1"/>
  <c r="AF165" i="1"/>
  <c r="AJ166" i="1" s="1"/>
  <c r="AG78" i="1"/>
  <c r="G133" i="2"/>
  <c r="G25" i="2"/>
  <c r="AJ47" i="1"/>
  <c r="AJ50" i="1" s="1"/>
  <c r="AJ44" i="1"/>
  <c r="G193" i="1"/>
  <c r="G216" i="1"/>
  <c r="G167" i="1"/>
  <c r="G221" i="1"/>
  <c r="H222" i="1" s="1"/>
  <c r="G177" i="1"/>
  <c r="G235" i="1" s="1"/>
  <c r="G114" i="1"/>
  <c r="AK114" i="1" s="1"/>
  <c r="G96" i="1"/>
  <c r="G97" i="1" s="1"/>
  <c r="G34" i="1"/>
  <c r="G151" i="1"/>
  <c r="G66" i="1"/>
  <c r="G123" i="1"/>
  <c r="G215" i="1"/>
  <c r="G54" i="2"/>
  <c r="G85" i="2"/>
  <c r="C88" i="2"/>
  <c r="C93" i="2" s="1"/>
  <c r="C61" i="1"/>
  <c r="C22" i="1"/>
  <c r="C71" i="1" s="1"/>
  <c r="C21" i="3" l="1"/>
  <c r="BF142" i="1"/>
  <c r="BF196" i="1" s="1"/>
  <c r="BF143" i="1"/>
  <c r="BF197" i="1" s="1"/>
  <c r="BF139" i="1"/>
  <c r="BF191" i="1"/>
  <c r="BF140" i="1"/>
  <c r="BF152" i="1"/>
  <c r="BA75" i="1"/>
  <c r="BA109" i="1"/>
  <c r="BE109" i="1"/>
  <c r="BE112" i="1"/>
  <c r="BF112" i="1"/>
  <c r="BE110" i="1"/>
  <c r="C57" i="3" s="1"/>
  <c r="O80" i="1"/>
  <c r="BE74" i="1"/>
  <c r="BE47" i="1"/>
  <c r="BE44" i="1"/>
  <c r="BE83" i="1"/>
  <c r="BE165" i="1"/>
  <c r="BE79" i="1"/>
  <c r="BE80" i="1"/>
  <c r="BE60" i="1"/>
  <c r="BE77" i="1"/>
  <c r="BA74" i="1"/>
  <c r="BD143" i="1"/>
  <c r="BD197" i="1" s="1"/>
  <c r="BD142" i="1"/>
  <c r="BD196" i="1" s="1"/>
  <c r="C126" i="3"/>
  <c r="BD50" i="1"/>
  <c r="BD169" i="1"/>
  <c r="BD88" i="1"/>
  <c r="BD91" i="1" s="1"/>
  <c r="BD152" i="1"/>
  <c r="BD210" i="1" s="1"/>
  <c r="BD191" i="1"/>
  <c r="BD140" i="1"/>
  <c r="BD139" i="1"/>
  <c r="BC109" i="1"/>
  <c r="BD109" i="1"/>
  <c r="O63" i="1"/>
  <c r="BD167" i="1"/>
  <c r="BD166" i="1"/>
  <c r="BD223" i="1"/>
  <c r="O44" i="1"/>
  <c r="BB112" i="1"/>
  <c r="BC112" i="1"/>
  <c r="O73" i="1"/>
  <c r="O108" i="1"/>
  <c r="BA77" i="1"/>
  <c r="BB109" i="1"/>
  <c r="AK253" i="1"/>
  <c r="AK259" i="1"/>
  <c r="T253" i="1"/>
  <c r="T259" i="1"/>
  <c r="BA88" i="1"/>
  <c r="BA169" i="1"/>
  <c r="BA166" i="1"/>
  <c r="BA167" i="1"/>
  <c r="BA223" i="1"/>
  <c r="BA47" i="1"/>
  <c r="BA50" i="1" s="1"/>
  <c r="BA44" i="1"/>
  <c r="AW75" i="1"/>
  <c r="AZ109" i="1"/>
  <c r="AZ112" i="1"/>
  <c r="AY112" i="1"/>
  <c r="AW77" i="1"/>
  <c r="AX112" i="1"/>
  <c r="AX109" i="1"/>
  <c r="AY109" i="1"/>
  <c r="AW100" i="1"/>
  <c r="AW185" i="1"/>
  <c r="AW243" i="1" s="1"/>
  <c r="O110" i="1"/>
  <c r="O139" i="1" s="1"/>
  <c r="O165" i="1"/>
  <c r="O60" i="1"/>
  <c r="AW223" i="1"/>
  <c r="AW167" i="1"/>
  <c r="AW47" i="1"/>
  <c r="AW50" i="1" s="1"/>
  <c r="AW44" i="1"/>
  <c r="AI108" i="1"/>
  <c r="AG47" i="1"/>
  <c r="AG50" i="1" s="1"/>
  <c r="AJ112" i="1"/>
  <c r="AJ108" i="1"/>
  <c r="AV186" i="1"/>
  <c r="AV244" i="1" s="1"/>
  <c r="AV102" i="1"/>
  <c r="AK225" i="1"/>
  <c r="AO222" i="1"/>
  <c r="F603" i="3"/>
  <c r="AP216" i="1"/>
  <c r="AP215" i="1"/>
  <c r="AS165" i="1"/>
  <c r="AW166" i="1" s="1"/>
  <c r="AS79" i="1"/>
  <c r="F561" i="3"/>
  <c r="F563" i="3"/>
  <c r="F518" i="3"/>
  <c r="F520" i="3"/>
  <c r="AR215" i="1"/>
  <c r="AR211" i="1"/>
  <c r="AR216" i="1"/>
  <c r="AQ215" i="1"/>
  <c r="AQ216" i="1"/>
  <c r="AQ211" i="1"/>
  <c r="AL225" i="1"/>
  <c r="AL224" i="1"/>
  <c r="AP224" i="1"/>
  <c r="AM74" i="1"/>
  <c r="AK43" i="1"/>
  <c r="AM112" i="1" s="1"/>
  <c r="AK73" i="1"/>
  <c r="AO74" i="1" s="1"/>
  <c r="AN108" i="1"/>
  <c r="AM108" i="1"/>
  <c r="AK193" i="1"/>
  <c r="V211" i="1"/>
  <c r="V215" i="1"/>
  <c r="V216" i="1"/>
  <c r="U103" i="1"/>
  <c r="V97" i="1"/>
  <c r="V184" i="1" s="1"/>
  <c r="V242" i="1" s="1"/>
  <c r="V182" i="1"/>
  <c r="V240" i="1" s="1"/>
  <c r="AM153" i="1"/>
  <c r="F672" i="3"/>
  <c r="F674" i="3"/>
  <c r="AN193" i="1"/>
  <c r="AN158" i="1"/>
  <c r="AN194" i="1"/>
  <c r="AN157" i="1"/>
  <c r="AN153" i="1"/>
  <c r="AN254" i="1"/>
  <c r="AN253" i="1"/>
  <c r="AM193" i="1"/>
  <c r="AM194" i="1"/>
  <c r="AF44" i="1"/>
  <c r="AF47" i="1"/>
  <c r="AF50" i="1" s="1"/>
  <c r="F706" i="3"/>
  <c r="F708" i="3"/>
  <c r="AM254" i="1"/>
  <c r="T158" i="1"/>
  <c r="T193" i="1"/>
  <c r="G103" i="1"/>
  <c r="AM215" i="1"/>
  <c r="AM216" i="1"/>
  <c r="AM211" i="1"/>
  <c r="AI112" i="1"/>
  <c r="AI110" i="1"/>
  <c r="AI191" i="1" s="1"/>
  <c r="AI251" i="1" s="1"/>
  <c r="U99" i="1"/>
  <c r="U184" i="1"/>
  <c r="U242" i="1" s="1"/>
  <c r="AK211" i="1"/>
  <c r="AI77" i="1"/>
  <c r="AI109" i="1"/>
  <c r="AK153" i="1"/>
  <c r="AK215" i="1"/>
  <c r="AI75" i="1"/>
  <c r="C746" i="3"/>
  <c r="AL191" i="1"/>
  <c r="AL251" i="1" s="1"/>
  <c r="AL152" i="1"/>
  <c r="AL210" i="1" s="1"/>
  <c r="AL140" i="1"/>
  <c r="AL139" i="1"/>
  <c r="AJ109" i="1"/>
  <c r="AK216" i="1"/>
  <c r="AI44" i="1"/>
  <c r="AI47" i="1"/>
  <c r="AI50" i="1" s="1"/>
  <c r="AI223" i="1"/>
  <c r="AI167" i="1"/>
  <c r="AJ110" i="1"/>
  <c r="AG165" i="1"/>
  <c r="AK166" i="1" s="1"/>
  <c r="AK79" i="1"/>
  <c r="AG77" i="1"/>
  <c r="AG80" i="1"/>
  <c r="AG60" i="1"/>
  <c r="AF223" i="1"/>
  <c r="AF167" i="1"/>
  <c r="G182" i="1"/>
  <c r="G240" i="1" s="1"/>
  <c r="G99" i="1"/>
  <c r="G40" i="1"/>
  <c r="G35" i="1"/>
  <c r="G70" i="1"/>
  <c r="G209" i="1"/>
  <c r="G211" i="1" s="1"/>
  <c r="G153" i="1"/>
  <c r="G225" i="1"/>
  <c r="BF210" i="1" l="1"/>
  <c r="BF153" i="1"/>
  <c r="E54" i="3"/>
  <c r="E52" i="3"/>
  <c r="D57" i="3"/>
  <c r="BF194" i="1"/>
  <c r="BF157" i="1"/>
  <c r="BF193" i="1"/>
  <c r="BF158" i="1"/>
  <c r="O83" i="1"/>
  <c r="O88" i="1" s="1"/>
  <c r="BF251" i="1"/>
  <c r="D21" i="3"/>
  <c r="E16" i="3"/>
  <c r="E18" i="3"/>
  <c r="BE50" i="1"/>
  <c r="O47" i="1"/>
  <c r="O50" i="1" s="1"/>
  <c r="BE191" i="1"/>
  <c r="BE142" i="1"/>
  <c r="BE196" i="1" s="1"/>
  <c r="BE152" i="1"/>
  <c r="BE143" i="1"/>
  <c r="BE197" i="1" s="1"/>
  <c r="BE140" i="1"/>
  <c r="BE139" i="1"/>
  <c r="AD77" i="1"/>
  <c r="AD79" i="1"/>
  <c r="AD165" i="1"/>
  <c r="AD83" i="1"/>
  <c r="AD60" i="1"/>
  <c r="AD80" i="1"/>
  <c r="AD110" i="1"/>
  <c r="BE223" i="1"/>
  <c r="BE251" i="1" s="1"/>
  <c r="BE167" i="1"/>
  <c r="BE166" i="1"/>
  <c r="BE169" i="1"/>
  <c r="BE88" i="1"/>
  <c r="AZ251" i="1"/>
  <c r="AX251" i="1"/>
  <c r="AY251" i="1"/>
  <c r="BC251" i="1"/>
  <c r="BB251" i="1"/>
  <c r="BA251" i="1"/>
  <c r="BD251" i="1"/>
  <c r="BD257" i="1" s="1"/>
  <c r="D126" i="3"/>
  <c r="E121" i="3"/>
  <c r="E123" i="3"/>
  <c r="BD193" i="1"/>
  <c r="BD158" i="1"/>
  <c r="BD157" i="1"/>
  <c r="BD194" i="1"/>
  <c r="BD225" i="1"/>
  <c r="BD224" i="1"/>
  <c r="BD153" i="1"/>
  <c r="BD177" i="1"/>
  <c r="BD235" i="1" s="1"/>
  <c r="BD96" i="1"/>
  <c r="BD97" i="1" s="1"/>
  <c r="BD227" i="1"/>
  <c r="BD174" i="1"/>
  <c r="BD232" i="1" s="1"/>
  <c r="O75" i="1"/>
  <c r="O109" i="1"/>
  <c r="O77" i="1"/>
  <c r="BA225" i="1"/>
  <c r="BA224" i="1"/>
  <c r="BA174" i="1"/>
  <c r="BA232" i="1" s="1"/>
  <c r="BA227" i="1"/>
  <c r="O142" i="1"/>
  <c r="O196" i="1" s="1"/>
  <c r="O143" i="1"/>
  <c r="O197" i="1" s="1"/>
  <c r="AW186" i="1"/>
  <c r="AW244" i="1" s="1"/>
  <c r="AW102" i="1"/>
  <c r="AW225" i="1"/>
  <c r="O223" i="1"/>
  <c r="O225" i="1" s="1"/>
  <c r="O167" i="1"/>
  <c r="O140" i="1"/>
  <c r="O152" i="1"/>
  <c r="O210" i="1" s="1"/>
  <c r="O191" i="1"/>
  <c r="AS223" i="1"/>
  <c r="AW224" i="1" s="1"/>
  <c r="AS166" i="1"/>
  <c r="AF225" i="1"/>
  <c r="AJ224" i="1"/>
  <c r="AI225" i="1"/>
  <c r="AM224" i="1"/>
  <c r="AL109" i="1"/>
  <c r="AL112" i="1"/>
  <c r="AK47" i="1"/>
  <c r="AK50" i="1" s="1"/>
  <c r="AK75" i="1"/>
  <c r="AK44" i="1"/>
  <c r="AK74" i="1"/>
  <c r="AN112" i="1"/>
  <c r="AK77" i="1"/>
  <c r="AN109" i="1"/>
  <c r="AM109" i="1"/>
  <c r="V99" i="1"/>
  <c r="V185" i="1" s="1"/>
  <c r="V243" i="1" s="1"/>
  <c r="AI139" i="1"/>
  <c r="AI158" i="1" s="1"/>
  <c r="AN216" i="1"/>
  <c r="AN215" i="1"/>
  <c r="AN211" i="1"/>
  <c r="U185" i="1"/>
  <c r="U243" i="1" s="1"/>
  <c r="AI140" i="1"/>
  <c r="AI157" i="1" s="1"/>
  <c r="AI152" i="1"/>
  <c r="AI210" i="1" s="1"/>
  <c r="AL157" i="1"/>
  <c r="AL194" i="1"/>
  <c r="AL153" i="1"/>
  <c r="AL254" i="1"/>
  <c r="AL253" i="1"/>
  <c r="AL158" i="1"/>
  <c r="AL193" i="1"/>
  <c r="D746" i="3"/>
  <c r="E741" i="3"/>
  <c r="E743" i="3"/>
  <c r="AG223" i="1"/>
  <c r="AG167" i="1"/>
  <c r="AJ191" i="1"/>
  <c r="AJ251" i="1" s="1"/>
  <c r="AJ152" i="1"/>
  <c r="AJ210" i="1" s="1"/>
  <c r="AJ140" i="1"/>
  <c r="AJ139" i="1"/>
  <c r="AI253" i="1"/>
  <c r="AI254" i="1"/>
  <c r="G108" i="1"/>
  <c r="AK108" i="1" s="1"/>
  <c r="G73" i="1"/>
  <c r="H74" i="1" s="1"/>
  <c r="G43" i="1"/>
  <c r="G63" i="1"/>
  <c r="G76" i="2"/>
  <c r="G185" i="1"/>
  <c r="G243" i="1" s="1"/>
  <c r="G184" i="1"/>
  <c r="G242" i="1" s="1"/>
  <c r="F117" i="2"/>
  <c r="E117" i="2"/>
  <c r="D117" i="2"/>
  <c r="F94" i="2"/>
  <c r="E94" i="2"/>
  <c r="D88" i="2"/>
  <c r="F74" i="2"/>
  <c r="F81" i="2" s="1"/>
  <c r="E74" i="2"/>
  <c r="E83" i="2" s="1"/>
  <c r="F44" i="2"/>
  <c r="E44" i="2"/>
  <c r="E45" i="2" s="1"/>
  <c r="F15" i="2"/>
  <c r="E15" i="2"/>
  <c r="E23" i="2" s="1"/>
  <c r="P112" i="2"/>
  <c r="R143" i="2" s="1"/>
  <c r="P111" i="2"/>
  <c r="R142" i="2" s="1"/>
  <c r="P110" i="2"/>
  <c r="R141" i="2" s="1"/>
  <c r="P109" i="2"/>
  <c r="R140" i="2" s="1"/>
  <c r="P108" i="2"/>
  <c r="R139" i="2" s="1"/>
  <c r="P107" i="2"/>
  <c r="R138" i="2" s="1"/>
  <c r="P106" i="2"/>
  <c r="R137" i="2" s="1"/>
  <c r="P105" i="2"/>
  <c r="R136" i="2" s="1"/>
  <c r="P91" i="2"/>
  <c r="P90" i="2"/>
  <c r="P89" i="2"/>
  <c r="P88" i="2"/>
  <c r="P71" i="2"/>
  <c r="P69" i="2"/>
  <c r="P68" i="2"/>
  <c r="P67" i="2"/>
  <c r="P42" i="2"/>
  <c r="R61" i="2" s="1"/>
  <c r="P40" i="2"/>
  <c r="R59" i="2" s="1"/>
  <c r="P39" i="2"/>
  <c r="R58" i="2" s="1"/>
  <c r="P38" i="2"/>
  <c r="R57" i="2" s="1"/>
  <c r="P13" i="2"/>
  <c r="R32" i="2" s="1"/>
  <c r="P11" i="2"/>
  <c r="R30" i="2" s="1"/>
  <c r="P10" i="2"/>
  <c r="R29" i="2" s="1"/>
  <c r="P9" i="2"/>
  <c r="R28" i="2" s="1"/>
  <c r="O117" i="2"/>
  <c r="O128" i="2" s="1"/>
  <c r="O93" i="2"/>
  <c r="O99" i="2" s="1"/>
  <c r="O74" i="2"/>
  <c r="O80" i="2" s="1"/>
  <c r="O44" i="2"/>
  <c r="O48" i="2" s="1"/>
  <c r="O15" i="2"/>
  <c r="O23" i="2" s="1"/>
  <c r="F54" i="3" l="1"/>
  <c r="F52" i="3"/>
  <c r="O169" i="1"/>
  <c r="O174" i="1" s="1"/>
  <c r="BF257" i="1"/>
  <c r="BF254" i="1"/>
  <c r="BF253" i="1"/>
  <c r="BF211" i="1"/>
  <c r="BF215" i="1"/>
  <c r="BF216" i="1"/>
  <c r="F16" i="3"/>
  <c r="F18" i="3"/>
  <c r="O97" i="1"/>
  <c r="F118" i="2"/>
  <c r="F148" i="2"/>
  <c r="G148" i="2"/>
  <c r="D118" i="2"/>
  <c r="E118" i="2"/>
  <c r="E148" i="2"/>
  <c r="F45" i="2"/>
  <c r="F63" i="2"/>
  <c r="G63" i="2"/>
  <c r="F20" i="2"/>
  <c r="F34" i="2"/>
  <c r="G34" i="2"/>
  <c r="BD254" i="1"/>
  <c r="BE97" i="1"/>
  <c r="BE158" i="1"/>
  <c r="BE193" i="1"/>
  <c r="BE157" i="1"/>
  <c r="BE194" i="1"/>
  <c r="BE210" i="1"/>
  <c r="BE153" i="1"/>
  <c r="AD143" i="1"/>
  <c r="AD197" i="1" s="1"/>
  <c r="AD257" i="1" s="1"/>
  <c r="AD191" i="1"/>
  <c r="AD251" i="1" s="1"/>
  <c r="AD142" i="1"/>
  <c r="AD196" i="1" s="1"/>
  <c r="AD256" i="1" s="1"/>
  <c r="AD152" i="1"/>
  <c r="AD140" i="1"/>
  <c r="AD139" i="1"/>
  <c r="AD88" i="1"/>
  <c r="AD91" i="1" s="1"/>
  <c r="AD169" i="1"/>
  <c r="AD223" i="1"/>
  <c r="AD225" i="1" s="1"/>
  <c r="AD167" i="1"/>
  <c r="BE174" i="1"/>
  <c r="BE232" i="1" s="1"/>
  <c r="BE227" i="1"/>
  <c r="BE253" i="1"/>
  <c r="BE257" i="1"/>
  <c r="BE254" i="1"/>
  <c r="BE225" i="1"/>
  <c r="BE224" i="1"/>
  <c r="AZ256" i="1"/>
  <c r="AZ257" i="1"/>
  <c r="AZ254" i="1"/>
  <c r="AZ253" i="1"/>
  <c r="BD253" i="1"/>
  <c r="BA257" i="1"/>
  <c r="BA254" i="1"/>
  <c r="BA253" i="1"/>
  <c r="BC257" i="1"/>
  <c r="BC253" i="1"/>
  <c r="BC254" i="1"/>
  <c r="AY257" i="1"/>
  <c r="AY256" i="1"/>
  <c r="AY253" i="1"/>
  <c r="AY254" i="1"/>
  <c r="BB257" i="1"/>
  <c r="BB253" i="1"/>
  <c r="BB254" i="1"/>
  <c r="AX257" i="1"/>
  <c r="AX256" i="1"/>
  <c r="AX254" i="1"/>
  <c r="AX253" i="1"/>
  <c r="F121" i="3"/>
  <c r="F123" i="3"/>
  <c r="BD182" i="1"/>
  <c r="BD240" i="1" s="1"/>
  <c r="BD211" i="1"/>
  <c r="BD215" i="1"/>
  <c r="BD216" i="1"/>
  <c r="D93" i="2"/>
  <c r="D94" i="2" s="1"/>
  <c r="O232" i="1"/>
  <c r="O227" i="1"/>
  <c r="O158" i="1"/>
  <c r="O193" i="1"/>
  <c r="O251" i="1"/>
  <c r="O254" i="1" s="1"/>
  <c r="O153" i="1"/>
  <c r="O194" i="1"/>
  <c r="O157" i="1"/>
  <c r="AS224" i="1"/>
  <c r="AG225" i="1"/>
  <c r="AK224" i="1"/>
  <c r="AI193" i="1"/>
  <c r="AI194" i="1"/>
  <c r="O94" i="2"/>
  <c r="E97" i="2"/>
  <c r="E100" i="2"/>
  <c r="D125" i="2"/>
  <c r="O100" i="2"/>
  <c r="E48" i="2"/>
  <c r="F126" i="2"/>
  <c r="AI153" i="1"/>
  <c r="E19" i="2"/>
  <c r="F48" i="2"/>
  <c r="D121" i="2"/>
  <c r="O49" i="2"/>
  <c r="F50" i="2"/>
  <c r="E121" i="2"/>
  <c r="E122" i="2"/>
  <c r="O45" i="2"/>
  <c r="E21" i="2"/>
  <c r="E125" i="2"/>
  <c r="E50" i="2"/>
  <c r="E126" i="2"/>
  <c r="AL211" i="1"/>
  <c r="AL215" i="1"/>
  <c r="AL216" i="1"/>
  <c r="AI211" i="1"/>
  <c r="AI216" i="1"/>
  <c r="AI215" i="1"/>
  <c r="AJ193" i="1"/>
  <c r="AJ158" i="1"/>
  <c r="AJ194" i="1"/>
  <c r="AJ157" i="1"/>
  <c r="AJ153" i="1"/>
  <c r="AJ254" i="1"/>
  <c r="AJ253" i="1"/>
  <c r="F121" i="2"/>
  <c r="F122" i="2"/>
  <c r="F125" i="2"/>
  <c r="G112" i="1"/>
  <c r="AK112" i="1" s="1"/>
  <c r="G44" i="1"/>
  <c r="G47" i="1"/>
  <c r="G50" i="1" s="1"/>
  <c r="G77" i="1"/>
  <c r="G109" i="1"/>
  <c r="AK109" i="1" s="1"/>
  <c r="G75" i="1"/>
  <c r="F23" i="2"/>
  <c r="O121" i="2"/>
  <c r="O118" i="2"/>
  <c r="F19" i="2"/>
  <c r="F21" i="2"/>
  <c r="E49" i="2"/>
  <c r="E52" i="2"/>
  <c r="E79" i="2"/>
  <c r="E81" i="2"/>
  <c r="F98" i="2"/>
  <c r="E98" i="2"/>
  <c r="F123" i="2"/>
  <c r="F127" i="2"/>
  <c r="E123" i="2"/>
  <c r="E127" i="2"/>
  <c r="D123" i="2"/>
  <c r="D127" i="2"/>
  <c r="P93" i="2"/>
  <c r="P100" i="2" s="1"/>
  <c r="E80" i="2"/>
  <c r="F100" i="2"/>
  <c r="F80" i="2"/>
  <c r="F83" i="2"/>
  <c r="F97" i="2"/>
  <c r="D122" i="2"/>
  <c r="D126" i="2"/>
  <c r="O19" i="2"/>
  <c r="O98" i="2"/>
  <c r="O125" i="2"/>
  <c r="E20" i="2"/>
  <c r="F49" i="2"/>
  <c r="F52" i="2"/>
  <c r="F79" i="2"/>
  <c r="F99" i="2"/>
  <c r="E99" i="2"/>
  <c r="F124" i="2"/>
  <c r="F128" i="2"/>
  <c r="E124" i="2"/>
  <c r="E128" i="2"/>
  <c r="D124" i="2"/>
  <c r="D128" i="2"/>
  <c r="P74" i="2"/>
  <c r="P80" i="2" s="1"/>
  <c r="P44" i="2"/>
  <c r="R63" i="2" s="1"/>
  <c r="P15" i="2"/>
  <c r="R34" i="2" s="1"/>
  <c r="P117" i="2"/>
  <c r="O81" i="2"/>
  <c r="O20" i="2"/>
  <c r="O50" i="2"/>
  <c r="O83" i="2"/>
  <c r="O97" i="2"/>
  <c r="O122" i="2"/>
  <c r="O126" i="2"/>
  <c r="O21" i="2"/>
  <c r="O52" i="2"/>
  <c r="O79" i="2"/>
  <c r="O123" i="2"/>
  <c r="O127" i="2"/>
  <c r="O124" i="2"/>
  <c r="P125" i="2" l="1"/>
  <c r="R148" i="2"/>
  <c r="BE211" i="1"/>
  <c r="BE216" i="1"/>
  <c r="BE215" i="1"/>
  <c r="AD227" i="1"/>
  <c r="AD174" i="1"/>
  <c r="AD232" i="1" s="1"/>
  <c r="AD177" i="1"/>
  <c r="AD235" i="1" s="1"/>
  <c r="AD96" i="1"/>
  <c r="AD114" i="1"/>
  <c r="AD158" i="1"/>
  <c r="AD193" i="1"/>
  <c r="AD157" i="1"/>
  <c r="AD194" i="1"/>
  <c r="AD210" i="1"/>
  <c r="AD153" i="1"/>
  <c r="AD254" i="1"/>
  <c r="AD253" i="1"/>
  <c r="BD184" i="1"/>
  <c r="BD242" i="1" s="1"/>
  <c r="AD184" i="1"/>
  <c r="AD242" i="1" s="1"/>
  <c r="BD99" i="1"/>
  <c r="BD185" i="1" s="1"/>
  <c r="BD243" i="1" s="1"/>
  <c r="D98" i="2"/>
  <c r="D99" i="2"/>
  <c r="D97" i="2"/>
  <c r="D100" i="2"/>
  <c r="F102" i="2"/>
  <c r="E102" i="2"/>
  <c r="O253" i="1"/>
  <c r="O257" i="1"/>
  <c r="O256" i="1"/>
  <c r="O215" i="1"/>
  <c r="O216" i="1"/>
  <c r="O211" i="1"/>
  <c r="E25" i="2"/>
  <c r="O25" i="2"/>
  <c r="P79" i="2"/>
  <c r="AJ211" i="1"/>
  <c r="AJ215" i="1"/>
  <c r="AJ216" i="1"/>
  <c r="F133" i="2"/>
  <c r="O133" i="2"/>
  <c r="O102" i="2"/>
  <c r="P99" i="2"/>
  <c r="F54" i="2"/>
  <c r="E54" i="2"/>
  <c r="E133" i="2"/>
  <c r="D133" i="2"/>
  <c r="F85" i="2"/>
  <c r="P97" i="2"/>
  <c r="O54" i="2"/>
  <c r="P98" i="2"/>
  <c r="E85" i="2"/>
  <c r="F25" i="2"/>
  <c r="P83" i="2"/>
  <c r="P81" i="2"/>
  <c r="P48" i="2"/>
  <c r="P49" i="2"/>
  <c r="P19" i="2"/>
  <c r="P23" i="2"/>
  <c r="P127" i="2"/>
  <c r="P123" i="2"/>
  <c r="P126" i="2"/>
  <c r="P122" i="2"/>
  <c r="P121" i="2"/>
  <c r="P21" i="2"/>
  <c r="P20" i="2"/>
  <c r="P128" i="2"/>
  <c r="P52" i="2"/>
  <c r="P50" i="2"/>
  <c r="P124" i="2"/>
  <c r="O85" i="2"/>
  <c r="AD99" i="1" l="1"/>
  <c r="AD185" i="1" s="1"/>
  <c r="AD243" i="1" s="1"/>
  <c r="AD182" i="1"/>
  <c r="AD240" i="1" s="1"/>
  <c r="AD211" i="1"/>
  <c r="AD215" i="1"/>
  <c r="AD216" i="1"/>
  <c r="O184" i="1"/>
  <c r="O242" i="1" s="1"/>
  <c r="D102" i="2"/>
  <c r="P102" i="2"/>
  <c r="P85" i="2"/>
  <c r="P133" i="2"/>
  <c r="P54" i="2"/>
  <c r="P25" i="2"/>
  <c r="F110" i="1" l="1"/>
  <c r="AG110" i="1" s="1"/>
  <c r="B786" i="3"/>
  <c r="B787" i="3" s="1"/>
  <c r="B788" i="3" s="1"/>
  <c r="B789" i="3" s="1"/>
  <c r="B790" i="3" s="1"/>
  <c r="B791" i="3" s="1"/>
  <c r="B792" i="3" s="1"/>
  <c r="B793" i="3" s="1"/>
  <c r="B794" i="3" s="1"/>
  <c r="B795" i="3" s="1"/>
  <c r="J768" i="3"/>
  <c r="C779" i="3"/>
  <c r="J779" i="3" s="1"/>
  <c r="C777" i="3"/>
  <c r="J777" i="3" s="1"/>
  <c r="C774" i="3"/>
  <c r="J774" i="3" s="1"/>
  <c r="C773" i="3"/>
  <c r="J773" i="3" s="1"/>
  <c r="F61" i="1"/>
  <c r="E61" i="1"/>
  <c r="D61" i="1"/>
  <c r="S61" i="1"/>
  <c r="AG152" i="1" l="1"/>
  <c r="AG191" i="1"/>
  <c r="AG140" i="1"/>
  <c r="AG139" i="1"/>
  <c r="D788" i="3"/>
  <c r="D765" i="3"/>
  <c r="D793" i="3"/>
  <c r="D789" i="3"/>
  <c r="D791" i="3"/>
  <c r="D787" i="3"/>
  <c r="D794" i="3"/>
  <c r="D790" i="3"/>
  <c r="D786" i="3"/>
  <c r="D792" i="3"/>
  <c r="K676" i="3"/>
  <c r="K674" i="3"/>
  <c r="D800" i="3"/>
  <c r="J776" i="3"/>
  <c r="D802" i="3"/>
  <c r="K672" i="3"/>
  <c r="D801" i="3"/>
  <c r="D803" i="3"/>
  <c r="C776" i="3"/>
  <c r="C804" i="3" s="1"/>
  <c r="C805" i="3" s="1"/>
  <c r="S173" i="1"/>
  <c r="S231" i="1" s="1"/>
  <c r="Q173" i="1"/>
  <c r="Q231" i="1" s="1"/>
  <c r="F173" i="1"/>
  <c r="F231" i="1" s="1"/>
  <c r="E173" i="1"/>
  <c r="E231" i="1" s="1"/>
  <c r="D173" i="1"/>
  <c r="D231" i="1" s="1"/>
  <c r="C173" i="1"/>
  <c r="C231" i="1" s="1"/>
  <c r="B173" i="1"/>
  <c r="B231" i="1" s="1"/>
  <c r="D155" i="1"/>
  <c r="E155" i="1"/>
  <c r="F155" i="1"/>
  <c r="S155" i="1"/>
  <c r="D111" i="1"/>
  <c r="E111" i="1"/>
  <c r="E110" i="1"/>
  <c r="E152" i="1" s="1"/>
  <c r="AG158" i="1" l="1"/>
  <c r="AG193" i="1"/>
  <c r="AG194" i="1"/>
  <c r="AG157" i="1"/>
  <c r="AG210" i="1"/>
  <c r="D757" i="3"/>
  <c r="D741" i="3"/>
  <c r="D804" i="3"/>
  <c r="R134" i="1"/>
  <c r="R130" i="1"/>
  <c r="R155" i="1" s="1"/>
  <c r="R127" i="1"/>
  <c r="R126" i="1"/>
  <c r="R120" i="1"/>
  <c r="D122" i="1"/>
  <c r="D118" i="1"/>
  <c r="E128" i="1"/>
  <c r="E118" i="1"/>
  <c r="F128" i="1"/>
  <c r="E122" i="1"/>
  <c r="F122" i="1"/>
  <c r="F71" i="1"/>
  <c r="E71" i="1"/>
  <c r="Q71" i="1"/>
  <c r="S71" i="1"/>
  <c r="D94" i="1"/>
  <c r="D89" i="1"/>
  <c r="D113" i="1" s="1"/>
  <c r="E95" i="1"/>
  <c r="E94" i="1"/>
  <c r="E89" i="1"/>
  <c r="F95" i="1"/>
  <c r="F94" i="1"/>
  <c r="Q95" i="1"/>
  <c r="Q94" i="1"/>
  <c r="Q89" i="1"/>
  <c r="Q117" i="2"/>
  <c r="C117" i="2"/>
  <c r="D148" i="2" s="1"/>
  <c r="Q93" i="2"/>
  <c r="Q97" i="2" s="1"/>
  <c r="Q74" i="2"/>
  <c r="Q79" i="2" s="1"/>
  <c r="D74" i="2"/>
  <c r="C74" i="2"/>
  <c r="Q44" i="2"/>
  <c r="D44" i="2"/>
  <c r="C44" i="2"/>
  <c r="Q15" i="2"/>
  <c r="R48" i="1"/>
  <c r="R42" i="1"/>
  <c r="R39" i="1"/>
  <c r="R38" i="1"/>
  <c r="R37" i="1"/>
  <c r="R36" i="1"/>
  <c r="Q32" i="1"/>
  <c r="F32" i="1"/>
  <c r="E32" i="1"/>
  <c r="D32" i="1"/>
  <c r="R31" i="1"/>
  <c r="R28" i="1"/>
  <c r="R27" i="1"/>
  <c r="R72" i="1" s="1"/>
  <c r="R26" i="1"/>
  <c r="R22" i="1"/>
  <c r="P45" i="2" s="1"/>
  <c r="D22" i="1"/>
  <c r="D71" i="1" s="1"/>
  <c r="R18" i="1"/>
  <c r="R17" i="1"/>
  <c r="R19" i="1" s="1"/>
  <c r="Q16" i="1"/>
  <c r="F16" i="1"/>
  <c r="E16" i="1"/>
  <c r="D16" i="1"/>
  <c r="R15" i="1"/>
  <c r="R14" i="1"/>
  <c r="Q10" i="1"/>
  <c r="F10" i="1"/>
  <c r="F16" i="2" s="1"/>
  <c r="E10" i="1"/>
  <c r="E16" i="2" s="1"/>
  <c r="D10" i="1"/>
  <c r="R9" i="1"/>
  <c r="R8" i="1"/>
  <c r="R7" i="1"/>
  <c r="Q125" i="2" l="1"/>
  <c r="Q148" i="2"/>
  <c r="S148" i="2"/>
  <c r="Q48" i="2"/>
  <c r="Q63" i="2"/>
  <c r="S63" i="2"/>
  <c r="Q21" i="2"/>
  <c r="Q34" i="2"/>
  <c r="S34" i="2"/>
  <c r="BA181" i="1"/>
  <c r="BA239" i="1" s="1"/>
  <c r="BE181" i="1"/>
  <c r="BE239" i="1" s="1"/>
  <c r="BE175" i="1"/>
  <c r="BE233" i="1" s="1"/>
  <c r="BE91" i="1"/>
  <c r="BA180" i="1"/>
  <c r="BA238" i="1" s="1"/>
  <c r="BE180" i="1"/>
  <c r="BE238" i="1" s="1"/>
  <c r="O16" i="2"/>
  <c r="Q20" i="1"/>
  <c r="BA175" i="1"/>
  <c r="BA233" i="1" s="1"/>
  <c r="BA91" i="1"/>
  <c r="AG215" i="1"/>
  <c r="AG216" i="1"/>
  <c r="D743" i="3"/>
  <c r="C125" i="2"/>
  <c r="C121" i="2"/>
  <c r="C123" i="2"/>
  <c r="C128" i="2"/>
  <c r="C124" i="2"/>
  <c r="C127" i="2"/>
  <c r="C126" i="2"/>
  <c r="C122" i="2"/>
  <c r="C100" i="2"/>
  <c r="C99" i="2"/>
  <c r="C98" i="2"/>
  <c r="C97" i="2"/>
  <c r="P94" i="2"/>
  <c r="P118" i="2"/>
  <c r="R61" i="1"/>
  <c r="Q49" i="2"/>
  <c r="Q80" i="2"/>
  <c r="Q98" i="2"/>
  <c r="Q122" i="2"/>
  <c r="Q126" i="2"/>
  <c r="F154" i="1"/>
  <c r="F156" i="1" s="1"/>
  <c r="F62" i="1"/>
  <c r="E154" i="1"/>
  <c r="E156" i="1" s="1"/>
  <c r="E62" i="1"/>
  <c r="E113" i="1"/>
  <c r="E132" i="1"/>
  <c r="F135" i="1"/>
  <c r="R71" i="1"/>
  <c r="R16" i="1"/>
  <c r="E135" i="1"/>
  <c r="F132" i="1"/>
  <c r="R32" i="1"/>
  <c r="D20" i="1"/>
  <c r="R10" i="1"/>
  <c r="E20" i="1"/>
  <c r="F20" i="1"/>
  <c r="G21" i="1" s="1"/>
  <c r="Q23" i="2"/>
  <c r="Q19" i="2"/>
  <c r="Q50" i="2"/>
  <c r="Q81" i="2"/>
  <c r="Q99" i="2"/>
  <c r="Q123" i="2"/>
  <c r="Q127" i="2"/>
  <c r="Q20" i="2"/>
  <c r="Q45" i="2"/>
  <c r="Q52" i="2"/>
  <c r="Q83" i="2"/>
  <c r="Q94" i="2"/>
  <c r="Q100" i="2"/>
  <c r="Q118" i="2"/>
  <c r="Q124" i="2"/>
  <c r="Q128" i="2"/>
  <c r="Q121" i="2"/>
  <c r="O91" i="1" l="1"/>
  <c r="BF114" i="1"/>
  <c r="BE256" i="1"/>
  <c r="BF256" i="1"/>
  <c r="BE114" i="1"/>
  <c r="BE96" i="1"/>
  <c r="BE177" i="1"/>
  <c r="BE235" i="1" s="1"/>
  <c r="BC114" i="1"/>
  <c r="BB114" i="1"/>
  <c r="BD114" i="1"/>
  <c r="BD256" i="1"/>
  <c r="BC256" i="1"/>
  <c r="BB256" i="1"/>
  <c r="BA256" i="1"/>
  <c r="P16" i="2"/>
  <c r="R20" i="1"/>
  <c r="C102" i="2"/>
  <c r="BA96" i="1"/>
  <c r="BA177" i="1"/>
  <c r="BA235" i="1" s="1"/>
  <c r="Q85" i="2"/>
  <c r="Q54" i="2"/>
  <c r="C133" i="2"/>
  <c r="Q102" i="2"/>
  <c r="Q25" i="2"/>
  <c r="F57" i="1"/>
  <c r="F56" i="1"/>
  <c r="F58" i="1"/>
  <c r="F59" i="1"/>
  <c r="D58" i="1"/>
  <c r="D56" i="1"/>
  <c r="D59" i="1"/>
  <c r="D57" i="1"/>
  <c r="Q56" i="1"/>
  <c r="Q59" i="1"/>
  <c r="Q57" i="1"/>
  <c r="Q58" i="1"/>
  <c r="E59" i="1"/>
  <c r="E58" i="1"/>
  <c r="E57" i="1"/>
  <c r="E56" i="1"/>
  <c r="Q60" i="1"/>
  <c r="F54" i="1"/>
  <c r="Q54" i="1"/>
  <c r="Q55" i="1"/>
  <c r="Q53" i="1"/>
  <c r="D55" i="1"/>
  <c r="D107" i="1"/>
  <c r="D151" i="1" s="1"/>
  <c r="E53" i="1"/>
  <c r="E107" i="1"/>
  <c r="E151" i="1" s="1"/>
  <c r="E153" i="1" s="1"/>
  <c r="D54" i="1"/>
  <c r="D53" i="1"/>
  <c r="F24" i="1"/>
  <c r="F60" i="1"/>
  <c r="D24" i="1"/>
  <c r="F53" i="1"/>
  <c r="F55" i="1"/>
  <c r="E24" i="1"/>
  <c r="E34" i="1" s="1"/>
  <c r="E60" i="1"/>
  <c r="E55" i="1"/>
  <c r="E54" i="1"/>
  <c r="E21" i="1"/>
  <c r="Q24" i="1"/>
  <c r="F21" i="1"/>
  <c r="Q133" i="2"/>
  <c r="BE182" i="1" l="1"/>
  <c r="BE240" i="1" s="1"/>
  <c r="O96" i="1"/>
  <c r="O114" i="1"/>
  <c r="O177" i="1"/>
  <c r="O235" i="1" s="1"/>
  <c r="BA182" i="1"/>
  <c r="BA240" i="1" s="1"/>
  <c r="F34" i="1"/>
  <c r="F70" i="1" s="1"/>
  <c r="G25" i="1"/>
  <c r="D34" i="1"/>
  <c r="D40" i="1" s="1"/>
  <c r="F25" i="1"/>
  <c r="R57" i="1"/>
  <c r="R59" i="1"/>
  <c r="R56" i="1"/>
  <c r="R58" i="1"/>
  <c r="R24" i="1"/>
  <c r="R107" i="1"/>
  <c r="R151" i="1" s="1"/>
  <c r="E25" i="1"/>
  <c r="R54" i="1"/>
  <c r="R55" i="1"/>
  <c r="R53" i="1"/>
  <c r="Q34" i="1"/>
  <c r="Q40" i="1" s="1"/>
  <c r="O76" i="2" s="1"/>
  <c r="E40" i="1"/>
  <c r="E76" i="2" s="1"/>
  <c r="E35" i="1"/>
  <c r="O182" i="1" l="1"/>
  <c r="O240" i="1" s="1"/>
  <c r="O99" i="1"/>
  <c r="O185" i="1" s="1"/>
  <c r="O243" i="1" s="1"/>
  <c r="R34" i="1"/>
  <c r="R40" i="1" s="1"/>
  <c r="P76" i="2" s="1"/>
  <c r="D35" i="1"/>
  <c r="F35" i="1"/>
  <c r="F40" i="1"/>
  <c r="F76" i="2" s="1"/>
  <c r="Q43" i="1"/>
  <c r="Q47" i="1" s="1"/>
  <c r="Q63" i="1"/>
  <c r="D43" i="1"/>
  <c r="D112" i="1" s="1"/>
  <c r="D63" i="1"/>
  <c r="E43" i="1"/>
  <c r="E44" i="1" s="1"/>
  <c r="E63" i="1"/>
  <c r="Q35" i="1"/>
  <c r="R63" i="1" l="1"/>
  <c r="R35" i="1"/>
  <c r="R43" i="1"/>
  <c r="R44" i="1" s="1"/>
  <c r="D44" i="1"/>
  <c r="Q44" i="1"/>
  <c r="F43" i="1"/>
  <c r="F47" i="1" s="1"/>
  <c r="F63" i="1"/>
  <c r="D47" i="1"/>
  <c r="E47" i="1"/>
  <c r="E112" i="1"/>
  <c r="D128" i="1"/>
  <c r="C128" i="1"/>
  <c r="C154" i="1" s="1"/>
  <c r="C156" i="1" s="1"/>
  <c r="R128" i="1"/>
  <c r="R62" i="1" s="1"/>
  <c r="S122" i="1"/>
  <c r="S118" i="1"/>
  <c r="AI118" i="1" s="1"/>
  <c r="S95" i="1"/>
  <c r="T95" i="1" s="1"/>
  <c r="T181" i="1" s="1"/>
  <c r="T239" i="1" s="1"/>
  <c r="S94" i="1"/>
  <c r="T94" i="1" s="1"/>
  <c r="T180" i="1" s="1"/>
  <c r="T238" i="1" s="1"/>
  <c r="S89" i="1"/>
  <c r="F73" i="1"/>
  <c r="G74" i="1" s="1"/>
  <c r="R112" i="1" l="1"/>
  <c r="R47" i="1"/>
  <c r="T89" i="1"/>
  <c r="F44" i="1"/>
  <c r="C62" i="1"/>
  <c r="C132" i="1"/>
  <c r="F77" i="1"/>
  <c r="F75" i="1"/>
  <c r="D154" i="1"/>
  <c r="D156" i="1" s="1"/>
  <c r="D62" i="1"/>
  <c r="R154" i="1"/>
  <c r="R135" i="1"/>
  <c r="D132" i="1"/>
  <c r="R132" i="1"/>
  <c r="C32" i="1"/>
  <c r="C16" i="1"/>
  <c r="C10" i="1"/>
  <c r="S32" i="1"/>
  <c r="S16" i="1"/>
  <c r="S10" i="1"/>
  <c r="S207" i="1"/>
  <c r="S218" i="1" s="1"/>
  <c r="S205" i="1"/>
  <c r="J769" i="3" s="1"/>
  <c r="S201" i="1"/>
  <c r="S261" i="1" s="1"/>
  <c r="S183" i="1"/>
  <c r="S241" i="1" s="1"/>
  <c r="S172" i="1"/>
  <c r="S230" i="1" s="1"/>
  <c r="S171" i="1"/>
  <c r="S229" i="1" s="1"/>
  <c r="S165" i="1"/>
  <c r="S213" i="1"/>
  <c r="S149" i="1"/>
  <c r="S160" i="1" s="1"/>
  <c r="S181" i="1"/>
  <c r="S239" i="1" s="1"/>
  <c r="S180" i="1"/>
  <c r="S238" i="1" s="1"/>
  <c r="S179" i="1"/>
  <c r="S237" i="1" s="1"/>
  <c r="S178" i="1"/>
  <c r="S236" i="1" s="1"/>
  <c r="S176" i="1"/>
  <c r="S234" i="1" s="1"/>
  <c r="S175" i="1"/>
  <c r="S233" i="1" s="1"/>
  <c r="S83" i="1"/>
  <c r="S169" i="1" s="1"/>
  <c r="S79" i="1"/>
  <c r="S20" i="1" l="1"/>
  <c r="U113" i="1"/>
  <c r="U142" i="1" s="1"/>
  <c r="U196" i="1" s="1"/>
  <c r="U256" i="1" s="1"/>
  <c r="T175" i="1"/>
  <c r="T233" i="1" s="1"/>
  <c r="T91" i="1"/>
  <c r="S223" i="1"/>
  <c r="U224" i="1" s="1"/>
  <c r="U166" i="1"/>
  <c r="T113" i="1"/>
  <c r="T142" i="1" s="1"/>
  <c r="T196" i="1" s="1"/>
  <c r="T256" i="1" s="1"/>
  <c r="R156" i="1"/>
  <c r="Q16" i="2"/>
  <c r="S128" i="1"/>
  <c r="C782" i="3" s="1"/>
  <c r="C20" i="1"/>
  <c r="S88" i="1"/>
  <c r="D70" i="1"/>
  <c r="E70" i="1"/>
  <c r="E108" i="1" s="1"/>
  <c r="S170" i="1"/>
  <c r="S228" i="1" s="1"/>
  <c r="S227" i="1"/>
  <c r="Q201" i="1"/>
  <c r="F201" i="1"/>
  <c r="F261" i="1" s="1"/>
  <c r="E201" i="1"/>
  <c r="E261" i="1" s="1"/>
  <c r="D201" i="1"/>
  <c r="D261" i="1" s="1"/>
  <c r="C201" i="1"/>
  <c r="C261" i="1" s="1"/>
  <c r="B201" i="1"/>
  <c r="B261" i="1" s="1"/>
  <c r="T107" i="1" l="1"/>
  <c r="T66" i="1" s="1"/>
  <c r="U21" i="1"/>
  <c r="U114" i="1"/>
  <c r="T177" i="1"/>
  <c r="T235" i="1" s="1"/>
  <c r="T96" i="1"/>
  <c r="U66" i="1"/>
  <c r="U151" i="1"/>
  <c r="U123" i="1"/>
  <c r="F741" i="3"/>
  <c r="F743" i="3"/>
  <c r="D21" i="1"/>
  <c r="C59" i="1"/>
  <c r="C58" i="1"/>
  <c r="C57" i="1"/>
  <c r="C56" i="1"/>
  <c r="C55" i="1"/>
  <c r="C53" i="1"/>
  <c r="C54" i="1"/>
  <c r="S154" i="1"/>
  <c r="S212" i="1" s="1"/>
  <c r="S62" i="1"/>
  <c r="S59" i="1"/>
  <c r="S58" i="1"/>
  <c r="S57" i="1"/>
  <c r="S56" i="1"/>
  <c r="S54" i="1"/>
  <c r="S53" i="1"/>
  <c r="S174" i="1"/>
  <c r="S232" i="1" s="1"/>
  <c r="D73" i="1"/>
  <c r="D108" i="1"/>
  <c r="S60" i="1"/>
  <c r="S55" i="1"/>
  <c r="E73" i="1"/>
  <c r="C24" i="1"/>
  <c r="D25" i="1" s="1"/>
  <c r="S132" i="1"/>
  <c r="S188" i="1"/>
  <c r="S246" i="1" s="1"/>
  <c r="S135" i="1"/>
  <c r="AI135" i="1" s="1"/>
  <c r="S91" i="1"/>
  <c r="T114" i="1" s="1"/>
  <c r="S80" i="1"/>
  <c r="S24" i="1"/>
  <c r="S21" i="1"/>
  <c r="S163" i="1"/>
  <c r="U164" i="1" s="1"/>
  <c r="R204" i="1"/>
  <c r="R249" i="1" s="1"/>
  <c r="U209" i="1" l="1"/>
  <c r="U211" i="1" s="1"/>
  <c r="T123" i="1"/>
  <c r="T151" i="1"/>
  <c r="S34" i="1"/>
  <c r="S40" i="1" s="1"/>
  <c r="Q76" i="2" s="1"/>
  <c r="U25" i="1"/>
  <c r="T182" i="1"/>
  <c r="T240" i="1" s="1"/>
  <c r="S156" i="1"/>
  <c r="S214" i="1" s="1"/>
  <c r="S96" i="1"/>
  <c r="S97" i="1" s="1"/>
  <c r="U153" i="1"/>
  <c r="E74" i="1"/>
  <c r="E75" i="1"/>
  <c r="F74" i="1"/>
  <c r="D75" i="1"/>
  <c r="R213" i="1"/>
  <c r="R212" i="1"/>
  <c r="R214" i="1"/>
  <c r="E77" i="1"/>
  <c r="E109" i="1"/>
  <c r="D78" i="1"/>
  <c r="D109" i="1"/>
  <c r="C34" i="1"/>
  <c r="C35" i="1" s="1"/>
  <c r="S189" i="1"/>
  <c r="S247" i="1" s="1"/>
  <c r="S259" i="1" s="1"/>
  <c r="S145" i="1"/>
  <c r="S199" i="1" s="1"/>
  <c r="S177" i="1"/>
  <c r="S235" i="1" s="1"/>
  <c r="S167" i="1"/>
  <c r="S221" i="1"/>
  <c r="U222" i="1" s="1"/>
  <c r="T209" i="1" l="1"/>
  <c r="T211" i="1" s="1"/>
  <c r="S63" i="1"/>
  <c r="T153" i="1"/>
  <c r="S103" i="1"/>
  <c r="T97" i="1"/>
  <c r="S99" i="1"/>
  <c r="S185" i="1" s="1"/>
  <c r="S243" i="1" s="1"/>
  <c r="S184" i="1"/>
  <c r="S242" i="1" s="1"/>
  <c r="S182" i="1"/>
  <c r="S240" i="1" s="1"/>
  <c r="E79" i="1"/>
  <c r="D77" i="1"/>
  <c r="D60" i="1"/>
  <c r="D110" i="1"/>
  <c r="D152" i="1" s="1"/>
  <c r="D153" i="1" s="1"/>
  <c r="C70" i="1"/>
  <c r="C40" i="1"/>
  <c r="S225" i="1"/>
  <c r="T184" i="1" l="1"/>
  <c r="T242" i="1" s="1"/>
  <c r="T99" i="1"/>
  <c r="T185" i="1" s="1"/>
  <c r="T243" i="1" s="1"/>
  <c r="C43" i="1"/>
  <c r="C47" i="1" s="1"/>
  <c r="C63" i="1"/>
  <c r="C73" i="1"/>
  <c r="C78" i="1" s="1"/>
  <c r="C80" i="1" s="1"/>
  <c r="S35" i="1"/>
  <c r="S70" i="1"/>
  <c r="T108" i="1" s="1"/>
  <c r="D15" i="2"/>
  <c r="C15" i="2"/>
  <c r="Q80" i="1"/>
  <c r="F80" i="1"/>
  <c r="E80" i="1"/>
  <c r="D80" i="1"/>
  <c r="S73" i="1" l="1"/>
  <c r="C77" i="1"/>
  <c r="C60" i="1"/>
  <c r="D79" i="1"/>
  <c r="D74" i="1"/>
  <c r="Q70" i="1"/>
  <c r="S25" i="1"/>
  <c r="S43" i="1"/>
  <c r="T112" i="1" s="1"/>
  <c r="T109" i="1" l="1"/>
  <c r="U74" i="1"/>
  <c r="S77" i="1"/>
  <c r="S75" i="1"/>
  <c r="S47" i="1"/>
  <c r="S50" i="1" s="1"/>
  <c r="Q73" i="1"/>
  <c r="Q75" i="1" s="1"/>
  <c r="S44" i="1"/>
  <c r="C796" i="3"/>
  <c r="D777" i="3" l="1"/>
  <c r="D779" i="3"/>
  <c r="Q77" i="1"/>
  <c r="K670" i="3"/>
  <c r="K671" i="3"/>
  <c r="J778" i="3"/>
  <c r="C778" i="3"/>
  <c r="D774" i="3"/>
  <c r="D795" i="3"/>
  <c r="D773" i="3"/>
  <c r="D785" i="3"/>
  <c r="D776" i="3" l="1"/>
  <c r="D778" i="3" s="1"/>
  <c r="K673" i="3"/>
  <c r="D796" i="3"/>
  <c r="J780" i="3"/>
  <c r="K677" i="3" s="1"/>
  <c r="C780" i="3"/>
  <c r="D780" i="3" s="1"/>
  <c r="K675" i="3" l="1"/>
  <c r="R147" i="1" l="1"/>
  <c r="R201" i="1" s="1"/>
  <c r="R261" i="1" s="1"/>
  <c r="R98" i="1" l="1"/>
  <c r="R87" i="1"/>
  <c r="R86" i="1"/>
  <c r="R85" i="1"/>
  <c r="R78" i="1"/>
  <c r="S107" i="1"/>
  <c r="R110" i="1" l="1"/>
  <c r="R152" i="1" s="1"/>
  <c r="U79" i="1"/>
  <c r="R111" i="1"/>
  <c r="R65" i="1" s="1"/>
  <c r="R173" i="1"/>
  <c r="R231" i="1" s="1"/>
  <c r="S110" i="1"/>
  <c r="R60" i="1"/>
  <c r="S123" i="1"/>
  <c r="S151" i="1"/>
  <c r="S209" i="1" s="1"/>
  <c r="S66" i="1"/>
  <c r="S111" i="1"/>
  <c r="S65" i="1" s="1"/>
  <c r="R80" i="1"/>
  <c r="R153" i="1" l="1"/>
  <c r="S152" i="1"/>
  <c r="C781" i="3"/>
  <c r="J781" i="3" s="1"/>
  <c r="S191" i="1"/>
  <c r="S251" i="1" s="1"/>
  <c r="S253" i="1" s="1"/>
  <c r="S139" i="1"/>
  <c r="S158" i="1" s="1"/>
  <c r="S140" i="1"/>
  <c r="S157" i="1" s="1"/>
  <c r="S143" i="1"/>
  <c r="S197" i="1" s="1"/>
  <c r="S257" i="1" s="1"/>
  <c r="R93" i="1"/>
  <c r="R94" i="1"/>
  <c r="R84" i="1"/>
  <c r="R92" i="1"/>
  <c r="R95" i="1"/>
  <c r="R90" i="1"/>
  <c r="R89" i="1"/>
  <c r="F107" i="1"/>
  <c r="E66" i="1"/>
  <c r="D66" i="1"/>
  <c r="C107" i="1"/>
  <c r="C151" i="1" s="1"/>
  <c r="Q163" i="1"/>
  <c r="S164" i="1" s="1"/>
  <c r="F163" i="1"/>
  <c r="G164" i="1" s="1"/>
  <c r="E163" i="1"/>
  <c r="D163" i="1"/>
  <c r="C163" i="1"/>
  <c r="B163" i="1"/>
  <c r="B221" i="1" s="1"/>
  <c r="B251" i="1"/>
  <c r="B222" i="1"/>
  <c r="R207" i="1"/>
  <c r="R218" i="1" s="1"/>
  <c r="Q207" i="1"/>
  <c r="Q218" i="1" s="1"/>
  <c r="F207" i="1"/>
  <c r="F218" i="1" s="1"/>
  <c r="E207" i="1"/>
  <c r="E218" i="1" s="1"/>
  <c r="D207" i="1"/>
  <c r="D218" i="1" s="1"/>
  <c r="C207" i="1"/>
  <c r="C218" i="1" s="1"/>
  <c r="R205" i="1"/>
  <c r="R209" i="1" s="1"/>
  <c r="Q205" i="1"/>
  <c r="J469" i="3" s="1"/>
  <c r="D481" i="3" s="1"/>
  <c r="F476" i="3" s="1"/>
  <c r="F205" i="1"/>
  <c r="AG205" i="1" s="1"/>
  <c r="E205" i="1"/>
  <c r="D205" i="1"/>
  <c r="C205" i="1"/>
  <c r="B199" i="1"/>
  <c r="B259" i="1" s="1"/>
  <c r="B197" i="1"/>
  <c r="B257" i="1" s="1"/>
  <c r="B196" i="1"/>
  <c r="B256" i="1" s="1"/>
  <c r="B194" i="1"/>
  <c r="B254" i="1" s="1"/>
  <c r="B193" i="1"/>
  <c r="B253" i="1" s="1"/>
  <c r="B186" i="1"/>
  <c r="B244" i="1" s="1"/>
  <c r="B185" i="1"/>
  <c r="B243" i="1" s="1"/>
  <c r="B184" i="1"/>
  <c r="B242" i="1" s="1"/>
  <c r="F183" i="1"/>
  <c r="F241" i="1" s="1"/>
  <c r="E183" i="1"/>
  <c r="E241" i="1" s="1"/>
  <c r="D183" i="1"/>
  <c r="D241" i="1" s="1"/>
  <c r="C183" i="1"/>
  <c r="C241" i="1" s="1"/>
  <c r="B183" i="1"/>
  <c r="B241" i="1" s="1"/>
  <c r="B182" i="1"/>
  <c r="B240" i="1" s="1"/>
  <c r="F181" i="1"/>
  <c r="F239" i="1" s="1"/>
  <c r="E181" i="1"/>
  <c r="E239" i="1" s="1"/>
  <c r="D181" i="1"/>
  <c r="D239" i="1" s="1"/>
  <c r="C181" i="1"/>
  <c r="C239" i="1" s="1"/>
  <c r="B181" i="1"/>
  <c r="B239" i="1" s="1"/>
  <c r="E180" i="1"/>
  <c r="E238" i="1" s="1"/>
  <c r="D180" i="1"/>
  <c r="D238" i="1" s="1"/>
  <c r="C180" i="1"/>
  <c r="C238" i="1" s="1"/>
  <c r="B180" i="1"/>
  <c r="B238" i="1" s="1"/>
  <c r="B179" i="1"/>
  <c r="B237" i="1" s="1"/>
  <c r="B178" i="1"/>
  <c r="B236" i="1" s="1"/>
  <c r="B177" i="1"/>
  <c r="B235" i="1" s="1"/>
  <c r="B176" i="1"/>
  <c r="B234" i="1" s="1"/>
  <c r="B175" i="1"/>
  <c r="B233" i="1" s="1"/>
  <c r="B174" i="1"/>
  <c r="B232" i="1" s="1"/>
  <c r="F172" i="1"/>
  <c r="F230" i="1" s="1"/>
  <c r="E172" i="1"/>
  <c r="E230" i="1" s="1"/>
  <c r="D172" i="1"/>
  <c r="D230" i="1" s="1"/>
  <c r="C172" i="1"/>
  <c r="C230" i="1" s="1"/>
  <c r="B172" i="1"/>
  <c r="B230" i="1" s="1"/>
  <c r="F171" i="1"/>
  <c r="F229" i="1" s="1"/>
  <c r="E171" i="1"/>
  <c r="E229" i="1" s="1"/>
  <c r="D171" i="1"/>
  <c r="D229" i="1" s="1"/>
  <c r="C171" i="1"/>
  <c r="C229" i="1" s="1"/>
  <c r="B171" i="1"/>
  <c r="B229" i="1" s="1"/>
  <c r="B170" i="1"/>
  <c r="B228" i="1" s="1"/>
  <c r="B169" i="1"/>
  <c r="B227" i="1" s="1"/>
  <c r="B167" i="1"/>
  <c r="B225" i="1" s="1"/>
  <c r="B166" i="1"/>
  <c r="B224" i="1" s="1"/>
  <c r="B165" i="1"/>
  <c r="B223" i="1" s="1"/>
  <c r="B161" i="1"/>
  <c r="R149" i="1"/>
  <c r="R160" i="1" s="1"/>
  <c r="Q149" i="1"/>
  <c r="Q160" i="1" s="1"/>
  <c r="F149" i="1"/>
  <c r="F160" i="1" s="1"/>
  <c r="E149" i="1"/>
  <c r="E160" i="1" s="1"/>
  <c r="D149" i="1"/>
  <c r="D160" i="1" s="1"/>
  <c r="C149" i="1"/>
  <c r="C160" i="1" s="1"/>
  <c r="F213" i="1"/>
  <c r="E213" i="1"/>
  <c r="D213" i="1"/>
  <c r="C213" i="1"/>
  <c r="R121" i="1"/>
  <c r="R119" i="1"/>
  <c r="R118" i="1"/>
  <c r="F111" i="1"/>
  <c r="AG111" i="1" s="1"/>
  <c r="AG65" i="1" s="1"/>
  <c r="E65" i="1"/>
  <c r="D65" i="1"/>
  <c r="C111" i="1"/>
  <c r="C65" i="1" s="1"/>
  <c r="Q183" i="1"/>
  <c r="Q241" i="1" s="1"/>
  <c r="Q181" i="1"/>
  <c r="Q239" i="1" s="1"/>
  <c r="F180" i="1"/>
  <c r="F238" i="1" s="1"/>
  <c r="F179" i="1"/>
  <c r="F237" i="1" s="1"/>
  <c r="E179" i="1"/>
  <c r="E237" i="1" s="1"/>
  <c r="D179" i="1"/>
  <c r="D237" i="1" s="1"/>
  <c r="C179" i="1"/>
  <c r="C237" i="1" s="1"/>
  <c r="F178" i="1"/>
  <c r="F236" i="1" s="1"/>
  <c r="E178" i="1"/>
  <c r="E236" i="1" s="1"/>
  <c r="D178" i="1"/>
  <c r="D236" i="1" s="1"/>
  <c r="C178" i="1"/>
  <c r="C236" i="1" s="1"/>
  <c r="Q176" i="1"/>
  <c r="Q234" i="1" s="1"/>
  <c r="F176" i="1"/>
  <c r="F234" i="1" s="1"/>
  <c r="E176" i="1"/>
  <c r="E234" i="1" s="1"/>
  <c r="D176" i="1"/>
  <c r="D234" i="1" s="1"/>
  <c r="C176" i="1"/>
  <c r="C234" i="1" s="1"/>
  <c r="Q175" i="1"/>
  <c r="Q233" i="1" s="1"/>
  <c r="F175" i="1"/>
  <c r="F233" i="1" s="1"/>
  <c r="E175" i="1"/>
  <c r="E233" i="1" s="1"/>
  <c r="D175" i="1"/>
  <c r="D233" i="1" s="1"/>
  <c r="C175" i="1"/>
  <c r="C233" i="1" s="1"/>
  <c r="Q172" i="1"/>
  <c r="Q230" i="1" s="1"/>
  <c r="Q171" i="1"/>
  <c r="Q229" i="1" s="1"/>
  <c r="F170" i="1"/>
  <c r="F228" i="1" s="1"/>
  <c r="E170" i="1"/>
  <c r="E228" i="1" s="1"/>
  <c r="D170" i="1"/>
  <c r="D228" i="1" s="1"/>
  <c r="C170" i="1"/>
  <c r="C228" i="1" s="1"/>
  <c r="Q165" i="1"/>
  <c r="S166" i="1" s="1"/>
  <c r="F165" i="1"/>
  <c r="G166" i="1" s="1"/>
  <c r="E165" i="1"/>
  <c r="D165" i="1"/>
  <c r="C165" i="1"/>
  <c r="S153" i="1" l="1"/>
  <c r="S210" i="1"/>
  <c r="S211" i="1" s="1"/>
  <c r="R210" i="1"/>
  <c r="R215" i="1" s="1"/>
  <c r="F478" i="3"/>
  <c r="F151" i="1"/>
  <c r="AG107" i="1"/>
  <c r="D164" i="1"/>
  <c r="D166" i="1"/>
  <c r="C66" i="1"/>
  <c r="F65" i="1"/>
  <c r="F143" i="1"/>
  <c r="S193" i="1"/>
  <c r="S254" i="1"/>
  <c r="S194" i="1"/>
  <c r="E164" i="1"/>
  <c r="R113" i="1"/>
  <c r="F123" i="1"/>
  <c r="F66" i="1"/>
  <c r="R122" i="1"/>
  <c r="R66" i="1" s="1"/>
  <c r="S113" i="1"/>
  <c r="S142" i="1" s="1"/>
  <c r="S196" i="1" s="1"/>
  <c r="S256" i="1" s="1"/>
  <c r="R163" i="1"/>
  <c r="Q170" i="1"/>
  <c r="Q228" i="1" s="1"/>
  <c r="R83" i="1"/>
  <c r="Q178" i="1"/>
  <c r="Q236" i="1" s="1"/>
  <c r="F83" i="1"/>
  <c r="E188" i="1"/>
  <c r="E246" i="1" s="1"/>
  <c r="R165" i="1"/>
  <c r="F221" i="1"/>
  <c r="G222" i="1" s="1"/>
  <c r="F164" i="1"/>
  <c r="C223" i="1"/>
  <c r="C167" i="1"/>
  <c r="C110" i="1"/>
  <c r="C152" i="1" s="1"/>
  <c r="C153" i="1" s="1"/>
  <c r="C113" i="1"/>
  <c r="C221" i="1"/>
  <c r="D223" i="1"/>
  <c r="D167" i="1"/>
  <c r="F79" i="1"/>
  <c r="C83" i="1"/>
  <c r="C88" i="1" s="1"/>
  <c r="R181" i="1"/>
  <c r="R239" i="1" s="1"/>
  <c r="D221" i="1"/>
  <c r="E223" i="1"/>
  <c r="E167" i="1"/>
  <c r="E166" i="1"/>
  <c r="Q223" i="1"/>
  <c r="S224" i="1" s="1"/>
  <c r="Q167" i="1"/>
  <c r="D83" i="1"/>
  <c r="D88" i="1" s="1"/>
  <c r="E221" i="1"/>
  <c r="Q221" i="1"/>
  <c r="F223" i="1"/>
  <c r="G224" i="1" s="1"/>
  <c r="F167" i="1"/>
  <c r="F166" i="1"/>
  <c r="E83" i="1"/>
  <c r="E88" i="1" s="1"/>
  <c r="Q83" i="1"/>
  <c r="Q88" i="1" s="1"/>
  <c r="R179" i="1"/>
  <c r="R237" i="1" s="1"/>
  <c r="F152" i="1"/>
  <c r="F113" i="1"/>
  <c r="AG113" i="1" s="1"/>
  <c r="R211" i="1" l="1"/>
  <c r="R216" i="1"/>
  <c r="S215" i="1"/>
  <c r="S216" i="1"/>
  <c r="F153" i="1"/>
  <c r="D222" i="1"/>
  <c r="AG151" i="1"/>
  <c r="AG66" i="1"/>
  <c r="AG123" i="1"/>
  <c r="D224" i="1"/>
  <c r="Q91" i="1"/>
  <c r="R70" i="1"/>
  <c r="S222" i="1"/>
  <c r="C135" i="1"/>
  <c r="D188" i="1"/>
  <c r="D246" i="1" s="1"/>
  <c r="F188" i="1"/>
  <c r="F246" i="1" s="1"/>
  <c r="F169" i="1"/>
  <c r="F88" i="1"/>
  <c r="R172" i="1"/>
  <c r="R230" i="1" s="1"/>
  <c r="E189" i="1"/>
  <c r="E247" i="1" s="1"/>
  <c r="D135" i="1"/>
  <c r="C139" i="1"/>
  <c r="F145" i="1"/>
  <c r="F199" i="1" s="1"/>
  <c r="D145" i="1"/>
  <c r="D199" i="1" s="1"/>
  <c r="D140" i="1"/>
  <c r="D212" i="1"/>
  <c r="C188" i="1"/>
  <c r="C246" i="1" s="1"/>
  <c r="E212" i="1"/>
  <c r="E222" i="1"/>
  <c r="Q189" i="1"/>
  <c r="Q188" i="1"/>
  <c r="F222" i="1"/>
  <c r="D209" i="1"/>
  <c r="D123" i="1"/>
  <c r="D225" i="1"/>
  <c r="C191" i="1"/>
  <c r="C251" i="1" s="1"/>
  <c r="C143" i="1"/>
  <c r="C197" i="1" s="1"/>
  <c r="C142" i="1"/>
  <c r="C196" i="1" s="1"/>
  <c r="R169" i="1"/>
  <c r="D169" i="1"/>
  <c r="D174" i="1" s="1"/>
  <c r="D91" i="1"/>
  <c r="D114" i="1" s="1"/>
  <c r="C225" i="1"/>
  <c r="Q191" i="1"/>
  <c r="E209" i="1"/>
  <c r="Q179" i="1"/>
  <c r="Q237" i="1" s="1"/>
  <c r="R170" i="1"/>
  <c r="R228" i="1" s="1"/>
  <c r="E169" i="1"/>
  <c r="E174" i="1" s="1"/>
  <c r="E91" i="1"/>
  <c r="E114" i="1" s="1"/>
  <c r="F224" i="1"/>
  <c r="F225" i="1"/>
  <c r="E224" i="1"/>
  <c r="E225" i="1"/>
  <c r="R176" i="1"/>
  <c r="R234" i="1" s="1"/>
  <c r="C169" i="1"/>
  <c r="C91" i="1"/>
  <c r="R167" i="1"/>
  <c r="R178" i="1"/>
  <c r="R236" i="1" s="1"/>
  <c r="D191" i="1"/>
  <c r="D251" i="1" s="1"/>
  <c r="D143" i="1"/>
  <c r="D197" i="1" s="1"/>
  <c r="D142" i="1"/>
  <c r="D196" i="1" s="1"/>
  <c r="R183" i="1"/>
  <c r="R241" i="1" s="1"/>
  <c r="C209" i="1"/>
  <c r="C123" i="1"/>
  <c r="F209" i="1"/>
  <c r="Q180" i="1"/>
  <c r="Q238" i="1" s="1"/>
  <c r="Q169" i="1"/>
  <c r="Q174" i="1" s="1"/>
  <c r="F191" i="1"/>
  <c r="F251" i="1" s="1"/>
  <c r="F197" i="1"/>
  <c r="F142" i="1"/>
  <c r="F196" i="1" s="1"/>
  <c r="R171" i="1"/>
  <c r="R229" i="1" s="1"/>
  <c r="E191" i="1"/>
  <c r="E251" i="1" s="1"/>
  <c r="E254" i="1" s="1"/>
  <c r="E143" i="1"/>
  <c r="E197" i="1" s="1"/>
  <c r="E142" i="1"/>
  <c r="E196" i="1" s="1"/>
  <c r="Q225" i="1"/>
  <c r="R191" i="1"/>
  <c r="R251" i="1" s="1"/>
  <c r="E123" i="1"/>
  <c r="R223" i="1"/>
  <c r="C140" i="1"/>
  <c r="F140" i="1"/>
  <c r="E140" i="1"/>
  <c r="D254" i="1" l="1"/>
  <c r="F254" i="1"/>
  <c r="E253" i="1"/>
  <c r="E259" i="1"/>
  <c r="C254" i="1"/>
  <c r="AG209" i="1"/>
  <c r="AG211" i="1" s="1"/>
  <c r="AG153" i="1"/>
  <c r="C193" i="1"/>
  <c r="C158" i="1"/>
  <c r="C194" i="1"/>
  <c r="C157" i="1"/>
  <c r="R174" i="1"/>
  <c r="R232" i="1" s="1"/>
  <c r="F174" i="1"/>
  <c r="F232" i="1" s="1"/>
  <c r="R73" i="1"/>
  <c r="T74" i="1" s="1"/>
  <c r="R108" i="1"/>
  <c r="F194" i="1"/>
  <c r="F157" i="1"/>
  <c r="E194" i="1"/>
  <c r="E157" i="1"/>
  <c r="Q96" i="1"/>
  <c r="Q97" i="1" s="1"/>
  <c r="D194" i="1"/>
  <c r="D157" i="1"/>
  <c r="F91" i="1"/>
  <c r="F177" i="1" s="1"/>
  <c r="F235" i="1" s="1"/>
  <c r="E50" i="1"/>
  <c r="S74" i="1"/>
  <c r="S108" i="1"/>
  <c r="E776" i="3"/>
  <c r="E778" i="3"/>
  <c r="D781" i="3"/>
  <c r="L640" i="3"/>
  <c r="L642" i="3"/>
  <c r="K678" i="3"/>
  <c r="R188" i="1"/>
  <c r="R246" i="1" s="1"/>
  <c r="R254" i="1" s="1"/>
  <c r="C212" i="1"/>
  <c r="E214" i="1"/>
  <c r="F227" i="1"/>
  <c r="D214" i="1"/>
  <c r="R88" i="1"/>
  <c r="R91" i="1" s="1"/>
  <c r="R114" i="1" s="1"/>
  <c r="R139" i="1"/>
  <c r="R158" i="1" s="1"/>
  <c r="R140" i="1"/>
  <c r="C145" i="1"/>
  <c r="C199" i="1" s="1"/>
  <c r="Q193" i="1"/>
  <c r="D189" i="1"/>
  <c r="D247" i="1" s="1"/>
  <c r="E139" i="1"/>
  <c r="F212" i="1"/>
  <c r="R142" i="1"/>
  <c r="R196" i="1" s="1"/>
  <c r="R256" i="1" s="1"/>
  <c r="Q194" i="1"/>
  <c r="F189" i="1"/>
  <c r="F247" i="1" s="1"/>
  <c r="E145" i="1"/>
  <c r="E199" i="1" s="1"/>
  <c r="D139" i="1"/>
  <c r="F139" i="1"/>
  <c r="C189" i="1"/>
  <c r="C247" i="1" s="1"/>
  <c r="D210" i="1"/>
  <c r="D211" i="1" s="1"/>
  <c r="E227" i="1"/>
  <c r="E232" i="1"/>
  <c r="E210" i="1"/>
  <c r="E211" i="1" s="1"/>
  <c r="Q177" i="1"/>
  <c r="Q235" i="1" s="1"/>
  <c r="C214" i="1"/>
  <c r="C210" i="1"/>
  <c r="C211" i="1" s="1"/>
  <c r="R180" i="1"/>
  <c r="R238" i="1" s="1"/>
  <c r="R221" i="1"/>
  <c r="C227" i="1"/>
  <c r="C174" i="1"/>
  <c r="C232" i="1" s="1"/>
  <c r="D177" i="1"/>
  <c r="D235" i="1" s="1"/>
  <c r="D96" i="1"/>
  <c r="F210" i="1"/>
  <c r="F211" i="1" s="1"/>
  <c r="F214" i="1"/>
  <c r="D227" i="1"/>
  <c r="D232" i="1"/>
  <c r="Q227" i="1"/>
  <c r="Q232" i="1"/>
  <c r="R143" i="1"/>
  <c r="R197" i="1" s="1"/>
  <c r="R257" i="1" s="1"/>
  <c r="R175" i="1"/>
  <c r="R233" i="1" s="1"/>
  <c r="C177" i="1"/>
  <c r="C235" i="1" s="1"/>
  <c r="C96" i="1"/>
  <c r="C97" i="1" s="1"/>
  <c r="C103" i="1" s="1"/>
  <c r="C114" i="1"/>
  <c r="E177" i="1"/>
  <c r="E235" i="1" s="1"/>
  <c r="E96" i="1"/>
  <c r="E97" i="1" s="1"/>
  <c r="R123" i="1"/>
  <c r="R227" i="1"/>
  <c r="BE184" i="1" l="1"/>
  <c r="BE242" i="1" s="1"/>
  <c r="BE99" i="1"/>
  <c r="BE185" i="1" s="1"/>
  <c r="BE243" i="1" s="1"/>
  <c r="F253" i="1"/>
  <c r="F259" i="1"/>
  <c r="C257" i="1"/>
  <c r="C256" i="1"/>
  <c r="E257" i="1"/>
  <c r="E256" i="1"/>
  <c r="F257" i="1"/>
  <c r="F256" i="1"/>
  <c r="C259" i="1"/>
  <c r="C253" i="1"/>
  <c r="D253" i="1"/>
  <c r="D259" i="1"/>
  <c r="D257" i="1"/>
  <c r="D256" i="1"/>
  <c r="Q103" i="1"/>
  <c r="R75" i="1"/>
  <c r="F193" i="1"/>
  <c r="F158" i="1"/>
  <c r="R77" i="1"/>
  <c r="R109" i="1"/>
  <c r="E193" i="1"/>
  <c r="E158" i="1"/>
  <c r="R194" i="1"/>
  <c r="R157" i="1"/>
  <c r="D193" i="1"/>
  <c r="D158" i="1"/>
  <c r="F114" i="1"/>
  <c r="AG114" i="1" s="1"/>
  <c r="F96" i="1"/>
  <c r="F97" i="1" s="1"/>
  <c r="F103" i="1" s="1"/>
  <c r="Q99" i="1"/>
  <c r="E103" i="1"/>
  <c r="D97" i="1"/>
  <c r="D103" i="1" s="1"/>
  <c r="S114" i="1"/>
  <c r="S109" i="1"/>
  <c r="F778" i="3"/>
  <c r="F776" i="3"/>
  <c r="M598" i="3"/>
  <c r="M600" i="3"/>
  <c r="R145" i="1"/>
  <c r="Q199" i="1"/>
  <c r="C99" i="1"/>
  <c r="Q197" i="1"/>
  <c r="R189" i="1"/>
  <c r="R247" i="1" s="1"/>
  <c r="Q50" i="1"/>
  <c r="D50" i="1"/>
  <c r="C50" i="1"/>
  <c r="C215" i="1"/>
  <c r="Q196" i="1"/>
  <c r="R225" i="1"/>
  <c r="D215" i="1"/>
  <c r="E216" i="1"/>
  <c r="F216" i="1"/>
  <c r="C216" i="1"/>
  <c r="F108" i="1"/>
  <c r="AG108" i="1" s="1"/>
  <c r="Q182" i="1"/>
  <c r="Q240" i="1" s="1"/>
  <c r="D182" i="1"/>
  <c r="D240" i="1" s="1"/>
  <c r="C108" i="1"/>
  <c r="C182" i="1"/>
  <c r="C240" i="1" s="1"/>
  <c r="D216" i="1"/>
  <c r="F215" i="1"/>
  <c r="E182" i="1"/>
  <c r="E240" i="1" s="1"/>
  <c r="R177" i="1"/>
  <c r="R235" i="1" s="1"/>
  <c r="R96" i="1"/>
  <c r="E215" i="1"/>
  <c r="R193" i="1"/>
  <c r="R253" i="1" l="1"/>
  <c r="R259" i="1"/>
  <c r="BA184" i="1"/>
  <c r="BA242" i="1" s="1"/>
  <c r="BA99" i="1"/>
  <c r="F182" i="1"/>
  <c r="F240" i="1" s="1"/>
  <c r="D184" i="1"/>
  <c r="D242" i="1" s="1"/>
  <c r="D99" i="1"/>
  <c r="D185" i="1" s="1"/>
  <c r="D243" i="1" s="1"/>
  <c r="F50" i="1"/>
  <c r="F184" i="1"/>
  <c r="F242" i="1" s="1"/>
  <c r="R97" i="1"/>
  <c r="C184" i="1"/>
  <c r="C242" i="1" s="1"/>
  <c r="R199" i="1"/>
  <c r="E99" i="1"/>
  <c r="F99" i="1"/>
  <c r="C185" i="1"/>
  <c r="C243" i="1" s="1"/>
  <c r="Q185" i="1"/>
  <c r="Q243" i="1" s="1"/>
  <c r="R182" i="1"/>
  <c r="R240" i="1" s="1"/>
  <c r="E184" i="1"/>
  <c r="E242" i="1" s="1"/>
  <c r="C109" i="1"/>
  <c r="C44" i="1"/>
  <c r="C112" i="1"/>
  <c r="F112" i="1"/>
  <c r="AG112" i="1" s="1"/>
  <c r="F109" i="1"/>
  <c r="AG109" i="1" s="1"/>
  <c r="BA185" i="1" l="1"/>
  <c r="BA243" i="1" s="1"/>
  <c r="BA100" i="1"/>
  <c r="BB100" i="1" s="1"/>
  <c r="BC100" i="1" s="1"/>
  <c r="BD100" i="1" s="1"/>
  <c r="S112" i="1"/>
  <c r="R50" i="1"/>
  <c r="E185" i="1"/>
  <c r="E243" i="1" s="1"/>
  <c r="C102" i="1"/>
  <c r="F185" i="1"/>
  <c r="F243" i="1" s="1"/>
  <c r="Q184" i="1"/>
  <c r="Q242" i="1" s="1"/>
  <c r="BE100" i="1" l="1"/>
  <c r="BD186" i="1"/>
  <c r="BD244" i="1" s="1"/>
  <c r="BD102" i="1"/>
  <c r="BC186" i="1"/>
  <c r="BC244" i="1" s="1"/>
  <c r="BC102" i="1"/>
  <c r="BB186" i="1"/>
  <c r="BB244" i="1" s="1"/>
  <c r="BB102" i="1"/>
  <c r="BA102" i="1"/>
  <c r="BA186" i="1"/>
  <c r="BA244" i="1" s="1"/>
  <c r="C186" i="1"/>
  <c r="C244" i="1" s="1"/>
  <c r="BF100" i="1" l="1"/>
  <c r="BE186" i="1"/>
  <c r="BE244" i="1" s="1"/>
  <c r="BE102" i="1"/>
  <c r="D102" i="1"/>
  <c r="E100" i="1"/>
  <c r="Q100" i="1" s="1"/>
  <c r="D186" i="1"/>
  <c r="D244" i="1" s="1"/>
  <c r="R99" i="1"/>
  <c r="R184" i="1"/>
  <c r="R242" i="1" s="1"/>
  <c r="BF102" i="1" l="1"/>
  <c r="BF186" i="1"/>
  <c r="BF244" i="1" s="1"/>
  <c r="O100" i="1"/>
  <c r="O102" i="1" s="1"/>
  <c r="R100" i="1"/>
  <c r="S100" i="1" s="1"/>
  <c r="E186" i="1"/>
  <c r="E244" i="1" s="1"/>
  <c r="E102" i="1"/>
  <c r="F100" i="1"/>
  <c r="G100" i="1" s="1"/>
  <c r="H100" i="1" s="1"/>
  <c r="J100" i="1" s="1"/>
  <c r="R185" i="1"/>
  <c r="R243" i="1" s="1"/>
  <c r="O186" i="1" l="1"/>
  <c r="O244" i="1" s="1"/>
  <c r="L100" i="1"/>
  <c r="K100" i="1"/>
  <c r="J102" i="1"/>
  <c r="J186" i="1"/>
  <c r="J244" i="1" s="1"/>
  <c r="I100" i="1"/>
  <c r="I186" i="1" s="1"/>
  <c r="I244" i="1" s="1"/>
  <c r="H102" i="1"/>
  <c r="H186" i="1"/>
  <c r="H244" i="1" s="1"/>
  <c r="T100" i="1"/>
  <c r="G186" i="1"/>
  <c r="G244" i="1" s="1"/>
  <c r="G102" i="1"/>
  <c r="F102" i="1"/>
  <c r="F186" i="1"/>
  <c r="F244" i="1" s="1"/>
  <c r="M100" i="1" l="1"/>
  <c r="K102" i="1"/>
  <c r="K186" i="1"/>
  <c r="K244" i="1" s="1"/>
  <c r="I102" i="1"/>
  <c r="U100" i="1"/>
  <c r="V100" i="1" s="1"/>
  <c r="W100" i="1" s="1"/>
  <c r="X100" i="1" s="1"/>
  <c r="Y100" i="1" s="1"/>
  <c r="T186" i="1"/>
  <c r="T244" i="1" s="1"/>
  <c r="T102" i="1"/>
  <c r="Q186" i="1"/>
  <c r="Q244" i="1" s="1"/>
  <c r="M186" i="1" l="1"/>
  <c r="M244" i="1" s="1"/>
  <c r="N100" i="1"/>
  <c r="M102" i="1"/>
  <c r="L102" i="1"/>
  <c r="L186" i="1"/>
  <c r="L244" i="1" s="1"/>
  <c r="Z100" i="1"/>
  <c r="AA100" i="1" s="1"/>
  <c r="Y186" i="1"/>
  <c r="Y244" i="1" s="1"/>
  <c r="Y102" i="1"/>
  <c r="X186" i="1"/>
  <c r="X244" i="1" s="1"/>
  <c r="X102" i="1"/>
  <c r="W186" i="1"/>
  <c r="W244" i="1" s="1"/>
  <c r="W102" i="1"/>
  <c r="V186" i="1"/>
  <c r="V244" i="1" s="1"/>
  <c r="V102" i="1"/>
  <c r="U102" i="1"/>
  <c r="U186" i="1"/>
  <c r="U244" i="1" s="1"/>
  <c r="S102" i="1"/>
  <c r="S186" i="1"/>
  <c r="S244" i="1" s="1"/>
  <c r="R102" i="1"/>
  <c r="R186" i="1"/>
  <c r="R244" i="1" s="1"/>
  <c r="AP261" i="1"/>
  <c r="AP47" i="1"/>
  <c r="AP50" i="1" s="1"/>
  <c r="AQ47" i="1"/>
  <c r="AQ50" i="1" s="1"/>
  <c r="N102" i="1" l="1"/>
  <c r="N186" i="1"/>
  <c r="N244" i="1" s="1"/>
  <c r="AA186" i="1"/>
  <c r="AA244" i="1" s="1"/>
  <c r="AB100" i="1"/>
  <c r="AC100" i="1" s="1"/>
  <c r="AD100" i="1" s="1"/>
  <c r="AA102" i="1"/>
  <c r="Z186" i="1"/>
  <c r="Z244" i="1" s="1"/>
  <c r="Z102" i="1"/>
  <c r="AS10" i="1"/>
  <c r="AS20" i="1" s="1"/>
  <c r="AD186" i="1" l="1"/>
  <c r="AD244" i="1" s="1"/>
  <c r="AD102" i="1"/>
  <c r="AC102" i="1"/>
  <c r="AC186" i="1"/>
  <c r="AC244" i="1" s="1"/>
  <c r="AB186" i="1"/>
  <c r="AB244" i="1" s="1"/>
  <c r="AB102" i="1"/>
  <c r="AW21" i="1"/>
  <c r="X10" i="1"/>
  <c r="V16" i="2" l="1"/>
  <c r="X20" i="1"/>
  <c r="AV107" i="1"/>
  <c r="AU107" i="1"/>
  <c r="AS80" i="1"/>
  <c r="AT107" i="1"/>
  <c r="AS54" i="1"/>
  <c r="AS60" i="1"/>
  <c r="AS24" i="1"/>
  <c r="AS34" i="1" s="1"/>
  <c r="AS35" i="1" s="1"/>
  <c r="AS163" i="1"/>
  <c r="AS221" i="1" s="1"/>
  <c r="AW222" i="1" s="1"/>
  <c r="AS55" i="1"/>
  <c r="AS59" i="1"/>
  <c r="AS21" i="1"/>
  <c r="AS57" i="1"/>
  <c r="AS56" i="1"/>
  <c r="AS58" i="1"/>
  <c r="AS53" i="1"/>
  <c r="AA21" i="1"/>
  <c r="AU66" i="1" l="1"/>
  <c r="AU123" i="1"/>
  <c r="AU151" i="1"/>
  <c r="AU209" i="1" s="1"/>
  <c r="AV66" i="1"/>
  <c r="AV151" i="1"/>
  <c r="AV209" i="1" s="1"/>
  <c r="AV123" i="1"/>
  <c r="X53" i="1"/>
  <c r="Y107" i="1"/>
  <c r="AS167" i="1"/>
  <c r="AS225" i="1"/>
  <c r="AS222" i="1"/>
  <c r="AT151" i="1"/>
  <c r="AT209" i="1" s="1"/>
  <c r="AT66" i="1"/>
  <c r="AT123" i="1"/>
  <c r="AS40" i="1"/>
  <c r="AS43" i="1" s="1"/>
  <c r="AS70" i="1"/>
  <c r="X163" i="1"/>
  <c r="X57" i="1"/>
  <c r="X54" i="1"/>
  <c r="X59" i="1"/>
  <c r="X58" i="1"/>
  <c r="X24" i="1"/>
  <c r="X80" i="1"/>
  <c r="X107" i="1"/>
  <c r="X56" i="1"/>
  <c r="X60" i="1"/>
  <c r="X55" i="1"/>
  <c r="X34" i="1" l="1"/>
  <c r="X35" i="1" s="1"/>
  <c r="AA25" i="1"/>
  <c r="AV211" i="1"/>
  <c r="AV153" i="1"/>
  <c r="AV108" i="1"/>
  <c r="AU108" i="1"/>
  <c r="AU211" i="1"/>
  <c r="AU153" i="1"/>
  <c r="AT112" i="1"/>
  <c r="AV112" i="1"/>
  <c r="AU112" i="1"/>
  <c r="Y123" i="1"/>
  <c r="Y66" i="1"/>
  <c r="Y151" i="1"/>
  <c r="Y209" i="1" s="1"/>
  <c r="AS73" i="1"/>
  <c r="AW74" i="1" s="1"/>
  <c r="AT108" i="1"/>
  <c r="AT211" i="1"/>
  <c r="AT153" i="1"/>
  <c r="AS63" i="1"/>
  <c r="X221" i="1"/>
  <c r="X225" i="1" s="1"/>
  <c r="X167" i="1"/>
  <c r="X66" i="1"/>
  <c r="X151" i="1"/>
  <c r="X209" i="1" s="1"/>
  <c r="X123" i="1"/>
  <c r="AS47" i="1"/>
  <c r="AS50" i="1" s="1"/>
  <c r="AS44" i="1"/>
  <c r="X70" i="1" l="1"/>
  <c r="Y108" i="1" s="1"/>
  <c r="X40" i="1"/>
  <c r="V76" i="2" s="1"/>
  <c r="AS74" i="1"/>
  <c r="AV109" i="1"/>
  <c r="AU109" i="1"/>
  <c r="Y211" i="1"/>
  <c r="Y153" i="1"/>
  <c r="AS75" i="1"/>
  <c r="AT109" i="1"/>
  <c r="AS77" i="1"/>
  <c r="X153" i="1"/>
  <c r="X211" i="1"/>
  <c r="X108" i="1" l="1"/>
  <c r="X73" i="1"/>
  <c r="AA74" i="1" s="1"/>
  <c r="X43" i="1"/>
  <c r="Y112" i="1" s="1"/>
  <c r="X63" i="1"/>
  <c r="X44" i="1" l="1"/>
  <c r="X77" i="1"/>
  <c r="X109" i="1"/>
  <c r="X75" i="1"/>
  <c r="Y109" i="1"/>
  <c r="X74" i="1"/>
  <c r="X112" i="1"/>
  <c r="Z74" i="1"/>
  <c r="X47" i="1"/>
  <c r="X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Crisil Integral IQ</author>
    <author>Kshitij Manish Garg</author>
    <author>Meghana Ramesh Gollapudi</author>
    <author>Roshni Arunkumar</author>
  </authors>
  <commentList>
    <comment ref="I7" authorId="0" shapeId="0" xr:uid="{2777E7CA-FD20-408F-B685-9B63B2C8410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 ppt, page no 41/47</t>
        </r>
      </text>
    </comment>
    <comment ref="J8" authorId="0" shapeId="0" xr:uid="{DD21F356-669E-458B-AACF-E6FCF3D1DC3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Bonds + Interest-bearing loans and borrowings from financial institutions (page no 45/51)</t>
        </r>
      </text>
    </comment>
    <comment ref="J12" authorId="0" shapeId="0" xr:uid="{B0EDC9A3-EF21-4167-A22C-D1FDE85BD48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 other details provided for noarmailzed net debt in the report.</t>
        </r>
      </text>
    </comment>
    <comment ref="C25" authorId="1" shapeId="0" xr:uid="{1AA625A7-1342-47C4-8F0C-5D413D354299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Taken from PPT, page no 26/47</t>
        </r>
      </text>
    </comment>
    <comment ref="C36" authorId="0" shapeId="0" xr:uid="{89A28198-8E1E-4973-8AC0-FFF6340122E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Due to inclusion of financial costs of raisng debt, the value is slightly different than total debt in Balance sheet</t>
        </r>
      </text>
    </comment>
    <comment ref="I43" authorId="0" shapeId="0" xr:uid="{98D18D43-6DE1-4386-81AA-D1A15CF8F8E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FY25 ppt, page no 28/51</t>
        </r>
      </text>
    </comment>
    <comment ref="J44" authorId="0" shapeId="0" xr:uid="{9ACD6F97-5427-4A1C-B863-7E947B6B3A8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Bonds + Interest-bearing loans and borrowings from financial institutions (page no 45/51)</t>
        </r>
      </text>
    </comment>
    <comment ref="J48" authorId="0" shapeId="0" xr:uid="{B3451C75-EC7C-426C-8BC1-60C69071FC1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 other details provided for noarmailzed net debt in the report.</t>
        </r>
      </text>
    </comment>
    <comment ref="C61" authorId="1" shapeId="0" xr:uid="{A1309D57-3938-4F2A-B14E-3D8359EC350D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Taken from PPT, page no 27/51</t>
        </r>
      </text>
    </comment>
    <comment ref="C72" authorId="0" shapeId="0" xr:uid="{6FC88AFE-10EE-46AB-B516-81FEDF787ED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Due to inclusion of financial costs of raisng debt, the value is slightly different than total debt in Balance sheet</t>
        </r>
      </text>
    </comment>
    <comment ref="I112" authorId="0" shapeId="0" xr:uid="{79BB8001-1C72-467F-ABE3-D40DC88E613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J113" authorId="0" shapeId="0" xr:uid="{D6F565C5-979F-482F-BCC3-215207A4C48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Bonds + Interest-bearing loans and borrowings from financial institutions</t>
        </r>
      </text>
    </comment>
    <comment ref="J117" authorId="0" shapeId="0" xr:uid="{8C578EEA-3520-40DC-9EEF-C1CCCB856DF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 other details provided for noarmailzed net debt in the report.</t>
        </r>
      </text>
    </comment>
    <comment ref="C129" authorId="0" shapeId="0" xr:uid="{00AD92CB-DD23-4B4B-9F07-E8D75A17CF3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C141" authorId="0" shapeId="0" xr:uid="{45D84CE3-4A09-4E75-BE3B-4DE72BBF7E89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Due to inclusion of financial costs of raisng debt, the value is slightly different than total debt in Balance sheet</t>
        </r>
      </text>
    </comment>
    <comment ref="I151" authorId="0" shapeId="0" xr:uid="{4C2F6C4E-5C53-4C71-8EAD-1EB6B390EAE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J152" authorId="0" shapeId="0" xr:uid="{A0C83E50-7B1C-43DA-8F1D-5356BC1D9E2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Bonds + Interest-bearing loans and borrowings from financial institutions</t>
        </r>
      </text>
    </comment>
    <comment ref="J156" authorId="0" shapeId="0" xr:uid="{DCC8128C-3F96-477B-8A48-3AEA019DB2A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 other details provided for noarmailzed net debt in the report.</t>
        </r>
      </text>
    </comment>
    <comment ref="C179" authorId="0" shapeId="0" xr:uid="{EFFF1BCF-70C0-4613-813C-7B72CFB637F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Due to inclusion of financial costs of raisng debt, the value is slightly higher than total debt in Balance sheet</t>
        </r>
      </text>
    </comment>
    <comment ref="I187" authorId="0" shapeId="0" xr:uid="{0F6BA253-C22D-4212-BD6D-0A892CF8877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J188" authorId="0" shapeId="0" xr:uid="{F26FE85F-59ED-4D73-AB40-E3C1D9D2AA2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Bonds + Interest-bearing loans and borrowings from financial institutions</t>
        </r>
      </text>
    </comment>
    <comment ref="J192" authorId="0" shapeId="0" xr:uid="{4B2B2712-5861-43C1-BBF4-D46121447E0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 other details provided for noarmailzed net debt in the report.</t>
        </r>
      </text>
    </comment>
    <comment ref="C215" authorId="0" shapeId="0" xr:uid="{537C180A-D657-45C7-9724-94B0EAC3D39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Due to inclusion of financial costs of raisng debt, the value is slightly higher than total debt in Balance sheet</t>
        </r>
      </text>
    </comment>
    <comment ref="I221" authorId="0" shapeId="0" xr:uid="{BD56C170-0507-4B40-B915-601F6791685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J222" authorId="0" shapeId="0" xr:uid="{3104B513-E44A-43B7-A1A4-776F50F0285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Bonds + Interest-bearing loans and borrowings from financial institutions</t>
        </r>
      </text>
    </comment>
    <comment ref="I226" authorId="0" shapeId="0" xr:uid="{58E1CF44-FEE8-46D0-8A80-7F51F6D80C2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Annual report</t>
        </r>
      </text>
    </comment>
    <comment ref="J226" authorId="0" shapeId="0" xr:uid="{D57A9068-B1A6-4C03-BDCD-A7F9551059C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 other details provided for noarmailzed net debt in the report.</t>
        </r>
      </text>
    </comment>
    <comment ref="C410" authorId="2" shapeId="0" xr:uid="{DEA6A79E-EFB2-4AD3-AB36-016D1A005407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C452" authorId="2" shapeId="0" xr:uid="{4DBE59B3-5FAC-47A7-A7D2-7FCF7B18F9A9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C494" authorId="2" shapeId="0" xr:uid="{39DAF70A-CFEB-4603-8057-7259970DFA7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C537" authorId="2" shapeId="0" xr:uid="{9129DDE3-B2B0-46BB-B5AF-E6362756FAB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C580" authorId="2" shapeId="0" xr:uid="{9E6FB6E6-93BA-48A2-B222-3E22040C1FA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C620" authorId="2" shapeId="0" xr:uid="{3E710541-BCE5-4A0D-B1E6-9050A1670DAF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C692" authorId="3" shapeId="0" xr:uid="{00000000-0006-0000-0000-000001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C726" authorId="3" shapeId="0" xr:uid="{00000000-0006-0000-0000-000002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C761" authorId="3" shapeId="0" xr:uid="{00000000-0006-0000-0000-000003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I772" authorId="4" shapeId="0" xr:uid="{00000000-0006-0000-0000-000004000000}">
      <text>
        <r>
          <rPr>
            <sz val="9"/>
            <color indexed="81"/>
            <rFont val="Tahoma"/>
            <family val="2"/>
          </rPr>
          <t>EUR 200m 4.5 yr unsecured RCF (drawn in Mar-2020)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Roshni Arunkumar</author>
    <author>Meghana Ramesh Gollapudi</author>
    <author>Kshitij Manish Garg</author>
    <author>JayT</author>
    <author>Crisil Integral IQ</author>
    <author>Dhriti Jain</author>
    <author>Yogesh Sheth</author>
    <author>Pramod Vasant Doke</author>
  </authors>
  <commentList>
    <comment ref="BB43" authorId="0" shapeId="0" xr:uid="{6E918C86-DBF0-4DF9-8949-AA6DF30B9A8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Difference due to rounding errors in totals givne by company</t>
        </r>
      </text>
    </comment>
    <comment ref="BF43" authorId="0" shapeId="0" xr:uid="{16CFAC68-10A8-4CFC-BBBA-C5827CC96E4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Difference due to rounding errors in totals givne by company</t>
        </r>
      </text>
    </comment>
    <comment ref="B77" authorId="0" shapeId="0" xr:uid="{47DC58B8-B945-46FD-BE4B-82CA9535C6E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includes impairement and other non-recurring items</t>
        </r>
      </text>
    </comment>
    <comment ref="B78" authorId="1" shapeId="0" xr:uid="{00000000-0006-0000-0100-000001000000}">
      <text>
        <r>
          <rPr>
            <sz val="9"/>
            <color indexed="81"/>
            <rFont val="Tahoma"/>
            <family val="2"/>
          </rPr>
          <t>Earnings before finance cost, tax, depreciation, amortisation
of other non-current assets, purchase gain on acquisition of
subsidiaries, fair value movement, and other non-operational
and/or non-recurring income and expense items. This
includes the share of minority interests.</t>
        </r>
      </text>
    </comment>
    <comment ref="L78" authorId="0" shapeId="0" xr:uid="{59EDB102-6007-4709-8AF6-A60EDC79B88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Compnay reported (page 56/408 annual report FY25): Adjusted EBITDA excluding net revaluation result
and non-recurring items increased from €604.0 million
in 2024 to €701.2 million in 2025</t>
        </r>
      </text>
    </comment>
    <comment ref="M78" authorId="0" shapeId="0" xr:uid="{6399694B-2E42-462C-93A1-FA443974EB7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Compnay reported (page 50/390 annual report FY24): Adjusted EBITDA excluding net revaluation result
and non-recurring items stood at EUR 604.0mn, up 27.8% year-on-year.</t>
        </r>
      </text>
    </comment>
    <comment ref="N78" authorId="0" shapeId="0" xr:uid="{79A8BE22-A25F-492B-9767-5C386DEE7C9D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Compnay reported (page 56/408 annual report FY25): Adjusted EBITDA excluding net revaluation result
and non-recurring items increased from €604.0 million
in 2024 to €701.2 million in 2025</t>
        </r>
      </text>
    </comment>
    <comment ref="AF83" authorId="2" shapeId="0" xr:uid="{00000000-0006-0000-0100-000002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G83" authorId="2" shapeId="0" xr:uid="{00000000-0006-0000-0100-000003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H83" authorId="2" shapeId="0" xr:uid="{00000000-0006-0000-0100-000004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I83" authorId="2" shapeId="0" xr:uid="{00000000-0006-0000-0100-000005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J83" authorId="2" shapeId="0" xr:uid="{00000000-0006-0000-0100-000006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K83" authorId="2" shapeId="0" xr:uid="{00000000-0006-0000-0100-000007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L83" authorId="2" shapeId="0" xr:uid="{00000000-0006-0000-0100-000008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N83" authorId="2" shapeId="0" xr:uid="{00000000-0006-0000-0100-000009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O83" authorId="2" shapeId="0" xr:uid="{3D149EED-F7B3-4C2C-9657-7878067C9EA1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P83" authorId="3" shapeId="0" xr:uid="{D68CE38D-2736-4F32-85E2-95F8B1A0493D}">
      <text>
        <r>
          <rPr>
            <sz val="9"/>
            <color indexed="81"/>
            <rFont val="Tahoma"/>
            <family val="2"/>
          </rPr>
          <t>data n.a</t>
        </r>
      </text>
    </comment>
    <comment ref="AQ83" authorId="3" shapeId="0" xr:uid="{D253E177-728D-48D0-8B57-FE320B344DCB}">
      <text>
        <r>
          <rPr>
            <sz val="9"/>
            <color indexed="81"/>
            <rFont val="Tahoma"/>
            <family val="2"/>
          </rPr>
          <t>data n.a</t>
        </r>
      </text>
    </comment>
    <comment ref="AR83" authorId="2" shapeId="0" xr:uid="{105E3553-A81F-4BA8-ADFA-E3D056ABE99D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S83" authorId="2" shapeId="0" xr:uid="{9BEB7BC5-6B11-4B62-93A0-33C254FEB3C4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B84" authorId="0" shapeId="0" xr:uid="{05B0A817-D9C4-4970-8337-57EBE793819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Includes:
* trade receivables and other items
* trade payables and other items
* contract assets</t>
        </r>
      </text>
    </comment>
    <comment ref="B89" authorId="0" shapeId="0" xr:uid="{DF08BAC6-4C3A-4EC3-9EC5-E3A7EAA8952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includes
* investment property
* PPE and intangible assets
* development of investment property</t>
        </r>
      </text>
    </comment>
    <comment ref="F89" authorId="4" shapeId="0" xr:uid="{00000000-0006-0000-0100-00000A000000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G89" authorId="4" shapeId="0" xr:uid="{00000000-0006-0000-0100-00000B000000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H89" authorId="4" shapeId="0" xr:uid="{DB30DD07-0371-4466-940D-E9500A3FF2AF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I89" authorId="4" shapeId="0" xr:uid="{B2C89D25-98B6-469C-9B8B-0834D12B9733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J89" authorId="4" shapeId="0" xr:uid="{8C2D5B47-98AE-4D3E-9576-D840481E47CA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K89" authorId="4" shapeId="0" xr:uid="{C707F765-2F67-4E80-9259-8FFAA66DA2C2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L89" authorId="4" shapeId="0" xr:uid="{4E1F4107-4C6F-49C6-ADC9-047AB243B9C9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M89" authorId="4" shapeId="0" xr:uid="{FF903D74-D936-40A8-AB0C-5F035E8C7B43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Development of investment property</t>
        </r>
      </text>
    </comment>
    <comment ref="N89" authorId="5" shapeId="0" xr:uid="{495123B1-B795-4C0C-9B22-14C2512CC1D4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12 months includes:
* Acquisition of investment property -134.5
* Acquisition of PPE and intangible assets -44.5
* Advances paid for investment property and PPE -50.5
* Development of investment property -965.5 </t>
        </r>
      </text>
    </comment>
    <comment ref="Q89" authorId="4" shapeId="0" xr:uid="{00000000-0006-0000-0100-00000C000000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S89" authorId="4" shapeId="0" xr:uid="{00000000-0006-0000-0100-00000D000000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U89" authorId="4" shapeId="0" xr:uid="{00000000-0006-0000-0100-00000E000000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W89" authorId="3" shapeId="0" xr:uid="{1D56E5C0-0DAC-4A64-8BB8-8386EE861640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development of investment property</t>
        </r>
      </text>
    </comment>
    <comment ref="Y89" authorId="3" shapeId="0" xr:uid="{25BC04A2-5E4C-4CC2-BAF9-7548D2D14F5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development of investment property</t>
        </r>
      </text>
    </comment>
    <comment ref="AA89" authorId="3" shapeId="0" xr:uid="{E38F501E-650C-4900-9E1A-935A8DE3ABF1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Also includes development of investment property</t>
        </r>
      </text>
    </comment>
    <comment ref="AT89" authorId="4" shapeId="0" xr:uid="{49623875-A7E2-44A7-9194-C071D04951B9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AX89" authorId="4" shapeId="0" xr:uid="{1B738E13-3C90-453B-B3D1-F14D8DEA618D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BB89" authorId="4" shapeId="0" xr:uid="{BD1FCB85-2C9E-4138-9F8E-6980BF5E6A79}">
      <text>
        <r>
          <rPr>
            <b/>
            <sz val="9"/>
            <color indexed="81"/>
            <rFont val="Tahoma"/>
            <family val="2"/>
          </rPr>
          <t xml:space="preserve">Also includes
</t>
        </r>
        <r>
          <rPr>
            <sz val="9"/>
            <color indexed="81"/>
            <rFont val="Tahoma"/>
            <family val="2"/>
          </rPr>
          <t>*Development of investment property</t>
        </r>
      </text>
    </comment>
    <comment ref="N90" authorId="5" shapeId="0" xr:uid="{F92D43D0-8C4A-4021-B5EE-022D8AF8C4D9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12M includes:
*Acquisition of subsidiaries, net of cash acquired -168.8
*Pre-acquisition loans and borrowings provided to acquired subsidiaries -162.3</t>
        </r>
      </text>
    </comment>
    <comment ref="M92" authorId="0" shapeId="0" xr:uid="{7F11F4EE-45EB-4317-A4B1-C3DB0393373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Proceeds from loans and borrowings provided
to related parties</t>
        </r>
      </text>
    </comment>
    <comment ref="BF92" authorId="5" shapeId="0" xr:uid="{E888A78D-64C6-4AB9-8482-57F11A6ECD2C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3m includes:
*Advances paid for investment property and PPE (1.5)</t>
        </r>
      </text>
    </comment>
    <comment ref="M93" authorId="0" shapeId="0" xr:uid="{1CD08978-BEA8-4D29-B540-07178254DF9E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Includes proceeds from the issue of share capital</t>
        </r>
      </text>
    </comment>
    <comment ref="N93" authorId="5" shapeId="0" xr:uid="{D4258407-2DCF-4A45-997F-931285405773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12M includes:
* Dividends paid -83.7</t>
        </r>
      </text>
    </comment>
    <comment ref="M94" authorId="0" shapeId="0" xr:uid="{BE327A30-0150-43CB-B86F-194957B198CF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Includes bonds issued</t>
        </r>
      </text>
    </comment>
    <comment ref="N94" authorId="5" shapeId="0" xr:uid="{0C95B21B-2221-4E3C-BB9C-E2523879F046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12M include:
* Bonds issued 1,596.2
* Repayment of interest-bearing loans and borrowings/bonds -1,248.3
* Proceeds from interest-bearing loans and borrowings 764.8
* Payment of lease liabilities -4.6</t>
        </r>
      </text>
    </comment>
    <comment ref="N95" authorId="5" shapeId="0" xr:uid="{67C66063-CD62-48DA-B288-C51ABEAB7A69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12M includes:
* Transaction costs related to loans and borrowings/bonds -32.4</t>
        </r>
      </text>
    </comment>
    <comment ref="BD95" authorId="0" shapeId="0" xr:uid="{7B9B8895-7600-4BC8-AB88-D7B9903EB187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9M includes:
* Transaction costs related to loans and borrowings/bonds: -27.1</t>
        </r>
      </text>
    </comment>
    <comment ref="BF95" authorId="5" shapeId="0" xr:uid="{E141AB28-C671-43F3-9404-B68B86293257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3M include:
*Transaction costs related to loans and borrowings/bonds (6.9)
*Payment of lease liabilities (1.4)</t>
        </r>
      </text>
    </comment>
    <comment ref="N97" authorId="0" shapeId="0" xr:uid="{A1AD62F1-DDAA-4BBD-9B19-755A86520A2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iis due to use of EBITDA instead of net profit and other adjustments apart from working capital, majolry:
* Impairment of goodwill: 113.6
* Net interest expenses: 266.8
* Other changes : -10.9</t>
        </r>
      </text>
    </comment>
    <comment ref="E98" authorId="4" shapeId="0" xr:uid="{00000000-0006-0000-0100-00000F000000}">
      <text>
        <r>
          <rPr>
            <sz val="9"/>
            <color indexed="81"/>
            <rFont val="Tahoma"/>
            <family val="2"/>
          </rPr>
          <t>Cash and cash equivalents reclassified from asset held for sale</t>
        </r>
      </text>
    </comment>
    <comment ref="B118" authorId="0" shapeId="0" xr:uid="{5744C907-5045-4270-A3FA-31DB0362AFC2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Includes
* Investment property
* Investment property under development
* Property, plant and equipment</t>
        </r>
      </text>
    </comment>
    <comment ref="B120" authorId="0" shapeId="0" xr:uid="{C4FFAD86-7ECE-4DF1-A6D4-DED76D724D9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contract assets</t>
        </r>
      </text>
    </comment>
    <comment ref="N120" authorId="5" shapeId="0" xr:uid="{FFDAB00D-3E84-499C-A332-1EA244BB5286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Contract assets 36.5</t>
        </r>
      </text>
    </comment>
    <comment ref="N147" authorId="5" shapeId="0" xr:uid="{D3705CF7-507D-4386-8631-5E14326BD690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Annual report FY25, page no 17/408</t>
        </r>
      </text>
    </comment>
    <comment ref="AX147" authorId="6" shapeId="0" xr:uid="{6479E17B-509F-44D1-A11F-2A3E140E423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PPT</t>
        </r>
      </text>
    </comment>
    <comment ref="BB147" authorId="6" shapeId="0" xr:uid="{57409BBA-0F8E-418A-B89E-C71C0AE988B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PPT</t>
        </r>
      </text>
    </comment>
    <comment ref="BD147" authorId="6" shapeId="0" xr:uid="{AA39C3CB-7082-4AA5-919D-2634A348968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PPT</t>
        </r>
      </text>
    </comment>
    <comment ref="BF147" authorId="6" shapeId="0" xr:uid="{3C90BF06-E4A5-47A1-BA7E-1DF22061820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PPT</t>
        </r>
      </text>
    </comment>
    <comment ref="B203" authorId="7" shapeId="0" xr:uid="{00000000-0006-0000-0100-000011000000}">
      <text>
        <r>
          <rPr>
            <b/>
            <sz val="9"/>
            <color indexed="81"/>
            <rFont val="Tahoma"/>
            <family val="2"/>
          </rPr>
          <t xml:space="preserve">CRISIL GR&amp;A: </t>
        </r>
        <r>
          <rPr>
            <sz val="9"/>
            <color indexed="81"/>
            <rFont val="Tahoma"/>
            <family val="2"/>
          </rPr>
          <t xml:space="preserve">Exchange rate used by the company to convert INR to USD
</t>
        </r>
      </text>
    </comment>
    <comment ref="AN203" authorId="8" shapeId="0" xr:uid="{00000000-0006-0000-0100-000012000000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  <comment ref="AP203" authorId="3" shapeId="0" xr:uid="{F0DE9657-86EA-424B-A43B-7D55304C9B34}">
      <text>
        <r>
          <rPr>
            <b/>
            <sz val="9"/>
            <color indexed="81"/>
            <rFont val="Tahoma"/>
            <family val="2"/>
          </rPr>
          <t xml:space="preserve">Crisil GR&amp;A:
taken from investing.com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203" authorId="3" shapeId="0" xr:uid="{7487FBFE-FB75-484C-B44F-844E16E37361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  <comment ref="AR203" authorId="8" shapeId="0" xr:uid="{E5CE814D-2388-4A94-96C1-951840F891E5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  <comment ref="AT203" authorId="3" shapeId="0" xr:uid="{8D2BF102-9BA4-402E-9A79-AF702C348212}">
      <text>
        <r>
          <rPr>
            <b/>
            <sz val="9"/>
            <color indexed="81"/>
            <rFont val="Tahoma"/>
            <family val="2"/>
          </rPr>
          <t xml:space="preserve">Crisil GR&amp;A:
taken from investing.com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203" authorId="3" shapeId="0" xr:uid="{F7070423-FE44-4C43-93FB-7CAD9C1B7175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  <comment ref="AV203" authorId="8" shapeId="0" xr:uid="{D642F6BE-C9CB-42B4-867A-6C4FA5428FB2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  <comment ref="AW203" authorId="8" shapeId="0" xr:uid="{6B70A82D-BE04-492D-BC66-532725B26DEC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  <comment ref="AN204" authorId="8" shapeId="0" xr:uid="{00000000-0006-0000-0100-000013000000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  <comment ref="AR204" authorId="8" shapeId="0" xr:uid="{60C38C70-FC0D-410E-9C1F-8AF3F38B8BF7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  <comment ref="AV204" authorId="8" shapeId="0" xr:uid="{76C2B135-93A2-4A66-950A-6B3D9F43FE74}">
      <text>
        <r>
          <rPr>
            <b/>
            <sz val="9"/>
            <color indexed="81"/>
            <rFont val="Tahoma"/>
            <family val="2"/>
          </rPr>
          <t>Taken from Investing.com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 Integral IQ</author>
    <author>Meghana Ramesh Gollapudi</author>
    <author>Kshitij Manish Garg</author>
    <author>Crisil GR&amp;RS</author>
  </authors>
  <commentList>
    <comment ref="L9" authorId="0" shapeId="0" xr:uid="{FCD11180-2EC3-4136-8873-AFA7AD2C3B68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Annual report FY25, page no 242/408</t>
        </r>
      </text>
    </comment>
    <comment ref="AD9" authorId="1" shapeId="0" xr:uid="{00000000-0006-0000-0200-000001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E9" authorId="1" shapeId="0" xr:uid="{00000000-0006-0000-0200-000002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H9" authorId="1" shapeId="0" xr:uid="{00000000-0006-0000-0200-000003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I9" authorId="1" shapeId="0" xr:uid="{00000000-0006-0000-0200-000004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N9" authorId="2" shapeId="0" xr:uid="{981D1C48-3E5A-4EF3-867B-B53DF035E882}">
      <text>
        <r>
          <rPr>
            <b/>
            <sz val="9"/>
            <color indexed="81"/>
            <rFont val="Tahoma"/>
            <family val="2"/>
          </rPr>
          <t>Crsisil GR&amp;A:</t>
        </r>
        <r>
          <rPr>
            <sz val="9"/>
            <color indexed="81"/>
            <rFont val="Tahoma"/>
            <family val="2"/>
          </rPr>
          <t xml:space="preserve">
Data n.a </t>
        </r>
      </text>
    </comment>
    <comment ref="AR9" authorId="2" shapeId="0" xr:uid="{8588A88F-3EE7-46B4-9838-353FAF644753}">
      <text>
        <r>
          <rPr>
            <b/>
            <sz val="9"/>
            <color indexed="81"/>
            <rFont val="Tahoma"/>
            <family val="2"/>
          </rPr>
          <t>Crsisil GR&amp;A:</t>
        </r>
        <r>
          <rPr>
            <sz val="9"/>
            <color indexed="81"/>
            <rFont val="Tahoma"/>
            <family val="2"/>
          </rPr>
          <t xml:space="preserve">
Data n.a </t>
        </r>
      </text>
    </comment>
    <comment ref="AV9" authorId="2" shapeId="0" xr:uid="{6881E369-8723-412B-8DC1-3DC106A2959F}">
      <text>
        <r>
          <rPr>
            <b/>
            <sz val="9"/>
            <color indexed="81"/>
            <rFont val="Tahoma"/>
            <family val="2"/>
          </rPr>
          <t>Crsisil GR&amp;A:</t>
        </r>
        <r>
          <rPr>
            <sz val="9"/>
            <color indexed="81"/>
            <rFont val="Tahoma"/>
            <family val="2"/>
          </rPr>
          <t xml:space="preserve">
Data n.a </t>
        </r>
      </text>
    </comment>
    <comment ref="AZ9" authorId="2" shapeId="0" xr:uid="{22977B2F-3781-4388-B27B-E4217280C7D6}">
      <text>
        <r>
          <rPr>
            <b/>
            <sz val="9"/>
            <color indexed="81"/>
            <rFont val="Tahoma"/>
            <family val="2"/>
          </rPr>
          <t>Crsisil GR&amp;A:</t>
        </r>
        <r>
          <rPr>
            <sz val="9"/>
            <color indexed="81"/>
            <rFont val="Tahoma"/>
            <family val="2"/>
          </rPr>
          <t xml:space="preserve">
Data n.a </t>
        </r>
      </text>
    </comment>
    <comment ref="BD9" authorId="2" shapeId="0" xr:uid="{FA27F2BC-4493-4EF5-9B8F-38673B142F29}">
      <text>
        <r>
          <rPr>
            <b/>
            <sz val="9"/>
            <color indexed="81"/>
            <rFont val="Tahoma"/>
            <family val="2"/>
          </rPr>
          <t>Crsisil GR&amp;A:</t>
        </r>
        <r>
          <rPr>
            <sz val="9"/>
            <color indexed="81"/>
            <rFont val="Tahoma"/>
            <family val="2"/>
          </rPr>
          <t xml:space="preserve">
Data n.a </t>
        </r>
      </text>
    </comment>
    <comment ref="I13" authorId="3" shapeId="0" xr:uid="{B58B7C78-D565-44C0-A2A0-5DDCBF69B755}">
      <text>
        <r>
          <rPr>
            <b/>
            <sz val="9"/>
            <color indexed="81"/>
            <rFont val="Tahoma"/>
            <family val="2"/>
          </rPr>
          <t>Crisil GR&amp;A:
Includes rental income from Netherlands and Germany</t>
        </r>
      </text>
    </comment>
    <comment ref="J13" authorId="3" shapeId="0" xr:uid="{96BD8ACB-8CF9-4485-BB66-7ED75DA459D7}">
      <text>
        <r>
          <rPr>
            <b/>
            <sz val="9"/>
            <color indexed="81"/>
            <rFont val="Tahoma"/>
            <family val="2"/>
          </rPr>
          <t>Crisil GR&amp;A:
Includes rental income from Netherlands and Germany</t>
        </r>
      </text>
    </comment>
    <comment ref="K13" authorId="3" shapeId="0" xr:uid="{2832C480-93BD-4132-BBE9-1964C5E595C2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>Includes rental income from Netherlands, Germany and poland</t>
        </r>
      </text>
    </comment>
    <comment ref="L13" authorId="3" shapeId="0" xr:uid="{1C3BE8B3-D1D7-4061-B92B-BBBEAF8D0B44}">
      <text>
        <r>
          <rPr>
            <b/>
            <sz val="9"/>
            <color indexed="81"/>
            <rFont val="Tahoma"/>
            <family val="2"/>
          </rPr>
          <t xml:space="preserve">Crisil GR&amp;A:
</t>
        </r>
        <r>
          <rPr>
            <sz val="9"/>
            <color indexed="81"/>
            <rFont val="Tahoma"/>
            <family val="2"/>
          </rPr>
          <t>Includes rental income from Netherlands, Germany and poland</t>
        </r>
      </text>
    </comment>
    <comment ref="U13" authorId="2" shapeId="0" xr:uid="{C1F8BC73-BA02-4040-B6E1-B93EDB463675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Includes rental income from Netherlands and Germany</t>
        </r>
      </text>
    </comment>
    <comment ref="L38" authorId="0" shapeId="0" xr:uid="{988EA4CC-D9B8-4369-AB19-7FE4865323E7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taken from Annual report FY25, page no 242/408</t>
        </r>
      </text>
    </comment>
    <comment ref="AD38" authorId="1" shapeId="0" xr:uid="{00000000-0006-0000-0200-000005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E38" authorId="1" shapeId="0" xr:uid="{00000000-0006-0000-0200-000006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F38" authorId="1" shapeId="0" xr:uid="{00000000-0006-0000-0200-000007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G38" authorId="1" shapeId="0" xr:uid="{00000000-0006-0000-0200-000008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H38" authorId="1" shapeId="0" xr:uid="{00000000-0006-0000-0200-000009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I38" authorId="1" shapeId="0" xr:uid="{00000000-0006-0000-0200-00000A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J38" authorId="1" shapeId="0" xr:uid="{00000000-0006-0000-0200-00000B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K38" authorId="1" shapeId="0" xr:uid="{00000000-0006-0000-0200-00000C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L38" authorId="1" shapeId="0" xr:uid="{00000000-0006-0000-0200-00000D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M38" authorId="1" shapeId="0" xr:uid="{3B553F80-2AE1-464A-942A-2C54AB0F49A8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N38" authorId="2" shapeId="0" xr:uid="{5297FFC7-C596-4C47-8EFE-C6C76D6B2D9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AQ38" authorId="1" shapeId="0" xr:uid="{9197695F-3700-4A88-99AF-DFB3A70DF0DC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R38" authorId="2" shapeId="0" xr:uid="{D9878341-0726-49B0-B6F9-C0BD9D03FFB8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AU38" authorId="1" shapeId="0" xr:uid="{FC901143-CDAF-42E8-ACE4-DFD082B6829B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V38" authorId="2" shapeId="0" xr:uid="{C4FE75BA-3F56-4AC2-972B-A94663640ED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AZ38" authorId="2" shapeId="0" xr:uid="{F6ADD5C9-D629-4546-A5EA-69BD6A1BEF33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BD38" authorId="2" shapeId="0" xr:uid="{5E6BAEE1-BE44-46E8-AA2B-5CB6A21CF0A2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AD67" authorId="1" shapeId="0" xr:uid="{00000000-0006-0000-0200-00000E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E67" authorId="1" shapeId="0" xr:uid="{00000000-0006-0000-0200-00000F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F67" authorId="1" shapeId="0" xr:uid="{00000000-0006-0000-0200-000010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G67" authorId="1" shapeId="0" xr:uid="{00000000-0006-0000-0200-000011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H67" authorId="1" shapeId="0" xr:uid="{00000000-0006-0000-0200-000012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I67" authorId="1" shapeId="0" xr:uid="{00000000-0006-0000-0200-000013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J67" authorId="1" shapeId="0" xr:uid="{00000000-0006-0000-0200-000014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K67" authorId="1" shapeId="0" xr:uid="{00000000-0006-0000-0200-000015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L67" authorId="1" shapeId="0" xr:uid="{00000000-0006-0000-0200-000016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M67" authorId="1" shapeId="0" xr:uid="{62059C49-B0AF-41A3-AFEA-CC7144341DC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Q67" authorId="1" shapeId="0" xr:uid="{E06A6F09-EFFD-42E7-A4F7-3C06455D3665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U67" authorId="1" shapeId="0" xr:uid="{7D8BE79A-A19D-441A-A1D1-9F9ED0CF7768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D88" authorId="1" shapeId="0" xr:uid="{00000000-0006-0000-0200-000017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E88" authorId="1" shapeId="0" xr:uid="{00000000-0006-0000-0200-000018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F88" authorId="1" shapeId="0" xr:uid="{00000000-0006-0000-0200-000019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G88" authorId="1" shapeId="0" xr:uid="{00000000-0006-0000-0200-00001A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H88" authorId="1" shapeId="0" xr:uid="{00000000-0006-0000-0200-00001B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I88" authorId="1" shapeId="0" xr:uid="{00000000-0006-0000-0200-00001C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J88" authorId="1" shapeId="0" xr:uid="{00000000-0006-0000-0200-00001D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K88" authorId="1" shapeId="0" xr:uid="{00000000-0006-0000-0200-00001E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L88" authorId="1" shapeId="0" xr:uid="{00000000-0006-0000-0200-00001F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M88" authorId="1" shapeId="0" xr:uid="{422F6BFA-5783-413E-9055-FADE255A96FA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Q88" authorId="1" shapeId="0" xr:uid="{867E49DD-F38D-4EE2-BFCC-65985ACE7A4E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U88" authorId="1" shapeId="0" xr:uid="{8E52C1DF-469A-4786-8957-8DFC4BDE6ACC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L93" authorId="0" shapeId="0" xr:uid="{79750565-45F2-44C8-A208-A0DB2C3AAF54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Annual report, page no. 251/408</t>
        </r>
      </text>
    </comment>
    <comment ref="L105" authorId="0" shapeId="0" xr:uid="{411C746B-A9D5-403B-B4FE-CABA0E758A93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AR FY25, page no 251/408</t>
        </r>
      </text>
    </comment>
    <comment ref="AD105" authorId="1" shapeId="0" xr:uid="{00000000-0006-0000-0200-000020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E105" authorId="1" shapeId="0" xr:uid="{00000000-0006-0000-0200-000021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F105" authorId="1" shapeId="0" xr:uid="{00000000-0006-0000-0200-000022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G105" authorId="1" shapeId="0" xr:uid="{00000000-0006-0000-0200-000023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H105" authorId="1" shapeId="0" xr:uid="{00000000-0006-0000-0200-000024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I105" authorId="1" shapeId="0" xr:uid="{00000000-0006-0000-0200-000025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J105" authorId="1" shapeId="0" xr:uid="{00000000-0006-0000-0200-000026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K105" authorId="1" shapeId="0" xr:uid="{00000000-0006-0000-0200-000027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L105" authorId="1" shapeId="0" xr:uid="{00000000-0006-0000-0200-00002800000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M105" authorId="1" shapeId="0" xr:uid="{2E6AE02E-C95F-4E72-AEAE-1A602F414170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Q105" authorId="1" shapeId="0" xr:uid="{9C7A5083-9CE4-44E6-8EC8-C54C0FCD7C34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AU105" authorId="1" shapeId="0" xr:uid="{32525276-DDC3-4505-9EE1-0CEAD4F9434A}">
      <text>
        <r>
          <rPr>
            <sz val="9"/>
            <color indexed="81"/>
            <rFont val="Tahoma"/>
            <family val="2"/>
          </rPr>
          <t xml:space="preserve">data n.a
</t>
        </r>
      </text>
    </comment>
    <comment ref="L152" authorId="0" shapeId="0" xr:uid="{30DCA8B9-EE95-4DD7-8EDF-1609D7B34BA1}">
      <text>
        <r>
          <rPr>
            <b/>
            <sz val="9"/>
            <color indexed="81"/>
            <rFont val="Tahoma"/>
            <charset val="1"/>
          </rPr>
          <t>Crisil Integral IQ:</t>
        </r>
        <r>
          <rPr>
            <sz val="9"/>
            <color indexed="81"/>
            <rFont val="Tahoma"/>
            <charset val="1"/>
          </rPr>
          <t xml:space="preserve">
taken from Annual Report, page no 8/408</t>
        </r>
      </text>
    </comment>
    <comment ref="AN152" authorId="2" shapeId="0" xr:uid="{76E67EFE-1EF4-4BEA-9383-0D6E74B7E0F6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</t>
        </r>
      </text>
    </comment>
    <comment ref="BD152" authorId="0" shapeId="0" xr:uid="{45791A42-52EF-4D6B-84ED-E02AA47C0505}">
      <text>
        <r>
          <rPr>
            <b/>
            <sz val="9"/>
            <color indexed="81"/>
            <rFont val="Tahoma"/>
            <family val="2"/>
          </rPr>
          <t>Crisil Integral IQ:</t>
        </r>
        <r>
          <rPr>
            <sz val="9"/>
            <color indexed="81"/>
            <rFont val="Tahoma"/>
            <family val="2"/>
          </rPr>
          <t xml:space="preserve">
taken from PPT</t>
        </r>
      </text>
    </comment>
    <comment ref="AN153" authorId="2" shapeId="0" xr:uid="{08A481E8-4314-437B-90EC-353C660EA32E}">
      <text>
        <r>
          <rPr>
            <b/>
            <sz val="9"/>
            <color indexed="81"/>
            <rFont val="Tahoma"/>
            <family val="2"/>
          </rPr>
          <t>Crisil GR&amp;A:</t>
        </r>
        <r>
          <rPr>
            <sz val="9"/>
            <color indexed="81"/>
            <rFont val="Tahoma"/>
            <family val="2"/>
          </rPr>
          <t xml:space="preserve">
data n.a
</t>
        </r>
      </text>
    </comment>
  </commentList>
</comments>
</file>

<file path=xl/sharedStrings.xml><?xml version="1.0" encoding="utf-8"?>
<sst xmlns="http://schemas.openxmlformats.org/spreadsheetml/2006/main" count="1365" uniqueCount="362">
  <si>
    <t>1Q26</t>
  </si>
  <si>
    <t>Exchange rate as at end</t>
  </si>
  <si>
    <t>LTM Average exchange rate</t>
  </si>
  <si>
    <t>Debt Breakdown as on 31-Mar-2026</t>
  </si>
  <si>
    <t>EUR (mn)</t>
  </si>
  <si>
    <t>USD (mn)</t>
  </si>
  <si>
    <t xml:space="preserve">Leverage </t>
  </si>
  <si>
    <t>Leverage (USD)</t>
  </si>
  <si>
    <t>Company reported</t>
  </si>
  <si>
    <t>Long term</t>
  </si>
  <si>
    <t>Gross debt</t>
  </si>
  <si>
    <t>Interest-bearing loans and borrowings from financial institutions</t>
  </si>
  <si>
    <t>Cash and cash equivalents</t>
  </si>
  <si>
    <t>Bonds issued</t>
  </si>
  <si>
    <t>Net Debt</t>
  </si>
  <si>
    <t>Short term</t>
  </si>
  <si>
    <t>NORMALISED NET DEBT TO EBITDA</t>
  </si>
  <si>
    <t>9.4x</t>
  </si>
  <si>
    <t>Total Debt</t>
  </si>
  <si>
    <t>Cash and Short-Term Investments</t>
  </si>
  <si>
    <t xml:space="preserve">Net debt </t>
  </si>
  <si>
    <t>Equity</t>
  </si>
  <si>
    <t xml:space="preserve">Total Capitalisation </t>
  </si>
  <si>
    <t>LTM Adjusted EBITDA</t>
  </si>
  <si>
    <t>check</t>
  </si>
  <si>
    <t/>
  </si>
  <si>
    <t>Debt Maturity for 1Q26</t>
  </si>
  <si>
    <t>EUR mn</t>
  </si>
  <si>
    <t>USD mn</t>
  </si>
  <si>
    <t>2035+</t>
  </si>
  <si>
    <t>FY25</t>
  </si>
  <si>
    <t>Debt Breakdown as on31-Dec-2025</t>
  </si>
  <si>
    <t>9.3x</t>
  </si>
  <si>
    <t>Debt Maturity for FY25</t>
  </si>
  <si>
    <t>3Q25</t>
  </si>
  <si>
    <t>Exchange rate as at end 3Q25</t>
  </si>
  <si>
    <t>Average exchange rate for LTM 3Q25</t>
  </si>
  <si>
    <t>Debt Breakdown as on 30-Sep-2025</t>
  </si>
  <si>
    <t>Interest-bearing loans and borrowings from
financial institutions</t>
  </si>
  <si>
    <t>9.2x</t>
  </si>
  <si>
    <t>Debt Maturity for 3Q25</t>
  </si>
  <si>
    <t>2Q25</t>
  </si>
  <si>
    <t>Exchange rate as at end 2Q25</t>
  </si>
  <si>
    <t>Average exchange rate for LTM 2Q25</t>
  </si>
  <si>
    <t>Debt Breakdown as on 30-Jun-2025</t>
  </si>
  <si>
    <t>Debt Maturity for 2Q25</t>
  </si>
  <si>
    <t>2034+</t>
  </si>
  <si>
    <t>1Q25</t>
  </si>
  <si>
    <t>Exchange rate as at end 1Q25</t>
  </si>
  <si>
    <t>Average exchange rate for LTM 1Q25</t>
  </si>
  <si>
    <t>Debt Breakdown as on 31-Mar-2025</t>
  </si>
  <si>
    <t>9.1x</t>
  </si>
  <si>
    <t>Debt Maturity for 1Q25</t>
  </si>
  <si>
    <t>2033+</t>
  </si>
  <si>
    <t>FY24</t>
  </si>
  <si>
    <t>Exchange rate as at end FY24</t>
  </si>
  <si>
    <t>Average exchange rate for LTM FY24</t>
  </si>
  <si>
    <t>Debt Breakdown as on 31-Dec-2024</t>
  </si>
  <si>
    <t>Debt Maturity for FY24</t>
  </si>
  <si>
    <t>3Q24</t>
  </si>
  <si>
    <t>Exchange rate as at end 3Q24</t>
  </si>
  <si>
    <t>Average exchange rate for LTM 3Q24</t>
  </si>
  <si>
    <t>Debt Breakdown as on 30-Sep-2024</t>
  </si>
  <si>
    <t>Current loans and borrowings from financial institutions</t>
  </si>
  <si>
    <t>Noncurrent loans and borrowings from financial institutions</t>
  </si>
  <si>
    <t>Debt Maturity for 3Q24</t>
  </si>
  <si>
    <t>2Q24</t>
  </si>
  <si>
    <t>Exchange rate as at end 2Q24</t>
  </si>
  <si>
    <t>Average exchange rate for LTM 2Q24</t>
  </si>
  <si>
    <t>Debt Breakdown as on 30-Jun-2024</t>
  </si>
  <si>
    <t>Debt Maturity for 2Q24</t>
  </si>
  <si>
    <t>2029+</t>
  </si>
  <si>
    <t>1Q24</t>
  </si>
  <si>
    <t>Exchange rate as at end 1Q24</t>
  </si>
  <si>
    <t>Average exchange rate for LTM 1Q24</t>
  </si>
  <si>
    <t>Debt Breakdown as on 31-Mar-2024</t>
  </si>
  <si>
    <t>Debt Maturity for 1Q24</t>
  </si>
  <si>
    <t>FY23</t>
  </si>
  <si>
    <t>Exchange rate as at end FY23</t>
  </si>
  <si>
    <t>Average exchange rate for LTM FY23</t>
  </si>
  <si>
    <t>Debt Breakdown as on 31-Dec-2023</t>
  </si>
  <si>
    <t>Debt Maturity for FY23</t>
  </si>
  <si>
    <t>3Q23</t>
  </si>
  <si>
    <t>Exchange rate as at end 3Q23</t>
  </si>
  <si>
    <t>Average exchange rate for LTM 3Q23</t>
  </si>
  <si>
    <t>Debt Breakdown as on 30-Sept-2023</t>
  </si>
  <si>
    <t>Debt Maturity for 3Q23</t>
  </si>
  <si>
    <t>2Q23</t>
  </si>
  <si>
    <t>Exchange rate as at end 2Q23</t>
  </si>
  <si>
    <t>Average exchange rate for LTM 2Q23</t>
  </si>
  <si>
    <t>Debt Breakdown as on 30-June-2023</t>
  </si>
  <si>
    <t>Debt Maturity for 2Q23</t>
  </si>
  <si>
    <t>Geographical breakdown</t>
  </si>
  <si>
    <t>in Eur mn</t>
  </si>
  <si>
    <t>in USD mn</t>
  </si>
  <si>
    <t>Czech Republic</t>
  </si>
  <si>
    <t>Romania</t>
  </si>
  <si>
    <t>Hungary</t>
  </si>
  <si>
    <t>Netherlands</t>
  </si>
  <si>
    <t>Other</t>
  </si>
  <si>
    <t>1Q23</t>
  </si>
  <si>
    <t>Exchange rate as at end 1Q23</t>
  </si>
  <si>
    <t>Average exchange rate for LTM 1Q23</t>
  </si>
  <si>
    <t>Debt Breakdown as on 31-Mar-2023</t>
  </si>
  <si>
    <t>Debt Maturity for 1Q23</t>
  </si>
  <si>
    <t>4Q22</t>
  </si>
  <si>
    <t>Exchange rate as at end 4Q22</t>
  </si>
  <si>
    <t>Average exchange rate for LTM 4Q22</t>
  </si>
  <si>
    <t>Debt Breakdown as on 31-Dec-2022</t>
  </si>
  <si>
    <t>Debt Maturity for 4Q22</t>
  </si>
  <si>
    <t>2Q21</t>
  </si>
  <si>
    <t>3Q22</t>
  </si>
  <si>
    <t>Exchange rate as at end 3Q22</t>
  </si>
  <si>
    <t>Average exchange rate for LTM 3Q22</t>
  </si>
  <si>
    <t>Debt Breakdown as on 30-Sep-2022</t>
  </si>
  <si>
    <t>EUR (in million)</t>
  </si>
  <si>
    <t>Debt Maturity for 3Q22</t>
  </si>
  <si>
    <t>2028+</t>
  </si>
  <si>
    <t>2Q22</t>
  </si>
  <si>
    <t>Exchange rate as at end 2Q22</t>
  </si>
  <si>
    <t>Average exchange rate for LTM 2Q22</t>
  </si>
  <si>
    <t>Debt Breakdown as on 30-June-2022</t>
  </si>
  <si>
    <t>Debt Maturity for 2Q22</t>
  </si>
  <si>
    <t>1Q22</t>
  </si>
  <si>
    <t>Exchange rate as at end 1Q22</t>
  </si>
  <si>
    <t>Average exchange rate for LTM 1Q22</t>
  </si>
  <si>
    <t>Proforma Leverage (USD)</t>
  </si>
  <si>
    <t>Debt Breakdown as on 31-Mar-2022</t>
  </si>
  <si>
    <t>Debt Maturity for 1Q22</t>
  </si>
  <si>
    <t>4Q21</t>
  </si>
  <si>
    <t>Exchange rate as at end 4Q21</t>
  </si>
  <si>
    <t>Average exchange rate for LTM 4Q21</t>
  </si>
  <si>
    <t>Debt Breakdown as on 31-Dec-2021</t>
  </si>
  <si>
    <t xml:space="preserve">Proforma Leverage </t>
  </si>
  <si>
    <t>Debt Maturity for 4Q21</t>
  </si>
  <si>
    <t>3Q21</t>
  </si>
  <si>
    <t>Exchange rate as at end 3Q21</t>
  </si>
  <si>
    <t>Average exchange rate for LTM 3Q21</t>
  </si>
  <si>
    <t>Debt Breakdown as on 30-Sept-2021</t>
  </si>
  <si>
    <t>Debt Maturity for 3Q21</t>
  </si>
  <si>
    <t>Exchange rate as at end 2Q21</t>
  </si>
  <si>
    <t>Average exchange rate for LTM 2Q21</t>
  </si>
  <si>
    <t>Debt Breakdown as on 30-Jun-2021</t>
  </si>
  <si>
    <t>Debt Maturity for 2Q21</t>
  </si>
  <si>
    <t>1Q21</t>
  </si>
  <si>
    <t>Exchange rate as at end 1Q21</t>
  </si>
  <si>
    <t>Average exchange rate for LTM 1Q21</t>
  </si>
  <si>
    <t>Debt Breakdown as on 31-Mar-2021</t>
  </si>
  <si>
    <t>Debt Maturity for 1Q21</t>
  </si>
  <si>
    <t>1H20</t>
  </si>
  <si>
    <t>Exchange rate as at end 1H20</t>
  </si>
  <si>
    <t>Average exchange rate for LTM 1H20</t>
  </si>
  <si>
    <t>Debt Breakdown as on 30-Jun-2020</t>
  </si>
  <si>
    <t>Proforma debt breakdown</t>
  </si>
  <si>
    <t>Current portion of lease liabilities</t>
  </si>
  <si>
    <t>Noncurrent portion of lease liabilities</t>
  </si>
  <si>
    <t>Euro Medium Term</t>
  </si>
  <si>
    <t>Total Debt (including lease liabilities)</t>
  </si>
  <si>
    <t>Debt Maturity for 1H20</t>
  </si>
  <si>
    <t>Total Debt excluding lease liabilities</t>
  </si>
  <si>
    <t>Check</t>
  </si>
  <si>
    <t>CTP Group</t>
  </si>
  <si>
    <t>Annual</t>
  </si>
  <si>
    <t>LTM</t>
  </si>
  <si>
    <t>Half-yearly</t>
  </si>
  <si>
    <t>Quarterly</t>
  </si>
  <si>
    <t>(EUR millions)</t>
  </si>
  <si>
    <t>Act</t>
  </si>
  <si>
    <t>Restated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</si>
  <si>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</si>
  <si>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</si>
  <si>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</si>
  <si>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</si>
  <si>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</si>
  <si>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</si>
  <si>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</si>
  <si>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</si>
  <si>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</si>
  <si>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FY 25</t>
  </si>
  <si>
    <t>1H 19</t>
  </si>
  <si>
    <t>2H 19</t>
  </si>
  <si>
    <t>1H 20</t>
  </si>
  <si>
    <t>2H 20</t>
  </si>
  <si>
    <t>1H 21</t>
  </si>
  <si>
    <t>2H 21</t>
  </si>
  <si>
    <t>1H22</t>
  </si>
  <si>
    <t>2H 22</t>
  </si>
  <si>
    <t>1H23</t>
  </si>
  <si>
    <t>1H24</t>
  </si>
  <si>
    <t>2H 24</t>
  </si>
  <si>
    <t>1H 25</t>
  </si>
  <si>
    <t>2H 25</t>
  </si>
  <si>
    <t>3Q19</t>
  </si>
  <si>
    <t>4Q19</t>
  </si>
  <si>
    <t>1Q20</t>
  </si>
  <si>
    <t>2Q20</t>
  </si>
  <si>
    <t>3Q20</t>
  </si>
  <si>
    <t>4Q20</t>
  </si>
  <si>
    <t>4Q23</t>
  </si>
  <si>
    <t>4Q24</t>
  </si>
  <si>
    <t>4Q25</t>
  </si>
  <si>
    <t>INCOME STATEMENT</t>
  </si>
  <si>
    <t>Rental income</t>
  </si>
  <si>
    <t>Service charge income</t>
  </si>
  <si>
    <t>Property operating expenses</t>
  </si>
  <si>
    <t>Net rental income</t>
  </si>
  <si>
    <t>Income from renewable energy</t>
  </si>
  <si>
    <t>Expenses from renewable energy</t>
  </si>
  <si>
    <t xml:space="preserve">Net income from renewable energy </t>
  </si>
  <si>
    <t>Hotel operating revenue</t>
  </si>
  <si>
    <t>Hotel operating expenses</t>
  </si>
  <si>
    <t>Net operating income from hotel operations</t>
  </si>
  <si>
    <t>Income from development activities</t>
  </si>
  <si>
    <t>Expenses from development activities</t>
  </si>
  <si>
    <t>Net income from development activities</t>
  </si>
  <si>
    <t>Revenue</t>
  </si>
  <si>
    <t xml:space="preserve">% growth </t>
  </si>
  <si>
    <t>Net valuation result on investment property</t>
  </si>
  <si>
    <t>Net business income</t>
  </si>
  <si>
    <t>Other income</t>
  </si>
  <si>
    <t>Amortization and depreciation</t>
  </si>
  <si>
    <t>Employee benefits</t>
  </si>
  <si>
    <t>Impairment of goodwill</t>
  </si>
  <si>
    <t>Impairment of financial assets</t>
  </si>
  <si>
    <t>Other expenses</t>
  </si>
  <si>
    <t>Net other income/expenses</t>
  </si>
  <si>
    <t>Profit before net financing cost</t>
  </si>
  <si>
    <t>% margin</t>
  </si>
  <si>
    <t>Interest income</t>
  </si>
  <si>
    <t>Interest expense</t>
  </si>
  <si>
    <t>Other financial expenses</t>
  </si>
  <si>
    <t>Other financial gains/losses</t>
  </si>
  <si>
    <t>Profit before tax</t>
  </si>
  <si>
    <t>Income tax expense</t>
  </si>
  <si>
    <t>Net profit/loss</t>
  </si>
  <si>
    <t>Profit attributable to:</t>
  </si>
  <si>
    <t>– Equity holders of the Company</t>
  </si>
  <si>
    <t>– Non-controlling interests</t>
  </si>
  <si>
    <t>As a % of Sales</t>
  </si>
  <si>
    <t>EBITDA</t>
  </si>
  <si>
    <t>Finance income as a % of total cash</t>
  </si>
  <si>
    <t>Finance costs as a % of total debt</t>
  </si>
  <si>
    <t xml:space="preserve">Income  Tax Expense as a % PBT </t>
  </si>
  <si>
    <t xml:space="preserve">LTM Cash interest paid: % of debt </t>
  </si>
  <si>
    <t>Working capital/sales</t>
  </si>
  <si>
    <t xml:space="preserve">EBITDA </t>
  </si>
  <si>
    <t>Operating profit</t>
  </si>
  <si>
    <t>Net valuation result on investment</t>
  </si>
  <si>
    <t>Depreciation and amortisation</t>
  </si>
  <si>
    <t>Adjustment</t>
  </si>
  <si>
    <t xml:space="preserve">Adjusted Normalised EBITDA </t>
  </si>
  <si>
    <t>CASH FLOW</t>
  </si>
  <si>
    <t xml:space="preserve">Adj EBITDA </t>
  </si>
  <si>
    <t>Working Capital</t>
  </si>
  <si>
    <t>Taxes</t>
  </si>
  <si>
    <t>Cash interest paid</t>
  </si>
  <si>
    <t>Interest received</t>
  </si>
  <si>
    <t xml:space="preserve">Net cash from operations </t>
  </si>
  <si>
    <t>Net Capex</t>
  </si>
  <si>
    <t>Investment in subsidiaries, JVs</t>
  </si>
  <si>
    <t xml:space="preserve">Free cash flow </t>
  </si>
  <si>
    <t>Other investing activities</t>
  </si>
  <si>
    <t>Dividends / Equity movements</t>
  </si>
  <si>
    <t>Change in debt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</si>
  <si>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</si>
  <si>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</si>
  <si>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</si>
  <si>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</si>
  <si>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</si>
  <si>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>Check 1</t>
  </si>
  <si>
    <t>Check 2</t>
  </si>
  <si>
    <t>LTM  METRICS</t>
  </si>
  <si>
    <t xml:space="preserve">Operating profit </t>
  </si>
  <si>
    <t>Adjusted EBITDA</t>
  </si>
  <si>
    <t>Net Income</t>
  </si>
  <si>
    <t>Capex</t>
  </si>
  <si>
    <t xml:space="preserve">BALANCE SHEET </t>
  </si>
  <si>
    <t>Investment property</t>
  </si>
  <si>
    <t>Trade receivables</t>
  </si>
  <si>
    <t>Inventories</t>
  </si>
  <si>
    <t xml:space="preserve">Trade payables </t>
  </si>
  <si>
    <t>Net working capital</t>
  </si>
  <si>
    <t>% of revenues</t>
  </si>
  <si>
    <t>Interest-bearing loans</t>
  </si>
  <si>
    <t>Total short term debt</t>
  </si>
  <si>
    <t>Total Long term</t>
  </si>
  <si>
    <t>Total debt</t>
  </si>
  <si>
    <t>Net debt</t>
  </si>
  <si>
    <t>Equity (as reported on balance sheet)</t>
  </si>
  <si>
    <t>Total debt + Equity</t>
  </si>
  <si>
    <t>CREDIT RATIOS</t>
  </si>
  <si>
    <t>Total Net Leverage</t>
  </si>
  <si>
    <t>Total Gross Leverage</t>
  </si>
  <si>
    <t>EBITDA - Capex / Interest</t>
  </si>
  <si>
    <t>EBITDA/Interest</t>
  </si>
  <si>
    <t xml:space="preserve">Gearing (Net debt / Equity) </t>
  </si>
  <si>
    <t>Loan to value (LTV)</t>
  </si>
  <si>
    <t>Key  Credit Metrics (EUR Mn where applicable)</t>
  </si>
  <si>
    <t xml:space="preserve">Revenues </t>
  </si>
  <si>
    <t>Adj. EBITDA</t>
  </si>
  <si>
    <t>Adj. EBITDA Margin</t>
  </si>
  <si>
    <t>Cash</t>
  </si>
  <si>
    <t>Gross Leverage</t>
  </si>
  <si>
    <t xml:space="preserve">Net Leverage </t>
  </si>
  <si>
    <t xml:space="preserve">Model Summary </t>
  </si>
  <si>
    <t>Gross Debt</t>
  </si>
  <si>
    <t>FX rate average - USD/EUR</t>
  </si>
  <si>
    <t>FX rate  - USD/EUR (as at end of period)</t>
  </si>
  <si>
    <t>Key  Credit Metrics (USD Mn where applicable) LTM</t>
  </si>
  <si>
    <t>(USD millions)</t>
  </si>
  <si>
    <t>Gross Total Debt</t>
  </si>
  <si>
    <t>Net Total Debt</t>
  </si>
  <si>
    <t>Half Yearly</t>
  </si>
  <si>
    <t>Quaterly</t>
  </si>
  <si>
    <t>FY</t>
  </si>
  <si>
    <t>1H19</t>
  </si>
  <si>
    <t>2H19</t>
  </si>
  <si>
    <t>2H20</t>
  </si>
  <si>
    <t>1H21</t>
  </si>
  <si>
    <t>2H21</t>
  </si>
  <si>
    <t>2H22</t>
  </si>
  <si>
    <t>2H23</t>
  </si>
  <si>
    <t>2H24</t>
  </si>
  <si>
    <t>1H25</t>
  </si>
  <si>
    <t>2H25</t>
  </si>
  <si>
    <t>Net rental Income by segment</t>
  </si>
  <si>
    <t>Slovakia</t>
  </si>
  <si>
    <t>Netherland, Germany and Poland</t>
  </si>
  <si>
    <t>Others</t>
  </si>
  <si>
    <t>Total</t>
  </si>
  <si>
    <t xml:space="preserve">check </t>
  </si>
  <si>
    <t>Revenue (% Share)</t>
  </si>
  <si>
    <t>Revenue (YoY % Growth)</t>
  </si>
  <si>
    <t>Net valuation result on IP</t>
  </si>
  <si>
    <t>Net valuation result on IP (% Share)</t>
  </si>
  <si>
    <t>Net valuation result on IP (YoY % Growth)</t>
  </si>
  <si>
    <t>Profit/loss before tax</t>
  </si>
  <si>
    <t>Hotel segment</t>
  </si>
  <si>
    <t>Intersegment Eliminations</t>
  </si>
  <si>
    <t>% of revenue</t>
  </si>
  <si>
    <t>Rental income by sector</t>
  </si>
  <si>
    <t>Industrial</t>
  </si>
  <si>
    <t>Office</t>
  </si>
  <si>
    <t>Retail</t>
  </si>
  <si>
    <t>Office and Retail</t>
  </si>
  <si>
    <t>Rental income by sector (% Share)</t>
  </si>
  <si>
    <t>Rental income by geography</t>
  </si>
  <si>
    <t>Germany</t>
  </si>
  <si>
    <t>Poland</t>
  </si>
  <si>
    <t>Serbia</t>
  </si>
  <si>
    <t>Austria</t>
  </si>
  <si>
    <t>Slovenia</t>
  </si>
  <si>
    <t>Bulgaria</t>
  </si>
  <si>
    <t>Italy</t>
  </si>
  <si>
    <t>Rental income by geography (% Share)</t>
  </si>
  <si>
    <t>Rental income by geography (YoY % Growth)</t>
  </si>
  <si>
    <t>GLA of assets under management</t>
  </si>
  <si>
    <t>Occupancy Rate</t>
  </si>
  <si>
    <t>Retention Rate</t>
  </si>
  <si>
    <t>WAULT</t>
  </si>
  <si>
    <t>Number of parks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</si>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</sst>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 * #,##0.00_ ;_ * \-#,##0.00_ ;_ * &quot;-&quot;??_ ;_ @_ "/>
    <numFmt numFmtId="165" formatCode="mmm\ yyyy"/>
    <numFmt numFmtId="166" formatCode="#,##0.0_);\(#,##0.0\)"/>
    <numFmt numFmtId="167" formatCode="0.0%"/>
    <numFmt numFmtId="168" formatCode="_(* #,##0.0_);_(* \(#,##0.0\);_(* &quot;-&quot;??_);_(@_)"/>
    <numFmt numFmtId="169" formatCode="#0.0\x"/>
    <numFmt numFmtId="170" formatCode="0.0\x"/>
    <numFmt numFmtId="171" formatCode="0.0"/>
    <numFmt numFmtId="172" formatCode="_(* #,##0_);_(* \(#,##0\);_(* &quot;-&quot;??_);_(@_)"/>
    <numFmt numFmtId="173" formatCode="#0.0%_);\(#0.0%\)"/>
    <numFmt numFmtId="174" formatCode="#,##0.000_);\(#,##0.000\)"/>
    <numFmt numFmtId="175" formatCode="_(* #,##0.0_);_(* \(#,##0.0\);_(* &quot;-&quot;?_);_(@_)"/>
    <numFmt numFmtId="176" formatCode="_(* #,##0.000_);_(* \(#,##0.00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i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sz val="11"/>
      <color rgb="FF232526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</cellStyleXfs>
  <cellXfs count="31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Continuous"/>
    </xf>
    <xf numFmtId="0" fontId="5" fillId="0" borderId="0" xfId="0" applyFont="1"/>
    <xf numFmtId="0" fontId="5" fillId="2" borderId="0" xfId="0" applyFont="1" applyFill="1"/>
    <xf numFmtId="165" fontId="5" fillId="2" borderId="0" xfId="0" applyNumberFormat="1" applyFont="1" applyFill="1" applyAlignment="1">
      <alignment horizontal="center"/>
    </xf>
    <xf numFmtId="0" fontId="7" fillId="0" borderId="0" xfId="0" applyFont="1"/>
    <xf numFmtId="43" fontId="7" fillId="0" borderId="0" xfId="1" applyFont="1" applyFill="1" applyBorder="1" applyAlignment="1">
      <alignment horizontal="center"/>
    </xf>
    <xf numFmtId="0" fontId="5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2" xfId="0" applyFont="1" applyFill="1" applyBorder="1"/>
    <xf numFmtId="166" fontId="5" fillId="0" borderId="0" xfId="0" applyNumberFormat="1" applyFont="1"/>
    <xf numFmtId="0" fontId="10" fillId="0" borderId="0" xfId="0" applyFont="1"/>
    <xf numFmtId="0" fontId="10" fillId="3" borderId="0" xfId="0" applyFont="1" applyFill="1" applyAlignment="1">
      <alignment horizontal="left" indent="1"/>
    </xf>
    <xf numFmtId="167" fontId="10" fillId="3" borderId="0" xfId="2" applyNumberFormat="1" applyFont="1" applyFill="1"/>
    <xf numFmtId="166" fontId="11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 indent="1"/>
    </xf>
    <xf numFmtId="166" fontId="12" fillId="0" borderId="0" xfId="0" applyNumberFormat="1" applyFont="1"/>
    <xf numFmtId="167" fontId="10" fillId="0" borderId="0" xfId="2" applyNumberFormat="1" applyFont="1" applyFill="1"/>
    <xf numFmtId="165" fontId="5" fillId="2" borderId="2" xfId="0" applyNumberFormat="1" applyFont="1" applyFill="1" applyBorder="1" applyAlignment="1">
      <alignment horizontal="center"/>
    </xf>
    <xf numFmtId="167" fontId="13" fillId="3" borderId="0" xfId="2" applyNumberFormat="1" applyFont="1" applyFill="1"/>
    <xf numFmtId="166" fontId="14" fillId="0" borderId="0" xfId="0" applyNumberFormat="1" applyFont="1"/>
    <xf numFmtId="0" fontId="5" fillId="0" borderId="0" xfId="0" applyFont="1" applyAlignment="1">
      <alignment horizontal="left"/>
    </xf>
    <xf numFmtId="0" fontId="10" fillId="3" borderId="0" xfId="0" applyFont="1" applyFill="1" applyAlignment="1">
      <alignment horizontal="left"/>
    </xf>
    <xf numFmtId="167" fontId="10" fillId="3" borderId="0" xfId="0" applyNumberFormat="1" applyFont="1" applyFill="1"/>
    <xf numFmtId="166" fontId="9" fillId="0" borderId="0" xfId="0" applyNumberFormat="1" applyFont="1"/>
    <xf numFmtId="169" fontId="5" fillId="0" borderId="0" xfId="0" applyNumberFormat="1" applyFont="1"/>
    <xf numFmtId="169" fontId="2" fillId="0" borderId="0" xfId="0" applyNumberFormat="1" applyFont="1"/>
    <xf numFmtId="167" fontId="2" fillId="0" borderId="0" xfId="2" applyNumberFormat="1" applyFont="1" applyFill="1" applyBorder="1"/>
    <xf numFmtId="170" fontId="5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10" fillId="3" borderId="0" xfId="0" applyFont="1" applyFill="1"/>
    <xf numFmtId="167" fontId="10" fillId="3" borderId="0" xfId="2" applyNumberFormat="1" applyFont="1" applyFill="1" applyAlignment="1">
      <alignment horizontal="right"/>
    </xf>
    <xf numFmtId="0" fontId="5" fillId="0" borderId="3" xfId="0" applyFont="1" applyBorder="1"/>
    <xf numFmtId="37" fontId="2" fillId="0" borderId="0" xfId="0" applyNumberFormat="1" applyFont="1" applyAlignment="1">
      <alignment horizontal="right"/>
    </xf>
    <xf numFmtId="0" fontId="5" fillId="0" borderId="4" xfId="0" applyFont="1" applyBorder="1"/>
    <xf numFmtId="166" fontId="2" fillId="0" borderId="0" xfId="0" applyNumberFormat="1" applyFont="1" applyAlignment="1">
      <alignment horizontal="right"/>
    </xf>
    <xf numFmtId="166" fontId="7" fillId="0" borderId="0" xfId="0" applyNumberFormat="1" applyFont="1"/>
    <xf numFmtId="167" fontId="13" fillId="0" borderId="0" xfId="2" applyNumberFormat="1" applyFont="1" applyFill="1"/>
    <xf numFmtId="0" fontId="17" fillId="0" borderId="0" xfId="0" applyFont="1" applyAlignment="1">
      <alignment horizontal="left" indent="1"/>
    </xf>
    <xf numFmtId="0" fontId="17" fillId="0" borderId="0" xfId="0" applyFont="1"/>
    <xf numFmtId="0" fontId="2" fillId="3" borderId="0" xfId="0" applyFont="1" applyFill="1"/>
    <xf numFmtId="168" fontId="12" fillId="0" borderId="0" xfId="1" applyNumberFormat="1" applyFont="1" applyFill="1" applyBorder="1"/>
    <xf numFmtId="166" fontId="11" fillId="0" borderId="0" xfId="0" applyNumberFormat="1" applyFont="1" applyAlignment="1">
      <alignment horizontal="right"/>
    </xf>
    <xf numFmtId="172" fontId="17" fillId="0" borderId="0" xfId="1" applyNumberFormat="1" applyFont="1" applyFill="1"/>
    <xf numFmtId="169" fontId="2" fillId="0" borderId="0" xfId="0" applyNumberFormat="1" applyFont="1" applyAlignment="1">
      <alignment horizontal="right"/>
    </xf>
    <xf numFmtId="173" fontId="5" fillId="0" borderId="0" xfId="0" applyNumberFormat="1" applyFont="1"/>
    <xf numFmtId="170" fontId="2" fillId="0" borderId="0" xfId="0" applyNumberFormat="1" applyFont="1"/>
    <xf numFmtId="166" fontId="5" fillId="0" borderId="3" xfId="0" applyNumberFormat="1" applyFont="1" applyBorder="1" applyAlignment="1">
      <alignment horizontal="right"/>
    </xf>
    <xf numFmtId="43" fontId="12" fillId="0" borderId="0" xfId="1" applyFont="1" applyFill="1"/>
    <xf numFmtId="43" fontId="2" fillId="0" borderId="0" xfId="1" applyFont="1" applyFill="1"/>
    <xf numFmtId="171" fontId="10" fillId="0" borderId="0" xfId="0" applyNumberFormat="1" applyFont="1"/>
    <xf numFmtId="171" fontId="2" fillId="0" borderId="0" xfId="0" applyNumberFormat="1" applyFont="1" applyAlignment="1">
      <alignment horizontal="left"/>
    </xf>
    <xf numFmtId="171" fontId="2" fillId="0" borderId="0" xfId="0" applyNumberFormat="1" applyFont="1"/>
    <xf numFmtId="0" fontId="6" fillId="0" borderId="0" xfId="0" applyFont="1"/>
    <xf numFmtId="169" fontId="5" fillId="0" borderId="0" xfId="0" applyNumberFormat="1" applyFont="1" applyAlignment="1">
      <alignment horizontal="right"/>
    </xf>
    <xf numFmtId="0" fontId="18" fillId="0" borderId="0" xfId="0" applyFont="1"/>
    <xf numFmtId="174" fontId="11" fillId="0" borderId="0" xfId="0" applyNumberFormat="1" applyFont="1" applyAlignment="1">
      <alignment horizontal="right"/>
    </xf>
    <xf numFmtId="167" fontId="7" fillId="0" borderId="0" xfId="2" applyNumberFormat="1" applyFont="1" applyFill="1"/>
    <xf numFmtId="165" fontId="5" fillId="2" borderId="0" xfId="0" applyNumberFormat="1" applyFont="1" applyFill="1" applyAlignment="1">
      <alignment horizontal="centerContinuous"/>
    </xf>
    <xf numFmtId="43" fontId="7" fillId="0" borderId="0" xfId="5" applyFont="1" applyFill="1" applyBorder="1" applyAlignment="1">
      <alignment horizontal="center"/>
    </xf>
    <xf numFmtId="0" fontId="19" fillId="0" borderId="0" xfId="0" applyFont="1"/>
    <xf numFmtId="167" fontId="5" fillId="0" borderId="0" xfId="2" applyNumberFormat="1" applyFont="1" applyFill="1"/>
    <xf numFmtId="0" fontId="21" fillId="0" borderId="0" xfId="0" applyFont="1"/>
    <xf numFmtId="0" fontId="5" fillId="0" borderId="0" xfId="6" applyFont="1"/>
    <xf numFmtId="174" fontId="5" fillId="0" borderId="0" xfId="0" applyNumberFormat="1" applyFont="1" applyAlignment="1">
      <alignment horizontal="right"/>
    </xf>
    <xf numFmtId="0" fontId="5" fillId="0" borderId="0" xfId="6" applyFont="1" applyAlignment="1">
      <alignment wrapText="1"/>
    </xf>
    <xf numFmtId="0" fontId="9" fillId="0" borderId="0" xfId="6" applyFont="1" applyAlignment="1">
      <alignment wrapText="1"/>
    </xf>
    <xf numFmtId="17" fontId="5" fillId="3" borderId="6" xfId="6" applyNumberFormat="1" applyFont="1" applyFill="1" applyBorder="1" applyAlignment="1">
      <alignment horizontal="center" vertical="center" wrapText="1"/>
    </xf>
    <xf numFmtId="0" fontId="5" fillId="3" borderId="0" xfId="6" applyFont="1" applyFill="1" applyAlignment="1">
      <alignment horizontal="right" wrapText="1"/>
    </xf>
    <xf numFmtId="170" fontId="5" fillId="3" borderId="6" xfId="6" applyNumberFormat="1" applyFont="1" applyFill="1" applyBorder="1"/>
    <xf numFmtId="170" fontId="5" fillId="3" borderId="0" xfId="6" applyNumberFormat="1" applyFont="1" applyFill="1"/>
    <xf numFmtId="0" fontId="22" fillId="0" borderId="0" xfId="6" applyFont="1"/>
    <xf numFmtId="0" fontId="2" fillId="5" borderId="0" xfId="6" applyFont="1" applyFill="1" applyAlignment="1">
      <alignment horizontal="left"/>
    </xf>
    <xf numFmtId="37" fontId="2" fillId="5" borderId="0" xfId="6" applyNumberFormat="1" applyFont="1" applyFill="1"/>
    <xf numFmtId="0" fontId="5" fillId="5" borderId="0" xfId="6" applyFont="1" applyFill="1" applyAlignment="1">
      <alignment horizontal="left"/>
    </xf>
    <xf numFmtId="37" fontId="5" fillId="5" borderId="0" xfId="6" applyNumberFormat="1" applyFont="1" applyFill="1"/>
    <xf numFmtId="1" fontId="22" fillId="0" borderId="0" xfId="6" applyNumberFormat="1" applyFont="1"/>
    <xf numFmtId="172" fontId="22" fillId="0" borderId="0" xfId="6" applyNumberFormat="1" applyFont="1"/>
    <xf numFmtId="168" fontId="2" fillId="3" borderId="0" xfId="1" applyNumberFormat="1" applyFont="1" applyFill="1" applyBorder="1" applyAlignment="1">
      <alignment horizontal="center" wrapText="1"/>
    </xf>
    <xf numFmtId="168" fontId="5" fillId="3" borderId="6" xfId="1" applyNumberFormat="1" applyFont="1" applyFill="1" applyBorder="1"/>
    <xf numFmtId="168" fontId="5" fillId="3" borderId="5" xfId="1" applyNumberFormat="1" applyFont="1" applyFill="1" applyBorder="1"/>
    <xf numFmtId="168" fontId="5" fillId="3" borderId="0" xfId="1" applyNumberFormat="1" applyFont="1" applyFill="1" applyBorder="1"/>
    <xf numFmtId="0" fontId="5" fillId="3" borderId="6" xfId="6" applyFont="1" applyFill="1" applyBorder="1" applyAlignment="1">
      <alignment horizontal="center" wrapText="1"/>
    </xf>
    <xf numFmtId="0" fontId="5" fillId="3" borderId="10" xfId="6" applyFont="1" applyFill="1" applyBorder="1"/>
    <xf numFmtId="172" fontId="5" fillId="3" borderId="11" xfId="6" applyNumberFormat="1" applyFont="1" applyFill="1" applyBorder="1" applyAlignment="1">
      <alignment horizontal="right" wrapText="1"/>
    </xf>
    <xf numFmtId="0" fontId="2" fillId="3" borderId="10" xfId="6" applyFont="1" applyFill="1" applyBorder="1"/>
    <xf numFmtId="0" fontId="5" fillId="3" borderId="12" xfId="6" applyFont="1" applyFill="1" applyBorder="1"/>
    <xf numFmtId="170" fontId="5" fillId="3" borderId="13" xfId="6" applyNumberFormat="1" applyFont="1" applyFill="1" applyBorder="1"/>
    <xf numFmtId="170" fontId="2" fillId="3" borderId="0" xfId="6" applyNumberFormat="1" applyFont="1" applyFill="1"/>
    <xf numFmtId="170" fontId="2" fillId="3" borderId="11" xfId="6" applyNumberFormat="1" applyFont="1" applyFill="1" applyBorder="1"/>
    <xf numFmtId="0" fontId="2" fillId="3" borderId="11" xfId="6" applyFont="1" applyFill="1" applyBorder="1"/>
    <xf numFmtId="0" fontId="2" fillId="3" borderId="8" xfId="6" applyFont="1" applyFill="1" applyBorder="1"/>
    <xf numFmtId="168" fontId="2" fillId="3" borderId="2" xfId="0" applyNumberFormat="1" applyFont="1" applyFill="1" applyBorder="1"/>
    <xf numFmtId="0" fontId="2" fillId="3" borderId="2" xfId="6" applyFont="1" applyFill="1" applyBorder="1"/>
    <xf numFmtId="0" fontId="2" fillId="3" borderId="9" xfId="6" applyFont="1" applyFill="1" applyBorder="1"/>
    <xf numFmtId="17" fontId="5" fillId="3" borderId="12" xfId="6" applyNumberFormat="1" applyFont="1" applyFill="1" applyBorder="1" applyAlignment="1">
      <alignment horizontal="center" vertical="center" wrapText="1"/>
    </xf>
    <xf numFmtId="168" fontId="12" fillId="3" borderId="10" xfId="1" applyNumberFormat="1" applyFont="1" applyFill="1" applyBorder="1" applyAlignment="1">
      <alignment horizontal="center" wrapText="1"/>
    </xf>
    <xf numFmtId="168" fontId="5" fillId="3" borderId="12" xfId="1" applyNumberFormat="1" applyFont="1" applyFill="1" applyBorder="1"/>
    <xf numFmtId="168" fontId="2" fillId="3" borderId="10" xfId="1" applyNumberFormat="1" applyFont="1" applyFill="1" applyBorder="1" applyAlignment="1">
      <alignment horizontal="center" wrapText="1"/>
    </xf>
    <xf numFmtId="168" fontId="5" fillId="3" borderId="7" xfId="1" applyNumberFormat="1" applyFont="1" applyFill="1" applyBorder="1"/>
    <xf numFmtId="168" fontId="5" fillId="3" borderId="10" xfId="1" applyNumberFormat="1" applyFont="1" applyFill="1" applyBorder="1"/>
    <xf numFmtId="168" fontId="2" fillId="3" borderId="8" xfId="0" applyNumberFormat="1" applyFont="1" applyFill="1" applyBorder="1"/>
    <xf numFmtId="0" fontId="0" fillId="0" borderId="11" xfId="0" applyBorder="1"/>
    <xf numFmtId="17" fontId="5" fillId="3" borderId="6" xfId="6" applyNumberFormat="1" applyFont="1" applyFill="1" applyBorder="1" applyAlignment="1">
      <alignment horizontal="center" wrapText="1"/>
    </xf>
    <xf numFmtId="0" fontId="5" fillId="3" borderId="13" xfId="6" applyFont="1" applyFill="1" applyBorder="1" applyAlignment="1">
      <alignment horizontal="center" wrapText="1"/>
    </xf>
    <xf numFmtId="43" fontId="11" fillId="0" borderId="0" xfId="5" applyFont="1" applyFill="1" applyBorder="1" applyAlignment="1">
      <alignment horizontal="center"/>
    </xf>
    <xf numFmtId="43" fontId="5" fillId="0" borderId="0" xfId="5" applyFont="1" applyFill="1" applyBorder="1" applyAlignment="1">
      <alignment horizontal="center"/>
    </xf>
    <xf numFmtId="43" fontId="2" fillId="0" borderId="0" xfId="5" applyFont="1" applyFill="1" applyBorder="1" applyAlignment="1">
      <alignment horizontal="center"/>
    </xf>
    <xf numFmtId="0" fontId="9" fillId="0" borderId="0" xfId="0" applyFont="1"/>
    <xf numFmtId="43" fontId="9" fillId="0" borderId="0" xfId="5" applyFont="1" applyFill="1" applyBorder="1" applyAlignment="1">
      <alignment horizontal="center"/>
    </xf>
    <xf numFmtId="167" fontId="2" fillId="0" borderId="0" xfId="2" applyNumberFormat="1" applyFont="1" applyFill="1" applyBorder="1" applyAlignment="1">
      <alignment horizontal="right"/>
    </xf>
    <xf numFmtId="167" fontId="11" fillId="0" borderId="0" xfId="2" applyNumberFormat="1" applyFont="1" applyFill="1" applyBorder="1" applyAlignment="1">
      <alignment horizontal="right"/>
    </xf>
    <xf numFmtId="167" fontId="7" fillId="0" borderId="0" xfId="2" applyNumberFormat="1" applyFont="1" applyFill="1" applyBorder="1" applyAlignment="1">
      <alignment horizontal="right"/>
    </xf>
    <xf numFmtId="167" fontId="5" fillId="0" borderId="0" xfId="2" applyNumberFormat="1" applyFont="1" applyFill="1" applyBorder="1" applyAlignment="1">
      <alignment horizontal="right"/>
    </xf>
    <xf numFmtId="3" fontId="0" fillId="0" borderId="0" xfId="0" applyNumberFormat="1"/>
    <xf numFmtId="175" fontId="0" fillId="0" borderId="0" xfId="0" applyNumberFormat="1"/>
    <xf numFmtId="37" fontId="12" fillId="5" borderId="0" xfId="6" applyNumberFormat="1" applyFont="1" applyFill="1"/>
    <xf numFmtId="167" fontId="5" fillId="0" borderId="4" xfId="2" applyNumberFormat="1" applyFont="1" applyFill="1" applyBorder="1" applyAlignment="1">
      <alignment horizontal="right"/>
    </xf>
    <xf numFmtId="0" fontId="5" fillId="3" borderId="5" xfId="6" applyFont="1" applyFill="1" applyBorder="1" applyAlignment="1">
      <alignment horizontal="center" wrapText="1"/>
    </xf>
    <xf numFmtId="43" fontId="7" fillId="4" borderId="0" xfId="5" applyFont="1" applyFill="1" applyBorder="1" applyAlignment="1">
      <alignment horizontal="center"/>
    </xf>
    <xf numFmtId="168" fontId="11" fillId="0" borderId="0" xfId="5" applyNumberFormat="1" applyFont="1" applyFill="1" applyBorder="1" applyAlignment="1">
      <alignment horizontal="center"/>
    </xf>
    <xf numFmtId="172" fontId="11" fillId="0" borderId="0" xfId="5" applyNumberFormat="1" applyFont="1" applyFill="1" applyBorder="1" applyAlignment="1">
      <alignment horizontal="center"/>
    </xf>
    <xf numFmtId="172" fontId="5" fillId="0" borderId="0" xfId="5" applyNumberFormat="1" applyFont="1" applyFill="1" applyBorder="1" applyAlignment="1">
      <alignment horizontal="center"/>
    </xf>
    <xf numFmtId="168" fontId="2" fillId="0" borderId="0" xfId="5" applyNumberFormat="1" applyFont="1" applyFill="1" applyBorder="1" applyAlignment="1">
      <alignment horizontal="center"/>
    </xf>
    <xf numFmtId="9" fontId="11" fillId="0" borderId="0" xfId="5" applyNumberFormat="1" applyFont="1" applyFill="1" applyBorder="1" applyAlignment="1">
      <alignment horizontal="right"/>
    </xf>
    <xf numFmtId="0" fontId="5" fillId="3" borderId="5" xfId="6" applyFont="1" applyFill="1" applyBorder="1" applyAlignment="1">
      <alignment wrapText="1"/>
    </xf>
    <xf numFmtId="9" fontId="2" fillId="0" borderId="0" xfId="5" applyNumberFormat="1" applyFont="1" applyFill="1" applyBorder="1" applyAlignment="1">
      <alignment horizontal="right"/>
    </xf>
    <xf numFmtId="172" fontId="2" fillId="0" borderId="0" xfId="5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2" fillId="2" borderId="2" xfId="0" applyNumberFormat="1" applyFont="1" applyFill="1" applyBorder="1"/>
    <xf numFmtId="0" fontId="2" fillId="6" borderId="0" xfId="0" applyFont="1" applyFill="1"/>
    <xf numFmtId="0" fontId="5" fillId="6" borderId="0" xfId="0" applyFont="1" applyFill="1"/>
    <xf numFmtId="169" fontId="5" fillId="6" borderId="0" xfId="0" applyNumberFormat="1" applyFont="1" applyFill="1"/>
    <xf numFmtId="169" fontId="2" fillId="6" borderId="0" xfId="0" applyNumberFormat="1" applyFont="1" applyFill="1"/>
    <xf numFmtId="0" fontId="10" fillId="6" borderId="0" xfId="0" applyFont="1" applyFill="1"/>
    <xf numFmtId="166" fontId="5" fillId="6" borderId="0" xfId="0" applyNumberFormat="1" applyFont="1" applyFill="1" applyAlignment="1">
      <alignment horizontal="right"/>
    </xf>
    <xf numFmtId="166" fontId="2" fillId="6" borderId="0" xfId="0" applyNumberFormat="1" applyFont="1" applyFill="1" applyAlignment="1">
      <alignment horizontal="right"/>
    </xf>
    <xf numFmtId="166" fontId="5" fillId="6" borderId="3" xfId="0" applyNumberFormat="1" applyFont="1" applyFill="1" applyBorder="1" applyAlignment="1">
      <alignment horizontal="right"/>
    </xf>
    <xf numFmtId="170" fontId="2" fillId="6" borderId="0" xfId="0" applyNumberFormat="1" applyFont="1" applyFill="1" applyAlignment="1">
      <alignment horizontal="right"/>
    </xf>
    <xf numFmtId="170" fontId="5" fillId="6" borderId="0" xfId="0" applyNumberFormat="1" applyFont="1" applyFill="1" applyAlignment="1">
      <alignment horizontal="right"/>
    </xf>
    <xf numFmtId="173" fontId="5" fillId="6" borderId="0" xfId="0" applyNumberFormat="1" applyFont="1" applyFill="1"/>
    <xf numFmtId="166" fontId="2" fillId="6" borderId="0" xfId="0" applyNumberFormat="1" applyFont="1" applyFill="1"/>
    <xf numFmtId="167" fontId="2" fillId="6" borderId="0" xfId="2" applyNumberFormat="1" applyFont="1" applyFill="1" applyBorder="1"/>
    <xf numFmtId="170" fontId="2" fillId="6" borderId="0" xfId="0" applyNumberFormat="1" applyFont="1" applyFill="1"/>
    <xf numFmtId="167" fontId="5" fillId="6" borderId="0" xfId="2" applyNumberFormat="1" applyFont="1" applyFill="1" applyBorder="1" applyAlignment="1">
      <alignment horizontal="right"/>
    </xf>
    <xf numFmtId="167" fontId="5" fillId="6" borderId="4" xfId="2" applyNumberFormat="1" applyFont="1" applyFill="1" applyBorder="1" applyAlignment="1">
      <alignment horizontal="right"/>
    </xf>
    <xf numFmtId="43" fontId="11" fillId="6" borderId="0" xfId="5" applyFont="1" applyFill="1" applyBorder="1" applyAlignment="1">
      <alignment horizontal="center"/>
    </xf>
    <xf numFmtId="164" fontId="2" fillId="0" borderId="0" xfId="0" applyNumberFormat="1" applyFont="1"/>
    <xf numFmtId="9" fontId="11" fillId="6" borderId="0" xfId="5" applyNumberFormat="1" applyFont="1" applyFill="1" applyBorder="1" applyAlignment="1">
      <alignment horizontal="right"/>
    </xf>
    <xf numFmtId="168" fontId="2" fillId="0" borderId="0" xfId="0" applyNumberFormat="1" applyFont="1"/>
    <xf numFmtId="172" fontId="2" fillId="0" borderId="0" xfId="0" applyNumberFormat="1" applyFont="1"/>
    <xf numFmtId="37" fontId="12" fillId="6" borderId="0" xfId="6" applyNumberFormat="1" applyFont="1" applyFill="1"/>
    <xf numFmtId="37" fontId="5" fillId="0" borderId="0" xfId="6" applyNumberFormat="1" applyFont="1"/>
    <xf numFmtId="14" fontId="0" fillId="0" borderId="0" xfId="0" applyNumberFormat="1"/>
    <xf numFmtId="0" fontId="0" fillId="7" borderId="0" xfId="0" applyFill="1"/>
    <xf numFmtId="0" fontId="5" fillId="2" borderId="1" xfId="0" applyFont="1" applyFill="1" applyBorder="1"/>
    <xf numFmtId="43" fontId="2" fillId="0" borderId="0" xfId="0" applyNumberFormat="1" applyFont="1"/>
    <xf numFmtId="37" fontId="2" fillId="0" borderId="0" xfId="6" applyNumberFormat="1" applyFont="1"/>
    <xf numFmtId="37" fontId="12" fillId="0" borderId="0" xfId="6" applyNumberFormat="1" applyFont="1"/>
    <xf numFmtId="167" fontId="2" fillId="6" borderId="0" xfId="2" applyNumberFormat="1" applyFont="1" applyFill="1" applyBorder="1" applyAlignment="1">
      <alignment horizontal="right"/>
    </xf>
    <xf numFmtId="2" fontId="11" fillId="0" borderId="0" xfId="5" applyNumberFormat="1" applyFont="1" applyFill="1" applyBorder="1" applyAlignment="1">
      <alignment horizontal="right"/>
    </xf>
    <xf numFmtId="164" fontId="2" fillId="6" borderId="0" xfId="0" applyNumberFormat="1" applyFont="1" applyFill="1"/>
    <xf numFmtId="43" fontId="5" fillId="6" borderId="0" xfId="5" applyFont="1" applyFill="1" applyBorder="1" applyAlignment="1">
      <alignment horizontal="center"/>
    </xf>
    <xf numFmtId="168" fontId="2" fillId="6" borderId="0" xfId="0" applyNumberFormat="1" applyFont="1" applyFill="1"/>
    <xf numFmtId="168" fontId="11" fillId="6" borderId="0" xfId="5" applyNumberFormat="1" applyFont="1" applyFill="1" applyBorder="1" applyAlignment="1">
      <alignment horizontal="center"/>
    </xf>
    <xf numFmtId="9" fontId="2" fillId="6" borderId="0" xfId="5" applyNumberFormat="1" applyFont="1" applyFill="1" applyBorder="1" applyAlignment="1">
      <alignment horizontal="right"/>
    </xf>
    <xf numFmtId="172" fontId="2" fillId="6" borderId="0" xfId="0" applyNumberFormat="1" applyFont="1" applyFill="1"/>
    <xf numFmtId="176" fontId="5" fillId="0" borderId="0" xfId="5" applyNumberFormat="1" applyFont="1" applyFill="1" applyBorder="1" applyAlignment="1">
      <alignment horizontal="center"/>
    </xf>
    <xf numFmtId="167" fontId="13" fillId="0" borderId="0" xfId="2" applyNumberFormat="1" applyFont="1" applyFill="1" applyBorder="1"/>
    <xf numFmtId="167" fontId="10" fillId="0" borderId="0" xfId="2" applyNumberFormat="1" applyFont="1" applyFill="1" applyBorder="1"/>
    <xf numFmtId="172" fontId="17" fillId="0" borderId="0" xfId="1" applyNumberFormat="1" applyFont="1" applyFill="1" applyBorder="1"/>
    <xf numFmtId="167" fontId="7" fillId="0" borderId="0" xfId="2" applyNumberFormat="1" applyFont="1" applyFill="1" applyBorder="1"/>
    <xf numFmtId="167" fontId="10" fillId="0" borderId="0" xfId="2" applyNumberFormat="1" applyFont="1" applyFill="1" applyBorder="1" applyAlignment="1">
      <alignment horizontal="right"/>
    </xf>
    <xf numFmtId="43" fontId="2" fillId="0" borderId="0" xfId="1" applyFont="1" applyFill="1" applyBorder="1"/>
    <xf numFmtId="43" fontId="5" fillId="4" borderId="0" xfId="5" applyFont="1" applyFill="1" applyBorder="1" applyAlignment="1">
      <alignment horizontal="center"/>
    </xf>
    <xf numFmtId="168" fontId="2" fillId="3" borderId="2" xfId="1" applyNumberFormat="1" applyFont="1" applyFill="1" applyBorder="1" applyAlignment="1">
      <alignment horizontal="center" wrapText="1"/>
    </xf>
    <xf numFmtId="0" fontId="5" fillId="5" borderId="6" xfId="6" applyFont="1" applyFill="1" applyBorder="1" applyAlignment="1">
      <alignment horizontal="left"/>
    </xf>
    <xf numFmtId="37" fontId="5" fillId="5" borderId="6" xfId="6" applyNumberFormat="1" applyFont="1" applyFill="1" applyBorder="1"/>
    <xf numFmtId="0" fontId="5" fillId="3" borderId="6" xfId="6" applyFont="1" applyFill="1" applyBorder="1" applyAlignment="1">
      <alignment wrapText="1"/>
    </xf>
    <xf numFmtId="168" fontId="2" fillId="0" borderId="0" xfId="1" applyNumberFormat="1" applyFont="1" applyFill="1" applyBorder="1"/>
    <xf numFmtId="175" fontId="2" fillId="0" borderId="0" xfId="0" applyNumberFormat="1" applyFont="1"/>
    <xf numFmtId="165" fontId="6" fillId="2" borderId="0" xfId="0" applyNumberFormat="1" applyFont="1" applyFill="1" applyAlignment="1">
      <alignment horizontal="center"/>
    </xf>
    <xf numFmtId="166" fontId="20" fillId="0" borderId="0" xfId="0" applyNumberFormat="1" applyFont="1"/>
    <xf numFmtId="168" fontId="23" fillId="0" borderId="0" xfId="5" applyNumberFormat="1" applyFont="1" applyFill="1" applyBorder="1" applyAlignment="1">
      <alignment horizontal="center"/>
    </xf>
    <xf numFmtId="9" fontId="23" fillId="0" borderId="0" xfId="5" applyNumberFormat="1" applyFont="1" applyFill="1" applyBorder="1" applyAlignment="1">
      <alignment horizontal="right"/>
    </xf>
    <xf numFmtId="37" fontId="5" fillId="0" borderId="6" xfId="6" applyNumberFormat="1" applyFont="1" applyBorder="1"/>
    <xf numFmtId="0" fontId="2" fillId="0" borderId="0" xfId="0" applyFont="1" applyAlignment="1">
      <alignment horizontal="left" indent="1"/>
    </xf>
    <xf numFmtId="166" fontId="5" fillId="3" borderId="0" xfId="0" applyNumberFormat="1" applyFont="1" applyFill="1"/>
    <xf numFmtId="4" fontId="0" fillId="0" borderId="0" xfId="0" applyNumberFormat="1"/>
    <xf numFmtId="0" fontId="0" fillId="0" borderId="0" xfId="0" applyAlignment="1">
      <alignment wrapText="1"/>
    </xf>
    <xf numFmtId="0" fontId="19" fillId="3" borderId="7" xfId="0" applyFont="1" applyFill="1" applyBorder="1"/>
    <xf numFmtId="0" fontId="0" fillId="3" borderId="10" xfId="0" applyFill="1" applyBorder="1"/>
    <xf numFmtId="0" fontId="19" fillId="3" borderId="10" xfId="0" applyFont="1" applyFill="1" applyBorder="1"/>
    <xf numFmtId="37" fontId="12" fillId="3" borderId="0" xfId="6" applyNumberFormat="1" applyFont="1" applyFill="1"/>
    <xf numFmtId="0" fontId="5" fillId="0" borderId="0" xfId="6" applyFont="1" applyAlignment="1">
      <alignment horizontal="center" wrapText="1"/>
    </xf>
    <xf numFmtId="172" fontId="5" fillId="0" borderId="0" xfId="6" applyNumberFormat="1" applyFont="1" applyAlignment="1">
      <alignment horizontal="right" wrapText="1"/>
    </xf>
    <xf numFmtId="170" fontId="5" fillId="0" borderId="0" xfId="6" applyNumberFormat="1" applyFont="1"/>
    <xf numFmtId="170" fontId="2" fillId="0" borderId="0" xfId="6" applyNumberFormat="1" applyFont="1"/>
    <xf numFmtId="0" fontId="2" fillId="0" borderId="0" xfId="6" applyFont="1"/>
    <xf numFmtId="0" fontId="5" fillId="0" borderId="6" xfId="6" applyFont="1" applyBorder="1" applyAlignment="1">
      <alignment horizontal="center" wrapText="1"/>
    </xf>
    <xf numFmtId="170" fontId="5" fillId="0" borderId="6" xfId="6" applyNumberFormat="1" applyFont="1" applyBorder="1"/>
    <xf numFmtId="0" fontId="2" fillId="0" borderId="2" xfId="6" applyFont="1" applyBorder="1"/>
    <xf numFmtId="0" fontId="0" fillId="0" borderId="10" xfId="0" applyBorder="1"/>
    <xf numFmtId="4" fontId="0" fillId="0" borderId="11" xfId="0" applyNumberFormat="1" applyBorder="1"/>
    <xf numFmtId="43" fontId="0" fillId="0" borderId="0" xfId="0" applyNumberFormat="1"/>
    <xf numFmtId="0" fontId="0" fillId="3" borderId="13" xfId="0" applyFill="1" applyBorder="1"/>
    <xf numFmtId="37" fontId="12" fillId="0" borderId="11" xfId="6" applyNumberFormat="1" applyFont="1" applyBorder="1"/>
    <xf numFmtId="0" fontId="0" fillId="0" borderId="12" xfId="0" applyBorder="1" applyAlignment="1">
      <alignment wrapText="1"/>
    </xf>
    <xf numFmtId="37" fontId="5" fillId="0" borderId="13" xfId="6" applyNumberFormat="1" applyFont="1" applyBorder="1" applyAlignment="1">
      <alignment horizontal="right"/>
    </xf>
    <xf numFmtId="37" fontId="2" fillId="0" borderId="11" xfId="6" applyNumberFormat="1" applyFont="1" applyBorder="1"/>
    <xf numFmtId="0" fontId="2" fillId="2" borderId="0" xfId="0" applyFont="1" applyFill="1" applyAlignment="1">
      <alignment horizontal="center"/>
    </xf>
    <xf numFmtId="43" fontId="2" fillId="6" borderId="0" xfId="5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6" fontId="17" fillId="0" borderId="0" xfId="0" applyNumberFormat="1" applyFont="1"/>
    <xf numFmtId="167" fontId="10" fillId="0" borderId="0" xfId="0" applyNumberFormat="1" applyFont="1"/>
    <xf numFmtId="0" fontId="5" fillId="8" borderId="0" xfId="0" applyFont="1" applyFill="1" applyAlignment="1">
      <alignment horizontal="left"/>
    </xf>
    <xf numFmtId="166" fontId="7" fillId="8" borderId="0" xfId="0" applyNumberFormat="1" applyFont="1" applyFill="1"/>
    <xf numFmtId="0" fontId="5" fillId="8" borderId="0" xfId="0" applyFont="1" applyFill="1"/>
    <xf numFmtId="43" fontId="12" fillId="8" borderId="0" xfId="1" applyFont="1" applyFill="1"/>
    <xf numFmtId="43" fontId="2" fillId="8" borderId="0" xfId="1" applyFont="1" applyFill="1"/>
    <xf numFmtId="0" fontId="7" fillId="2" borderId="0" xfId="0" applyFont="1" applyFill="1"/>
    <xf numFmtId="43" fontId="7" fillId="2" borderId="0" xfId="5" applyFont="1" applyFill="1" applyBorder="1" applyAlignment="1">
      <alignment horizontal="center"/>
    </xf>
    <xf numFmtId="164" fontId="2" fillId="3" borderId="0" xfId="0" applyNumberFormat="1" applyFont="1" applyFill="1"/>
    <xf numFmtId="43" fontId="5" fillId="3" borderId="0" xfId="5" applyFont="1" applyFill="1" applyBorder="1" applyAlignment="1">
      <alignment horizontal="center"/>
    </xf>
    <xf numFmtId="167" fontId="2" fillId="3" borderId="0" xfId="2" applyNumberFormat="1" applyFont="1" applyFill="1" applyBorder="1" applyAlignment="1">
      <alignment horizontal="right"/>
    </xf>
    <xf numFmtId="167" fontId="5" fillId="3" borderId="0" xfId="2" applyNumberFormat="1" applyFont="1" applyFill="1" applyBorder="1" applyAlignment="1">
      <alignment horizontal="right"/>
    </xf>
    <xf numFmtId="43" fontId="11" fillId="3" borderId="0" xfId="5" applyFont="1" applyFill="1" applyBorder="1" applyAlignment="1">
      <alignment horizontal="center"/>
    </xf>
    <xf numFmtId="43" fontId="2" fillId="3" borderId="0" xfId="5" applyFont="1" applyFill="1" applyBorder="1" applyAlignment="1">
      <alignment horizontal="center"/>
    </xf>
    <xf numFmtId="0" fontId="19" fillId="0" borderId="7" xfId="0" applyFont="1" applyBorder="1"/>
    <xf numFmtId="168" fontId="2" fillId="0" borderId="0" xfId="1" applyNumberFormat="1" applyFont="1" applyFill="1" applyBorder="1" applyAlignment="1">
      <alignment horizontal="center" wrapText="1"/>
    </xf>
    <xf numFmtId="0" fontId="5" fillId="0" borderId="0" xfId="6" applyFont="1" applyAlignment="1">
      <alignment horizontal="right" wrapText="1"/>
    </xf>
    <xf numFmtId="172" fontId="5" fillId="0" borderId="11" xfId="6" applyNumberFormat="1" applyFont="1" applyBorder="1" applyAlignment="1">
      <alignment horizontal="right" wrapText="1"/>
    </xf>
    <xf numFmtId="0" fontId="2" fillId="0" borderId="10" xfId="6" applyFont="1" applyBorder="1"/>
    <xf numFmtId="0" fontId="19" fillId="0" borderId="10" xfId="0" applyFont="1" applyBorder="1"/>
    <xf numFmtId="0" fontId="2" fillId="0" borderId="8" xfId="6" applyFont="1" applyBorder="1"/>
    <xf numFmtId="0" fontId="5" fillId="0" borderId="12" xfId="6" applyFont="1" applyBorder="1"/>
    <xf numFmtId="168" fontId="5" fillId="0" borderId="6" xfId="1" applyNumberFormat="1" applyFont="1" applyFill="1" applyBorder="1"/>
    <xf numFmtId="170" fontId="5" fillId="0" borderId="13" xfId="6" applyNumberFormat="1" applyFont="1" applyBorder="1"/>
    <xf numFmtId="170" fontId="2" fillId="0" borderId="11" xfId="6" applyNumberFormat="1" applyFont="1" applyBorder="1"/>
    <xf numFmtId="0" fontId="5" fillId="0" borderId="10" xfId="6" applyFont="1" applyBorder="1"/>
    <xf numFmtId="168" fontId="5" fillId="0" borderId="5" xfId="1" applyNumberFormat="1" applyFont="1" applyFill="1" applyBorder="1"/>
    <xf numFmtId="0" fontId="2" fillId="0" borderId="11" xfId="6" applyFont="1" applyBorder="1"/>
    <xf numFmtId="168" fontId="5" fillId="0" borderId="0" xfId="1" applyNumberFormat="1" applyFont="1" applyFill="1" applyBorder="1"/>
    <xf numFmtId="168" fontId="2" fillId="0" borderId="2" xfId="0" applyNumberFormat="1" applyFont="1" applyBorder="1"/>
    <xf numFmtId="168" fontId="2" fillId="0" borderId="2" xfId="1" applyNumberFormat="1" applyFont="1" applyFill="1" applyBorder="1" applyAlignment="1">
      <alignment horizontal="center" wrapText="1"/>
    </xf>
    <xf numFmtId="0" fontId="2" fillId="0" borderId="9" xfId="6" applyFont="1" applyBorder="1"/>
    <xf numFmtId="17" fontId="5" fillId="2" borderId="12" xfId="6" applyNumberFormat="1" applyFont="1" applyFill="1" applyBorder="1" applyAlignment="1">
      <alignment horizontal="left" vertical="center" wrapText="1"/>
    </xf>
    <xf numFmtId="17" fontId="5" fillId="2" borderId="6" xfId="6" applyNumberFormat="1" applyFont="1" applyFill="1" applyBorder="1" applyAlignment="1">
      <alignment horizontal="center" vertical="center" wrapText="1"/>
    </xf>
    <xf numFmtId="0" fontId="5" fillId="2" borderId="6" xfId="6" applyFont="1" applyFill="1" applyBorder="1" applyAlignment="1">
      <alignment horizontal="center" vertical="center" wrapText="1"/>
    </xf>
    <xf numFmtId="0" fontId="5" fillId="2" borderId="13" xfId="6" applyFont="1" applyFill="1" applyBorder="1" applyAlignment="1">
      <alignment horizontal="center" vertical="center" wrapText="1"/>
    </xf>
    <xf numFmtId="0" fontId="5" fillId="2" borderId="6" xfId="6" applyFont="1" applyFill="1" applyBorder="1" applyAlignment="1">
      <alignment wrapText="1"/>
    </xf>
    <xf numFmtId="0" fontId="5" fillId="2" borderId="6" xfId="6" applyFont="1" applyFill="1" applyBorder="1" applyAlignment="1">
      <alignment horizontal="center" wrapText="1"/>
    </xf>
    <xf numFmtId="166" fontId="12" fillId="0" borderId="11" xfId="6" applyNumberFormat="1" applyFont="1" applyBorder="1"/>
    <xf numFmtId="166" fontId="2" fillId="0" borderId="11" xfId="6" applyNumberFormat="1" applyFont="1" applyBorder="1"/>
    <xf numFmtId="17" fontId="6" fillId="2" borderId="12" xfId="6" applyNumberFormat="1" applyFont="1" applyFill="1" applyBorder="1" applyAlignment="1">
      <alignment horizontal="left" vertical="center" wrapText="1"/>
    </xf>
    <xf numFmtId="0" fontId="27" fillId="2" borderId="13" xfId="0" applyFont="1" applyFill="1" applyBorder="1"/>
    <xf numFmtId="37" fontId="28" fillId="0" borderId="13" xfId="6" applyNumberFormat="1" applyFont="1" applyBorder="1" applyAlignment="1">
      <alignment horizontal="right"/>
    </xf>
    <xf numFmtId="168" fontId="5" fillId="0" borderId="0" xfId="1" applyNumberFormat="1" applyFont="1" applyFill="1" applyBorder="1" applyAlignment="1">
      <alignment horizontal="center" wrapText="1"/>
    </xf>
    <xf numFmtId="168" fontId="5" fillId="0" borderId="0" xfId="5" applyNumberFormat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1" fontId="22" fillId="0" borderId="0" xfId="0" applyNumberFormat="1" applyFont="1"/>
    <xf numFmtId="166" fontId="22" fillId="0" borderId="0" xfId="0" applyNumberFormat="1" applyFont="1"/>
    <xf numFmtId="0" fontId="29" fillId="0" borderId="0" xfId="0" applyFont="1"/>
    <xf numFmtId="0" fontId="9" fillId="8" borderId="0" xfId="0" applyFont="1" applyFill="1" applyAlignment="1">
      <alignment horizontal="left"/>
    </xf>
    <xf numFmtId="166" fontId="2" fillId="8" borderId="0" xfId="0" applyNumberFormat="1" applyFont="1" applyFill="1"/>
    <xf numFmtId="0" fontId="2" fillId="8" borderId="0" xfId="0" applyFont="1" applyFill="1"/>
    <xf numFmtId="166" fontId="28" fillId="0" borderId="0" xfId="0" applyNumberFormat="1" applyFont="1"/>
    <xf numFmtId="172" fontId="22" fillId="0" borderId="0" xfId="1" applyNumberFormat="1" applyFont="1" applyFill="1"/>
    <xf numFmtId="172" fontId="22" fillId="0" borderId="0" xfId="1" applyNumberFormat="1" applyFont="1" applyFill="1" applyBorder="1"/>
    <xf numFmtId="168" fontId="22" fillId="0" borderId="0" xfId="1" applyNumberFormat="1" applyFont="1" applyFill="1"/>
    <xf numFmtId="0" fontId="22" fillId="0" borderId="0" xfId="0" applyFont="1"/>
    <xf numFmtId="167" fontId="5" fillId="0" borderId="0" xfId="0" applyNumberFormat="1" applyFont="1"/>
    <xf numFmtId="43" fontId="12" fillId="0" borderId="0" xfId="1" applyFont="1" applyFill="1" applyBorder="1"/>
    <xf numFmtId="43" fontId="7" fillId="9" borderId="0" xfId="5" applyFont="1" applyFill="1" applyBorder="1" applyAlignment="1">
      <alignment horizontal="center"/>
    </xf>
    <xf numFmtId="43" fontId="5" fillId="9" borderId="0" xfId="5" applyFont="1" applyFill="1" applyBorder="1" applyAlignment="1">
      <alignment horizontal="center"/>
    </xf>
    <xf numFmtId="0" fontId="5" fillId="9" borderId="0" xfId="0" applyFont="1" applyFill="1"/>
    <xf numFmtId="0" fontId="23" fillId="2" borderId="0" xfId="0" applyFont="1" applyFill="1"/>
    <xf numFmtId="0" fontId="23" fillId="0" borderId="0" xfId="0" applyFont="1"/>
    <xf numFmtId="0" fontId="5" fillId="4" borderId="0" xfId="0" applyFont="1" applyFill="1"/>
    <xf numFmtId="0" fontId="5" fillId="9" borderId="0" xfId="0" applyFont="1" applyFill="1" applyAlignment="1">
      <alignment wrapText="1"/>
    </xf>
    <xf numFmtId="0" fontId="11" fillId="0" borderId="0" xfId="0" applyFont="1"/>
    <xf numFmtId="43" fontId="22" fillId="0" borderId="0" xfId="5" applyFont="1" applyFill="1" applyBorder="1" applyAlignment="1">
      <alignment horizontal="center"/>
    </xf>
    <xf numFmtId="172" fontId="22" fillId="0" borderId="0" xfId="5" applyNumberFormat="1" applyFont="1" applyFill="1" applyBorder="1" applyAlignment="1">
      <alignment horizontal="center"/>
    </xf>
    <xf numFmtId="172" fontId="22" fillId="0" borderId="0" xfId="1" applyNumberFormat="1" applyFont="1" applyFill="1" applyBorder="1" applyAlignment="1">
      <alignment horizontal="center"/>
    </xf>
    <xf numFmtId="0" fontId="19" fillId="0" borderId="5" xfId="0" applyFont="1" applyBorder="1"/>
    <xf numFmtId="0" fontId="5" fillId="0" borderId="6" xfId="6" applyFont="1" applyBorder="1"/>
    <xf numFmtId="172" fontId="5" fillId="0" borderId="5" xfId="6" applyNumberFormat="1" applyFont="1" applyBorder="1" applyAlignment="1">
      <alignment horizontal="right" wrapText="1"/>
    </xf>
    <xf numFmtId="166" fontId="12" fillId="0" borderId="0" xfId="6" applyNumberFormat="1" applyFont="1"/>
    <xf numFmtId="168" fontId="2" fillId="0" borderId="5" xfId="1" applyNumberFormat="1" applyFont="1" applyFill="1" applyBorder="1"/>
    <xf numFmtId="0" fontId="0" fillId="0" borderId="0" xfId="0" quotePrefix="1"/>
    <xf numFmtId="174" fontId="2" fillId="0" borderId="0" xfId="0" applyNumberFormat="1" applyFont="1" applyAlignment="1">
      <alignment horizontal="right"/>
    </xf>
    <xf numFmtId="0" fontId="2" fillId="0" borderId="0" xfId="6" applyFont="1" applyAlignment="1">
      <alignment wrapText="1"/>
    </xf>
    <xf numFmtId="0" fontId="5" fillId="0" borderId="0" xfId="6" applyFont="1" applyAlignment="1">
      <alignment horizontal="center" vertical="center" wrapText="1"/>
    </xf>
    <xf numFmtId="17" fontId="6" fillId="2" borderId="12" xfId="6" applyNumberFormat="1" applyFont="1" applyFill="1" applyBorder="1" applyAlignment="1">
      <alignment horizontal="left" vertical="center"/>
    </xf>
    <xf numFmtId="17" fontId="5" fillId="2" borderId="12" xfId="6" applyNumberFormat="1" applyFont="1" applyFill="1" applyBorder="1" applyAlignment="1">
      <alignment horizontal="left" vertical="center"/>
    </xf>
    <xf numFmtId="17" fontId="5" fillId="2" borderId="6" xfId="6" applyNumberFormat="1" applyFont="1" applyFill="1" applyBorder="1" applyAlignment="1">
      <alignment horizontal="center" vertical="center"/>
    </xf>
    <xf numFmtId="0" fontId="5" fillId="2" borderId="6" xfId="6" applyFont="1" applyFill="1" applyBorder="1" applyAlignment="1">
      <alignment horizontal="center" vertical="center"/>
    </xf>
    <xf numFmtId="0" fontId="23" fillId="0" borderId="10" xfId="0" applyFont="1" applyBorder="1"/>
    <xf numFmtId="4" fontId="23" fillId="0" borderId="11" xfId="0" applyNumberFormat="1" applyFont="1" applyBorder="1"/>
    <xf numFmtId="0" fontId="23" fillId="0" borderId="12" xfId="0" applyFont="1" applyBorder="1" applyAlignment="1">
      <alignment wrapText="1"/>
    </xf>
    <xf numFmtId="164" fontId="5" fillId="0" borderId="0" xfId="0" applyNumberFormat="1" applyFont="1"/>
    <xf numFmtId="172" fontId="5" fillId="0" borderId="0" xfId="1" applyNumberFormat="1" applyFont="1" applyFill="1"/>
    <xf numFmtId="168" fontId="5" fillId="0" borderId="0" xfId="1" applyNumberFormat="1" applyFont="1" applyFill="1"/>
    <xf numFmtId="168" fontId="5" fillId="6" borderId="0" xfId="0" applyNumberFormat="1" applyFont="1" applyFill="1"/>
    <xf numFmtId="168" fontId="5" fillId="0" borderId="0" xfId="0" applyNumberFormat="1" applyFont="1"/>
    <xf numFmtId="0" fontId="30" fillId="0" borderId="0" xfId="0" applyFont="1" applyAlignment="1">
      <alignment horizontal="right" vertical="center" wrapText="1"/>
    </xf>
  </cellXfs>
  <cellStyles count="7">
    <cellStyle name="Comma" xfId="1" builtinId="3"/>
    <cellStyle name="Comma 3" xfId="5" xr:uid="{00000000-0005-0000-0000-000001000000}"/>
    <cellStyle name="Normal" xfId="0" builtinId="0"/>
    <cellStyle name="Normal 2" xfId="3" xr:uid="{00000000-0005-0000-0000-000003000000}"/>
    <cellStyle name="Normal 2 2" xfId="6" xr:uid="{00000000-0005-0000-0000-000004000000}"/>
    <cellStyle name="Per cent" xfId="2" builtinId="5"/>
    <cellStyle name="Percent 101" xfId="4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73</xdr:row>
      <xdr:rowOff>89647</xdr:rowOff>
    </xdr:from>
    <xdr:to>
      <xdr:col>5</xdr:col>
      <xdr:colOff>246829</xdr:colOff>
      <xdr:row>102</xdr:row>
      <xdr:rowOff>138051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B4C48-5D66-24DD-494D-BA85B8F50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529" y="7138147"/>
          <a:ext cx="6163535" cy="557290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805"/>
  <sheetViews>
    <sheetView showGridLines="0" zoomScaleNormal="100" workbookViewId="0">
      <selection activeCell="N3" sqref="N3"/>
    </sheetView>
  </sheetViews>
  <sheetFormatPr defaultRowHeight="15"/>
  <cols>
    <col min="2" max="2" width="50.7109375" customWidth="1"/>
    <col min="3" max="8" width="12.7109375" customWidth="1"/>
    <col min="9" max="9" width="50.7109375" customWidth="1"/>
    <col min="10" max="12" width="12.7109375" customWidth="1"/>
  </cols>
  <sheetData>
    <row r="3" spans="1:11">
      <c r="A3" s="69" t="s">
        <v>0</v>
      </c>
      <c r="I3" s="205" t="s">
        <v>1</v>
      </c>
      <c r="J3" s="298">
        <f>Model!O$204</f>
        <v>0.86557604085518913</v>
      </c>
    </row>
    <row r="4" spans="1:11">
      <c r="I4" s="299" t="s">
        <v>2</v>
      </c>
      <c r="J4" s="298">
        <f>Model!O$205</f>
        <v>0.87061569280710738</v>
      </c>
    </row>
    <row r="6" spans="1:11">
      <c r="B6" s="73"/>
      <c r="C6" s="71"/>
      <c r="I6" s="67"/>
    </row>
    <row r="7" spans="1:11">
      <c r="A7" s="109"/>
      <c r="B7" s="302" t="s">
        <v>3</v>
      </c>
      <c r="C7" s="303" t="s">
        <v>4</v>
      </c>
      <c r="D7" s="303" t="s">
        <v>5</v>
      </c>
      <c r="E7" s="304" t="s">
        <v>6</v>
      </c>
      <c r="F7" s="304" t="s">
        <v>7</v>
      </c>
      <c r="G7" s="300"/>
      <c r="H7" s="201"/>
      <c r="I7" s="301" t="s">
        <v>8</v>
      </c>
      <c r="J7" s="262"/>
    </row>
    <row r="8" spans="1:11">
      <c r="B8" s="292" t="s">
        <v>9</v>
      </c>
      <c r="C8" s="236"/>
      <c r="D8" s="236"/>
      <c r="E8" s="237"/>
      <c r="F8" s="294"/>
      <c r="G8" s="202"/>
      <c r="H8" s="202"/>
      <c r="I8" s="305" t="s">
        <v>10</v>
      </c>
      <c r="J8" s="259">
        <f>4347.2+5030</f>
        <v>9377.2000000000007</v>
      </c>
    </row>
    <row r="9" spans="1:11">
      <c r="B9" t="s">
        <v>11</v>
      </c>
      <c r="C9" s="295">
        <v>4276.8999999999996</v>
      </c>
      <c r="D9" s="236">
        <f>C9/$J3</f>
        <v>4941.1025699999991</v>
      </c>
      <c r="E9" s="237"/>
      <c r="F9" s="202"/>
      <c r="G9" s="202"/>
      <c r="H9" s="202"/>
      <c r="I9" s="305" t="s">
        <v>12</v>
      </c>
      <c r="J9" s="260">
        <f>C17</f>
        <v>633</v>
      </c>
    </row>
    <row r="10" spans="1:11">
      <c r="B10" t="s">
        <v>13</v>
      </c>
      <c r="C10" s="295">
        <v>4218</v>
      </c>
      <c r="D10" s="236">
        <f>C10/$J3</f>
        <v>4873.0554000000002</v>
      </c>
      <c r="E10" s="237"/>
      <c r="F10" s="202"/>
      <c r="G10" s="202"/>
      <c r="H10" s="202"/>
      <c r="I10" s="305" t="s">
        <v>14</v>
      </c>
      <c r="J10" s="259">
        <f>J8-J9</f>
        <v>8744.2000000000007</v>
      </c>
    </row>
    <row r="11" spans="1:11">
      <c r="B11" s="205"/>
      <c r="C11" s="295"/>
      <c r="D11" s="236"/>
      <c r="E11" s="237"/>
      <c r="F11" s="202"/>
      <c r="G11" s="202"/>
      <c r="H11" s="202"/>
      <c r="I11" s="305"/>
      <c r="J11" s="306"/>
    </row>
    <row r="12" spans="1:11">
      <c r="B12" s="67" t="s">
        <v>15</v>
      </c>
      <c r="C12" s="295"/>
      <c r="D12" s="236"/>
      <c r="E12" s="237"/>
      <c r="F12" s="202"/>
      <c r="G12" s="202"/>
      <c r="H12" s="202"/>
      <c r="I12" s="307" t="s">
        <v>16</v>
      </c>
      <c r="J12" s="263" t="s">
        <v>17</v>
      </c>
      <c r="K12" s="211"/>
    </row>
    <row r="13" spans="1:11">
      <c r="B13" t="s">
        <v>11</v>
      </c>
      <c r="C13" s="295">
        <v>70.400000000000006</v>
      </c>
      <c r="D13" s="236">
        <f>C13/$J3</f>
        <v>81.333120000000008</v>
      </c>
      <c r="E13" s="237"/>
      <c r="F13" s="202"/>
      <c r="G13" s="202"/>
      <c r="H13" s="202"/>
    </row>
    <row r="14" spans="1:11">
      <c r="B14" t="s">
        <v>13</v>
      </c>
      <c r="C14" s="295">
        <v>812.1</v>
      </c>
      <c r="D14" s="236">
        <f>C14/$J3</f>
        <v>938.21913000000006</v>
      </c>
      <c r="E14" s="237"/>
      <c r="F14" s="202"/>
      <c r="G14" s="202"/>
      <c r="H14" s="202"/>
    </row>
    <row r="15" spans="1:11">
      <c r="B15" s="208"/>
      <c r="C15" s="165"/>
      <c r="D15" s="236"/>
      <c r="E15" s="237"/>
      <c r="F15" s="202"/>
      <c r="G15" s="202"/>
      <c r="H15" s="202"/>
      <c r="J15" s="211"/>
    </row>
    <row r="16" spans="1:11">
      <c r="B16" s="293" t="s">
        <v>18</v>
      </c>
      <c r="C16" s="243">
        <f>SUM(C9:C14)</f>
        <v>9377.4</v>
      </c>
      <c r="D16" s="243">
        <f>SUM(D9:D14)</f>
        <v>10833.710219999999</v>
      </c>
      <c r="E16" s="207">
        <f>C16/C21</f>
        <v>13.053173719376391</v>
      </c>
      <c r="F16" s="207">
        <f>D16/D21</f>
        <v>13.129173341949802</v>
      </c>
      <c r="G16" s="203"/>
      <c r="H16" s="203"/>
    </row>
    <row r="17" spans="2:10">
      <c r="B17" s="205" t="s">
        <v>19</v>
      </c>
      <c r="C17" s="236">
        <f>Model!BF$130</f>
        <v>633</v>
      </c>
      <c r="D17" s="236">
        <f>C17/$J3</f>
        <v>731.30489999999998</v>
      </c>
      <c r="E17" s="204"/>
      <c r="F17" s="204"/>
      <c r="G17" s="204"/>
      <c r="H17" s="204"/>
    </row>
    <row r="18" spans="2:10">
      <c r="B18" s="293" t="s">
        <v>20</v>
      </c>
      <c r="C18" s="243">
        <f>C16-C17</f>
        <v>8744.4</v>
      </c>
      <c r="D18" s="243">
        <f>D16-D17</f>
        <v>10102.40532</v>
      </c>
      <c r="E18" s="207">
        <f>C18/C21</f>
        <v>12.172048997772826</v>
      </c>
      <c r="F18" s="207">
        <f>D18/D21</f>
        <v>12.242918439156467</v>
      </c>
      <c r="G18" s="203"/>
      <c r="H18" s="203"/>
    </row>
    <row r="19" spans="2:10">
      <c r="B19" s="205" t="s">
        <v>21</v>
      </c>
      <c r="C19" s="296">
        <f>Model!BF$134</f>
        <v>8679.7999999999993</v>
      </c>
      <c r="D19" s="236">
        <f>C19/$J3</f>
        <v>10027.772939999999</v>
      </c>
      <c r="E19" s="204"/>
      <c r="F19" s="205"/>
      <c r="G19" s="205"/>
      <c r="H19" s="205"/>
    </row>
    <row r="20" spans="2:10">
      <c r="B20" s="70" t="s">
        <v>22</v>
      </c>
      <c r="C20" s="249">
        <f>C18+C19</f>
        <v>17424.199999999997</v>
      </c>
      <c r="D20" s="264">
        <f>C20/$J3</f>
        <v>20130.178259999997</v>
      </c>
      <c r="E20" s="203"/>
      <c r="F20" s="205"/>
      <c r="G20" s="205"/>
      <c r="H20" s="205"/>
    </row>
    <row r="21" spans="2:10" s="67" customFormat="1">
      <c r="B21" s="70" t="s">
        <v>23</v>
      </c>
      <c r="C21" s="312">
        <f>Model!BF$110</f>
        <v>718.40000000000009</v>
      </c>
      <c r="D21" s="264">
        <f>C21/$J4</f>
        <v>825.16316433911095</v>
      </c>
      <c r="E21" s="70"/>
      <c r="F21" s="70"/>
      <c r="G21" s="70"/>
      <c r="H21" s="70"/>
    </row>
    <row r="22" spans="2:10">
      <c r="B22" s="78" t="s">
        <v>24</v>
      </c>
      <c r="C22" s="84">
        <f>+C16-Model!BF$128</f>
        <v>0</v>
      </c>
    </row>
    <row r="23" spans="2:10">
      <c r="B23" s="78"/>
      <c r="C23" s="84"/>
    </row>
    <row r="24" spans="2:10">
      <c r="C24" s="297" t="s">
        <v>25</v>
      </c>
      <c r="F24" s="211"/>
      <c r="G24" s="211"/>
    </row>
    <row r="25" spans="2:10">
      <c r="B25" s="257" t="s">
        <v>26</v>
      </c>
      <c r="C25" s="258" t="s">
        <v>27</v>
      </c>
      <c r="D25" s="258" t="s">
        <v>28</v>
      </c>
    </row>
    <row r="26" spans="2:10">
      <c r="B26" s="79">
        <v>2026</v>
      </c>
      <c r="C26" s="123">
        <v>327</v>
      </c>
      <c r="D26" s="164">
        <f>+C26/$J3</f>
        <v>377.78309999999999</v>
      </c>
      <c r="I26" s="196"/>
      <c r="J26" s="195"/>
    </row>
    <row r="27" spans="2:10">
      <c r="B27" s="79">
        <f>B26+1</f>
        <v>2027</v>
      </c>
      <c r="C27" s="123">
        <v>583</v>
      </c>
      <c r="D27" s="164">
        <f>+C27/$J3</f>
        <v>673.53989999999999</v>
      </c>
      <c r="J27" s="195"/>
    </row>
    <row r="28" spans="2:10">
      <c r="B28" s="79">
        <f>B27+1</f>
        <v>2028</v>
      </c>
      <c r="C28" s="123">
        <v>478</v>
      </c>
      <c r="D28" s="164">
        <f>+C28/$J3</f>
        <v>552.23339999999996</v>
      </c>
    </row>
    <row r="29" spans="2:10">
      <c r="B29" s="79">
        <f t="shared" ref="B29:B34" si="0">B28+1</f>
        <v>2029</v>
      </c>
      <c r="C29" s="123">
        <v>1338</v>
      </c>
      <c r="D29" s="164">
        <f>+C29/$J3</f>
        <v>1545.7914000000001</v>
      </c>
    </row>
    <row r="30" spans="2:10">
      <c r="B30" s="79">
        <f t="shared" si="0"/>
        <v>2030</v>
      </c>
      <c r="C30" s="123">
        <v>2094</v>
      </c>
      <c r="D30" s="164">
        <f>+C30/$J3</f>
        <v>2419.1981999999998</v>
      </c>
      <c r="I30" s="196"/>
    </row>
    <row r="31" spans="2:10">
      <c r="B31" s="79">
        <f t="shared" si="0"/>
        <v>2031</v>
      </c>
      <c r="C31" s="123">
        <v>2438</v>
      </c>
      <c r="D31" s="164">
        <f>+C31/$J3</f>
        <v>2816.6214</v>
      </c>
    </row>
    <row r="32" spans="2:10">
      <c r="B32" s="79">
        <f t="shared" si="0"/>
        <v>2032</v>
      </c>
      <c r="C32" s="123">
        <v>1199</v>
      </c>
      <c r="D32" s="164">
        <f>+C32/$J3</f>
        <v>1385.2047</v>
      </c>
    </row>
    <row r="33" spans="1:11">
      <c r="B33" s="79">
        <f t="shared" si="0"/>
        <v>2033</v>
      </c>
      <c r="C33" s="123">
        <v>35</v>
      </c>
      <c r="D33" s="164">
        <f>+C33/$J3</f>
        <v>40.435499999999998</v>
      </c>
    </row>
    <row r="34" spans="1:11">
      <c r="B34" s="79">
        <f t="shared" si="0"/>
        <v>2034</v>
      </c>
      <c r="C34" s="123">
        <v>397</v>
      </c>
      <c r="D34" s="164">
        <f>+C34/$J3</f>
        <v>458.65409999999997</v>
      </c>
    </row>
    <row r="35" spans="1:11">
      <c r="B35" s="79" t="s">
        <v>29</v>
      </c>
      <c r="C35" s="123">
        <v>513</v>
      </c>
      <c r="D35" s="164">
        <f>+C35/$J3</f>
        <v>592.66890000000001</v>
      </c>
    </row>
    <row r="36" spans="1:11">
      <c r="B36" s="183" t="s">
        <v>18</v>
      </c>
      <c r="C36" s="192">
        <f>+SUM(C26:C35)</f>
        <v>9402</v>
      </c>
      <c r="D36" s="192">
        <f>+SUM(D26:D35)</f>
        <v>10862.1306</v>
      </c>
      <c r="F36" s="82"/>
      <c r="G36" s="159"/>
      <c r="H36" s="159"/>
    </row>
    <row r="37" spans="1:11">
      <c r="B37" s="81"/>
      <c r="C37" s="159"/>
      <c r="D37" s="159"/>
      <c r="F37" s="82"/>
      <c r="G37" s="159"/>
      <c r="H37" s="159"/>
    </row>
    <row r="38" spans="1:11">
      <c r="B38" s="81"/>
      <c r="C38" s="159"/>
      <c r="D38" s="159"/>
      <c r="F38" s="82"/>
      <c r="G38" s="159"/>
      <c r="H38" s="159"/>
    </row>
    <row r="39" spans="1:11">
      <c r="A39" s="69" t="s">
        <v>30</v>
      </c>
      <c r="I39" s="205" t="s">
        <v>1</v>
      </c>
      <c r="J39" s="298">
        <f>Model!O$204</f>
        <v>0.86557604085518913</v>
      </c>
    </row>
    <row r="40" spans="1:11">
      <c r="I40" s="299" t="s">
        <v>2</v>
      </c>
      <c r="J40" s="298">
        <f>Model!O$205</f>
        <v>0.87061569280710738</v>
      </c>
    </row>
    <row r="42" spans="1:11">
      <c r="B42" s="73"/>
      <c r="C42" s="71"/>
      <c r="I42" s="67"/>
    </row>
    <row r="43" spans="1:11">
      <c r="A43" s="109"/>
      <c r="B43" s="302" t="s">
        <v>31</v>
      </c>
      <c r="C43" s="303" t="s">
        <v>4</v>
      </c>
      <c r="D43" s="303" t="s">
        <v>5</v>
      </c>
      <c r="E43" s="304" t="s">
        <v>6</v>
      </c>
      <c r="F43" s="304" t="s">
        <v>7</v>
      </c>
      <c r="G43" s="300"/>
      <c r="H43" s="201"/>
      <c r="I43" s="301" t="s">
        <v>8</v>
      </c>
      <c r="J43" s="262"/>
    </row>
    <row r="44" spans="1:11">
      <c r="B44" s="292" t="s">
        <v>9</v>
      </c>
      <c r="C44" s="236"/>
      <c r="D44" s="236"/>
      <c r="E44" s="237"/>
      <c r="F44" s="294"/>
      <c r="G44" s="202"/>
      <c r="H44" s="202"/>
      <c r="I44" s="305" t="s">
        <v>10</v>
      </c>
      <c r="J44" s="259">
        <f>5142.6+4085.9</f>
        <v>9228.5</v>
      </c>
    </row>
    <row r="45" spans="1:11">
      <c r="B45" t="s">
        <v>11</v>
      </c>
      <c r="C45" s="295">
        <v>4013.5</v>
      </c>
      <c r="D45" s="236">
        <f>C45/$J39</f>
        <v>4636.79655</v>
      </c>
      <c r="E45" s="237"/>
      <c r="F45" s="202"/>
      <c r="G45" s="202"/>
      <c r="H45" s="202"/>
      <c r="I45" s="305" t="s">
        <v>12</v>
      </c>
      <c r="J45" s="260">
        <f>C53</f>
        <v>708.4</v>
      </c>
    </row>
    <row r="46" spans="1:11">
      <c r="B46" t="s">
        <v>13</v>
      </c>
      <c r="C46" s="295">
        <v>4434.3</v>
      </c>
      <c r="D46" s="236">
        <f>C46/$J39</f>
        <v>5122.94679</v>
      </c>
      <c r="E46" s="237"/>
      <c r="F46" s="202"/>
      <c r="G46" s="202"/>
      <c r="H46" s="202"/>
      <c r="I46" s="305" t="s">
        <v>14</v>
      </c>
      <c r="J46" s="259">
        <f>J44-J45</f>
        <v>8520.1</v>
      </c>
    </row>
    <row r="47" spans="1:11">
      <c r="B47" s="205"/>
      <c r="C47" s="295"/>
      <c r="D47" s="236"/>
      <c r="E47" s="237"/>
      <c r="F47" s="202"/>
      <c r="G47" s="202"/>
      <c r="H47" s="202"/>
      <c r="I47" s="305"/>
      <c r="J47" s="306"/>
    </row>
    <row r="48" spans="1:11">
      <c r="B48" s="67" t="s">
        <v>15</v>
      </c>
      <c r="C48" s="295"/>
      <c r="D48" s="236"/>
      <c r="E48" s="237"/>
      <c r="F48" s="202"/>
      <c r="G48" s="202"/>
      <c r="H48" s="202"/>
      <c r="I48" s="307" t="s">
        <v>16</v>
      </c>
      <c r="J48" s="263" t="s">
        <v>32</v>
      </c>
      <c r="K48" s="211"/>
    </row>
    <row r="49" spans="2:10">
      <c r="B49" t="s">
        <v>11</v>
      </c>
      <c r="C49" s="295">
        <v>72.400000000000006</v>
      </c>
      <c r="D49" s="236">
        <f>C49/$J39</f>
        <v>83.643720000000002</v>
      </c>
      <c r="E49" s="237"/>
      <c r="F49" s="202"/>
      <c r="G49" s="202"/>
      <c r="H49" s="202"/>
    </row>
    <row r="50" spans="2:10">
      <c r="B50" t="s">
        <v>13</v>
      </c>
      <c r="C50" s="295">
        <v>708.4</v>
      </c>
      <c r="D50" s="236">
        <f>C50/$J39</f>
        <v>818.41451999999992</v>
      </c>
      <c r="E50" s="237"/>
      <c r="F50" s="202"/>
      <c r="G50" s="202"/>
      <c r="H50" s="202"/>
    </row>
    <row r="51" spans="2:10">
      <c r="B51" s="208"/>
      <c r="C51" s="165"/>
      <c r="D51" s="236"/>
      <c r="E51" s="237"/>
      <c r="F51" s="202"/>
      <c r="G51" s="202"/>
      <c r="H51" s="202"/>
      <c r="J51" s="211"/>
    </row>
    <row r="52" spans="2:10">
      <c r="B52" s="293" t="s">
        <v>18</v>
      </c>
      <c r="C52" s="243">
        <f>SUM(C45:C50)</f>
        <v>9228.5999999999985</v>
      </c>
      <c r="D52" s="243">
        <f>SUM(D45:D50)</f>
        <v>10661.801580000001</v>
      </c>
      <c r="E52" s="207">
        <f>C52/C57</f>
        <v>13.161152310325154</v>
      </c>
      <c r="F52" s="207">
        <f>D52/D57</f>
        <v>13.237780617717645</v>
      </c>
      <c r="G52" s="203"/>
      <c r="H52" s="203"/>
    </row>
    <row r="53" spans="2:10">
      <c r="B53" s="205" t="s">
        <v>19</v>
      </c>
      <c r="C53" s="236">
        <f>Model!BE$130</f>
        <v>708.4</v>
      </c>
      <c r="D53" s="236">
        <f>C53/$J39</f>
        <v>818.41451999999992</v>
      </c>
      <c r="E53" s="204"/>
      <c r="F53" s="204"/>
      <c r="G53" s="204"/>
      <c r="H53" s="204"/>
    </row>
    <row r="54" spans="2:10">
      <c r="B54" s="293" t="s">
        <v>20</v>
      </c>
      <c r="C54" s="243">
        <f>C52-C53</f>
        <v>8520.1999999999989</v>
      </c>
      <c r="D54" s="243">
        <f>D52-D53</f>
        <v>9843.3870600000009</v>
      </c>
      <c r="E54" s="207">
        <f>C54/C57</f>
        <v>12.150884198516826</v>
      </c>
      <c r="F54" s="207">
        <f>D54/D57</f>
        <v>12.221630411880229</v>
      </c>
      <c r="G54" s="203"/>
      <c r="H54" s="203"/>
    </row>
    <row r="55" spans="2:10">
      <c r="B55" s="205" t="s">
        <v>21</v>
      </c>
      <c r="C55" s="296">
        <f>Model!BE$134</f>
        <v>8462.2000000000007</v>
      </c>
      <c r="D55" s="236">
        <f>C55/$J39</f>
        <v>9776.3796600000005</v>
      </c>
      <c r="E55" s="204"/>
      <c r="F55" s="205"/>
      <c r="G55" s="205"/>
      <c r="H55" s="205"/>
    </row>
    <row r="56" spans="2:10">
      <c r="B56" s="70" t="s">
        <v>22</v>
      </c>
      <c r="C56" s="249">
        <f>C54+C55</f>
        <v>16982.400000000001</v>
      </c>
      <c r="D56" s="264">
        <f>C56/$J39</f>
        <v>19619.766720000003</v>
      </c>
      <c r="E56" s="203"/>
      <c r="F56" s="205"/>
      <c r="G56" s="205"/>
      <c r="H56" s="205"/>
    </row>
    <row r="57" spans="2:10">
      <c r="B57" s="205" t="s">
        <v>23</v>
      </c>
      <c r="C57" s="156">
        <f>Model!BE$110</f>
        <v>701.2</v>
      </c>
      <c r="D57" s="236">
        <f>C57/$J40</f>
        <v>805.40703067174911</v>
      </c>
      <c r="E57" s="205"/>
      <c r="F57" s="205"/>
      <c r="G57" s="205"/>
      <c r="H57" s="205"/>
    </row>
    <row r="58" spans="2:10">
      <c r="B58" s="78" t="s">
        <v>24</v>
      </c>
      <c r="C58" s="84">
        <f>+C52-Model!BE$128</f>
        <v>0</v>
      </c>
    </row>
    <row r="59" spans="2:10">
      <c r="B59" s="78"/>
      <c r="C59" s="84"/>
    </row>
    <row r="60" spans="2:10">
      <c r="C60" s="297" t="s">
        <v>25</v>
      </c>
      <c r="F60" s="211"/>
      <c r="G60" s="211"/>
    </row>
    <row r="61" spans="2:10">
      <c r="B61" s="257" t="s">
        <v>33</v>
      </c>
      <c r="C61" s="258" t="s">
        <v>27</v>
      </c>
      <c r="D61" s="258" t="s">
        <v>28</v>
      </c>
    </row>
    <row r="62" spans="2:10">
      <c r="B62" s="79">
        <v>2026</v>
      </c>
      <c r="C62" s="123">
        <v>696</v>
      </c>
      <c r="D62" s="164">
        <f>+C62/$J39</f>
        <v>804.08879999999999</v>
      </c>
      <c r="I62" s="196"/>
      <c r="J62" s="195"/>
    </row>
    <row r="63" spans="2:10">
      <c r="B63" s="79">
        <f>B62+1</f>
        <v>2027</v>
      </c>
      <c r="C63" s="123">
        <v>583</v>
      </c>
      <c r="D63" s="164">
        <f>+C63/$J39</f>
        <v>673.53989999999999</v>
      </c>
      <c r="J63" s="195"/>
    </row>
    <row r="64" spans="2:10">
      <c r="B64" s="79">
        <f>B63+1</f>
        <v>2028</v>
      </c>
      <c r="C64" s="123">
        <v>478</v>
      </c>
      <c r="D64" s="164">
        <f>+C64/$J39</f>
        <v>552.23339999999996</v>
      </c>
    </row>
    <row r="65" spans="2:9">
      <c r="B65" s="79">
        <f t="shared" ref="B65:B70" si="1">B64+1</f>
        <v>2029</v>
      </c>
      <c r="C65" s="123">
        <v>1338</v>
      </c>
      <c r="D65" s="164">
        <f>+C65/$J39</f>
        <v>1545.7914000000001</v>
      </c>
    </row>
    <row r="66" spans="2:9">
      <c r="B66" s="79">
        <f t="shared" si="1"/>
        <v>2030</v>
      </c>
      <c r="C66" s="123">
        <v>1810</v>
      </c>
      <c r="D66" s="164">
        <f>+C66/$J39</f>
        <v>2091.0929999999998</v>
      </c>
      <c r="I66" s="196"/>
    </row>
    <row r="67" spans="2:9">
      <c r="B67" s="79">
        <f t="shared" si="1"/>
        <v>2031</v>
      </c>
      <c r="C67" s="123">
        <v>2158</v>
      </c>
      <c r="D67" s="164">
        <f>+C67/$J39</f>
        <v>2493.1374000000001</v>
      </c>
    </row>
    <row r="68" spans="2:9">
      <c r="B68" s="79">
        <f t="shared" si="1"/>
        <v>2032</v>
      </c>
      <c r="C68" s="123">
        <v>1199</v>
      </c>
      <c r="D68" s="164">
        <f>+C68/$J39</f>
        <v>1385.2047</v>
      </c>
    </row>
    <row r="69" spans="2:9">
      <c r="B69" s="79">
        <f t="shared" si="1"/>
        <v>2033</v>
      </c>
      <c r="C69" s="123">
        <v>35</v>
      </c>
      <c r="D69" s="164">
        <f>+C69/$J39</f>
        <v>40.435499999999998</v>
      </c>
    </row>
    <row r="70" spans="2:9">
      <c r="B70" s="79">
        <f t="shared" si="1"/>
        <v>2034</v>
      </c>
      <c r="C70" s="123">
        <v>397</v>
      </c>
      <c r="D70" s="164">
        <f>+C70/$J39</f>
        <v>458.65409999999997</v>
      </c>
    </row>
    <row r="71" spans="2:9">
      <c r="B71" s="79" t="s">
        <v>29</v>
      </c>
      <c r="C71" s="123">
        <v>513</v>
      </c>
      <c r="D71" s="164">
        <f>+C71/$J39</f>
        <v>592.66890000000001</v>
      </c>
    </row>
    <row r="72" spans="2:9">
      <c r="B72" s="183" t="s">
        <v>18</v>
      </c>
      <c r="C72" s="192">
        <f>+SUM(C62:C71)</f>
        <v>9207</v>
      </c>
      <c r="D72" s="192">
        <f>+SUM(D62:D71)</f>
        <v>10636.847099999999</v>
      </c>
      <c r="F72" s="82"/>
      <c r="G72" s="159"/>
      <c r="H72" s="159"/>
    </row>
    <row r="73" spans="2:9">
      <c r="B73" s="81"/>
      <c r="C73" s="159"/>
      <c r="D73" s="159"/>
      <c r="F73" s="82"/>
      <c r="G73" s="159"/>
      <c r="H73" s="159"/>
    </row>
    <row r="74" spans="2:9">
      <c r="B74" s="81"/>
      <c r="C74" s="159"/>
      <c r="D74" s="159"/>
      <c r="F74" s="82"/>
      <c r="G74" s="159"/>
      <c r="H74" s="159"/>
    </row>
    <row r="75" spans="2:9">
      <c r="B75" s="81"/>
      <c r="C75" s="159"/>
      <c r="D75" s="159"/>
      <c r="F75" s="82"/>
      <c r="G75" s="159"/>
      <c r="H75" s="159"/>
    </row>
    <row r="76" spans="2:9">
      <c r="B76" s="81"/>
      <c r="C76" s="159"/>
      <c r="D76" s="159"/>
      <c r="F76" s="82"/>
      <c r="G76" s="159"/>
      <c r="H76" s="159"/>
    </row>
    <row r="77" spans="2:9">
      <c r="B77" s="81"/>
      <c r="C77" s="159"/>
      <c r="D77" s="159"/>
      <c r="F77" s="82"/>
      <c r="G77" s="159"/>
      <c r="H77" s="159"/>
    </row>
    <row r="78" spans="2:9">
      <c r="B78" s="81"/>
      <c r="C78" s="159"/>
      <c r="D78" s="159"/>
      <c r="F78" s="82"/>
      <c r="G78" s="159"/>
      <c r="H78" s="159"/>
    </row>
    <row r="79" spans="2:9">
      <c r="B79" s="81"/>
      <c r="C79" s="159"/>
      <c r="D79" s="159"/>
      <c r="F79" s="82"/>
      <c r="G79" s="159"/>
      <c r="H79" s="159"/>
    </row>
    <row r="80" spans="2:9">
      <c r="B80" s="81"/>
      <c r="C80" s="159"/>
      <c r="D80" s="159"/>
      <c r="F80" s="82"/>
      <c r="G80" s="159"/>
      <c r="H80" s="159"/>
    </row>
    <row r="81" spans="2:8">
      <c r="B81" s="81"/>
      <c r="C81" s="159"/>
      <c r="D81" s="159"/>
      <c r="F81" s="82"/>
      <c r="G81" s="159"/>
      <c r="H81" s="159"/>
    </row>
    <row r="82" spans="2:8">
      <c r="B82" s="81"/>
      <c r="C82" s="159"/>
      <c r="D82" s="159"/>
      <c r="F82" s="82"/>
      <c r="G82" s="159"/>
      <c r="H82" s="159"/>
    </row>
    <row r="83" spans="2:8">
      <c r="B83" s="81"/>
      <c r="C83" s="159"/>
      <c r="D83" s="159"/>
      <c r="F83" s="82"/>
      <c r="G83" s="159"/>
      <c r="H83" s="159"/>
    </row>
    <row r="84" spans="2:8">
      <c r="B84" s="81"/>
      <c r="C84" s="159"/>
      <c r="D84" s="159"/>
      <c r="F84" s="82"/>
      <c r="G84" s="159"/>
      <c r="H84" s="159"/>
    </row>
    <row r="85" spans="2:8">
      <c r="B85" s="81"/>
      <c r="C85" s="159"/>
      <c r="D85" s="159"/>
      <c r="F85" s="82"/>
      <c r="G85" s="159"/>
      <c r="H85" s="159"/>
    </row>
    <row r="86" spans="2:8">
      <c r="B86" s="81"/>
      <c r="C86" s="159"/>
      <c r="D86" s="159"/>
      <c r="F86" s="82"/>
      <c r="G86" s="159"/>
      <c r="H86" s="159"/>
    </row>
    <row r="87" spans="2:8">
      <c r="B87" s="81"/>
      <c r="C87" s="159"/>
      <c r="D87" s="159"/>
      <c r="F87" s="82"/>
      <c r="G87" s="159"/>
      <c r="H87" s="159"/>
    </row>
    <row r="88" spans="2:8">
      <c r="B88" s="81"/>
      <c r="C88" s="159"/>
      <c r="D88" s="159"/>
      <c r="F88" s="82"/>
      <c r="G88" s="159"/>
      <c r="H88" s="159"/>
    </row>
    <row r="89" spans="2:8">
      <c r="B89" s="81"/>
      <c r="C89" s="159"/>
      <c r="D89" s="159"/>
      <c r="F89" s="82"/>
      <c r="G89" s="159"/>
      <c r="H89" s="159"/>
    </row>
    <row r="90" spans="2:8">
      <c r="B90" s="81"/>
      <c r="C90" s="159"/>
      <c r="D90" s="159"/>
      <c r="F90" s="82"/>
      <c r="G90" s="159"/>
      <c r="H90" s="159"/>
    </row>
    <row r="91" spans="2:8">
      <c r="B91" s="81"/>
      <c r="C91" s="159"/>
      <c r="D91" s="159"/>
      <c r="F91" s="82"/>
      <c r="G91" s="159"/>
      <c r="H91" s="159"/>
    </row>
    <row r="92" spans="2:8">
      <c r="B92" s="81"/>
      <c r="C92" s="159"/>
      <c r="D92" s="159"/>
      <c r="F92" s="82"/>
      <c r="G92" s="159"/>
      <c r="H92" s="159"/>
    </row>
    <row r="93" spans="2:8">
      <c r="B93" s="81"/>
      <c r="C93" s="159"/>
      <c r="D93" s="159"/>
      <c r="F93" s="82"/>
      <c r="G93" s="159"/>
      <c r="H93" s="159"/>
    </row>
    <row r="94" spans="2:8">
      <c r="B94" s="81"/>
      <c r="C94" s="159"/>
      <c r="D94" s="159"/>
      <c r="F94" s="82"/>
      <c r="G94" s="159"/>
      <c r="H94" s="159"/>
    </row>
    <row r="95" spans="2:8">
      <c r="B95" s="81"/>
      <c r="C95" s="159"/>
      <c r="D95" s="159"/>
      <c r="F95" s="82"/>
      <c r="G95" s="159"/>
      <c r="H95" s="159"/>
    </row>
    <row r="96" spans="2:8">
      <c r="B96" s="81"/>
      <c r="C96" s="159"/>
      <c r="D96" s="159"/>
      <c r="F96" s="82"/>
      <c r="G96" s="159"/>
      <c r="H96" s="159"/>
    </row>
    <row r="97" spans="1:10">
      <c r="B97" s="81"/>
      <c r="C97" s="159"/>
      <c r="D97" s="159"/>
      <c r="F97" s="82"/>
      <c r="G97" s="159"/>
      <c r="H97" s="159"/>
    </row>
    <row r="98" spans="1:10">
      <c r="B98" s="81"/>
      <c r="C98" s="159"/>
      <c r="D98" s="159"/>
      <c r="F98" s="82"/>
      <c r="G98" s="159"/>
      <c r="H98" s="159"/>
    </row>
    <row r="99" spans="1:10">
      <c r="B99" s="81"/>
      <c r="C99" s="159"/>
      <c r="D99" s="159"/>
      <c r="F99" s="82"/>
      <c r="G99" s="159"/>
      <c r="H99" s="159"/>
    </row>
    <row r="100" spans="1:10">
      <c r="B100" s="81"/>
      <c r="C100" s="159"/>
      <c r="D100" s="159"/>
      <c r="F100" s="82"/>
      <c r="G100" s="159"/>
      <c r="H100" s="159"/>
    </row>
    <row r="101" spans="1:10">
      <c r="B101" s="81"/>
      <c r="C101" s="159"/>
      <c r="D101" s="159"/>
      <c r="F101" s="82"/>
      <c r="G101" s="159"/>
      <c r="H101" s="159"/>
    </row>
    <row r="102" spans="1:10">
      <c r="B102" s="81"/>
      <c r="C102" s="159"/>
      <c r="D102" s="159"/>
      <c r="F102" s="82"/>
      <c r="G102" s="159"/>
      <c r="H102" s="159"/>
    </row>
    <row r="103" spans="1:10">
      <c r="B103" s="81"/>
      <c r="C103" s="159"/>
      <c r="D103" s="159"/>
      <c r="F103" s="82"/>
      <c r="G103" s="159"/>
      <c r="H103" s="159"/>
    </row>
    <row r="104" spans="1:10">
      <c r="B104" s="81"/>
      <c r="C104" s="159"/>
      <c r="D104" s="159"/>
      <c r="F104" s="82"/>
      <c r="G104" s="159"/>
      <c r="H104" s="159"/>
    </row>
    <row r="105" spans="1:10">
      <c r="B105" s="81"/>
      <c r="C105" s="159"/>
      <c r="D105" s="159"/>
      <c r="F105" s="82"/>
      <c r="G105" s="159"/>
      <c r="H105" s="159"/>
    </row>
    <row r="106" spans="1:10">
      <c r="B106" s="81"/>
      <c r="C106" s="159"/>
      <c r="D106" s="159"/>
      <c r="F106" s="82"/>
      <c r="G106" s="159"/>
      <c r="H106" s="159"/>
    </row>
    <row r="108" spans="1:10">
      <c r="A108" s="69" t="s">
        <v>34</v>
      </c>
      <c r="I108" s="70" t="s">
        <v>35</v>
      </c>
      <c r="J108" s="71">
        <f>Model!BD$204</f>
        <v>0.85229999999999995</v>
      </c>
    </row>
    <row r="109" spans="1:10">
      <c r="I109" s="72" t="s">
        <v>36</v>
      </c>
      <c r="J109" s="71">
        <f>Model!BD$205</f>
        <v>0.91326249999999998</v>
      </c>
    </row>
    <row r="111" spans="1:10">
      <c r="B111" s="73"/>
      <c r="C111" s="71"/>
      <c r="I111" s="67"/>
    </row>
    <row r="112" spans="1:10" ht="25.5">
      <c r="A112" s="109"/>
      <c r="B112" s="253" t="s">
        <v>37</v>
      </c>
      <c r="C112" s="254" t="s">
        <v>4</v>
      </c>
      <c r="D112" s="254" t="s">
        <v>5</v>
      </c>
      <c r="E112" s="255" t="s">
        <v>6</v>
      </c>
      <c r="F112" s="256" t="s">
        <v>7</v>
      </c>
      <c r="G112" s="300"/>
      <c r="H112" s="201"/>
      <c r="I112" s="261" t="s">
        <v>8</v>
      </c>
      <c r="J112" s="262"/>
    </row>
    <row r="113" spans="2:11">
      <c r="B113" s="235" t="s">
        <v>9</v>
      </c>
      <c r="C113" s="236"/>
      <c r="D113" s="236"/>
      <c r="E113" s="237"/>
      <c r="F113" s="238"/>
      <c r="G113" s="202"/>
      <c r="H113" s="202"/>
      <c r="I113" s="209" t="s">
        <v>10</v>
      </c>
      <c r="J113" s="259">
        <f>4790.5+4246.5</f>
        <v>9037</v>
      </c>
    </row>
    <row r="114" spans="2:11">
      <c r="B114" s="209" t="s">
        <v>38</v>
      </c>
      <c r="C114" s="165">
        <v>4128.3999999999996</v>
      </c>
      <c r="D114" s="236">
        <f>C114/$J108</f>
        <v>4843.8343306347533</v>
      </c>
      <c r="E114" s="237"/>
      <c r="F114" s="238"/>
      <c r="G114" s="202"/>
      <c r="H114" s="202"/>
      <c r="I114" s="209" t="s">
        <v>12</v>
      </c>
      <c r="J114" s="260">
        <f>C122</f>
        <v>1052.2</v>
      </c>
    </row>
    <row r="115" spans="2:11">
      <c r="B115" s="209" t="s">
        <v>13</v>
      </c>
      <c r="C115" s="165">
        <v>3905.8</v>
      </c>
      <c r="D115" s="236">
        <f>C115/$J108</f>
        <v>4582.6586882553092</v>
      </c>
      <c r="E115" s="237"/>
      <c r="F115" s="238"/>
      <c r="G115" s="202"/>
      <c r="H115" s="202"/>
      <c r="I115" s="209" t="s">
        <v>14</v>
      </c>
      <c r="J115" s="259">
        <f>J113-J114</f>
        <v>7984.8</v>
      </c>
    </row>
    <row r="116" spans="2:11">
      <c r="B116" s="239"/>
      <c r="C116" s="165"/>
      <c r="D116" s="236"/>
      <c r="E116" s="237"/>
      <c r="F116" s="238"/>
      <c r="G116" s="202"/>
      <c r="H116" s="202"/>
      <c r="I116" s="209"/>
      <c r="J116" s="210"/>
    </row>
    <row r="117" spans="2:11">
      <c r="B117" s="240" t="s">
        <v>15</v>
      </c>
      <c r="C117" s="165"/>
      <c r="D117" s="236"/>
      <c r="E117" s="237"/>
      <c r="F117" s="238"/>
      <c r="G117" s="202"/>
      <c r="H117" s="202"/>
      <c r="I117" s="214" t="s">
        <v>16</v>
      </c>
      <c r="J117" s="263" t="s">
        <v>39</v>
      </c>
      <c r="K117" s="211"/>
    </row>
    <row r="118" spans="2:11">
      <c r="B118" s="209" t="s">
        <v>38</v>
      </c>
      <c r="C118" s="165">
        <v>118.1</v>
      </c>
      <c r="D118" s="236">
        <f>C118/$J108</f>
        <v>138.56623254722516</v>
      </c>
      <c r="E118" s="237"/>
      <c r="F118" s="238"/>
      <c r="G118" s="202"/>
      <c r="H118" s="202"/>
    </row>
    <row r="119" spans="2:11">
      <c r="B119" s="209" t="s">
        <v>13</v>
      </c>
      <c r="C119" s="165">
        <v>884.7</v>
      </c>
      <c r="D119" s="236">
        <f>C119/$J108</f>
        <v>1038.0147835269272</v>
      </c>
      <c r="E119" s="237"/>
      <c r="F119" s="238"/>
      <c r="G119" s="202"/>
      <c r="H119" s="202"/>
    </row>
    <row r="120" spans="2:11">
      <c r="B120" s="241"/>
      <c r="C120" s="165"/>
      <c r="D120" s="236"/>
      <c r="E120" s="237"/>
      <c r="F120" s="238"/>
      <c r="G120" s="202"/>
      <c r="H120" s="202"/>
      <c r="J120" s="211"/>
    </row>
    <row r="121" spans="2:11">
      <c r="B121" s="242" t="s">
        <v>18</v>
      </c>
      <c r="C121" s="243">
        <f>SUM(C114:C119)</f>
        <v>9037</v>
      </c>
      <c r="D121" s="243">
        <f>SUM(D114:D119)</f>
        <v>10603.074034964215</v>
      </c>
      <c r="E121" s="207">
        <f>C121/C126</f>
        <v>13.305359246171966</v>
      </c>
      <c r="F121" s="244">
        <f>D121/D126</f>
        <v>14.25705226863443</v>
      </c>
      <c r="G121" s="203"/>
      <c r="H121" s="203"/>
    </row>
    <row r="122" spans="2:11">
      <c r="B122" s="239" t="s">
        <v>19</v>
      </c>
      <c r="C122" s="236">
        <f>Model!BD$130</f>
        <v>1052.2</v>
      </c>
      <c r="D122" s="236">
        <f>C122/$J108</f>
        <v>1234.5418279948376</v>
      </c>
      <c r="E122" s="204"/>
      <c r="F122" s="245"/>
      <c r="G122" s="204"/>
      <c r="H122" s="204"/>
    </row>
    <row r="123" spans="2:11">
      <c r="B123" s="242" t="s">
        <v>20</v>
      </c>
      <c r="C123" s="243">
        <f>C121-C122</f>
        <v>7984.8</v>
      </c>
      <c r="D123" s="243">
        <f>D121-D122</f>
        <v>9368.5322069693775</v>
      </c>
      <c r="E123" s="207">
        <f>C123/C126</f>
        <v>11.756183745583039</v>
      </c>
      <c r="F123" s="244">
        <f>D123/D126</f>
        <v>12.597068823126282</v>
      </c>
      <c r="G123" s="203"/>
      <c r="H123" s="203"/>
    </row>
    <row r="124" spans="2:11">
      <c r="B124" s="246" t="s">
        <v>21</v>
      </c>
      <c r="C124" s="247">
        <f>Model!BD$134</f>
        <v>8243.9</v>
      </c>
      <c r="D124" s="236">
        <f>C124/$J108</f>
        <v>9672.5331456060067</v>
      </c>
      <c r="E124" s="203"/>
      <c r="F124" s="248"/>
      <c r="G124" s="205"/>
      <c r="H124" s="205"/>
    </row>
    <row r="125" spans="2:11">
      <c r="B125" s="246" t="s">
        <v>22</v>
      </c>
      <c r="C125" s="249">
        <f>C123+C124</f>
        <v>16228.7</v>
      </c>
      <c r="D125" s="236">
        <f>C125/$J108</f>
        <v>19041.065352575388</v>
      </c>
      <c r="E125" s="203"/>
      <c r="F125" s="248"/>
      <c r="G125" s="205"/>
      <c r="H125" s="205"/>
    </row>
    <row r="126" spans="2:11">
      <c r="B126" s="241" t="s">
        <v>23</v>
      </c>
      <c r="C126" s="250">
        <f>Model!BD$110</f>
        <v>679.2</v>
      </c>
      <c r="D126" s="251">
        <f>C126/$J109</f>
        <v>743.70731306716311</v>
      </c>
      <c r="E126" s="208"/>
      <c r="F126" s="252"/>
      <c r="G126" s="205"/>
      <c r="H126" s="205"/>
    </row>
    <row r="127" spans="2:11">
      <c r="B127" s="78" t="s">
        <v>24</v>
      </c>
      <c r="C127" s="84">
        <f>+C121-Model!BD$128</f>
        <v>0</v>
      </c>
    </row>
    <row r="128" spans="2:11">
      <c r="E128" s="67"/>
      <c r="F128" s="211"/>
      <c r="G128" s="211"/>
    </row>
    <row r="129" spans="2:10">
      <c r="B129" s="257" t="s">
        <v>40</v>
      </c>
      <c r="C129" s="258" t="s">
        <v>27</v>
      </c>
      <c r="D129" s="258" t="s">
        <v>28</v>
      </c>
    </row>
    <row r="130" spans="2:10">
      <c r="B130" s="79">
        <v>2025</v>
      </c>
      <c r="C130" s="123">
        <v>248</v>
      </c>
      <c r="D130" s="164">
        <f>+C130/$J108</f>
        <v>290.97735539129417</v>
      </c>
      <c r="I130" s="196"/>
      <c r="J130" s="195"/>
    </row>
    <row r="131" spans="2:10">
      <c r="B131" s="79">
        <v>2026</v>
      </c>
      <c r="C131" s="123">
        <v>686</v>
      </c>
      <c r="D131" s="164">
        <f>+C131/$J108</f>
        <v>804.88091047753142</v>
      </c>
      <c r="J131" s="195"/>
    </row>
    <row r="132" spans="2:10">
      <c r="B132" s="79">
        <v>2027</v>
      </c>
      <c r="C132" s="123">
        <v>588</v>
      </c>
      <c r="D132" s="164">
        <f>+C132/$J108</f>
        <v>689.89792326645556</v>
      </c>
    </row>
    <row r="133" spans="2:10">
      <c r="B133" s="79">
        <v>2028</v>
      </c>
      <c r="C133" s="123">
        <v>476</v>
      </c>
      <c r="D133" s="164">
        <f>+C133/$J108</f>
        <v>558.48879502522584</v>
      </c>
    </row>
    <row r="134" spans="2:10">
      <c r="B134" s="79">
        <v>2029</v>
      </c>
      <c r="C134" s="123">
        <v>1496</v>
      </c>
      <c r="D134" s="164">
        <f>+C134/$J108</f>
        <v>1755.2504986507099</v>
      </c>
      <c r="I134" s="196"/>
    </row>
    <row r="135" spans="2:10">
      <c r="B135" s="79">
        <v>2030</v>
      </c>
      <c r="C135" s="123">
        <v>1885</v>
      </c>
      <c r="D135" s="164">
        <f>+C135/$J108</f>
        <v>2211.6625601314095</v>
      </c>
    </row>
    <row r="136" spans="2:10">
      <c r="B136" s="79">
        <v>2031</v>
      </c>
      <c r="C136" s="123">
        <v>2158</v>
      </c>
      <c r="D136" s="164">
        <f>+C136/$J108</f>
        <v>2531.9723102194066</v>
      </c>
    </row>
    <row r="137" spans="2:10">
      <c r="B137" s="79">
        <v>2032</v>
      </c>
      <c r="C137" s="123">
        <v>534</v>
      </c>
      <c r="D137" s="164">
        <f>+C137/$J108</f>
        <v>626.53995072157693</v>
      </c>
    </row>
    <row r="138" spans="2:10">
      <c r="B138" s="79">
        <v>2033</v>
      </c>
      <c r="C138" s="123">
        <v>35</v>
      </c>
      <c r="D138" s="164">
        <f>+C138/$J108</f>
        <v>41.06535257538426</v>
      </c>
    </row>
    <row r="139" spans="2:10">
      <c r="B139" s="79">
        <v>2034</v>
      </c>
      <c r="C139" s="123">
        <v>397</v>
      </c>
      <c r="D139" s="164">
        <f>+C139/$J108</f>
        <v>465.79842778364429</v>
      </c>
    </row>
    <row r="140" spans="2:10">
      <c r="B140" s="79" t="s">
        <v>29</v>
      </c>
      <c r="C140" s="123">
        <v>513</v>
      </c>
      <c r="D140" s="164">
        <f>+C140/$J108</f>
        <v>601.90073917634641</v>
      </c>
    </row>
    <row r="141" spans="2:10">
      <c r="B141" s="183" t="s">
        <v>18</v>
      </c>
      <c r="C141" s="192">
        <f>+SUM(C130:C140)</f>
        <v>9016</v>
      </c>
      <c r="D141" s="192">
        <f>+SUM(D130:D140)</f>
        <v>10578.434823418984</v>
      </c>
      <c r="F141" s="82"/>
      <c r="G141" s="159"/>
      <c r="H141" s="159"/>
    </row>
    <row r="142" spans="2:10">
      <c r="B142" s="81"/>
      <c r="C142" s="159"/>
      <c r="D142" s="159"/>
      <c r="F142" s="82"/>
      <c r="G142" s="159"/>
      <c r="H142" s="159"/>
    </row>
    <row r="143" spans="2:10">
      <c r="B143" s="81"/>
      <c r="C143" s="159"/>
      <c r="D143" s="159"/>
      <c r="F143" s="82"/>
      <c r="G143" s="159"/>
      <c r="H143" s="159"/>
    </row>
    <row r="144" spans="2:10">
      <c r="B144" s="78"/>
      <c r="C144" s="83"/>
      <c r="D144" s="83"/>
      <c r="F144" s="122"/>
      <c r="G144" s="122"/>
      <c r="H144" s="122"/>
    </row>
    <row r="147" spans="1:11">
      <c r="A147" s="69" t="s">
        <v>41</v>
      </c>
      <c r="I147" s="70" t="s">
        <v>42</v>
      </c>
      <c r="J147" s="71">
        <f>Model!BC$204</f>
        <v>0.86819999999999997</v>
      </c>
    </row>
    <row r="148" spans="1:11">
      <c r="I148" s="72" t="s">
        <v>43</v>
      </c>
      <c r="J148" s="71">
        <f>Model!BC$205</f>
        <v>0.92686250000000003</v>
      </c>
    </row>
    <row r="150" spans="1:11">
      <c r="B150" s="73"/>
      <c r="C150" s="71"/>
      <c r="I150" s="67"/>
    </row>
    <row r="151" spans="1:11" ht="26.25">
      <c r="A151" s="109"/>
      <c r="B151" s="102" t="s">
        <v>44</v>
      </c>
      <c r="C151" s="110" t="s">
        <v>4</v>
      </c>
      <c r="D151" s="110" t="s">
        <v>5</v>
      </c>
      <c r="E151" s="89" t="s">
        <v>6</v>
      </c>
      <c r="F151" s="111" t="s">
        <v>7</v>
      </c>
      <c r="G151" s="201"/>
      <c r="H151" s="201"/>
      <c r="I151" s="102" t="s">
        <v>8</v>
      </c>
      <c r="J151" s="212"/>
    </row>
    <row r="152" spans="1:11">
      <c r="B152" s="197" t="s">
        <v>9</v>
      </c>
      <c r="C152" s="85"/>
      <c r="D152" s="85">
        <f>C152/$J147</f>
        <v>0</v>
      </c>
      <c r="E152" s="75"/>
      <c r="F152" s="91"/>
      <c r="G152" s="202"/>
      <c r="H152" s="202"/>
      <c r="I152" s="209" t="s">
        <v>10</v>
      </c>
      <c r="J152" s="213">
        <f>4766.3+3768.6</f>
        <v>8534.9</v>
      </c>
    </row>
    <row r="153" spans="1:11">
      <c r="B153" s="198" t="s">
        <v>38</v>
      </c>
      <c r="C153" s="200">
        <v>3663.4</v>
      </c>
      <c r="D153" s="85">
        <f>C153/$J147</f>
        <v>4219.5346694310065</v>
      </c>
      <c r="E153" s="75"/>
      <c r="F153" s="91"/>
      <c r="G153" s="202"/>
      <c r="H153" s="202"/>
      <c r="I153" s="209" t="s">
        <v>12</v>
      </c>
      <c r="J153" s="216">
        <f>C161</f>
        <v>848.4</v>
      </c>
    </row>
    <row r="154" spans="1:11">
      <c r="B154" s="198" t="s">
        <v>13</v>
      </c>
      <c r="C154" s="200">
        <v>4178.3999999999996</v>
      </c>
      <c r="D154" s="85">
        <f>C154/$J147</f>
        <v>4812.7159640635791</v>
      </c>
      <c r="E154" s="75"/>
      <c r="F154" s="91"/>
      <c r="G154" s="202"/>
      <c r="H154" s="202"/>
      <c r="I154" s="209" t="s">
        <v>14</v>
      </c>
      <c r="J154" s="213">
        <f>J152-J153</f>
        <v>7686.5</v>
      </c>
    </row>
    <row r="155" spans="1:11">
      <c r="B155" s="92"/>
      <c r="C155" s="200"/>
      <c r="D155" s="85"/>
      <c r="E155" s="75"/>
      <c r="F155" s="91"/>
      <c r="G155" s="202"/>
      <c r="H155" s="202"/>
      <c r="I155" s="209"/>
      <c r="J155" s="210"/>
    </row>
    <row r="156" spans="1:11">
      <c r="B156" s="199" t="s">
        <v>15</v>
      </c>
      <c r="C156" s="200"/>
      <c r="D156" s="85"/>
      <c r="E156" s="75"/>
      <c r="F156" s="91"/>
      <c r="G156" s="202"/>
      <c r="H156" s="202"/>
      <c r="I156" s="214" t="s">
        <v>16</v>
      </c>
      <c r="J156" s="215" t="s">
        <v>39</v>
      </c>
      <c r="K156" s="211"/>
    </row>
    <row r="157" spans="1:11">
      <c r="B157" s="198" t="s">
        <v>38</v>
      </c>
      <c r="C157" s="200">
        <v>105.3</v>
      </c>
      <c r="D157" s="85">
        <f>C157/$J147</f>
        <v>121.28541810642709</v>
      </c>
      <c r="E157" s="75"/>
      <c r="F157" s="91"/>
      <c r="G157" s="202"/>
      <c r="H157" s="202"/>
    </row>
    <row r="158" spans="1:11">
      <c r="B158" s="198" t="s">
        <v>13</v>
      </c>
      <c r="C158" s="200">
        <v>587.9</v>
      </c>
      <c r="D158" s="85">
        <f>C158/$J147</f>
        <v>677.14812255240724</v>
      </c>
      <c r="E158" s="75"/>
      <c r="F158" s="91"/>
      <c r="G158" s="202"/>
      <c r="H158" s="202"/>
    </row>
    <row r="159" spans="1:11">
      <c r="B159" s="98"/>
      <c r="C159" s="200"/>
      <c r="D159" s="85"/>
      <c r="E159" s="75"/>
      <c r="F159" s="91"/>
      <c r="G159" s="202"/>
      <c r="H159" s="202"/>
      <c r="J159" s="211"/>
    </row>
    <row r="160" spans="1:11">
      <c r="B160" s="93" t="s">
        <v>18</v>
      </c>
      <c r="C160" s="86">
        <f>SUM(C153:C158)</f>
        <v>8535</v>
      </c>
      <c r="D160" s="86">
        <f>SUM(D153:D158)</f>
        <v>9830.6841741534208</v>
      </c>
      <c r="E160" s="76">
        <f>C160/C165</f>
        <v>13.132789659947685</v>
      </c>
      <c r="F160" s="94">
        <f>D160/D165</f>
        <v>14.020145422936261</v>
      </c>
      <c r="G160" s="203"/>
      <c r="H160" s="203"/>
    </row>
    <row r="161" spans="2:10">
      <c r="B161" s="92" t="s">
        <v>19</v>
      </c>
      <c r="C161" s="85">
        <f>Model!BC$130</f>
        <v>848.4</v>
      </c>
      <c r="D161" s="85">
        <f>C161/$J147</f>
        <v>977.194194885971</v>
      </c>
      <c r="E161" s="95"/>
      <c r="F161" s="96"/>
      <c r="G161" s="204"/>
      <c r="H161" s="204"/>
    </row>
    <row r="162" spans="2:10">
      <c r="B162" s="93" t="s">
        <v>20</v>
      </c>
      <c r="C162" s="86">
        <f>C160-C161</f>
        <v>7686.6</v>
      </c>
      <c r="D162" s="86">
        <f>D160-D161</f>
        <v>8853.4899792674496</v>
      </c>
      <c r="E162" s="76">
        <f>C162/C165</f>
        <v>11.8273580550854</v>
      </c>
      <c r="F162" s="94">
        <f>D162/D165</f>
        <v>12.626508471932263</v>
      </c>
      <c r="G162" s="203"/>
      <c r="H162" s="203"/>
    </row>
    <row r="163" spans="2:10">
      <c r="B163" s="90" t="s">
        <v>21</v>
      </c>
      <c r="C163" s="87">
        <f>Model!BC$134</f>
        <v>7989</v>
      </c>
      <c r="D163" s="85">
        <f>C163/$J147</f>
        <v>9201.7968210089839</v>
      </c>
      <c r="E163" s="77"/>
      <c r="F163" s="97"/>
      <c r="G163" s="205"/>
      <c r="H163" s="205"/>
    </row>
    <row r="164" spans="2:10">
      <c r="B164" s="90" t="s">
        <v>22</v>
      </c>
      <c r="C164" s="88">
        <f>C162+C163</f>
        <v>15675.6</v>
      </c>
      <c r="D164" s="85">
        <f>C164/$J147</f>
        <v>18055.286800276433</v>
      </c>
      <c r="E164" s="77"/>
      <c r="F164" s="97"/>
      <c r="G164" s="205"/>
      <c r="H164" s="205"/>
    </row>
    <row r="165" spans="2:10">
      <c r="B165" s="98" t="s">
        <v>23</v>
      </c>
      <c r="C165" s="99">
        <f>Model!BC$110</f>
        <v>649.9</v>
      </c>
      <c r="D165" s="182">
        <f>C165/$J148</f>
        <v>701.18275364468832</v>
      </c>
      <c r="E165" s="100"/>
      <c r="F165" s="101"/>
      <c r="G165" s="205"/>
      <c r="H165" s="205"/>
    </row>
    <row r="166" spans="2:10">
      <c r="B166" s="78" t="s">
        <v>24</v>
      </c>
      <c r="C166" s="84">
        <f>+C160-Model!BC$128</f>
        <v>0</v>
      </c>
    </row>
    <row r="167" spans="2:10">
      <c r="E167" s="67"/>
      <c r="F167" s="211"/>
      <c r="G167" s="211"/>
    </row>
    <row r="168" spans="2:10">
      <c r="B168" s="185" t="s">
        <v>45</v>
      </c>
      <c r="C168" s="89" t="s">
        <v>27</v>
      </c>
      <c r="D168" s="89" t="s">
        <v>28</v>
      </c>
    </row>
    <row r="169" spans="2:10">
      <c r="B169" s="79">
        <v>2025</v>
      </c>
      <c r="C169" s="123">
        <v>254</v>
      </c>
      <c r="D169" s="164">
        <f>+C169/$J147</f>
        <v>292.55931812946329</v>
      </c>
      <c r="I169" s="196"/>
      <c r="J169" s="195"/>
    </row>
    <row r="170" spans="2:10">
      <c r="B170" s="79">
        <v>2026</v>
      </c>
      <c r="C170" s="123">
        <v>699</v>
      </c>
      <c r="D170" s="164">
        <f>+C170/$J147</f>
        <v>805.11402902557018</v>
      </c>
      <c r="J170" s="195"/>
    </row>
    <row r="171" spans="2:10">
      <c r="B171" s="79">
        <v>2027</v>
      </c>
      <c r="C171" s="123">
        <v>583</v>
      </c>
      <c r="D171" s="164">
        <f>+C171/$J147</f>
        <v>671.50426169085472</v>
      </c>
    </row>
    <row r="172" spans="2:10">
      <c r="B172" s="79">
        <v>2028</v>
      </c>
      <c r="C172" s="123">
        <v>477</v>
      </c>
      <c r="D172" s="164">
        <f>+C172/$J147</f>
        <v>549.41257774706287</v>
      </c>
    </row>
    <row r="173" spans="2:10">
      <c r="B173" s="79">
        <v>2029</v>
      </c>
      <c r="C173" s="123">
        <v>1498</v>
      </c>
      <c r="D173" s="164">
        <f>+C173/$J147</f>
        <v>1725.4088919603778</v>
      </c>
      <c r="I173" s="196"/>
    </row>
    <row r="174" spans="2:10">
      <c r="B174" s="79">
        <v>2030</v>
      </c>
      <c r="C174" s="123">
        <v>1390</v>
      </c>
      <c r="D174" s="164">
        <f>+C174/$J147</f>
        <v>1601.0135913384013</v>
      </c>
    </row>
    <row r="175" spans="2:10">
      <c r="B175" s="79">
        <v>2031</v>
      </c>
      <c r="C175" s="123">
        <v>2156</v>
      </c>
      <c r="D175" s="164">
        <f>+C175/$J147</f>
        <v>2483.2987790831608</v>
      </c>
    </row>
    <row r="176" spans="2:10">
      <c r="B176" s="79">
        <v>2032</v>
      </c>
      <c r="C176" s="123">
        <v>534</v>
      </c>
      <c r="D176" s="164">
        <f>+C176/$J147</f>
        <v>615.06565307532833</v>
      </c>
    </row>
    <row r="177" spans="1:11">
      <c r="B177" s="79">
        <v>2033</v>
      </c>
      <c r="C177" s="123">
        <v>35</v>
      </c>
      <c r="D177" s="164">
        <f>+C177/$J147</f>
        <v>40.313291868233129</v>
      </c>
    </row>
    <row r="178" spans="1:11">
      <c r="B178" s="79" t="s">
        <v>46</v>
      </c>
      <c r="C178" s="123">
        <f>397+513</f>
        <v>910</v>
      </c>
      <c r="D178" s="164">
        <f>+C178/$J147</f>
        <v>1048.1455885740613</v>
      </c>
    </row>
    <row r="179" spans="1:11">
      <c r="B179" s="183" t="s">
        <v>18</v>
      </c>
      <c r="C179" s="192">
        <f>+SUM(C169:C178)</f>
        <v>8536</v>
      </c>
      <c r="D179" s="192">
        <f>+SUM(D169:D178)</f>
        <v>9831.8359824925137</v>
      </c>
      <c r="F179" s="82"/>
      <c r="G179" s="159"/>
      <c r="H179" s="159"/>
    </row>
    <row r="180" spans="1:11">
      <c r="B180" s="81"/>
      <c r="C180" s="159"/>
      <c r="D180" s="159"/>
      <c r="F180" s="82"/>
      <c r="G180" s="159"/>
      <c r="H180" s="159"/>
    </row>
    <row r="181" spans="1:11">
      <c r="B181" s="81"/>
      <c r="C181" s="159"/>
      <c r="D181" s="159"/>
      <c r="F181" s="82"/>
      <c r="G181" s="159"/>
      <c r="H181" s="159"/>
    </row>
    <row r="182" spans="1:11">
      <c r="B182" s="78"/>
      <c r="C182" s="83"/>
      <c r="D182" s="83"/>
      <c r="F182" s="122"/>
      <c r="G182" s="122"/>
      <c r="H182" s="122"/>
    </row>
    <row r="183" spans="1:11">
      <c r="A183" s="69" t="s">
        <v>47</v>
      </c>
      <c r="I183" s="70" t="s">
        <v>48</v>
      </c>
      <c r="J183" s="71">
        <f>Model!BB$204</f>
        <v>0.92649999999999999</v>
      </c>
    </row>
    <row r="184" spans="1:11">
      <c r="I184" s="72" t="s">
        <v>49</v>
      </c>
      <c r="J184" s="71">
        <f>Model!BB$205</f>
        <v>0.93071250000000005</v>
      </c>
    </row>
    <row r="186" spans="1:11">
      <c r="B186" s="73"/>
      <c r="C186" s="71"/>
      <c r="I186" s="67"/>
    </row>
    <row r="187" spans="1:11" ht="26.25">
      <c r="A187" s="109"/>
      <c r="B187" s="102" t="s">
        <v>50</v>
      </c>
      <c r="C187" s="110" t="s">
        <v>4</v>
      </c>
      <c r="D187" s="110" t="s">
        <v>5</v>
      </c>
      <c r="E187" s="89" t="s">
        <v>6</v>
      </c>
      <c r="F187" s="111" t="s">
        <v>7</v>
      </c>
      <c r="G187" s="201"/>
      <c r="H187" s="201"/>
      <c r="I187" s="102" t="s">
        <v>8</v>
      </c>
      <c r="J187" s="212"/>
    </row>
    <row r="188" spans="1:11">
      <c r="B188" s="197" t="s">
        <v>9</v>
      </c>
      <c r="C188" s="85"/>
      <c r="D188" s="85">
        <f>C188/$J183</f>
        <v>0</v>
      </c>
      <c r="E188" s="75"/>
      <c r="F188" s="91"/>
      <c r="G188" s="202"/>
      <c r="H188" s="202"/>
      <c r="I188" s="209" t="s">
        <v>10</v>
      </c>
      <c r="J188" s="213">
        <f>5012.3+4234.4</f>
        <v>9246.7000000000007</v>
      </c>
    </row>
    <row r="189" spans="1:11">
      <c r="B189" s="198" t="s">
        <v>38</v>
      </c>
      <c r="C189" s="200">
        <v>4117.8999999999996</v>
      </c>
      <c r="D189" s="85">
        <f>C189/$J183</f>
        <v>4444.5763626551534</v>
      </c>
      <c r="E189" s="75"/>
      <c r="F189" s="91"/>
      <c r="G189" s="202"/>
      <c r="H189" s="202"/>
      <c r="I189" s="209" t="s">
        <v>12</v>
      </c>
      <c r="J189" s="216">
        <f>C197</f>
        <v>1846.5</v>
      </c>
    </row>
    <row r="190" spans="1:11">
      <c r="B190" s="198" t="s">
        <v>13</v>
      </c>
      <c r="C190" s="200">
        <v>4176.6000000000004</v>
      </c>
      <c r="D190" s="85">
        <f>C190/$J183</f>
        <v>4507.9330814894765</v>
      </c>
      <c r="E190" s="75"/>
      <c r="F190" s="91"/>
      <c r="G190" s="202"/>
      <c r="H190" s="202"/>
      <c r="I190" s="209" t="s">
        <v>14</v>
      </c>
      <c r="J190" s="213">
        <f>J188-J189</f>
        <v>7400.2000000000007</v>
      </c>
    </row>
    <row r="191" spans="1:11">
      <c r="B191" s="92"/>
      <c r="C191" s="200"/>
      <c r="D191" s="85"/>
      <c r="E191" s="75"/>
      <c r="F191" s="91"/>
      <c r="G191" s="202"/>
      <c r="H191" s="202"/>
      <c r="I191" s="209"/>
      <c r="J191" s="210"/>
    </row>
    <row r="192" spans="1:11">
      <c r="B192" s="199" t="s">
        <v>15</v>
      </c>
      <c r="C192" s="200"/>
      <c r="D192" s="85"/>
      <c r="E192" s="75"/>
      <c r="F192" s="91"/>
      <c r="G192" s="202"/>
      <c r="H192" s="202"/>
      <c r="I192" s="214" t="s">
        <v>16</v>
      </c>
      <c r="J192" s="215" t="s">
        <v>51</v>
      </c>
      <c r="K192" s="211"/>
    </row>
    <row r="193" spans="2:11">
      <c r="B193" s="198" t="s">
        <v>38</v>
      </c>
      <c r="C193" s="200">
        <v>116.5</v>
      </c>
      <c r="D193" s="85">
        <f>C193/$J183</f>
        <v>125.74203993524016</v>
      </c>
      <c r="E193" s="75"/>
      <c r="F193" s="91"/>
      <c r="G193" s="202"/>
      <c r="H193" s="202"/>
    </row>
    <row r="194" spans="2:11">
      <c r="B194" s="198" t="s">
        <v>13</v>
      </c>
      <c r="C194" s="200">
        <v>835.7</v>
      </c>
      <c r="D194" s="85">
        <f>C194/$J183</f>
        <v>901.99676200755539</v>
      </c>
      <c r="E194" s="75"/>
      <c r="F194" s="91"/>
      <c r="G194" s="202"/>
      <c r="H194" s="202"/>
    </row>
    <row r="195" spans="2:11">
      <c r="B195" s="98"/>
      <c r="C195" s="200"/>
      <c r="D195" s="85"/>
      <c r="E195" s="75"/>
      <c r="F195" s="91"/>
      <c r="G195" s="202"/>
      <c r="H195" s="202"/>
      <c r="J195" s="211"/>
      <c r="K195" s="211"/>
    </row>
    <row r="196" spans="2:11">
      <c r="B196" s="93" t="s">
        <v>18</v>
      </c>
      <c r="C196" s="86">
        <f>SUM(C189:C194)</f>
        <v>9246.7000000000007</v>
      </c>
      <c r="D196" s="86">
        <f>SUM(D189:D194)</f>
        <v>9980.2482460874253</v>
      </c>
      <c r="E196" s="76">
        <f>C196/C201</f>
        <v>14.761653895274586</v>
      </c>
      <c r="F196" s="94">
        <f>D196/D201</f>
        <v>14.828770427421208</v>
      </c>
      <c r="G196" s="203"/>
      <c r="H196" s="203"/>
    </row>
    <row r="197" spans="2:11">
      <c r="B197" s="92" t="s">
        <v>19</v>
      </c>
      <c r="C197" s="85">
        <f>Model!BB$130</f>
        <v>1846.5</v>
      </c>
      <c r="D197" s="85">
        <f>C197/$J183</f>
        <v>1992.9843497031841</v>
      </c>
      <c r="E197" s="95"/>
      <c r="F197" s="96"/>
      <c r="G197" s="204"/>
      <c r="H197" s="204"/>
    </row>
    <row r="198" spans="2:11">
      <c r="B198" s="93" t="s">
        <v>20</v>
      </c>
      <c r="C198" s="86">
        <f>C196-C197</f>
        <v>7400.2000000000007</v>
      </c>
      <c r="D198" s="86">
        <f>D196-D197</f>
        <v>7987.263896384241</v>
      </c>
      <c r="E198" s="76">
        <f>C198/C201</f>
        <v>11.813856960408685</v>
      </c>
      <c r="F198" s="94">
        <f>D198/D201</f>
        <v>11.867570800069474</v>
      </c>
      <c r="G198" s="203"/>
      <c r="H198" s="203"/>
    </row>
    <row r="199" spans="2:11">
      <c r="B199" s="90" t="s">
        <v>21</v>
      </c>
      <c r="C199" s="87">
        <f>Model!BB$134</f>
        <v>7596.9</v>
      </c>
      <c r="D199" s="85">
        <f>C199/$J183</f>
        <v>8199.5682676740416</v>
      </c>
      <c r="E199" s="77"/>
      <c r="F199" s="97"/>
      <c r="G199" s="205"/>
      <c r="H199" s="205"/>
    </row>
    <row r="200" spans="2:11">
      <c r="B200" s="90" t="s">
        <v>22</v>
      </c>
      <c r="C200" s="88">
        <f>C198+C199</f>
        <v>14997.1</v>
      </c>
      <c r="D200" s="85">
        <f>C200/$J183</f>
        <v>16186.832164058284</v>
      </c>
      <c r="E200" s="77"/>
      <c r="F200" s="97"/>
      <c r="G200" s="205"/>
      <c r="H200" s="205"/>
    </row>
    <row r="201" spans="2:11">
      <c r="B201" s="98" t="s">
        <v>23</v>
      </c>
      <c r="C201" s="99">
        <f>Model!BB$110</f>
        <v>626.4</v>
      </c>
      <c r="D201" s="182">
        <f>C201/$J184</f>
        <v>673.03275716185169</v>
      </c>
      <c r="E201" s="100"/>
      <c r="F201" s="101"/>
      <c r="G201" s="205"/>
      <c r="H201" s="205"/>
    </row>
    <row r="202" spans="2:11">
      <c r="B202" s="78" t="s">
        <v>24</v>
      </c>
      <c r="C202" s="84">
        <f>+C196-Model!BB$128</f>
        <v>0</v>
      </c>
    </row>
    <row r="203" spans="2:11">
      <c r="E203" s="67"/>
      <c r="F203" s="211"/>
      <c r="G203" s="211"/>
    </row>
    <row r="204" spans="2:11">
      <c r="B204" s="185" t="s">
        <v>52</v>
      </c>
      <c r="C204" s="89" t="s">
        <v>27</v>
      </c>
      <c r="D204" s="89" t="s">
        <v>28</v>
      </c>
    </row>
    <row r="205" spans="2:11">
      <c r="B205" s="79">
        <v>2024</v>
      </c>
      <c r="C205" s="123">
        <v>0</v>
      </c>
      <c r="D205" s="164">
        <f>+C205/$J183</f>
        <v>0</v>
      </c>
      <c r="I205" s="196"/>
      <c r="J205" s="195"/>
    </row>
    <row r="206" spans="2:11">
      <c r="B206" s="79">
        <v>2025</v>
      </c>
      <c r="C206" s="123">
        <v>547</v>
      </c>
      <c r="D206" s="164">
        <f>+C206/$J183</f>
        <v>590.39395574743662</v>
      </c>
      <c r="J206" s="195"/>
    </row>
    <row r="207" spans="2:11">
      <c r="B207" s="79">
        <v>2026</v>
      </c>
      <c r="C207" s="123">
        <v>698</v>
      </c>
      <c r="D207" s="164">
        <f>+C207/$J183</f>
        <v>753.3729087965462</v>
      </c>
    </row>
    <row r="208" spans="2:11">
      <c r="B208" s="79">
        <v>2027</v>
      </c>
      <c r="C208" s="123">
        <v>582</v>
      </c>
      <c r="D208" s="164">
        <f>+C208/$J183</f>
        <v>628.17053426875339</v>
      </c>
    </row>
    <row r="209" spans="1:10">
      <c r="B209" s="79">
        <v>2028</v>
      </c>
      <c r="C209" s="123">
        <v>647</v>
      </c>
      <c r="D209" s="164">
        <f>+C209/$J183</f>
        <v>698.32703723691316</v>
      </c>
      <c r="I209" s="196"/>
    </row>
    <row r="210" spans="1:10">
      <c r="B210" s="79">
        <v>2029</v>
      </c>
      <c r="C210" s="123">
        <v>1497</v>
      </c>
      <c r="D210" s="164">
        <f>+C210/$J183</f>
        <v>1615.7582298974635</v>
      </c>
    </row>
    <row r="211" spans="1:10">
      <c r="B211" s="79">
        <v>2030</v>
      </c>
      <c r="C211" s="123">
        <v>1669</v>
      </c>
      <c r="D211" s="164">
        <f>+C211/$J183</f>
        <v>1801.4031300593633</v>
      </c>
    </row>
    <row r="212" spans="1:10">
      <c r="B212" s="79">
        <v>2031</v>
      </c>
      <c r="C212" s="123">
        <v>2156</v>
      </c>
      <c r="D212" s="164">
        <f>+C212/$J183</f>
        <v>2327.0372369131137</v>
      </c>
    </row>
    <row r="213" spans="1:10">
      <c r="B213" s="79">
        <v>2032</v>
      </c>
      <c r="C213" s="123">
        <v>533</v>
      </c>
      <c r="D213" s="164">
        <f>+C213/$J183</f>
        <v>575.28332433890989</v>
      </c>
    </row>
    <row r="214" spans="1:10">
      <c r="B214" s="79" t="s">
        <v>53</v>
      </c>
      <c r="C214" s="123">
        <f>34+396+511</f>
        <v>941</v>
      </c>
      <c r="D214" s="164">
        <f>+C214/$J183</f>
        <v>1015.6502968159741</v>
      </c>
    </row>
    <row r="215" spans="1:10">
      <c r="B215" s="183" t="s">
        <v>18</v>
      </c>
      <c r="C215" s="192">
        <f>+SUM(C205:C214)</f>
        <v>9270</v>
      </c>
      <c r="D215" s="192">
        <f>+SUM(D205:D214)</f>
        <v>10005.396654074475</v>
      </c>
      <c r="F215" s="82"/>
      <c r="G215" s="159"/>
      <c r="H215" s="159"/>
    </row>
    <row r="216" spans="1:10">
      <c r="B216" s="78"/>
      <c r="C216" s="83"/>
      <c r="D216" s="83"/>
      <c r="F216" s="122"/>
      <c r="G216" s="122"/>
      <c r="H216" s="122"/>
    </row>
    <row r="217" spans="1:10">
      <c r="A217" s="69" t="s">
        <v>54</v>
      </c>
      <c r="I217" s="70" t="s">
        <v>55</v>
      </c>
      <c r="J217" s="71">
        <f>Model!BA$204</f>
        <v>0.96579999999999999</v>
      </c>
    </row>
    <row r="218" spans="1:10">
      <c r="I218" s="72" t="s">
        <v>56</v>
      </c>
      <c r="J218" s="71">
        <f>Model!BA$205</f>
        <v>0.92437499999999995</v>
      </c>
    </row>
    <row r="220" spans="1:10">
      <c r="B220" s="73"/>
      <c r="C220" s="71"/>
      <c r="I220" s="67"/>
    </row>
    <row r="221" spans="1:10" ht="26.25">
      <c r="A221" s="109"/>
      <c r="B221" s="102" t="s">
        <v>57</v>
      </c>
      <c r="C221" s="110" t="s">
        <v>4</v>
      </c>
      <c r="D221" s="110" t="s">
        <v>5</v>
      </c>
      <c r="E221" s="89" t="s">
        <v>6</v>
      </c>
      <c r="F221" s="111" t="s">
        <v>7</v>
      </c>
      <c r="G221" s="201"/>
      <c r="H221" s="201"/>
      <c r="I221" s="102" t="s">
        <v>8</v>
      </c>
      <c r="J221" s="212"/>
    </row>
    <row r="222" spans="1:10">
      <c r="B222" s="197" t="s">
        <v>9</v>
      </c>
      <c r="C222" s="85"/>
      <c r="D222" s="85">
        <f>C222/$J217</f>
        <v>0</v>
      </c>
      <c r="E222" s="75"/>
      <c r="F222" s="91"/>
      <c r="G222" s="202"/>
      <c r="H222" s="202"/>
      <c r="I222" s="209" t="s">
        <v>10</v>
      </c>
      <c r="J222" s="213">
        <f>4043.1+4056.5</f>
        <v>8099.6</v>
      </c>
    </row>
    <row r="223" spans="1:10">
      <c r="B223" s="198" t="s">
        <v>38</v>
      </c>
      <c r="C223" s="200">
        <v>3947.7</v>
      </c>
      <c r="D223" s="85">
        <f>C223/$J217</f>
        <v>4087.4922344170636</v>
      </c>
      <c r="E223" s="75"/>
      <c r="F223" s="91"/>
      <c r="G223" s="202"/>
      <c r="H223" s="202"/>
      <c r="I223" s="209" t="s">
        <v>12</v>
      </c>
      <c r="J223" s="216">
        <f>C231</f>
        <v>855.4</v>
      </c>
    </row>
    <row r="224" spans="1:10">
      <c r="B224" s="198" t="s">
        <v>13</v>
      </c>
      <c r="C224" s="200">
        <v>3536.3</v>
      </c>
      <c r="D224" s="85">
        <f>C224/$J217</f>
        <v>3661.5241250776562</v>
      </c>
      <c r="E224" s="75"/>
      <c r="F224" s="91"/>
      <c r="G224" s="202"/>
      <c r="H224" s="202"/>
      <c r="I224" s="209" t="s">
        <v>14</v>
      </c>
      <c r="J224" s="213">
        <f>J222-J223</f>
        <v>7244.2000000000007</v>
      </c>
    </row>
    <row r="225" spans="2:11">
      <c r="B225" s="92"/>
      <c r="C225" s="200"/>
      <c r="D225" s="85"/>
      <c r="E225" s="75"/>
      <c r="F225" s="91"/>
      <c r="G225" s="202"/>
      <c r="H225" s="202"/>
      <c r="I225" s="209"/>
      <c r="J225" s="210"/>
    </row>
    <row r="226" spans="2:11">
      <c r="B226" s="199" t="s">
        <v>15</v>
      </c>
      <c r="C226" s="200"/>
      <c r="D226" s="85"/>
      <c r="E226" s="75"/>
      <c r="F226" s="91"/>
      <c r="G226" s="202"/>
      <c r="H226" s="202"/>
      <c r="I226" s="214" t="s">
        <v>16</v>
      </c>
      <c r="J226" s="215" t="s">
        <v>51</v>
      </c>
      <c r="K226" s="211"/>
    </row>
    <row r="227" spans="2:11">
      <c r="B227" s="198" t="s">
        <v>38</v>
      </c>
      <c r="C227" s="200">
        <v>108.7</v>
      </c>
      <c r="D227" s="85">
        <f>C227/$J217</f>
        <v>112.54918202526403</v>
      </c>
      <c r="E227" s="75"/>
      <c r="F227" s="91"/>
      <c r="G227" s="202"/>
      <c r="H227" s="202"/>
    </row>
    <row r="228" spans="2:11">
      <c r="B228" s="198" t="s">
        <v>13</v>
      </c>
      <c r="C228" s="200">
        <v>506.8</v>
      </c>
      <c r="D228" s="85">
        <f>C228/$J217</f>
        <v>524.74632429074347</v>
      </c>
      <c r="E228" s="75"/>
      <c r="F228" s="91"/>
      <c r="G228" s="202"/>
      <c r="H228" s="202"/>
    </row>
    <row r="229" spans="2:11">
      <c r="B229" s="98"/>
      <c r="C229" s="200"/>
      <c r="D229" s="85"/>
      <c r="E229" s="75"/>
      <c r="F229" s="91"/>
      <c r="G229" s="202"/>
      <c r="H229" s="202"/>
      <c r="J229" s="211"/>
    </row>
    <row r="230" spans="2:11">
      <c r="B230" s="93" t="s">
        <v>18</v>
      </c>
      <c r="C230" s="86">
        <f>SUM(C223:C228)</f>
        <v>8099.5</v>
      </c>
      <c r="D230" s="86">
        <f>D222+D223</f>
        <v>4087.4922344170636</v>
      </c>
      <c r="E230" s="76">
        <f>C230/C235</f>
        <v>13.403111037564125</v>
      </c>
      <c r="F230" s="94">
        <f>D230/D235</f>
        <v>6.2524832602834248</v>
      </c>
      <c r="G230" s="203"/>
      <c r="H230" s="203"/>
    </row>
    <row r="231" spans="2:11">
      <c r="B231" s="92" t="s">
        <v>19</v>
      </c>
      <c r="C231" s="85">
        <f>Model!BA$130</f>
        <v>855.4</v>
      </c>
      <c r="D231" s="85">
        <f>C231/$J217</f>
        <v>885.6906191758128</v>
      </c>
      <c r="E231" s="95"/>
      <c r="F231" s="96"/>
      <c r="G231" s="204"/>
      <c r="H231" s="204"/>
    </row>
    <row r="232" spans="2:11">
      <c r="B232" s="93" t="s">
        <v>20</v>
      </c>
      <c r="C232" s="86">
        <f>C230-C231</f>
        <v>7244.1</v>
      </c>
      <c r="D232" s="86">
        <f>D230-D231</f>
        <v>3201.8016152412511</v>
      </c>
      <c r="E232" s="76">
        <f>C232/C235</f>
        <v>11.987588945887806</v>
      </c>
      <c r="F232" s="94">
        <f>D232/D235</f>
        <v>4.8976756049787049</v>
      </c>
      <c r="G232" s="203"/>
      <c r="H232" s="203"/>
    </row>
    <row r="233" spans="2:11">
      <c r="B233" s="90" t="s">
        <v>21</v>
      </c>
      <c r="C233" s="87">
        <f>Model!BA$134</f>
        <v>7351.2</v>
      </c>
      <c r="D233" s="85">
        <f>C233/$J217</f>
        <v>7611.5137709670735</v>
      </c>
      <c r="E233" s="77"/>
      <c r="F233" s="97"/>
      <c r="G233" s="205"/>
      <c r="H233" s="205"/>
    </row>
    <row r="234" spans="2:11">
      <c r="B234" s="90" t="s">
        <v>22</v>
      </c>
      <c r="C234" s="88">
        <f>C232+C233</f>
        <v>14595.3</v>
      </c>
      <c r="D234" s="85">
        <f>C234/$J217</f>
        <v>15112.135017601988</v>
      </c>
      <c r="E234" s="77"/>
      <c r="F234" s="97"/>
      <c r="G234" s="205"/>
      <c r="H234" s="205"/>
    </row>
    <row r="235" spans="2:11">
      <c r="B235" s="98" t="s">
        <v>23</v>
      </c>
      <c r="C235" s="99">
        <f>Model!BA$110</f>
        <v>604.29999999999995</v>
      </c>
      <c r="D235" s="182">
        <f>C235/$J218</f>
        <v>653.73901284651788</v>
      </c>
      <c r="E235" s="100"/>
      <c r="F235" s="101"/>
      <c r="G235" s="205"/>
      <c r="H235" s="205"/>
    </row>
    <row r="236" spans="2:11">
      <c r="B236" s="78" t="s">
        <v>24</v>
      </c>
      <c r="C236" s="84">
        <f>+C230-Model!BA$128</f>
        <v>0</v>
      </c>
    </row>
    <row r="237" spans="2:11">
      <c r="E237" s="67"/>
    </row>
    <row r="238" spans="2:11">
      <c r="B238" s="185" t="s">
        <v>58</v>
      </c>
      <c r="C238" s="89" t="s">
        <v>27</v>
      </c>
      <c r="D238" s="89" t="s">
        <v>28</v>
      </c>
    </row>
    <row r="239" spans="2:11">
      <c r="B239" s="79">
        <v>2024</v>
      </c>
      <c r="C239" s="123">
        <v>0</v>
      </c>
      <c r="D239" s="164">
        <f>+C239/$J217</f>
        <v>0</v>
      </c>
      <c r="I239" s="196"/>
      <c r="J239" s="195"/>
    </row>
    <row r="240" spans="2:11">
      <c r="B240" s="79">
        <v>2025</v>
      </c>
      <c r="C240" s="123">
        <v>562</v>
      </c>
      <c r="D240" s="164">
        <f>+C240/$J217</f>
        <v>581.90101470283707</v>
      </c>
      <c r="J240" s="195"/>
    </row>
    <row r="241" spans="1:10">
      <c r="B241" s="79">
        <v>2026</v>
      </c>
      <c r="C241" s="123">
        <v>698</v>
      </c>
      <c r="D241" s="164">
        <f>+C241/$J217</f>
        <v>722.7169186166908</v>
      </c>
    </row>
    <row r="242" spans="1:10">
      <c r="B242" s="79">
        <v>2027</v>
      </c>
      <c r="C242" s="123">
        <v>582</v>
      </c>
      <c r="D242" s="164">
        <f>+C242/$J217</f>
        <v>602.6092358666391</v>
      </c>
    </row>
    <row r="243" spans="1:10">
      <c r="B243" s="79">
        <v>2028</v>
      </c>
      <c r="C243" s="123">
        <v>647</v>
      </c>
      <c r="D243" s="164">
        <f>+C243/$J217</f>
        <v>669.9109546489957</v>
      </c>
      <c r="I243" s="196"/>
    </row>
    <row r="244" spans="1:10">
      <c r="B244" s="79">
        <v>2029</v>
      </c>
      <c r="C244" s="123">
        <v>1497</v>
      </c>
      <c r="D244" s="164">
        <f>+C244/$J217</f>
        <v>1550.0103541105818</v>
      </c>
    </row>
    <row r="245" spans="1:10">
      <c r="B245" s="79">
        <v>2030</v>
      </c>
      <c r="C245" s="123">
        <v>1484</v>
      </c>
      <c r="D245" s="164">
        <f>+C245/$J217</f>
        <v>1536.5500103541106</v>
      </c>
    </row>
    <row r="246" spans="1:10">
      <c r="B246" s="79">
        <v>2031</v>
      </c>
      <c r="C246" s="123">
        <v>1656</v>
      </c>
      <c r="D246" s="164">
        <f>+C246/$J217</f>
        <v>1714.640712362808</v>
      </c>
    </row>
    <row r="247" spans="1:10">
      <c r="B247" s="79">
        <v>2032</v>
      </c>
      <c r="C247" s="123">
        <v>533</v>
      </c>
      <c r="D247" s="164">
        <f>+C247/$J217</f>
        <v>551.87409401532409</v>
      </c>
    </row>
    <row r="248" spans="1:10">
      <c r="B248" s="79" t="s">
        <v>53</v>
      </c>
      <c r="C248" s="123">
        <f>34+407</f>
        <v>441</v>
      </c>
      <c r="D248" s="164">
        <f>+C248/$J217</f>
        <v>456.61627666183477</v>
      </c>
    </row>
    <row r="249" spans="1:10">
      <c r="B249" s="183" t="s">
        <v>18</v>
      </c>
      <c r="C249" s="192">
        <f>+SUM(C239:C248)</f>
        <v>8100</v>
      </c>
      <c r="D249" s="192">
        <f>+SUM(D239:D248)</f>
        <v>8386.829571339822</v>
      </c>
      <c r="F249" s="82"/>
      <c r="G249" s="159"/>
      <c r="H249" s="159"/>
    </row>
    <row r="250" spans="1:10">
      <c r="B250" s="78"/>
      <c r="C250" s="83"/>
      <c r="D250" s="83"/>
      <c r="F250" s="122"/>
      <c r="G250" s="122"/>
      <c r="H250" s="122"/>
    </row>
    <row r="251" spans="1:10">
      <c r="A251" s="69" t="s">
        <v>59</v>
      </c>
      <c r="I251" s="70" t="s">
        <v>60</v>
      </c>
      <c r="J251" s="71">
        <f>Model!AZ$204</f>
        <v>0.89810000000000001</v>
      </c>
    </row>
    <row r="252" spans="1:10">
      <c r="I252" s="72" t="s">
        <v>61</v>
      </c>
      <c r="J252" s="71">
        <f>Model!AZ$205</f>
        <v>0.92743125000000004</v>
      </c>
    </row>
    <row r="254" spans="1:10">
      <c r="B254" s="73"/>
      <c r="C254" s="71"/>
      <c r="I254" s="67"/>
    </row>
    <row r="255" spans="1:10" ht="26.25">
      <c r="A255" s="109"/>
      <c r="B255" s="102" t="s">
        <v>62</v>
      </c>
      <c r="C255" s="110" t="s">
        <v>4</v>
      </c>
      <c r="D255" s="110" t="s">
        <v>5</v>
      </c>
      <c r="E255" s="89" t="s">
        <v>6</v>
      </c>
      <c r="F255" s="111" t="s">
        <v>7</v>
      </c>
      <c r="G255" s="201"/>
      <c r="H255" s="201"/>
    </row>
    <row r="256" spans="1:10">
      <c r="B256" s="92" t="s">
        <v>63</v>
      </c>
      <c r="C256" s="85">
        <f>Model!AZ$126</f>
        <v>428.79999999999995</v>
      </c>
      <c r="D256" s="85">
        <f>C256/$J251</f>
        <v>477.45239951007676</v>
      </c>
      <c r="E256" s="75"/>
      <c r="F256" s="91"/>
      <c r="G256" s="202"/>
      <c r="H256" s="202"/>
    </row>
    <row r="257" spans="2:8">
      <c r="B257" s="92" t="s">
        <v>64</v>
      </c>
      <c r="C257" s="85">
        <f>Model!AZ$127</f>
        <v>7707.4</v>
      </c>
      <c r="D257" s="85">
        <f>C257/$J251</f>
        <v>8581.8951119029061</v>
      </c>
      <c r="E257" s="75"/>
      <c r="F257" s="91"/>
      <c r="G257" s="202"/>
      <c r="H257" s="202"/>
    </row>
    <row r="258" spans="2:8">
      <c r="B258" s="92"/>
      <c r="C258" s="85"/>
      <c r="D258" s="85"/>
      <c r="E258" s="75"/>
      <c r="F258" s="91"/>
      <c r="G258" s="202"/>
      <c r="H258" s="202"/>
    </row>
    <row r="259" spans="2:8">
      <c r="B259" s="93" t="s">
        <v>18</v>
      </c>
      <c r="C259" s="86">
        <f>C256+C257</f>
        <v>8136.2</v>
      </c>
      <c r="D259" s="86">
        <f>D256+D257</f>
        <v>9059.3475114129833</v>
      </c>
      <c r="E259" s="76">
        <f>C259/C264</f>
        <v>14.926068611263993</v>
      </c>
      <c r="F259" s="94">
        <f>D259/D264</f>
        <v>15.413542444861744</v>
      </c>
      <c r="G259" s="203"/>
      <c r="H259" s="203"/>
    </row>
    <row r="260" spans="2:8">
      <c r="B260" s="92" t="s">
        <v>19</v>
      </c>
      <c r="C260" s="85">
        <f>Model!AZ$130</f>
        <v>1285.4000000000001</v>
      </c>
      <c r="D260" s="85">
        <f>C260/$J251</f>
        <v>1431.2437367776417</v>
      </c>
      <c r="E260" s="95"/>
      <c r="F260" s="96"/>
      <c r="G260" s="204"/>
      <c r="H260" s="204"/>
    </row>
    <row r="261" spans="2:8">
      <c r="B261" s="93" t="s">
        <v>20</v>
      </c>
      <c r="C261" s="86">
        <f>C259-C260</f>
        <v>6850.7999999999993</v>
      </c>
      <c r="D261" s="86">
        <f>D259-D260</f>
        <v>7628.1037746353413</v>
      </c>
      <c r="E261" s="76">
        <f>C261/C264</f>
        <v>12.567969179966981</v>
      </c>
      <c r="F261" s="94">
        <f>D261/D264</f>
        <v>12.978429313593425</v>
      </c>
      <c r="G261" s="203"/>
      <c r="H261" s="203"/>
    </row>
    <row r="262" spans="2:8">
      <c r="B262" s="90" t="s">
        <v>21</v>
      </c>
      <c r="C262" s="87">
        <f>Model!AZ$134</f>
        <v>7056.6</v>
      </c>
      <c r="D262" s="85">
        <f>C262/$J251</f>
        <v>7857.2542033181162</v>
      </c>
      <c r="E262" s="77"/>
      <c r="F262" s="97"/>
      <c r="G262" s="205"/>
      <c r="H262" s="205"/>
    </row>
    <row r="263" spans="2:8">
      <c r="B263" s="90" t="s">
        <v>22</v>
      </c>
      <c r="C263" s="88">
        <f>C261+C262</f>
        <v>13907.4</v>
      </c>
      <c r="D263" s="85">
        <f>C263/$J251</f>
        <v>15485.357977953458</v>
      </c>
      <c r="E263" s="77"/>
      <c r="F263" s="97"/>
      <c r="G263" s="205"/>
      <c r="H263" s="205"/>
    </row>
    <row r="264" spans="2:8">
      <c r="B264" s="98" t="s">
        <v>23</v>
      </c>
      <c r="C264" s="99">
        <f>Model!AZ$110</f>
        <v>545.0999999999998</v>
      </c>
      <c r="D264" s="182">
        <f>C264/$J252</f>
        <v>587.75246143582046</v>
      </c>
      <c r="E264" s="100"/>
      <c r="F264" s="101"/>
      <c r="G264" s="205"/>
      <c r="H264" s="205"/>
    </row>
    <row r="265" spans="2:8">
      <c r="B265" s="78" t="s">
        <v>24</v>
      </c>
      <c r="C265" s="84">
        <f>+C259-Model!AZ$128</f>
        <v>0</v>
      </c>
    </row>
    <row r="266" spans="2:8">
      <c r="E266" s="67"/>
    </row>
    <row r="267" spans="2:8">
      <c r="B267" s="185" t="s">
        <v>65</v>
      </c>
      <c r="C267" s="89" t="s">
        <v>27</v>
      </c>
      <c r="D267" s="89" t="s">
        <v>28</v>
      </c>
    </row>
    <row r="268" spans="2:8">
      <c r="B268" s="79">
        <v>2024</v>
      </c>
      <c r="C268" s="123">
        <v>16</v>
      </c>
      <c r="D268" s="164">
        <f>+C268/$J251</f>
        <v>17.815388041420778</v>
      </c>
    </row>
    <row r="269" spans="2:8">
      <c r="B269" s="79">
        <v>2025</v>
      </c>
      <c r="C269" s="123">
        <v>570</v>
      </c>
      <c r="D269" s="164">
        <f>+C269/$J251</f>
        <v>634.67319897561515</v>
      </c>
    </row>
    <row r="270" spans="2:8">
      <c r="B270" s="79">
        <v>2026</v>
      </c>
      <c r="C270" s="123">
        <v>916</v>
      </c>
      <c r="D270" s="164">
        <f>+C270/$J251</f>
        <v>1019.9309653713395</v>
      </c>
    </row>
    <row r="271" spans="2:8">
      <c r="B271" s="79">
        <v>2027</v>
      </c>
      <c r="C271" s="123">
        <v>589</v>
      </c>
      <c r="D271" s="164">
        <f>+C271/$J251</f>
        <v>655.82897227480237</v>
      </c>
    </row>
    <row r="272" spans="2:8">
      <c r="B272" s="79">
        <v>2028</v>
      </c>
      <c r="C272" s="123">
        <v>653</v>
      </c>
      <c r="D272" s="164">
        <f>+C272/$J251</f>
        <v>727.09052444048541</v>
      </c>
    </row>
    <row r="273" spans="1:10">
      <c r="B273" s="79">
        <v>2029</v>
      </c>
      <c r="C273" s="123">
        <v>1453</v>
      </c>
      <c r="D273" s="164">
        <f>+C273/$J251</f>
        <v>1617.8599265115242</v>
      </c>
    </row>
    <row r="274" spans="1:10">
      <c r="B274" s="79">
        <v>2030</v>
      </c>
      <c r="C274" s="123">
        <v>1751</v>
      </c>
      <c r="D274" s="164">
        <f>+C274/$J251</f>
        <v>1949.6715287829863</v>
      </c>
    </row>
    <row r="275" spans="1:10">
      <c r="B275" s="79">
        <v>2031</v>
      </c>
      <c r="C275" s="123">
        <v>1660</v>
      </c>
      <c r="D275" s="164">
        <f>+C275/$J251</f>
        <v>1848.3465092974056</v>
      </c>
    </row>
    <row r="276" spans="1:10">
      <c r="B276" s="79">
        <v>2032</v>
      </c>
      <c r="C276" s="123">
        <v>95</v>
      </c>
      <c r="D276" s="164">
        <f>+C276/$J251</f>
        <v>105.77886649593586</v>
      </c>
    </row>
    <row r="277" spans="1:10">
      <c r="B277" s="79" t="s">
        <v>53</v>
      </c>
      <c r="C277" s="123">
        <v>442</v>
      </c>
      <c r="D277" s="164">
        <f>+C277/$J251</f>
        <v>492.15009464424895</v>
      </c>
    </row>
    <row r="278" spans="1:10">
      <c r="B278" s="183" t="s">
        <v>18</v>
      </c>
      <c r="C278" s="192">
        <f>+SUM(C268:C277)</f>
        <v>8145</v>
      </c>
      <c r="D278" s="192">
        <f>+SUM(D268:D277)</f>
        <v>9069.1459748357629</v>
      </c>
      <c r="F278" s="82"/>
      <c r="G278" s="159"/>
      <c r="H278" s="159"/>
    </row>
    <row r="279" spans="1:10">
      <c r="B279" s="78"/>
      <c r="C279" s="83"/>
      <c r="D279" s="83"/>
      <c r="F279" s="122"/>
      <c r="G279" s="122"/>
      <c r="H279" s="122"/>
    </row>
    <row r="280" spans="1:10">
      <c r="A280" s="69" t="s">
        <v>66</v>
      </c>
      <c r="I280" s="70" t="s">
        <v>67</v>
      </c>
      <c r="J280" s="71">
        <f>Model!AY$204</f>
        <v>0.93310000000000004</v>
      </c>
    </row>
    <row r="281" spans="1:10">
      <c r="I281" s="72" t="s">
        <v>68</v>
      </c>
      <c r="J281" s="71">
        <f>Model!AY$205</f>
        <v>0.94105625000000004</v>
      </c>
    </row>
    <row r="283" spans="1:10">
      <c r="B283" s="73"/>
      <c r="C283" s="71"/>
      <c r="I283" s="67"/>
    </row>
    <row r="284" spans="1:10" ht="26.25">
      <c r="A284" s="109"/>
      <c r="B284" s="102" t="s">
        <v>69</v>
      </c>
      <c r="C284" s="110" t="s">
        <v>4</v>
      </c>
      <c r="D284" s="110" t="s">
        <v>5</v>
      </c>
      <c r="E284" s="89" t="s">
        <v>6</v>
      </c>
      <c r="F284" s="111" t="s">
        <v>7</v>
      </c>
      <c r="G284" s="201"/>
      <c r="H284" s="201"/>
    </row>
    <row r="285" spans="1:10">
      <c r="B285" s="92" t="s">
        <v>63</v>
      </c>
      <c r="C285" s="85">
        <f>Model!AY$126</f>
        <v>380.20000000000005</v>
      </c>
      <c r="D285" s="85">
        <f>C285/$J280</f>
        <v>407.45900760904516</v>
      </c>
      <c r="E285" s="75"/>
      <c r="F285" s="91"/>
      <c r="G285" s="202"/>
      <c r="H285" s="202"/>
    </row>
    <row r="286" spans="1:10">
      <c r="B286" s="92" t="s">
        <v>64</v>
      </c>
      <c r="C286" s="85">
        <f>Model!AY$127</f>
        <v>7551.6</v>
      </c>
      <c r="D286" s="85">
        <f>C286/$J280</f>
        <v>8093.0232558139533</v>
      </c>
      <c r="E286" s="75"/>
      <c r="F286" s="91"/>
      <c r="G286" s="202"/>
      <c r="H286" s="202"/>
    </row>
    <row r="287" spans="1:10">
      <c r="B287" s="92"/>
      <c r="C287" s="85"/>
      <c r="D287" s="85"/>
      <c r="E287" s="75"/>
      <c r="F287" s="91"/>
      <c r="G287" s="202"/>
      <c r="H287" s="202"/>
    </row>
    <row r="288" spans="1:10">
      <c r="B288" s="93" t="s">
        <v>18</v>
      </c>
      <c r="C288" s="86">
        <f>C285+C286</f>
        <v>7931.8</v>
      </c>
      <c r="D288" s="86">
        <f>D285+D286</f>
        <v>8500.4822634229986</v>
      </c>
      <c r="E288" s="76">
        <f>C288/C293</f>
        <v>15.374685016476066</v>
      </c>
      <c r="F288" s="94">
        <f>D288/D293</f>
        <v>15.505780116317819</v>
      </c>
      <c r="G288" s="203"/>
      <c r="H288" s="203"/>
    </row>
    <row r="289" spans="2:8">
      <c r="B289" s="92" t="s">
        <v>19</v>
      </c>
      <c r="C289" s="85">
        <f>Model!AY$130</f>
        <v>1101.4000000000001</v>
      </c>
      <c r="D289" s="85">
        <f>C289/$J280</f>
        <v>1180.366520201479</v>
      </c>
      <c r="E289" s="95"/>
      <c r="F289" s="96"/>
      <c r="G289" s="204"/>
      <c r="H289" s="204"/>
    </row>
    <row r="290" spans="2:8">
      <c r="B290" s="93" t="s">
        <v>20</v>
      </c>
      <c r="C290" s="86">
        <f>C288-C289</f>
        <v>6830.4</v>
      </c>
      <c r="D290" s="86">
        <f>D288-D289</f>
        <v>7320.1157432215196</v>
      </c>
      <c r="E290" s="76">
        <f>C290/C293</f>
        <v>13.239775150222915</v>
      </c>
      <c r="F290" s="94">
        <f>D290/D293</f>
        <v>13.352666545613507</v>
      </c>
      <c r="G290" s="203"/>
      <c r="H290" s="203"/>
    </row>
    <row r="291" spans="2:8">
      <c r="B291" s="90" t="s">
        <v>21</v>
      </c>
      <c r="C291" s="87">
        <f>Model!AY$134</f>
        <v>6681</v>
      </c>
      <c r="D291" s="85">
        <f>C291/$J280</f>
        <v>7160.004286785982</v>
      </c>
      <c r="E291" s="77"/>
      <c r="F291" s="97"/>
      <c r="G291" s="205"/>
      <c r="H291" s="205"/>
    </row>
    <row r="292" spans="2:8">
      <c r="B292" s="90" t="s">
        <v>22</v>
      </c>
      <c r="C292" s="88">
        <f>C290+C291</f>
        <v>13511.4</v>
      </c>
      <c r="D292" s="85">
        <f>C292/$J280</f>
        <v>14480.120030007502</v>
      </c>
      <c r="E292" s="77"/>
      <c r="F292" s="97"/>
      <c r="G292" s="205"/>
      <c r="H292" s="205"/>
    </row>
    <row r="293" spans="2:8">
      <c r="B293" s="98" t="s">
        <v>23</v>
      </c>
      <c r="C293" s="99">
        <f>Model!AY$110</f>
        <v>515.89999999999986</v>
      </c>
      <c r="D293" s="182">
        <f>C293/$J281</f>
        <v>548.21377574401083</v>
      </c>
      <c r="E293" s="100"/>
      <c r="F293" s="101"/>
      <c r="G293" s="205"/>
      <c r="H293" s="205"/>
    </row>
    <row r="294" spans="2:8">
      <c r="B294" s="78" t="s">
        <v>24</v>
      </c>
      <c r="C294" s="84">
        <f>+C288-Model!AY$128</f>
        <v>0</v>
      </c>
    </row>
    <row r="295" spans="2:8">
      <c r="E295" s="67"/>
    </row>
    <row r="296" spans="2:8">
      <c r="B296" s="185" t="s">
        <v>70</v>
      </c>
      <c r="C296" s="89" t="s">
        <v>27</v>
      </c>
      <c r="D296" s="89" t="s">
        <v>28</v>
      </c>
    </row>
    <row r="297" spans="2:8">
      <c r="B297" s="79">
        <v>2023</v>
      </c>
      <c r="C297" s="123">
        <v>0</v>
      </c>
      <c r="D297" s="164">
        <f>+C297/$J280</f>
        <v>0</v>
      </c>
    </row>
    <row r="298" spans="2:8">
      <c r="B298" s="79">
        <v>2024</v>
      </c>
      <c r="C298" s="123">
        <v>34</v>
      </c>
      <c r="D298" s="164">
        <f>+C298/$J280</f>
        <v>36.437680848783621</v>
      </c>
    </row>
    <row r="299" spans="2:8">
      <c r="B299" s="79">
        <v>2025</v>
      </c>
      <c r="C299" s="123">
        <v>565</v>
      </c>
      <c r="D299" s="164">
        <f>+C299/$J280</f>
        <v>605.50851998713961</v>
      </c>
    </row>
    <row r="300" spans="2:8">
      <c r="B300" s="79">
        <v>2026</v>
      </c>
      <c r="C300" s="123">
        <v>907</v>
      </c>
      <c r="D300" s="164">
        <f>+C300/$J280</f>
        <v>972.02872146608081</v>
      </c>
    </row>
    <row r="301" spans="2:8">
      <c r="B301" s="79">
        <v>2027</v>
      </c>
      <c r="C301" s="123">
        <v>584</v>
      </c>
      <c r="D301" s="164">
        <f>+C301/$J280</f>
        <v>625.8707534026363</v>
      </c>
    </row>
    <row r="302" spans="2:8">
      <c r="B302" s="79">
        <v>2028</v>
      </c>
      <c r="C302" s="123">
        <v>625</v>
      </c>
      <c r="D302" s="164">
        <f>+C302/$J280</f>
        <v>669.81030972028714</v>
      </c>
    </row>
    <row r="303" spans="2:8">
      <c r="B303" s="79" t="s">
        <v>71</v>
      </c>
      <c r="C303" s="123">
        <f>1428+1749+1519+95+442</f>
        <v>5233</v>
      </c>
      <c r="D303" s="164">
        <f>+C303/$J280</f>
        <v>5608.1877612260205</v>
      </c>
    </row>
    <row r="304" spans="2:8">
      <c r="B304" s="183" t="s">
        <v>18</v>
      </c>
      <c r="C304" s="192">
        <f>+SUM(C297:C303)</f>
        <v>7948</v>
      </c>
      <c r="D304" s="184">
        <f>+SUM(D297:D303)</f>
        <v>8517.8437466509477</v>
      </c>
      <c r="F304" s="82"/>
      <c r="G304" s="159"/>
      <c r="H304" s="159"/>
    </row>
    <row r="305" spans="1:10">
      <c r="B305" s="78"/>
      <c r="C305" s="83"/>
      <c r="D305" s="83"/>
      <c r="F305" s="122"/>
      <c r="G305" s="122"/>
      <c r="H305" s="122"/>
    </row>
    <row r="306" spans="1:10">
      <c r="A306" s="69" t="s">
        <v>72</v>
      </c>
      <c r="I306" s="70" t="s">
        <v>73</v>
      </c>
      <c r="J306" s="71">
        <f>Model!AX$204</f>
        <v>0.9264</v>
      </c>
    </row>
    <row r="307" spans="1:10">
      <c r="I307" s="72" t="s">
        <v>74</v>
      </c>
      <c r="J307" s="71">
        <f>Model!AX$205</f>
        <v>0.93845624999999999</v>
      </c>
    </row>
    <row r="309" spans="1:10">
      <c r="B309" s="73"/>
      <c r="C309" s="71"/>
      <c r="I309" s="67"/>
    </row>
    <row r="310" spans="1:10" ht="26.25">
      <c r="A310" s="109"/>
      <c r="B310" s="102" t="s">
        <v>75</v>
      </c>
      <c r="C310" s="110" t="s">
        <v>4</v>
      </c>
      <c r="D310" s="110" t="s">
        <v>5</v>
      </c>
      <c r="E310" s="89" t="s">
        <v>6</v>
      </c>
      <c r="F310" s="111" t="s">
        <v>7</v>
      </c>
      <c r="G310" s="201"/>
      <c r="H310" s="201"/>
    </row>
    <row r="311" spans="1:10">
      <c r="B311" s="92" t="s">
        <v>63</v>
      </c>
      <c r="C311" s="85">
        <f>Model!AX$126</f>
        <v>88.5</v>
      </c>
      <c r="D311" s="85">
        <f>C311/$J306</f>
        <v>95.531088082901547</v>
      </c>
      <c r="E311" s="75"/>
      <c r="F311" s="91"/>
      <c r="G311" s="202"/>
      <c r="H311" s="202"/>
    </row>
    <row r="312" spans="1:10">
      <c r="B312" s="92" t="s">
        <v>64</v>
      </c>
      <c r="C312" s="85">
        <f>Model!AX$127</f>
        <v>7569</v>
      </c>
      <c r="D312" s="85">
        <f>C312/$J306</f>
        <v>8170.3367875647664</v>
      </c>
      <c r="E312" s="75"/>
      <c r="F312" s="91"/>
      <c r="G312" s="202"/>
      <c r="H312" s="202"/>
    </row>
    <row r="313" spans="1:10">
      <c r="B313" s="92"/>
      <c r="C313" s="85"/>
      <c r="D313" s="85"/>
      <c r="E313" s="75"/>
      <c r="F313" s="91"/>
      <c r="G313" s="202"/>
      <c r="H313" s="202"/>
    </row>
    <row r="314" spans="1:10">
      <c r="B314" s="93" t="s">
        <v>18</v>
      </c>
      <c r="C314" s="86">
        <f>C311+C312</f>
        <v>7657.5</v>
      </c>
      <c r="D314" s="86">
        <f>D311+D312</f>
        <v>8265.8678756476675</v>
      </c>
      <c r="E314" s="76">
        <f>C314/C319</f>
        <v>15.523480340979358</v>
      </c>
      <c r="F314" s="94">
        <f>D314/D319</f>
        <v>15.725504261381914</v>
      </c>
      <c r="G314" s="203"/>
      <c r="H314" s="203"/>
    </row>
    <row r="315" spans="1:10">
      <c r="B315" s="92" t="s">
        <v>19</v>
      </c>
      <c r="C315" s="85">
        <f>Model!AX$130</f>
        <v>1232.2</v>
      </c>
      <c r="D315" s="85">
        <f>C315/$J306</f>
        <v>1330.0949913644215</v>
      </c>
      <c r="E315" s="95"/>
      <c r="F315" s="96"/>
      <c r="G315" s="204"/>
      <c r="H315" s="204"/>
    </row>
    <row r="316" spans="1:10">
      <c r="B316" s="93" t="s">
        <v>20</v>
      </c>
      <c r="C316" s="86">
        <f>C314-C315</f>
        <v>6425.3</v>
      </c>
      <c r="D316" s="86">
        <f>D314-D315</f>
        <v>6935.7728842832457</v>
      </c>
      <c r="E316" s="76">
        <f>C316/C319</f>
        <v>13.025532906940212</v>
      </c>
      <c r="F316" s="94">
        <f>D316/D319</f>
        <v>13.195048322645407</v>
      </c>
      <c r="G316" s="203"/>
      <c r="H316" s="203"/>
    </row>
    <row r="317" spans="1:10">
      <c r="B317" s="90" t="s">
        <v>21</v>
      </c>
      <c r="C317" s="87">
        <f>Model!AX$134</f>
        <v>6389.2</v>
      </c>
      <c r="D317" s="85">
        <f>C317/$J306</f>
        <v>6896.8048359240065</v>
      </c>
      <c r="E317" s="77"/>
      <c r="F317" s="97"/>
      <c r="G317" s="205"/>
      <c r="H317" s="205"/>
    </row>
    <row r="318" spans="1:10">
      <c r="B318" s="90" t="s">
        <v>22</v>
      </c>
      <c r="C318" s="88">
        <f>C316+C317</f>
        <v>12814.5</v>
      </c>
      <c r="D318" s="85">
        <f>C318/$J306</f>
        <v>13832.577720207253</v>
      </c>
      <c r="E318" s="77"/>
      <c r="F318" s="97"/>
      <c r="G318" s="205"/>
      <c r="H318" s="205"/>
    </row>
    <row r="319" spans="1:10">
      <c r="B319" s="98" t="s">
        <v>23</v>
      </c>
      <c r="C319" s="99">
        <f>Model!AX$110</f>
        <v>493.28499999999985</v>
      </c>
      <c r="D319" s="182">
        <f>C319/$J307</f>
        <v>525.63451945682061</v>
      </c>
      <c r="E319" s="100"/>
      <c r="F319" s="101"/>
      <c r="G319" s="205"/>
      <c r="H319" s="205"/>
    </row>
    <row r="320" spans="1:10">
      <c r="B320" s="78" t="s">
        <v>24</v>
      </c>
      <c r="C320" s="84">
        <f>+C314-Model!AX$128</f>
        <v>0</v>
      </c>
    </row>
    <row r="321" spans="1:10">
      <c r="E321" s="67"/>
    </row>
    <row r="322" spans="1:10">
      <c r="B322" s="185" t="s">
        <v>76</v>
      </c>
      <c r="C322" s="89" t="s">
        <v>27</v>
      </c>
      <c r="D322" s="89" t="s">
        <v>28</v>
      </c>
    </row>
    <row r="323" spans="1:10">
      <c r="B323" s="79">
        <v>2023</v>
      </c>
      <c r="C323" s="123">
        <v>0</v>
      </c>
      <c r="D323" s="164">
        <f>+C323/$J306</f>
        <v>0</v>
      </c>
    </row>
    <row r="324" spans="1:10">
      <c r="B324" s="79">
        <v>2024</v>
      </c>
      <c r="C324" s="123">
        <v>39</v>
      </c>
      <c r="D324" s="164">
        <f>+C324/$J306</f>
        <v>42.098445595854919</v>
      </c>
    </row>
    <row r="325" spans="1:10">
      <c r="B325" s="79">
        <v>2025</v>
      </c>
      <c r="C325" s="123">
        <v>801</v>
      </c>
      <c r="D325" s="164">
        <f>+C325/$J306</f>
        <v>864.63730569948189</v>
      </c>
    </row>
    <row r="326" spans="1:10">
      <c r="B326" s="79">
        <v>2026</v>
      </c>
      <c r="C326" s="123">
        <v>1143</v>
      </c>
      <c r="D326" s="164">
        <f>+C326/$J306</f>
        <v>1233.8082901554403</v>
      </c>
    </row>
    <row r="327" spans="1:10">
      <c r="B327" s="79">
        <v>2027</v>
      </c>
      <c r="C327" s="123">
        <v>569</v>
      </c>
      <c r="D327" s="164">
        <f>+C327/$J306</f>
        <v>614.20552677029366</v>
      </c>
    </row>
    <row r="328" spans="1:10">
      <c r="B328" s="79">
        <v>2028</v>
      </c>
      <c r="C328" s="123">
        <v>536</v>
      </c>
      <c r="D328" s="164">
        <f>+C328/$J306</f>
        <v>578.58376511226254</v>
      </c>
    </row>
    <row r="329" spans="1:10">
      <c r="B329" s="79" t="s">
        <v>71</v>
      </c>
      <c r="C329" s="123">
        <f>924+1670+1515+33+442</f>
        <v>4584</v>
      </c>
      <c r="D329" s="164">
        <f>+C329/$J306</f>
        <v>4948.1865284974092</v>
      </c>
    </row>
    <row r="330" spans="1:10">
      <c r="B330" s="183" t="s">
        <v>18</v>
      </c>
      <c r="C330" s="192">
        <f>+SUM(C323:C329)</f>
        <v>7672</v>
      </c>
      <c r="D330" s="184">
        <f>+SUM(D323:D329)</f>
        <v>8281.5198618307422</v>
      </c>
      <c r="F330" s="82"/>
      <c r="G330" s="159"/>
      <c r="H330" s="159"/>
    </row>
    <row r="331" spans="1:10">
      <c r="B331" s="78"/>
      <c r="C331" s="83"/>
      <c r="D331" s="83"/>
      <c r="F331" s="122"/>
      <c r="G331" s="122"/>
      <c r="H331" s="122"/>
    </row>
    <row r="332" spans="1:10">
      <c r="A332" s="69" t="s">
        <v>77</v>
      </c>
      <c r="I332" s="70" t="s">
        <v>78</v>
      </c>
      <c r="J332" s="71">
        <f>Model!AW204</f>
        <v>0.90600000000000003</v>
      </c>
    </row>
    <row r="333" spans="1:10">
      <c r="I333" s="72" t="s">
        <v>79</v>
      </c>
      <c r="J333" s="71">
        <f>Model!AW205</f>
        <v>0.94123125000000007</v>
      </c>
    </row>
    <row r="335" spans="1:10">
      <c r="B335" s="73"/>
      <c r="C335" s="71"/>
      <c r="I335" s="67"/>
    </row>
    <row r="336" spans="1:10" ht="26.25">
      <c r="A336" s="109"/>
      <c r="B336" s="102" t="s">
        <v>80</v>
      </c>
      <c r="C336" s="110" t="s">
        <v>4</v>
      </c>
      <c r="D336" s="110" t="s">
        <v>5</v>
      </c>
      <c r="E336" s="89" t="s">
        <v>6</v>
      </c>
      <c r="F336" s="111" t="s">
        <v>7</v>
      </c>
      <c r="G336" s="201"/>
      <c r="H336" s="201"/>
    </row>
    <row r="337" spans="2:8">
      <c r="B337" s="92" t="s">
        <v>63</v>
      </c>
      <c r="C337" s="85">
        <f>Model!K126</f>
        <v>68.7</v>
      </c>
      <c r="D337" s="85">
        <f>C337/$J332</f>
        <v>75.827814569536429</v>
      </c>
      <c r="E337" s="75"/>
      <c r="F337" s="91"/>
      <c r="G337" s="202"/>
      <c r="H337" s="202"/>
    </row>
    <row r="338" spans="2:8">
      <c r="B338" s="92" t="s">
        <v>64</v>
      </c>
      <c r="C338" s="85">
        <f>Model!K127</f>
        <v>6899.5</v>
      </c>
      <c r="D338" s="85">
        <f>C338/$J332</f>
        <v>7615.342163355408</v>
      </c>
      <c r="E338" s="75"/>
      <c r="F338" s="91"/>
      <c r="G338" s="202"/>
      <c r="H338" s="202"/>
    </row>
    <row r="339" spans="2:8">
      <c r="B339" s="92"/>
      <c r="C339" s="85"/>
      <c r="D339" s="85"/>
      <c r="E339" s="75"/>
      <c r="F339" s="91"/>
      <c r="G339" s="202"/>
      <c r="H339" s="202"/>
    </row>
    <row r="340" spans="2:8">
      <c r="B340" s="93" t="s">
        <v>18</v>
      </c>
      <c r="C340" s="86">
        <f>C337+C338</f>
        <v>6968.2</v>
      </c>
      <c r="D340" s="86">
        <f>D337+D338</f>
        <v>7691.1699779249448</v>
      </c>
      <c r="E340" s="76">
        <f>C340/C345</f>
        <v>15.221057230231544</v>
      </c>
      <c r="F340" s="94">
        <f>D340/D345</f>
        <v>15.81295223303794</v>
      </c>
      <c r="G340" s="203"/>
      <c r="H340" s="203"/>
    </row>
    <row r="341" spans="2:8">
      <c r="B341" s="92" t="s">
        <v>19</v>
      </c>
      <c r="C341" s="85">
        <f>Model!K130</f>
        <v>690.6</v>
      </c>
      <c r="D341" s="85">
        <f>C341/$J332</f>
        <v>762.25165562913912</v>
      </c>
      <c r="E341" s="95"/>
      <c r="F341" s="96"/>
      <c r="G341" s="204"/>
      <c r="H341" s="204"/>
    </row>
    <row r="342" spans="2:8">
      <c r="B342" s="93" t="s">
        <v>20</v>
      </c>
      <c r="C342" s="86">
        <f>C340-C341</f>
        <v>6277.5999999999995</v>
      </c>
      <c r="D342" s="86">
        <f>D340-D341</f>
        <v>6928.9183222958054</v>
      </c>
      <c r="E342" s="76">
        <f>C342/C345</f>
        <v>13.712538226299694</v>
      </c>
      <c r="F342" s="94">
        <f>D342/D345</f>
        <v>14.245772069992103</v>
      </c>
      <c r="G342" s="203"/>
      <c r="H342" s="203"/>
    </row>
    <row r="343" spans="2:8">
      <c r="B343" s="90" t="s">
        <v>21</v>
      </c>
      <c r="C343" s="87">
        <f>Model!K134</f>
        <v>6166.9</v>
      </c>
      <c r="D343" s="85">
        <f>C343/$J332</f>
        <v>6806.7328918322291</v>
      </c>
      <c r="E343" s="77"/>
      <c r="F343" s="97"/>
      <c r="G343" s="205"/>
      <c r="H343" s="205"/>
    </row>
    <row r="344" spans="2:8">
      <c r="B344" s="90" t="s">
        <v>22</v>
      </c>
      <c r="C344" s="88">
        <f>C342+C343</f>
        <v>12444.5</v>
      </c>
      <c r="D344" s="85">
        <f>C344/$J332</f>
        <v>13735.651214128035</v>
      </c>
      <c r="E344" s="77"/>
      <c r="F344" s="97"/>
      <c r="G344" s="205"/>
      <c r="H344" s="205"/>
    </row>
    <row r="345" spans="2:8">
      <c r="B345" s="98" t="s">
        <v>23</v>
      </c>
      <c r="C345" s="99">
        <f>Model!AW$110</f>
        <v>457.79999999999995</v>
      </c>
      <c r="D345" s="182">
        <f>C345/$J333</f>
        <v>486.38419092013777</v>
      </c>
      <c r="E345" s="100"/>
      <c r="F345" s="101"/>
      <c r="G345" s="205"/>
      <c r="H345" s="205"/>
    </row>
    <row r="346" spans="2:8">
      <c r="B346" s="78" t="s">
        <v>24</v>
      </c>
      <c r="C346" s="84">
        <f>+C340-Model!K128</f>
        <v>0</v>
      </c>
    </row>
    <row r="347" spans="2:8">
      <c r="E347" s="67"/>
    </row>
    <row r="348" spans="2:8">
      <c r="B348" s="185" t="s">
        <v>81</v>
      </c>
      <c r="C348" s="89" t="s">
        <v>27</v>
      </c>
      <c r="D348" s="89" t="s">
        <v>28</v>
      </c>
    </row>
    <row r="349" spans="2:8">
      <c r="B349" s="79">
        <v>2023</v>
      </c>
      <c r="C349" s="123">
        <v>0</v>
      </c>
      <c r="D349" s="164">
        <f>+C349/$J332</f>
        <v>0</v>
      </c>
    </row>
    <row r="350" spans="2:8" hidden="1">
      <c r="B350" s="79">
        <v>2024</v>
      </c>
      <c r="C350" s="123">
        <v>46</v>
      </c>
      <c r="D350" s="164">
        <f>+C350/$J332</f>
        <v>50.772626931567331</v>
      </c>
    </row>
    <row r="351" spans="2:8" hidden="1">
      <c r="B351" s="79">
        <v>2025</v>
      </c>
      <c r="C351" s="123">
        <v>922</v>
      </c>
      <c r="D351" s="164">
        <f>+C351/$J332</f>
        <v>1017.6600441501104</v>
      </c>
    </row>
    <row r="352" spans="2:8" hidden="1">
      <c r="B352" s="79">
        <v>2026</v>
      </c>
      <c r="C352" s="123">
        <v>1263</v>
      </c>
      <c r="D352" s="164">
        <f>+C352/$J332</f>
        <v>1394.0397350993378</v>
      </c>
    </row>
    <row r="353" spans="1:10" hidden="1">
      <c r="B353" s="79">
        <v>2027</v>
      </c>
      <c r="C353" s="123">
        <v>563</v>
      </c>
      <c r="D353" s="164">
        <f>+C353/$J332</f>
        <v>621.41280353200887</v>
      </c>
    </row>
    <row r="354" spans="1:10" hidden="1">
      <c r="B354" s="79">
        <v>2028</v>
      </c>
      <c r="C354" s="123">
        <v>528</v>
      </c>
      <c r="D354" s="164">
        <f>+C354/$J332</f>
        <v>582.78145695364242</v>
      </c>
    </row>
    <row r="355" spans="1:10" hidden="1">
      <c r="B355" s="79" t="s">
        <v>71</v>
      </c>
      <c r="C355" s="123">
        <f>836+841+1515+33+442</f>
        <v>3667</v>
      </c>
      <c r="D355" s="164">
        <f>+C355/$J332</f>
        <v>4047.4613686534217</v>
      </c>
    </row>
    <row r="356" spans="1:10" hidden="1">
      <c r="B356" s="183" t="s">
        <v>18</v>
      </c>
      <c r="C356" s="192">
        <f>+SUM(C349:C355)</f>
        <v>6989</v>
      </c>
      <c r="D356" s="184">
        <f>+SUM(D349:D355)</f>
        <v>7714.1280353200891</v>
      </c>
      <c r="F356" s="82"/>
      <c r="G356" s="159"/>
      <c r="H356" s="159"/>
    </row>
    <row r="357" spans="1:10" hidden="1">
      <c r="B357" s="78"/>
      <c r="C357" s="83"/>
      <c r="D357" s="83"/>
      <c r="F357" s="122"/>
      <c r="G357" s="122"/>
      <c r="H357" s="122"/>
    </row>
    <row r="358" spans="1:10" hidden="1">
      <c r="A358" s="69" t="s">
        <v>82</v>
      </c>
      <c r="I358" s="70" t="s">
        <v>83</v>
      </c>
      <c r="J358" s="71">
        <f>Model!AV204</f>
        <v>1.0569999999999999</v>
      </c>
    </row>
    <row r="359" spans="1:10" hidden="1">
      <c r="I359" s="72" t="s">
        <v>84</v>
      </c>
      <c r="J359" s="71">
        <f>Model!AV205</f>
        <v>0.95712619603812377</v>
      </c>
    </row>
    <row r="360" spans="1:10" hidden="1"/>
    <row r="361" spans="1:10" hidden="1">
      <c r="B361" s="73"/>
      <c r="C361" s="71"/>
      <c r="I361" s="67"/>
    </row>
    <row r="362" spans="1:10" ht="26.25" hidden="1">
      <c r="A362" s="109"/>
      <c r="B362" s="102" t="s">
        <v>85</v>
      </c>
      <c r="C362" s="110" t="s">
        <v>4</v>
      </c>
      <c r="D362" s="110" t="s">
        <v>5</v>
      </c>
      <c r="E362" s="89" t="s">
        <v>6</v>
      </c>
      <c r="F362" s="111" t="s">
        <v>7</v>
      </c>
      <c r="G362" s="201"/>
      <c r="H362" s="201"/>
    </row>
    <row r="363" spans="1:10" hidden="1">
      <c r="B363" s="92" t="s">
        <v>63</v>
      </c>
      <c r="C363" s="85">
        <f>Model!AV126</f>
        <v>462.5</v>
      </c>
      <c r="D363" s="85">
        <f>C363/$J358</f>
        <v>437.55912961210976</v>
      </c>
      <c r="E363" s="75"/>
      <c r="F363" s="91"/>
      <c r="G363" s="202"/>
      <c r="H363" s="202"/>
    </row>
    <row r="364" spans="1:10">
      <c r="B364" s="92" t="s">
        <v>64</v>
      </c>
      <c r="C364" s="85">
        <f>Model!AV127</f>
        <v>6323.7000000000007</v>
      </c>
      <c r="D364" s="85">
        <f>C364/$J358</f>
        <v>5982.6868495742674</v>
      </c>
      <c r="E364" s="75"/>
      <c r="F364" s="91"/>
      <c r="G364" s="202"/>
      <c r="H364" s="202"/>
    </row>
    <row r="365" spans="1:10">
      <c r="B365" s="92"/>
      <c r="C365" s="85"/>
      <c r="D365" s="85"/>
      <c r="E365" s="75"/>
      <c r="F365" s="91"/>
      <c r="G365" s="202"/>
      <c r="H365" s="202"/>
    </row>
    <row r="366" spans="1:10">
      <c r="B366" s="93" t="s">
        <v>18</v>
      </c>
      <c r="C366" s="86">
        <f>C363+C364</f>
        <v>6786.2000000000007</v>
      </c>
      <c r="D366" s="86">
        <f>D363+D364</f>
        <v>6420.2459791863776</v>
      </c>
      <c r="E366" s="76">
        <f>C366/C371</f>
        <v>15.12905915452766</v>
      </c>
      <c r="F366" s="94">
        <f>D366/D371</f>
        <v>13.699544785438801</v>
      </c>
      <c r="G366" s="203"/>
      <c r="H366" s="203"/>
    </row>
    <row r="367" spans="1:10">
      <c r="B367" s="92" t="s">
        <v>19</v>
      </c>
      <c r="C367" s="85">
        <f>Model!AV130</f>
        <v>868.5</v>
      </c>
      <c r="D367" s="85">
        <f>C367/$J358</f>
        <v>821.66508987701047</v>
      </c>
      <c r="E367" s="95"/>
      <c r="F367" s="96"/>
      <c r="G367" s="204"/>
      <c r="H367" s="204"/>
    </row>
    <row r="368" spans="1:10">
      <c r="B368" s="93" t="s">
        <v>20</v>
      </c>
      <c r="C368" s="86">
        <f>C366-C367</f>
        <v>5917.7000000000007</v>
      </c>
      <c r="D368" s="86">
        <f>D366-D367</f>
        <v>5598.5808893093672</v>
      </c>
      <c r="E368" s="76">
        <f>C368/C371</f>
        <v>13.192837428715384</v>
      </c>
      <c r="F368" s="94">
        <f>D368/D371</f>
        <v>11.946272756003536</v>
      </c>
      <c r="G368" s="203"/>
      <c r="H368" s="203"/>
    </row>
    <row r="369" spans="1:10">
      <c r="B369" s="90" t="s">
        <v>21</v>
      </c>
      <c r="C369" s="87">
        <f>Model!AV134</f>
        <v>5915.5</v>
      </c>
      <c r="D369" s="85">
        <f>C369/$J358</f>
        <v>5596.4995269631036</v>
      </c>
      <c r="E369" s="77"/>
      <c r="F369" s="97"/>
      <c r="G369" s="205"/>
      <c r="H369" s="205"/>
    </row>
    <row r="370" spans="1:10">
      <c r="B370" s="90" t="s">
        <v>22</v>
      </c>
      <c r="C370" s="88">
        <f>C368+C369</f>
        <v>11833.2</v>
      </c>
      <c r="D370" s="85">
        <f>C370/$J358</f>
        <v>11195.080416272471</v>
      </c>
      <c r="E370" s="77"/>
      <c r="F370" s="97"/>
      <c r="G370" s="205"/>
      <c r="H370" s="205"/>
    </row>
    <row r="371" spans="1:10">
      <c r="B371" s="98" t="s">
        <v>23</v>
      </c>
      <c r="C371" s="99">
        <f>Model!AV$110</f>
        <v>448.55400000000003</v>
      </c>
      <c r="D371" s="182">
        <f>C371/$J359</f>
        <v>468.64666525346411</v>
      </c>
      <c r="E371" s="100"/>
      <c r="F371" s="101"/>
      <c r="G371" s="205"/>
      <c r="H371" s="205"/>
    </row>
    <row r="372" spans="1:10">
      <c r="B372" s="78" t="s">
        <v>24</v>
      </c>
      <c r="C372" s="84">
        <f>+C366-Model!AV128</f>
        <v>0</v>
      </c>
    </row>
    <row r="373" spans="1:10">
      <c r="E373" s="67"/>
    </row>
    <row r="374" spans="1:10">
      <c r="B374" s="185" t="s">
        <v>86</v>
      </c>
      <c r="C374" s="89" t="s">
        <v>27</v>
      </c>
      <c r="D374" s="89" t="s">
        <v>28</v>
      </c>
    </row>
    <row r="375" spans="1:10">
      <c r="B375" s="79">
        <v>2023</v>
      </c>
      <c r="C375" s="123">
        <v>438</v>
      </c>
      <c r="D375" s="164">
        <f>+C375/$J358</f>
        <v>414.38032166508992</v>
      </c>
    </row>
    <row r="376" spans="1:10">
      <c r="B376" s="79">
        <v>2024</v>
      </c>
      <c r="C376" s="123">
        <v>582</v>
      </c>
      <c r="D376" s="164">
        <f>+C376/$J358</f>
        <v>550.61494796594138</v>
      </c>
    </row>
    <row r="377" spans="1:10">
      <c r="B377" s="79">
        <v>2025</v>
      </c>
      <c r="C377" s="123">
        <v>1581</v>
      </c>
      <c r="D377" s="164">
        <f>+C377/$J358</f>
        <v>1495.7426679280984</v>
      </c>
    </row>
    <row r="378" spans="1:10">
      <c r="B378" s="79">
        <v>2026</v>
      </c>
      <c r="C378" s="123">
        <v>559</v>
      </c>
      <c r="D378" s="164">
        <f>+C378/$J358</f>
        <v>528.85525070955532</v>
      </c>
    </row>
    <row r="379" spans="1:10">
      <c r="B379" s="79">
        <v>2027</v>
      </c>
      <c r="C379" s="123">
        <v>227</v>
      </c>
      <c r="D379" s="164">
        <f>+C379/$J358</f>
        <v>214.75875118259225</v>
      </c>
    </row>
    <row r="380" spans="1:10">
      <c r="B380" s="79">
        <v>2028</v>
      </c>
      <c r="C380" s="123">
        <v>714</v>
      </c>
      <c r="D380" s="164">
        <f>+C380/$J358</f>
        <v>675.49668874172187</v>
      </c>
    </row>
    <row r="381" spans="1:10">
      <c r="B381" s="79" t="s">
        <v>71</v>
      </c>
      <c r="C381" s="123">
        <f>712+1522+33+443</f>
        <v>2710</v>
      </c>
      <c r="D381" s="164">
        <f>+C381/$J358</f>
        <v>2563.8599810785245</v>
      </c>
    </row>
    <row r="382" spans="1:10">
      <c r="B382" s="183" t="s">
        <v>18</v>
      </c>
      <c r="C382" s="184">
        <f>+SUM(C375:C381)</f>
        <v>6811</v>
      </c>
      <c r="D382" s="184">
        <f>+SUM(D375:D381)</f>
        <v>6443.7086092715235</v>
      </c>
      <c r="F382" s="82"/>
      <c r="G382" s="159"/>
      <c r="H382" s="159"/>
    </row>
    <row r="383" spans="1:10">
      <c r="B383" s="78"/>
      <c r="C383" s="83"/>
      <c r="D383" s="83"/>
      <c r="F383" s="122"/>
      <c r="G383" s="122"/>
      <c r="H383" s="122"/>
    </row>
    <row r="384" spans="1:10">
      <c r="A384" s="69" t="s">
        <v>87</v>
      </c>
      <c r="I384" s="70" t="s">
        <v>88</v>
      </c>
      <c r="J384" s="71">
        <f>Model!AU204</f>
        <v>0.92010000000000003</v>
      </c>
    </row>
    <row r="385" spans="1:10">
      <c r="I385" s="72" t="s">
        <v>89</v>
      </c>
      <c r="J385" s="71">
        <f>Model!AU205</f>
        <v>0.94347566624261991</v>
      </c>
    </row>
    <row r="387" spans="1:10">
      <c r="B387" s="73"/>
      <c r="C387" s="71"/>
      <c r="I387" s="67"/>
    </row>
    <row r="388" spans="1:10" ht="26.25">
      <c r="A388" s="109"/>
      <c r="B388" s="102" t="s">
        <v>90</v>
      </c>
      <c r="C388" s="110" t="s">
        <v>4</v>
      </c>
      <c r="D388" s="110" t="s">
        <v>5</v>
      </c>
      <c r="E388" s="89" t="s">
        <v>6</v>
      </c>
      <c r="F388" s="111" t="s">
        <v>7</v>
      </c>
      <c r="G388" s="201"/>
      <c r="H388" s="201"/>
    </row>
    <row r="389" spans="1:10">
      <c r="B389" s="92" t="s">
        <v>63</v>
      </c>
      <c r="C389" s="85">
        <f>Model!AU126</f>
        <v>450.6</v>
      </c>
      <c r="D389" s="85">
        <f>C389/$J384</f>
        <v>489.7293772416042</v>
      </c>
      <c r="E389" s="75"/>
      <c r="F389" s="91"/>
      <c r="G389" s="202"/>
      <c r="H389" s="202"/>
    </row>
    <row r="390" spans="1:10">
      <c r="B390" s="92" t="s">
        <v>64</v>
      </c>
      <c r="C390" s="85">
        <f>Model!AU127</f>
        <v>5945.9</v>
      </c>
      <c r="D390" s="85">
        <f>C390/$J384</f>
        <v>6462.2323660471684</v>
      </c>
      <c r="E390" s="75"/>
      <c r="F390" s="91"/>
      <c r="G390" s="202"/>
      <c r="H390" s="202"/>
    </row>
    <row r="391" spans="1:10">
      <c r="B391" s="92"/>
      <c r="C391" s="85"/>
      <c r="D391" s="85"/>
      <c r="E391" s="75"/>
      <c r="F391" s="91"/>
      <c r="G391" s="202"/>
      <c r="H391" s="202"/>
    </row>
    <row r="392" spans="1:10" hidden="1">
      <c r="B392" s="93" t="s">
        <v>18</v>
      </c>
      <c r="C392" s="86">
        <f>C389+C390</f>
        <v>6396.5</v>
      </c>
      <c r="D392" s="86">
        <f>D389+D390</f>
        <v>6951.9617432887726</v>
      </c>
      <c r="E392" s="76">
        <f>C392/C397</f>
        <v>14.809249732593086</v>
      </c>
      <c r="F392" s="94">
        <f>D392/D397</f>
        <v>15.185487184014347</v>
      </c>
      <c r="G392" s="203"/>
      <c r="H392" s="203"/>
    </row>
    <row r="393" spans="1:10" hidden="1">
      <c r="B393" s="92" t="s">
        <v>19</v>
      </c>
      <c r="C393" s="85">
        <f>Model!AU130</f>
        <v>687.6</v>
      </c>
      <c r="D393" s="85">
        <f>C393/$J384</f>
        <v>747.31007499184875</v>
      </c>
      <c r="E393" s="95"/>
      <c r="F393" s="96"/>
      <c r="G393" s="204"/>
      <c r="H393" s="204"/>
    </row>
    <row r="394" spans="1:10" hidden="1">
      <c r="B394" s="93" t="s">
        <v>20</v>
      </c>
      <c r="C394" s="86">
        <f>C392-C393</f>
        <v>5708.9</v>
      </c>
      <c r="D394" s="86">
        <f>D392-D393</f>
        <v>6204.6516682969241</v>
      </c>
      <c r="E394" s="76">
        <f>C394/C397</f>
        <v>13.217310372610124</v>
      </c>
      <c r="F394" s="94">
        <f>D394/D397</f>
        <v>13.55310369496123</v>
      </c>
      <c r="G394" s="203"/>
      <c r="H394" s="203"/>
    </row>
    <row r="395" spans="1:10" hidden="1">
      <c r="B395" s="90" t="s">
        <v>21</v>
      </c>
      <c r="C395" s="87">
        <f>Model!AU134</f>
        <v>5681.8</v>
      </c>
      <c r="D395" s="85">
        <f>C395/$J384</f>
        <v>6175.1983480056515</v>
      </c>
      <c r="E395" s="77"/>
      <c r="F395" s="97"/>
      <c r="G395" s="205"/>
      <c r="H395" s="205"/>
    </row>
    <row r="396" spans="1:10" hidden="1">
      <c r="B396" s="90" t="s">
        <v>22</v>
      </c>
      <c r="C396" s="88">
        <f>C394+C395</f>
        <v>11390.7</v>
      </c>
      <c r="D396" s="85">
        <f>C396/$J384</f>
        <v>12379.850016302576</v>
      </c>
      <c r="E396" s="77"/>
      <c r="F396" s="97"/>
      <c r="G396" s="205"/>
      <c r="H396" s="205"/>
    </row>
    <row r="397" spans="1:10" hidden="1">
      <c r="B397" s="98" t="s">
        <v>23</v>
      </c>
      <c r="C397" s="99">
        <f>Model!AU110</f>
        <v>431.92599999999993</v>
      </c>
      <c r="D397" s="182">
        <f>C397/$J385</f>
        <v>457.80301014030374</v>
      </c>
      <c r="E397" s="100"/>
      <c r="F397" s="101"/>
      <c r="G397" s="205"/>
      <c r="H397" s="205"/>
    </row>
    <row r="398" spans="1:10" hidden="1">
      <c r="B398" s="78" t="s">
        <v>24</v>
      </c>
      <c r="C398" s="84">
        <f>+C392-Model!AU128</f>
        <v>0</v>
      </c>
    </row>
    <row r="399" spans="1:10" hidden="1">
      <c r="E399" s="67"/>
    </row>
    <row r="400" spans="1:10" hidden="1">
      <c r="B400" s="185" t="s">
        <v>91</v>
      </c>
      <c r="C400" s="89" t="s">
        <v>27</v>
      </c>
      <c r="D400" s="89" t="s">
        <v>28</v>
      </c>
    </row>
    <row r="401" spans="2:8" hidden="1">
      <c r="B401" s="79">
        <v>2023</v>
      </c>
      <c r="C401" s="123">
        <v>430</v>
      </c>
      <c r="D401" s="164">
        <f>+C401/$J384</f>
        <v>467.3405064666884</v>
      </c>
    </row>
    <row r="402" spans="2:8" hidden="1">
      <c r="B402" s="79">
        <v>2024</v>
      </c>
      <c r="C402" s="123">
        <v>543</v>
      </c>
      <c r="D402" s="164">
        <f>+C402/$J384</f>
        <v>590.15324421258561</v>
      </c>
    </row>
    <row r="403" spans="2:8" hidden="1">
      <c r="B403" s="79">
        <v>2025</v>
      </c>
      <c r="C403" s="123">
        <v>1112</v>
      </c>
      <c r="D403" s="164">
        <f>+C403/$J384</f>
        <v>1208.5642864905988</v>
      </c>
    </row>
    <row r="404" spans="2:8" hidden="1">
      <c r="B404" s="79">
        <v>2026</v>
      </c>
      <c r="C404" s="123">
        <v>1039</v>
      </c>
      <c r="D404" s="164">
        <f>+C404/$J384</f>
        <v>1129.225084229975</v>
      </c>
    </row>
    <row r="405" spans="2:8" hidden="1">
      <c r="B405" s="79">
        <v>2027</v>
      </c>
      <c r="C405" s="123">
        <v>156</v>
      </c>
      <c r="D405" s="164">
        <f>+C405/$J384</f>
        <v>169.54678839256601</v>
      </c>
    </row>
    <row r="406" spans="2:8">
      <c r="B406" s="79">
        <v>2028</v>
      </c>
      <c r="C406" s="123">
        <v>655</v>
      </c>
      <c r="D406" s="164">
        <f>+C406/$J384</f>
        <v>711.87914357135094</v>
      </c>
    </row>
    <row r="407" spans="2:8">
      <c r="B407" s="79" t="s">
        <v>71</v>
      </c>
      <c r="C407" s="123">
        <f>565+44+1461+415</f>
        <v>2485</v>
      </c>
      <c r="D407" s="164">
        <f>+C407/$J384</f>
        <v>2700.793392022606</v>
      </c>
    </row>
    <row r="408" spans="2:8">
      <c r="B408" s="183" t="s">
        <v>18</v>
      </c>
      <c r="C408" s="184">
        <f>+SUM(C401:C407)</f>
        <v>6420</v>
      </c>
      <c r="D408" s="184">
        <f>+SUM(D401:D407)</f>
        <v>6977.5024453863707</v>
      </c>
      <c r="F408" s="82"/>
      <c r="G408" s="159"/>
      <c r="H408" s="159"/>
    </row>
    <row r="409" spans="2:8">
      <c r="B409" s="78"/>
      <c r="C409" s="83"/>
      <c r="D409" s="83"/>
      <c r="F409" s="122"/>
      <c r="G409" s="122"/>
      <c r="H409" s="122"/>
    </row>
    <row r="410" spans="2:8">
      <c r="B410" s="132" t="s">
        <v>92</v>
      </c>
      <c r="C410" s="132" t="s">
        <v>93</v>
      </c>
      <c r="D410" s="125" t="s">
        <v>94</v>
      </c>
    </row>
    <row r="411" spans="2:8">
      <c r="B411" s="79" t="s">
        <v>95</v>
      </c>
      <c r="C411" s="158"/>
      <c r="D411" s="80">
        <f>+C411/$J384</f>
        <v>0</v>
      </c>
    </row>
    <row r="412" spans="2:8">
      <c r="B412" s="79" t="s">
        <v>96</v>
      </c>
      <c r="C412" s="158"/>
      <c r="D412" s="80">
        <f>+C412/$J384</f>
        <v>0</v>
      </c>
    </row>
    <row r="413" spans="2:8">
      <c r="B413" s="79" t="s">
        <v>97</v>
      </c>
      <c r="C413" s="158"/>
      <c r="D413" s="80">
        <f>+C413/$J384</f>
        <v>0</v>
      </c>
    </row>
    <row r="414" spans="2:8">
      <c r="B414" s="79" t="s">
        <v>98</v>
      </c>
      <c r="C414" s="158"/>
      <c r="D414" s="80">
        <f>+C414/$J384</f>
        <v>0</v>
      </c>
    </row>
    <row r="415" spans="2:8">
      <c r="B415" s="79" t="s">
        <v>99</v>
      </c>
      <c r="C415" s="158"/>
      <c r="D415" s="80">
        <f>+C415/$J384</f>
        <v>0</v>
      </c>
    </row>
    <row r="416" spans="2:8">
      <c r="B416" s="81" t="s">
        <v>18</v>
      </c>
      <c r="C416" s="159">
        <f>SUM(C411:C415)</f>
        <v>0</v>
      </c>
      <c r="D416" s="82">
        <f>+SUM(D411:D415)</f>
        <v>0</v>
      </c>
    </row>
    <row r="426" spans="1:10">
      <c r="A426" s="69" t="s">
        <v>100</v>
      </c>
      <c r="I426" s="70" t="s">
        <v>101</v>
      </c>
      <c r="J426" s="71">
        <f>Model!AT204</f>
        <v>0.91700000000000004</v>
      </c>
    </row>
    <row r="427" spans="1:10">
      <c r="I427" s="72" t="s">
        <v>102</v>
      </c>
      <c r="J427" s="71">
        <f>Model!AT205</f>
        <v>0.9486756662426199</v>
      </c>
    </row>
    <row r="429" spans="1:10">
      <c r="B429" s="73"/>
      <c r="C429" s="71"/>
      <c r="I429" s="67"/>
    </row>
    <row r="430" spans="1:10" ht="26.25">
      <c r="A430" s="109"/>
      <c r="B430" s="102" t="s">
        <v>103</v>
      </c>
      <c r="C430" s="110" t="s">
        <v>4</v>
      </c>
      <c r="D430" s="110" t="s">
        <v>5</v>
      </c>
      <c r="E430" s="89" t="s">
        <v>6</v>
      </c>
      <c r="F430" s="111" t="s">
        <v>7</v>
      </c>
      <c r="G430" s="201"/>
      <c r="H430" s="201"/>
    </row>
    <row r="431" spans="1:10">
      <c r="B431" s="92" t="s">
        <v>63</v>
      </c>
      <c r="C431" s="85">
        <f>Model!AT126</f>
        <v>448.25900000000001</v>
      </c>
      <c r="D431" s="85">
        <f>C431/$J426</f>
        <v>488.83206106870227</v>
      </c>
      <c r="E431" s="75"/>
      <c r="F431" s="91"/>
      <c r="G431" s="202"/>
      <c r="H431" s="202"/>
    </row>
    <row r="432" spans="1:10">
      <c r="B432" s="92" t="s">
        <v>64</v>
      </c>
      <c r="C432" s="85">
        <f>Model!AT127</f>
        <v>5675.0889999999999</v>
      </c>
      <c r="D432" s="85">
        <f>C432/$J426</f>
        <v>6188.7557251908393</v>
      </c>
      <c r="E432" s="75"/>
      <c r="F432" s="91"/>
      <c r="G432" s="202"/>
      <c r="H432" s="202"/>
    </row>
    <row r="433" spans="2:8">
      <c r="B433" s="92"/>
      <c r="C433" s="85"/>
      <c r="D433" s="85"/>
      <c r="E433" s="75"/>
      <c r="F433" s="91"/>
      <c r="G433" s="202"/>
      <c r="H433" s="202"/>
    </row>
    <row r="434" spans="2:8">
      <c r="B434" s="93" t="s">
        <v>18</v>
      </c>
      <c r="C434" s="86">
        <f>C431+C432</f>
        <v>6123.348</v>
      </c>
      <c r="D434" s="86">
        <f>D431+D432</f>
        <v>6677.5877862595416</v>
      </c>
      <c r="E434" s="76">
        <f>C434/C439</f>
        <v>15.655331279481514</v>
      </c>
      <c r="F434" s="94">
        <f>D434/D439</f>
        <v>16.196108867841932</v>
      </c>
      <c r="G434" s="203"/>
      <c r="H434" s="203"/>
    </row>
    <row r="435" spans="2:8">
      <c r="B435" s="92" t="s">
        <v>19</v>
      </c>
      <c r="C435" s="85">
        <f>Model!AT130</f>
        <v>612.01</v>
      </c>
      <c r="D435" s="85">
        <f>C435/$J426</f>
        <v>667.40458015267177</v>
      </c>
      <c r="E435" s="95"/>
      <c r="F435" s="96"/>
      <c r="G435" s="204"/>
      <c r="H435" s="204"/>
    </row>
    <row r="436" spans="2:8">
      <c r="B436" s="93" t="s">
        <v>20</v>
      </c>
      <c r="C436" s="86">
        <f>C434-C435</f>
        <v>5511.3379999999997</v>
      </c>
      <c r="D436" s="86">
        <f>D434-D435</f>
        <v>6010.1832061068699</v>
      </c>
      <c r="E436" s="76">
        <f>C436/C439</f>
        <v>14.090628555358128</v>
      </c>
      <c r="F436" s="94">
        <f>D436/D439</f>
        <v>14.577357069282069</v>
      </c>
      <c r="G436" s="203"/>
      <c r="H436" s="203"/>
    </row>
    <row r="437" spans="2:8">
      <c r="B437" s="90" t="s">
        <v>21</v>
      </c>
      <c r="C437" s="87">
        <f>Model!AT134</f>
        <v>5508.5969999999998</v>
      </c>
      <c r="D437" s="85">
        <f>C437/$J426</f>
        <v>6007.1941112322784</v>
      </c>
      <c r="E437" s="77"/>
      <c r="F437" s="97"/>
      <c r="G437" s="205"/>
      <c r="H437" s="205"/>
    </row>
    <row r="438" spans="2:8">
      <c r="B438" s="90" t="s">
        <v>22</v>
      </c>
      <c r="C438" s="88">
        <f>C436+C437</f>
        <v>11019.934999999999</v>
      </c>
      <c r="D438" s="85">
        <f>C438/$J426</f>
        <v>12017.377317339149</v>
      </c>
      <c r="E438" s="77"/>
      <c r="F438" s="97"/>
      <c r="G438" s="205"/>
      <c r="H438" s="205"/>
    </row>
    <row r="439" spans="2:8">
      <c r="B439" s="98" t="s">
        <v>23</v>
      </c>
      <c r="C439" s="99">
        <f>Model!AT110</f>
        <v>391.13499999999988</v>
      </c>
      <c r="D439" s="182">
        <f>C439/$J427</f>
        <v>412.29580763798015</v>
      </c>
      <c r="E439" s="100"/>
      <c r="F439" s="101"/>
      <c r="G439" s="205"/>
      <c r="H439" s="205"/>
    </row>
    <row r="440" spans="2:8">
      <c r="B440" s="78" t="s">
        <v>24</v>
      </c>
      <c r="C440" s="84">
        <f>+C434-Model!AT128</f>
        <v>0</v>
      </c>
    </row>
    <row r="441" spans="2:8">
      <c r="E441" s="67"/>
    </row>
    <row r="442" spans="2:8">
      <c r="B442" s="185" t="s">
        <v>104</v>
      </c>
      <c r="C442" s="89" t="s">
        <v>27</v>
      </c>
      <c r="D442" s="89" t="s">
        <v>28</v>
      </c>
    </row>
    <row r="443" spans="2:8">
      <c r="B443" s="79">
        <v>2023</v>
      </c>
      <c r="C443" s="123">
        <v>430</v>
      </c>
      <c r="D443" s="164">
        <f>+C443/$J426</f>
        <v>468.92039258451473</v>
      </c>
    </row>
    <row r="444" spans="2:8">
      <c r="B444" s="79">
        <v>2024</v>
      </c>
      <c r="C444" s="123">
        <v>36</v>
      </c>
      <c r="D444" s="164">
        <f>+C444/$J426</f>
        <v>39.258451472191929</v>
      </c>
    </row>
    <row r="445" spans="2:8">
      <c r="B445" s="79">
        <v>2025</v>
      </c>
      <c r="C445" s="123">
        <v>1620</v>
      </c>
      <c r="D445" s="164">
        <f>+C445/$J426</f>
        <v>1766.6303162486367</v>
      </c>
    </row>
    <row r="446" spans="2:8">
      <c r="B446" s="79">
        <v>2026</v>
      </c>
      <c r="C446" s="123">
        <v>1040</v>
      </c>
      <c r="D446" s="164">
        <f>+C446/$J426</f>
        <v>1134.1330425299891</v>
      </c>
    </row>
    <row r="447" spans="2:8">
      <c r="B447" s="79">
        <v>2027</v>
      </c>
      <c r="C447" s="123">
        <v>35</v>
      </c>
      <c r="D447" s="164">
        <f>+C447/$J426</f>
        <v>38.167938931297705</v>
      </c>
    </row>
    <row r="448" spans="2:8">
      <c r="B448" s="79">
        <v>2028</v>
      </c>
      <c r="C448" s="123">
        <v>150</v>
      </c>
      <c r="D448" s="164">
        <f>+C448/$J426</f>
        <v>163.57688113413303</v>
      </c>
    </row>
    <row r="449" spans="2:8">
      <c r="B449" s="79" t="s">
        <v>71</v>
      </c>
      <c r="C449" s="123">
        <f>915+22+1486+416</f>
        <v>2839</v>
      </c>
      <c r="D449" s="164">
        <f>+C449/$J426</f>
        <v>3095.9651035986913</v>
      </c>
    </row>
    <row r="450" spans="2:8">
      <c r="B450" s="183" t="s">
        <v>18</v>
      </c>
      <c r="C450" s="184">
        <f>+SUM(C443:C449)</f>
        <v>6150</v>
      </c>
      <c r="D450" s="184">
        <f>+SUM(D443:D449)</f>
        <v>6706.6521264994553</v>
      </c>
      <c r="F450" s="82"/>
      <c r="G450" s="159"/>
      <c r="H450" s="159"/>
    </row>
    <row r="451" spans="2:8">
      <c r="B451" s="78"/>
      <c r="C451" s="83"/>
      <c r="D451" s="83"/>
      <c r="F451" s="122"/>
      <c r="G451" s="122"/>
      <c r="H451" s="122"/>
    </row>
    <row r="452" spans="2:8">
      <c r="B452" s="132" t="s">
        <v>92</v>
      </c>
      <c r="C452" s="132" t="s">
        <v>93</v>
      </c>
      <c r="D452" s="125" t="s">
        <v>94</v>
      </c>
    </row>
    <row r="453" spans="2:8">
      <c r="B453" s="79" t="s">
        <v>95</v>
      </c>
      <c r="C453" s="158"/>
      <c r="D453" s="80">
        <f>+C453/$J426</f>
        <v>0</v>
      </c>
    </row>
    <row r="454" spans="2:8">
      <c r="B454" s="79" t="s">
        <v>96</v>
      </c>
      <c r="C454" s="158"/>
      <c r="D454" s="80">
        <f>+C454/$J426</f>
        <v>0</v>
      </c>
    </row>
    <row r="455" spans="2:8">
      <c r="B455" s="79" t="s">
        <v>97</v>
      </c>
      <c r="C455" s="158"/>
      <c r="D455" s="80">
        <f>+C455/$J426</f>
        <v>0</v>
      </c>
    </row>
    <row r="456" spans="2:8">
      <c r="B456" s="79" t="s">
        <v>98</v>
      </c>
      <c r="C456" s="158"/>
      <c r="D456" s="80">
        <f>+C456/$J426</f>
        <v>0</v>
      </c>
    </row>
    <row r="457" spans="2:8">
      <c r="B457" s="79" t="s">
        <v>99</v>
      </c>
      <c r="C457" s="158"/>
      <c r="D457" s="80">
        <f>+C457/$J426</f>
        <v>0</v>
      </c>
    </row>
    <row r="458" spans="2:8">
      <c r="B458" s="81" t="s">
        <v>18</v>
      </c>
      <c r="C458" s="159">
        <f>SUM(C453:C457)</f>
        <v>0</v>
      </c>
      <c r="D458" s="82">
        <f>+SUM(D453:D457)</f>
        <v>0</v>
      </c>
    </row>
    <row r="468" spans="1:10">
      <c r="A468" s="69" t="s">
        <v>105</v>
      </c>
      <c r="I468" s="70" t="s">
        <v>106</v>
      </c>
      <c r="J468" s="71">
        <f>Model!AS204</f>
        <v>0.93440478415249484</v>
      </c>
    </row>
    <row r="469" spans="1:10">
      <c r="I469" s="72" t="s">
        <v>107</v>
      </c>
      <c r="J469" s="71">
        <f>Model!AS205</f>
        <v>0.93970066624261994</v>
      </c>
    </row>
    <row r="471" spans="1:10">
      <c r="B471" s="73"/>
      <c r="C471" s="71"/>
      <c r="I471" s="67"/>
    </row>
    <row r="472" spans="1:10" ht="26.25">
      <c r="A472" s="109"/>
      <c r="B472" s="102" t="s">
        <v>108</v>
      </c>
      <c r="C472" s="110" t="s">
        <v>4</v>
      </c>
      <c r="D472" s="110" t="s">
        <v>5</v>
      </c>
      <c r="E472" s="89" t="s">
        <v>6</v>
      </c>
      <c r="F472" s="111" t="s">
        <v>7</v>
      </c>
      <c r="G472" s="201"/>
      <c r="H472" s="201"/>
    </row>
    <row r="473" spans="1:10">
      <c r="B473" s="92" t="s">
        <v>63</v>
      </c>
      <c r="C473" s="85">
        <f>Model!AS126</f>
        <v>442.29200000000003</v>
      </c>
      <c r="D473" s="85">
        <f>C473/$J468</f>
        <v>473.34089840000007</v>
      </c>
      <c r="E473" s="75"/>
      <c r="F473" s="91"/>
      <c r="G473" s="202"/>
      <c r="H473" s="202"/>
    </row>
    <row r="474" spans="1:10">
      <c r="B474" s="92" t="s">
        <v>64</v>
      </c>
      <c r="C474" s="85">
        <f>Model!AS127</f>
        <v>5431.9169999999995</v>
      </c>
      <c r="D474" s="85">
        <f>C474/$J468</f>
        <v>5813.2375733999997</v>
      </c>
      <c r="E474" s="75"/>
      <c r="F474" s="91"/>
      <c r="G474" s="202"/>
      <c r="H474" s="202"/>
    </row>
    <row r="475" spans="1:10">
      <c r="B475" s="92"/>
      <c r="C475" s="85"/>
      <c r="D475" s="85"/>
      <c r="E475" s="75"/>
      <c r="F475" s="91"/>
      <c r="G475" s="202"/>
      <c r="H475" s="202"/>
    </row>
    <row r="476" spans="1:10">
      <c r="B476" s="93" t="s">
        <v>18</v>
      </c>
      <c r="C476" s="86">
        <f>C473+C474</f>
        <v>5874.2089999999998</v>
      </c>
      <c r="D476" s="86">
        <f>D473+D474</f>
        <v>6286.5784717999995</v>
      </c>
      <c r="E476" s="76">
        <f>C476/C481</f>
        <v>15.831996528620019</v>
      </c>
      <c r="F476" s="94">
        <f>D476/D481</f>
        <v>15.921726791444911</v>
      </c>
      <c r="G476" s="203"/>
      <c r="H476" s="203"/>
    </row>
    <row r="477" spans="1:10">
      <c r="B477" s="92" t="s">
        <v>19</v>
      </c>
      <c r="C477" s="85">
        <f>Model!AS130</f>
        <v>660.63099999999997</v>
      </c>
      <c r="D477" s="85">
        <f>C477/$J468</f>
        <v>707.00729620000004</v>
      </c>
      <c r="E477" s="95"/>
      <c r="F477" s="96"/>
      <c r="G477" s="204"/>
      <c r="H477" s="204"/>
    </row>
    <row r="478" spans="1:10">
      <c r="B478" s="93" t="s">
        <v>20</v>
      </c>
      <c r="C478" s="86">
        <f>C476-C477</f>
        <v>5213.5779999999995</v>
      </c>
      <c r="D478" s="86">
        <f>D476-D477</f>
        <v>5579.5711755999992</v>
      </c>
      <c r="E478" s="76">
        <f>C478/C481</f>
        <v>14.051483152487371</v>
      </c>
      <c r="F478" s="94">
        <f>D478/D481</f>
        <v>14.131122083311604</v>
      </c>
      <c r="G478" s="203"/>
      <c r="H478" s="203"/>
    </row>
    <row r="479" spans="1:10">
      <c r="B479" s="90" t="s">
        <v>21</v>
      </c>
      <c r="C479" s="87">
        <f>Model!AS134</f>
        <v>5284.5169999999998</v>
      </c>
      <c r="D479" s="85">
        <f>C479/$J468</f>
        <v>5655.4900933999998</v>
      </c>
      <c r="E479" s="77"/>
      <c r="F479" s="97"/>
      <c r="G479" s="205"/>
      <c r="H479" s="205"/>
    </row>
    <row r="480" spans="1:10">
      <c r="B480" s="90" t="s">
        <v>22</v>
      </c>
      <c r="C480" s="88">
        <f>C478+C479</f>
        <v>10498.094999999999</v>
      </c>
      <c r="D480" s="85">
        <f>C480/$J468</f>
        <v>11235.061269</v>
      </c>
      <c r="E480" s="77"/>
      <c r="F480" s="97"/>
      <c r="G480" s="205"/>
      <c r="H480" s="205"/>
    </row>
    <row r="481" spans="2:24">
      <c r="B481" s="98" t="s">
        <v>23</v>
      </c>
      <c r="C481" s="99">
        <f>Model!AS110</f>
        <v>371.03399999999999</v>
      </c>
      <c r="D481" s="182">
        <f>C481/$J469</f>
        <v>394.84275506962689</v>
      </c>
      <c r="E481" s="100"/>
      <c r="F481" s="101"/>
      <c r="G481" s="205"/>
      <c r="H481" s="205"/>
    </row>
    <row r="482" spans="2:24">
      <c r="B482" s="78" t="s">
        <v>24</v>
      </c>
      <c r="C482" s="84">
        <f>+C476-Model!AS128</f>
        <v>0</v>
      </c>
    </row>
    <row r="483" spans="2:24">
      <c r="E483" s="67"/>
    </row>
    <row r="484" spans="2:24">
      <c r="B484" s="185" t="s">
        <v>109</v>
      </c>
      <c r="C484" s="89" t="s">
        <v>27</v>
      </c>
      <c r="D484" s="89" t="s">
        <v>28</v>
      </c>
    </row>
    <row r="485" spans="2:24">
      <c r="B485" s="79">
        <v>2023</v>
      </c>
      <c r="C485" s="123">
        <v>425</v>
      </c>
      <c r="D485" s="164">
        <f>+C485/$J468</f>
        <v>454.83500000000004</v>
      </c>
    </row>
    <row r="486" spans="2:24">
      <c r="B486" s="79">
        <v>2024</v>
      </c>
      <c r="C486" s="123">
        <v>29</v>
      </c>
      <c r="D486" s="164">
        <f>+C486/$J468</f>
        <v>31.035800000000002</v>
      </c>
      <c r="X486" s="160">
        <v>44377</v>
      </c>
    </row>
    <row r="487" spans="2:24">
      <c r="B487" s="79">
        <v>2025</v>
      </c>
      <c r="C487" s="123">
        <v>904</v>
      </c>
      <c r="D487" s="164">
        <f>+C487/$J468</f>
        <v>967.46080000000006</v>
      </c>
    </row>
    <row r="488" spans="2:24" ht="21" customHeight="1">
      <c r="B488" s="79">
        <v>2026</v>
      </c>
      <c r="C488" s="123">
        <v>1235</v>
      </c>
      <c r="D488" s="164">
        <f>+C488/$J468</f>
        <v>1321.6970000000001</v>
      </c>
      <c r="X488" t="s">
        <v>110</v>
      </c>
    </row>
    <row r="489" spans="2:24" ht="27" customHeight="1">
      <c r="B489" s="79">
        <v>2027</v>
      </c>
      <c r="C489" s="123">
        <v>524</v>
      </c>
      <c r="D489" s="164">
        <f>+C489/$J468</f>
        <v>560.78480000000002</v>
      </c>
    </row>
    <row r="490" spans="2:24">
      <c r="B490" s="79">
        <v>2028</v>
      </c>
      <c r="C490" s="123">
        <v>146</v>
      </c>
      <c r="D490" s="164">
        <f>+C490/$J468</f>
        <v>156.2492</v>
      </c>
      <c r="X490">
        <f>O525-W490</f>
        <v>0</v>
      </c>
    </row>
    <row r="491" spans="2:24">
      <c r="B491" s="79" t="s">
        <v>71</v>
      </c>
      <c r="C491" s="123">
        <f>708+24+1488+418</f>
        <v>2638</v>
      </c>
      <c r="D491" s="164">
        <f>+C491/$J468</f>
        <v>2823.1876000000002</v>
      </c>
      <c r="X491">
        <f>O526-W491</f>
        <v>0</v>
      </c>
    </row>
    <row r="492" spans="2:24">
      <c r="B492" s="183" t="s">
        <v>18</v>
      </c>
      <c r="C492" s="184">
        <f>+SUM(C485:C491)</f>
        <v>5901</v>
      </c>
      <c r="D492" s="184">
        <f>+SUM(D485:D491)</f>
        <v>6315.2502000000004</v>
      </c>
      <c r="F492" s="82"/>
      <c r="G492" s="159"/>
      <c r="H492" s="159"/>
      <c r="X492">
        <f>O527-W492</f>
        <v>0</v>
      </c>
    </row>
    <row r="493" spans="2:24">
      <c r="B493" s="78"/>
      <c r="C493" s="83"/>
      <c r="D493" s="83"/>
      <c r="F493" s="122"/>
      <c r="G493" s="122"/>
      <c r="H493" s="122"/>
    </row>
    <row r="494" spans="2:24">
      <c r="B494" s="132" t="s">
        <v>92</v>
      </c>
      <c r="C494" s="132" t="s">
        <v>93</v>
      </c>
      <c r="D494" s="125" t="s">
        <v>94</v>
      </c>
      <c r="X494">
        <f>O529-W494</f>
        <v>0</v>
      </c>
    </row>
    <row r="495" spans="2:24">
      <c r="B495" s="79" t="s">
        <v>95</v>
      </c>
      <c r="C495" s="158"/>
      <c r="D495" s="80">
        <f>+C495/$J468</f>
        <v>0</v>
      </c>
      <c r="X495">
        <f>O530-W495</f>
        <v>0</v>
      </c>
    </row>
    <row r="496" spans="2:24">
      <c r="B496" s="79" t="s">
        <v>96</v>
      </c>
      <c r="C496" s="158"/>
      <c r="D496" s="80">
        <f>+C496/$J468</f>
        <v>0</v>
      </c>
    </row>
    <row r="497" spans="1:24">
      <c r="B497" s="79" t="s">
        <v>97</v>
      </c>
      <c r="C497" s="158"/>
      <c r="D497" s="80">
        <f>+C497/$J468</f>
        <v>0</v>
      </c>
      <c r="X497">
        <f>O532-W497</f>
        <v>0</v>
      </c>
    </row>
    <row r="498" spans="1:24">
      <c r="B498" s="79" t="s">
        <v>98</v>
      </c>
      <c r="C498" s="158"/>
      <c r="D498" s="80">
        <f>+C498/$J468</f>
        <v>0</v>
      </c>
      <c r="X498">
        <f>O533-W498</f>
        <v>0</v>
      </c>
    </row>
    <row r="499" spans="1:24">
      <c r="B499" s="79" t="s">
        <v>99</v>
      </c>
      <c r="C499" s="158"/>
      <c r="D499" s="80">
        <f>+C499/$J468</f>
        <v>0</v>
      </c>
    </row>
    <row r="500" spans="1:24">
      <c r="B500" s="81" t="s">
        <v>18</v>
      </c>
      <c r="C500" s="159">
        <f>SUM(C495:C499)</f>
        <v>0</v>
      </c>
      <c r="D500" s="82">
        <f>+SUM(D495:D499)</f>
        <v>0</v>
      </c>
    </row>
    <row r="501" spans="1:24" ht="16.5" customHeight="1"/>
    <row r="502" spans="1:24">
      <c r="X502">
        <f>O537-W502</f>
        <v>0</v>
      </c>
    </row>
    <row r="507" spans="1:24">
      <c r="X507">
        <f>O542-W507</f>
        <v>0</v>
      </c>
    </row>
    <row r="508" spans="1:24">
      <c r="X508">
        <f>O543-W508</f>
        <v>0</v>
      </c>
    </row>
    <row r="509" spans="1:24">
      <c r="X509">
        <f>O544-W509</f>
        <v>0</v>
      </c>
    </row>
    <row r="510" spans="1:24">
      <c r="A510" s="69" t="s">
        <v>111</v>
      </c>
      <c r="I510" s="70" t="s">
        <v>112</v>
      </c>
      <c r="J510" s="71">
        <f>Model!AR204</f>
        <v>1.0169999999999999</v>
      </c>
      <c r="X510">
        <f>O545-W510</f>
        <v>0</v>
      </c>
    </row>
    <row r="511" spans="1:24">
      <c r="I511" s="72" t="s">
        <v>113</v>
      </c>
      <c r="J511" s="71">
        <f>Model!AR205</f>
        <v>0.92876555242786762</v>
      </c>
      <c r="X511">
        <f>O546-W511</f>
        <v>0</v>
      </c>
    </row>
    <row r="513" spans="1:24">
      <c r="B513" s="73"/>
      <c r="C513" s="71"/>
      <c r="I513" s="67"/>
    </row>
    <row r="514" spans="1:24" ht="26.25">
      <c r="A514" s="109"/>
      <c r="B514" s="102" t="s">
        <v>114</v>
      </c>
      <c r="C514" s="110" t="s">
        <v>115</v>
      </c>
      <c r="D514" s="110" t="s">
        <v>5</v>
      </c>
      <c r="E514" s="89" t="s">
        <v>6</v>
      </c>
      <c r="F514" s="111" t="s">
        <v>7</v>
      </c>
      <c r="G514" s="201"/>
      <c r="H514" s="201"/>
    </row>
    <row r="515" spans="1:24">
      <c r="B515" s="92" t="s">
        <v>63</v>
      </c>
      <c r="C515" s="85">
        <f>Model!AR126</f>
        <v>34.989000000000004</v>
      </c>
      <c r="D515" s="85">
        <f>C515/$J$510</f>
        <v>34.404129793510329</v>
      </c>
      <c r="E515" s="75"/>
      <c r="F515" s="91"/>
      <c r="G515" s="202"/>
      <c r="H515" s="202"/>
    </row>
    <row r="516" spans="1:24">
      <c r="B516" s="92" t="s">
        <v>64</v>
      </c>
      <c r="C516" s="85">
        <f>Model!AR127</f>
        <v>5674.1669999999995</v>
      </c>
      <c r="D516" s="85">
        <f>C516/$J$510</f>
        <v>5579.3185840707965</v>
      </c>
      <c r="E516" s="75"/>
      <c r="F516" s="91"/>
      <c r="G516" s="202"/>
      <c r="H516" s="202"/>
    </row>
    <row r="517" spans="1:24">
      <c r="B517" s="92"/>
      <c r="C517" s="85"/>
      <c r="D517" s="85"/>
      <c r="E517" s="75"/>
      <c r="F517" s="91"/>
      <c r="G517" s="202"/>
      <c r="H517" s="202"/>
    </row>
    <row r="518" spans="1:24">
      <c r="B518" s="93" t="s">
        <v>18</v>
      </c>
      <c r="C518" s="86">
        <f>C515+C516</f>
        <v>5709.155999999999</v>
      </c>
      <c r="D518" s="86">
        <f>D515+D516</f>
        <v>5613.7227138643066</v>
      </c>
      <c r="E518" s="76">
        <f>C518/C523</f>
        <v>17.206722162279462</v>
      </c>
      <c r="F518" s="94">
        <f>D518/D523</f>
        <v>15.713874940533254</v>
      </c>
      <c r="G518" s="203"/>
      <c r="H518" s="203"/>
      <c r="X518">
        <f>O552-W518</f>
        <v>0</v>
      </c>
    </row>
    <row r="519" spans="1:24">
      <c r="B519" s="92" t="s">
        <v>19</v>
      </c>
      <c r="C519" s="85">
        <f>Model!AR130</f>
        <v>747.52800000000002</v>
      </c>
      <c r="D519" s="85">
        <f>C519/$J$510</f>
        <v>735.0324483775812</v>
      </c>
      <c r="E519" s="95"/>
      <c r="F519" s="96"/>
      <c r="G519" s="204"/>
      <c r="H519" s="204"/>
      <c r="O519">
        <v>-43.720999999999997</v>
      </c>
      <c r="X519">
        <f>O553-W519</f>
        <v>-43.720999999999997</v>
      </c>
    </row>
    <row r="520" spans="1:24">
      <c r="B520" s="93" t="s">
        <v>20</v>
      </c>
      <c r="C520" s="86">
        <f>C518-C519</f>
        <v>4961.6279999999988</v>
      </c>
      <c r="D520" s="86">
        <f>D518-D519</f>
        <v>4878.6902654867254</v>
      </c>
      <c r="E520" s="76">
        <f>C520/C523</f>
        <v>14.953761023273199</v>
      </c>
      <c r="F520" s="94">
        <f>D520/D523</f>
        <v>13.656379663377235</v>
      </c>
      <c r="G520" s="203"/>
      <c r="H520" s="203"/>
      <c r="X520">
        <f>O554-W520</f>
        <v>-20.29</v>
      </c>
    </row>
    <row r="521" spans="1:24">
      <c r="B521" s="90" t="s">
        <v>21</v>
      </c>
      <c r="C521" s="87">
        <f>Model!AR134</f>
        <v>5096.3779999999997</v>
      </c>
      <c r="D521" s="85">
        <f>C521/$J$510</f>
        <v>5011.1878072763029</v>
      </c>
      <c r="E521" s="77"/>
      <c r="F521" s="97"/>
      <c r="G521" s="205"/>
      <c r="H521" s="205"/>
    </row>
    <row r="522" spans="1:24">
      <c r="B522" s="90" t="s">
        <v>22</v>
      </c>
      <c r="C522" s="88">
        <f>C520+C521</f>
        <v>10058.005999999998</v>
      </c>
      <c r="D522" s="85">
        <f>C522/$J$510</f>
        <v>9889.8780727630274</v>
      </c>
      <c r="E522" s="77"/>
      <c r="F522" s="97"/>
      <c r="G522" s="205"/>
      <c r="H522" s="205"/>
      <c r="X522" s="160">
        <v>44377</v>
      </c>
    </row>
    <row r="523" spans="1:24">
      <c r="B523" s="98" t="s">
        <v>23</v>
      </c>
      <c r="C523" s="99">
        <f>Model!AR110</f>
        <v>331.79799999999989</v>
      </c>
      <c r="D523" s="85">
        <f>C523/$J$511</f>
        <v>357.246238442687</v>
      </c>
      <c r="E523" s="100"/>
      <c r="F523" s="101"/>
      <c r="G523" s="205"/>
      <c r="H523" s="205"/>
    </row>
    <row r="524" spans="1:24" ht="21" customHeight="1">
      <c r="B524" s="78" t="s">
        <v>24</v>
      </c>
      <c r="C524" s="84">
        <f>+C518-Model!AR128</f>
        <v>0</v>
      </c>
      <c r="X524" t="s">
        <v>110</v>
      </c>
    </row>
    <row r="525" spans="1:24" ht="27" customHeight="1">
      <c r="E525" s="67"/>
    </row>
    <row r="526" spans="1:24">
      <c r="B526" s="132" t="s">
        <v>116</v>
      </c>
      <c r="C526" s="132" t="s">
        <v>93</v>
      </c>
      <c r="D526" s="125" t="s">
        <v>94</v>
      </c>
      <c r="X526">
        <f>O560-W526</f>
        <v>0</v>
      </c>
    </row>
    <row r="527" spans="1:24">
      <c r="B527" s="79">
        <v>2022</v>
      </c>
      <c r="C527" s="123">
        <v>25</v>
      </c>
      <c r="D527" s="164">
        <f t="shared" ref="D527:D533" si="2">+C527/$J$510</f>
        <v>24.582104228121931</v>
      </c>
      <c r="X527">
        <f>O561-W527</f>
        <v>0</v>
      </c>
    </row>
    <row r="528" spans="1:24">
      <c r="B528" s="79">
        <v>2023</v>
      </c>
      <c r="C528" s="123">
        <v>430</v>
      </c>
      <c r="D528" s="164">
        <f t="shared" si="2"/>
        <v>422.81219272369719</v>
      </c>
      <c r="X528">
        <f>O562-W528</f>
        <v>0</v>
      </c>
    </row>
    <row r="529" spans="2:24">
      <c r="B529" s="79">
        <v>2024</v>
      </c>
      <c r="C529" s="123">
        <v>574</v>
      </c>
      <c r="D529" s="164">
        <f t="shared" si="2"/>
        <v>564.40511307767952</v>
      </c>
      <c r="K529" s="72"/>
      <c r="L529" s="71"/>
    </row>
    <row r="530" spans="2:24">
      <c r="B530" s="79">
        <v>2025</v>
      </c>
      <c r="C530" s="123">
        <v>1563</v>
      </c>
      <c r="D530" s="164">
        <f t="shared" si="2"/>
        <v>1536.8731563421829</v>
      </c>
      <c r="X530">
        <f>O564-W530</f>
        <v>0</v>
      </c>
    </row>
    <row r="531" spans="2:24">
      <c r="B531" s="79">
        <v>2026</v>
      </c>
      <c r="C531" s="123">
        <v>529</v>
      </c>
      <c r="D531" s="164">
        <f t="shared" si="2"/>
        <v>520.15732546705999</v>
      </c>
      <c r="X531">
        <f>O565-W531</f>
        <v>0</v>
      </c>
    </row>
    <row r="532" spans="2:24">
      <c r="B532" s="79">
        <v>2027</v>
      </c>
      <c r="C532" s="123">
        <v>27</v>
      </c>
      <c r="D532" s="164">
        <f t="shared" si="2"/>
        <v>26.548672566371685</v>
      </c>
    </row>
    <row r="533" spans="2:24">
      <c r="B533" s="79" t="s">
        <v>117</v>
      </c>
      <c r="C533" s="123">
        <f>651+24+1498+423</f>
        <v>2596</v>
      </c>
      <c r="D533" s="164">
        <f t="shared" si="2"/>
        <v>2552.6057030481811</v>
      </c>
      <c r="X533">
        <f>O567-W533</f>
        <v>0</v>
      </c>
    </row>
    <row r="534" spans="2:24">
      <c r="B534" s="81" t="s">
        <v>18</v>
      </c>
      <c r="C534" s="82">
        <f>+SUM(C527:C533)</f>
        <v>5744</v>
      </c>
      <c r="D534" s="82">
        <f>+SUM(D527:D533)</f>
        <v>5647.9842674532947</v>
      </c>
      <c r="F534" s="82"/>
      <c r="G534" s="159"/>
      <c r="H534" s="159"/>
      <c r="X534">
        <f>O568-W534</f>
        <v>0</v>
      </c>
    </row>
    <row r="535" spans="2:24">
      <c r="B535" s="78"/>
      <c r="C535" s="83"/>
      <c r="D535" s="83"/>
      <c r="F535" s="122"/>
      <c r="G535" s="122"/>
      <c r="H535" s="122"/>
    </row>
    <row r="537" spans="2:24" ht="16.5" customHeight="1">
      <c r="B537" s="132" t="s">
        <v>92</v>
      </c>
      <c r="C537" s="132" t="s">
        <v>93</v>
      </c>
      <c r="D537" s="125" t="s">
        <v>94</v>
      </c>
    </row>
    <row r="538" spans="2:24">
      <c r="B538" s="79" t="s">
        <v>95</v>
      </c>
      <c r="C538" s="158"/>
      <c r="D538" s="80">
        <f>+C538/$J$630</f>
        <v>0</v>
      </c>
      <c r="X538">
        <f>O572-W538</f>
        <v>0</v>
      </c>
    </row>
    <row r="539" spans="2:24">
      <c r="B539" s="79" t="s">
        <v>96</v>
      </c>
      <c r="C539" s="158"/>
      <c r="D539" s="80">
        <f>+C539/$J$630</f>
        <v>0</v>
      </c>
    </row>
    <row r="540" spans="2:24">
      <c r="B540" s="79" t="s">
        <v>97</v>
      </c>
      <c r="C540" s="158"/>
      <c r="D540" s="80">
        <f>+C540/$J$630</f>
        <v>0</v>
      </c>
    </row>
    <row r="541" spans="2:24">
      <c r="B541" s="79" t="s">
        <v>98</v>
      </c>
      <c r="C541" s="158"/>
      <c r="D541" s="80">
        <f>+C541/$J$630</f>
        <v>0</v>
      </c>
    </row>
    <row r="542" spans="2:24">
      <c r="B542" s="79" t="s">
        <v>99</v>
      </c>
      <c r="C542" s="158"/>
      <c r="D542" s="80">
        <f>+C542/$J$630</f>
        <v>0</v>
      </c>
    </row>
    <row r="543" spans="2:24">
      <c r="B543" s="81" t="s">
        <v>18</v>
      </c>
      <c r="C543" s="159">
        <f>SUM(C538:C542)</f>
        <v>0</v>
      </c>
      <c r="D543" s="82">
        <f>+SUM(D538:D542)</f>
        <v>0</v>
      </c>
      <c r="X543">
        <f>O577-W543</f>
        <v>0</v>
      </c>
    </row>
    <row r="544" spans="2:24">
      <c r="X544">
        <f>O578-W544</f>
        <v>0</v>
      </c>
    </row>
    <row r="545" spans="1:24">
      <c r="X545">
        <f>O579-W545</f>
        <v>0</v>
      </c>
    </row>
    <row r="546" spans="1:24">
      <c r="X546">
        <f>O580-W546</f>
        <v>0</v>
      </c>
    </row>
    <row r="547" spans="1:24">
      <c r="X547">
        <f>O581-W547</f>
        <v>0</v>
      </c>
    </row>
    <row r="553" spans="1:24">
      <c r="A553" s="69" t="s">
        <v>118</v>
      </c>
      <c r="I553" s="70" t="s">
        <v>119</v>
      </c>
      <c r="J553" s="71">
        <f>Model!AQ204</f>
        <v>0.95760000000000001</v>
      </c>
      <c r="O553">
        <v>-43.720999999999997</v>
      </c>
      <c r="X553">
        <f>O587-W553</f>
        <v>0</v>
      </c>
    </row>
    <row r="554" spans="1:24">
      <c r="I554" s="72" t="s">
        <v>120</v>
      </c>
      <c r="J554" s="71">
        <f>Model!AQ205</f>
        <v>0.89013439468159561</v>
      </c>
      <c r="O554">
        <v>-20.29</v>
      </c>
      <c r="X554">
        <f>O588-W554</f>
        <v>-43.720999999999997</v>
      </c>
    </row>
    <row r="555" spans="1:24">
      <c r="X555">
        <f>O589-W555</f>
        <v>-20.29</v>
      </c>
    </row>
    <row r="556" spans="1:24">
      <c r="B556" s="73"/>
      <c r="C556" s="71"/>
      <c r="I556" s="67"/>
      <c r="X556">
        <f>O590-W556</f>
        <v>6.5309999999999997</v>
      </c>
    </row>
    <row r="557" spans="1:24" ht="26.25">
      <c r="A557" s="109"/>
      <c r="B557" s="102" t="s">
        <v>121</v>
      </c>
      <c r="C557" s="110" t="s">
        <v>115</v>
      </c>
      <c r="D557" s="110" t="s">
        <v>5</v>
      </c>
      <c r="E557" s="89" t="s">
        <v>6</v>
      </c>
      <c r="F557" s="111" t="s">
        <v>7</v>
      </c>
      <c r="G557" s="201"/>
      <c r="H557" s="201"/>
    </row>
    <row r="558" spans="1:24">
      <c r="B558" s="92" t="s">
        <v>63</v>
      </c>
      <c r="C558" s="85">
        <f>Model!AQ126</f>
        <v>40.28</v>
      </c>
      <c r="D558" s="85">
        <f>C558/$J$553</f>
        <v>42.063492063492063</v>
      </c>
      <c r="E558" s="75"/>
      <c r="F558" s="91"/>
      <c r="G558" s="202"/>
      <c r="H558" s="202"/>
    </row>
    <row r="559" spans="1:24" ht="21" customHeight="1">
      <c r="B559" s="92" t="s">
        <v>64</v>
      </c>
      <c r="C559" s="85">
        <f>Model!AQ127</f>
        <v>5243.2619999999997</v>
      </c>
      <c r="D559" s="85">
        <f>C559/$J$553</f>
        <v>5475.4197994987462</v>
      </c>
      <c r="E559" s="75"/>
      <c r="F559" s="91"/>
      <c r="G559" s="202"/>
      <c r="H559" s="202"/>
      <c r="X559">
        <f>O593-W559</f>
        <v>-44.935000000000002</v>
      </c>
    </row>
    <row r="560" spans="1:24" ht="27" customHeight="1">
      <c r="B560" s="92"/>
      <c r="C560" s="85"/>
      <c r="D560" s="85"/>
      <c r="E560" s="75"/>
      <c r="F560" s="91"/>
      <c r="G560" s="202"/>
      <c r="H560" s="202"/>
    </row>
    <row r="561" spans="2:24">
      <c r="B561" s="93" t="s">
        <v>18</v>
      </c>
      <c r="C561" s="86">
        <f>C558+C559</f>
        <v>5283.5419999999995</v>
      </c>
      <c r="D561" s="86">
        <f>D558+D559</f>
        <v>5517.4832915622383</v>
      </c>
      <c r="E561" s="76">
        <f>C561/C566</f>
        <v>17.48845476571913</v>
      </c>
      <c r="F561" s="94">
        <f>D561/D566</f>
        <v>16.256344086048312</v>
      </c>
      <c r="G561" s="203"/>
      <c r="H561" s="203"/>
    </row>
    <row r="562" spans="2:24">
      <c r="B562" s="92" t="s">
        <v>19</v>
      </c>
      <c r="C562" s="85">
        <f>Model!AQ130</f>
        <v>640.26199999999994</v>
      </c>
      <c r="D562" s="85">
        <f>C562/$J$553</f>
        <v>668.61111111111109</v>
      </c>
      <c r="E562" s="95"/>
      <c r="F562" s="96"/>
      <c r="G562" s="204"/>
      <c r="H562" s="204"/>
    </row>
    <row r="563" spans="2:24">
      <c r="B563" s="93" t="s">
        <v>20</v>
      </c>
      <c r="C563" s="86">
        <f>C561-C562</f>
        <v>4643.28</v>
      </c>
      <c r="D563" s="86">
        <f>D561-D562</f>
        <v>4848.872180451127</v>
      </c>
      <c r="E563" s="76">
        <f>C563/C566</f>
        <v>15.369195937984088</v>
      </c>
      <c r="F563" s="94">
        <f>D563/D566</f>
        <v>14.286392985589288</v>
      </c>
      <c r="G563" s="203"/>
      <c r="H563" s="203"/>
      <c r="K563" s="72"/>
    </row>
    <row r="564" spans="2:24">
      <c r="B564" s="90" t="s">
        <v>21</v>
      </c>
      <c r="C564" s="87">
        <f>Model!AQ134</f>
        <v>4935.7110000000002</v>
      </c>
      <c r="D564" s="85">
        <f>C564/$J$553</f>
        <v>5154.2512531328321</v>
      </c>
      <c r="E564" s="77"/>
      <c r="F564" s="97"/>
      <c r="G564" s="205"/>
      <c r="H564" s="205"/>
      <c r="L564" s="71"/>
      <c r="X564">
        <f>O598-W564</f>
        <v>0</v>
      </c>
    </row>
    <row r="565" spans="2:24">
      <c r="B565" s="90" t="s">
        <v>22</v>
      </c>
      <c r="C565" s="88">
        <f>C563+C564</f>
        <v>9578.991</v>
      </c>
      <c r="D565" s="85">
        <f>C565/$J$553</f>
        <v>10003.12343358396</v>
      </c>
      <c r="E565" s="77"/>
      <c r="F565" s="97"/>
      <c r="G565" s="205"/>
      <c r="H565" s="205"/>
    </row>
    <row r="566" spans="2:24">
      <c r="B566" s="98" t="s">
        <v>23</v>
      </c>
      <c r="C566" s="99">
        <f>Model!AQ110</f>
        <v>302.11599999999993</v>
      </c>
      <c r="D566" s="99">
        <f>C566/$J$554</f>
        <v>339.40492784583159</v>
      </c>
      <c r="E566" s="100"/>
      <c r="F566" s="101"/>
      <c r="G566" s="205"/>
      <c r="H566" s="205"/>
    </row>
    <row r="567" spans="2:24">
      <c r="B567" s="78" t="s">
        <v>24</v>
      </c>
      <c r="C567" s="84">
        <f>+C561-Model!AQ128</f>
        <v>0</v>
      </c>
    </row>
    <row r="568" spans="2:24">
      <c r="E568" s="67"/>
    </row>
    <row r="569" spans="2:24">
      <c r="B569" s="132" t="s">
        <v>122</v>
      </c>
      <c r="C569" s="132" t="s">
        <v>93</v>
      </c>
      <c r="D569" s="125" t="s">
        <v>94</v>
      </c>
    </row>
    <row r="570" spans="2:24">
      <c r="B570" s="79">
        <v>2022</v>
      </c>
      <c r="C570" s="123">
        <v>21</v>
      </c>
      <c r="D570" s="164">
        <f t="shared" ref="D570:D576" si="3">+C570/$J$553</f>
        <v>21.92982456140351</v>
      </c>
    </row>
    <row r="571" spans="2:24">
      <c r="B571" s="79">
        <v>2023</v>
      </c>
      <c r="C571" s="123">
        <v>422</v>
      </c>
      <c r="D571" s="164">
        <f t="shared" si="3"/>
        <v>440.68504594820382</v>
      </c>
    </row>
    <row r="572" spans="2:24" ht="16.5" customHeight="1">
      <c r="B572" s="79">
        <v>2024</v>
      </c>
      <c r="C572" s="123">
        <v>533</v>
      </c>
      <c r="D572" s="164">
        <f t="shared" si="3"/>
        <v>556.59983291562241</v>
      </c>
    </row>
    <row r="573" spans="2:24">
      <c r="B573" s="79">
        <v>2025</v>
      </c>
      <c r="C573" s="123">
        <v>1092</v>
      </c>
      <c r="D573" s="164">
        <f t="shared" si="3"/>
        <v>1140.3508771929824</v>
      </c>
    </row>
    <row r="574" spans="2:24">
      <c r="B574" s="79">
        <v>2026</v>
      </c>
      <c r="C574" s="123">
        <v>1031</v>
      </c>
      <c r="D574" s="164">
        <f t="shared" si="3"/>
        <v>1076.6499582289057</v>
      </c>
    </row>
    <row r="575" spans="2:24">
      <c r="B575" s="79">
        <v>2027</v>
      </c>
      <c r="C575" s="123">
        <v>25</v>
      </c>
      <c r="D575" s="164">
        <f t="shared" si="3"/>
        <v>26.106934001670844</v>
      </c>
    </row>
    <row r="576" spans="2:24">
      <c r="B576" s="79" t="s">
        <v>117</v>
      </c>
      <c r="C576" s="123">
        <f>648+19+43+1466</f>
        <v>2176</v>
      </c>
      <c r="D576" s="164">
        <f t="shared" si="3"/>
        <v>2272.3475355054302</v>
      </c>
    </row>
    <row r="577" spans="2:15">
      <c r="B577" s="81" t="s">
        <v>18</v>
      </c>
      <c r="C577" s="82">
        <f>+SUM(C570:C576)</f>
        <v>5300</v>
      </c>
      <c r="D577" s="82">
        <f>+SUM(D570:D576)</f>
        <v>5534.6700083542182</v>
      </c>
      <c r="F577" s="82"/>
      <c r="G577" s="159"/>
      <c r="H577" s="159"/>
    </row>
    <row r="578" spans="2:15">
      <c r="B578" s="78"/>
      <c r="C578" s="83"/>
      <c r="D578" s="83"/>
      <c r="F578" s="122"/>
      <c r="G578" s="122"/>
      <c r="H578" s="122"/>
    </row>
    <row r="580" spans="2:15">
      <c r="B580" s="132" t="s">
        <v>92</v>
      </c>
      <c r="C580" s="132" t="s">
        <v>93</v>
      </c>
      <c r="D580" s="125" t="s">
        <v>94</v>
      </c>
    </row>
    <row r="581" spans="2:15">
      <c r="B581" s="79" t="s">
        <v>95</v>
      </c>
      <c r="C581" s="158"/>
      <c r="D581" s="80">
        <f>+C581/$J$630</f>
        <v>0</v>
      </c>
    </row>
    <row r="582" spans="2:15">
      <c r="B582" s="79" t="s">
        <v>96</v>
      </c>
      <c r="C582" s="158"/>
      <c r="D582" s="80">
        <f>+C582/$J$630</f>
        <v>0</v>
      </c>
    </row>
    <row r="583" spans="2:15">
      <c r="B583" s="79" t="s">
        <v>97</v>
      </c>
      <c r="C583" s="158"/>
      <c r="D583" s="80">
        <f>+C583/$J$630</f>
        <v>0</v>
      </c>
    </row>
    <row r="584" spans="2:15">
      <c r="B584" s="79" t="s">
        <v>98</v>
      </c>
      <c r="C584" s="158"/>
      <c r="D584" s="80">
        <f>+C584/$J$630</f>
        <v>0</v>
      </c>
    </row>
    <row r="585" spans="2:15">
      <c r="B585" s="79" t="s">
        <v>99</v>
      </c>
      <c r="C585" s="158"/>
      <c r="D585" s="80">
        <f>+C585/$J$630</f>
        <v>0</v>
      </c>
    </row>
    <row r="586" spans="2:15">
      <c r="B586" s="81" t="s">
        <v>18</v>
      </c>
      <c r="C586" s="159">
        <f>SUM(C581:C585)</f>
        <v>0</v>
      </c>
      <c r="D586" s="82">
        <f>+SUM(D581:D585)</f>
        <v>0</v>
      </c>
    </row>
    <row r="588" spans="2:15">
      <c r="O588">
        <v>-43.720999999999997</v>
      </c>
    </row>
    <row r="589" spans="2:15">
      <c r="O589">
        <v>-20.29</v>
      </c>
    </row>
    <row r="590" spans="2:15">
      <c r="O590">
        <v>6.5309999999999997</v>
      </c>
    </row>
    <row r="593" spans="1:15">
      <c r="A593" s="69" t="s">
        <v>123</v>
      </c>
      <c r="I593" s="70" t="s">
        <v>124</v>
      </c>
      <c r="J593" s="71">
        <f>Model!AP204</f>
        <v>0.86080000000000001</v>
      </c>
      <c r="O593">
        <v>-44.935000000000002</v>
      </c>
    </row>
    <row r="594" spans="1:15" ht="39">
      <c r="I594" s="72" t="s">
        <v>125</v>
      </c>
      <c r="J594" s="71">
        <f>Model!AP205</f>
        <v>0.95073439468159548</v>
      </c>
      <c r="M594" s="111" t="s">
        <v>126</v>
      </c>
    </row>
    <row r="595" spans="1:15">
      <c r="M595" s="91"/>
    </row>
    <row r="596" spans="1:15">
      <c r="B596" s="73"/>
      <c r="C596" s="71"/>
      <c r="I596" s="67"/>
      <c r="M596" s="91"/>
    </row>
    <row r="597" spans="1:15" ht="26.25">
      <c r="A597" s="109"/>
      <c r="B597" s="102" t="s">
        <v>127</v>
      </c>
      <c r="C597" s="110" t="s">
        <v>115</v>
      </c>
      <c r="D597" s="110" t="s">
        <v>5</v>
      </c>
      <c r="E597" s="89" t="s">
        <v>6</v>
      </c>
      <c r="F597" s="111" t="s">
        <v>7</v>
      </c>
      <c r="G597" s="201"/>
      <c r="H597" s="201"/>
      <c r="K597" s="72"/>
      <c r="M597" s="91"/>
    </row>
    <row r="598" spans="1:15">
      <c r="B598" s="92" t="s">
        <v>63</v>
      </c>
      <c r="C598" s="85">
        <f>Model!AP126</f>
        <v>174.09399999999999</v>
      </c>
      <c r="D598" s="85">
        <f>C598/$J$593</f>
        <v>202.24674721189589</v>
      </c>
      <c r="E598" s="75"/>
      <c r="F598" s="91"/>
      <c r="G598" s="202"/>
      <c r="H598" s="202"/>
      <c r="M598" s="94">
        <f>K673/K678</f>
        <v>27.911869879769874</v>
      </c>
      <c r="O598">
        <v>0</v>
      </c>
    </row>
    <row r="599" spans="1:15">
      <c r="B599" s="92" t="s">
        <v>64</v>
      </c>
      <c r="C599" s="85">
        <f>Model!AP127</f>
        <v>5222.3649999999998</v>
      </c>
      <c r="D599" s="85">
        <f>C599/$J$593</f>
        <v>6066.8738382899628</v>
      </c>
      <c r="E599" s="75"/>
      <c r="F599" s="91"/>
      <c r="G599" s="202"/>
      <c r="H599" s="202"/>
      <c r="L599" s="71"/>
      <c r="M599" s="96"/>
    </row>
    <row r="600" spans="1:15">
      <c r="B600" s="92"/>
      <c r="C600" s="85"/>
      <c r="D600" s="85"/>
      <c r="E600" s="75"/>
      <c r="F600" s="91"/>
      <c r="G600" s="202"/>
      <c r="H600" s="202"/>
      <c r="M600" s="94">
        <f>K675/K678</f>
        <v>27.589378149731886</v>
      </c>
      <c r="O600">
        <f>+O594-O597-O598</f>
        <v>0</v>
      </c>
    </row>
    <row r="601" spans="1:15">
      <c r="B601" s="93" t="s">
        <v>18</v>
      </c>
      <c r="C601" s="86">
        <f>C598+C599</f>
        <v>5396.4589999999998</v>
      </c>
      <c r="D601" s="86">
        <f>D598+D599</f>
        <v>6269.1205855018588</v>
      </c>
      <c r="E601" s="76">
        <f>C601/C606</f>
        <v>18.391710801654977</v>
      </c>
      <c r="F601" s="94">
        <f>D601/D606</f>
        <v>20.31323424276302</v>
      </c>
      <c r="G601" s="203"/>
      <c r="H601" s="203"/>
      <c r="M601" s="97"/>
    </row>
    <row r="602" spans="1:15">
      <c r="B602" s="92" t="s">
        <v>19</v>
      </c>
      <c r="C602" s="85">
        <f>Model!AP130</f>
        <v>1145.1780000000001</v>
      </c>
      <c r="D602" s="85">
        <f>C602/$J$593</f>
        <v>1330.3647769516729</v>
      </c>
      <c r="E602" s="95"/>
      <c r="F602" s="96"/>
      <c r="G602" s="204"/>
      <c r="H602" s="204"/>
      <c r="M602" s="97"/>
    </row>
    <row r="603" spans="1:15">
      <c r="B603" s="93" t="s">
        <v>20</v>
      </c>
      <c r="C603" s="86">
        <f>C601-C602</f>
        <v>4251.2809999999999</v>
      </c>
      <c r="D603" s="86">
        <f>D601-D602</f>
        <v>4938.755808550186</v>
      </c>
      <c r="E603" s="76">
        <f>C603/C606</f>
        <v>14.488821408366221</v>
      </c>
      <c r="F603" s="94">
        <f>D603/D606</f>
        <v>16.002579985284388</v>
      </c>
      <c r="G603" s="203"/>
      <c r="H603" s="203"/>
      <c r="M603" s="101"/>
    </row>
    <row r="604" spans="1:15">
      <c r="B604" s="90" t="s">
        <v>21</v>
      </c>
      <c r="C604" s="87">
        <f>Model!AP134</f>
        <v>4567.884</v>
      </c>
      <c r="D604" s="85">
        <f>C604/$J$593</f>
        <v>5306.556691449814</v>
      </c>
      <c r="E604" s="77"/>
      <c r="F604" s="97"/>
      <c r="G604" s="205"/>
      <c r="H604" s="205"/>
    </row>
    <row r="605" spans="1:15">
      <c r="B605" s="90" t="s">
        <v>22</v>
      </c>
      <c r="C605" s="88">
        <f>C603+C604</f>
        <v>8819.1650000000009</v>
      </c>
      <c r="D605" s="85">
        <f>C605/$J$593</f>
        <v>10245.3125</v>
      </c>
      <c r="E605" s="77"/>
      <c r="F605" s="97"/>
      <c r="G605" s="205"/>
      <c r="H605" s="205"/>
    </row>
    <row r="606" spans="1:15">
      <c r="B606" s="98" t="s">
        <v>23</v>
      </c>
      <c r="C606" s="99">
        <f>Model!AP110</f>
        <v>293.41800000000001</v>
      </c>
      <c r="D606" s="99">
        <f>C606/$J$594</f>
        <v>308.62247294447235</v>
      </c>
      <c r="E606" s="100"/>
      <c r="F606" s="101"/>
      <c r="G606" s="205"/>
      <c r="H606" s="205"/>
    </row>
    <row r="607" spans="1:15">
      <c r="B607" s="78" t="s">
        <v>24</v>
      </c>
      <c r="C607" s="84">
        <f>+C601-Model!AP128</f>
        <v>0</v>
      </c>
    </row>
    <row r="608" spans="1:15">
      <c r="E608" s="67"/>
    </row>
    <row r="609" spans="2:8">
      <c r="B609" s="132" t="s">
        <v>128</v>
      </c>
      <c r="C609" s="132" t="s">
        <v>93</v>
      </c>
      <c r="D609" s="125" t="s">
        <v>94</v>
      </c>
    </row>
    <row r="610" spans="2:8">
      <c r="B610" s="79">
        <v>2022</v>
      </c>
      <c r="C610" s="123">
        <v>153</v>
      </c>
      <c r="D610" s="164">
        <f t="shared" ref="D610:D616" si="4">+C610/$J$593</f>
        <v>177.74163568773233</v>
      </c>
    </row>
    <row r="611" spans="2:8">
      <c r="B611" s="79">
        <v>2023</v>
      </c>
      <c r="C611" s="123">
        <v>426</v>
      </c>
      <c r="D611" s="164">
        <f t="shared" si="4"/>
        <v>494.88847583643121</v>
      </c>
    </row>
    <row r="612" spans="2:8">
      <c r="B612" s="79">
        <v>2024</v>
      </c>
      <c r="C612" s="123">
        <v>30</v>
      </c>
      <c r="D612" s="164">
        <f t="shared" si="4"/>
        <v>34.851301115241633</v>
      </c>
    </row>
    <row r="613" spans="2:8">
      <c r="B613" s="79">
        <v>2025</v>
      </c>
      <c r="C613" s="123">
        <v>1603</v>
      </c>
      <c r="D613" s="164">
        <f t="shared" si="4"/>
        <v>1862.221189591078</v>
      </c>
    </row>
    <row r="614" spans="2:8">
      <c r="B614" s="79">
        <v>2026</v>
      </c>
      <c r="C614" s="123">
        <v>1035</v>
      </c>
      <c r="D614" s="164">
        <f t="shared" si="4"/>
        <v>1202.3698884758364</v>
      </c>
    </row>
    <row r="615" spans="2:8">
      <c r="B615" s="79">
        <v>2027</v>
      </c>
      <c r="C615" s="123">
        <v>24</v>
      </c>
      <c r="D615" s="164">
        <f t="shared" si="4"/>
        <v>27.881040892193308</v>
      </c>
    </row>
    <row r="616" spans="2:8">
      <c r="B616" s="79" t="s">
        <v>117</v>
      </c>
      <c r="C616" s="123">
        <f>99+530+21+1491</f>
        <v>2141</v>
      </c>
      <c r="D616" s="164">
        <f t="shared" si="4"/>
        <v>2487.2211895910782</v>
      </c>
    </row>
    <row r="617" spans="2:8">
      <c r="B617" s="81" t="s">
        <v>18</v>
      </c>
      <c r="C617" s="82">
        <f>+SUM(C610:C616)</f>
        <v>5412</v>
      </c>
      <c r="D617" s="82">
        <f>+SUM(D610:D616)</f>
        <v>6287.1747211895909</v>
      </c>
      <c r="F617" s="82"/>
      <c r="G617" s="159"/>
      <c r="H617" s="159"/>
    </row>
    <row r="618" spans="2:8">
      <c r="B618" s="78"/>
      <c r="C618" s="83"/>
      <c r="D618" s="83"/>
      <c r="F618" s="122"/>
      <c r="G618" s="122"/>
      <c r="H618" s="122"/>
    </row>
    <row r="620" spans="2:8">
      <c r="B620" s="132" t="s">
        <v>92</v>
      </c>
      <c r="C620" s="132" t="s">
        <v>93</v>
      </c>
      <c r="D620" s="125" t="s">
        <v>94</v>
      </c>
    </row>
    <row r="621" spans="2:8">
      <c r="B621" s="79" t="s">
        <v>95</v>
      </c>
      <c r="C621" s="158"/>
      <c r="D621" s="80">
        <f>+C621/$J$630</f>
        <v>0</v>
      </c>
    </row>
    <row r="622" spans="2:8">
      <c r="B622" s="79" t="s">
        <v>96</v>
      </c>
      <c r="C622" s="158"/>
      <c r="D622" s="80">
        <f>+C622/$J$630</f>
        <v>0</v>
      </c>
    </row>
    <row r="623" spans="2:8">
      <c r="B623" s="79" t="s">
        <v>97</v>
      </c>
      <c r="C623" s="158"/>
      <c r="D623" s="80">
        <f>+C623/$J$630</f>
        <v>0</v>
      </c>
    </row>
    <row r="624" spans="2:8">
      <c r="B624" s="79" t="s">
        <v>98</v>
      </c>
      <c r="C624" s="158"/>
      <c r="D624" s="80">
        <f>+C624/$J$630</f>
        <v>0</v>
      </c>
    </row>
    <row r="625" spans="1:15">
      <c r="B625" s="79" t="s">
        <v>99</v>
      </c>
      <c r="C625" s="158"/>
      <c r="D625" s="80">
        <f>+C625/$J$630</f>
        <v>0</v>
      </c>
    </row>
    <row r="626" spans="1:15">
      <c r="B626" s="81" t="s">
        <v>18</v>
      </c>
      <c r="C626" s="159">
        <f>SUM(C621:C625)</f>
        <v>0</v>
      </c>
      <c r="D626" s="82">
        <f>+SUM(D621:D625)</f>
        <v>0</v>
      </c>
    </row>
    <row r="630" spans="1:15">
      <c r="A630" s="69" t="s">
        <v>129</v>
      </c>
      <c r="I630" s="70" t="s">
        <v>130</v>
      </c>
      <c r="J630" s="71">
        <f>+Model!AO204</f>
        <v>0.8796622097114708</v>
      </c>
      <c r="O630">
        <f>O626</f>
        <v>0</v>
      </c>
    </row>
    <row r="631" spans="1:15">
      <c r="I631" s="72" t="s">
        <v>131</v>
      </c>
      <c r="J631" s="71">
        <f>+Model!AO205</f>
        <v>0.84559445290038893</v>
      </c>
    </row>
    <row r="632" spans="1:15">
      <c r="K632" s="72"/>
    </row>
    <row r="633" spans="1:15">
      <c r="B633" s="73"/>
      <c r="C633" s="71"/>
      <c r="I633" s="67"/>
    </row>
    <row r="634" spans="1:15" ht="26.25">
      <c r="A634" s="109"/>
      <c r="B634" s="102" t="s">
        <v>132</v>
      </c>
      <c r="C634" s="110" t="s">
        <v>115</v>
      </c>
      <c r="D634" s="110" t="s">
        <v>5</v>
      </c>
      <c r="E634" s="89" t="s">
        <v>6</v>
      </c>
      <c r="F634" s="111" t="s">
        <v>7</v>
      </c>
      <c r="G634" s="201"/>
      <c r="H634" s="201"/>
      <c r="L634" s="71"/>
    </row>
    <row r="635" spans="1:15">
      <c r="B635" s="92" t="s">
        <v>63</v>
      </c>
      <c r="C635" s="85">
        <f>Model!AO126</f>
        <v>34.323</v>
      </c>
      <c r="D635" s="85">
        <f>C635/$J$630</f>
        <v>39.018386399999997</v>
      </c>
      <c r="E635" s="75"/>
      <c r="F635" s="91"/>
      <c r="G635" s="202"/>
      <c r="H635" s="202"/>
    </row>
    <row r="636" spans="1:15" ht="26.25">
      <c r="B636" s="92" t="s">
        <v>64</v>
      </c>
      <c r="C636" s="85">
        <f>Model!AO127</f>
        <v>4478.491</v>
      </c>
      <c r="D636" s="85">
        <f>C636/$J$630</f>
        <v>5091.1485688000002</v>
      </c>
      <c r="E636" s="75"/>
      <c r="F636" s="91"/>
      <c r="G636" s="202"/>
      <c r="H636" s="202"/>
      <c r="L636" s="89" t="s">
        <v>133</v>
      </c>
    </row>
    <row r="637" spans="1:15">
      <c r="B637" s="92"/>
      <c r="C637" s="85"/>
      <c r="D637" s="85"/>
      <c r="E637" s="75"/>
      <c r="F637" s="91"/>
      <c r="G637" s="202"/>
      <c r="H637" s="202"/>
      <c r="L637" s="75"/>
    </row>
    <row r="638" spans="1:15">
      <c r="B638" s="93" t="s">
        <v>18</v>
      </c>
      <c r="C638" s="86">
        <f>C635+C636</f>
        <v>4512.8140000000003</v>
      </c>
      <c r="D638" s="86">
        <f>D635+D636</f>
        <v>5130.1669552000003</v>
      </c>
      <c r="E638" s="76">
        <f>C638/C643</f>
        <v>15.8520113529387</v>
      </c>
      <c r="F638" s="94">
        <f>D638/D643</f>
        <v>15.238091075613658</v>
      </c>
      <c r="G638" s="203"/>
      <c r="H638" s="203"/>
      <c r="L638" s="75"/>
    </row>
    <row r="639" spans="1:15">
      <c r="B639" s="92" t="s">
        <v>19</v>
      </c>
      <c r="C639" s="85">
        <f>Model!AO130</f>
        <v>892.81600000000003</v>
      </c>
      <c r="D639" s="85">
        <f>C639/$J$630</f>
        <v>1014.9532288</v>
      </c>
      <c r="E639" s="95"/>
      <c r="F639" s="96"/>
      <c r="G639" s="204"/>
      <c r="H639" s="204"/>
      <c r="L639" s="75"/>
    </row>
    <row r="640" spans="1:15">
      <c r="B640" s="93" t="s">
        <v>20</v>
      </c>
      <c r="C640" s="86">
        <f>C638-C639</f>
        <v>3619.9980000000005</v>
      </c>
      <c r="D640" s="86">
        <f>D638-D639</f>
        <v>4115.2137264000003</v>
      </c>
      <c r="E640" s="76">
        <f>C640/C643</f>
        <v>12.715846341908927</v>
      </c>
      <c r="F640" s="94">
        <f>D640/D643</f>
        <v>12.223384171725067</v>
      </c>
      <c r="G640" s="203"/>
      <c r="H640" s="203"/>
      <c r="L640" s="76">
        <f>J776/J781</f>
        <v>28.284235880398668</v>
      </c>
    </row>
    <row r="641" spans="2:24">
      <c r="B641" s="90" t="s">
        <v>21</v>
      </c>
      <c r="C641" s="87">
        <f>+Model!AO134</f>
        <v>4106.83</v>
      </c>
      <c r="D641" s="85">
        <f>C641/$J$630</f>
        <v>4668.6443440000003</v>
      </c>
      <c r="E641" s="77"/>
      <c r="F641" s="97"/>
      <c r="G641" s="205"/>
      <c r="H641" s="205"/>
      <c r="L641" s="95"/>
    </row>
    <row r="642" spans="2:24">
      <c r="B642" s="90" t="s">
        <v>22</v>
      </c>
      <c r="C642" s="88">
        <f>C640+C641</f>
        <v>7726.8280000000004</v>
      </c>
      <c r="D642" s="85">
        <f>C642/$J$630</f>
        <v>8783.8580703999996</v>
      </c>
      <c r="E642" s="77"/>
      <c r="F642" s="97"/>
      <c r="G642" s="205"/>
      <c r="H642" s="205"/>
      <c r="L642" s="76">
        <f>J778/J781</f>
        <v>27.957441860465114</v>
      </c>
    </row>
    <row r="643" spans="2:24">
      <c r="B643" s="98" t="s">
        <v>23</v>
      </c>
      <c r="C643" s="99">
        <f>+Model!AO110</f>
        <v>284.68399999999997</v>
      </c>
      <c r="D643" s="99">
        <f>C643/$J$631</f>
        <v>336.66729839999999</v>
      </c>
      <c r="E643" s="100"/>
      <c r="F643" s="101"/>
      <c r="G643" s="205"/>
      <c r="H643" s="205"/>
      <c r="L643" s="77"/>
    </row>
    <row r="644" spans="2:24">
      <c r="B644" s="78" t="s">
        <v>24</v>
      </c>
      <c r="C644" s="84">
        <f>+C638-Model!AO128</f>
        <v>0</v>
      </c>
      <c r="L644" s="77"/>
    </row>
    <row r="645" spans="2:24">
      <c r="E645" s="67"/>
      <c r="L645" s="100"/>
    </row>
    <row r="646" spans="2:24">
      <c r="B646" s="132" t="s">
        <v>134</v>
      </c>
      <c r="C646" s="132" t="s">
        <v>93</v>
      </c>
      <c r="D646" s="125" t="s">
        <v>94</v>
      </c>
    </row>
    <row r="647" spans="2:24">
      <c r="B647" s="79">
        <v>2022</v>
      </c>
      <c r="C647" s="123">
        <v>23</v>
      </c>
      <c r="D647" s="164">
        <f t="shared" ref="D647:D653" si="5">+C647/$J$630</f>
        <v>26.1464</v>
      </c>
      <c r="O647">
        <v>-60.152000000000001</v>
      </c>
      <c r="X647">
        <f>O681</f>
        <v>6406.2640000000001</v>
      </c>
    </row>
    <row r="648" spans="2:24">
      <c r="B648" s="79">
        <v>2023</v>
      </c>
      <c r="C648" s="123">
        <v>427</v>
      </c>
      <c r="D648" s="164">
        <f t="shared" si="5"/>
        <v>485.41359999999997</v>
      </c>
      <c r="O648">
        <v>14.695</v>
      </c>
      <c r="X648">
        <f>O682</f>
        <v>93.397999999999996</v>
      </c>
    </row>
    <row r="649" spans="2:24">
      <c r="B649" s="79">
        <v>2024</v>
      </c>
      <c r="C649" s="123">
        <v>23</v>
      </c>
      <c r="D649" s="164">
        <f t="shared" si="5"/>
        <v>26.1464</v>
      </c>
      <c r="O649">
        <v>-21.617000000000001</v>
      </c>
      <c r="X649">
        <f t="shared" ref="X649:X650" si="6">O683</f>
        <v>0</v>
      </c>
    </row>
    <row r="650" spans="2:24">
      <c r="B650" s="79">
        <v>2025</v>
      </c>
      <c r="C650" s="123">
        <v>1065</v>
      </c>
      <c r="D650" s="164">
        <f t="shared" si="5"/>
        <v>1210.692</v>
      </c>
      <c r="O650">
        <v>0.223</v>
      </c>
      <c r="X650">
        <f t="shared" si="6"/>
        <v>153.19200000000001</v>
      </c>
    </row>
    <row r="651" spans="2:24">
      <c r="B651" s="79">
        <v>2026</v>
      </c>
      <c r="C651" s="123">
        <v>524</v>
      </c>
      <c r="D651" s="164">
        <f t="shared" si="5"/>
        <v>595.68319999999994</v>
      </c>
    </row>
    <row r="652" spans="2:24">
      <c r="B652" s="79">
        <v>2027</v>
      </c>
      <c r="C652" s="123">
        <v>516</v>
      </c>
      <c r="D652" s="164">
        <f t="shared" si="5"/>
        <v>586.58879999999999</v>
      </c>
      <c r="O652">
        <f>-48.18-22.884-275.205</f>
        <v>-346.26900000000001</v>
      </c>
    </row>
    <row r="653" spans="2:24">
      <c r="B653" s="79" t="s">
        <v>117</v>
      </c>
      <c r="C653" s="123">
        <f>79+512+325+1045</f>
        <v>1961</v>
      </c>
      <c r="D653" s="164">
        <f t="shared" si="5"/>
        <v>2229.2647999999999</v>
      </c>
      <c r="O653">
        <v>-60.734999999999999</v>
      </c>
    </row>
    <row r="654" spans="2:24">
      <c r="B654" s="81" t="s">
        <v>18</v>
      </c>
      <c r="C654" s="82">
        <f>+SUM(C647:C653)</f>
        <v>4539</v>
      </c>
      <c r="D654" s="82">
        <f>+SUM(D647:D653)</f>
        <v>5159.9351999999999</v>
      </c>
      <c r="F654" s="82"/>
      <c r="G654" s="159"/>
      <c r="H654" s="159"/>
    </row>
    <row r="655" spans="2:24">
      <c r="B655" s="78"/>
      <c r="C655" s="83"/>
      <c r="D655" s="83"/>
      <c r="F655" s="122"/>
      <c r="G655" s="122"/>
      <c r="H655" s="122"/>
      <c r="O655">
        <v>0</v>
      </c>
      <c r="X655">
        <f t="shared" ref="X655:X656" si="7">O689</f>
        <v>78.847999999999999</v>
      </c>
    </row>
    <row r="656" spans="2:24">
      <c r="O656">
        <v>0</v>
      </c>
      <c r="X656">
        <f t="shared" si="7"/>
        <v>447.01</v>
      </c>
    </row>
    <row r="657" spans="1:24">
      <c r="B657" s="132" t="s">
        <v>92</v>
      </c>
      <c r="C657" s="132" t="s">
        <v>93</v>
      </c>
      <c r="D657" s="125" t="s">
        <v>94</v>
      </c>
      <c r="O657">
        <f>-1910.975+75.468+3.542-35.969+1487.52-15</f>
        <v>-395.41399999999999</v>
      </c>
    </row>
    <row r="658" spans="1:24">
      <c r="B658" s="79" t="s">
        <v>95</v>
      </c>
      <c r="C658" s="165">
        <f>587.663+3.587</f>
        <v>591.25</v>
      </c>
      <c r="D658" s="80">
        <f>+C658/$J$630</f>
        <v>672.13300000000004</v>
      </c>
      <c r="O658">
        <f>-23.844-0.5+854.238-13.208</f>
        <v>816.68600000000004</v>
      </c>
    </row>
    <row r="659" spans="1:24">
      <c r="B659" s="79" t="s">
        <v>96</v>
      </c>
      <c r="C659" s="165">
        <v>0</v>
      </c>
      <c r="D659" s="80">
        <f>+C659/$J$630</f>
        <v>0</v>
      </c>
      <c r="X659">
        <f t="shared" ref="X659" si="8">O693</f>
        <v>487.51100000000002</v>
      </c>
    </row>
    <row r="660" spans="1:24">
      <c r="B660" s="79" t="s">
        <v>97</v>
      </c>
      <c r="C660" s="165">
        <f>58.38+2.78</f>
        <v>61.160000000000004</v>
      </c>
      <c r="D660" s="80">
        <f>+C660/$J$630</f>
        <v>69.526688000000007</v>
      </c>
      <c r="O660">
        <f>66.811-O659</f>
        <v>66.811000000000007</v>
      </c>
    </row>
    <row r="661" spans="1:24">
      <c r="B661" s="79" t="s">
        <v>98</v>
      </c>
      <c r="C661" s="165">
        <f>373.077+3368.202+10.088+13.49</f>
        <v>3764.8570000000004</v>
      </c>
      <c r="D661" s="80">
        <f>+C661/$J$630</f>
        <v>4279.8894376000007</v>
      </c>
      <c r="O661">
        <v>1.5589999999999999</v>
      </c>
    </row>
    <row r="662" spans="1:24">
      <c r="B662" s="79" t="s">
        <v>99</v>
      </c>
      <c r="C662" s="165">
        <f>1110.471+3368.202+20.833+13.49-SUM(C658:C661)</f>
        <v>95.72899999999936</v>
      </c>
      <c r="D662" s="80">
        <f>+C662/$J$630</f>
        <v>108.82472719999927</v>
      </c>
      <c r="O662">
        <f>SUM(O659:O661)</f>
        <v>68.37</v>
      </c>
    </row>
    <row r="663" spans="1:24">
      <c r="B663" s="81" t="s">
        <v>18</v>
      </c>
      <c r="C663" s="159">
        <f>SUM(C658:C662)</f>
        <v>4512.9960000000001</v>
      </c>
      <c r="D663" s="82">
        <f>+SUM(D658:D662)</f>
        <v>5130.3738527999994</v>
      </c>
      <c r="O663">
        <f>+N663+O662</f>
        <v>68.37</v>
      </c>
      <c r="X663">
        <f t="shared" ref="X663" si="9">O697</f>
        <v>3272.422</v>
      </c>
    </row>
    <row r="664" spans="1:24">
      <c r="A664" s="69" t="s">
        <v>135</v>
      </c>
      <c r="I664" s="70" t="s">
        <v>136</v>
      </c>
      <c r="J664" s="71">
        <f>+Model!AN204</f>
        <v>0.86319999999999997</v>
      </c>
    </row>
    <row r="665" spans="1:24">
      <c r="I665" s="72" t="s">
        <v>137</v>
      </c>
      <c r="J665" s="71">
        <f>+Model!AN205</f>
        <v>0.92995000000000005</v>
      </c>
    </row>
    <row r="666" spans="1:24">
      <c r="O666">
        <f>52.543-(O651+O660)</f>
        <v>-14.268000000000008</v>
      </c>
    </row>
    <row r="667" spans="1:24">
      <c r="B667" s="73"/>
      <c r="C667" s="71"/>
      <c r="I667" s="67"/>
      <c r="K667" s="72"/>
    </row>
    <row r="668" spans="1:24" ht="26.25">
      <c r="A668" s="109"/>
      <c r="B668" s="102" t="s">
        <v>138</v>
      </c>
      <c r="C668" s="110" t="s">
        <v>115</v>
      </c>
      <c r="D668" s="110" t="s">
        <v>5</v>
      </c>
      <c r="E668" s="89" t="s">
        <v>6</v>
      </c>
      <c r="F668" s="111" t="s">
        <v>7</v>
      </c>
      <c r="G668" s="201"/>
      <c r="H668" s="201"/>
    </row>
    <row r="669" spans="1:24">
      <c r="B669" s="92" t="s">
        <v>63</v>
      </c>
      <c r="C669" s="85">
        <f>Model!AN126</f>
        <v>81.387</v>
      </c>
      <c r="D669" s="85">
        <f>C669/$J$664</f>
        <v>94.285217794253938</v>
      </c>
      <c r="E669" s="75"/>
      <c r="F669" s="91"/>
      <c r="G669" s="202"/>
      <c r="H669" s="202"/>
      <c r="K669" s="74" t="s">
        <v>5</v>
      </c>
    </row>
    <row r="670" spans="1:24">
      <c r="B670" s="92" t="s">
        <v>64</v>
      </c>
      <c r="C670" s="85">
        <f>Model!AN127</f>
        <v>4423.0210000000006</v>
      </c>
      <c r="D670" s="85">
        <f>C670/$J$664</f>
        <v>5123.9816960148291</v>
      </c>
      <c r="E670" s="75"/>
      <c r="F670" s="91"/>
      <c r="G670" s="202"/>
      <c r="H670" s="202"/>
      <c r="K670" s="85">
        <f>J773/$J$768</f>
        <v>256.66740112371929</v>
      </c>
    </row>
    <row r="671" spans="1:24">
      <c r="B671" s="92"/>
      <c r="C671" s="85"/>
      <c r="D671" s="85"/>
      <c r="E671" s="75"/>
      <c r="F671" s="91"/>
      <c r="G671" s="202"/>
      <c r="H671" s="202"/>
      <c r="K671" s="85">
        <f>J774/$J$768</f>
        <v>2839.9988983144212</v>
      </c>
    </row>
    <row r="672" spans="1:24">
      <c r="B672" s="93" t="s">
        <v>18</v>
      </c>
      <c r="C672" s="86">
        <f>C669+C670</f>
        <v>4504.4080000000004</v>
      </c>
      <c r="D672" s="86">
        <f>D669+D670</f>
        <v>5218.2669138090832</v>
      </c>
      <c r="E672" s="76">
        <f>C672/C677</f>
        <v>16.094873975402518</v>
      </c>
      <c r="F672" s="94">
        <f>D672/D677</f>
        <v>17.339467161058355</v>
      </c>
      <c r="G672" s="203"/>
      <c r="H672" s="203"/>
      <c r="K672" s="85">
        <f>J775/$J$768</f>
        <v>4406.7423157430876</v>
      </c>
    </row>
    <row r="673" spans="2:24">
      <c r="B673" s="92" t="s">
        <v>19</v>
      </c>
      <c r="C673" s="85">
        <f>Model!AN130</f>
        <v>1389.664</v>
      </c>
      <c r="D673" s="85">
        <f>C673/$J$664</f>
        <v>1609.8980537534756</v>
      </c>
      <c r="E673" s="95"/>
      <c r="F673" s="96"/>
      <c r="G673" s="204"/>
      <c r="H673" s="204"/>
      <c r="K673" s="86">
        <f>K670+K671+K672</f>
        <v>7503.408615181228</v>
      </c>
    </row>
    <row r="674" spans="2:24">
      <c r="B674" s="93" t="s">
        <v>20</v>
      </c>
      <c r="C674" s="86">
        <f>C672-C673</f>
        <v>3114.7440000000006</v>
      </c>
      <c r="D674" s="86">
        <f>D672-D673</f>
        <v>3608.3688600556079</v>
      </c>
      <c r="E674" s="76">
        <f>C674/C677</f>
        <v>11.129411932853582</v>
      </c>
      <c r="F674" s="94">
        <f>D674/D677</f>
        <v>11.990033163759488</v>
      </c>
      <c r="G674" s="203"/>
      <c r="H674" s="203"/>
      <c r="K674" s="85">
        <f>J777/$J$768</f>
        <v>86.693841577613739</v>
      </c>
    </row>
    <row r="675" spans="2:24">
      <c r="B675" s="90" t="s">
        <v>21</v>
      </c>
      <c r="C675" s="87">
        <f>+Model!AN134</f>
        <v>3396.8380000000002</v>
      </c>
      <c r="D675" s="85">
        <f>C675/$J$664</f>
        <v>3935.1691380908251</v>
      </c>
      <c r="E675" s="77"/>
      <c r="F675" s="97"/>
      <c r="G675" s="205"/>
      <c r="H675" s="205"/>
      <c r="K675" s="86">
        <f>K673-K674</f>
        <v>7416.714773603614</v>
      </c>
    </row>
    <row r="676" spans="2:24">
      <c r="B676" s="90" t="s">
        <v>22</v>
      </c>
      <c r="C676" s="88">
        <f>C674+C675</f>
        <v>6511.5820000000003</v>
      </c>
      <c r="D676" s="85">
        <f>C676/$J$664</f>
        <v>7543.537998146433</v>
      </c>
      <c r="E676" s="77"/>
      <c r="F676" s="97"/>
      <c r="G676" s="205"/>
      <c r="H676" s="205"/>
      <c r="K676" s="85">
        <f>J779/$J$768</f>
        <v>2323.6256472402779</v>
      </c>
      <c r="X676">
        <f t="shared" ref="X676" si="10">O710</f>
        <v>0</v>
      </c>
    </row>
    <row r="677" spans="2:24">
      <c r="B677" s="98" t="s">
        <v>23</v>
      </c>
      <c r="C677" s="99">
        <f>+Model!AN110</f>
        <v>279.86599999999999</v>
      </c>
      <c r="D677" s="99">
        <f>C677/$J$665</f>
        <v>300.94736276143874</v>
      </c>
      <c r="E677" s="100"/>
      <c r="F677" s="101"/>
      <c r="G677" s="205"/>
      <c r="H677" s="205"/>
      <c r="K677" s="85">
        <f>J780/$J$768</f>
        <v>9740.3404208438933</v>
      </c>
    </row>
    <row r="678" spans="2:24">
      <c r="B678" s="78" t="s">
        <v>24</v>
      </c>
      <c r="C678" s="84">
        <f>+C672-Model!AN128</f>
        <v>0</v>
      </c>
      <c r="K678" s="99">
        <f>J781/$J$769</f>
        <v>268.82500697739323</v>
      </c>
    </row>
    <row r="679" spans="2:24">
      <c r="E679" s="67"/>
    </row>
    <row r="680" spans="2:24">
      <c r="B680" s="132" t="s">
        <v>139</v>
      </c>
      <c r="C680" s="132" t="s">
        <v>93</v>
      </c>
      <c r="D680" s="125" t="s">
        <v>94</v>
      </c>
    </row>
    <row r="681" spans="2:24">
      <c r="B681" s="79">
        <v>2021</v>
      </c>
      <c r="C681" s="123">
        <v>82</v>
      </c>
      <c r="D681" s="164">
        <f t="shared" ref="D681:D687" si="11">+C681/$J$664</f>
        <v>94.99536607970343</v>
      </c>
      <c r="O681">
        <f>5731.154+573.173+101.937</f>
        <v>6406.2640000000001</v>
      </c>
    </row>
    <row r="682" spans="2:24">
      <c r="B682" s="79">
        <f t="shared" ref="B682:B686" si="12">+B681+1</f>
        <v>2022</v>
      </c>
      <c r="C682" s="123">
        <v>16</v>
      </c>
      <c r="D682" s="164">
        <f t="shared" si="11"/>
        <v>18.535681186283597</v>
      </c>
      <c r="O682">
        <v>93.397999999999996</v>
      </c>
    </row>
    <row r="683" spans="2:24">
      <c r="B683" s="79">
        <f t="shared" si="12"/>
        <v>2023</v>
      </c>
      <c r="C683" s="123">
        <v>417</v>
      </c>
      <c r="D683" s="164">
        <f t="shared" si="11"/>
        <v>483.08619091751626</v>
      </c>
      <c r="O683">
        <v>0</v>
      </c>
    </row>
    <row r="684" spans="2:24">
      <c r="B684" s="79">
        <f t="shared" si="12"/>
        <v>2024</v>
      </c>
      <c r="C684" s="123">
        <v>558</v>
      </c>
      <c r="D684" s="164">
        <f t="shared" si="11"/>
        <v>646.43188137164043</v>
      </c>
      <c r="O684">
        <v>153.19200000000001</v>
      </c>
    </row>
    <row r="685" spans="2:24">
      <c r="B685" s="79">
        <f t="shared" si="12"/>
        <v>2025</v>
      </c>
      <c r="C685" s="123">
        <v>1029</v>
      </c>
      <c r="D685" s="164">
        <f t="shared" si="11"/>
        <v>1192.0759962928639</v>
      </c>
    </row>
    <row r="686" spans="2:24">
      <c r="B686" s="79">
        <f t="shared" si="12"/>
        <v>2026</v>
      </c>
      <c r="C686" s="123">
        <v>512</v>
      </c>
      <c r="D686" s="164">
        <f t="shared" si="11"/>
        <v>593.1417979610751</v>
      </c>
    </row>
    <row r="687" spans="2:24">
      <c r="B687" s="79" t="str">
        <f>+B686+1 &amp; "+"</f>
        <v>2027+</v>
      </c>
      <c r="C687" s="123">
        <f>12+512+342+1046</f>
        <v>1912</v>
      </c>
      <c r="D687" s="164">
        <f t="shared" si="11"/>
        <v>2215.0139017608899</v>
      </c>
    </row>
    <row r="688" spans="2:24">
      <c r="B688" s="81" t="s">
        <v>18</v>
      </c>
      <c r="C688" s="82">
        <f>+SUM(C681:C687)</f>
        <v>4526</v>
      </c>
      <c r="D688" s="82">
        <f>+SUM(D681:D687)</f>
        <v>5243.2808155699731</v>
      </c>
      <c r="F688" s="82"/>
      <c r="G688" s="159"/>
      <c r="H688" s="159"/>
    </row>
    <row r="689" spans="1:15">
      <c r="B689" s="78"/>
      <c r="C689" s="83"/>
      <c r="D689" s="83"/>
      <c r="F689" s="122"/>
      <c r="G689" s="122"/>
      <c r="H689" s="122"/>
      <c r="O689">
        <v>78.847999999999999</v>
      </c>
    </row>
    <row r="690" spans="1:15">
      <c r="O690">
        <v>447.01</v>
      </c>
    </row>
    <row r="691" spans="1:15">
      <c r="B691" s="132" t="s">
        <v>92</v>
      </c>
      <c r="C691" s="132" t="s">
        <v>93</v>
      </c>
      <c r="D691" s="125" t="s">
        <v>94</v>
      </c>
    </row>
    <row r="692" spans="1:15">
      <c r="B692" s="79" t="s">
        <v>95</v>
      </c>
      <c r="C692" s="158"/>
      <c r="D692" s="80">
        <f>+C692/$J$664</f>
        <v>0</v>
      </c>
    </row>
    <row r="693" spans="1:15">
      <c r="B693" s="79" t="s">
        <v>96</v>
      </c>
      <c r="C693" s="158"/>
      <c r="D693" s="80">
        <f>+C693/$J$664</f>
        <v>0</v>
      </c>
      <c r="O693">
        <v>487.51100000000002</v>
      </c>
    </row>
    <row r="694" spans="1:15">
      <c r="B694" s="79" t="s">
        <v>97</v>
      </c>
      <c r="C694" s="158"/>
      <c r="D694" s="80">
        <f>+C694/$J$664</f>
        <v>0</v>
      </c>
    </row>
    <row r="695" spans="1:15">
      <c r="B695" s="79" t="s">
        <v>99</v>
      </c>
      <c r="C695" s="158"/>
      <c r="D695" s="80">
        <f>+C695/$J$664</f>
        <v>0</v>
      </c>
    </row>
    <row r="696" spans="1:15">
      <c r="B696" s="81" t="s">
        <v>18</v>
      </c>
      <c r="C696" s="159">
        <f>SUM(C692:C695)</f>
        <v>0</v>
      </c>
      <c r="D696" s="82">
        <f>+SUM(D692:D695)</f>
        <v>0</v>
      </c>
    </row>
    <row r="697" spans="1:15">
      <c r="B697" s="78"/>
      <c r="C697" s="83"/>
      <c r="D697" s="83"/>
      <c r="O697">
        <v>3272.422</v>
      </c>
    </row>
    <row r="698" spans="1:15">
      <c r="A698" s="69" t="s">
        <v>110</v>
      </c>
      <c r="I698" s="70" t="s">
        <v>140</v>
      </c>
      <c r="J698" s="71">
        <f>+Model!AM204</f>
        <v>1.1855</v>
      </c>
    </row>
    <row r="699" spans="1:15">
      <c r="I699" s="72" t="s">
        <v>141</v>
      </c>
      <c r="J699" s="71">
        <f>+Model!AM205</f>
        <v>1.0379</v>
      </c>
    </row>
    <row r="701" spans="1:15">
      <c r="B701" s="73"/>
      <c r="C701" s="71"/>
      <c r="I701" s="67"/>
    </row>
    <row r="702" spans="1:15" ht="26.25">
      <c r="A702" s="109"/>
      <c r="B702" s="102" t="s">
        <v>142</v>
      </c>
      <c r="C702" s="110" t="s">
        <v>115</v>
      </c>
      <c r="D702" s="110" t="s">
        <v>5</v>
      </c>
      <c r="E702" s="89" t="s">
        <v>6</v>
      </c>
      <c r="F702" s="111" t="s">
        <v>7</v>
      </c>
      <c r="G702" s="201"/>
      <c r="H702" s="201"/>
    </row>
    <row r="703" spans="1:15">
      <c r="B703" s="92" t="s">
        <v>63</v>
      </c>
      <c r="C703" s="85">
        <f>Model!AM126</f>
        <v>78.847999999999999</v>
      </c>
      <c r="D703" s="85">
        <f>C703/$J$698</f>
        <v>66.510333192745676</v>
      </c>
      <c r="E703" s="75"/>
      <c r="F703" s="91"/>
      <c r="G703" s="202"/>
      <c r="H703" s="202"/>
    </row>
    <row r="704" spans="1:15">
      <c r="B704" s="92" t="s">
        <v>64</v>
      </c>
      <c r="C704" s="85">
        <f>Model!AM127</f>
        <v>2986.6090000000004</v>
      </c>
      <c r="D704" s="85">
        <f>C704/$J$698</f>
        <v>2519.2821594264028</v>
      </c>
      <c r="E704" s="75"/>
      <c r="F704" s="91"/>
      <c r="G704" s="202"/>
      <c r="H704" s="202"/>
    </row>
    <row r="705" spans="2:15">
      <c r="B705" s="92"/>
      <c r="C705" s="85"/>
      <c r="D705" s="85"/>
      <c r="E705" s="75"/>
      <c r="F705" s="91"/>
      <c r="G705" s="202"/>
      <c r="H705" s="202"/>
    </row>
    <row r="706" spans="2:15">
      <c r="B706" s="93" t="s">
        <v>18</v>
      </c>
      <c r="C706" s="86">
        <f>C703+C704</f>
        <v>3065.4570000000003</v>
      </c>
      <c r="D706" s="86">
        <f>D703+D704</f>
        <v>2585.7924926191486</v>
      </c>
      <c r="E706" s="76">
        <f>C706/C711</f>
        <v>11.443567172871033</v>
      </c>
      <c r="F706" s="94">
        <f>D706/D711</f>
        <v>10.018792381883463</v>
      </c>
      <c r="G706" s="203"/>
      <c r="H706" s="203"/>
    </row>
    <row r="707" spans="2:15">
      <c r="B707" s="92" t="s">
        <v>19</v>
      </c>
      <c r="C707" s="85">
        <f>Model!AM130</f>
        <v>487.51100000000002</v>
      </c>
      <c r="D707" s="85">
        <f>C707/$J$698</f>
        <v>411.22817376634333</v>
      </c>
      <c r="E707" s="95"/>
      <c r="F707" s="96"/>
      <c r="G707" s="204"/>
      <c r="H707" s="204"/>
    </row>
    <row r="708" spans="2:15">
      <c r="B708" s="93" t="s">
        <v>20</v>
      </c>
      <c r="C708" s="86">
        <f>C706-C707</f>
        <v>2577.9460000000004</v>
      </c>
      <c r="D708" s="86">
        <f>D706-D707</f>
        <v>2174.5643188528052</v>
      </c>
      <c r="E708" s="76">
        <f>C708/C711</f>
        <v>9.6236542280756794</v>
      </c>
      <c r="F708" s="94">
        <f>D708/D711</f>
        <v>8.425466658219948</v>
      </c>
      <c r="G708" s="203"/>
      <c r="H708" s="203"/>
    </row>
    <row r="709" spans="2:15">
      <c r="B709" s="90" t="s">
        <v>21</v>
      </c>
      <c r="C709" s="87">
        <f>+Model!AM134</f>
        <v>3272.422</v>
      </c>
      <c r="D709" s="85">
        <f>C709/$J$698</f>
        <v>2760.3728384647829</v>
      </c>
      <c r="E709" s="77"/>
      <c r="F709" s="97"/>
      <c r="G709" s="205"/>
      <c r="H709" s="205"/>
    </row>
    <row r="710" spans="2:15">
      <c r="B710" s="90" t="s">
        <v>22</v>
      </c>
      <c r="C710" s="88">
        <f>C708+C709</f>
        <v>5850.3680000000004</v>
      </c>
      <c r="D710" s="85">
        <f>C710/$J$698</f>
        <v>4934.9371573175877</v>
      </c>
      <c r="E710" s="77"/>
      <c r="F710" s="97"/>
      <c r="G710" s="205"/>
      <c r="H710" s="205"/>
      <c r="O710" s="161"/>
    </row>
    <row r="711" spans="2:15">
      <c r="B711" s="98" t="s">
        <v>23</v>
      </c>
      <c r="C711" s="99">
        <f>+Model!AM110</f>
        <v>267.87599999999998</v>
      </c>
      <c r="D711" s="99">
        <f>C711/$J$699</f>
        <v>258.09422873109162</v>
      </c>
      <c r="E711" s="100"/>
      <c r="F711" s="101"/>
      <c r="G711" s="205"/>
      <c r="H711" s="205"/>
    </row>
    <row r="712" spans="2:15">
      <c r="B712" s="78" t="s">
        <v>24</v>
      </c>
      <c r="C712" s="84">
        <f>+C706-Model!AM128</f>
        <v>0</v>
      </c>
    </row>
    <row r="713" spans="2:15">
      <c r="E713" s="67"/>
    </row>
    <row r="714" spans="2:15">
      <c r="B714" s="132" t="s">
        <v>143</v>
      </c>
      <c r="C714" s="132" t="s">
        <v>93</v>
      </c>
      <c r="D714" s="125" t="s">
        <v>94</v>
      </c>
    </row>
    <row r="715" spans="2:15">
      <c r="B715" s="79">
        <v>2021</v>
      </c>
      <c r="C715" s="123">
        <v>79</v>
      </c>
      <c r="D715" s="80">
        <f t="shared" ref="D715:D721" si="13">+C715/$J$698</f>
        <v>66.638549135385915</v>
      </c>
    </row>
    <row r="716" spans="2:15">
      <c r="B716" s="79">
        <f t="shared" ref="B716:B720" si="14">+B715+1</f>
        <v>2022</v>
      </c>
      <c r="C716" s="123">
        <v>11</v>
      </c>
      <c r="D716" s="80">
        <f t="shared" si="13"/>
        <v>9.2787853226486714</v>
      </c>
    </row>
    <row r="717" spans="2:15">
      <c r="B717" s="79">
        <f t="shared" si="14"/>
        <v>2023</v>
      </c>
      <c r="C717" s="123">
        <v>411</v>
      </c>
      <c r="D717" s="80">
        <f t="shared" si="13"/>
        <v>346.68916069169126</v>
      </c>
    </row>
    <row r="718" spans="2:15">
      <c r="B718" s="79">
        <f t="shared" si="14"/>
        <v>2024</v>
      </c>
      <c r="C718" s="123">
        <v>511</v>
      </c>
      <c r="D718" s="80">
        <f t="shared" si="13"/>
        <v>431.04175453395192</v>
      </c>
    </row>
    <row r="719" spans="2:15">
      <c r="B719" s="79">
        <f t="shared" si="14"/>
        <v>2025</v>
      </c>
      <c r="C719" s="123">
        <v>707</v>
      </c>
      <c r="D719" s="80">
        <f t="shared" si="13"/>
        <v>596.37283846478283</v>
      </c>
    </row>
    <row r="720" spans="2:15">
      <c r="B720" s="79">
        <f t="shared" si="14"/>
        <v>2026</v>
      </c>
      <c r="C720" s="123">
        <v>513</v>
      </c>
      <c r="D720" s="80">
        <f t="shared" si="13"/>
        <v>432.72880641079712</v>
      </c>
    </row>
    <row r="721" spans="1:10">
      <c r="B721" s="79" t="str">
        <f>+B720+1 &amp; "+"</f>
        <v>2027+</v>
      </c>
      <c r="C721" s="123">
        <v>846</v>
      </c>
      <c r="D721" s="80">
        <f t="shared" si="13"/>
        <v>713.62294390552506</v>
      </c>
    </row>
    <row r="722" spans="1:10">
      <c r="B722" s="81" t="s">
        <v>18</v>
      </c>
      <c r="C722" s="82">
        <f>+SUM(C715:C721)</f>
        <v>3078</v>
      </c>
      <c r="D722" s="82">
        <f>+SUM(D715:D721)</f>
        <v>2596.3728384647825</v>
      </c>
      <c r="F722" s="82"/>
      <c r="G722" s="159"/>
      <c r="H722" s="159"/>
    </row>
    <row r="723" spans="1:10">
      <c r="B723" s="78"/>
      <c r="C723" s="83"/>
      <c r="D723" s="83"/>
      <c r="F723" s="122"/>
      <c r="G723" s="122"/>
      <c r="H723" s="122"/>
    </row>
    <row r="725" spans="1:10">
      <c r="B725" s="132" t="s">
        <v>92</v>
      </c>
      <c r="C725" s="132" t="s">
        <v>93</v>
      </c>
      <c r="D725" s="125" t="s">
        <v>94</v>
      </c>
    </row>
    <row r="726" spans="1:10">
      <c r="B726" s="79" t="s">
        <v>95</v>
      </c>
      <c r="C726" s="158"/>
      <c r="D726" s="80">
        <f>+C726/$J$698</f>
        <v>0</v>
      </c>
    </row>
    <row r="727" spans="1:10">
      <c r="B727" s="79" t="s">
        <v>96</v>
      </c>
      <c r="C727" s="158"/>
      <c r="D727" s="80">
        <f>+C727/$J$698</f>
        <v>0</v>
      </c>
    </row>
    <row r="728" spans="1:10">
      <c r="B728" s="79" t="s">
        <v>97</v>
      </c>
      <c r="C728" s="158"/>
      <c r="D728" s="80">
        <f>+C728/$J$698</f>
        <v>0</v>
      </c>
    </row>
    <row r="729" spans="1:10">
      <c r="B729" s="79" t="s">
        <v>99</v>
      </c>
      <c r="C729" s="158"/>
      <c r="D729" s="80">
        <f>+C729/$J$698</f>
        <v>0</v>
      </c>
    </row>
    <row r="730" spans="1:10">
      <c r="B730" s="81" t="s">
        <v>18</v>
      </c>
      <c r="C730" s="159">
        <f>SUM(C726:C729)</f>
        <v>0</v>
      </c>
      <c r="D730" s="82">
        <f>+SUM(D726:D729)</f>
        <v>0</v>
      </c>
    </row>
    <row r="731" spans="1:10">
      <c r="B731" s="78"/>
      <c r="C731" s="83"/>
      <c r="D731" s="83"/>
    </row>
    <row r="733" spans="1:10">
      <c r="A733" s="69" t="s">
        <v>144</v>
      </c>
      <c r="I733" s="70" t="s">
        <v>145</v>
      </c>
      <c r="J733" s="71">
        <f>+Model!AL204</f>
        <v>0.85250000000000004</v>
      </c>
    </row>
    <row r="734" spans="1:10">
      <c r="I734" s="72" t="s">
        <v>146</v>
      </c>
      <c r="J734" s="71">
        <f>+Model!AL205</f>
        <v>0.85809999999999997</v>
      </c>
    </row>
    <row r="736" spans="1:10">
      <c r="B736" s="73"/>
      <c r="C736" s="71"/>
      <c r="I736" s="67"/>
    </row>
    <row r="737" spans="1:8" ht="26.25">
      <c r="A737" s="109"/>
      <c r="B737" s="102" t="s">
        <v>147</v>
      </c>
      <c r="C737" s="110" t="s">
        <v>115</v>
      </c>
      <c r="D737" s="110" t="s">
        <v>5</v>
      </c>
      <c r="E737" s="89" t="s">
        <v>6</v>
      </c>
      <c r="F737" s="111" t="s">
        <v>7</v>
      </c>
      <c r="G737" s="201"/>
      <c r="H737" s="201"/>
    </row>
    <row r="738" spans="1:8">
      <c r="B738" s="92" t="s">
        <v>63</v>
      </c>
      <c r="C738" s="85">
        <f>Model!AL126</f>
        <v>119.104</v>
      </c>
      <c r="D738" s="85">
        <f>C738/$J$733</f>
        <v>139.71143695014663</v>
      </c>
      <c r="E738" s="75"/>
      <c r="F738" s="91"/>
      <c r="G738" s="202"/>
      <c r="H738" s="202"/>
    </row>
    <row r="739" spans="1:8">
      <c r="B739" s="92" t="s">
        <v>64</v>
      </c>
      <c r="C739" s="85">
        <f>Model!AL127</f>
        <v>3348.34</v>
      </c>
      <c r="D739" s="85">
        <f>C739/$J$733</f>
        <v>3927.6715542521993</v>
      </c>
      <c r="E739" s="75"/>
      <c r="F739" s="91"/>
      <c r="G739" s="202"/>
      <c r="H739" s="202"/>
    </row>
    <row r="740" spans="1:8">
      <c r="B740" s="92"/>
      <c r="C740" s="85"/>
      <c r="D740" s="85"/>
      <c r="E740" s="75"/>
      <c r="F740" s="91"/>
      <c r="G740" s="202"/>
      <c r="H740" s="202"/>
    </row>
    <row r="741" spans="1:8">
      <c r="B741" s="93" t="s">
        <v>18</v>
      </c>
      <c r="C741" s="86">
        <f>C738+C739</f>
        <v>3467.444</v>
      </c>
      <c r="D741" s="86">
        <f>D738+D739</f>
        <v>4067.3829912023457</v>
      </c>
      <c r="E741" s="76">
        <f>C741/C746</f>
        <v>14.163585415866743</v>
      </c>
      <c r="F741" s="94">
        <f>D741/D746</f>
        <v>14.256624803935777</v>
      </c>
      <c r="G741" s="203"/>
      <c r="H741" s="203"/>
    </row>
    <row r="742" spans="1:8">
      <c r="B742" s="92" t="s">
        <v>19</v>
      </c>
      <c r="C742" s="85">
        <f>Model!AL130</f>
        <v>1148.002</v>
      </c>
      <c r="D742" s="85">
        <f>C742/$J$733</f>
        <v>1346.6299120234603</v>
      </c>
      <c r="E742" s="95"/>
      <c r="F742" s="96"/>
      <c r="G742" s="204"/>
      <c r="H742" s="204"/>
    </row>
    <row r="743" spans="1:8">
      <c r="B743" s="93" t="s">
        <v>20</v>
      </c>
      <c r="C743" s="86">
        <f>C741-C742</f>
        <v>2319.442</v>
      </c>
      <c r="D743" s="86">
        <f>D741-D742</f>
        <v>2720.7530791788854</v>
      </c>
      <c r="E743" s="76">
        <f>C743/C746</f>
        <v>9.4743029401913308</v>
      </c>
      <c r="F743" s="94">
        <f>D743/D746</f>
        <v>9.5365388304729386</v>
      </c>
      <c r="G743" s="203"/>
      <c r="H743" s="203"/>
    </row>
    <row r="744" spans="1:8">
      <c r="B744" s="90" t="s">
        <v>21</v>
      </c>
      <c r="C744" s="87">
        <f>+Model!AL134</f>
        <v>3181.489</v>
      </c>
      <c r="D744" s="85">
        <f>C744/$J$733</f>
        <v>3731.9519061583578</v>
      </c>
      <c r="E744" s="77"/>
      <c r="F744" s="97"/>
      <c r="G744" s="205"/>
      <c r="H744" s="205"/>
    </row>
    <row r="745" spans="1:8">
      <c r="B745" s="90" t="s">
        <v>22</v>
      </c>
      <c r="C745" s="88">
        <f>C743+C744</f>
        <v>5500.9310000000005</v>
      </c>
      <c r="D745" s="85">
        <f>C745/$J$733</f>
        <v>6452.7049853372437</v>
      </c>
      <c r="E745" s="77"/>
      <c r="F745" s="97"/>
      <c r="G745" s="205"/>
      <c r="H745" s="205"/>
    </row>
    <row r="746" spans="1:8">
      <c r="B746" s="98" t="s">
        <v>23</v>
      </c>
      <c r="C746" s="99">
        <f>+Model!AL110</f>
        <v>244.81399999999994</v>
      </c>
      <c r="D746" s="99">
        <f>C746/$J$734</f>
        <v>285.29775084488983</v>
      </c>
      <c r="E746" s="100"/>
      <c r="F746" s="101"/>
      <c r="G746" s="205"/>
      <c r="H746" s="205"/>
    </row>
    <row r="747" spans="1:8">
      <c r="B747" s="78" t="s">
        <v>24</v>
      </c>
      <c r="C747" s="84">
        <f>+C741-Model!AL128</f>
        <v>0</v>
      </c>
    </row>
    <row r="748" spans="1:8">
      <c r="E748" s="67"/>
    </row>
    <row r="749" spans="1:8">
      <c r="B749" s="132" t="s">
        <v>148</v>
      </c>
      <c r="C749" s="132" t="s">
        <v>93</v>
      </c>
      <c r="D749" s="125" t="s">
        <v>94</v>
      </c>
    </row>
    <row r="750" spans="1:8">
      <c r="B750" s="79">
        <v>2021</v>
      </c>
      <c r="C750" s="123">
        <v>122</v>
      </c>
      <c r="D750" s="80">
        <f t="shared" ref="D750:D756" si="15">+C750/$J$733</f>
        <v>143.10850439882697</v>
      </c>
    </row>
    <row r="751" spans="1:8">
      <c r="B751" s="79">
        <f t="shared" ref="B751:B755" si="16">+B750+1</f>
        <v>2022</v>
      </c>
      <c r="C751" s="123">
        <v>60</v>
      </c>
      <c r="D751" s="80">
        <f t="shared" si="15"/>
        <v>70.381231671554247</v>
      </c>
    </row>
    <row r="752" spans="1:8">
      <c r="B752" s="79">
        <f t="shared" si="16"/>
        <v>2023</v>
      </c>
      <c r="C752" s="123">
        <v>460</v>
      </c>
      <c r="D752" s="80">
        <f t="shared" si="15"/>
        <v>539.5894428152493</v>
      </c>
    </row>
    <row r="753" spans="1:10">
      <c r="B753" s="79">
        <f t="shared" si="16"/>
        <v>2024</v>
      </c>
      <c r="C753" s="123">
        <v>60</v>
      </c>
      <c r="D753" s="80">
        <f t="shared" si="15"/>
        <v>70.381231671554247</v>
      </c>
    </row>
    <row r="754" spans="1:10">
      <c r="B754" s="79">
        <f t="shared" si="16"/>
        <v>2025</v>
      </c>
      <c r="C754" s="123">
        <v>758</v>
      </c>
      <c r="D754" s="80">
        <f t="shared" si="15"/>
        <v>889.14956011730203</v>
      </c>
    </row>
    <row r="755" spans="1:10">
      <c r="B755" s="79">
        <f t="shared" si="16"/>
        <v>2026</v>
      </c>
      <c r="C755" s="123">
        <v>1680</v>
      </c>
      <c r="D755" s="80">
        <f t="shared" si="15"/>
        <v>1970.6744868035189</v>
      </c>
    </row>
    <row r="756" spans="1:10">
      <c r="B756" s="79" t="str">
        <f>+B755+1 &amp; "+"</f>
        <v>2027+</v>
      </c>
      <c r="C756" s="123">
        <v>348</v>
      </c>
      <c r="D756" s="80">
        <f t="shared" si="15"/>
        <v>408.21114369501464</v>
      </c>
    </row>
    <row r="757" spans="1:10">
      <c r="B757" s="81" t="s">
        <v>18</v>
      </c>
      <c r="C757" s="82">
        <f>+SUM(C750:C756)</f>
        <v>3488</v>
      </c>
      <c r="D757" s="82">
        <f>+SUM(D750:D756)</f>
        <v>4091.4956011730201</v>
      </c>
      <c r="F757" s="82"/>
      <c r="G757" s="159"/>
      <c r="H757" s="159"/>
    </row>
    <row r="758" spans="1:10">
      <c r="B758" s="78"/>
      <c r="C758" s="83"/>
      <c r="D758" s="83"/>
      <c r="F758" s="122"/>
      <c r="G758" s="122"/>
      <c r="H758" s="122"/>
    </row>
    <row r="760" spans="1:10">
      <c r="B760" s="132" t="s">
        <v>92</v>
      </c>
      <c r="C760" s="132" t="s">
        <v>93</v>
      </c>
      <c r="D760" s="125" t="s">
        <v>94</v>
      </c>
    </row>
    <row r="761" spans="1:10">
      <c r="B761" s="79" t="s">
        <v>95</v>
      </c>
      <c r="C761" s="158"/>
      <c r="D761" s="80">
        <f>+C761/$J$733</f>
        <v>0</v>
      </c>
    </row>
    <row r="762" spans="1:10">
      <c r="B762" s="79" t="s">
        <v>96</v>
      </c>
      <c r="C762" s="158"/>
      <c r="D762" s="80">
        <f>+C762/$J$733</f>
        <v>0</v>
      </c>
    </row>
    <row r="763" spans="1:10">
      <c r="B763" s="79" t="s">
        <v>97</v>
      </c>
      <c r="C763" s="158"/>
      <c r="D763" s="80">
        <f>+C763/$J$733</f>
        <v>0</v>
      </c>
    </row>
    <row r="764" spans="1:10">
      <c r="B764" s="79" t="s">
        <v>99</v>
      </c>
      <c r="C764" s="158"/>
      <c r="D764" s="80">
        <f>+C764/$J$733</f>
        <v>0</v>
      </c>
    </row>
    <row r="765" spans="1:10">
      <c r="B765" s="81" t="s">
        <v>18</v>
      </c>
      <c r="C765" s="159">
        <f>SUM(C761:C764)</f>
        <v>0</v>
      </c>
      <c r="D765" s="82">
        <f>+SUM(D761:D764)</f>
        <v>0</v>
      </c>
    </row>
    <row r="766" spans="1:10">
      <c r="B766" s="78"/>
      <c r="C766" s="83"/>
      <c r="D766" s="83"/>
    </row>
    <row r="768" spans="1:10">
      <c r="A768" s="69" t="s">
        <v>149</v>
      </c>
      <c r="I768" s="70" t="s">
        <v>150</v>
      </c>
      <c r="J768" s="71">
        <f>+Model!S204</f>
        <v>0.90769999999999995</v>
      </c>
    </row>
    <row r="769" spans="1:10">
      <c r="I769" s="72" t="s">
        <v>151</v>
      </c>
      <c r="J769" s="71">
        <f>+Model!S205</f>
        <v>0.89575000000000005</v>
      </c>
    </row>
    <row r="771" spans="1:10">
      <c r="B771" s="73"/>
      <c r="C771" s="71"/>
      <c r="I771" s="67"/>
    </row>
    <row r="772" spans="1:10" ht="26.25">
      <c r="A772" s="109"/>
      <c r="B772" s="102" t="s">
        <v>152</v>
      </c>
      <c r="C772" s="110" t="s">
        <v>115</v>
      </c>
      <c r="D772" s="110" t="s">
        <v>5</v>
      </c>
      <c r="E772" s="89" t="s">
        <v>6</v>
      </c>
      <c r="F772" s="111" t="s">
        <v>7</v>
      </c>
      <c r="G772" s="206"/>
      <c r="H772" s="206"/>
      <c r="I772" s="102" t="s">
        <v>153</v>
      </c>
      <c r="J772" s="102" t="s">
        <v>115</v>
      </c>
    </row>
    <row r="773" spans="1:10">
      <c r="B773" s="92" t="s">
        <v>63</v>
      </c>
      <c r="C773" s="85">
        <f>Model!S126</f>
        <v>232.977</v>
      </c>
      <c r="D773" s="85">
        <f>C773/$J$768</f>
        <v>256.66740112371929</v>
      </c>
      <c r="E773" s="75"/>
      <c r="F773" s="91"/>
      <c r="G773" s="202"/>
      <c r="H773" s="202"/>
      <c r="I773" s="92" t="s">
        <v>154</v>
      </c>
      <c r="J773" s="103">
        <f>C773</f>
        <v>232.977</v>
      </c>
    </row>
    <row r="774" spans="1:10">
      <c r="B774" s="92" t="s">
        <v>64</v>
      </c>
      <c r="C774" s="85">
        <f>Model!S127</f>
        <v>2577.8670000000002</v>
      </c>
      <c r="D774" s="85">
        <f>C774/$J$768</f>
        <v>2839.9988983144212</v>
      </c>
      <c r="E774" s="75"/>
      <c r="F774" s="91"/>
      <c r="G774" s="202"/>
      <c r="H774" s="202"/>
      <c r="I774" s="92" t="s">
        <v>155</v>
      </c>
      <c r="J774" s="103">
        <f>C774</f>
        <v>2577.8670000000002</v>
      </c>
    </row>
    <row r="775" spans="1:10">
      <c r="B775" s="92"/>
      <c r="C775" s="85"/>
      <c r="D775" s="85"/>
      <c r="E775" s="75"/>
      <c r="F775" s="91"/>
      <c r="G775" s="202"/>
      <c r="H775" s="202"/>
      <c r="I775" s="92" t="s">
        <v>156</v>
      </c>
      <c r="J775" s="103">
        <v>4000</v>
      </c>
    </row>
    <row r="776" spans="1:10">
      <c r="B776" s="93" t="s">
        <v>157</v>
      </c>
      <c r="C776" s="86">
        <f>C773+C774</f>
        <v>2810.8440000000001</v>
      </c>
      <c r="D776" s="86">
        <f>D773+D774</f>
        <v>3096.6662994381404</v>
      </c>
      <c r="E776" s="76">
        <f>C776/C781</f>
        <v>11.672940199335548</v>
      </c>
      <c r="F776" s="94">
        <f>D776/D781</f>
        <v>11.519264276252967</v>
      </c>
      <c r="G776" s="207"/>
      <c r="H776" s="207"/>
      <c r="I776" s="93" t="s">
        <v>157</v>
      </c>
      <c r="J776" s="104">
        <f>J773+J774+J775</f>
        <v>6810.8440000000001</v>
      </c>
    </row>
    <row r="777" spans="1:10">
      <c r="B777" s="92" t="s">
        <v>19</v>
      </c>
      <c r="C777" s="85">
        <f>Model!S130</f>
        <v>78.691999999999993</v>
      </c>
      <c r="D777" s="85">
        <f>C777/$J$768</f>
        <v>86.693841577613739</v>
      </c>
      <c r="E777" s="95"/>
      <c r="F777" s="96"/>
      <c r="G777" s="204"/>
      <c r="H777" s="204"/>
      <c r="I777" s="92" t="s">
        <v>19</v>
      </c>
      <c r="J777" s="105">
        <f>C777</f>
        <v>78.691999999999993</v>
      </c>
    </row>
    <row r="778" spans="1:10">
      <c r="B778" s="93" t="s">
        <v>20</v>
      </c>
      <c r="C778" s="86">
        <f>C776-C777</f>
        <v>2732.152</v>
      </c>
      <c r="D778" s="86">
        <f>D776-D777</f>
        <v>3009.9724578605264</v>
      </c>
      <c r="E778" s="76">
        <f>C778/C781</f>
        <v>11.346146179401993</v>
      </c>
      <c r="F778" s="94">
        <f>D778/D781</f>
        <v>11.196772546214978</v>
      </c>
      <c r="G778" s="207"/>
      <c r="H778" s="207"/>
      <c r="I778" s="93" t="s">
        <v>20</v>
      </c>
      <c r="J778" s="104">
        <f>J776-J777</f>
        <v>6732.152</v>
      </c>
    </row>
    <row r="779" spans="1:10">
      <c r="B779" s="90" t="s">
        <v>21</v>
      </c>
      <c r="C779" s="87">
        <f>+Model!S134</f>
        <v>2109.1550000000002</v>
      </c>
      <c r="D779" s="85">
        <f>C779/$J$768</f>
        <v>2323.6256472402779</v>
      </c>
      <c r="E779" s="77"/>
      <c r="F779" s="97"/>
      <c r="G779" s="205"/>
      <c r="H779" s="205"/>
      <c r="I779" s="90" t="s">
        <v>21</v>
      </c>
      <c r="J779" s="106">
        <f>C779</f>
        <v>2109.1550000000002</v>
      </c>
    </row>
    <row r="780" spans="1:10">
      <c r="B780" s="90" t="s">
        <v>22</v>
      </c>
      <c r="C780" s="88">
        <f>C778+C779</f>
        <v>4841.3070000000007</v>
      </c>
      <c r="D780" s="85">
        <f>C780/$J$768</f>
        <v>5333.5981051008057</v>
      </c>
      <c r="E780" s="77"/>
      <c r="F780" s="97"/>
      <c r="G780" s="205"/>
      <c r="H780" s="205"/>
      <c r="I780" s="90" t="s">
        <v>22</v>
      </c>
      <c r="J780" s="107">
        <f>J778+J779</f>
        <v>8841.3070000000007</v>
      </c>
    </row>
    <row r="781" spans="1:10">
      <c r="B781" s="98" t="s">
        <v>23</v>
      </c>
      <c r="C781" s="99">
        <f>+Model!S110</f>
        <v>240.8</v>
      </c>
      <c r="D781" s="99">
        <f>C781/$J$769</f>
        <v>268.82500697739323</v>
      </c>
      <c r="E781" s="100"/>
      <c r="F781" s="101"/>
      <c r="G781" s="208"/>
      <c r="H781" s="208"/>
      <c r="I781" s="98" t="s">
        <v>23</v>
      </c>
      <c r="J781" s="108">
        <f>C781</f>
        <v>240.8</v>
      </c>
    </row>
    <row r="782" spans="1:10">
      <c r="B782" s="78" t="s">
        <v>24</v>
      </c>
      <c r="C782" s="84">
        <f>+C776-Model!S128</f>
        <v>0</v>
      </c>
    </row>
    <row r="783" spans="1:10">
      <c r="E783" s="67"/>
    </row>
    <row r="784" spans="1:10">
      <c r="B784" s="132" t="s">
        <v>158</v>
      </c>
      <c r="C784" s="132" t="s">
        <v>93</v>
      </c>
      <c r="D784" s="125" t="s">
        <v>94</v>
      </c>
    </row>
    <row r="785" spans="2:8">
      <c r="B785" s="79">
        <v>2020</v>
      </c>
      <c r="C785" s="123">
        <v>89</v>
      </c>
      <c r="D785" s="80">
        <f t="shared" ref="D785:D795" si="17">+C785/$J$768</f>
        <v>98.050016525283695</v>
      </c>
    </row>
    <row r="786" spans="2:8">
      <c r="B786" s="79">
        <f>+B785+1</f>
        <v>2021</v>
      </c>
      <c r="C786" s="123">
        <v>98</v>
      </c>
      <c r="D786" s="80">
        <f t="shared" si="17"/>
        <v>107.96518673570563</v>
      </c>
    </row>
    <row r="787" spans="2:8">
      <c r="B787" s="79">
        <f t="shared" ref="B787:B795" si="18">+B786+1</f>
        <v>2022</v>
      </c>
      <c r="C787" s="123">
        <v>115</v>
      </c>
      <c r="D787" s="80">
        <f t="shared" si="17"/>
        <v>126.69384157761375</v>
      </c>
    </row>
    <row r="788" spans="2:8">
      <c r="B788" s="79">
        <f t="shared" si="18"/>
        <v>2023</v>
      </c>
      <c r="C788" s="123">
        <v>271</v>
      </c>
      <c r="D788" s="80">
        <f t="shared" si="17"/>
        <v>298.55679189159417</v>
      </c>
    </row>
    <row r="789" spans="2:8">
      <c r="B789" s="79">
        <f t="shared" si="18"/>
        <v>2024</v>
      </c>
      <c r="C789" s="123">
        <v>91</v>
      </c>
      <c r="D789" s="80">
        <f t="shared" si="17"/>
        <v>100.25338768315524</v>
      </c>
    </row>
    <row r="790" spans="2:8">
      <c r="B790" s="79">
        <f t="shared" si="18"/>
        <v>2025</v>
      </c>
      <c r="C790" s="123">
        <v>127</v>
      </c>
      <c r="D790" s="80">
        <f t="shared" si="17"/>
        <v>139.914068524843</v>
      </c>
    </row>
    <row r="791" spans="2:8">
      <c r="B791" s="79">
        <f t="shared" si="18"/>
        <v>2026</v>
      </c>
      <c r="C791" s="123">
        <v>1525</v>
      </c>
      <c r="D791" s="80">
        <f t="shared" si="17"/>
        <v>1680.070507877052</v>
      </c>
    </row>
    <row r="792" spans="2:8">
      <c r="B792" s="79">
        <f t="shared" si="18"/>
        <v>2027</v>
      </c>
      <c r="C792" s="123">
        <v>4</v>
      </c>
      <c r="D792" s="80">
        <f t="shared" si="17"/>
        <v>4.4067423157430872</v>
      </c>
    </row>
    <row r="793" spans="2:8">
      <c r="B793" s="79">
        <f t="shared" si="18"/>
        <v>2028</v>
      </c>
      <c r="C793" s="123">
        <v>14</v>
      </c>
      <c r="D793" s="80">
        <f t="shared" si="17"/>
        <v>15.423598105100805</v>
      </c>
    </row>
    <row r="794" spans="2:8">
      <c r="B794" s="79">
        <f t="shared" si="18"/>
        <v>2029</v>
      </c>
      <c r="C794" s="123">
        <v>36</v>
      </c>
      <c r="D794" s="80">
        <f t="shared" si="17"/>
        <v>39.660680841687785</v>
      </c>
      <c r="F794" s="121"/>
      <c r="G794" s="121"/>
      <c r="H794" s="121"/>
    </row>
    <row r="795" spans="2:8">
      <c r="B795" s="79">
        <f t="shared" si="18"/>
        <v>2030</v>
      </c>
      <c r="C795" s="123">
        <v>421</v>
      </c>
      <c r="D795" s="80">
        <f t="shared" si="17"/>
        <v>463.80962873195995</v>
      </c>
    </row>
    <row r="796" spans="2:8">
      <c r="B796" s="81" t="s">
        <v>159</v>
      </c>
      <c r="C796" s="82">
        <f>+SUM(C785:C795)</f>
        <v>2791</v>
      </c>
      <c r="D796" s="82">
        <f>+SUM(D785:D795)</f>
        <v>3074.8044508097387</v>
      </c>
      <c r="F796" s="82"/>
      <c r="G796" s="159"/>
      <c r="H796" s="159"/>
    </row>
    <row r="797" spans="2:8">
      <c r="B797" s="78" t="s">
        <v>160</v>
      </c>
      <c r="C797" s="83"/>
      <c r="D797" s="83"/>
      <c r="F797" s="122"/>
      <c r="G797" s="122"/>
      <c r="H797" s="122"/>
    </row>
    <row r="799" spans="2:8">
      <c r="B799" s="132" t="s">
        <v>92</v>
      </c>
      <c r="C799" s="132" t="s">
        <v>93</v>
      </c>
      <c r="D799" s="125" t="s">
        <v>94</v>
      </c>
    </row>
    <row r="800" spans="2:8">
      <c r="B800" s="79" t="s">
        <v>95</v>
      </c>
      <c r="C800" s="123">
        <v>2014.5920000000001</v>
      </c>
      <c r="D800" s="80">
        <f>+C800/$J$768</f>
        <v>2219.4469538393746</v>
      </c>
    </row>
    <row r="801" spans="2:4">
      <c r="B801" s="79" t="s">
        <v>96</v>
      </c>
      <c r="C801" s="123">
        <v>431.52499999999998</v>
      </c>
      <c r="D801" s="80">
        <f>+C801/$J$768</f>
        <v>475.4048694502589</v>
      </c>
    </row>
    <row r="802" spans="2:4">
      <c r="B802" s="79" t="s">
        <v>97</v>
      </c>
      <c r="C802" s="123">
        <v>153.292</v>
      </c>
      <c r="D802" s="80">
        <f>+C802/$J$768</f>
        <v>168.87958576622233</v>
      </c>
    </row>
    <row r="803" spans="2:4">
      <c r="B803" s="79" t="s">
        <v>99</v>
      </c>
      <c r="C803" s="123">
        <v>211.435</v>
      </c>
      <c r="D803" s="80">
        <f>+C803/$J$768</f>
        <v>232.93489038228492</v>
      </c>
    </row>
    <row r="804" spans="2:4">
      <c r="B804" s="81" t="s">
        <v>159</v>
      </c>
      <c r="C804" s="82">
        <f>C776</f>
        <v>2810.8440000000001</v>
      </c>
      <c r="D804" s="82">
        <f>+SUM(D800:D803)</f>
        <v>3096.6662994381404</v>
      </c>
    </row>
    <row r="805" spans="2:4">
      <c r="B805" s="78" t="s">
        <v>160</v>
      </c>
      <c r="C805" s="83">
        <f>C804-C776</f>
        <v>0</v>
      </c>
      <c r="D805" s="83"/>
    </row>
  </sheetData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D776 D778 J776:J780 K673:K67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G262"/>
  <sheetViews>
    <sheetView showGridLines="0" tabSelected="1" zoomScaleNormal="100" workbookViewId="0">
      <pane xSplit="2" ySplit="6" topLeftCell="AB7" activePane="bottomRight" state="frozen"/>
      <selection pane="bottomRight" activeCell="O204" sqref="O204"/>
      <selection pane="bottomLeft" activeCell="H50" sqref="H50"/>
      <selection pane="topRight" activeCell="H50" sqref="H50"/>
    </sheetView>
  </sheetViews>
  <sheetFormatPr defaultColWidth="11.42578125" defaultRowHeight="12.75" outlineLevelCol="1"/>
  <cols>
    <col min="1" max="1" width="2.7109375" style="1" customWidth="1"/>
    <col min="2" max="2" width="50.7109375" style="1" customWidth="1"/>
    <col min="3" max="11" width="12.7109375" style="1" hidden="1" customWidth="1" outlineLevel="1"/>
    <col min="12" max="12" width="12.7109375" style="1" customWidth="1" collapsed="1"/>
    <col min="13" max="16" width="12.7109375" style="1" customWidth="1"/>
    <col min="17" max="26" width="12.7109375" style="1" hidden="1" customWidth="1" outlineLevel="1"/>
    <col min="27" max="27" width="12.7109375" style="1" customWidth="1" collapsed="1"/>
    <col min="28" max="31" width="12.7109375" style="1" customWidth="1"/>
    <col min="32" max="45" width="12.7109375" style="1" hidden="1" customWidth="1" outlineLevel="1"/>
    <col min="46" max="46" width="12.7109375" style="1" hidden="1" customWidth="1" outlineLevel="1" collapsed="1"/>
    <col min="47" max="52" width="12.7109375" style="1" hidden="1" customWidth="1" outlineLevel="1"/>
    <col min="53" max="54" width="12.7109375" style="1" customWidth="1" collapsed="1"/>
    <col min="55" max="57" width="12.7109375" style="1" customWidth="1"/>
    <col min="58" max="58" width="12.7109375" style="1" customWidth="1" collapsed="1"/>
    <col min="59" max="67" width="12.7109375" style="1" customWidth="1"/>
    <col min="68" max="274" width="11.42578125" style="1"/>
    <col min="275" max="275" width="3.5703125" style="1" customWidth="1"/>
    <col min="276" max="276" width="38.140625" style="1" customWidth="1"/>
    <col min="277" max="281" width="13.140625" style="1" customWidth="1"/>
    <col min="282" max="292" width="11.42578125" style="1" customWidth="1"/>
    <col min="293" max="293" width="11.42578125" style="1"/>
    <col min="294" max="294" width="20.140625" style="1" bestFit="1" customWidth="1"/>
    <col min="295" max="530" width="11.42578125" style="1"/>
    <col min="531" max="531" width="3.5703125" style="1" customWidth="1"/>
    <col min="532" max="532" width="38.140625" style="1" customWidth="1"/>
    <col min="533" max="537" width="13.140625" style="1" customWidth="1"/>
    <col min="538" max="548" width="11.42578125" style="1" customWidth="1"/>
    <col min="549" max="549" width="11.42578125" style="1"/>
    <col min="550" max="550" width="20.140625" style="1" bestFit="1" customWidth="1"/>
    <col min="551" max="786" width="11.42578125" style="1"/>
    <col min="787" max="787" width="3.5703125" style="1" customWidth="1"/>
    <col min="788" max="788" width="38.140625" style="1" customWidth="1"/>
    <col min="789" max="793" width="13.140625" style="1" customWidth="1"/>
    <col min="794" max="804" width="11.42578125" style="1" customWidth="1"/>
    <col min="805" max="805" width="11.42578125" style="1"/>
    <col min="806" max="806" width="20.140625" style="1" bestFit="1" customWidth="1"/>
    <col min="807" max="1042" width="11.42578125" style="1"/>
    <col min="1043" max="1043" width="3.5703125" style="1" customWidth="1"/>
    <col min="1044" max="1044" width="38.140625" style="1" customWidth="1"/>
    <col min="1045" max="1049" width="13.140625" style="1" customWidth="1"/>
    <col min="1050" max="1060" width="11.42578125" style="1" customWidth="1"/>
    <col min="1061" max="1061" width="11.42578125" style="1"/>
    <col min="1062" max="1062" width="20.140625" style="1" bestFit="1" customWidth="1"/>
    <col min="1063" max="1298" width="11.42578125" style="1"/>
    <col min="1299" max="1299" width="3.5703125" style="1" customWidth="1"/>
    <col min="1300" max="1300" width="38.140625" style="1" customWidth="1"/>
    <col min="1301" max="1305" width="13.140625" style="1" customWidth="1"/>
    <col min="1306" max="1316" width="11.42578125" style="1" customWidth="1"/>
    <col min="1317" max="1317" width="11.42578125" style="1"/>
    <col min="1318" max="1318" width="20.140625" style="1" bestFit="1" customWidth="1"/>
    <col min="1319" max="1554" width="11.42578125" style="1"/>
    <col min="1555" max="1555" width="3.5703125" style="1" customWidth="1"/>
    <col min="1556" max="1556" width="38.140625" style="1" customWidth="1"/>
    <col min="1557" max="1561" width="13.140625" style="1" customWidth="1"/>
    <col min="1562" max="1572" width="11.42578125" style="1" customWidth="1"/>
    <col min="1573" max="1573" width="11.42578125" style="1"/>
    <col min="1574" max="1574" width="20.140625" style="1" bestFit="1" customWidth="1"/>
    <col min="1575" max="1810" width="11.42578125" style="1"/>
    <col min="1811" max="1811" width="3.5703125" style="1" customWidth="1"/>
    <col min="1812" max="1812" width="38.140625" style="1" customWidth="1"/>
    <col min="1813" max="1817" width="13.140625" style="1" customWidth="1"/>
    <col min="1818" max="1828" width="11.42578125" style="1" customWidth="1"/>
    <col min="1829" max="1829" width="11.42578125" style="1"/>
    <col min="1830" max="1830" width="20.140625" style="1" bestFit="1" customWidth="1"/>
    <col min="1831" max="2066" width="11.42578125" style="1"/>
    <col min="2067" max="2067" width="3.5703125" style="1" customWidth="1"/>
    <col min="2068" max="2068" width="38.140625" style="1" customWidth="1"/>
    <col min="2069" max="2073" width="13.140625" style="1" customWidth="1"/>
    <col min="2074" max="2084" width="11.42578125" style="1" customWidth="1"/>
    <col min="2085" max="2085" width="11.42578125" style="1"/>
    <col min="2086" max="2086" width="20.140625" style="1" bestFit="1" customWidth="1"/>
    <col min="2087" max="2322" width="11.42578125" style="1"/>
    <col min="2323" max="2323" width="3.5703125" style="1" customWidth="1"/>
    <col min="2324" max="2324" width="38.140625" style="1" customWidth="1"/>
    <col min="2325" max="2329" width="13.140625" style="1" customWidth="1"/>
    <col min="2330" max="2340" width="11.42578125" style="1" customWidth="1"/>
    <col min="2341" max="2341" width="11.42578125" style="1"/>
    <col min="2342" max="2342" width="20.140625" style="1" bestFit="1" customWidth="1"/>
    <col min="2343" max="2578" width="11.42578125" style="1"/>
    <col min="2579" max="2579" width="3.5703125" style="1" customWidth="1"/>
    <col min="2580" max="2580" width="38.140625" style="1" customWidth="1"/>
    <col min="2581" max="2585" width="13.140625" style="1" customWidth="1"/>
    <col min="2586" max="2596" width="11.42578125" style="1" customWidth="1"/>
    <col min="2597" max="2597" width="11.42578125" style="1"/>
    <col min="2598" max="2598" width="20.140625" style="1" bestFit="1" customWidth="1"/>
    <col min="2599" max="2834" width="11.42578125" style="1"/>
    <col min="2835" max="2835" width="3.5703125" style="1" customWidth="1"/>
    <col min="2836" max="2836" width="38.140625" style="1" customWidth="1"/>
    <col min="2837" max="2841" width="13.140625" style="1" customWidth="1"/>
    <col min="2842" max="2852" width="11.42578125" style="1" customWidth="1"/>
    <col min="2853" max="2853" width="11.42578125" style="1"/>
    <col min="2854" max="2854" width="20.140625" style="1" bestFit="1" customWidth="1"/>
    <col min="2855" max="3090" width="11.42578125" style="1"/>
    <col min="3091" max="3091" width="3.5703125" style="1" customWidth="1"/>
    <col min="3092" max="3092" width="38.140625" style="1" customWidth="1"/>
    <col min="3093" max="3097" width="13.140625" style="1" customWidth="1"/>
    <col min="3098" max="3108" width="11.42578125" style="1" customWidth="1"/>
    <col min="3109" max="3109" width="11.42578125" style="1"/>
    <col min="3110" max="3110" width="20.140625" style="1" bestFit="1" customWidth="1"/>
    <col min="3111" max="3346" width="11.42578125" style="1"/>
    <col min="3347" max="3347" width="3.5703125" style="1" customWidth="1"/>
    <col min="3348" max="3348" width="38.140625" style="1" customWidth="1"/>
    <col min="3349" max="3353" width="13.140625" style="1" customWidth="1"/>
    <col min="3354" max="3364" width="11.42578125" style="1" customWidth="1"/>
    <col min="3365" max="3365" width="11.42578125" style="1"/>
    <col min="3366" max="3366" width="20.140625" style="1" bestFit="1" customWidth="1"/>
    <col min="3367" max="3602" width="11.42578125" style="1"/>
    <col min="3603" max="3603" width="3.5703125" style="1" customWidth="1"/>
    <col min="3604" max="3604" width="38.140625" style="1" customWidth="1"/>
    <col min="3605" max="3609" width="13.140625" style="1" customWidth="1"/>
    <col min="3610" max="3620" width="11.42578125" style="1" customWidth="1"/>
    <col min="3621" max="3621" width="11.42578125" style="1"/>
    <col min="3622" max="3622" width="20.140625" style="1" bestFit="1" customWidth="1"/>
    <col min="3623" max="3858" width="11.42578125" style="1"/>
    <col min="3859" max="3859" width="3.5703125" style="1" customWidth="1"/>
    <col min="3860" max="3860" width="38.140625" style="1" customWidth="1"/>
    <col min="3861" max="3865" width="13.140625" style="1" customWidth="1"/>
    <col min="3866" max="3876" width="11.42578125" style="1" customWidth="1"/>
    <col min="3877" max="3877" width="11.42578125" style="1"/>
    <col min="3878" max="3878" width="20.140625" style="1" bestFit="1" customWidth="1"/>
    <col min="3879" max="4114" width="11.42578125" style="1"/>
    <col min="4115" max="4115" width="3.5703125" style="1" customWidth="1"/>
    <col min="4116" max="4116" width="38.140625" style="1" customWidth="1"/>
    <col min="4117" max="4121" width="13.140625" style="1" customWidth="1"/>
    <col min="4122" max="4132" width="11.42578125" style="1" customWidth="1"/>
    <col min="4133" max="4133" width="11.42578125" style="1"/>
    <col min="4134" max="4134" width="20.140625" style="1" bestFit="1" customWidth="1"/>
    <col min="4135" max="4370" width="11.42578125" style="1"/>
    <col min="4371" max="4371" width="3.5703125" style="1" customWidth="1"/>
    <col min="4372" max="4372" width="38.140625" style="1" customWidth="1"/>
    <col min="4373" max="4377" width="13.140625" style="1" customWidth="1"/>
    <col min="4378" max="4388" width="11.42578125" style="1" customWidth="1"/>
    <col min="4389" max="4389" width="11.42578125" style="1"/>
    <col min="4390" max="4390" width="20.140625" style="1" bestFit="1" customWidth="1"/>
    <col min="4391" max="4626" width="11.42578125" style="1"/>
    <col min="4627" max="4627" width="3.5703125" style="1" customWidth="1"/>
    <col min="4628" max="4628" width="38.140625" style="1" customWidth="1"/>
    <col min="4629" max="4633" width="13.140625" style="1" customWidth="1"/>
    <col min="4634" max="4644" width="11.42578125" style="1" customWidth="1"/>
    <col min="4645" max="4645" width="11.42578125" style="1"/>
    <col min="4646" max="4646" width="20.140625" style="1" bestFit="1" customWidth="1"/>
    <col min="4647" max="4882" width="11.42578125" style="1"/>
    <col min="4883" max="4883" width="3.5703125" style="1" customWidth="1"/>
    <col min="4884" max="4884" width="38.140625" style="1" customWidth="1"/>
    <col min="4885" max="4889" width="13.140625" style="1" customWidth="1"/>
    <col min="4890" max="4900" width="11.42578125" style="1" customWidth="1"/>
    <col min="4901" max="4901" width="11.42578125" style="1"/>
    <col min="4902" max="4902" width="20.140625" style="1" bestFit="1" customWidth="1"/>
    <col min="4903" max="5138" width="11.42578125" style="1"/>
    <col min="5139" max="5139" width="3.5703125" style="1" customWidth="1"/>
    <col min="5140" max="5140" width="38.140625" style="1" customWidth="1"/>
    <col min="5141" max="5145" width="13.140625" style="1" customWidth="1"/>
    <col min="5146" max="5156" width="11.42578125" style="1" customWidth="1"/>
    <col min="5157" max="5157" width="11.42578125" style="1"/>
    <col min="5158" max="5158" width="20.140625" style="1" bestFit="1" customWidth="1"/>
    <col min="5159" max="5394" width="11.42578125" style="1"/>
    <col min="5395" max="5395" width="3.5703125" style="1" customWidth="1"/>
    <col min="5396" max="5396" width="38.140625" style="1" customWidth="1"/>
    <col min="5397" max="5401" width="13.140625" style="1" customWidth="1"/>
    <col min="5402" max="5412" width="11.42578125" style="1" customWidth="1"/>
    <col min="5413" max="5413" width="11.42578125" style="1"/>
    <col min="5414" max="5414" width="20.140625" style="1" bestFit="1" customWidth="1"/>
    <col min="5415" max="5650" width="11.42578125" style="1"/>
    <col min="5651" max="5651" width="3.5703125" style="1" customWidth="1"/>
    <col min="5652" max="5652" width="38.140625" style="1" customWidth="1"/>
    <col min="5653" max="5657" width="13.140625" style="1" customWidth="1"/>
    <col min="5658" max="5668" width="11.42578125" style="1" customWidth="1"/>
    <col min="5669" max="5669" width="11.42578125" style="1"/>
    <col min="5670" max="5670" width="20.140625" style="1" bestFit="1" customWidth="1"/>
    <col min="5671" max="5906" width="11.42578125" style="1"/>
    <col min="5907" max="5907" width="3.5703125" style="1" customWidth="1"/>
    <col min="5908" max="5908" width="38.140625" style="1" customWidth="1"/>
    <col min="5909" max="5913" width="13.140625" style="1" customWidth="1"/>
    <col min="5914" max="5924" width="11.42578125" style="1" customWidth="1"/>
    <col min="5925" max="5925" width="11.42578125" style="1"/>
    <col min="5926" max="5926" width="20.140625" style="1" bestFit="1" customWidth="1"/>
    <col min="5927" max="6162" width="11.42578125" style="1"/>
    <col min="6163" max="6163" width="3.5703125" style="1" customWidth="1"/>
    <col min="6164" max="6164" width="38.140625" style="1" customWidth="1"/>
    <col min="6165" max="6169" width="13.140625" style="1" customWidth="1"/>
    <col min="6170" max="6180" width="11.42578125" style="1" customWidth="1"/>
    <col min="6181" max="6181" width="11.42578125" style="1"/>
    <col min="6182" max="6182" width="20.140625" style="1" bestFit="1" customWidth="1"/>
    <col min="6183" max="6418" width="11.42578125" style="1"/>
    <col min="6419" max="6419" width="3.5703125" style="1" customWidth="1"/>
    <col min="6420" max="6420" width="38.140625" style="1" customWidth="1"/>
    <col min="6421" max="6425" width="13.140625" style="1" customWidth="1"/>
    <col min="6426" max="6436" width="11.42578125" style="1" customWidth="1"/>
    <col min="6437" max="6437" width="11.42578125" style="1"/>
    <col min="6438" max="6438" width="20.140625" style="1" bestFit="1" customWidth="1"/>
    <col min="6439" max="6674" width="11.42578125" style="1"/>
    <col min="6675" max="6675" width="3.5703125" style="1" customWidth="1"/>
    <col min="6676" max="6676" width="38.140625" style="1" customWidth="1"/>
    <col min="6677" max="6681" width="13.140625" style="1" customWidth="1"/>
    <col min="6682" max="6692" width="11.42578125" style="1" customWidth="1"/>
    <col min="6693" max="6693" width="11.42578125" style="1"/>
    <col min="6694" max="6694" width="20.140625" style="1" bestFit="1" customWidth="1"/>
    <col min="6695" max="6930" width="11.42578125" style="1"/>
    <col min="6931" max="6931" width="3.5703125" style="1" customWidth="1"/>
    <col min="6932" max="6932" width="38.140625" style="1" customWidth="1"/>
    <col min="6933" max="6937" width="13.140625" style="1" customWidth="1"/>
    <col min="6938" max="6948" width="11.42578125" style="1" customWidth="1"/>
    <col min="6949" max="6949" width="11.42578125" style="1"/>
    <col min="6950" max="6950" width="20.140625" style="1" bestFit="1" customWidth="1"/>
    <col min="6951" max="7186" width="11.42578125" style="1"/>
    <col min="7187" max="7187" width="3.5703125" style="1" customWidth="1"/>
    <col min="7188" max="7188" width="38.140625" style="1" customWidth="1"/>
    <col min="7189" max="7193" width="13.140625" style="1" customWidth="1"/>
    <col min="7194" max="7204" width="11.42578125" style="1" customWidth="1"/>
    <col min="7205" max="7205" width="11.42578125" style="1"/>
    <col min="7206" max="7206" width="20.140625" style="1" bestFit="1" customWidth="1"/>
    <col min="7207" max="7442" width="11.42578125" style="1"/>
    <col min="7443" max="7443" width="3.5703125" style="1" customWidth="1"/>
    <col min="7444" max="7444" width="38.140625" style="1" customWidth="1"/>
    <col min="7445" max="7449" width="13.140625" style="1" customWidth="1"/>
    <col min="7450" max="7460" width="11.42578125" style="1" customWidth="1"/>
    <col min="7461" max="7461" width="11.42578125" style="1"/>
    <col min="7462" max="7462" width="20.140625" style="1" bestFit="1" customWidth="1"/>
    <col min="7463" max="7698" width="11.42578125" style="1"/>
    <col min="7699" max="7699" width="3.5703125" style="1" customWidth="1"/>
    <col min="7700" max="7700" width="38.140625" style="1" customWidth="1"/>
    <col min="7701" max="7705" width="13.140625" style="1" customWidth="1"/>
    <col min="7706" max="7716" width="11.42578125" style="1" customWidth="1"/>
    <col min="7717" max="7717" width="11.42578125" style="1"/>
    <col min="7718" max="7718" width="20.140625" style="1" bestFit="1" customWidth="1"/>
    <col min="7719" max="7954" width="11.42578125" style="1"/>
    <col min="7955" max="7955" width="3.5703125" style="1" customWidth="1"/>
    <col min="7956" max="7956" width="38.140625" style="1" customWidth="1"/>
    <col min="7957" max="7961" width="13.140625" style="1" customWidth="1"/>
    <col min="7962" max="7972" width="11.42578125" style="1" customWidth="1"/>
    <col min="7973" max="7973" width="11.42578125" style="1"/>
    <col min="7974" max="7974" width="20.140625" style="1" bestFit="1" customWidth="1"/>
    <col min="7975" max="8210" width="11.42578125" style="1"/>
    <col min="8211" max="8211" width="3.5703125" style="1" customWidth="1"/>
    <col min="8212" max="8212" width="38.140625" style="1" customWidth="1"/>
    <col min="8213" max="8217" width="13.140625" style="1" customWidth="1"/>
    <col min="8218" max="8228" width="11.42578125" style="1" customWidth="1"/>
    <col min="8229" max="8229" width="11.42578125" style="1"/>
    <col min="8230" max="8230" width="20.140625" style="1" bestFit="1" customWidth="1"/>
    <col min="8231" max="8466" width="11.42578125" style="1"/>
    <col min="8467" max="8467" width="3.5703125" style="1" customWidth="1"/>
    <col min="8468" max="8468" width="38.140625" style="1" customWidth="1"/>
    <col min="8469" max="8473" width="13.140625" style="1" customWidth="1"/>
    <col min="8474" max="8484" width="11.42578125" style="1" customWidth="1"/>
    <col min="8485" max="8485" width="11.42578125" style="1"/>
    <col min="8486" max="8486" width="20.140625" style="1" bestFit="1" customWidth="1"/>
    <col min="8487" max="8722" width="11.42578125" style="1"/>
    <col min="8723" max="8723" width="3.5703125" style="1" customWidth="1"/>
    <col min="8724" max="8724" width="38.140625" style="1" customWidth="1"/>
    <col min="8725" max="8729" width="13.140625" style="1" customWidth="1"/>
    <col min="8730" max="8740" width="11.42578125" style="1" customWidth="1"/>
    <col min="8741" max="8741" width="11.42578125" style="1"/>
    <col min="8742" max="8742" width="20.140625" style="1" bestFit="1" customWidth="1"/>
    <col min="8743" max="8978" width="11.42578125" style="1"/>
    <col min="8979" max="8979" width="3.5703125" style="1" customWidth="1"/>
    <col min="8980" max="8980" width="38.140625" style="1" customWidth="1"/>
    <col min="8981" max="8985" width="13.140625" style="1" customWidth="1"/>
    <col min="8986" max="8996" width="11.42578125" style="1" customWidth="1"/>
    <col min="8997" max="8997" width="11.42578125" style="1"/>
    <col min="8998" max="8998" width="20.140625" style="1" bestFit="1" customWidth="1"/>
    <col min="8999" max="9234" width="11.42578125" style="1"/>
    <col min="9235" max="9235" width="3.5703125" style="1" customWidth="1"/>
    <col min="9236" max="9236" width="38.140625" style="1" customWidth="1"/>
    <col min="9237" max="9241" width="13.140625" style="1" customWidth="1"/>
    <col min="9242" max="9252" width="11.42578125" style="1" customWidth="1"/>
    <col min="9253" max="9253" width="11.42578125" style="1"/>
    <col min="9254" max="9254" width="20.140625" style="1" bestFit="1" customWidth="1"/>
    <col min="9255" max="9490" width="11.42578125" style="1"/>
    <col min="9491" max="9491" width="3.5703125" style="1" customWidth="1"/>
    <col min="9492" max="9492" width="38.140625" style="1" customWidth="1"/>
    <col min="9493" max="9497" width="13.140625" style="1" customWidth="1"/>
    <col min="9498" max="9508" width="11.42578125" style="1" customWidth="1"/>
    <col min="9509" max="9509" width="11.42578125" style="1"/>
    <col min="9510" max="9510" width="20.140625" style="1" bestFit="1" customWidth="1"/>
    <col min="9511" max="9746" width="11.42578125" style="1"/>
    <col min="9747" max="9747" width="3.5703125" style="1" customWidth="1"/>
    <col min="9748" max="9748" width="38.140625" style="1" customWidth="1"/>
    <col min="9749" max="9753" width="13.140625" style="1" customWidth="1"/>
    <col min="9754" max="9764" width="11.42578125" style="1" customWidth="1"/>
    <col min="9765" max="9765" width="11.42578125" style="1"/>
    <col min="9766" max="9766" width="20.140625" style="1" bestFit="1" customWidth="1"/>
    <col min="9767" max="10002" width="11.42578125" style="1"/>
    <col min="10003" max="10003" width="3.5703125" style="1" customWidth="1"/>
    <col min="10004" max="10004" width="38.140625" style="1" customWidth="1"/>
    <col min="10005" max="10009" width="13.140625" style="1" customWidth="1"/>
    <col min="10010" max="10020" width="11.42578125" style="1" customWidth="1"/>
    <col min="10021" max="10021" width="11.42578125" style="1"/>
    <col min="10022" max="10022" width="20.140625" style="1" bestFit="1" customWidth="1"/>
    <col min="10023" max="10258" width="11.42578125" style="1"/>
    <col min="10259" max="10259" width="3.5703125" style="1" customWidth="1"/>
    <col min="10260" max="10260" width="38.140625" style="1" customWidth="1"/>
    <col min="10261" max="10265" width="13.140625" style="1" customWidth="1"/>
    <col min="10266" max="10276" width="11.42578125" style="1" customWidth="1"/>
    <col min="10277" max="10277" width="11.42578125" style="1"/>
    <col min="10278" max="10278" width="20.140625" style="1" bestFit="1" customWidth="1"/>
    <col min="10279" max="10514" width="11.42578125" style="1"/>
    <col min="10515" max="10515" width="3.5703125" style="1" customWidth="1"/>
    <col min="10516" max="10516" width="38.140625" style="1" customWidth="1"/>
    <col min="10517" max="10521" width="13.140625" style="1" customWidth="1"/>
    <col min="10522" max="10532" width="11.42578125" style="1" customWidth="1"/>
    <col min="10533" max="10533" width="11.42578125" style="1"/>
    <col min="10534" max="10534" width="20.140625" style="1" bestFit="1" customWidth="1"/>
    <col min="10535" max="10770" width="11.42578125" style="1"/>
    <col min="10771" max="10771" width="3.5703125" style="1" customWidth="1"/>
    <col min="10772" max="10772" width="38.140625" style="1" customWidth="1"/>
    <col min="10773" max="10777" width="13.140625" style="1" customWidth="1"/>
    <col min="10778" max="10788" width="11.42578125" style="1" customWidth="1"/>
    <col min="10789" max="10789" width="11.42578125" style="1"/>
    <col min="10790" max="10790" width="20.140625" style="1" bestFit="1" customWidth="1"/>
    <col min="10791" max="11026" width="11.42578125" style="1"/>
    <col min="11027" max="11027" width="3.5703125" style="1" customWidth="1"/>
    <col min="11028" max="11028" width="38.140625" style="1" customWidth="1"/>
    <col min="11029" max="11033" width="13.140625" style="1" customWidth="1"/>
    <col min="11034" max="11044" width="11.42578125" style="1" customWidth="1"/>
    <col min="11045" max="11045" width="11.42578125" style="1"/>
    <col min="11046" max="11046" width="20.140625" style="1" bestFit="1" customWidth="1"/>
    <col min="11047" max="11282" width="11.42578125" style="1"/>
    <col min="11283" max="11283" width="3.5703125" style="1" customWidth="1"/>
    <col min="11284" max="11284" width="38.140625" style="1" customWidth="1"/>
    <col min="11285" max="11289" width="13.140625" style="1" customWidth="1"/>
    <col min="11290" max="11300" width="11.42578125" style="1" customWidth="1"/>
    <col min="11301" max="11301" width="11.42578125" style="1"/>
    <col min="11302" max="11302" width="20.140625" style="1" bestFit="1" customWidth="1"/>
    <col min="11303" max="11538" width="11.42578125" style="1"/>
    <col min="11539" max="11539" width="3.5703125" style="1" customWidth="1"/>
    <col min="11540" max="11540" width="38.140625" style="1" customWidth="1"/>
    <col min="11541" max="11545" width="13.140625" style="1" customWidth="1"/>
    <col min="11546" max="11556" width="11.42578125" style="1" customWidth="1"/>
    <col min="11557" max="11557" width="11.42578125" style="1"/>
    <col min="11558" max="11558" width="20.140625" style="1" bestFit="1" customWidth="1"/>
    <col min="11559" max="11794" width="11.42578125" style="1"/>
    <col min="11795" max="11795" width="3.5703125" style="1" customWidth="1"/>
    <col min="11796" max="11796" width="38.140625" style="1" customWidth="1"/>
    <col min="11797" max="11801" width="13.140625" style="1" customWidth="1"/>
    <col min="11802" max="11812" width="11.42578125" style="1" customWidth="1"/>
    <col min="11813" max="11813" width="11.42578125" style="1"/>
    <col min="11814" max="11814" width="20.140625" style="1" bestFit="1" customWidth="1"/>
    <col min="11815" max="12050" width="11.42578125" style="1"/>
    <col min="12051" max="12051" width="3.5703125" style="1" customWidth="1"/>
    <col min="12052" max="12052" width="38.140625" style="1" customWidth="1"/>
    <col min="12053" max="12057" width="13.140625" style="1" customWidth="1"/>
    <col min="12058" max="12068" width="11.42578125" style="1" customWidth="1"/>
    <col min="12069" max="12069" width="11.42578125" style="1"/>
    <col min="12070" max="12070" width="20.140625" style="1" bestFit="1" customWidth="1"/>
    <col min="12071" max="12306" width="11.42578125" style="1"/>
    <col min="12307" max="12307" width="3.5703125" style="1" customWidth="1"/>
    <col min="12308" max="12308" width="38.140625" style="1" customWidth="1"/>
    <col min="12309" max="12313" width="13.140625" style="1" customWidth="1"/>
    <col min="12314" max="12324" width="11.42578125" style="1" customWidth="1"/>
    <col min="12325" max="12325" width="11.42578125" style="1"/>
    <col min="12326" max="12326" width="20.140625" style="1" bestFit="1" customWidth="1"/>
    <col min="12327" max="12562" width="11.42578125" style="1"/>
    <col min="12563" max="12563" width="3.5703125" style="1" customWidth="1"/>
    <col min="12564" max="12564" width="38.140625" style="1" customWidth="1"/>
    <col min="12565" max="12569" width="13.140625" style="1" customWidth="1"/>
    <col min="12570" max="12580" width="11.42578125" style="1" customWidth="1"/>
    <col min="12581" max="12581" width="11.42578125" style="1"/>
    <col min="12582" max="12582" width="20.140625" style="1" bestFit="1" customWidth="1"/>
    <col min="12583" max="12818" width="11.42578125" style="1"/>
    <col min="12819" max="12819" width="3.5703125" style="1" customWidth="1"/>
    <col min="12820" max="12820" width="38.140625" style="1" customWidth="1"/>
    <col min="12821" max="12825" width="13.140625" style="1" customWidth="1"/>
    <col min="12826" max="12836" width="11.42578125" style="1" customWidth="1"/>
    <col min="12837" max="12837" width="11.42578125" style="1"/>
    <col min="12838" max="12838" width="20.140625" style="1" bestFit="1" customWidth="1"/>
    <col min="12839" max="13074" width="11.42578125" style="1"/>
    <col min="13075" max="13075" width="3.5703125" style="1" customWidth="1"/>
    <col min="13076" max="13076" width="38.140625" style="1" customWidth="1"/>
    <col min="13077" max="13081" width="13.140625" style="1" customWidth="1"/>
    <col min="13082" max="13092" width="11.42578125" style="1" customWidth="1"/>
    <col min="13093" max="13093" width="11.42578125" style="1"/>
    <col min="13094" max="13094" width="20.140625" style="1" bestFit="1" customWidth="1"/>
    <col min="13095" max="13330" width="11.42578125" style="1"/>
    <col min="13331" max="13331" width="3.5703125" style="1" customWidth="1"/>
    <col min="13332" max="13332" width="38.140625" style="1" customWidth="1"/>
    <col min="13333" max="13337" width="13.140625" style="1" customWidth="1"/>
    <col min="13338" max="13348" width="11.42578125" style="1" customWidth="1"/>
    <col min="13349" max="13349" width="11.42578125" style="1"/>
    <col min="13350" max="13350" width="20.140625" style="1" bestFit="1" customWidth="1"/>
    <col min="13351" max="13586" width="11.42578125" style="1"/>
    <col min="13587" max="13587" width="3.5703125" style="1" customWidth="1"/>
    <col min="13588" max="13588" width="38.140625" style="1" customWidth="1"/>
    <col min="13589" max="13593" width="13.140625" style="1" customWidth="1"/>
    <col min="13594" max="13604" width="11.42578125" style="1" customWidth="1"/>
    <col min="13605" max="13605" width="11.42578125" style="1"/>
    <col min="13606" max="13606" width="20.140625" style="1" bestFit="1" customWidth="1"/>
    <col min="13607" max="13842" width="11.42578125" style="1"/>
    <col min="13843" max="13843" width="3.5703125" style="1" customWidth="1"/>
    <col min="13844" max="13844" width="38.140625" style="1" customWidth="1"/>
    <col min="13845" max="13849" width="13.140625" style="1" customWidth="1"/>
    <col min="13850" max="13860" width="11.42578125" style="1" customWidth="1"/>
    <col min="13861" max="13861" width="11.42578125" style="1"/>
    <col min="13862" max="13862" width="20.140625" style="1" bestFit="1" customWidth="1"/>
    <col min="13863" max="14098" width="11.42578125" style="1"/>
    <col min="14099" max="14099" width="3.5703125" style="1" customWidth="1"/>
    <col min="14100" max="14100" width="38.140625" style="1" customWidth="1"/>
    <col min="14101" max="14105" width="13.140625" style="1" customWidth="1"/>
    <col min="14106" max="14116" width="11.42578125" style="1" customWidth="1"/>
    <col min="14117" max="14117" width="11.42578125" style="1"/>
    <col min="14118" max="14118" width="20.140625" style="1" bestFit="1" customWidth="1"/>
    <col min="14119" max="14354" width="11.42578125" style="1"/>
    <col min="14355" max="14355" width="3.5703125" style="1" customWidth="1"/>
    <col min="14356" max="14356" width="38.140625" style="1" customWidth="1"/>
    <col min="14357" max="14361" width="13.140625" style="1" customWidth="1"/>
    <col min="14362" max="14372" width="11.42578125" style="1" customWidth="1"/>
    <col min="14373" max="14373" width="11.42578125" style="1"/>
    <col min="14374" max="14374" width="20.140625" style="1" bestFit="1" customWidth="1"/>
    <col min="14375" max="14610" width="11.42578125" style="1"/>
    <col min="14611" max="14611" width="3.5703125" style="1" customWidth="1"/>
    <col min="14612" max="14612" width="38.140625" style="1" customWidth="1"/>
    <col min="14613" max="14617" width="13.140625" style="1" customWidth="1"/>
    <col min="14618" max="14628" width="11.42578125" style="1" customWidth="1"/>
    <col min="14629" max="14629" width="11.42578125" style="1"/>
    <col min="14630" max="14630" width="20.140625" style="1" bestFit="1" customWidth="1"/>
    <col min="14631" max="14866" width="11.42578125" style="1"/>
    <col min="14867" max="14867" width="3.5703125" style="1" customWidth="1"/>
    <col min="14868" max="14868" width="38.140625" style="1" customWidth="1"/>
    <col min="14869" max="14873" width="13.140625" style="1" customWidth="1"/>
    <col min="14874" max="14884" width="11.42578125" style="1" customWidth="1"/>
    <col min="14885" max="14885" width="11.42578125" style="1"/>
    <col min="14886" max="14886" width="20.140625" style="1" bestFit="1" customWidth="1"/>
    <col min="14887" max="15122" width="11.42578125" style="1"/>
    <col min="15123" max="15123" width="3.5703125" style="1" customWidth="1"/>
    <col min="15124" max="15124" width="38.140625" style="1" customWidth="1"/>
    <col min="15125" max="15129" width="13.140625" style="1" customWidth="1"/>
    <col min="15130" max="15140" width="11.42578125" style="1" customWidth="1"/>
    <col min="15141" max="15141" width="11.42578125" style="1"/>
    <col min="15142" max="15142" width="20.140625" style="1" bestFit="1" customWidth="1"/>
    <col min="15143" max="15378" width="11.42578125" style="1"/>
    <col min="15379" max="15379" width="3.5703125" style="1" customWidth="1"/>
    <col min="15380" max="15380" width="38.140625" style="1" customWidth="1"/>
    <col min="15381" max="15385" width="13.140625" style="1" customWidth="1"/>
    <col min="15386" max="15396" width="11.42578125" style="1" customWidth="1"/>
    <col min="15397" max="15397" width="11.42578125" style="1"/>
    <col min="15398" max="15398" width="20.140625" style="1" bestFit="1" customWidth="1"/>
    <col min="15399" max="15634" width="11.42578125" style="1"/>
    <col min="15635" max="15635" width="3.5703125" style="1" customWidth="1"/>
    <col min="15636" max="15636" width="38.140625" style="1" customWidth="1"/>
    <col min="15637" max="15641" width="13.140625" style="1" customWidth="1"/>
    <col min="15642" max="15652" width="11.42578125" style="1" customWidth="1"/>
    <col min="15653" max="15653" width="11.42578125" style="1"/>
    <col min="15654" max="15654" width="20.140625" style="1" bestFit="1" customWidth="1"/>
    <col min="15655" max="15890" width="11.42578125" style="1"/>
    <col min="15891" max="15891" width="3.5703125" style="1" customWidth="1"/>
    <col min="15892" max="15892" width="38.140625" style="1" customWidth="1"/>
    <col min="15893" max="15897" width="13.140625" style="1" customWidth="1"/>
    <col min="15898" max="15908" width="11.42578125" style="1" customWidth="1"/>
    <col min="15909" max="15909" width="11.42578125" style="1"/>
    <col min="15910" max="15910" width="20.140625" style="1" bestFit="1" customWidth="1"/>
    <col min="15911" max="16146" width="11.42578125" style="1"/>
    <col min="16147" max="16147" width="3.5703125" style="1" customWidth="1"/>
    <col min="16148" max="16148" width="38.140625" style="1" customWidth="1"/>
    <col min="16149" max="16153" width="13.140625" style="1" customWidth="1"/>
    <col min="16154" max="16164" width="11.42578125" style="1" customWidth="1"/>
    <col min="16165" max="16165" width="11.42578125" style="1"/>
    <col min="16166" max="16166" width="20.140625" style="1" bestFit="1" customWidth="1"/>
    <col min="16167" max="16384" width="11.42578125" style="1"/>
  </cols>
  <sheetData>
    <row r="2" spans="2:58" s="2" customFormat="1" ht="21">
      <c r="B2" s="3" t="s">
        <v>161</v>
      </c>
      <c r="C2" s="4" t="s">
        <v>162</v>
      </c>
      <c r="D2" s="4" t="s">
        <v>162</v>
      </c>
      <c r="E2" s="4" t="s">
        <v>162</v>
      </c>
      <c r="F2" s="135" t="s">
        <v>162</v>
      </c>
      <c r="G2" s="135" t="s">
        <v>162</v>
      </c>
      <c r="H2" s="135" t="s">
        <v>162</v>
      </c>
      <c r="I2" s="135" t="s">
        <v>162</v>
      </c>
      <c r="J2" s="135" t="s">
        <v>162</v>
      </c>
      <c r="K2" s="135" t="s">
        <v>162</v>
      </c>
      <c r="L2" s="135" t="s">
        <v>162</v>
      </c>
      <c r="M2" s="135" t="s">
        <v>162</v>
      </c>
      <c r="N2" s="135" t="s">
        <v>162</v>
      </c>
      <c r="O2" s="135" t="s">
        <v>163</v>
      </c>
      <c r="P2" s="219"/>
      <c r="Q2" s="4" t="s">
        <v>164</v>
      </c>
      <c r="R2" s="4" t="s">
        <v>164</v>
      </c>
      <c r="S2" s="162" t="s">
        <v>164</v>
      </c>
      <c r="T2" s="4" t="s">
        <v>164</v>
      </c>
      <c r="U2" s="4" t="s">
        <v>164</v>
      </c>
      <c r="V2" s="4" t="s">
        <v>164</v>
      </c>
      <c r="W2" s="4" t="s">
        <v>164</v>
      </c>
      <c r="X2" s="4" t="s">
        <v>164</v>
      </c>
      <c r="Y2" s="4" t="s">
        <v>164</v>
      </c>
      <c r="Z2" s="4" t="s">
        <v>164</v>
      </c>
      <c r="AA2" s="4" t="s">
        <v>164</v>
      </c>
      <c r="AB2" s="135" t="s">
        <v>164</v>
      </c>
      <c r="AC2" s="4" t="s">
        <v>164</v>
      </c>
      <c r="AD2" s="135" t="s">
        <v>164</v>
      </c>
      <c r="AF2" s="4" t="s">
        <v>165</v>
      </c>
      <c r="AG2" s="4" t="s">
        <v>165</v>
      </c>
      <c r="AH2" s="4" t="s">
        <v>165</v>
      </c>
      <c r="AI2" s="4" t="s">
        <v>165</v>
      </c>
      <c r="AJ2" s="4" t="s">
        <v>165</v>
      </c>
      <c r="AK2" s="4" t="s">
        <v>165</v>
      </c>
      <c r="AL2" s="4" t="s">
        <v>165</v>
      </c>
      <c r="AM2" s="4" t="s">
        <v>165</v>
      </c>
      <c r="AN2" s="4" t="s">
        <v>165</v>
      </c>
      <c r="AO2" s="4" t="s">
        <v>165</v>
      </c>
      <c r="AP2" s="4" t="s">
        <v>165</v>
      </c>
      <c r="AQ2" s="4" t="s">
        <v>165</v>
      </c>
      <c r="AR2" s="4" t="s">
        <v>165</v>
      </c>
      <c r="AS2" s="4" t="s">
        <v>165</v>
      </c>
      <c r="AT2" s="4" t="s">
        <v>165</v>
      </c>
      <c r="AU2" s="4" t="s">
        <v>165</v>
      </c>
      <c r="AV2" s="4" t="s">
        <v>165</v>
      </c>
      <c r="AW2" s="4" t="s">
        <v>165</v>
      </c>
      <c r="AX2" s="4" t="s">
        <v>165</v>
      </c>
      <c r="AY2" s="4" t="s">
        <v>165</v>
      </c>
      <c r="AZ2" s="4" t="s">
        <v>165</v>
      </c>
      <c r="BA2" s="135" t="s">
        <v>165</v>
      </c>
      <c r="BB2" s="4" t="s">
        <v>165</v>
      </c>
      <c r="BC2" s="4" t="s">
        <v>165</v>
      </c>
      <c r="BD2" s="4" t="s">
        <v>165</v>
      </c>
      <c r="BE2" s="135" t="s">
        <v>165</v>
      </c>
      <c r="BF2" s="4" t="s">
        <v>165</v>
      </c>
    </row>
    <row r="3" spans="2:58" s="5" customFormat="1">
      <c r="B3" s="6" t="s">
        <v>166</v>
      </c>
      <c r="C3" s="7">
        <v>42735</v>
      </c>
      <c r="D3" s="7">
        <v>43100</v>
      </c>
      <c r="E3" s="7">
        <v>43465</v>
      </c>
      <c r="F3" s="7">
        <v>43830</v>
      </c>
      <c r="G3" s="7">
        <v>44196</v>
      </c>
      <c r="H3" s="7">
        <v>44561</v>
      </c>
      <c r="I3" s="7">
        <v>44926</v>
      </c>
      <c r="J3" s="7">
        <v>44926</v>
      </c>
      <c r="K3" s="7">
        <v>45291</v>
      </c>
      <c r="L3" s="7">
        <v>45291</v>
      </c>
      <c r="M3" s="7">
        <v>45657</v>
      </c>
      <c r="N3" s="7">
        <v>46022</v>
      </c>
      <c r="O3" s="7">
        <f>BF3</f>
        <v>46112</v>
      </c>
      <c r="P3" s="219"/>
      <c r="Q3" s="7">
        <v>43646</v>
      </c>
      <c r="R3" s="7">
        <v>43830</v>
      </c>
      <c r="S3" s="7">
        <v>44012</v>
      </c>
      <c r="T3" s="7">
        <v>44196</v>
      </c>
      <c r="U3" s="7">
        <v>44377</v>
      </c>
      <c r="V3" s="7">
        <v>44561</v>
      </c>
      <c r="W3" s="7">
        <v>44742</v>
      </c>
      <c r="X3" s="7">
        <v>44926</v>
      </c>
      <c r="Y3" s="7">
        <v>45107</v>
      </c>
      <c r="Z3" s="7">
        <v>45291</v>
      </c>
      <c r="AA3" s="7">
        <v>45473</v>
      </c>
      <c r="AB3" s="7">
        <v>45657</v>
      </c>
      <c r="AC3" s="7">
        <v>45838</v>
      </c>
      <c r="AD3" s="7">
        <v>46022</v>
      </c>
      <c r="AF3" s="7">
        <v>43738</v>
      </c>
      <c r="AG3" s="7">
        <v>43830</v>
      </c>
      <c r="AH3" s="7">
        <v>43920</v>
      </c>
      <c r="AI3" s="7">
        <v>44012</v>
      </c>
      <c r="AJ3" s="7">
        <v>44104</v>
      </c>
      <c r="AK3" s="7">
        <v>44196</v>
      </c>
      <c r="AL3" s="7">
        <v>44285</v>
      </c>
      <c r="AM3" s="7">
        <v>44377</v>
      </c>
      <c r="AN3" s="7">
        <v>44469</v>
      </c>
      <c r="AO3" s="7">
        <v>44561</v>
      </c>
      <c r="AP3" s="7">
        <v>44651</v>
      </c>
      <c r="AQ3" s="7">
        <v>44742</v>
      </c>
      <c r="AR3" s="7">
        <v>44834</v>
      </c>
      <c r="AS3" s="7">
        <v>44926</v>
      </c>
      <c r="AT3" s="7">
        <v>45016</v>
      </c>
      <c r="AU3" s="7">
        <v>45107</v>
      </c>
      <c r="AV3" s="7">
        <v>45199</v>
      </c>
      <c r="AW3" s="7">
        <v>45291</v>
      </c>
      <c r="AX3" s="7">
        <v>45382</v>
      </c>
      <c r="AY3" s="7">
        <v>45473</v>
      </c>
      <c r="AZ3" s="7">
        <v>45565</v>
      </c>
      <c r="BA3" s="7">
        <v>45657</v>
      </c>
      <c r="BB3" s="7">
        <v>45747</v>
      </c>
      <c r="BC3" s="7">
        <v>45838</v>
      </c>
      <c r="BD3" s="7">
        <v>45930</v>
      </c>
      <c r="BE3" s="7">
        <v>46022</v>
      </c>
      <c r="BF3" s="7">
        <v>46112</v>
      </c>
    </row>
    <row r="4" spans="2:58" s="5" customFormat="1">
      <c r="B4" s="6"/>
      <c r="C4" s="7" t="s">
        <v>167</v>
      </c>
      <c r="D4" s="7" t="s">
        <v>167</v>
      </c>
      <c r="E4" s="7" t="s">
        <v>167</v>
      </c>
      <c r="F4" s="7" t="s">
        <v>167</v>
      </c>
      <c r="G4" s="7" t="s">
        <v>167</v>
      </c>
      <c r="H4" s="7" t="s">
        <v>167</v>
      </c>
      <c r="I4" s="7" t="s">
        <v>167</v>
      </c>
      <c r="J4" s="188" t="s">
        <v>168</v>
      </c>
      <c r="K4" s="7" t="s">
        <v>167</v>
      </c>
      <c r="L4" s="188" t="s">
        <v>168</v>
      </c>
      <c r="M4" s="7" t="s">
        <v>167</v>
      </c>
      <c r="N4" s="7" t="s">
        <v>167</v>
      </c>
      <c r="O4" s="7" t="s">
        <v>167</v>
      </c>
      <c r="P4" s="219"/>
      <c r="Q4" s="7" t="s">
        <v>167</v>
      </c>
      <c r="R4" s="7" t="s">
        <v>167</v>
      </c>
      <c r="S4" s="7" t="s">
        <v>167</v>
      </c>
      <c r="T4" s="7" t="s">
        <v>167</v>
      </c>
      <c r="U4" s="7" t="s">
        <v>167</v>
      </c>
      <c r="V4" s="7" t="s">
        <v>167</v>
      </c>
      <c r="W4" s="7" t="s">
        <v>167</v>
      </c>
      <c r="X4" s="7" t="s">
        <v>167</v>
      </c>
      <c r="Y4" s="7" t="s">
        <v>167</v>
      </c>
      <c r="Z4" s="7" t="s">
        <v>167</v>
      </c>
      <c r="AA4" s="7" t="s">
        <v>167</v>
      </c>
      <c r="AB4" s="7" t="s">
        <v>167</v>
      </c>
      <c r="AC4" s="7" t="s">
        <v>167</v>
      </c>
      <c r="AD4" s="7" t="s">
        <v>167</v>
      </c>
      <c r="AF4" s="7" t="s">
        <v>167</v>
      </c>
      <c r="AG4" s="7" t="s">
        <v>167</v>
      </c>
      <c r="AH4" s="7" t="s">
        <v>167</v>
      </c>
      <c r="AI4" s="7" t="s">
        <v>167</v>
      </c>
      <c r="AJ4" s="7" t="s">
        <v>167</v>
      </c>
      <c r="AK4" s="7" t="s">
        <v>167</v>
      </c>
      <c r="AL4" s="7" t="s">
        <v>167</v>
      </c>
      <c r="AM4" s="7" t="s">
        <v>167</v>
      </c>
      <c r="AN4" s="7" t="s">
        <v>167</v>
      </c>
      <c r="AO4" s="7" t="s">
        <v>167</v>
      </c>
      <c r="AP4" s="7" t="s">
        <v>167</v>
      </c>
      <c r="AQ4" s="7" t="s">
        <v>167</v>
      </c>
      <c r="AR4" s="7" t="s">
        <v>167</v>
      </c>
      <c r="AS4" s="7" t="s">
        <v>167</v>
      </c>
      <c r="AT4" s="7" t="s">
        <v>167</v>
      </c>
      <c r="AU4" s="7" t="s">
        <v>167</v>
      </c>
      <c r="AV4" s="7" t="s">
        <v>167</v>
      </c>
      <c r="AW4" s="7" t="s">
        <v>167</v>
      </c>
      <c r="AX4" s="7" t="s">
        <v>167</v>
      </c>
      <c r="AY4" s="7" t="s">
        <v>167</v>
      </c>
      <c r="AZ4" s="7" t="s">
        <v>167</v>
      </c>
      <c r="BA4" s="7" t="s">
        <v>167</v>
      </c>
      <c r="BB4" s="7" t="s">
        <v>167</v>
      </c>
      <c r="BC4" s="7" t="s">
        <v>167</v>
      </c>
      <c r="BD4" s="7" t="s">
        <v>167</v>
      </c>
      <c r="BE4" s="7" t="s">
        <v>167</v>
      </c>
      <c r="BF4" s="7" t="s">
        <v>167</v>
      </c>
    </row>
    <row r="5" spans="2:58" s="8" customFormat="1">
      <c r="C5" s="9" t="s">
        <v>169</v>
      </c>
      <c r="D5" s="9" t="s">
        <v>170</v>
      </c>
      <c r="E5" s="9" t="s">
        <v>171</v>
      </c>
      <c r="F5" s="9" t="s">
        <v>172</v>
      </c>
      <c r="G5" s="9" t="s">
        <v>173</v>
      </c>
      <c r="H5" s="9" t="s">
        <v>174</v>
      </c>
      <c r="I5" s="9" t="s">
        <v>175</v>
      </c>
      <c r="J5" s="9" t="s">
        <v>175</v>
      </c>
      <c r="K5" s="9" t="s">
        <v>176</v>
      </c>
      <c r="L5" s="9" t="s">
        <v>176</v>
      </c>
      <c r="M5" s="9" t="s">
        <v>177</v>
      </c>
      <c r="N5" s="9" t="s">
        <v>178</v>
      </c>
      <c r="O5" s="266" t="s">
        <v>163</v>
      </c>
      <c r="P5" s="9"/>
      <c r="Q5" s="9" t="s">
        <v>179</v>
      </c>
      <c r="R5" s="9" t="s">
        <v>180</v>
      </c>
      <c r="S5" s="9" t="s">
        <v>181</v>
      </c>
      <c r="T5" s="9" t="s">
        <v>182</v>
      </c>
      <c r="U5" s="9" t="s">
        <v>183</v>
      </c>
      <c r="V5" s="9" t="s">
        <v>184</v>
      </c>
      <c r="W5" s="9" t="s">
        <v>185</v>
      </c>
      <c r="X5" s="9" t="s">
        <v>186</v>
      </c>
      <c r="Y5" s="9" t="s">
        <v>187</v>
      </c>
      <c r="Z5" s="9" t="s">
        <v>186</v>
      </c>
      <c r="AA5" s="9" t="s">
        <v>188</v>
      </c>
      <c r="AB5" s="9" t="s">
        <v>189</v>
      </c>
      <c r="AC5" s="9" t="s">
        <v>190</v>
      </c>
      <c r="AD5" s="266" t="s">
        <v>191</v>
      </c>
      <c r="AF5" s="9" t="s">
        <v>192</v>
      </c>
      <c r="AG5" s="9" t="s">
        <v>193</v>
      </c>
      <c r="AH5" s="9" t="s">
        <v>194</v>
      </c>
      <c r="AI5" s="9" t="s">
        <v>195</v>
      </c>
      <c r="AJ5" s="9" t="s">
        <v>196</v>
      </c>
      <c r="AK5" s="9" t="s">
        <v>197</v>
      </c>
      <c r="AL5" s="9" t="s">
        <v>144</v>
      </c>
      <c r="AM5" s="9" t="s">
        <v>110</v>
      </c>
      <c r="AN5" s="9" t="s">
        <v>135</v>
      </c>
      <c r="AO5" s="9" t="s">
        <v>129</v>
      </c>
      <c r="AP5" s="9" t="s">
        <v>123</v>
      </c>
      <c r="AQ5" s="9" t="s">
        <v>118</v>
      </c>
      <c r="AR5" s="9" t="s">
        <v>111</v>
      </c>
      <c r="AS5" s="9" t="s">
        <v>105</v>
      </c>
      <c r="AT5" s="9" t="s">
        <v>100</v>
      </c>
      <c r="AU5" s="9" t="s">
        <v>87</v>
      </c>
      <c r="AV5" s="9" t="s">
        <v>82</v>
      </c>
      <c r="AW5" s="9" t="s">
        <v>198</v>
      </c>
      <c r="AX5" s="9" t="s">
        <v>72</v>
      </c>
      <c r="AY5" s="9" t="s">
        <v>66</v>
      </c>
      <c r="AZ5" s="9" t="s">
        <v>59</v>
      </c>
      <c r="BA5" s="266" t="s">
        <v>199</v>
      </c>
      <c r="BB5" s="9" t="s">
        <v>47</v>
      </c>
      <c r="BC5" s="9" t="s">
        <v>41</v>
      </c>
      <c r="BD5" s="9" t="s">
        <v>34</v>
      </c>
      <c r="BE5" s="266" t="s">
        <v>200</v>
      </c>
      <c r="BF5" s="9" t="s">
        <v>47</v>
      </c>
    </row>
    <row r="6" spans="2:58">
      <c r="B6" s="10" t="s">
        <v>201</v>
      </c>
      <c r="C6" s="12"/>
      <c r="D6" s="13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217"/>
      <c r="AD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2:58">
      <c r="B7" s="193" t="s">
        <v>202</v>
      </c>
      <c r="C7" s="18">
        <v>182.70500000000001</v>
      </c>
      <c r="D7" s="18">
        <v>208.26</v>
      </c>
      <c r="E7" s="18">
        <v>241.96</v>
      </c>
      <c r="F7" s="18">
        <v>257.98599999999999</v>
      </c>
      <c r="G7" s="18">
        <v>291.935</v>
      </c>
      <c r="H7" s="18">
        <v>334.65100000000001</v>
      </c>
      <c r="I7" s="18">
        <v>485.017</v>
      </c>
      <c r="J7" s="18">
        <v>485.017</v>
      </c>
      <c r="K7" s="18">
        <v>571.9</v>
      </c>
      <c r="L7" s="18">
        <v>571.9</v>
      </c>
      <c r="M7" s="18">
        <v>664.1</v>
      </c>
      <c r="N7" s="18">
        <v>759.8</v>
      </c>
      <c r="O7" s="19">
        <f>SUM(BC7:BF7)</f>
        <v>782.4</v>
      </c>
      <c r="P7" s="19"/>
      <c r="Q7" s="18">
        <v>122.901</v>
      </c>
      <c r="R7" s="59">
        <f>F7-Q7</f>
        <v>135.08499999999998</v>
      </c>
      <c r="S7" s="18">
        <v>140.58699999999999</v>
      </c>
      <c r="T7" s="59">
        <f>G7-S7</f>
        <v>151.34800000000001</v>
      </c>
      <c r="U7" s="18">
        <v>159.80799999999999</v>
      </c>
      <c r="V7" s="59">
        <f>H7-U7</f>
        <v>174.84300000000002</v>
      </c>
      <c r="W7" s="18">
        <v>230.5</v>
      </c>
      <c r="X7" s="59">
        <f>I7-W7</f>
        <v>254.517</v>
      </c>
      <c r="Y7" s="18">
        <v>280.39999999999998</v>
      </c>
      <c r="Z7" s="59">
        <f>K7-Y7</f>
        <v>291.5</v>
      </c>
      <c r="AA7" s="18">
        <v>320.89999999999998</v>
      </c>
      <c r="AB7" s="59">
        <f>M7-AA7</f>
        <v>343.20000000000005</v>
      </c>
      <c r="AC7" s="18">
        <v>367.2</v>
      </c>
      <c r="AD7" s="59">
        <f>N7-AC7</f>
        <v>392.59999999999997</v>
      </c>
      <c r="AF7" s="18">
        <f>181.313-Q7</f>
        <v>58.411999999999992</v>
      </c>
      <c r="AG7" s="19">
        <f>F7-AF7-Q7</f>
        <v>76.673000000000016</v>
      </c>
      <c r="AH7" s="18">
        <v>68.382000000000005</v>
      </c>
      <c r="AI7" s="19">
        <f>S7-AH7</f>
        <v>72.204999999999984</v>
      </c>
      <c r="AJ7" s="18">
        <f>209.693-S7</f>
        <v>69.106000000000023</v>
      </c>
      <c r="AK7" s="19">
        <f>G7-AJ7-S7</f>
        <v>82.24199999999999</v>
      </c>
      <c r="AL7" s="18">
        <v>77.772000000000006</v>
      </c>
      <c r="AM7" s="19">
        <f>U7-AL7</f>
        <v>82.035999999999987</v>
      </c>
      <c r="AN7" s="18">
        <f>245.712-U7</f>
        <v>85.903999999999996</v>
      </c>
      <c r="AO7" s="19">
        <f>H7-AN7-U7</f>
        <v>88.939000000000021</v>
      </c>
      <c r="AP7" s="18">
        <v>109.593</v>
      </c>
      <c r="AQ7" s="19">
        <f>W7-AP7</f>
        <v>120.907</v>
      </c>
      <c r="AR7" s="19">
        <f>354.226-W7</f>
        <v>123.726</v>
      </c>
      <c r="AS7" s="19">
        <f>I7-AR7-W7</f>
        <v>130.791</v>
      </c>
      <c r="AT7" s="18">
        <v>136.03100000000001</v>
      </c>
      <c r="AU7" s="19">
        <f>Y7-AT7</f>
        <v>144.36899999999997</v>
      </c>
      <c r="AV7" s="19">
        <f>421.5-Y7</f>
        <v>141.10000000000002</v>
      </c>
      <c r="AW7" s="19">
        <f>K7-AV7-Y7</f>
        <v>150.39999999999998</v>
      </c>
      <c r="AX7" s="18">
        <v>157.5</v>
      </c>
      <c r="AY7" s="19">
        <f>AA7-AX7</f>
        <v>163.39999999999998</v>
      </c>
      <c r="AZ7" s="22">
        <f>488.4-AA7</f>
        <v>167.5</v>
      </c>
      <c r="BA7" s="19">
        <f>M7-AZ7-AA7</f>
        <v>175.70000000000005</v>
      </c>
      <c r="BB7" s="18">
        <v>182.5</v>
      </c>
      <c r="BC7" s="19">
        <f>AC7-BB7</f>
        <v>184.7</v>
      </c>
      <c r="BD7" s="22">
        <f>562-AC7</f>
        <v>194.8</v>
      </c>
      <c r="BE7" s="19">
        <f>N7-AC7-BD7</f>
        <v>197.79999999999995</v>
      </c>
      <c r="BF7" s="22">
        <v>205.1</v>
      </c>
    </row>
    <row r="8" spans="2:58">
      <c r="B8" s="193" t="s">
        <v>203</v>
      </c>
      <c r="C8" s="18">
        <v>12.324999999999999</v>
      </c>
      <c r="D8" s="18">
        <v>14.048999999999999</v>
      </c>
      <c r="E8" s="18">
        <v>19.989999999999998</v>
      </c>
      <c r="F8" s="18">
        <v>22.379000000000001</v>
      </c>
      <c r="G8" s="18">
        <v>25.882000000000001</v>
      </c>
      <c r="H8" s="18">
        <v>31.111999999999998</v>
      </c>
      <c r="I8" s="18">
        <v>51.875</v>
      </c>
      <c r="J8" s="18">
        <v>51.875</v>
      </c>
      <c r="K8" s="18">
        <v>60.7</v>
      </c>
      <c r="L8" s="18">
        <v>60.7</v>
      </c>
      <c r="M8" s="18">
        <v>75.900000000000006</v>
      </c>
      <c r="N8" s="18">
        <v>92.3</v>
      </c>
      <c r="O8" s="19">
        <f>SUM(BC8:BF8)</f>
        <v>96</v>
      </c>
      <c r="P8" s="19"/>
      <c r="Q8" s="18">
        <v>10.916</v>
      </c>
      <c r="R8" s="59">
        <f>F8-Q8</f>
        <v>11.463000000000001</v>
      </c>
      <c r="S8" s="18">
        <v>12.159000000000001</v>
      </c>
      <c r="T8" s="59">
        <f>G8-S8</f>
        <v>13.723000000000001</v>
      </c>
      <c r="U8" s="18">
        <v>14.704000000000001</v>
      </c>
      <c r="V8" s="59">
        <f>H8-U8</f>
        <v>16.407999999999998</v>
      </c>
      <c r="W8" s="18">
        <v>23.866</v>
      </c>
      <c r="X8" s="59">
        <f>I8-W8</f>
        <v>28.009</v>
      </c>
      <c r="Y8" s="18">
        <v>29.1</v>
      </c>
      <c r="Z8" s="59">
        <f>K8-Y8</f>
        <v>31.6</v>
      </c>
      <c r="AA8" s="18">
        <v>35.4</v>
      </c>
      <c r="AB8" s="59">
        <f>M8-AA8</f>
        <v>40.500000000000007</v>
      </c>
      <c r="AC8" s="18">
        <v>44.8</v>
      </c>
      <c r="AD8" s="59">
        <f>N8-AC8</f>
        <v>47.5</v>
      </c>
      <c r="AF8" s="18">
        <f>16.176-Q8</f>
        <v>5.259999999999998</v>
      </c>
      <c r="AG8" s="19">
        <f>F8-AF8-Q8</f>
        <v>6.203000000000003</v>
      </c>
      <c r="AH8" s="18">
        <v>6.0460000000000003</v>
      </c>
      <c r="AI8" s="19">
        <f>S8-AH8</f>
        <v>6.1130000000000004</v>
      </c>
      <c r="AJ8" s="18">
        <f>18.093-S8</f>
        <v>5.9339999999999993</v>
      </c>
      <c r="AK8" s="19">
        <f>G8-AJ8-S8</f>
        <v>7.7889999999999997</v>
      </c>
      <c r="AL8" s="18">
        <v>7.4020000000000001</v>
      </c>
      <c r="AM8" s="19">
        <f>U8-AL8</f>
        <v>7.3020000000000005</v>
      </c>
      <c r="AN8" s="18">
        <f>22.597-U8</f>
        <v>7.8930000000000007</v>
      </c>
      <c r="AO8" s="19">
        <f>H8-AN8-U8</f>
        <v>8.514999999999997</v>
      </c>
      <c r="AP8" s="18">
        <v>11.106</v>
      </c>
      <c r="AQ8" s="19">
        <f>W8-AP8</f>
        <v>12.76</v>
      </c>
      <c r="AR8" s="19">
        <f>37.755-W8</f>
        <v>13.889000000000003</v>
      </c>
      <c r="AS8" s="19">
        <f>I8-AR8-W8</f>
        <v>14.119999999999997</v>
      </c>
      <c r="AT8" s="18">
        <v>14.433999999999999</v>
      </c>
      <c r="AU8" s="19">
        <f>Y8-AT8</f>
        <v>14.666000000000002</v>
      </c>
      <c r="AV8" s="19">
        <f>43.4-Y8</f>
        <v>14.299999999999997</v>
      </c>
      <c r="AW8" s="19">
        <f>K8-AV8-Y8</f>
        <v>17.300000000000004</v>
      </c>
      <c r="AX8" s="18">
        <v>17.5</v>
      </c>
      <c r="AY8" s="19">
        <f>AA8-AX8</f>
        <v>17.899999999999999</v>
      </c>
      <c r="AZ8" s="22">
        <f>54.9-AA8</f>
        <v>19.5</v>
      </c>
      <c r="BA8" s="19">
        <f t="shared" ref="BA8:BA18" si="0">M8-AZ8-AA8</f>
        <v>21.000000000000007</v>
      </c>
      <c r="BB8" s="18">
        <v>21.8</v>
      </c>
      <c r="BC8" s="19">
        <f>AC8-BB8</f>
        <v>22.999999999999996</v>
      </c>
      <c r="BD8" s="22">
        <f>68.8-AC8</f>
        <v>24</v>
      </c>
      <c r="BE8" s="19">
        <f t="shared" ref="BE8:BE18" si="1">N8-AC8-BD8</f>
        <v>23.5</v>
      </c>
      <c r="BF8" s="22">
        <v>25.5</v>
      </c>
    </row>
    <row r="9" spans="2:58">
      <c r="B9" s="193" t="s">
        <v>204</v>
      </c>
      <c r="C9" s="18">
        <v>-13.371</v>
      </c>
      <c r="D9" s="18">
        <v>-15.221</v>
      </c>
      <c r="E9" s="18">
        <v>-29.798999999999999</v>
      </c>
      <c r="F9" s="18">
        <v>-40.575000000000003</v>
      </c>
      <c r="G9" s="18">
        <v>-37.148000000000003</v>
      </c>
      <c r="H9" s="18">
        <v>-38.909999999999997</v>
      </c>
      <c r="I9" s="18">
        <v>-84.757999999999996</v>
      </c>
      <c r="J9" s="18">
        <v>-84.757999999999996</v>
      </c>
      <c r="K9" s="18">
        <v>-89.4</v>
      </c>
      <c r="L9" s="18">
        <v>-89.2</v>
      </c>
      <c r="M9" s="18">
        <v>-93.2</v>
      </c>
      <c r="N9" s="18">
        <v>-114.1</v>
      </c>
      <c r="O9" s="19">
        <f>SUM(BC9:BF9)</f>
        <v>-120.1</v>
      </c>
      <c r="P9" s="19"/>
      <c r="Q9" s="18">
        <v>-21.254000000000001</v>
      </c>
      <c r="R9" s="59">
        <f>F9-Q9</f>
        <v>-19.321000000000002</v>
      </c>
      <c r="S9" s="18">
        <v>-16.256</v>
      </c>
      <c r="T9" s="59">
        <f>G9-S9</f>
        <v>-20.892000000000003</v>
      </c>
      <c r="U9" s="18">
        <v>-14.205</v>
      </c>
      <c r="V9" s="59">
        <f>H9-U9</f>
        <v>-24.704999999999998</v>
      </c>
      <c r="W9" s="18">
        <v>-42.860999999999997</v>
      </c>
      <c r="X9" s="59">
        <f>I9-W9</f>
        <v>-41.896999999999998</v>
      </c>
      <c r="Y9" s="18">
        <f>-41.2+1.5</f>
        <v>-39.700000000000003</v>
      </c>
      <c r="Z9" s="59">
        <f>K9-Y9</f>
        <v>-49.7</v>
      </c>
      <c r="AA9" s="18">
        <f>-42.4+1.8</f>
        <v>-40.6</v>
      </c>
      <c r="AB9" s="59">
        <f>M9-AA9</f>
        <v>-52.6</v>
      </c>
      <c r="AC9" s="18">
        <f>-51.6</f>
        <v>-51.6</v>
      </c>
      <c r="AD9" s="59">
        <f>N9-AC9</f>
        <v>-62.499999999999993</v>
      </c>
      <c r="AF9" s="18">
        <f>-31.938-Q9</f>
        <v>-10.683999999999997</v>
      </c>
      <c r="AG9" s="19">
        <f>F9-AF9-Q9</f>
        <v>-8.637000000000004</v>
      </c>
      <c r="AH9" s="18">
        <v>-7.6130000000000004</v>
      </c>
      <c r="AI9" s="19">
        <f>S9-AH9</f>
        <v>-8.6430000000000007</v>
      </c>
      <c r="AJ9" s="18">
        <f>-24.509-S9</f>
        <v>-8.2530000000000001</v>
      </c>
      <c r="AK9" s="19">
        <f>G9-AJ9-S9</f>
        <v>-12.639000000000003</v>
      </c>
      <c r="AL9" s="18">
        <v>-7.0860000000000003</v>
      </c>
      <c r="AM9" s="19">
        <f>U9-AL9</f>
        <v>-7.1189999999999998</v>
      </c>
      <c r="AN9" s="18">
        <f>-28.44-U9</f>
        <v>-14.235000000000001</v>
      </c>
      <c r="AO9" s="19">
        <f>H9-AN9-U9</f>
        <v>-10.469999999999997</v>
      </c>
      <c r="AP9" s="18">
        <v>-13.5</v>
      </c>
      <c r="AQ9" s="19">
        <f t="shared" ref="AQ9" si="2">W9-AP9</f>
        <v>-29.360999999999997</v>
      </c>
      <c r="AR9" s="19">
        <f>-(63.745)-W9</f>
        <v>-20.884</v>
      </c>
      <c r="AS9" s="19">
        <f>I9-AR9-W9</f>
        <v>-21.012999999999998</v>
      </c>
      <c r="AT9" s="18">
        <v>-19.814</v>
      </c>
      <c r="AU9" s="19">
        <f>Y9-AT9</f>
        <v>-19.886000000000003</v>
      </c>
      <c r="AV9" s="19">
        <f>-62.4-Y9+3.2</f>
        <v>-19.499999999999996</v>
      </c>
      <c r="AW9" s="19">
        <f>K9-AV9-Y9</f>
        <v>-30.200000000000003</v>
      </c>
      <c r="AX9" s="18">
        <f>-21.5+0.3</f>
        <v>-21.2</v>
      </c>
      <c r="AY9" s="19">
        <f>AA9-AX9</f>
        <v>-19.400000000000002</v>
      </c>
      <c r="AZ9" s="22">
        <f>-67.4-AA9+3.1</f>
        <v>-23.700000000000003</v>
      </c>
      <c r="BA9" s="19">
        <f t="shared" si="0"/>
        <v>-28.9</v>
      </c>
      <c r="BB9" s="18">
        <v>-25</v>
      </c>
      <c r="BC9" s="19">
        <f t="shared" ref="BC9:BC12" si="3">AC9-BB9</f>
        <v>-26.6</v>
      </c>
      <c r="BD9" s="22">
        <f>-81.9-AC9</f>
        <v>-30.300000000000004</v>
      </c>
      <c r="BE9" s="19">
        <f t="shared" si="1"/>
        <v>-32.199999999999989</v>
      </c>
      <c r="BF9" s="22">
        <v>-31</v>
      </c>
    </row>
    <row r="10" spans="2:58" s="5" customFormat="1">
      <c r="B10" s="5" t="s">
        <v>205</v>
      </c>
      <c r="C10" s="14">
        <f t="shared" ref="C10:F10" si="4">SUM(C7:C9)</f>
        <v>181.65899999999999</v>
      </c>
      <c r="D10" s="14">
        <f t="shared" si="4"/>
        <v>207.08799999999999</v>
      </c>
      <c r="E10" s="14">
        <f t="shared" si="4"/>
        <v>232.15099999999998</v>
      </c>
      <c r="F10" s="14">
        <f t="shared" si="4"/>
        <v>239.79000000000002</v>
      </c>
      <c r="G10" s="14">
        <f t="shared" ref="G10:H10" si="5">SUM(G7:G9)</f>
        <v>280.66899999999998</v>
      </c>
      <c r="H10" s="14">
        <f t="shared" si="5"/>
        <v>326.85300000000007</v>
      </c>
      <c r="I10" s="14">
        <f t="shared" ref="I10:J10" si="6">SUM(I7:I9)</f>
        <v>452.13400000000007</v>
      </c>
      <c r="J10" s="14">
        <f t="shared" si="6"/>
        <v>452.13400000000007</v>
      </c>
      <c r="K10" s="14">
        <f t="shared" ref="K10:M10" si="7">SUM(K7:K9)</f>
        <v>543.20000000000005</v>
      </c>
      <c r="L10" s="14">
        <f t="shared" ref="L10" si="8">SUM(L7:L9)</f>
        <v>543.4</v>
      </c>
      <c r="M10" s="14">
        <f t="shared" si="7"/>
        <v>646.79999999999995</v>
      </c>
      <c r="N10" s="14">
        <f t="shared" ref="N10" si="9">SUM(N7:N9)</f>
        <v>737.99999999999989</v>
      </c>
      <c r="O10" s="14">
        <f>SUM(O7:O9)</f>
        <v>758.3</v>
      </c>
      <c r="P10" s="19"/>
      <c r="Q10" s="14">
        <f t="shared" ref="Q10:R10" si="10">SUM(Q7:Q9)</f>
        <v>112.563</v>
      </c>
      <c r="R10" s="14">
        <f t="shared" si="10"/>
        <v>127.22699999999998</v>
      </c>
      <c r="S10" s="14">
        <f>SUM(S7:S9)</f>
        <v>136.48999999999998</v>
      </c>
      <c r="T10" s="14">
        <f t="shared" ref="T10:W10" si="11">SUM(T7:T9)</f>
        <v>144.17900000000003</v>
      </c>
      <c r="U10" s="14">
        <f>SUM(U7:U9)</f>
        <v>160.30699999999999</v>
      </c>
      <c r="V10" s="14">
        <f t="shared" si="11"/>
        <v>166.54599999999999</v>
      </c>
      <c r="W10" s="14">
        <f t="shared" si="11"/>
        <v>211.505</v>
      </c>
      <c r="X10" s="14">
        <f t="shared" ref="X10:Y10" si="12">SUM(X7:X9)</f>
        <v>240.62900000000002</v>
      </c>
      <c r="Y10" s="14">
        <f t="shared" si="12"/>
        <v>269.8</v>
      </c>
      <c r="Z10" s="14">
        <f t="shared" ref="Z10:AB10" si="13">SUM(Z7:Z9)</f>
        <v>273.40000000000003</v>
      </c>
      <c r="AA10" s="14">
        <f t="shared" ref="AA10:AD10" si="14">SUM(AA7:AA9)</f>
        <v>315.69999999999993</v>
      </c>
      <c r="AB10" s="14">
        <f t="shared" si="13"/>
        <v>331.1</v>
      </c>
      <c r="AC10" s="14">
        <f t="shared" si="14"/>
        <v>360.4</v>
      </c>
      <c r="AD10" s="14">
        <f t="shared" si="14"/>
        <v>377.59999999999997</v>
      </c>
      <c r="AF10" s="14">
        <f t="shared" ref="AF10:AI10" si="15">SUM(AF7:AF9)</f>
        <v>52.987999999999992</v>
      </c>
      <c r="AG10" s="14">
        <f t="shared" si="15"/>
        <v>74.239000000000019</v>
      </c>
      <c r="AH10" s="14">
        <f t="shared" si="15"/>
        <v>66.815000000000012</v>
      </c>
      <c r="AI10" s="14">
        <f t="shared" si="15"/>
        <v>69.674999999999983</v>
      </c>
      <c r="AJ10" s="14">
        <f t="shared" ref="AJ10:AK10" si="16">SUM(AJ7:AJ9)</f>
        <v>66.78700000000002</v>
      </c>
      <c r="AK10" s="14">
        <f t="shared" si="16"/>
        <v>77.391999999999996</v>
      </c>
      <c r="AL10" s="14">
        <f t="shared" ref="AL10:AQ10" si="17">SUM(AL7:AL9)</f>
        <v>78.088000000000008</v>
      </c>
      <c r="AM10" s="14">
        <f t="shared" si="17"/>
        <v>82.218999999999994</v>
      </c>
      <c r="AN10" s="14">
        <f t="shared" si="17"/>
        <v>79.561999999999998</v>
      </c>
      <c r="AO10" s="14">
        <f t="shared" si="17"/>
        <v>86.984000000000023</v>
      </c>
      <c r="AP10" s="14">
        <f t="shared" si="17"/>
        <v>107.199</v>
      </c>
      <c r="AQ10" s="14">
        <f t="shared" si="17"/>
        <v>104.30600000000001</v>
      </c>
      <c r="AR10" s="14">
        <f t="shared" ref="AR10:AU10" si="18">SUM(AR7:AR9)</f>
        <v>116.73100000000001</v>
      </c>
      <c r="AS10" s="14">
        <f t="shared" si="18"/>
        <v>123.898</v>
      </c>
      <c r="AT10" s="14">
        <f t="shared" si="18"/>
        <v>130.65100000000001</v>
      </c>
      <c r="AU10" s="14">
        <f t="shared" si="18"/>
        <v>139.14899999999997</v>
      </c>
      <c r="AV10" s="14">
        <f>SUM(AV7:AV9)</f>
        <v>135.90000000000003</v>
      </c>
      <c r="AW10" s="14">
        <f t="shared" ref="AW10:AX10" si="19">SUM(AW7:AW9)</f>
        <v>137.5</v>
      </c>
      <c r="AX10" s="14">
        <f t="shared" si="19"/>
        <v>153.80000000000001</v>
      </c>
      <c r="AY10" s="14">
        <f>SUM(AY7:AY9)</f>
        <v>161.89999999999998</v>
      </c>
      <c r="AZ10" s="14">
        <f>SUM(AZ7:AZ9)</f>
        <v>163.30000000000001</v>
      </c>
      <c r="BA10" s="14">
        <f t="shared" ref="BA10:BB10" si="20">SUM(BA7:BA9)</f>
        <v>167.80000000000004</v>
      </c>
      <c r="BB10" s="14">
        <f t="shared" si="20"/>
        <v>179.3</v>
      </c>
      <c r="BC10" s="14">
        <f>SUM(BC7:BC9)</f>
        <v>181.1</v>
      </c>
      <c r="BD10" s="14">
        <f>SUM(BD7:BD9)</f>
        <v>188.5</v>
      </c>
      <c r="BE10" s="14">
        <f t="shared" ref="BE10:BF10" si="21">SUM(BE7:BE9)</f>
        <v>189.09999999999997</v>
      </c>
      <c r="BF10" s="14">
        <f t="shared" si="21"/>
        <v>199.6</v>
      </c>
    </row>
    <row r="11" spans="2:58" s="5" customFormat="1">
      <c r="B11" s="193" t="s">
        <v>206</v>
      </c>
      <c r="C11" s="194"/>
      <c r="D11" s="194"/>
      <c r="E11" s="194"/>
      <c r="F11" s="194"/>
      <c r="G11" s="194"/>
      <c r="H11" s="194"/>
      <c r="I11" s="194"/>
      <c r="J11" s="194"/>
      <c r="K11" s="194"/>
      <c r="L11" s="18">
        <v>6.3</v>
      </c>
      <c r="M11" s="18">
        <v>7.6</v>
      </c>
      <c r="N11" s="18">
        <v>14.7</v>
      </c>
      <c r="O11" s="19">
        <f>SUM(BC11:BF11)</f>
        <v>16.099999999999998</v>
      </c>
      <c r="P11" s="19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59">
        <f t="shared" ref="AB11:AB12" si="22">M11-AA11</f>
        <v>7.6</v>
      </c>
      <c r="AC11" s="18">
        <v>8</v>
      </c>
      <c r="AD11" s="59">
        <f>N11-AC11</f>
        <v>6.6999999999999993</v>
      </c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94"/>
      <c r="AV11" s="194"/>
      <c r="AW11" s="194"/>
      <c r="AX11" s="18">
        <v>1</v>
      </c>
      <c r="AY11" s="194"/>
      <c r="AZ11" s="194"/>
      <c r="BA11" s="19">
        <f t="shared" si="0"/>
        <v>7.6</v>
      </c>
      <c r="BB11" s="18">
        <v>1.9</v>
      </c>
      <c r="BC11" s="19">
        <f t="shared" si="3"/>
        <v>6.1</v>
      </c>
      <c r="BD11" s="22">
        <f>12.4-AC11</f>
        <v>4.4000000000000004</v>
      </c>
      <c r="BE11" s="19">
        <f t="shared" si="1"/>
        <v>2.2999999999999989</v>
      </c>
      <c r="BF11" s="22">
        <v>3.3</v>
      </c>
    </row>
    <row r="12" spans="2:58" s="5" customFormat="1">
      <c r="B12" s="193" t="s">
        <v>207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8">
        <v>-2.8</v>
      </c>
      <c r="M12" s="18">
        <v>-4.2</v>
      </c>
      <c r="N12" s="18">
        <v>-9.5</v>
      </c>
      <c r="O12" s="19">
        <f>SUM(BC12:BF12)</f>
        <v>-12.8</v>
      </c>
      <c r="P12" s="19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59">
        <f t="shared" si="22"/>
        <v>-4.2</v>
      </c>
      <c r="AC12" s="18">
        <v>-4.0999999999999996</v>
      </c>
      <c r="AD12" s="59">
        <f>N12-AC12</f>
        <v>-5.4</v>
      </c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94"/>
      <c r="AV12" s="194"/>
      <c r="AW12" s="194"/>
      <c r="AX12" s="18">
        <v>-0.7</v>
      </c>
      <c r="AY12" s="194"/>
      <c r="AZ12" s="194"/>
      <c r="BA12" s="19">
        <f t="shared" si="0"/>
        <v>-4.2</v>
      </c>
      <c r="BB12" s="18">
        <v>-1.8</v>
      </c>
      <c r="BC12" s="19">
        <f t="shared" si="3"/>
        <v>-2.2999999999999998</v>
      </c>
      <c r="BD12" s="22">
        <f>-6.6-AC12</f>
        <v>-2.5</v>
      </c>
      <c r="BE12" s="19">
        <f t="shared" si="1"/>
        <v>-2.9000000000000004</v>
      </c>
      <c r="BF12" s="22">
        <v>-5.0999999999999996</v>
      </c>
    </row>
    <row r="13" spans="2:58" s="5" customFormat="1">
      <c r="B13" s="5" t="s">
        <v>208</v>
      </c>
      <c r="C13" s="194"/>
      <c r="D13" s="194"/>
      <c r="E13" s="194"/>
      <c r="F13" s="194"/>
      <c r="G13" s="194"/>
      <c r="H13" s="194"/>
      <c r="I13" s="194"/>
      <c r="J13" s="194"/>
      <c r="K13" s="194"/>
      <c r="L13" s="14">
        <f t="shared" ref="L13:M13" si="23">SUM(L11:L12)</f>
        <v>3.5</v>
      </c>
      <c r="M13" s="14">
        <f t="shared" si="23"/>
        <v>3.3999999999999995</v>
      </c>
      <c r="N13" s="14">
        <f t="shared" ref="N13" si="24">SUM(N11:N12)</f>
        <v>5.1999999999999993</v>
      </c>
      <c r="O13" s="14">
        <f>SUM(O11:O12)</f>
        <v>3.2999999999999972</v>
      </c>
      <c r="P13" s="19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4">
        <f t="shared" ref="AB13:AC13" si="25">SUM(AB11:AB12)</f>
        <v>3.3999999999999995</v>
      </c>
      <c r="AC13" s="14">
        <f t="shared" si="25"/>
        <v>3.9000000000000004</v>
      </c>
      <c r="AD13" s="14">
        <f t="shared" ref="AD13" si="26">SUM(AD11:AD12)</f>
        <v>1.2999999999999989</v>
      </c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94"/>
      <c r="AV13" s="194"/>
      <c r="AW13" s="194"/>
      <c r="AX13" s="14">
        <f t="shared" ref="AX13" si="27">SUM(AX11:AX12)</f>
        <v>0.30000000000000004</v>
      </c>
      <c r="AY13" s="194"/>
      <c r="AZ13" s="194"/>
      <c r="BA13" s="14">
        <f t="shared" ref="BA13:BD13" si="28">SUM(BA11:BA12)</f>
        <v>3.3999999999999995</v>
      </c>
      <c r="BB13" s="14">
        <f t="shared" si="28"/>
        <v>9.9999999999999867E-2</v>
      </c>
      <c r="BC13" s="14">
        <f t="shared" si="28"/>
        <v>3.8</v>
      </c>
      <c r="BD13" s="14">
        <f t="shared" si="28"/>
        <v>1.9000000000000004</v>
      </c>
      <c r="BE13" s="14">
        <f t="shared" ref="BE13:BF13" si="29">SUM(BE11:BE12)</f>
        <v>-0.60000000000000142</v>
      </c>
      <c r="BF13" s="14">
        <f t="shared" si="29"/>
        <v>-1.7999999999999998</v>
      </c>
    </row>
    <row r="14" spans="2:58">
      <c r="B14" s="193" t="s">
        <v>209</v>
      </c>
      <c r="C14" s="18">
        <v>9.7720000000000002</v>
      </c>
      <c r="D14" s="18">
        <v>14.978</v>
      </c>
      <c r="E14" s="18">
        <v>16.805</v>
      </c>
      <c r="F14" s="18">
        <v>17.312000000000001</v>
      </c>
      <c r="G14" s="18">
        <v>5.7519999999999998</v>
      </c>
      <c r="H14" s="18">
        <v>8.7789999999999999</v>
      </c>
      <c r="I14" s="18">
        <v>16.021000000000001</v>
      </c>
      <c r="J14" s="18">
        <v>16.021000000000001</v>
      </c>
      <c r="K14" s="18">
        <v>21.1</v>
      </c>
      <c r="L14" s="18">
        <v>21.1</v>
      </c>
      <c r="M14" s="18">
        <v>22.4</v>
      </c>
      <c r="N14" s="18">
        <v>22.8</v>
      </c>
      <c r="O14" s="19">
        <f>SUM(BC14:BF14)</f>
        <v>22.700000000000003</v>
      </c>
      <c r="P14" s="19"/>
      <c r="Q14" s="18">
        <v>8.6790000000000003</v>
      </c>
      <c r="R14" s="59">
        <f>F14-Q14</f>
        <v>8.6330000000000009</v>
      </c>
      <c r="S14" s="18">
        <v>3.274</v>
      </c>
      <c r="T14" s="59">
        <f>G14-S14</f>
        <v>2.4779999999999998</v>
      </c>
      <c r="U14" s="18">
        <v>2.6640000000000001</v>
      </c>
      <c r="V14" s="59">
        <f>H14-U14</f>
        <v>6.1150000000000002</v>
      </c>
      <c r="W14" s="18">
        <v>7.181</v>
      </c>
      <c r="X14" s="59">
        <f>I14-W14</f>
        <v>8.84</v>
      </c>
      <c r="Y14" s="18">
        <v>10</v>
      </c>
      <c r="Z14" s="59">
        <f>K14-Y14</f>
        <v>11.100000000000001</v>
      </c>
      <c r="AA14" s="18">
        <v>10.5</v>
      </c>
      <c r="AB14" s="59">
        <f>M14-AA14</f>
        <v>11.899999999999999</v>
      </c>
      <c r="AC14" s="18">
        <v>10.9</v>
      </c>
      <c r="AD14" s="59">
        <f>N14-AC14</f>
        <v>11.9</v>
      </c>
      <c r="AF14" s="18">
        <f>13.437-Q14</f>
        <v>4.7579999999999991</v>
      </c>
      <c r="AG14" s="19">
        <f>F14-AF14-Q14</f>
        <v>3.8750000000000018</v>
      </c>
      <c r="AH14" s="18">
        <v>2.5419999999999998</v>
      </c>
      <c r="AI14" s="19">
        <f>S14-AH14</f>
        <v>0.73200000000000021</v>
      </c>
      <c r="AJ14" s="18">
        <f>4.846-S14</f>
        <v>1.5720000000000001</v>
      </c>
      <c r="AK14" s="19">
        <f>G14-AJ14-S14</f>
        <v>0.90599999999999969</v>
      </c>
      <c r="AL14" s="18">
        <v>0.83</v>
      </c>
      <c r="AM14" s="19">
        <f>U14-AL14</f>
        <v>1.8340000000000001</v>
      </c>
      <c r="AN14" s="18">
        <f>5.838-U14</f>
        <v>3.1739999999999999</v>
      </c>
      <c r="AO14" s="19">
        <f>H14-AN14-U14</f>
        <v>2.9410000000000003</v>
      </c>
      <c r="AP14" s="18">
        <v>2.2490000000000001</v>
      </c>
      <c r="AQ14" s="19">
        <f>W14-AP14</f>
        <v>4.9320000000000004</v>
      </c>
      <c r="AR14" s="19">
        <f>11.074-W14</f>
        <v>3.8929999999999998</v>
      </c>
      <c r="AS14" s="19">
        <f>I14-AR14-W14</f>
        <v>4.9470000000000001</v>
      </c>
      <c r="AT14" s="18">
        <v>4.0389999999999997</v>
      </c>
      <c r="AU14" s="19">
        <f t="shared" ref="AU14:AU15" si="30">Y14-AT14</f>
        <v>5.9610000000000003</v>
      </c>
      <c r="AV14" s="19">
        <f>15.3-Y14</f>
        <v>5.3000000000000007</v>
      </c>
      <c r="AW14" s="19">
        <f>K14-AV14-Y14</f>
        <v>5.8000000000000007</v>
      </c>
      <c r="AX14" s="18">
        <v>4.5</v>
      </c>
      <c r="AY14" s="19">
        <f>AA14-AX14</f>
        <v>6</v>
      </c>
      <c r="AZ14" s="22">
        <f>16.1-AA14</f>
        <v>5.6000000000000014</v>
      </c>
      <c r="BA14" s="19">
        <f t="shared" si="0"/>
        <v>6.2999999999999972</v>
      </c>
      <c r="BB14" s="18">
        <v>4.5999999999999996</v>
      </c>
      <c r="BC14" s="19">
        <f t="shared" ref="BC14:BC19" si="31">AC14-BB14</f>
        <v>6.3000000000000007</v>
      </c>
      <c r="BD14" s="22">
        <f>16.6-AC14</f>
        <v>5.7000000000000011</v>
      </c>
      <c r="BE14" s="19">
        <f t="shared" si="1"/>
        <v>6.1999999999999993</v>
      </c>
      <c r="BF14" s="22">
        <v>4.5</v>
      </c>
    </row>
    <row r="15" spans="2:58">
      <c r="B15" s="193" t="s">
        <v>210</v>
      </c>
      <c r="C15" s="18">
        <v>-6.9610000000000003</v>
      </c>
      <c r="D15" s="18">
        <v>-10.564</v>
      </c>
      <c r="E15" s="18">
        <v>-10.680999999999999</v>
      </c>
      <c r="F15" s="18">
        <v>-11.545</v>
      </c>
      <c r="G15" s="18">
        <v>-5.8970000000000002</v>
      </c>
      <c r="H15" s="18">
        <v>-11.334</v>
      </c>
      <c r="I15" s="18">
        <v>-12.28</v>
      </c>
      <c r="J15" s="18">
        <v>-12.28</v>
      </c>
      <c r="K15" s="18">
        <v>-15.7</v>
      </c>
      <c r="L15" s="18">
        <v>-15.7</v>
      </c>
      <c r="M15" s="18">
        <v>-16.3</v>
      </c>
      <c r="N15" s="18">
        <v>-13.7</v>
      </c>
      <c r="O15" s="19">
        <f>SUM(BC15:BF15)</f>
        <v>-13.8</v>
      </c>
      <c r="P15" s="19"/>
      <c r="Q15" s="18">
        <v>-5.6050000000000004</v>
      </c>
      <c r="R15" s="59">
        <f>F15-Q15</f>
        <v>-5.9399999999999995</v>
      </c>
      <c r="S15" s="18">
        <v>-3.24</v>
      </c>
      <c r="T15" s="59">
        <f>G15-S15</f>
        <v>-2.657</v>
      </c>
      <c r="U15" s="18">
        <v>-2.5379999999999998</v>
      </c>
      <c r="V15" s="59">
        <f>H15-U15</f>
        <v>-8.7959999999999994</v>
      </c>
      <c r="W15" s="18">
        <v>-6.048</v>
      </c>
      <c r="X15" s="59">
        <f>I15-W15</f>
        <v>-6.2319999999999993</v>
      </c>
      <c r="Y15" s="18">
        <v>-7.4</v>
      </c>
      <c r="Z15" s="59">
        <f>K15-Y15</f>
        <v>-8.2999999999999989</v>
      </c>
      <c r="AA15" s="18">
        <v>-5.4</v>
      </c>
      <c r="AB15" s="59">
        <f>M15-AA15</f>
        <v>-10.9</v>
      </c>
      <c r="AC15" s="18">
        <v>-5</v>
      </c>
      <c r="AD15" s="59">
        <f>N15-AC15</f>
        <v>-8.6999999999999993</v>
      </c>
      <c r="AF15" s="18">
        <f>-7.9-Q15</f>
        <v>-2.2949999999999999</v>
      </c>
      <c r="AG15" s="19">
        <f>F15-AF15-Q15</f>
        <v>-3.6449999999999996</v>
      </c>
      <c r="AH15" s="18">
        <v>-2.298</v>
      </c>
      <c r="AI15" s="19">
        <f>S15-AH15</f>
        <v>-0.94200000000000017</v>
      </c>
      <c r="AJ15" s="18">
        <f>-4.508-S15</f>
        <v>-1.2679999999999998</v>
      </c>
      <c r="AK15" s="19">
        <f>G15-AJ15-S15</f>
        <v>-1.3890000000000002</v>
      </c>
      <c r="AL15" s="18">
        <v>-1.1659999999999999</v>
      </c>
      <c r="AM15" s="19">
        <f>U15-AL15</f>
        <v>-1.3719999999999999</v>
      </c>
      <c r="AN15" s="18">
        <f>-5.693-U15</f>
        <v>-3.1549999999999998</v>
      </c>
      <c r="AO15" s="19">
        <f>H15-AN15-U15</f>
        <v>-5.641</v>
      </c>
      <c r="AP15" s="18">
        <v>-2.649</v>
      </c>
      <c r="AQ15" s="19">
        <f>W15-AP15</f>
        <v>-3.399</v>
      </c>
      <c r="AR15" s="19">
        <f>-9.324-W15</f>
        <v>-3.2759999999999998</v>
      </c>
      <c r="AS15" s="19">
        <f>I15-AR15-W15</f>
        <v>-2.9559999999999995</v>
      </c>
      <c r="AT15" s="18">
        <v>-3.3559999999999999</v>
      </c>
      <c r="AU15" s="19">
        <f t="shared" si="30"/>
        <v>-4.0440000000000005</v>
      </c>
      <c r="AV15" s="19">
        <f>-11.6-Y15</f>
        <v>-4.1999999999999993</v>
      </c>
      <c r="AW15" s="19">
        <f>K15-AV15-Y15</f>
        <v>-4.0999999999999996</v>
      </c>
      <c r="AX15" s="18">
        <v>-3.2</v>
      </c>
      <c r="AY15" s="19">
        <f>AA15-AX15</f>
        <v>-2.2000000000000002</v>
      </c>
      <c r="AZ15" s="22">
        <f>-10-AA15</f>
        <v>-4.5999999999999996</v>
      </c>
      <c r="BA15" s="19">
        <f t="shared" si="0"/>
        <v>-6.3000000000000007</v>
      </c>
      <c r="BB15" s="18">
        <v>-3.6</v>
      </c>
      <c r="BC15" s="19">
        <f t="shared" si="31"/>
        <v>-1.4</v>
      </c>
      <c r="BD15" s="22">
        <f>-9-AC15</f>
        <v>-4</v>
      </c>
      <c r="BE15" s="19">
        <f t="shared" si="1"/>
        <v>-4.6999999999999993</v>
      </c>
      <c r="BF15" s="22">
        <v>-3.7</v>
      </c>
    </row>
    <row r="16" spans="2:58" s="5" customFormat="1">
      <c r="B16" s="5" t="s">
        <v>211</v>
      </c>
      <c r="C16" s="14">
        <f t="shared" ref="C16:F16" si="32">SUM(C14:C15)</f>
        <v>2.8109999999999999</v>
      </c>
      <c r="D16" s="14">
        <f t="shared" si="32"/>
        <v>4.4139999999999997</v>
      </c>
      <c r="E16" s="14">
        <f t="shared" si="32"/>
        <v>6.1240000000000006</v>
      </c>
      <c r="F16" s="14">
        <f t="shared" si="32"/>
        <v>5.7670000000000012</v>
      </c>
      <c r="G16" s="14">
        <f t="shared" ref="G16:H16" si="33">SUM(G14:G15)</f>
        <v>-0.14500000000000046</v>
      </c>
      <c r="H16" s="14">
        <f t="shared" si="33"/>
        <v>-2.5549999999999997</v>
      </c>
      <c r="I16" s="14">
        <f t="shared" ref="I16:J16" si="34">SUM(I14:I15)</f>
        <v>3.7410000000000014</v>
      </c>
      <c r="J16" s="14">
        <f t="shared" si="34"/>
        <v>3.7410000000000014</v>
      </c>
      <c r="K16" s="14">
        <f t="shared" ref="K16:M16" si="35">SUM(K14:K15)</f>
        <v>5.4000000000000021</v>
      </c>
      <c r="L16" s="14">
        <f t="shared" ref="L16" si="36">SUM(L14:L15)</f>
        <v>5.4000000000000021</v>
      </c>
      <c r="M16" s="14">
        <f t="shared" si="35"/>
        <v>6.0999999999999979</v>
      </c>
      <c r="N16" s="14">
        <f t="shared" ref="N16" si="37">SUM(N14:N15)</f>
        <v>9.1000000000000014</v>
      </c>
      <c r="O16" s="14">
        <f>SUM(O14:O15)</f>
        <v>8.9000000000000021</v>
      </c>
      <c r="P16" s="19"/>
      <c r="Q16" s="14">
        <f t="shared" ref="Q16:R16" si="38">SUM(Q14:Q15)</f>
        <v>3.0739999999999998</v>
      </c>
      <c r="R16" s="14">
        <f t="shared" si="38"/>
        <v>2.6930000000000014</v>
      </c>
      <c r="S16" s="14">
        <f>SUM(S14:S15)</f>
        <v>3.3999999999999808E-2</v>
      </c>
      <c r="T16" s="14">
        <f t="shared" ref="T16:W16" si="39">SUM(T14:T15)</f>
        <v>-0.17900000000000027</v>
      </c>
      <c r="U16" s="14">
        <f>SUM(U14:U15)</f>
        <v>0.12600000000000033</v>
      </c>
      <c r="V16" s="14">
        <f t="shared" si="39"/>
        <v>-2.6809999999999992</v>
      </c>
      <c r="W16" s="14">
        <f t="shared" si="39"/>
        <v>1.133</v>
      </c>
      <c r="X16" s="14">
        <f t="shared" ref="X16" si="40">SUM(X14:X15)</f>
        <v>2.6080000000000005</v>
      </c>
      <c r="Y16" s="14">
        <f>SUM(Y14:Y15)</f>
        <v>2.5999999999999996</v>
      </c>
      <c r="Z16" s="14">
        <f t="shared" ref="Z16:AC16" si="41">SUM(Z14:Z15)</f>
        <v>2.8000000000000025</v>
      </c>
      <c r="AA16" s="14">
        <f t="shared" ref="AA16" si="42">SUM(AA14:AA15)</f>
        <v>5.0999999999999996</v>
      </c>
      <c r="AB16" s="14">
        <f t="shared" si="41"/>
        <v>0.99999999999999822</v>
      </c>
      <c r="AC16" s="14">
        <f t="shared" si="41"/>
        <v>5.9</v>
      </c>
      <c r="AD16" s="14">
        <f t="shared" ref="AD16" si="43">SUM(AD14:AD15)</f>
        <v>3.2000000000000011</v>
      </c>
      <c r="AF16" s="14">
        <f t="shared" ref="AF16:AI16" si="44">SUM(AF14:AF15)</f>
        <v>2.4629999999999992</v>
      </c>
      <c r="AG16" s="14">
        <f t="shared" si="44"/>
        <v>0.2300000000000022</v>
      </c>
      <c r="AH16" s="14">
        <f t="shared" si="44"/>
        <v>0.24399999999999977</v>
      </c>
      <c r="AI16" s="14">
        <f t="shared" si="44"/>
        <v>-0.20999999999999996</v>
      </c>
      <c r="AJ16" s="14">
        <f t="shared" ref="AJ16:AK16" si="45">SUM(AJ14:AJ15)</f>
        <v>0.30400000000000027</v>
      </c>
      <c r="AK16" s="14">
        <f t="shared" si="45"/>
        <v>-0.48300000000000054</v>
      </c>
      <c r="AL16" s="14">
        <f t="shared" ref="AL16:AQ16" si="46">SUM(AL14:AL15)</f>
        <v>-0.33599999999999997</v>
      </c>
      <c r="AM16" s="14">
        <f t="shared" si="46"/>
        <v>0.46200000000000019</v>
      </c>
      <c r="AN16" s="14">
        <f t="shared" si="46"/>
        <v>1.9000000000000128E-2</v>
      </c>
      <c r="AO16" s="14">
        <f t="shared" si="46"/>
        <v>-2.6999999999999997</v>
      </c>
      <c r="AP16" s="14">
        <f t="shared" si="46"/>
        <v>-0.39999999999999991</v>
      </c>
      <c r="AQ16" s="14">
        <f t="shared" si="46"/>
        <v>1.5330000000000004</v>
      </c>
      <c r="AR16" s="14">
        <f t="shared" ref="AR16:AU16" si="47">SUM(AR14:AR15)</f>
        <v>0.61699999999999999</v>
      </c>
      <c r="AS16" s="14">
        <f t="shared" si="47"/>
        <v>1.9910000000000005</v>
      </c>
      <c r="AT16" s="14">
        <f t="shared" si="47"/>
        <v>0.68299999999999983</v>
      </c>
      <c r="AU16" s="14">
        <f t="shared" si="47"/>
        <v>1.9169999999999998</v>
      </c>
      <c r="AV16" s="14">
        <f>SUM(AV14:AV15)</f>
        <v>1.1000000000000014</v>
      </c>
      <c r="AW16" s="14">
        <f t="shared" ref="AW16:AY16" si="48">SUM(AW14:AW15)</f>
        <v>1.7000000000000011</v>
      </c>
      <c r="AX16" s="14">
        <f t="shared" si="48"/>
        <v>1.2999999999999998</v>
      </c>
      <c r="AY16" s="14">
        <f t="shared" si="48"/>
        <v>3.8</v>
      </c>
      <c r="AZ16" s="14">
        <f>SUM(AZ14:AZ15)</f>
        <v>1.0000000000000018</v>
      </c>
      <c r="BA16" s="14">
        <f t="shared" ref="BA16:BC16" si="49">SUM(BA14:BA15)</f>
        <v>0</v>
      </c>
      <c r="BB16" s="14">
        <f t="shared" si="49"/>
        <v>0.99999999999999956</v>
      </c>
      <c r="BC16" s="14">
        <f t="shared" si="49"/>
        <v>4.9000000000000004</v>
      </c>
      <c r="BD16" s="14">
        <f>SUM(BD14:BD15)</f>
        <v>1.7000000000000011</v>
      </c>
      <c r="BE16" s="14">
        <f t="shared" ref="BE16:BF16" si="50">SUM(BE14:BE15)</f>
        <v>1.5</v>
      </c>
      <c r="BF16" s="14">
        <f t="shared" si="50"/>
        <v>0.79999999999999982</v>
      </c>
    </row>
    <row r="17" spans="2:58">
      <c r="B17" s="193" t="s">
        <v>212</v>
      </c>
      <c r="C17" s="18">
        <v>5.194</v>
      </c>
      <c r="D17" s="18">
        <v>16.55</v>
      </c>
      <c r="E17" s="18">
        <v>9.3580000000000005</v>
      </c>
      <c r="F17" s="18">
        <v>4.4829999999999997</v>
      </c>
      <c r="G17" s="18">
        <v>49.411000000000001</v>
      </c>
      <c r="H17" s="18">
        <v>32.823999999999998</v>
      </c>
      <c r="I17" s="18">
        <v>36.200000000000003</v>
      </c>
      <c r="J17" s="18">
        <v>36.200000000000003</v>
      </c>
      <c r="K17" s="18">
        <v>20.100000000000001</v>
      </c>
      <c r="L17" s="18">
        <v>20.100000000000001</v>
      </c>
      <c r="M17" s="18">
        <v>100.7</v>
      </c>
      <c r="N17" s="18">
        <v>82.9</v>
      </c>
      <c r="O17" s="19">
        <f>SUM(BC17:BF17)</f>
        <v>86</v>
      </c>
      <c r="P17" s="19"/>
      <c r="Q17" s="18">
        <v>6.0590000000000002</v>
      </c>
      <c r="R17" s="59">
        <f>F17-Q17</f>
        <v>-1.5760000000000005</v>
      </c>
      <c r="S17" s="18">
        <v>43.576000000000001</v>
      </c>
      <c r="T17" s="59">
        <f>G17-S17</f>
        <v>5.8350000000000009</v>
      </c>
      <c r="U17" s="18">
        <v>23.399000000000001</v>
      </c>
      <c r="V17" s="59">
        <f>H17-U17</f>
        <v>9.4249999999999972</v>
      </c>
      <c r="W17" s="18">
        <v>23.251000000000001</v>
      </c>
      <c r="X17" s="59">
        <f>I17-W17</f>
        <v>12.949000000000002</v>
      </c>
      <c r="Y17" s="18">
        <v>7.1</v>
      </c>
      <c r="Z17" s="59">
        <f>K17-Y17</f>
        <v>13.000000000000002</v>
      </c>
      <c r="AA17" s="18">
        <v>32.299999999999997</v>
      </c>
      <c r="AB17" s="59">
        <f>M17-AA17</f>
        <v>68.400000000000006</v>
      </c>
      <c r="AC17" s="18">
        <v>21.4</v>
      </c>
      <c r="AD17" s="59">
        <f>N17-AC17</f>
        <v>61.500000000000007</v>
      </c>
      <c r="AF17" s="18">
        <f>10.269-Q17</f>
        <v>4.21</v>
      </c>
      <c r="AG17" s="19">
        <f>F17-AF17-Q17</f>
        <v>-5.7860000000000005</v>
      </c>
      <c r="AH17" s="18">
        <v>21.629000000000001</v>
      </c>
      <c r="AI17" s="19">
        <f>S17-AH17</f>
        <v>21.946999999999999</v>
      </c>
      <c r="AJ17" s="18">
        <f>45.956-S17</f>
        <v>2.3800000000000026</v>
      </c>
      <c r="AK17" s="19">
        <f>G17-AJ17-S17</f>
        <v>3.4549999999999983</v>
      </c>
      <c r="AL17" s="18">
        <v>17.518999999999998</v>
      </c>
      <c r="AM17" s="19">
        <f>U17-AL17</f>
        <v>5.8800000000000026</v>
      </c>
      <c r="AN17" s="18">
        <f>24.866-U17</f>
        <v>1.4669999999999987</v>
      </c>
      <c r="AO17" s="19">
        <f>H17-AN17-U17</f>
        <v>7.9579999999999984</v>
      </c>
      <c r="AP17" s="18">
        <v>11.869</v>
      </c>
      <c r="AQ17" s="19">
        <f t="shared" ref="AQ17:AQ18" si="51">W17-AP17</f>
        <v>11.382000000000001</v>
      </c>
      <c r="AR17" s="19">
        <f>31.187-W17</f>
        <v>7.9359999999999999</v>
      </c>
      <c r="AS17" s="19">
        <f>I17-AR17-W17</f>
        <v>5.0130000000000017</v>
      </c>
      <c r="AT17" s="18">
        <v>3.4460000000000002</v>
      </c>
      <c r="AU17" s="19">
        <f t="shared" ref="AU17:AU18" si="52">Y17-AT17</f>
        <v>3.6539999999999995</v>
      </c>
      <c r="AV17" s="19">
        <f>12.1-Y17</f>
        <v>5</v>
      </c>
      <c r="AW17" s="19">
        <f>K17-AV17-Y17</f>
        <v>8.0000000000000018</v>
      </c>
      <c r="AX17" s="18">
        <v>10.4</v>
      </c>
      <c r="AY17" s="19">
        <f>AA17-AX17</f>
        <v>21.9</v>
      </c>
      <c r="AZ17" s="22">
        <f>41.5-AA17</f>
        <v>9.2000000000000028</v>
      </c>
      <c r="BA17" s="19">
        <f t="shared" si="0"/>
        <v>59.2</v>
      </c>
      <c r="BB17" s="18">
        <v>10.4</v>
      </c>
      <c r="BC17" s="19">
        <f t="shared" si="31"/>
        <v>10.999999999999998</v>
      </c>
      <c r="BD17" s="22">
        <f>33.7-AC17</f>
        <v>12.300000000000004</v>
      </c>
      <c r="BE17" s="19">
        <f t="shared" si="1"/>
        <v>49.2</v>
      </c>
      <c r="BF17" s="22">
        <v>13.5</v>
      </c>
    </row>
    <row r="18" spans="2:58">
      <c r="B18" s="193" t="s">
        <v>213</v>
      </c>
      <c r="C18" s="18">
        <v>-4.1079999999999997</v>
      </c>
      <c r="D18" s="18">
        <v>-12.55</v>
      </c>
      <c r="E18" s="18">
        <v>-7.891</v>
      </c>
      <c r="F18" s="18">
        <v>-3.927</v>
      </c>
      <c r="G18" s="18">
        <v>-26.984000000000002</v>
      </c>
      <c r="H18" s="18">
        <v>-23.459</v>
      </c>
      <c r="I18" s="18">
        <v>-27.158000000000001</v>
      </c>
      <c r="J18" s="18">
        <v>-27.1</v>
      </c>
      <c r="K18" s="18">
        <v>-14.7</v>
      </c>
      <c r="L18" s="18">
        <v>-14.7</v>
      </c>
      <c r="M18" s="18">
        <v>-75.2</v>
      </c>
      <c r="N18" s="18">
        <v>-55.9</v>
      </c>
      <c r="O18" s="19">
        <f>SUM(BC18:BF18)</f>
        <v>-55.4</v>
      </c>
      <c r="P18" s="19"/>
      <c r="Q18" s="18">
        <v>-4.8380000000000001</v>
      </c>
      <c r="R18" s="59">
        <f>F18-Q18</f>
        <v>0.91100000000000003</v>
      </c>
      <c r="S18" s="18">
        <v>-20.018999999999998</v>
      </c>
      <c r="T18" s="59">
        <f>G18-S18</f>
        <v>-6.9650000000000034</v>
      </c>
      <c r="U18" s="18">
        <v>-17.140999999999998</v>
      </c>
      <c r="V18" s="59">
        <f>H18-U18</f>
        <v>-6.3180000000000014</v>
      </c>
      <c r="W18" s="18">
        <v>-17.427</v>
      </c>
      <c r="X18" s="59">
        <f>I18-W18</f>
        <v>-9.7310000000000016</v>
      </c>
      <c r="Y18" s="18">
        <v>-5.0999999999999996</v>
      </c>
      <c r="Z18" s="59">
        <f>K18-Y18</f>
        <v>-9.6</v>
      </c>
      <c r="AA18" s="18">
        <v>-23.7</v>
      </c>
      <c r="AB18" s="59">
        <f>M18-AA18</f>
        <v>-51.5</v>
      </c>
      <c r="AC18" s="18">
        <v>-15</v>
      </c>
      <c r="AD18" s="59">
        <f>N18-AC18</f>
        <v>-40.9</v>
      </c>
      <c r="AF18" s="18">
        <f>-8.565-Q18</f>
        <v>-3.7269999999999994</v>
      </c>
      <c r="AG18" s="19">
        <f>F18-AF18-Q18</f>
        <v>4.6379999999999999</v>
      </c>
      <c r="AH18" s="18">
        <v>-11.555999999999999</v>
      </c>
      <c r="AI18" s="19">
        <f>S18-AH18</f>
        <v>-8.4629999999999992</v>
      </c>
      <c r="AJ18" s="18">
        <f>-21.621-S18</f>
        <v>-1.6020000000000003</v>
      </c>
      <c r="AK18" s="19">
        <f>G18-AJ18-S18</f>
        <v>-5.3630000000000031</v>
      </c>
      <c r="AL18" s="18">
        <v>-12.826000000000001</v>
      </c>
      <c r="AM18" s="19">
        <f>U18-AL18</f>
        <v>-4.3149999999999977</v>
      </c>
      <c r="AN18" s="18">
        <f>-17.991-U18</f>
        <v>-0.85000000000000142</v>
      </c>
      <c r="AO18" s="19">
        <f>H18-AN18-U18</f>
        <v>-5.468</v>
      </c>
      <c r="AP18" s="18">
        <v>-8.827</v>
      </c>
      <c r="AQ18" s="19">
        <f t="shared" si="51"/>
        <v>-8.6</v>
      </c>
      <c r="AR18" s="19">
        <f>-(23.623)-W18</f>
        <v>-6.1960000000000015</v>
      </c>
      <c r="AS18" s="19">
        <f>I18-AR18-W18</f>
        <v>-3.5350000000000001</v>
      </c>
      <c r="AT18" s="18">
        <v>-2.6080000000000001</v>
      </c>
      <c r="AU18" s="19">
        <f t="shared" si="52"/>
        <v>-2.4919999999999995</v>
      </c>
      <c r="AV18" s="19">
        <f>-9.2-Y18</f>
        <v>-4.0999999999999996</v>
      </c>
      <c r="AW18" s="19">
        <f>K18-AV18-Y18</f>
        <v>-5.5</v>
      </c>
      <c r="AX18" s="18">
        <v>-7.4</v>
      </c>
      <c r="AY18" s="19">
        <f>AA18-AX18</f>
        <v>-16.299999999999997</v>
      </c>
      <c r="AZ18" s="22">
        <f>-31-AA18</f>
        <v>-7.3000000000000007</v>
      </c>
      <c r="BA18" s="19">
        <f t="shared" si="0"/>
        <v>-44.2</v>
      </c>
      <c r="BB18" s="18">
        <v>-7.9</v>
      </c>
      <c r="BC18" s="19">
        <f t="shared" si="31"/>
        <v>-7.1</v>
      </c>
      <c r="BD18" s="22">
        <f>-23.4-AC18</f>
        <v>-8.3999999999999986</v>
      </c>
      <c r="BE18" s="19">
        <f t="shared" si="1"/>
        <v>-32.5</v>
      </c>
      <c r="BF18" s="22">
        <v>-7.4</v>
      </c>
    </row>
    <row r="19" spans="2:58" s="5" customFormat="1">
      <c r="B19" s="5" t="s">
        <v>214</v>
      </c>
      <c r="C19" s="14">
        <f t="shared" ref="C19:L19" si="53">SUM(C17:C18)</f>
        <v>1.0860000000000003</v>
      </c>
      <c r="D19" s="14">
        <f t="shared" si="53"/>
        <v>4</v>
      </c>
      <c r="E19" s="14">
        <f t="shared" si="53"/>
        <v>1.4670000000000005</v>
      </c>
      <c r="F19" s="14">
        <f t="shared" si="53"/>
        <v>0.55599999999999961</v>
      </c>
      <c r="G19" s="14">
        <f t="shared" si="53"/>
        <v>22.427</v>
      </c>
      <c r="H19" s="14">
        <f t="shared" si="53"/>
        <v>9.3649999999999984</v>
      </c>
      <c r="I19" s="14">
        <f t="shared" si="53"/>
        <v>9.0420000000000016</v>
      </c>
      <c r="J19" s="14">
        <f t="shared" si="53"/>
        <v>9.1000000000000014</v>
      </c>
      <c r="K19" s="14">
        <f t="shared" si="53"/>
        <v>5.4000000000000021</v>
      </c>
      <c r="L19" s="14">
        <f t="shared" si="53"/>
        <v>5.4000000000000021</v>
      </c>
      <c r="M19" s="14">
        <f t="shared" ref="M19:BA19" si="54">SUM(M17:M18)</f>
        <v>25.5</v>
      </c>
      <c r="N19" s="14">
        <f t="shared" ref="N19" si="55">SUM(N17:N18)</f>
        <v>27.000000000000007</v>
      </c>
      <c r="O19" s="14">
        <f t="shared" ref="O19" si="56">SUM(O17:O18)</f>
        <v>30.6</v>
      </c>
      <c r="P19" s="19"/>
      <c r="Q19" s="14">
        <f>SUM(Q17:Q18)</f>
        <v>1.2210000000000001</v>
      </c>
      <c r="R19" s="14">
        <f t="shared" si="54"/>
        <v>-0.66500000000000048</v>
      </c>
      <c r="S19" s="14">
        <f t="shared" si="54"/>
        <v>23.557000000000002</v>
      </c>
      <c r="T19" s="14">
        <f t="shared" si="54"/>
        <v>-1.1300000000000026</v>
      </c>
      <c r="U19" s="14">
        <f t="shared" si="54"/>
        <v>6.2580000000000027</v>
      </c>
      <c r="V19" s="14">
        <f t="shared" si="54"/>
        <v>3.1069999999999958</v>
      </c>
      <c r="W19" s="14">
        <f t="shared" si="54"/>
        <v>5.8240000000000016</v>
      </c>
      <c r="X19" s="14">
        <f t="shared" si="54"/>
        <v>3.218</v>
      </c>
      <c r="Y19" s="14">
        <f t="shared" si="54"/>
        <v>2</v>
      </c>
      <c r="Z19" s="14">
        <f t="shared" si="54"/>
        <v>3.4000000000000021</v>
      </c>
      <c r="AA19" s="14">
        <f t="shared" si="54"/>
        <v>8.5999999999999979</v>
      </c>
      <c r="AB19" s="14">
        <f>SUM(AB17:AB18)</f>
        <v>16.900000000000006</v>
      </c>
      <c r="AC19" s="14">
        <f>SUM(AC17:AC18)</f>
        <v>6.3999999999999986</v>
      </c>
      <c r="AD19" s="14">
        <f>SUM(AD17:AD18)</f>
        <v>20.600000000000009</v>
      </c>
      <c r="AF19" s="14">
        <f t="shared" si="54"/>
        <v>0.48300000000000054</v>
      </c>
      <c r="AG19" s="14">
        <f t="shared" si="54"/>
        <v>-1.1480000000000006</v>
      </c>
      <c r="AH19" s="14">
        <f t="shared" si="54"/>
        <v>10.073000000000002</v>
      </c>
      <c r="AI19" s="14">
        <f t="shared" si="54"/>
        <v>13.484</v>
      </c>
      <c r="AJ19" s="14">
        <f t="shared" si="54"/>
        <v>0.77800000000000225</v>
      </c>
      <c r="AK19" s="14">
        <f t="shared" si="54"/>
        <v>-1.9080000000000048</v>
      </c>
      <c r="AL19" s="14">
        <f t="shared" si="54"/>
        <v>4.6929999999999978</v>
      </c>
      <c r="AM19" s="14">
        <f t="shared" si="54"/>
        <v>1.5650000000000048</v>
      </c>
      <c r="AN19" s="14">
        <f t="shared" si="54"/>
        <v>0.61699999999999733</v>
      </c>
      <c r="AO19" s="14">
        <f t="shared" si="54"/>
        <v>2.4899999999999984</v>
      </c>
      <c r="AP19" s="14">
        <f t="shared" si="54"/>
        <v>3.0419999999999998</v>
      </c>
      <c r="AQ19" s="14">
        <f t="shared" si="54"/>
        <v>2.7820000000000018</v>
      </c>
      <c r="AR19" s="14">
        <f t="shared" si="54"/>
        <v>1.7399999999999984</v>
      </c>
      <c r="AS19" s="14">
        <f t="shared" si="54"/>
        <v>1.4780000000000015</v>
      </c>
      <c r="AT19" s="14">
        <f t="shared" si="54"/>
        <v>0.83800000000000008</v>
      </c>
      <c r="AU19" s="14">
        <f t="shared" si="54"/>
        <v>1.1619999999999999</v>
      </c>
      <c r="AV19" s="14">
        <f t="shared" si="54"/>
        <v>0.90000000000000036</v>
      </c>
      <c r="AW19" s="14">
        <f t="shared" si="54"/>
        <v>2.5000000000000018</v>
      </c>
      <c r="AX19" s="14">
        <f t="shared" si="54"/>
        <v>3</v>
      </c>
      <c r="AY19" s="14">
        <f t="shared" si="54"/>
        <v>5.6000000000000014</v>
      </c>
      <c r="AZ19" s="14">
        <f t="shared" si="54"/>
        <v>1.9000000000000021</v>
      </c>
      <c r="BA19" s="14">
        <f t="shared" si="54"/>
        <v>15</v>
      </c>
      <c r="BB19" s="14">
        <f t="shared" ref="BB19" si="57">SUM(BB17:BB18)</f>
        <v>2.5</v>
      </c>
      <c r="BC19" s="19">
        <f t="shared" si="31"/>
        <v>3.8999999999999986</v>
      </c>
      <c r="BD19" s="14">
        <f t="shared" ref="BD19:BF19" si="58">SUM(BD17:BD18)</f>
        <v>3.9000000000000057</v>
      </c>
      <c r="BE19" s="14">
        <f t="shared" si="58"/>
        <v>16.700000000000003</v>
      </c>
      <c r="BF19" s="14">
        <f t="shared" si="58"/>
        <v>6.1</v>
      </c>
    </row>
    <row r="20" spans="2:58" s="5" customFormat="1">
      <c r="B20" s="5" t="s">
        <v>215</v>
      </c>
      <c r="C20" s="14">
        <f t="shared" ref="C20:K20" si="59">C10+C16+C19</f>
        <v>185.55600000000001</v>
      </c>
      <c r="D20" s="14">
        <f t="shared" si="59"/>
        <v>215.50199999999998</v>
      </c>
      <c r="E20" s="14">
        <f t="shared" si="59"/>
        <v>239.74199999999999</v>
      </c>
      <c r="F20" s="14">
        <f t="shared" si="59"/>
        <v>246.11300000000003</v>
      </c>
      <c r="G20" s="14">
        <f t="shared" si="59"/>
        <v>302.95100000000002</v>
      </c>
      <c r="H20" s="14">
        <f t="shared" si="59"/>
        <v>333.66300000000007</v>
      </c>
      <c r="I20" s="14">
        <f t="shared" si="59"/>
        <v>464.91700000000003</v>
      </c>
      <c r="J20" s="14">
        <f t="shared" si="59"/>
        <v>464.97500000000008</v>
      </c>
      <c r="K20" s="14">
        <f t="shared" si="59"/>
        <v>554</v>
      </c>
      <c r="L20" s="14">
        <f>L10+L16+L19+L13</f>
        <v>557.69999999999993</v>
      </c>
      <c r="M20" s="14">
        <f>M10+M16+M19+M13</f>
        <v>681.8</v>
      </c>
      <c r="N20" s="14">
        <f>N10+N16+N19+N13</f>
        <v>779.3</v>
      </c>
      <c r="O20" s="14">
        <f>O10+O16+O19+O13</f>
        <v>801.09999999999991</v>
      </c>
      <c r="P20" s="19"/>
      <c r="Q20" s="14">
        <f t="shared" ref="Q20:AC20" si="60">Q10+Q16+Q19+Q13</f>
        <v>116.858</v>
      </c>
      <c r="R20" s="14">
        <f t="shared" si="60"/>
        <v>129.255</v>
      </c>
      <c r="S20" s="14">
        <f t="shared" si="60"/>
        <v>160.08099999999996</v>
      </c>
      <c r="T20" s="14">
        <f t="shared" si="60"/>
        <v>142.87000000000003</v>
      </c>
      <c r="U20" s="14">
        <f t="shared" si="60"/>
        <v>166.691</v>
      </c>
      <c r="V20" s="14">
        <f t="shared" si="60"/>
        <v>166.97199999999998</v>
      </c>
      <c r="W20" s="14">
        <f t="shared" si="60"/>
        <v>218.46200000000002</v>
      </c>
      <c r="X20" s="14">
        <f t="shared" si="60"/>
        <v>246.45500000000001</v>
      </c>
      <c r="Y20" s="14">
        <f t="shared" si="60"/>
        <v>274.40000000000003</v>
      </c>
      <c r="Z20" s="14">
        <f t="shared" si="60"/>
        <v>279.60000000000002</v>
      </c>
      <c r="AA20" s="14">
        <f t="shared" si="60"/>
        <v>329.4</v>
      </c>
      <c r="AB20" s="14">
        <f t="shared" si="60"/>
        <v>352.4</v>
      </c>
      <c r="AC20" s="14">
        <f t="shared" si="60"/>
        <v>376.59999999999991</v>
      </c>
      <c r="AD20" s="14">
        <f t="shared" ref="AD20" si="61">AD10+AD16+AD19+AD13</f>
        <v>402.7</v>
      </c>
      <c r="AF20" s="14">
        <f t="shared" ref="AF20" si="62">AF10+AF16+AF19+AF13</f>
        <v>55.933999999999997</v>
      </c>
      <c r="AG20" s="14">
        <f t="shared" ref="AG20" si="63">AG10+AG16+AG19+AG13</f>
        <v>73.321000000000026</v>
      </c>
      <c r="AH20" s="14">
        <f t="shared" ref="AH20" si="64">AH10+AH16+AH19+AH13</f>
        <v>77.132000000000019</v>
      </c>
      <c r="AI20" s="14">
        <f t="shared" ref="AI20" si="65">AI10+AI16+AI19+AI13</f>
        <v>82.948999999999984</v>
      </c>
      <c r="AJ20" s="14">
        <f t="shared" ref="AJ20" si="66">AJ10+AJ16+AJ19+AJ13</f>
        <v>67.869000000000028</v>
      </c>
      <c r="AK20" s="14">
        <f t="shared" ref="AK20" si="67">AK10+AK16+AK19+AK13</f>
        <v>75.000999999999991</v>
      </c>
      <c r="AL20" s="14">
        <f t="shared" ref="AL20" si="68">AL10+AL16+AL19+AL13</f>
        <v>82.445000000000007</v>
      </c>
      <c r="AM20" s="14">
        <f t="shared" ref="AM20" si="69">AM10+AM16+AM19+AM13</f>
        <v>84.246000000000009</v>
      </c>
      <c r="AN20" s="14">
        <f t="shared" ref="AN20" si="70">AN10+AN16+AN19+AN13</f>
        <v>80.198000000000008</v>
      </c>
      <c r="AO20" s="14">
        <f t="shared" ref="AO20" si="71">AO10+AO16+AO19+AO13</f>
        <v>86.774000000000015</v>
      </c>
      <c r="AP20" s="14">
        <f t="shared" ref="AP20" si="72">AP10+AP16+AP19+AP13</f>
        <v>109.84099999999999</v>
      </c>
      <c r="AQ20" s="14">
        <f t="shared" ref="AQ20" si="73">AQ10+AQ16+AQ19+AQ13</f>
        <v>108.62100000000001</v>
      </c>
      <c r="AR20" s="14">
        <f t="shared" ref="AR20" si="74">AR10+AR16+AR19+AR13</f>
        <v>119.08800000000001</v>
      </c>
      <c r="AS20" s="14">
        <f t="shared" ref="AS20" si="75">AS10+AS16+AS19+AS13</f>
        <v>127.36699999999999</v>
      </c>
      <c r="AT20" s="14">
        <f t="shared" ref="AT20" si="76">AT10+AT16+AT19+AT13</f>
        <v>132.172</v>
      </c>
      <c r="AU20" s="14">
        <f t="shared" ref="AU20" si="77">AU10+AU16+AU19+AU13</f>
        <v>142.22799999999998</v>
      </c>
      <c r="AV20" s="14">
        <f t="shared" ref="AV20" si="78">AV10+AV16+AV19+AV13</f>
        <v>137.90000000000003</v>
      </c>
      <c r="AW20" s="14">
        <f t="shared" ref="AW20" si="79">AW10+AW16+AW19+AW13</f>
        <v>141.69999999999999</v>
      </c>
      <c r="AX20" s="14">
        <f t="shared" ref="AX20" si="80">AX10+AX16+AX19+AX13</f>
        <v>158.40000000000003</v>
      </c>
      <c r="AY20" s="14">
        <f t="shared" ref="AY20" si="81">AY10+AY16+AY19+AY13</f>
        <v>171.29999999999998</v>
      </c>
      <c r="AZ20" s="14">
        <f t="shared" ref="AZ20" si="82">AZ10+AZ16+AZ19+AZ13</f>
        <v>166.20000000000002</v>
      </c>
      <c r="BA20" s="14">
        <f t="shared" ref="BA20" si="83">BA10+BA16+BA19+BA13</f>
        <v>186.20000000000005</v>
      </c>
      <c r="BB20" s="14">
        <f>BB10+BB16+BB19+BB13</f>
        <v>182.9</v>
      </c>
      <c r="BC20" s="14">
        <f>BC10+BC16+BC19+BC13</f>
        <v>193.70000000000002</v>
      </c>
      <c r="BD20" s="14">
        <f t="shared" ref="BD20:BE20" si="84">BD10+BD16+BD19+BD13</f>
        <v>196</v>
      </c>
      <c r="BE20" s="14">
        <f t="shared" si="84"/>
        <v>206.69999999999996</v>
      </c>
      <c r="BF20" s="14">
        <f>BF10+BF16+BF19+BF13</f>
        <v>204.7</v>
      </c>
    </row>
    <row r="21" spans="2:58" s="15" customFormat="1">
      <c r="B21" s="16" t="s">
        <v>216</v>
      </c>
      <c r="C21" s="25"/>
      <c r="D21" s="25">
        <f t="shared" ref="D21:J21" si="85">D20/C20-1</f>
        <v>0.16138524219103645</v>
      </c>
      <c r="E21" s="25">
        <f t="shared" si="85"/>
        <v>0.11248155469554821</v>
      </c>
      <c r="F21" s="25">
        <f t="shared" si="85"/>
        <v>2.657440081420881E-2</v>
      </c>
      <c r="G21" s="25">
        <f t="shared" si="85"/>
        <v>0.23094269705379222</v>
      </c>
      <c r="H21" s="25">
        <f t="shared" si="85"/>
        <v>0.10137613013325608</v>
      </c>
      <c r="I21" s="25">
        <f t="shared" si="85"/>
        <v>0.39337295414834705</v>
      </c>
      <c r="J21" s="25">
        <f t="shared" si="85"/>
        <v>1.2475345061613297E-4</v>
      </c>
      <c r="K21" s="25">
        <f>K20/I20-1</f>
        <v>0.19161054553823575</v>
      </c>
      <c r="L21" s="25">
        <f>L20/J20-1</f>
        <v>0.19941932361954917</v>
      </c>
      <c r="M21" s="25">
        <f>M20/L20-1</f>
        <v>0.22252106867491483</v>
      </c>
      <c r="N21" s="25">
        <f>N20/M20-1</f>
        <v>0.14300381343502488</v>
      </c>
      <c r="O21" s="25"/>
      <c r="P21" s="19"/>
      <c r="Q21" s="25"/>
      <c r="R21" s="25"/>
      <c r="S21" s="25">
        <f>S20/Q20-1</f>
        <v>0.36987626007633168</v>
      </c>
      <c r="T21" s="25"/>
      <c r="U21" s="25">
        <f>U20/S20-1</f>
        <v>4.1291596129459762E-2</v>
      </c>
      <c r="V21" s="25"/>
      <c r="W21" s="25">
        <f>W20/U20-1</f>
        <v>0.31058065522433731</v>
      </c>
      <c r="X21" s="25"/>
      <c r="Y21" s="25">
        <f>Y20/W20-1</f>
        <v>0.25605368439362453</v>
      </c>
      <c r="Z21" s="25"/>
      <c r="AA21" s="25">
        <f>AA20/X20-1</f>
        <v>0.33655231178105516</v>
      </c>
      <c r="AB21" s="25"/>
      <c r="AC21" s="25">
        <f>AC20/Z20-1</f>
        <v>0.3469241773962799</v>
      </c>
      <c r="AD21" s="25"/>
      <c r="AF21" s="25"/>
      <c r="AG21" s="25"/>
      <c r="AH21" s="25"/>
      <c r="AI21" s="25"/>
      <c r="AJ21" s="25">
        <f t="shared" ref="AJ21:AO21" si="86">AJ20/AF20-1</f>
        <v>0.21337647942217663</v>
      </c>
      <c r="AK21" s="25">
        <f t="shared" si="86"/>
        <v>2.2912944449747785E-2</v>
      </c>
      <c r="AL21" s="25">
        <f t="shared" si="86"/>
        <v>6.8881916714204072E-2</v>
      </c>
      <c r="AM21" s="25">
        <f t="shared" si="86"/>
        <v>1.5636113756645864E-2</v>
      </c>
      <c r="AN21" s="25">
        <f t="shared" si="86"/>
        <v>0.18165878383356127</v>
      </c>
      <c r="AO21" s="25">
        <f t="shared" si="86"/>
        <v>0.156971240383462</v>
      </c>
      <c r="AP21" s="25">
        <f>+AP20/AL20-1</f>
        <v>0.33229425677724533</v>
      </c>
      <c r="AQ21" s="25">
        <f>+AQ20/AM20-1</f>
        <v>0.28933124421337508</v>
      </c>
      <c r="AR21" s="25">
        <f t="shared" ref="AR21:AS21" si="87">AR20/AN20-1</f>
        <v>0.48492481109254593</v>
      </c>
      <c r="AS21" s="25">
        <f t="shared" si="87"/>
        <v>0.46780141517044238</v>
      </c>
      <c r="AT21" s="25">
        <f>+AT20/AP20-1</f>
        <v>0.20330295609107707</v>
      </c>
      <c r="AU21" s="25">
        <f>+AU20/AQ20-1</f>
        <v>0.30939689378665247</v>
      </c>
      <c r="AV21" s="25">
        <f>AV20/AR20-1</f>
        <v>0.15796721751981746</v>
      </c>
      <c r="AW21" s="25">
        <f t="shared" ref="AW21" si="88">AW20/AS20-1</f>
        <v>0.11253307371611165</v>
      </c>
      <c r="AX21" s="25">
        <f>+AX20/AT20-1</f>
        <v>0.19843839845050426</v>
      </c>
      <c r="AY21" s="25">
        <f>+AY20/AU20-1</f>
        <v>0.20440419607953442</v>
      </c>
      <c r="AZ21" s="25">
        <f>+AZ20/AV20-1</f>
        <v>0.20522117476432178</v>
      </c>
      <c r="BA21" s="25">
        <f t="shared" ref="BA21" si="89">BA20/AW20-1</f>
        <v>0.31404375441072729</v>
      </c>
      <c r="BB21" s="25">
        <f>+BB20/AX20-1</f>
        <v>0.1546717171717169</v>
      </c>
      <c r="BC21" s="25">
        <f>+BC20/AY20-1</f>
        <v>0.13076474022183326</v>
      </c>
      <c r="BD21" s="25">
        <f>+BD20/AZ20-1</f>
        <v>0.17930204572803832</v>
      </c>
      <c r="BE21" s="25">
        <f t="shared" ref="BE21" si="90">BE20/BA20-1</f>
        <v>0.11009667024704561</v>
      </c>
      <c r="BF21" s="25">
        <f>+BF20/BB20-1</f>
        <v>0.11919081465281556</v>
      </c>
    </row>
    <row r="22" spans="2:58" s="57" customFormat="1">
      <c r="B22" s="58" t="s">
        <v>217</v>
      </c>
      <c r="C22" s="18">
        <f xml:space="preserve"> 296.326-35.491</f>
        <v>260.83500000000004</v>
      </c>
      <c r="D22" s="18">
        <f xml:space="preserve"> 407.417-78.889</f>
        <v>328.52799999999996</v>
      </c>
      <c r="E22" s="18">
        <v>238.017</v>
      </c>
      <c r="F22" s="18">
        <v>406.77499999999998</v>
      </c>
      <c r="G22" s="18">
        <v>152.16200000000001</v>
      </c>
      <c r="H22" s="18">
        <v>1100.5709999999999</v>
      </c>
      <c r="I22" s="18">
        <v>723.58</v>
      </c>
      <c r="J22" s="18">
        <v>697.3</v>
      </c>
      <c r="K22" s="18">
        <v>878.7</v>
      </c>
      <c r="L22" s="18">
        <v>878.7</v>
      </c>
      <c r="M22" s="18">
        <v>941.5</v>
      </c>
      <c r="N22" s="18">
        <v>1139.9000000000001</v>
      </c>
      <c r="O22" s="19">
        <f>SUM(BC22:BF22)</f>
        <v>1147.8000000000002</v>
      </c>
      <c r="P22" s="19"/>
      <c r="Q22" s="18">
        <v>145.24299999999999</v>
      </c>
      <c r="R22" s="59">
        <f>F22-Q22</f>
        <v>261.53199999999998</v>
      </c>
      <c r="S22" s="18">
        <v>29.96</v>
      </c>
      <c r="T22" s="59">
        <f>G22-S22</f>
        <v>122.202</v>
      </c>
      <c r="U22" s="18">
        <v>145.74299999999999</v>
      </c>
      <c r="V22" s="59">
        <f>H22-U22</f>
        <v>954.82799999999997</v>
      </c>
      <c r="W22" s="18">
        <v>499.01600000000002</v>
      </c>
      <c r="X22" s="59">
        <f>I22-W22</f>
        <v>224.56400000000002</v>
      </c>
      <c r="Y22" s="18">
        <v>417.2</v>
      </c>
      <c r="Z22" s="59">
        <f>K22-Y22</f>
        <v>461.50000000000006</v>
      </c>
      <c r="AA22" s="18">
        <v>436.7</v>
      </c>
      <c r="AB22" s="59">
        <f>M22-AA22</f>
        <v>504.8</v>
      </c>
      <c r="AC22" s="18">
        <v>597.9</v>
      </c>
      <c r="AD22" s="59">
        <f>N22-AC22</f>
        <v>542.00000000000011</v>
      </c>
      <c r="AF22" s="18">
        <f>179.608-Q22</f>
        <v>34.365000000000009</v>
      </c>
      <c r="AG22" s="19">
        <f>F22-AF22-Q22</f>
        <v>227.16699999999997</v>
      </c>
      <c r="AH22" s="18">
        <v>28.68</v>
      </c>
      <c r="AI22" s="19">
        <f>S22-AH22</f>
        <v>1.2800000000000011</v>
      </c>
      <c r="AJ22" s="18">
        <f>76.627-S22</f>
        <v>46.666999999999994</v>
      </c>
      <c r="AK22" s="19">
        <f>G22-AJ22-S22</f>
        <v>75.534999999999997</v>
      </c>
      <c r="AL22" s="18">
        <v>67.100999999999999</v>
      </c>
      <c r="AM22" s="19">
        <f>U22-AL22</f>
        <v>78.641999999999996</v>
      </c>
      <c r="AN22" s="18">
        <f>265.232-U22</f>
        <v>119.48900000000003</v>
      </c>
      <c r="AO22" s="19">
        <f>H22-AN22-U22</f>
        <v>835.33899999999994</v>
      </c>
      <c r="AP22" s="18">
        <v>27.521000000000001</v>
      </c>
      <c r="AQ22" s="19">
        <f>W22-AP22</f>
        <v>471.495</v>
      </c>
      <c r="AR22" s="19">
        <f>558.138 -W22</f>
        <v>59.122000000000014</v>
      </c>
      <c r="AS22" s="19">
        <f>I22-AR22-W22</f>
        <v>165.44200000000006</v>
      </c>
      <c r="AT22" s="18">
        <v>208.28200000000001</v>
      </c>
      <c r="AU22" s="19">
        <f>Y22-AT22</f>
        <v>208.91799999999998</v>
      </c>
      <c r="AV22" s="19">
        <f>656.3 -Y22</f>
        <v>239.09999999999997</v>
      </c>
      <c r="AW22" s="19">
        <f>K22-AV22-Y22</f>
        <v>222.40000000000015</v>
      </c>
      <c r="AX22" s="18">
        <v>165.6</v>
      </c>
      <c r="AY22" s="19">
        <f>AA22-AX22</f>
        <v>271.10000000000002</v>
      </c>
      <c r="AZ22" s="22">
        <f>604.1-AA22</f>
        <v>167.40000000000003</v>
      </c>
      <c r="BA22" s="19">
        <f t="shared" ref="BA22" si="91">M22-AZ22-AA22</f>
        <v>337.39999999999992</v>
      </c>
      <c r="BB22" s="18">
        <v>156.19999999999999</v>
      </c>
      <c r="BC22" s="19">
        <f>AC22-BB22</f>
        <v>441.7</v>
      </c>
      <c r="BD22" s="22">
        <f>801.6-AC22</f>
        <v>203.70000000000005</v>
      </c>
      <c r="BE22" s="19">
        <f t="shared" ref="BE22" si="92">N22-AC22-BD22</f>
        <v>338.30000000000007</v>
      </c>
      <c r="BF22" s="18">
        <v>164.1</v>
      </c>
    </row>
    <row r="23" spans="2:58" s="15" customFormat="1">
      <c r="B23" s="1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9"/>
      <c r="Q23" s="18"/>
      <c r="R23" s="19"/>
      <c r="S23" s="18"/>
      <c r="T23" s="19"/>
      <c r="U23" s="18"/>
      <c r="V23" s="19"/>
      <c r="W23" s="18"/>
      <c r="X23" s="19"/>
      <c r="Y23" s="18"/>
      <c r="Z23" s="19"/>
      <c r="AA23" s="18"/>
      <c r="AB23" s="19"/>
      <c r="AC23" s="19"/>
      <c r="AD23" s="19"/>
      <c r="AF23" s="18"/>
      <c r="AH23" s="18"/>
      <c r="AJ23" s="18"/>
      <c r="AL23" s="18"/>
      <c r="AM23" s="18"/>
      <c r="AN23" s="18"/>
      <c r="AP23" s="18"/>
      <c r="AQ23" s="18"/>
      <c r="AR23" s="18"/>
      <c r="AT23" s="18"/>
      <c r="AU23" s="18"/>
      <c r="AV23" s="18"/>
      <c r="AX23" s="18"/>
      <c r="AY23" s="18"/>
      <c r="BB23" s="18"/>
      <c r="BF23" s="18"/>
    </row>
    <row r="24" spans="2:58" s="5" customFormat="1">
      <c r="B24" s="5" t="s">
        <v>218</v>
      </c>
      <c r="C24" s="14">
        <f t="shared" ref="C24:G24" si="93">+C20+C22</f>
        <v>446.39100000000008</v>
      </c>
      <c r="D24" s="14">
        <f t="shared" si="93"/>
        <v>544.03</v>
      </c>
      <c r="E24" s="14">
        <f t="shared" si="93"/>
        <v>477.75900000000001</v>
      </c>
      <c r="F24" s="14">
        <f t="shared" si="93"/>
        <v>652.88800000000003</v>
      </c>
      <c r="G24" s="14">
        <f t="shared" si="93"/>
        <v>455.11300000000006</v>
      </c>
      <c r="H24" s="14">
        <f t="shared" ref="H24:I24" si="94">+H20+H22</f>
        <v>1434.2339999999999</v>
      </c>
      <c r="I24" s="14">
        <f t="shared" si="94"/>
        <v>1188.4970000000001</v>
      </c>
      <c r="J24" s="14">
        <f t="shared" ref="J24" si="95">+J20+J22</f>
        <v>1162.2750000000001</v>
      </c>
      <c r="K24" s="14">
        <f t="shared" ref="K24:M24" si="96">+K20+K22</f>
        <v>1432.7</v>
      </c>
      <c r="L24" s="14">
        <f t="shared" ref="L24" si="97">+L20+L22</f>
        <v>1436.4</v>
      </c>
      <c r="M24" s="14">
        <f t="shared" si="96"/>
        <v>1623.3</v>
      </c>
      <c r="N24" s="14">
        <f t="shared" ref="N24" si="98">+N20+N22</f>
        <v>1919.2</v>
      </c>
      <c r="O24" s="14">
        <f>+O20+O22</f>
        <v>1948.9</v>
      </c>
      <c r="P24" s="19"/>
      <c r="Q24" s="14">
        <f t="shared" ref="Q24:W24" si="99">+Q20+Q22</f>
        <v>262.101</v>
      </c>
      <c r="R24" s="14">
        <f t="shared" si="99"/>
        <v>390.78699999999998</v>
      </c>
      <c r="S24" s="14">
        <f t="shared" si="99"/>
        <v>190.04099999999997</v>
      </c>
      <c r="T24" s="14">
        <f t="shared" si="99"/>
        <v>265.072</v>
      </c>
      <c r="U24" s="14">
        <f>+U20+U22</f>
        <v>312.43399999999997</v>
      </c>
      <c r="V24" s="14">
        <f t="shared" si="99"/>
        <v>1121.8</v>
      </c>
      <c r="W24" s="14">
        <f t="shared" si="99"/>
        <v>717.47800000000007</v>
      </c>
      <c r="X24" s="14">
        <f t="shared" ref="X24" si="100">+X20+X22</f>
        <v>471.01900000000001</v>
      </c>
      <c r="Y24" s="14">
        <f>+Y20+Y22</f>
        <v>691.6</v>
      </c>
      <c r="Z24" s="14">
        <f t="shared" ref="Z24" si="101">+Z20+Z22</f>
        <v>741.10000000000014</v>
      </c>
      <c r="AA24" s="14">
        <f t="shared" ref="AA24:AC24" si="102">+AA20+AA22</f>
        <v>766.09999999999991</v>
      </c>
      <c r="AB24" s="14">
        <f>+AB20+AB22</f>
        <v>857.2</v>
      </c>
      <c r="AC24" s="14">
        <f t="shared" si="102"/>
        <v>974.49999999999989</v>
      </c>
      <c r="AD24" s="14">
        <f>+AD20+AD22</f>
        <v>944.7</v>
      </c>
      <c r="AF24" s="14">
        <f t="shared" ref="AF24:AL24" si="103">+AF20+AF22</f>
        <v>90.299000000000007</v>
      </c>
      <c r="AG24" s="14">
        <f t="shared" si="103"/>
        <v>300.488</v>
      </c>
      <c r="AH24" s="14">
        <f t="shared" si="103"/>
        <v>105.81200000000001</v>
      </c>
      <c r="AI24" s="14">
        <f t="shared" si="103"/>
        <v>84.228999999999985</v>
      </c>
      <c r="AJ24" s="14">
        <f t="shared" si="103"/>
        <v>114.53600000000003</v>
      </c>
      <c r="AK24" s="14">
        <f t="shared" si="103"/>
        <v>150.536</v>
      </c>
      <c r="AL24" s="14">
        <f t="shared" si="103"/>
        <v>149.54599999999999</v>
      </c>
      <c r="AM24" s="14">
        <f t="shared" ref="AM24:AQ24" si="104">+AM20+AM22</f>
        <v>162.88800000000001</v>
      </c>
      <c r="AN24" s="14">
        <f t="shared" si="104"/>
        <v>199.68700000000004</v>
      </c>
      <c r="AO24" s="14">
        <f t="shared" si="104"/>
        <v>922.11299999999994</v>
      </c>
      <c r="AP24" s="14">
        <f t="shared" si="104"/>
        <v>137.36199999999999</v>
      </c>
      <c r="AQ24" s="14">
        <f t="shared" si="104"/>
        <v>580.11599999999999</v>
      </c>
      <c r="AR24" s="14">
        <f t="shared" ref="AR24:AU24" si="105">+AR20+AR22</f>
        <v>178.21000000000004</v>
      </c>
      <c r="AS24" s="14">
        <f t="shared" si="105"/>
        <v>292.80900000000008</v>
      </c>
      <c r="AT24" s="14">
        <f t="shared" si="105"/>
        <v>340.45400000000001</v>
      </c>
      <c r="AU24" s="14">
        <f t="shared" si="105"/>
        <v>351.14599999999996</v>
      </c>
      <c r="AV24" s="14">
        <f>+AV20+AV22</f>
        <v>377</v>
      </c>
      <c r="AW24" s="14">
        <f t="shared" ref="AW24:AX24" si="106">+AW20+AW22</f>
        <v>364.10000000000014</v>
      </c>
      <c r="AX24" s="14">
        <f t="shared" si="106"/>
        <v>324</v>
      </c>
      <c r="AY24" s="14">
        <f>+AY20+AY22</f>
        <v>442.4</v>
      </c>
      <c r="AZ24" s="14">
        <f>+AZ20+AZ22</f>
        <v>333.6</v>
      </c>
      <c r="BA24" s="14">
        <f t="shared" ref="BA24:BC24" si="107">+BA20+BA22</f>
        <v>523.59999999999991</v>
      </c>
      <c r="BB24" s="14">
        <f t="shared" si="107"/>
        <v>339.1</v>
      </c>
      <c r="BC24" s="14">
        <f t="shared" si="107"/>
        <v>635.4</v>
      </c>
      <c r="BD24" s="14">
        <f>+BD20+BD22</f>
        <v>399.70000000000005</v>
      </c>
      <c r="BE24" s="14">
        <f t="shared" ref="BE24:BF24" si="108">+BE20+BE22</f>
        <v>545</v>
      </c>
      <c r="BF24" s="14">
        <f t="shared" si="108"/>
        <v>368.79999999999995</v>
      </c>
    </row>
    <row r="25" spans="2:58" s="15" customFormat="1">
      <c r="B25" s="16" t="s">
        <v>216</v>
      </c>
      <c r="C25" s="25"/>
      <c r="D25" s="25">
        <f t="shared" ref="D25:J25" si="109">D24/C24-1</f>
        <v>0.21872976829729973</v>
      </c>
      <c r="E25" s="25">
        <f t="shared" si="109"/>
        <v>-0.12181497343896475</v>
      </c>
      <c r="F25" s="25">
        <f t="shared" si="109"/>
        <v>0.36656347656454402</v>
      </c>
      <c r="G25" s="25">
        <f t="shared" si="109"/>
        <v>-0.30292331916040727</v>
      </c>
      <c r="H25" s="25">
        <f t="shared" si="109"/>
        <v>2.1513799869482959</v>
      </c>
      <c r="I25" s="25">
        <f t="shared" si="109"/>
        <v>-0.17133675536906801</v>
      </c>
      <c r="J25" s="25">
        <f t="shared" si="109"/>
        <v>-2.2063160445503827E-2</v>
      </c>
      <c r="K25" s="25">
        <f>K24/I24-1</f>
        <v>0.20547212151145522</v>
      </c>
      <c r="L25" s="25">
        <f>L24/J24-1</f>
        <v>0.23585210040653037</v>
      </c>
      <c r="M25" s="25">
        <f>M24/J24-1</f>
        <v>0.39665741756468975</v>
      </c>
      <c r="N25" s="25">
        <f>N24/K24-1</f>
        <v>0.33956864661129327</v>
      </c>
      <c r="O25" s="25"/>
      <c r="P25" s="175"/>
      <c r="Q25" s="25"/>
      <c r="R25" s="25"/>
      <c r="S25" s="25">
        <f>S24/Q24-1</f>
        <v>-0.27493218263188635</v>
      </c>
      <c r="T25" s="25"/>
      <c r="U25" s="25">
        <f>U24/S24-1</f>
        <v>0.64403470829978815</v>
      </c>
      <c r="V25" s="25"/>
      <c r="W25" s="25">
        <f>W24/U24-1</f>
        <v>1.2964146027641044</v>
      </c>
      <c r="X25" s="25"/>
      <c r="Y25" s="25">
        <f>Y24/W24-1</f>
        <v>-3.6068004872623294E-2</v>
      </c>
      <c r="Z25" s="25"/>
      <c r="AA25" s="25">
        <f>AA24/X24-1</f>
        <v>0.62647366666737403</v>
      </c>
      <c r="AB25" s="25"/>
      <c r="AC25" s="25">
        <f>AC24/Z24-1</f>
        <v>0.31493725543111561</v>
      </c>
      <c r="AD25" s="25"/>
      <c r="AF25" s="25"/>
      <c r="AH25" s="25"/>
      <c r="AJ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</row>
    <row r="26" spans="2:58">
      <c r="B26" s="1" t="s">
        <v>219</v>
      </c>
      <c r="C26" s="18">
        <v>9.17</v>
      </c>
      <c r="D26" s="18">
        <v>3.794</v>
      </c>
      <c r="E26" s="18">
        <v>49.692999999999998</v>
      </c>
      <c r="F26" s="18">
        <v>9.0939999999999994</v>
      </c>
      <c r="G26" s="18">
        <v>4.01</v>
      </c>
      <c r="H26" s="18">
        <v>10.445</v>
      </c>
      <c r="I26" s="18">
        <v>8.1820000000000004</v>
      </c>
      <c r="J26" s="18">
        <v>8.1820000000000004</v>
      </c>
      <c r="K26" s="18">
        <v>14.1</v>
      </c>
      <c r="L26" s="18">
        <v>7.8</v>
      </c>
      <c r="M26" s="18">
        <v>10.7</v>
      </c>
      <c r="N26" s="18">
        <v>12.4</v>
      </c>
      <c r="O26" s="19">
        <f t="shared" ref="O26:O31" si="110">SUM(BC26:BF26)</f>
        <v>14.2</v>
      </c>
      <c r="P26" s="19"/>
      <c r="Q26" s="18">
        <v>14.528</v>
      </c>
      <c r="R26" s="19">
        <f>F26-Q26</f>
        <v>-5.4340000000000011</v>
      </c>
      <c r="S26" s="18">
        <v>3.871</v>
      </c>
      <c r="T26" s="19">
        <f>G26-S26</f>
        <v>0.13899999999999979</v>
      </c>
      <c r="U26" s="18">
        <v>4.0469999999999997</v>
      </c>
      <c r="V26" s="19">
        <f>H26-U26</f>
        <v>6.3980000000000006</v>
      </c>
      <c r="W26" s="18">
        <v>4.3689999999999998</v>
      </c>
      <c r="X26" s="19">
        <f>I26-W26</f>
        <v>3.8130000000000006</v>
      </c>
      <c r="Y26" s="18">
        <v>8.6</v>
      </c>
      <c r="Z26" s="19">
        <f>K26-Y26</f>
        <v>5.5</v>
      </c>
      <c r="AA26" s="18">
        <v>8.1</v>
      </c>
      <c r="AB26" s="19">
        <f>M26-AA26</f>
        <v>2.5999999999999996</v>
      </c>
      <c r="AC26" s="18">
        <v>6.5</v>
      </c>
      <c r="AD26" s="19">
        <f t="shared" ref="AD26:AD31" si="111">N26-AC26</f>
        <v>5.9</v>
      </c>
      <c r="AF26" s="18">
        <f>15.17-Q26</f>
        <v>0.64199999999999946</v>
      </c>
      <c r="AG26" s="19">
        <f>F26-AF26-Q26</f>
        <v>-6.0760000000000005</v>
      </c>
      <c r="AH26" s="18">
        <v>0.95099999999999996</v>
      </c>
      <c r="AI26" s="19">
        <f>S26-AH26</f>
        <v>2.92</v>
      </c>
      <c r="AJ26" s="18">
        <f>7.296-S26</f>
        <v>3.4250000000000003</v>
      </c>
      <c r="AK26" s="19">
        <f>G26-AJ26-S26</f>
        <v>-3.2860000000000005</v>
      </c>
      <c r="AL26" s="18">
        <v>1.7689999999999999</v>
      </c>
      <c r="AM26" s="19">
        <f>U26-AL26</f>
        <v>2.2779999999999996</v>
      </c>
      <c r="AN26" s="18">
        <f>7.338-U26</f>
        <v>3.2910000000000004</v>
      </c>
      <c r="AO26" s="19">
        <f>H26-AN26-U26</f>
        <v>3.1070000000000002</v>
      </c>
      <c r="AP26" s="18">
        <v>2.5299999999999998</v>
      </c>
      <c r="AQ26" s="19">
        <f t="shared" ref="AQ26:AQ30" si="112">W26-AP26</f>
        <v>1.839</v>
      </c>
      <c r="AR26" s="19">
        <f>6.597-W26</f>
        <v>2.2280000000000006</v>
      </c>
      <c r="AS26" s="19">
        <f>I26-AR26-W26</f>
        <v>1.585</v>
      </c>
      <c r="AT26" s="18">
        <v>0.6</v>
      </c>
      <c r="AU26" s="19">
        <f>Y26-AT26</f>
        <v>8</v>
      </c>
      <c r="AV26" s="19">
        <f>6.6-Y26</f>
        <v>-2</v>
      </c>
      <c r="AW26" s="19">
        <f>K26-AV26-Y26</f>
        <v>7.5000000000000018</v>
      </c>
      <c r="AX26" s="18">
        <v>4.5999999999999996</v>
      </c>
      <c r="AY26" s="19">
        <f>AA26-AX26</f>
        <v>3.5</v>
      </c>
      <c r="AZ26" s="22">
        <f>10-AA26</f>
        <v>1.9000000000000004</v>
      </c>
      <c r="BA26" s="19">
        <f t="shared" ref="BA26:BA31" si="113">M26-AZ26-AA26</f>
        <v>0.69999999999999929</v>
      </c>
      <c r="BB26" s="18">
        <v>2.7</v>
      </c>
      <c r="BC26" s="19">
        <f>AC26-BB26</f>
        <v>3.8</v>
      </c>
      <c r="BD26" s="22">
        <f>7.6-AC26</f>
        <v>1.0999999999999996</v>
      </c>
      <c r="BE26" s="19">
        <f t="shared" ref="BE26:BE31" si="114">N26-AC26-BD26</f>
        <v>4.8000000000000007</v>
      </c>
      <c r="BF26" s="18">
        <v>4.5</v>
      </c>
    </row>
    <row r="27" spans="2:58" s="5" customFormat="1">
      <c r="B27" s="1" t="s">
        <v>220</v>
      </c>
      <c r="C27" s="18">
        <v>-3.996</v>
      </c>
      <c r="D27" s="18">
        <v>-5.4180000000000001</v>
      </c>
      <c r="E27" s="18">
        <v>-3.8679999999999999</v>
      </c>
      <c r="F27" s="18">
        <v>-9.7530000000000001</v>
      </c>
      <c r="G27" s="18">
        <v>-10.462</v>
      </c>
      <c r="H27" s="18">
        <v>-8.4469999999999992</v>
      </c>
      <c r="I27" s="18">
        <v>-10.728999999999999</v>
      </c>
      <c r="J27" s="18">
        <v>-10.728999999999999</v>
      </c>
      <c r="K27" s="18">
        <v>-12.7</v>
      </c>
      <c r="L27" s="18">
        <v>-11.3</v>
      </c>
      <c r="M27" s="18">
        <v>-11</v>
      </c>
      <c r="N27" s="18">
        <v>-12.2</v>
      </c>
      <c r="O27" s="19">
        <f t="shared" si="110"/>
        <v>-12.999999999999998</v>
      </c>
      <c r="P27" s="19"/>
      <c r="Q27" s="18">
        <v>-3.456</v>
      </c>
      <c r="R27" s="19">
        <f>F27-Q27</f>
        <v>-6.2970000000000006</v>
      </c>
      <c r="S27" s="18">
        <v>-4.3170000000000002</v>
      </c>
      <c r="T27" s="19">
        <f>G27-S27</f>
        <v>-6.1449999999999996</v>
      </c>
      <c r="U27" s="18">
        <v>-5.1020000000000003</v>
      </c>
      <c r="V27" s="19">
        <f>H27-U27</f>
        <v>-3.3449999999999989</v>
      </c>
      <c r="W27" s="18">
        <v>-5.0149999999999997</v>
      </c>
      <c r="X27" s="19">
        <f>I27-W27</f>
        <v>-5.7139999999999995</v>
      </c>
      <c r="Y27" s="18">
        <v>-6.1</v>
      </c>
      <c r="Z27" s="19">
        <f>K27-Y27</f>
        <v>-6.6</v>
      </c>
      <c r="AA27" s="18">
        <v>-5.7</v>
      </c>
      <c r="AB27" s="19">
        <f>M27-AA27</f>
        <v>-5.3</v>
      </c>
      <c r="AC27" s="18">
        <v>-5.7</v>
      </c>
      <c r="AD27" s="19">
        <f t="shared" si="111"/>
        <v>-6.4999999999999991</v>
      </c>
      <c r="AF27" s="18">
        <f>-4.487-Q27</f>
        <v>-1.0310000000000001</v>
      </c>
      <c r="AG27" s="19">
        <f>F27-AF27-Q27</f>
        <v>-5.266</v>
      </c>
      <c r="AH27" s="18">
        <v>-2.6349999999999998</v>
      </c>
      <c r="AI27" s="19">
        <f>S27-AH27</f>
        <v>-1.6820000000000004</v>
      </c>
      <c r="AJ27" s="18">
        <f>-6.424-S27</f>
        <v>-2.1070000000000002</v>
      </c>
      <c r="AK27" s="19">
        <f>G27-AJ27-S27</f>
        <v>-4.0380000000000003</v>
      </c>
      <c r="AL27" s="18">
        <v>-2.5640000000000001</v>
      </c>
      <c r="AM27" s="19">
        <f>U27-AL27</f>
        <v>-2.5380000000000003</v>
      </c>
      <c r="AN27" s="18">
        <f>-6.371-U27</f>
        <v>-1.2690000000000001</v>
      </c>
      <c r="AO27" s="19">
        <f>H27-AN27-U27</f>
        <v>-2.0759999999999987</v>
      </c>
      <c r="AP27" s="18">
        <v>-2.2250000000000001</v>
      </c>
      <c r="AQ27" s="19">
        <f t="shared" si="112"/>
        <v>-2.7899999999999996</v>
      </c>
      <c r="AR27" s="19">
        <f>-(7.906)-W27</f>
        <v>-2.891</v>
      </c>
      <c r="AS27" s="19">
        <f>I27-AR27-W27</f>
        <v>-2.8229999999999995</v>
      </c>
      <c r="AT27" s="18">
        <v>-2.8</v>
      </c>
      <c r="AU27" s="19">
        <f>Y27-AT27</f>
        <v>-3.3</v>
      </c>
      <c r="AV27" s="19">
        <f>-8.2-Y27</f>
        <v>-2.0999999999999996</v>
      </c>
      <c r="AW27" s="19">
        <f>K27-AV27-Y27</f>
        <v>-4.5</v>
      </c>
      <c r="AX27" s="18">
        <v>-3.2</v>
      </c>
      <c r="AY27" s="19">
        <f>AA27-AX27</f>
        <v>-2.5</v>
      </c>
      <c r="AZ27" s="22">
        <f>-8.4-AA27</f>
        <v>-2.7</v>
      </c>
      <c r="BA27" s="19">
        <f t="shared" si="113"/>
        <v>-2.6000000000000005</v>
      </c>
      <c r="BB27" s="18">
        <v>-2.8</v>
      </c>
      <c r="BC27" s="19">
        <f t="shared" ref="BC27:BC31" si="115">AC27-BB27</f>
        <v>-2.9000000000000004</v>
      </c>
      <c r="BD27" s="22">
        <f>-8.5-AC27</f>
        <v>-2.8</v>
      </c>
      <c r="BE27" s="19">
        <f t="shared" si="114"/>
        <v>-3.6999999999999993</v>
      </c>
      <c r="BF27" s="18">
        <v>-3.6</v>
      </c>
    </row>
    <row r="28" spans="2:58" s="5" customFormat="1">
      <c r="B28" s="1" t="s">
        <v>221</v>
      </c>
      <c r="C28" s="18">
        <v>0</v>
      </c>
      <c r="D28" s="18">
        <v>0</v>
      </c>
      <c r="E28" s="18">
        <v>-11.335000000000001</v>
      </c>
      <c r="F28" s="18">
        <v>-17.172000000000001</v>
      </c>
      <c r="G28" s="18">
        <v>-22.969000000000001</v>
      </c>
      <c r="H28" s="18">
        <v>-31.882999999999999</v>
      </c>
      <c r="I28" s="18">
        <v>-43.706000000000003</v>
      </c>
      <c r="J28" s="18">
        <v>-43.706000000000003</v>
      </c>
      <c r="K28" s="18">
        <v>-50.4</v>
      </c>
      <c r="L28" s="18">
        <v>-50.4</v>
      </c>
      <c r="M28" s="18">
        <v>-52.8</v>
      </c>
      <c r="N28" s="18">
        <v>-51.4</v>
      </c>
      <c r="O28" s="19">
        <f t="shared" si="110"/>
        <v>-53.5</v>
      </c>
      <c r="P28" s="19"/>
      <c r="Q28" s="18">
        <v>-8.2210000000000001</v>
      </c>
      <c r="R28" s="19">
        <f>F28-Q28</f>
        <v>-8.9510000000000005</v>
      </c>
      <c r="S28" s="18">
        <v>-9.3209999999999997</v>
      </c>
      <c r="T28" s="19">
        <f>G28-S28</f>
        <v>-13.648000000000001</v>
      </c>
      <c r="U28" s="18">
        <v>-12.321</v>
      </c>
      <c r="V28" s="19">
        <f>H28-U28</f>
        <v>-19.561999999999998</v>
      </c>
      <c r="W28" s="18">
        <v>-21.588000000000001</v>
      </c>
      <c r="X28" s="19">
        <f>I28-W28</f>
        <v>-22.118000000000002</v>
      </c>
      <c r="Y28" s="18">
        <v>-25.5</v>
      </c>
      <c r="Z28" s="19">
        <f>K28-Y28</f>
        <v>-24.9</v>
      </c>
      <c r="AA28" s="18">
        <v>-24.9</v>
      </c>
      <c r="AB28" s="19">
        <f>M28-AA28</f>
        <v>-27.9</v>
      </c>
      <c r="AC28" s="18">
        <v>-26.5</v>
      </c>
      <c r="AD28" s="19">
        <f t="shared" si="111"/>
        <v>-24.9</v>
      </c>
      <c r="AF28" s="18">
        <f>-12.236-Q28</f>
        <v>-4.0150000000000006</v>
      </c>
      <c r="AG28" s="19">
        <f>F28-AF28-Q28</f>
        <v>-4.9359999999999999</v>
      </c>
      <c r="AH28" s="18">
        <v>-4.2930000000000001</v>
      </c>
      <c r="AI28" s="19">
        <f>S28-AH28</f>
        <v>-5.0279999999999996</v>
      </c>
      <c r="AJ28" s="18">
        <f>-13.486-S28</f>
        <v>-4.1650000000000009</v>
      </c>
      <c r="AK28" s="19">
        <f>G28-AJ28-S28</f>
        <v>-9.4830000000000023</v>
      </c>
      <c r="AL28" s="18">
        <v>-5.6929999999999996</v>
      </c>
      <c r="AM28" s="19">
        <f>U28-AL28</f>
        <v>-6.6280000000000001</v>
      </c>
      <c r="AN28" s="18">
        <f>-22.616-U28</f>
        <v>-10.295</v>
      </c>
      <c r="AO28" s="19">
        <f>H28-AN28-U28</f>
        <v>-9.2670000000000012</v>
      </c>
      <c r="AP28" s="18">
        <v>-9.7040000000000006</v>
      </c>
      <c r="AQ28" s="19">
        <f t="shared" si="112"/>
        <v>-11.884</v>
      </c>
      <c r="AR28" s="19">
        <f>-(33.563)-W28</f>
        <v>-11.975000000000001</v>
      </c>
      <c r="AS28" s="19">
        <f>I28-AR28-W28</f>
        <v>-10.143000000000001</v>
      </c>
      <c r="AT28" s="18">
        <v>-13.026</v>
      </c>
      <c r="AU28" s="19">
        <f>Y28-AT28</f>
        <v>-12.474</v>
      </c>
      <c r="AV28" s="19">
        <f>-35.4-Y28</f>
        <v>-9.8999999999999986</v>
      </c>
      <c r="AW28" s="19">
        <f>K28-AV28-Y28</f>
        <v>-15</v>
      </c>
      <c r="AX28" s="18">
        <v>-13.4</v>
      </c>
      <c r="AY28" s="19">
        <f>AA28-AX28</f>
        <v>-11.499999999999998</v>
      </c>
      <c r="AZ28" s="22">
        <f>-39.9-AA28</f>
        <v>-15</v>
      </c>
      <c r="BA28" s="19">
        <f t="shared" si="113"/>
        <v>-12.899999999999999</v>
      </c>
      <c r="BB28" s="18">
        <v>-13.1</v>
      </c>
      <c r="BC28" s="19">
        <f t="shared" si="115"/>
        <v>-13.4</v>
      </c>
      <c r="BD28" s="22">
        <f>-38.6-AC28</f>
        <v>-12.100000000000001</v>
      </c>
      <c r="BE28" s="19">
        <f t="shared" si="114"/>
        <v>-12.799999999999997</v>
      </c>
      <c r="BF28" s="18">
        <v>-15.2</v>
      </c>
    </row>
    <row r="29" spans="2:58" s="5" customFormat="1">
      <c r="B29" s="1" t="s">
        <v>222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>
        <v>-113.6</v>
      </c>
      <c r="O29" s="19">
        <f t="shared" si="110"/>
        <v>-113.6</v>
      </c>
      <c r="P29" s="19"/>
      <c r="Q29" s="18"/>
      <c r="R29" s="19"/>
      <c r="S29" s="18"/>
      <c r="T29" s="19"/>
      <c r="U29" s="18"/>
      <c r="V29" s="19"/>
      <c r="W29" s="18"/>
      <c r="X29" s="19"/>
      <c r="Y29" s="18"/>
      <c r="Z29" s="19"/>
      <c r="AA29" s="18"/>
      <c r="AB29" s="19"/>
      <c r="AC29" s="18"/>
      <c r="AD29" s="19">
        <f t="shared" si="111"/>
        <v>-113.6</v>
      </c>
      <c r="AF29" s="18"/>
      <c r="AG29" s="19"/>
      <c r="AH29" s="18"/>
      <c r="AI29" s="19"/>
      <c r="AJ29" s="18"/>
      <c r="AK29" s="19"/>
      <c r="AL29" s="18"/>
      <c r="AM29" s="19"/>
      <c r="AN29" s="18"/>
      <c r="AO29" s="19"/>
      <c r="AP29" s="18"/>
      <c r="AQ29" s="19"/>
      <c r="AR29" s="19"/>
      <c r="AS29" s="19"/>
      <c r="AT29" s="18"/>
      <c r="AU29" s="19"/>
      <c r="AV29" s="19"/>
      <c r="AW29" s="19"/>
      <c r="AX29" s="18"/>
      <c r="AY29" s="19"/>
      <c r="AZ29" s="22"/>
      <c r="BA29" s="19"/>
      <c r="BB29" s="18"/>
      <c r="BC29" s="19"/>
      <c r="BD29" s="22"/>
      <c r="BE29" s="19">
        <f t="shared" si="114"/>
        <v>-113.6</v>
      </c>
      <c r="BF29" s="18"/>
    </row>
    <row r="30" spans="2:58" s="5" customFormat="1">
      <c r="B30" s="1" t="s">
        <v>223</v>
      </c>
      <c r="C30" s="18">
        <v>0</v>
      </c>
      <c r="D30" s="18">
        <v>0</v>
      </c>
      <c r="E30" s="18">
        <v>0</v>
      </c>
      <c r="F30" s="18">
        <v>-8.9999999999999993E-3</v>
      </c>
      <c r="G30" s="18">
        <v>-0.68500000000000005</v>
      </c>
      <c r="H30" s="18">
        <v>-1.0780000000000001</v>
      </c>
      <c r="I30" s="18">
        <v>1.2250000000000001</v>
      </c>
      <c r="J30" s="18">
        <v>1.2250000000000001</v>
      </c>
      <c r="K30" s="18">
        <v>-1.4</v>
      </c>
      <c r="L30" s="18">
        <v>-1.4</v>
      </c>
      <c r="M30" s="18">
        <v>-3.7</v>
      </c>
      <c r="N30" s="18">
        <v>-0.2</v>
      </c>
      <c r="O30" s="19">
        <f t="shared" si="110"/>
        <v>-0.1</v>
      </c>
      <c r="P30" s="19"/>
      <c r="Q30" s="18">
        <v>0</v>
      </c>
      <c r="R30" s="19">
        <f>F30-Q30</f>
        <v>-8.9999999999999993E-3</v>
      </c>
      <c r="S30" s="18">
        <v>0</v>
      </c>
      <c r="T30" s="19">
        <f>G30-S30</f>
        <v>-0.68500000000000005</v>
      </c>
      <c r="U30" s="18">
        <v>0.248</v>
      </c>
      <c r="V30" s="19">
        <f>H30-U30</f>
        <v>-1.3260000000000001</v>
      </c>
      <c r="W30" s="18">
        <v>0.46300000000000002</v>
      </c>
      <c r="X30" s="19">
        <f>I30-W30</f>
        <v>0.76200000000000001</v>
      </c>
      <c r="Y30" s="18">
        <v>-0.5</v>
      </c>
      <c r="Z30" s="19">
        <f>K30-Y30</f>
        <v>-0.89999999999999991</v>
      </c>
      <c r="AA30" s="18">
        <v>-1.1000000000000001</v>
      </c>
      <c r="AB30" s="19">
        <f>M30-AA30</f>
        <v>-2.6</v>
      </c>
      <c r="AC30" s="18">
        <v>0</v>
      </c>
      <c r="AD30" s="19">
        <f t="shared" si="111"/>
        <v>-0.2</v>
      </c>
      <c r="AF30" s="18">
        <f>0-Q30</f>
        <v>0</v>
      </c>
      <c r="AG30" s="19">
        <f>F30-AF30-Q30</f>
        <v>-8.9999999999999993E-3</v>
      </c>
      <c r="AH30" s="18">
        <v>-3.9E-2</v>
      </c>
      <c r="AI30" s="19">
        <f>S30-AH30</f>
        <v>3.9E-2</v>
      </c>
      <c r="AJ30" s="18">
        <f>-S30</f>
        <v>0</v>
      </c>
      <c r="AK30" s="19">
        <f>G30-AJ30-S30</f>
        <v>-0.68500000000000005</v>
      </c>
      <c r="AL30" s="18">
        <v>0.24</v>
      </c>
      <c r="AM30" s="19">
        <f>U30-AL30</f>
        <v>8.0000000000000071E-3</v>
      </c>
      <c r="AN30" s="18">
        <f>-0.254-U30</f>
        <v>-0.502</v>
      </c>
      <c r="AO30" s="19">
        <f>H30-AN30-U30</f>
        <v>-0.82400000000000007</v>
      </c>
      <c r="AP30" s="18">
        <v>0.33700000000000002</v>
      </c>
      <c r="AQ30" s="19">
        <f t="shared" si="112"/>
        <v>0.126</v>
      </c>
      <c r="AR30" s="19">
        <f>1.723-W30</f>
        <v>1.26</v>
      </c>
      <c r="AS30" s="19">
        <f>I30-AR30-W30</f>
        <v>-0.49799999999999994</v>
      </c>
      <c r="AT30" s="18">
        <v>-0.124</v>
      </c>
      <c r="AU30" s="19">
        <f>Y30-AT30</f>
        <v>-0.376</v>
      </c>
      <c r="AV30" s="19">
        <f>-0.8-Y30</f>
        <v>-0.30000000000000004</v>
      </c>
      <c r="AW30" s="19">
        <f>K30-AV30-Y30</f>
        <v>-0.59999999999999987</v>
      </c>
      <c r="AX30" s="18">
        <v>-0.7</v>
      </c>
      <c r="AY30" s="19">
        <f>AA30-AX30</f>
        <v>-0.40000000000000013</v>
      </c>
      <c r="AZ30" s="22">
        <f>-1.4-AA30</f>
        <v>-0.29999999999999982</v>
      </c>
      <c r="BA30" s="19">
        <f t="shared" si="113"/>
        <v>-2.3000000000000003</v>
      </c>
      <c r="BB30" s="18">
        <v>0</v>
      </c>
      <c r="BC30" s="19">
        <f t="shared" si="115"/>
        <v>0</v>
      </c>
      <c r="BD30" s="22">
        <f>0-AC30</f>
        <v>0</v>
      </c>
      <c r="BE30" s="19">
        <f t="shared" si="114"/>
        <v>-0.2</v>
      </c>
      <c r="BF30" s="18">
        <v>0.1</v>
      </c>
    </row>
    <row r="31" spans="2:58" s="5" customFormat="1">
      <c r="B31" s="1" t="s">
        <v>224</v>
      </c>
      <c r="C31" s="18">
        <v>-29.765999999999998</v>
      </c>
      <c r="D31" s="18">
        <v>-33.308999999999997</v>
      </c>
      <c r="E31" s="18">
        <v>-28.356000000000002</v>
      </c>
      <c r="F31" s="18">
        <v>-17.149000000000001</v>
      </c>
      <c r="G31" s="18">
        <v>-33.121000000000002</v>
      </c>
      <c r="H31" s="18">
        <v>-26.463000000000001</v>
      </c>
      <c r="I31" s="18">
        <v>-59.584000000000003</v>
      </c>
      <c r="J31" s="18">
        <v>-69.7</v>
      </c>
      <c r="K31" s="18">
        <v>-58.5</v>
      </c>
      <c r="L31" s="18">
        <v>-57.3</v>
      </c>
      <c r="M31" s="18">
        <v>-55.3</v>
      </c>
      <c r="N31" s="18">
        <v>-65.5</v>
      </c>
      <c r="O31" s="19">
        <f t="shared" si="110"/>
        <v>-69.900000000000006</v>
      </c>
      <c r="P31" s="19"/>
      <c r="Q31" s="18">
        <v>-17.315000000000001</v>
      </c>
      <c r="R31" s="19">
        <f>F31-Q31</f>
        <v>0.16600000000000037</v>
      </c>
      <c r="S31" s="18">
        <v>-12.225</v>
      </c>
      <c r="T31" s="19">
        <f>G31-S31</f>
        <v>-20.896000000000001</v>
      </c>
      <c r="U31" s="18">
        <v>-9.5890000000000004</v>
      </c>
      <c r="V31" s="19">
        <f>H31-U31</f>
        <v>-16.874000000000002</v>
      </c>
      <c r="W31" s="18">
        <v>-35.198</v>
      </c>
      <c r="X31" s="19">
        <f>I31-W31</f>
        <v>-24.386000000000003</v>
      </c>
      <c r="Y31" s="18">
        <v>-29.6</v>
      </c>
      <c r="Z31" s="19">
        <f>K31-Y31</f>
        <v>-28.9</v>
      </c>
      <c r="AA31" s="18">
        <v>-26.3</v>
      </c>
      <c r="AB31" s="19">
        <f>M31-AA31</f>
        <v>-28.999999999999996</v>
      </c>
      <c r="AC31" s="18">
        <v>-25.5</v>
      </c>
      <c r="AD31" s="19">
        <f t="shared" si="111"/>
        <v>-40</v>
      </c>
      <c r="AF31" s="18">
        <f>-15.365-Q31</f>
        <v>1.9500000000000011</v>
      </c>
      <c r="AG31" s="19">
        <f>F31-AF31-Q31</f>
        <v>-1.7840000000000025</v>
      </c>
      <c r="AH31" s="18">
        <v>-6.7850000000000001</v>
      </c>
      <c r="AI31" s="19">
        <f>S31-AH31</f>
        <v>-5.4399999999999995</v>
      </c>
      <c r="AJ31" s="18">
        <f>-16.723-S31</f>
        <v>-4.4979999999999993</v>
      </c>
      <c r="AK31" s="19">
        <f>G31-AJ31-S31</f>
        <v>-16.398000000000003</v>
      </c>
      <c r="AL31" s="18">
        <v>-5.0810000000000004</v>
      </c>
      <c r="AM31" s="19">
        <f>U31-AL31</f>
        <v>-4.508</v>
      </c>
      <c r="AN31" s="18">
        <f>-14.291-U31</f>
        <v>-4.702</v>
      </c>
      <c r="AO31" s="19">
        <f>H31-AN31-U31</f>
        <v>-12.172000000000002</v>
      </c>
      <c r="AP31" s="18">
        <v>-20.59</v>
      </c>
      <c r="AQ31" s="19">
        <f>W31-AP31</f>
        <v>-14.608000000000001</v>
      </c>
      <c r="AR31" s="19">
        <f>-48.127-W31</f>
        <v>-12.929000000000002</v>
      </c>
      <c r="AS31" s="19">
        <f>I31-AR31-W31</f>
        <v>-11.457000000000001</v>
      </c>
      <c r="AT31" s="18">
        <v>-17.106999999999999</v>
      </c>
      <c r="AU31" s="19">
        <f>Y31-AT31</f>
        <v>-12.493000000000002</v>
      </c>
      <c r="AV31" s="19">
        <f>-41-Y31</f>
        <v>-11.399999999999999</v>
      </c>
      <c r="AW31" s="19">
        <f>K31-AV31-Y31</f>
        <v>-17.5</v>
      </c>
      <c r="AX31" s="18">
        <v>-10.9</v>
      </c>
      <c r="AY31" s="19">
        <f>AA31-AX31</f>
        <v>-15.4</v>
      </c>
      <c r="AZ31" s="22">
        <f>-35.6-AA31</f>
        <v>-9.3000000000000007</v>
      </c>
      <c r="BA31" s="19">
        <f t="shared" si="113"/>
        <v>-19.7</v>
      </c>
      <c r="BB31" s="18">
        <v>-12.4</v>
      </c>
      <c r="BC31" s="19">
        <f t="shared" si="115"/>
        <v>-13.1</v>
      </c>
      <c r="BD31" s="22">
        <f>-37.7-AC31</f>
        <v>-12.200000000000003</v>
      </c>
      <c r="BE31" s="19">
        <f t="shared" si="114"/>
        <v>-27.799999999999997</v>
      </c>
      <c r="BF31" s="18">
        <v>-16.8</v>
      </c>
    </row>
    <row r="32" spans="2:58" s="5" customFormat="1">
      <c r="B32" s="5" t="s">
        <v>225</v>
      </c>
      <c r="C32" s="14">
        <f t="shared" ref="C32:F32" si="116">SUM(C26:C31)</f>
        <v>-24.591999999999999</v>
      </c>
      <c r="D32" s="14">
        <f t="shared" si="116"/>
        <v>-34.933</v>
      </c>
      <c r="E32" s="14">
        <f t="shared" si="116"/>
        <v>6.1339999999999932</v>
      </c>
      <c r="F32" s="14">
        <f t="shared" si="116"/>
        <v>-34.989000000000004</v>
      </c>
      <c r="G32" s="14">
        <f t="shared" ref="G32:H32" si="117">SUM(G26:G31)</f>
        <v>-63.227000000000004</v>
      </c>
      <c r="H32" s="14">
        <f t="shared" si="117"/>
        <v>-57.426000000000002</v>
      </c>
      <c r="I32" s="14">
        <f t="shared" ref="I32:J32" si="118">SUM(I26:I31)</f>
        <v>-104.61199999999999</v>
      </c>
      <c r="J32" s="14">
        <f t="shared" si="118"/>
        <v>-114.72800000000001</v>
      </c>
      <c r="K32" s="14">
        <f t="shared" ref="K32:M32" si="119">SUM(K26:K31)</f>
        <v>-108.9</v>
      </c>
      <c r="L32" s="14">
        <f t="shared" ref="L32" si="120">SUM(L26:L31)</f>
        <v>-112.6</v>
      </c>
      <c r="M32" s="14">
        <f t="shared" si="119"/>
        <v>-112.1</v>
      </c>
      <c r="N32" s="14">
        <f t="shared" ref="N32" si="121">SUM(N26:N31)</f>
        <v>-230.49999999999997</v>
      </c>
      <c r="O32" s="14">
        <f>SUM(O26:O31)</f>
        <v>-235.89999999999998</v>
      </c>
      <c r="P32" s="14"/>
      <c r="Q32" s="14">
        <f t="shared" ref="Q32:R32" si="122">SUM(Q26:Q31)</f>
        <v>-14.464</v>
      </c>
      <c r="R32" s="14">
        <f t="shared" si="122"/>
        <v>-20.525000000000002</v>
      </c>
      <c r="S32" s="14">
        <f>SUM(S26:S31)</f>
        <v>-21.991999999999997</v>
      </c>
      <c r="T32" s="14">
        <f t="shared" ref="T32:W32" si="123">SUM(T26:T31)</f>
        <v>-41.234999999999999</v>
      </c>
      <c r="U32" s="14">
        <f>SUM(U26:U31)</f>
        <v>-22.717000000000002</v>
      </c>
      <c r="V32" s="14">
        <f t="shared" si="123"/>
        <v>-34.709000000000003</v>
      </c>
      <c r="W32" s="14">
        <f t="shared" si="123"/>
        <v>-56.969000000000001</v>
      </c>
      <c r="X32" s="14">
        <f t="shared" ref="X32:Y32" si="124">SUM(X26:X31)</f>
        <v>-47.643000000000001</v>
      </c>
      <c r="Y32" s="14">
        <f t="shared" si="124"/>
        <v>-53.1</v>
      </c>
      <c r="Z32" s="14">
        <f t="shared" ref="Z32:AB32" si="125">SUM(Z26:Z31)</f>
        <v>-55.8</v>
      </c>
      <c r="AA32" s="14">
        <f t="shared" ref="AA32:AD32" si="126">SUM(AA26:AA31)</f>
        <v>-49.900000000000006</v>
      </c>
      <c r="AB32" s="14">
        <f t="shared" si="125"/>
        <v>-62.199999999999989</v>
      </c>
      <c r="AC32" s="14">
        <f t="shared" si="126"/>
        <v>-51.2</v>
      </c>
      <c r="AD32" s="14">
        <f t="shared" si="126"/>
        <v>-179.29999999999998</v>
      </c>
      <c r="AF32" s="14">
        <f t="shared" ref="AF32:AI32" si="127">SUM(AF26:AF31)</f>
        <v>-2.4540000000000006</v>
      </c>
      <c r="AG32" s="14">
        <f t="shared" si="127"/>
        <v>-18.071000000000002</v>
      </c>
      <c r="AH32" s="14">
        <f t="shared" si="127"/>
        <v>-12.801</v>
      </c>
      <c r="AI32" s="14">
        <f t="shared" si="127"/>
        <v>-9.1909999999999989</v>
      </c>
      <c r="AJ32" s="14">
        <f t="shared" ref="AJ32:AK32" si="128">SUM(AJ26:AJ31)</f>
        <v>-7.3450000000000006</v>
      </c>
      <c r="AK32" s="14">
        <f t="shared" si="128"/>
        <v>-33.89</v>
      </c>
      <c r="AL32" s="14">
        <f t="shared" ref="AL32:AQ32" si="129">SUM(AL26:AL31)</f>
        <v>-11.329000000000001</v>
      </c>
      <c r="AM32" s="14">
        <f t="shared" si="129"/>
        <v>-11.388000000000002</v>
      </c>
      <c r="AN32" s="14">
        <f t="shared" si="129"/>
        <v>-13.477</v>
      </c>
      <c r="AO32" s="14">
        <f t="shared" si="129"/>
        <v>-21.232000000000003</v>
      </c>
      <c r="AP32" s="14">
        <f t="shared" si="129"/>
        <v>-29.652000000000001</v>
      </c>
      <c r="AQ32" s="14">
        <f t="shared" si="129"/>
        <v>-27.317</v>
      </c>
      <c r="AR32" s="14">
        <f t="shared" ref="AR32:AU32" si="130">SUM(AR26:AR31)</f>
        <v>-24.307000000000002</v>
      </c>
      <c r="AS32" s="14">
        <f t="shared" si="130"/>
        <v>-23.335999999999999</v>
      </c>
      <c r="AT32" s="14">
        <f t="shared" si="130"/>
        <v>-32.457000000000001</v>
      </c>
      <c r="AU32" s="14">
        <f t="shared" si="130"/>
        <v>-20.643000000000001</v>
      </c>
      <c r="AV32" s="14">
        <f>SUM(AV26:AV31)</f>
        <v>-25.699999999999996</v>
      </c>
      <c r="AW32" s="14">
        <f t="shared" ref="AW32:AZ32" si="131">SUM(AW26:AW31)</f>
        <v>-30.099999999999998</v>
      </c>
      <c r="AX32" s="14">
        <f t="shared" si="131"/>
        <v>-23.6</v>
      </c>
      <c r="AY32" s="14">
        <f t="shared" si="131"/>
        <v>-26.299999999999997</v>
      </c>
      <c r="AZ32" s="14">
        <f t="shared" si="131"/>
        <v>-25.400000000000002</v>
      </c>
      <c r="BA32" s="14">
        <f t="shared" ref="BA32:BD32" si="132">SUM(BA26:BA31)</f>
        <v>-36.799999999999997</v>
      </c>
      <c r="BB32" s="14">
        <f t="shared" si="132"/>
        <v>-25.6</v>
      </c>
      <c r="BC32" s="14">
        <f t="shared" si="132"/>
        <v>-25.6</v>
      </c>
      <c r="BD32" s="14">
        <f t="shared" si="132"/>
        <v>-26.000000000000004</v>
      </c>
      <c r="BE32" s="14">
        <f t="shared" ref="BE32:BF32" si="133">SUM(BE26:BE31)</f>
        <v>-153.29999999999998</v>
      </c>
      <c r="BF32" s="14">
        <f t="shared" si="133"/>
        <v>-31</v>
      </c>
    </row>
    <row r="33" spans="2:58" s="5" customFormat="1">
      <c r="B33" s="1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19"/>
      <c r="Q33" s="18"/>
      <c r="R33" s="19"/>
      <c r="S33" s="18"/>
      <c r="T33" s="19"/>
      <c r="U33" s="18"/>
      <c r="V33" s="19"/>
      <c r="W33" s="18"/>
      <c r="X33" s="19"/>
      <c r="Y33" s="18"/>
      <c r="Z33" s="19"/>
      <c r="AA33" s="18"/>
      <c r="AB33" s="19"/>
      <c r="AC33" s="19"/>
      <c r="AD33" s="19"/>
      <c r="AF33" s="18"/>
      <c r="AH33" s="18"/>
      <c r="AJ33" s="18"/>
      <c r="AL33" s="18"/>
      <c r="AM33" s="18"/>
      <c r="AN33" s="18"/>
      <c r="AP33" s="18"/>
      <c r="AQ33" s="18"/>
      <c r="AR33" s="18"/>
      <c r="AT33" s="18"/>
      <c r="AU33" s="18"/>
      <c r="AV33" s="18"/>
      <c r="AX33" s="18"/>
      <c r="AY33" s="18"/>
      <c r="BB33" s="18"/>
      <c r="BC33" s="19"/>
      <c r="BF33" s="18"/>
    </row>
    <row r="34" spans="2:58" s="5" customFormat="1">
      <c r="B34" s="5" t="s">
        <v>226</v>
      </c>
      <c r="C34" s="14">
        <f t="shared" ref="C34:O34" si="134">C24+C32</f>
        <v>421.79900000000009</v>
      </c>
      <c r="D34" s="14">
        <f t="shared" si="134"/>
        <v>509.09699999999998</v>
      </c>
      <c r="E34" s="14">
        <f t="shared" si="134"/>
        <v>483.89300000000003</v>
      </c>
      <c r="F34" s="14">
        <f t="shared" si="134"/>
        <v>617.899</v>
      </c>
      <c r="G34" s="14">
        <f t="shared" si="134"/>
        <v>391.88600000000008</v>
      </c>
      <c r="H34" s="14">
        <f t="shared" si="134"/>
        <v>1376.808</v>
      </c>
      <c r="I34" s="14">
        <f t="shared" si="134"/>
        <v>1083.885</v>
      </c>
      <c r="J34" s="14">
        <f t="shared" si="134"/>
        <v>1047.547</v>
      </c>
      <c r="K34" s="14">
        <f t="shared" si="134"/>
        <v>1323.8</v>
      </c>
      <c r="L34" s="14">
        <f t="shared" si="134"/>
        <v>1323.8000000000002</v>
      </c>
      <c r="M34" s="14">
        <f t="shared" si="134"/>
        <v>1511.2</v>
      </c>
      <c r="N34" s="14">
        <f t="shared" ref="N34" si="135">N24+N32</f>
        <v>1688.7</v>
      </c>
      <c r="O34" s="14">
        <f t="shared" si="134"/>
        <v>1713</v>
      </c>
      <c r="P34" s="14"/>
      <c r="Q34" s="14">
        <f t="shared" ref="Q34:AC34" si="136">Q24+Q32</f>
        <v>247.637</v>
      </c>
      <c r="R34" s="14">
        <f t="shared" si="136"/>
        <v>370.262</v>
      </c>
      <c r="S34" s="14">
        <f t="shared" si="136"/>
        <v>168.04899999999998</v>
      </c>
      <c r="T34" s="14">
        <f t="shared" si="136"/>
        <v>223.83699999999999</v>
      </c>
      <c r="U34" s="14">
        <f t="shared" si="136"/>
        <v>289.71699999999998</v>
      </c>
      <c r="V34" s="14">
        <f t="shared" si="136"/>
        <v>1087.0909999999999</v>
      </c>
      <c r="W34" s="14">
        <f t="shared" si="136"/>
        <v>660.50900000000001</v>
      </c>
      <c r="X34" s="14">
        <f t="shared" si="136"/>
        <v>423.37599999999998</v>
      </c>
      <c r="Y34" s="14">
        <f t="shared" si="136"/>
        <v>638.5</v>
      </c>
      <c r="Z34" s="14">
        <f t="shared" si="136"/>
        <v>685.30000000000018</v>
      </c>
      <c r="AA34" s="14">
        <f t="shared" si="136"/>
        <v>716.19999999999993</v>
      </c>
      <c r="AB34" s="14">
        <f t="shared" si="136"/>
        <v>795</v>
      </c>
      <c r="AC34" s="14">
        <f t="shared" si="136"/>
        <v>923.29999999999984</v>
      </c>
      <c r="AD34" s="14">
        <f t="shared" ref="AD34" si="137">AD24+AD32</f>
        <v>765.40000000000009</v>
      </c>
      <c r="AF34" s="14">
        <f t="shared" ref="AF34:BD34" si="138">AF24+AF32</f>
        <v>87.844999999999999</v>
      </c>
      <c r="AG34" s="14">
        <f t="shared" si="138"/>
        <v>282.41699999999997</v>
      </c>
      <c r="AH34" s="14">
        <f t="shared" si="138"/>
        <v>93.01100000000001</v>
      </c>
      <c r="AI34" s="14">
        <f t="shared" si="138"/>
        <v>75.037999999999982</v>
      </c>
      <c r="AJ34" s="14">
        <f t="shared" si="138"/>
        <v>107.19100000000003</v>
      </c>
      <c r="AK34" s="14">
        <f t="shared" si="138"/>
        <v>116.646</v>
      </c>
      <c r="AL34" s="14">
        <f t="shared" si="138"/>
        <v>138.21699999999998</v>
      </c>
      <c r="AM34" s="14">
        <f t="shared" si="138"/>
        <v>151.5</v>
      </c>
      <c r="AN34" s="14">
        <f t="shared" si="138"/>
        <v>186.21000000000004</v>
      </c>
      <c r="AO34" s="14">
        <f t="shared" si="138"/>
        <v>900.88099999999997</v>
      </c>
      <c r="AP34" s="14">
        <f t="shared" si="138"/>
        <v>107.71</v>
      </c>
      <c r="AQ34" s="14">
        <f t="shared" si="138"/>
        <v>552.79899999999998</v>
      </c>
      <c r="AR34" s="14">
        <f t="shared" si="138"/>
        <v>153.90300000000002</v>
      </c>
      <c r="AS34" s="14">
        <f t="shared" si="138"/>
        <v>269.47300000000007</v>
      </c>
      <c r="AT34" s="14">
        <f t="shared" si="138"/>
        <v>307.99700000000001</v>
      </c>
      <c r="AU34" s="14">
        <f t="shared" si="138"/>
        <v>330.50299999999993</v>
      </c>
      <c r="AV34" s="14">
        <f t="shared" si="138"/>
        <v>351.3</v>
      </c>
      <c r="AW34" s="14">
        <f t="shared" si="138"/>
        <v>334.00000000000011</v>
      </c>
      <c r="AX34" s="14">
        <f t="shared" si="138"/>
        <v>300.39999999999998</v>
      </c>
      <c r="AY34" s="14">
        <f t="shared" si="138"/>
        <v>416.09999999999997</v>
      </c>
      <c r="AZ34" s="14">
        <f t="shared" si="138"/>
        <v>308.20000000000005</v>
      </c>
      <c r="BA34" s="14">
        <f t="shared" si="138"/>
        <v>486.7999999999999</v>
      </c>
      <c r="BB34" s="14">
        <f t="shared" si="138"/>
        <v>313.5</v>
      </c>
      <c r="BC34" s="14">
        <f t="shared" si="138"/>
        <v>609.79999999999995</v>
      </c>
      <c r="BD34" s="14">
        <f t="shared" si="138"/>
        <v>373.70000000000005</v>
      </c>
      <c r="BE34" s="14">
        <f t="shared" ref="BE34:BF34" si="139">BE24+BE32</f>
        <v>391.70000000000005</v>
      </c>
      <c r="BF34" s="14">
        <f t="shared" si="139"/>
        <v>337.79999999999995</v>
      </c>
    </row>
    <row r="35" spans="2:58" s="15" customFormat="1">
      <c r="B35" s="16" t="s">
        <v>227</v>
      </c>
      <c r="C35" s="25">
        <f t="shared" ref="C35:O35" si="140">C34/C20</f>
        <v>2.2731628187716919</v>
      </c>
      <c r="D35" s="25">
        <f t="shared" si="140"/>
        <v>2.3623771473118582</v>
      </c>
      <c r="E35" s="25">
        <f t="shared" si="140"/>
        <v>2.0183906032318077</v>
      </c>
      <c r="F35" s="25">
        <f t="shared" si="140"/>
        <v>2.5106312953805769</v>
      </c>
      <c r="G35" s="25">
        <f t="shared" si="140"/>
        <v>1.2935623252605208</v>
      </c>
      <c r="H35" s="25">
        <f t="shared" si="140"/>
        <v>4.1263430467267863</v>
      </c>
      <c r="I35" s="25">
        <f t="shared" si="140"/>
        <v>2.3313516176005606</v>
      </c>
      <c r="J35" s="25">
        <f t="shared" si="140"/>
        <v>2.2529103715253505</v>
      </c>
      <c r="K35" s="25">
        <f t="shared" si="140"/>
        <v>2.3895306859205774</v>
      </c>
      <c r="L35" s="25">
        <f t="shared" si="140"/>
        <v>2.373677604446836</v>
      </c>
      <c r="M35" s="25">
        <f t="shared" si="140"/>
        <v>2.2164857729539458</v>
      </c>
      <c r="N35" s="25">
        <f t="shared" ref="N35" si="141">N34/N20</f>
        <v>2.1669446939561148</v>
      </c>
      <c r="O35" s="25">
        <f t="shared" si="140"/>
        <v>2.1383098239920111</v>
      </c>
      <c r="P35" s="175"/>
      <c r="Q35" s="25">
        <f t="shared" ref="Q35:AC35" si="142">Q34/Q20</f>
        <v>2.1191274880624347</v>
      </c>
      <c r="R35" s="25">
        <f t="shared" si="142"/>
        <v>2.8645855092646322</v>
      </c>
      <c r="S35" s="25">
        <f t="shared" si="142"/>
        <v>1.0497748015067374</v>
      </c>
      <c r="T35" s="25">
        <f t="shared" si="142"/>
        <v>1.5667179953804153</v>
      </c>
      <c r="U35" s="25">
        <f t="shared" si="142"/>
        <v>1.7380482449562362</v>
      </c>
      <c r="V35" s="25">
        <f t="shared" si="142"/>
        <v>6.5106185468222222</v>
      </c>
      <c r="W35" s="25">
        <f t="shared" si="142"/>
        <v>3.023450302569783</v>
      </c>
      <c r="X35" s="25">
        <f t="shared" si="142"/>
        <v>1.7178633016169278</v>
      </c>
      <c r="Y35" s="25">
        <f t="shared" si="142"/>
        <v>2.3268950437317781</v>
      </c>
      <c r="Z35" s="25">
        <f t="shared" si="142"/>
        <v>2.4510014306151651</v>
      </c>
      <c r="AA35" s="25">
        <f t="shared" si="142"/>
        <v>2.1742562234365512</v>
      </c>
      <c r="AB35" s="25">
        <f t="shared" si="142"/>
        <v>2.2559591373439276</v>
      </c>
      <c r="AC35" s="25">
        <f t="shared" si="142"/>
        <v>2.4516728624535316</v>
      </c>
      <c r="AD35" s="25">
        <f t="shared" ref="AD35" si="143">AD34/AD20</f>
        <v>1.9006704742984855</v>
      </c>
      <c r="AF35" s="25">
        <f t="shared" ref="AF35:BD35" si="144">AF34/AF20</f>
        <v>1.5705116744734866</v>
      </c>
      <c r="AG35" s="25">
        <f t="shared" si="144"/>
        <v>3.8517887099193939</v>
      </c>
      <c r="AH35" s="25">
        <f t="shared" si="144"/>
        <v>1.2058678628844057</v>
      </c>
      <c r="AI35" s="25">
        <f t="shared" si="144"/>
        <v>0.90462814500476196</v>
      </c>
      <c r="AJ35" s="25">
        <f t="shared" si="144"/>
        <v>1.5793808660802426</v>
      </c>
      <c r="AK35" s="25">
        <f t="shared" si="144"/>
        <v>1.5552592632098241</v>
      </c>
      <c r="AL35" s="25">
        <f t="shared" si="144"/>
        <v>1.6764752259081808</v>
      </c>
      <c r="AM35" s="25">
        <f t="shared" si="144"/>
        <v>1.7983049640339006</v>
      </c>
      <c r="AN35" s="25">
        <f t="shared" si="144"/>
        <v>2.3218783510810748</v>
      </c>
      <c r="AO35" s="25">
        <f t="shared" si="144"/>
        <v>10.381923156705923</v>
      </c>
      <c r="AP35" s="25">
        <f t="shared" si="144"/>
        <v>0.98059922979579572</v>
      </c>
      <c r="AQ35" s="25">
        <f t="shared" si="144"/>
        <v>5.0892460942175077</v>
      </c>
      <c r="AR35" s="25">
        <f t="shared" si="144"/>
        <v>1.2923468359532448</v>
      </c>
      <c r="AS35" s="25">
        <f t="shared" si="144"/>
        <v>2.1157207125864637</v>
      </c>
      <c r="AT35" s="25">
        <f t="shared" si="144"/>
        <v>2.3302741881790396</v>
      </c>
      <c r="AU35" s="25">
        <f t="shared" si="144"/>
        <v>2.3237548162105912</v>
      </c>
      <c r="AV35" s="25">
        <f t="shared" si="144"/>
        <v>2.5474981870920952</v>
      </c>
      <c r="AW35" s="25">
        <f t="shared" si="144"/>
        <v>2.3570924488355689</v>
      </c>
      <c r="AX35" s="25">
        <f t="shared" si="144"/>
        <v>1.896464646464646</v>
      </c>
      <c r="AY35" s="25">
        <f t="shared" si="144"/>
        <v>2.4290718038528896</v>
      </c>
      <c r="AZ35" s="25">
        <f t="shared" si="144"/>
        <v>1.8543922984356198</v>
      </c>
      <c r="BA35" s="25">
        <f t="shared" si="144"/>
        <v>2.6143931256713198</v>
      </c>
      <c r="BB35" s="25">
        <f t="shared" si="144"/>
        <v>1.7140513942044833</v>
      </c>
      <c r="BC35" s="25">
        <f t="shared" si="144"/>
        <v>3.1481672689726374</v>
      </c>
      <c r="BD35" s="25">
        <f t="shared" si="144"/>
        <v>1.9066326530612248</v>
      </c>
      <c r="BE35" s="25">
        <f t="shared" ref="BE35:BF35" si="145">BE34/BE20</f>
        <v>1.8950169327527824</v>
      </c>
      <c r="BF35" s="25">
        <f t="shared" si="145"/>
        <v>1.650219833903273</v>
      </c>
    </row>
    <row r="36" spans="2:58" s="5" customFormat="1">
      <c r="B36" s="1" t="s">
        <v>228</v>
      </c>
      <c r="C36" s="18">
        <v>0.89</v>
      </c>
      <c r="D36" s="18">
        <v>1.323</v>
      </c>
      <c r="E36" s="18">
        <v>1.9530000000000001</v>
      </c>
      <c r="F36" s="18">
        <v>0.58199999999999996</v>
      </c>
      <c r="G36" s="18">
        <v>0.95299999999999996</v>
      </c>
      <c r="H36" s="18">
        <v>1.9930000000000001</v>
      </c>
      <c r="I36" s="18">
        <v>4.2350000000000003</v>
      </c>
      <c r="J36" s="18">
        <v>4.2350000000000003</v>
      </c>
      <c r="K36" s="18">
        <v>17.2</v>
      </c>
      <c r="L36" s="18">
        <v>17.2</v>
      </c>
      <c r="M36" s="18">
        <v>36.700000000000003</v>
      </c>
      <c r="N36" s="18">
        <v>26.9</v>
      </c>
      <c r="O36" s="19">
        <f>SUM(BC36:BF36)</f>
        <v>24.2</v>
      </c>
      <c r="P36" s="19"/>
      <c r="Q36" s="18">
        <v>0.29799999999999999</v>
      </c>
      <c r="R36" s="19">
        <f>F36-Q36</f>
        <v>0.28399999999999997</v>
      </c>
      <c r="S36" s="18">
        <v>0.41099999999999998</v>
      </c>
      <c r="T36" s="19">
        <f>G36-S36</f>
        <v>0.54200000000000004</v>
      </c>
      <c r="U36" s="18">
        <v>0.97699999999999998</v>
      </c>
      <c r="V36" s="19">
        <f>H36-U36</f>
        <v>1.016</v>
      </c>
      <c r="W36" s="18">
        <v>2.27</v>
      </c>
      <c r="X36" s="19">
        <f>I36-W36</f>
        <v>1.9650000000000003</v>
      </c>
      <c r="Y36" s="18">
        <v>7</v>
      </c>
      <c r="Z36" s="19">
        <f>K36-Y36</f>
        <v>10.199999999999999</v>
      </c>
      <c r="AA36" s="18">
        <v>18.600000000000001</v>
      </c>
      <c r="AB36" s="19">
        <f>M36-AA36</f>
        <v>18.100000000000001</v>
      </c>
      <c r="AC36" s="18">
        <v>15.5</v>
      </c>
      <c r="AD36" s="19">
        <f>N36-AC36</f>
        <v>11.399999999999999</v>
      </c>
      <c r="AF36" s="18">
        <f>0.392-Q36</f>
        <v>9.4000000000000028E-2</v>
      </c>
      <c r="AG36" s="19">
        <f>F36-AF36-Q36</f>
        <v>0.18999999999999995</v>
      </c>
      <c r="AH36" s="18">
        <v>0.27800000000000002</v>
      </c>
      <c r="AI36" s="19">
        <f>S36-AH36</f>
        <v>0.13299999999999995</v>
      </c>
      <c r="AJ36" s="18">
        <f>0.538-S36</f>
        <v>0.12700000000000006</v>
      </c>
      <c r="AK36" s="19">
        <f>G36-AJ36-S36</f>
        <v>0.41499999999999987</v>
      </c>
      <c r="AL36" s="18">
        <v>0.47499999999999998</v>
      </c>
      <c r="AM36" s="19">
        <f>U36-AL36</f>
        <v>0.502</v>
      </c>
      <c r="AN36" s="18">
        <f>1.468-U36</f>
        <v>0.49099999999999999</v>
      </c>
      <c r="AO36" s="19">
        <f>H36-AN36-U36</f>
        <v>0.52500000000000024</v>
      </c>
      <c r="AP36" s="18">
        <v>1.0049999999999999</v>
      </c>
      <c r="AQ36" s="19">
        <f t="shared" ref="AQ36:AQ39" si="146">W36-AP36</f>
        <v>1.2650000000000001</v>
      </c>
      <c r="AR36" s="19">
        <f>3.213-W36</f>
        <v>0.94300000000000006</v>
      </c>
      <c r="AS36" s="19">
        <f>I36-AR36-W36</f>
        <v>1.0220000000000002</v>
      </c>
      <c r="AT36" s="18">
        <v>3.0619999999999998</v>
      </c>
      <c r="AU36" s="19">
        <f>Y36-AT36</f>
        <v>3.9380000000000002</v>
      </c>
      <c r="AV36" s="19">
        <f>11.7-Y36</f>
        <v>4.6999999999999993</v>
      </c>
      <c r="AW36" s="19">
        <f>K36-AV36-Y36</f>
        <v>5.5</v>
      </c>
      <c r="AX36" s="18">
        <v>8</v>
      </c>
      <c r="AY36" s="19">
        <f>AA36-AX36</f>
        <v>10.600000000000001</v>
      </c>
      <c r="AZ36" s="22">
        <f>27.7-AA36</f>
        <v>9.0999999999999979</v>
      </c>
      <c r="BA36" s="19">
        <f t="shared" ref="BA36:BA39" si="147">M36-AZ36-AA36</f>
        <v>9.0000000000000036</v>
      </c>
      <c r="BB36" s="18">
        <v>5.5</v>
      </c>
      <c r="BC36" s="19">
        <f t="shared" ref="BC36:BC48" si="148">AC36-BB36</f>
        <v>10</v>
      </c>
      <c r="BD36" s="22">
        <f>19.7-AC36</f>
        <v>4.1999999999999993</v>
      </c>
      <c r="BE36" s="19">
        <f t="shared" ref="BE36:BE39" si="149">N36-AC36-BD36</f>
        <v>7.1999999999999993</v>
      </c>
      <c r="BF36" s="18">
        <v>2.8</v>
      </c>
    </row>
    <row r="37" spans="2:58" s="5" customFormat="1">
      <c r="B37" s="1" t="s">
        <v>229</v>
      </c>
      <c r="C37" s="18">
        <v>-38.555999999999997</v>
      </c>
      <c r="D37" s="18">
        <v>-44.426000000000002</v>
      </c>
      <c r="E37" s="18">
        <v>-54.927</v>
      </c>
      <c r="F37" s="18">
        <v>-57.018999999999998</v>
      </c>
      <c r="G37" s="18">
        <v>-68.534000000000006</v>
      </c>
      <c r="H37" s="18">
        <v>-70.882999999999996</v>
      </c>
      <c r="I37" s="18">
        <v>-84.944000000000003</v>
      </c>
      <c r="J37" s="18">
        <v>-84.944000000000003</v>
      </c>
      <c r="K37" s="18">
        <v>-129</v>
      </c>
      <c r="L37" s="18">
        <v>-129</v>
      </c>
      <c r="M37" s="18">
        <v>-241.7</v>
      </c>
      <c r="N37" s="18">
        <v>-293.7</v>
      </c>
      <c r="O37" s="19">
        <f>SUM(BC37:BF37)</f>
        <v>-290.59999999999997</v>
      </c>
      <c r="P37" s="19"/>
      <c r="Q37" s="18">
        <v>-25.962</v>
      </c>
      <c r="R37" s="19">
        <f>F37-Q37</f>
        <v>-31.056999999999999</v>
      </c>
      <c r="S37" s="18">
        <v>-30.876999999999999</v>
      </c>
      <c r="T37" s="19">
        <f>G37-S37</f>
        <v>-37.657000000000011</v>
      </c>
      <c r="U37" s="18">
        <v>-43.720999999999997</v>
      </c>
      <c r="V37" s="19">
        <f>H37-U37</f>
        <v>-27.161999999999999</v>
      </c>
      <c r="W37" s="18">
        <v>-40.423000000000002</v>
      </c>
      <c r="X37" s="19">
        <f>I37-W37</f>
        <v>-44.521000000000001</v>
      </c>
      <c r="Y37" s="18">
        <v>-59.8</v>
      </c>
      <c r="Z37" s="19">
        <f>K37-Y37</f>
        <v>-69.2</v>
      </c>
      <c r="AA37" s="18">
        <v>-107</v>
      </c>
      <c r="AB37" s="19">
        <f>M37-AA37</f>
        <v>-134.69999999999999</v>
      </c>
      <c r="AC37" s="18">
        <v>-143.1</v>
      </c>
      <c r="AD37" s="19">
        <f>N37-AC37</f>
        <v>-150.6</v>
      </c>
      <c r="AF37" s="18">
        <f>-40.697-Q37</f>
        <v>-14.735000000000003</v>
      </c>
      <c r="AG37" s="19">
        <f>F37-AF37-Q37</f>
        <v>-16.321999999999992</v>
      </c>
      <c r="AH37" s="18">
        <v>-16.468</v>
      </c>
      <c r="AI37" s="19">
        <f>S37-AH37</f>
        <v>-14.408999999999999</v>
      </c>
      <c r="AJ37" s="18">
        <f>-54.531-S37</f>
        <v>-23.654</v>
      </c>
      <c r="AK37" s="19">
        <f>G37-AJ37-S37</f>
        <v>-14.003000000000011</v>
      </c>
      <c r="AL37" s="18">
        <v>-18.875</v>
      </c>
      <c r="AM37" s="19">
        <f>U37-AL37</f>
        <v>-24.845999999999997</v>
      </c>
      <c r="AN37" s="18">
        <f>-55.89-U37</f>
        <v>-12.169000000000004</v>
      </c>
      <c r="AO37" s="19">
        <f>H37-AN37-U37</f>
        <v>-14.992999999999995</v>
      </c>
      <c r="AP37" s="18">
        <v>-21.821999999999999</v>
      </c>
      <c r="AQ37" s="19">
        <f t="shared" si="146"/>
        <v>-18.601000000000003</v>
      </c>
      <c r="AR37" s="19">
        <f>-(60.087) -W37</f>
        <v>-19.664000000000001</v>
      </c>
      <c r="AS37" s="19">
        <f>I37-AR37-W37</f>
        <v>-24.856999999999999</v>
      </c>
      <c r="AT37" s="18">
        <v>-28.052</v>
      </c>
      <c r="AU37" s="19">
        <f>Y37-AT37</f>
        <v>-31.747999999999998</v>
      </c>
      <c r="AV37" s="19">
        <f>-(90.2) -Y37</f>
        <v>-30.400000000000006</v>
      </c>
      <c r="AW37" s="19">
        <f>K37-AV37-Y37</f>
        <v>-38.799999999999997</v>
      </c>
      <c r="AX37" s="18">
        <v>-50.7</v>
      </c>
      <c r="AY37" s="19">
        <f>AA37-AX37</f>
        <v>-56.3</v>
      </c>
      <c r="AZ37" s="22">
        <f>-171.9-AA37</f>
        <v>-64.900000000000006</v>
      </c>
      <c r="BA37" s="19">
        <f t="shared" si="147"/>
        <v>-69.799999999999983</v>
      </c>
      <c r="BB37" s="18">
        <v>-67</v>
      </c>
      <c r="BC37" s="19">
        <f t="shared" si="148"/>
        <v>-76.099999999999994</v>
      </c>
      <c r="BD37" s="22">
        <f>-215.9-AC37</f>
        <v>-72.800000000000011</v>
      </c>
      <c r="BE37" s="19">
        <f t="shared" si="149"/>
        <v>-77.799999999999983</v>
      </c>
      <c r="BF37" s="18">
        <v>-63.9</v>
      </c>
    </row>
    <row r="38" spans="2:58" s="5" customFormat="1">
      <c r="B38" s="1" t="s">
        <v>230</v>
      </c>
      <c r="C38" s="18">
        <v>-6.4409999999999998</v>
      </c>
      <c r="D38" s="18">
        <v>-6.5869999999999997</v>
      </c>
      <c r="E38" s="18">
        <v>-8.4049999999999994</v>
      </c>
      <c r="F38" s="18">
        <v>-15.944000000000001</v>
      </c>
      <c r="G38" s="18">
        <v>-11.500999999999999</v>
      </c>
      <c r="H38" s="18">
        <v>-38.119999999999997</v>
      </c>
      <c r="I38" s="18">
        <v>-17.939</v>
      </c>
      <c r="J38" s="18">
        <v>-17.939</v>
      </c>
      <c r="K38" s="18">
        <v>-8.5</v>
      </c>
      <c r="L38" s="18">
        <v>-8.5</v>
      </c>
      <c r="M38" s="18">
        <v>-17.3</v>
      </c>
      <c r="N38" s="18">
        <v>-33.200000000000003</v>
      </c>
      <c r="O38" s="19">
        <f>SUM(BC38:BF38)</f>
        <v>-43.800000000000004</v>
      </c>
      <c r="P38" s="19"/>
      <c r="Q38" s="18">
        <v>-15.79</v>
      </c>
      <c r="R38" s="19">
        <f>F38-Q38</f>
        <v>-0.15400000000000169</v>
      </c>
      <c r="S38" s="18">
        <v>-2.4950000000000001</v>
      </c>
      <c r="T38" s="19">
        <f>G38-S38</f>
        <v>-9.0060000000000002</v>
      </c>
      <c r="U38" s="18">
        <v>-20.29</v>
      </c>
      <c r="V38" s="19">
        <f>H38-U38</f>
        <v>-17.829999999999998</v>
      </c>
      <c r="W38" s="18">
        <v>-14.914</v>
      </c>
      <c r="X38" s="19">
        <f>I38-W38</f>
        <v>-3.0250000000000004</v>
      </c>
      <c r="Y38" s="18">
        <v>-3.1</v>
      </c>
      <c r="Z38" s="19">
        <f>K38-Y38</f>
        <v>-5.4</v>
      </c>
      <c r="AA38" s="18">
        <v>-3</v>
      </c>
      <c r="AB38" s="19">
        <f>M38-AA38</f>
        <v>-14.3</v>
      </c>
      <c r="AC38" s="18">
        <v>-18.399999999999999</v>
      </c>
      <c r="AD38" s="19">
        <f>N38-AC38</f>
        <v>-14.800000000000004</v>
      </c>
      <c r="AF38" s="18">
        <f>-20.56-Q38</f>
        <v>-4.7699999999999996</v>
      </c>
      <c r="AG38" s="19">
        <f>F38-AF38-Q38</f>
        <v>4.6159999999999979</v>
      </c>
      <c r="AH38" s="18">
        <v>-0.97299999999999998</v>
      </c>
      <c r="AI38" s="19">
        <f>S38-AH38</f>
        <v>-1.5220000000000002</v>
      </c>
      <c r="AJ38" s="18">
        <f>-9.105-S38</f>
        <v>-6.61</v>
      </c>
      <c r="AK38" s="19">
        <f>G38-AJ38-S38</f>
        <v>-2.395999999999999</v>
      </c>
      <c r="AL38" s="18">
        <v>-8.02</v>
      </c>
      <c r="AM38" s="19">
        <f>U38-AL38</f>
        <v>-12.27</v>
      </c>
      <c r="AN38" s="18">
        <f>-33.39-U38</f>
        <v>-13.100000000000001</v>
      </c>
      <c r="AO38" s="19">
        <f>H38-AN38-U38</f>
        <v>-4.7299999999999969</v>
      </c>
      <c r="AP38" s="18">
        <v>-12.04</v>
      </c>
      <c r="AQ38" s="19">
        <f t="shared" si="146"/>
        <v>-2.8740000000000006</v>
      </c>
      <c r="AR38" s="19">
        <f>-(16.367)-W38</f>
        <v>-1.4530000000000012</v>
      </c>
      <c r="AS38" s="19">
        <f>I38-AR38-W38</f>
        <v>-1.5719999999999974</v>
      </c>
      <c r="AT38" s="18">
        <v>-1.393</v>
      </c>
      <c r="AU38" s="19">
        <f>Y38-AT38</f>
        <v>-1.7070000000000001</v>
      </c>
      <c r="AV38" s="19">
        <f>-(6.5)-Y38</f>
        <v>-3.4</v>
      </c>
      <c r="AW38" s="19">
        <f>K38-AV38-Y38</f>
        <v>-1.9999999999999996</v>
      </c>
      <c r="AX38" s="18">
        <v>-1.393</v>
      </c>
      <c r="AY38" s="19">
        <f>AA38-AX38</f>
        <v>-1.607</v>
      </c>
      <c r="AZ38" s="22">
        <f>-5.1-AA38</f>
        <v>-2.0999999999999996</v>
      </c>
      <c r="BA38" s="19">
        <f t="shared" si="147"/>
        <v>-12.200000000000001</v>
      </c>
      <c r="BB38" s="18">
        <v>-5.3</v>
      </c>
      <c r="BC38" s="19">
        <f t="shared" si="148"/>
        <v>-13.099999999999998</v>
      </c>
      <c r="BD38" s="22">
        <f>-21.6-AC38</f>
        <v>-3.2000000000000028</v>
      </c>
      <c r="BE38" s="19">
        <f t="shared" si="149"/>
        <v>-11.600000000000001</v>
      </c>
      <c r="BF38" s="18">
        <v>-15.9</v>
      </c>
    </row>
    <row r="39" spans="2:58" s="5" customFormat="1">
      <c r="B39" s="1" t="s">
        <v>231</v>
      </c>
      <c r="C39" s="18">
        <v>6.4740000000000002</v>
      </c>
      <c r="D39" s="18">
        <v>-0.17799999999999999</v>
      </c>
      <c r="E39" s="18">
        <v>1.361</v>
      </c>
      <c r="F39" s="18">
        <v>-44.808999999999997</v>
      </c>
      <c r="G39" s="18">
        <v>-22.379000000000001</v>
      </c>
      <c r="H39" s="18">
        <v>6.8920000000000003</v>
      </c>
      <c r="I39" s="18">
        <v>2.0310000000000001</v>
      </c>
      <c r="J39" s="18">
        <v>2.0310000000000001</v>
      </c>
      <c r="K39" s="18">
        <v>8.6</v>
      </c>
      <c r="L39" s="18">
        <v>8.6</v>
      </c>
      <c r="M39" s="18">
        <v>41.2</v>
      </c>
      <c r="N39" s="18">
        <v>-23.2</v>
      </c>
      <c r="O39" s="19">
        <f>SUM(BC39:BF39)</f>
        <v>-15.400000000000002</v>
      </c>
      <c r="P39" s="19"/>
      <c r="Q39" s="18">
        <v>-32.136000000000003</v>
      </c>
      <c r="R39" s="19">
        <f>F39-Q39</f>
        <v>-12.672999999999995</v>
      </c>
      <c r="S39" s="18">
        <v>-8.1460000000000008</v>
      </c>
      <c r="T39" s="19">
        <f>G39-S39</f>
        <v>-14.233000000000001</v>
      </c>
      <c r="U39" s="18">
        <v>6.5309999999999997</v>
      </c>
      <c r="V39" s="19">
        <f>H39-U39</f>
        <v>0.36100000000000065</v>
      </c>
      <c r="W39" s="18">
        <v>2.6</v>
      </c>
      <c r="X39" s="19">
        <f>I39-W39</f>
        <v>-0.56899999999999995</v>
      </c>
      <c r="Y39" s="18">
        <v>1</v>
      </c>
      <c r="Z39" s="19">
        <f>K39-Y39</f>
        <v>7.6</v>
      </c>
      <c r="AA39" s="18">
        <v>37.700000000000003</v>
      </c>
      <c r="AB39" s="19">
        <f>M39-AA39</f>
        <v>3.5</v>
      </c>
      <c r="AC39" s="18">
        <v>-7.7</v>
      </c>
      <c r="AD39" s="19">
        <f>N39-AC39</f>
        <v>-15.5</v>
      </c>
      <c r="AF39" s="18">
        <f>-66.055-Q39</f>
        <v>-33.919000000000004</v>
      </c>
      <c r="AG39" s="19">
        <f>F39-AF39-Q39</f>
        <v>21.246000000000009</v>
      </c>
      <c r="AH39" s="18">
        <v>-1.9279999999999999</v>
      </c>
      <c r="AI39" s="19">
        <f>S39-AH39</f>
        <v>-6.2180000000000009</v>
      </c>
      <c r="AJ39" s="18">
        <f>-6.563-S39</f>
        <v>1.5830000000000011</v>
      </c>
      <c r="AK39" s="19">
        <f>G39-AJ39-S39</f>
        <v>-15.816000000000003</v>
      </c>
      <c r="AL39" s="18">
        <v>9.3249999999999993</v>
      </c>
      <c r="AM39" s="19">
        <f>U39-AL39</f>
        <v>-2.7939999999999996</v>
      </c>
      <c r="AN39" s="18">
        <f>5.961-U39</f>
        <v>-0.5699999999999994</v>
      </c>
      <c r="AO39" s="19">
        <f>H39-AN39-U39</f>
        <v>0.93100000000000005</v>
      </c>
      <c r="AP39" s="18">
        <v>0.153</v>
      </c>
      <c r="AQ39" s="19">
        <f t="shared" si="146"/>
        <v>2.4470000000000001</v>
      </c>
      <c r="AR39" s="19">
        <f>0.397-W39</f>
        <v>-2.2030000000000003</v>
      </c>
      <c r="AS39" s="19">
        <f>I39-AR39-W39</f>
        <v>1.6339999999999999</v>
      </c>
      <c r="AT39" s="18">
        <v>-2.1360000000000001</v>
      </c>
      <c r="AU39" s="19">
        <f>Y39-AT39</f>
        <v>3.1360000000000001</v>
      </c>
      <c r="AV39" s="19">
        <f>3.2-Y39</f>
        <v>2.2000000000000002</v>
      </c>
      <c r="AW39" s="19">
        <f>K39-AV39-Y39</f>
        <v>5.3999999999999995</v>
      </c>
      <c r="AX39" s="18">
        <v>25.6</v>
      </c>
      <c r="AY39" s="19">
        <f>AA39-AX39</f>
        <v>12.100000000000001</v>
      </c>
      <c r="AZ39" s="22">
        <f>39.7-AA39</f>
        <v>2</v>
      </c>
      <c r="BA39" s="19">
        <f t="shared" si="147"/>
        <v>1.5</v>
      </c>
      <c r="BB39" s="18">
        <v>-5.6</v>
      </c>
      <c r="BC39" s="19">
        <f t="shared" si="148"/>
        <v>-2.1000000000000005</v>
      </c>
      <c r="BD39" s="22">
        <f>-17.9-AC39</f>
        <v>-10.199999999999999</v>
      </c>
      <c r="BE39" s="19">
        <f t="shared" si="149"/>
        <v>-5.3000000000000007</v>
      </c>
      <c r="BF39" s="18">
        <v>2.2000000000000002</v>
      </c>
    </row>
    <row r="40" spans="2:58" s="5" customFormat="1">
      <c r="B40" s="5" t="s">
        <v>232</v>
      </c>
      <c r="C40" s="14">
        <f t="shared" ref="C40:O40" si="150">C34+C37+C36+C38+C39</f>
        <v>384.16600000000011</v>
      </c>
      <c r="D40" s="14">
        <f t="shared" si="150"/>
        <v>459.22899999999998</v>
      </c>
      <c r="E40" s="14">
        <f t="shared" si="150"/>
        <v>423.875</v>
      </c>
      <c r="F40" s="14">
        <f t="shared" si="150"/>
        <v>500.70900000000006</v>
      </c>
      <c r="G40" s="14">
        <f t="shared" si="150"/>
        <v>290.42500000000007</v>
      </c>
      <c r="H40" s="14">
        <f t="shared" si="150"/>
        <v>1276.69</v>
      </c>
      <c r="I40" s="14">
        <f t="shared" si="150"/>
        <v>987.26800000000003</v>
      </c>
      <c r="J40" s="14">
        <f t="shared" si="150"/>
        <v>950.93000000000006</v>
      </c>
      <c r="K40" s="14">
        <f t="shared" si="150"/>
        <v>1212.0999999999999</v>
      </c>
      <c r="L40" s="14">
        <f t="shared" si="150"/>
        <v>1212.1000000000001</v>
      </c>
      <c r="M40" s="14">
        <f t="shared" si="150"/>
        <v>1330.1000000000001</v>
      </c>
      <c r="N40" s="14">
        <f t="shared" ref="N40" si="151">N34+N37+N36+N38+N39</f>
        <v>1365.5</v>
      </c>
      <c r="O40" s="14">
        <f t="shared" si="150"/>
        <v>1387.4</v>
      </c>
      <c r="P40" s="14"/>
      <c r="Q40" s="14">
        <f t="shared" ref="Q40:AC40" si="152">Q34+Q37+Q36+Q38+Q39</f>
        <v>174.04700000000003</v>
      </c>
      <c r="R40" s="14">
        <f t="shared" si="152"/>
        <v>326.66199999999998</v>
      </c>
      <c r="S40" s="14">
        <f t="shared" si="152"/>
        <v>126.94199999999996</v>
      </c>
      <c r="T40" s="14">
        <f t="shared" si="152"/>
        <v>163.48299999999998</v>
      </c>
      <c r="U40" s="14">
        <f t="shared" si="152"/>
        <v>233.214</v>
      </c>
      <c r="V40" s="14">
        <f t="shared" si="152"/>
        <v>1043.4760000000001</v>
      </c>
      <c r="W40" s="14">
        <f t="shared" si="152"/>
        <v>610.04200000000003</v>
      </c>
      <c r="X40" s="14">
        <f t="shared" si="152"/>
        <v>377.22599999999994</v>
      </c>
      <c r="Y40" s="14">
        <f t="shared" si="152"/>
        <v>583.6</v>
      </c>
      <c r="Z40" s="14">
        <f t="shared" si="152"/>
        <v>628.50000000000023</v>
      </c>
      <c r="AA40" s="14">
        <f t="shared" si="152"/>
        <v>662.5</v>
      </c>
      <c r="AB40" s="14">
        <f t="shared" si="152"/>
        <v>667.6</v>
      </c>
      <c r="AC40" s="14">
        <f t="shared" si="152"/>
        <v>769.5999999999998</v>
      </c>
      <c r="AD40" s="14">
        <f t="shared" ref="AD40" si="153">AD34+AD37+AD36+AD38+AD39</f>
        <v>595.90000000000009</v>
      </c>
      <c r="AF40" s="14">
        <f t="shared" ref="AF40:BD40" si="154">AF34+AF37+AF36+AF38+AF39</f>
        <v>34.514999999999993</v>
      </c>
      <c r="AG40" s="14">
        <f t="shared" si="154"/>
        <v>292.14699999999993</v>
      </c>
      <c r="AH40" s="14">
        <f t="shared" si="154"/>
        <v>73.920000000000016</v>
      </c>
      <c r="AI40" s="14">
        <f t="shared" si="154"/>
        <v>53.021999999999984</v>
      </c>
      <c r="AJ40" s="14">
        <f t="shared" si="154"/>
        <v>78.637000000000029</v>
      </c>
      <c r="AK40" s="14">
        <f t="shared" si="154"/>
        <v>84.845999999999989</v>
      </c>
      <c r="AL40" s="14">
        <f t="shared" si="154"/>
        <v>121.12199999999999</v>
      </c>
      <c r="AM40" s="14">
        <f t="shared" si="154"/>
        <v>112.092</v>
      </c>
      <c r="AN40" s="14">
        <f t="shared" si="154"/>
        <v>160.86200000000005</v>
      </c>
      <c r="AO40" s="14">
        <f t="shared" si="154"/>
        <v>882.61399999999992</v>
      </c>
      <c r="AP40" s="14">
        <f t="shared" si="154"/>
        <v>75.005999999999986</v>
      </c>
      <c r="AQ40" s="14">
        <f t="shared" si="154"/>
        <v>535.03599999999994</v>
      </c>
      <c r="AR40" s="14">
        <f t="shared" si="154"/>
        <v>131.52600000000004</v>
      </c>
      <c r="AS40" s="14">
        <f t="shared" si="154"/>
        <v>245.70000000000005</v>
      </c>
      <c r="AT40" s="14">
        <f t="shared" si="154"/>
        <v>279.47800000000001</v>
      </c>
      <c r="AU40" s="14">
        <f t="shared" si="154"/>
        <v>304.12199999999996</v>
      </c>
      <c r="AV40" s="14">
        <f t="shared" si="154"/>
        <v>324.39999999999998</v>
      </c>
      <c r="AW40" s="14">
        <f t="shared" si="154"/>
        <v>304.10000000000008</v>
      </c>
      <c r="AX40" s="14">
        <f t="shared" si="154"/>
        <v>281.90700000000004</v>
      </c>
      <c r="AY40" s="14">
        <f t="shared" si="154"/>
        <v>380.89299999999997</v>
      </c>
      <c r="AZ40" s="14">
        <f t="shared" si="154"/>
        <v>252.30000000000004</v>
      </c>
      <c r="BA40" s="14">
        <f t="shared" si="154"/>
        <v>415.2999999999999</v>
      </c>
      <c r="BB40" s="14">
        <f t="shared" si="154"/>
        <v>241.1</v>
      </c>
      <c r="BC40" s="14">
        <f t="shared" si="154"/>
        <v>528.49999999999989</v>
      </c>
      <c r="BD40" s="14">
        <f t="shared" si="154"/>
        <v>291.70000000000005</v>
      </c>
      <c r="BE40" s="14">
        <f t="shared" ref="BE40:BF40" si="155">BE34+BE37+BE36+BE38+BE39</f>
        <v>304.20000000000005</v>
      </c>
      <c r="BF40" s="14">
        <f t="shared" si="155"/>
        <v>263</v>
      </c>
    </row>
    <row r="41" spans="2:58" s="5" customFormat="1">
      <c r="B41" s="20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9"/>
      <c r="Q41" s="18"/>
      <c r="R41" s="19"/>
      <c r="S41" s="18"/>
      <c r="T41" s="19"/>
      <c r="U41" s="18"/>
      <c r="V41" s="19"/>
      <c r="W41" s="18"/>
      <c r="X41" s="19"/>
      <c r="Y41" s="18"/>
      <c r="Z41" s="19"/>
      <c r="AA41" s="18"/>
      <c r="AB41" s="19"/>
      <c r="AC41" s="19"/>
      <c r="AD41" s="19"/>
      <c r="AF41" s="18"/>
      <c r="AH41" s="18"/>
      <c r="AJ41" s="18"/>
      <c r="AL41" s="18"/>
      <c r="AM41" s="18"/>
      <c r="AN41" s="18"/>
      <c r="AP41" s="18"/>
      <c r="AQ41" s="18"/>
      <c r="AR41" s="18"/>
      <c r="AT41" s="18"/>
      <c r="AU41" s="18"/>
      <c r="AV41" s="18"/>
      <c r="AX41" s="18"/>
      <c r="AY41" s="18"/>
      <c r="BB41" s="18"/>
      <c r="BC41" s="19">
        <f t="shared" si="148"/>
        <v>0</v>
      </c>
      <c r="BF41" s="18"/>
    </row>
    <row r="42" spans="2:58" s="5" customFormat="1">
      <c r="B42" s="20" t="s">
        <v>233</v>
      </c>
      <c r="C42" s="18">
        <v>-73.369</v>
      </c>
      <c r="D42" s="18">
        <v>-109.41</v>
      </c>
      <c r="E42" s="18">
        <v>-60.991999999999997</v>
      </c>
      <c r="F42" s="18">
        <v>-108.548</v>
      </c>
      <c r="G42" s="18">
        <v>-37.901000000000003</v>
      </c>
      <c r="H42" s="18">
        <v>-250.75399999999999</v>
      </c>
      <c r="I42" s="18">
        <v>-190.74299999999999</v>
      </c>
      <c r="J42" s="18">
        <v>-186.6</v>
      </c>
      <c r="K42" s="18">
        <v>-289.5</v>
      </c>
      <c r="L42" s="18">
        <v>-289.5</v>
      </c>
      <c r="M42" s="18">
        <v>-248.7</v>
      </c>
      <c r="N42" s="18">
        <v>-283.7</v>
      </c>
      <c r="O42" s="19">
        <f>SUM(BC42:BF42)</f>
        <v>-289</v>
      </c>
      <c r="P42" s="19"/>
      <c r="Q42" s="18">
        <v>-33.793999999999997</v>
      </c>
      <c r="R42" s="19">
        <f>F42-Q42</f>
        <v>-74.754000000000005</v>
      </c>
      <c r="S42" s="18">
        <v>-27.658999999999999</v>
      </c>
      <c r="T42" s="19">
        <f>G42-S42</f>
        <v>-10.242000000000004</v>
      </c>
      <c r="U42" s="18">
        <v>-44.935000000000002</v>
      </c>
      <c r="V42" s="19">
        <f>H42-U42</f>
        <v>-205.81899999999999</v>
      </c>
      <c r="W42" s="18">
        <v>-119.82</v>
      </c>
      <c r="X42" s="19">
        <f>I42-W42</f>
        <v>-70.923000000000002</v>
      </c>
      <c r="Y42" s="18">
        <f>-112.5</f>
        <v>-112.5</v>
      </c>
      <c r="Z42" s="19">
        <f>K42-Y42</f>
        <v>-177</v>
      </c>
      <c r="AA42" s="18">
        <v>-128.69999999999999</v>
      </c>
      <c r="AB42" s="19">
        <f>M42-AA42</f>
        <v>-120</v>
      </c>
      <c r="AC42" s="18">
        <v>-143.9</v>
      </c>
      <c r="AD42" s="19">
        <f>N42-AC42</f>
        <v>-139.79999999999998</v>
      </c>
      <c r="AF42" s="18">
        <f>-45.585-Q42</f>
        <v>-11.791000000000004</v>
      </c>
      <c r="AG42" s="19">
        <f>F42-AF42-Q42</f>
        <v>-62.963000000000008</v>
      </c>
      <c r="AH42" s="18">
        <v>-16.152999999999999</v>
      </c>
      <c r="AI42" s="19">
        <f>S42-AH42</f>
        <v>-11.506</v>
      </c>
      <c r="AJ42" s="18">
        <f>-44.513-S42</f>
        <v>-16.853999999999999</v>
      </c>
      <c r="AK42" s="19">
        <f>G42-AJ42-S42</f>
        <v>6.6119999999999948</v>
      </c>
      <c r="AL42" s="18">
        <v>-22.635999999999999</v>
      </c>
      <c r="AM42" s="19">
        <f>U42-AL42</f>
        <v>-22.299000000000003</v>
      </c>
      <c r="AN42" s="18">
        <f>-76.296-U42</f>
        <v>-31.361000000000004</v>
      </c>
      <c r="AO42" s="19">
        <f>H42-AN42-U42</f>
        <v>-174.45799999999997</v>
      </c>
      <c r="AP42" s="18">
        <v>-14.792999999999999</v>
      </c>
      <c r="AQ42" s="19">
        <f t="shared" ref="AQ42" si="156">W42-AP42</f>
        <v>-105.02699999999999</v>
      </c>
      <c r="AR42" s="19">
        <f>-145.669-W42</f>
        <v>-25.849000000000018</v>
      </c>
      <c r="AS42" s="19">
        <f>I42-AR42-W42</f>
        <v>-45.073999999999984</v>
      </c>
      <c r="AT42" s="18">
        <v>-53.991999999999997</v>
      </c>
      <c r="AU42" s="19">
        <f>Y42-AT42</f>
        <v>-58.508000000000003</v>
      </c>
      <c r="AV42" s="19">
        <f>-175.5-Y42</f>
        <v>-63</v>
      </c>
      <c r="AW42" s="19">
        <f>K42-AV42-Y42</f>
        <v>-114</v>
      </c>
      <c r="AX42" s="18">
        <v>-54.7</v>
      </c>
      <c r="AY42" s="19">
        <f>AA42-AX42</f>
        <v>-73.999999999999986</v>
      </c>
      <c r="AZ42" s="19">
        <f>-177.8-AA42</f>
        <v>-49.100000000000023</v>
      </c>
      <c r="BA42" s="19">
        <f t="shared" ref="BA42" si="157">M42-AZ42-AA42</f>
        <v>-70.899999999999977</v>
      </c>
      <c r="BB42" s="18">
        <v>-45.1</v>
      </c>
      <c r="BC42" s="19">
        <f t="shared" si="148"/>
        <v>-98.800000000000011</v>
      </c>
      <c r="BD42" s="19">
        <f>-198.4-AC42</f>
        <v>-54.5</v>
      </c>
      <c r="BE42" s="19">
        <f t="shared" ref="BE42" si="158">N42-AC42-BD42</f>
        <v>-85.299999999999983</v>
      </c>
      <c r="BF42" s="18">
        <v>-50.4</v>
      </c>
    </row>
    <row r="43" spans="2:58" s="5" customFormat="1">
      <c r="B43" s="5" t="s">
        <v>234</v>
      </c>
      <c r="C43" s="14">
        <f t="shared" ref="C43:F43" si="159">C40+C42</f>
        <v>310.79700000000014</v>
      </c>
      <c r="D43" s="14">
        <f t="shared" si="159"/>
        <v>349.81899999999996</v>
      </c>
      <c r="E43" s="14">
        <f>E40+E42</f>
        <v>362.88299999999998</v>
      </c>
      <c r="F43" s="14">
        <f t="shared" si="159"/>
        <v>392.16100000000006</v>
      </c>
      <c r="G43" s="14">
        <f t="shared" ref="G43:H43" si="160">G40+G42</f>
        <v>252.52400000000006</v>
      </c>
      <c r="H43" s="14">
        <f t="shared" si="160"/>
        <v>1025.9360000000001</v>
      </c>
      <c r="I43" s="14">
        <f t="shared" ref="I43:J43" si="161">I40+I42</f>
        <v>796.52500000000009</v>
      </c>
      <c r="J43" s="14">
        <f t="shared" si="161"/>
        <v>764.33</v>
      </c>
      <c r="K43" s="14">
        <f t="shared" ref="K43:M43" si="162">K40+K42</f>
        <v>922.59999999999991</v>
      </c>
      <c r="L43" s="14">
        <f t="shared" ref="L43" si="163">L40+L42</f>
        <v>922.60000000000014</v>
      </c>
      <c r="M43" s="14">
        <f t="shared" si="162"/>
        <v>1081.4000000000001</v>
      </c>
      <c r="N43" s="14">
        <f t="shared" ref="N43" si="164">N40+N42</f>
        <v>1081.8</v>
      </c>
      <c r="O43" s="14">
        <f>O40+O42</f>
        <v>1098.4000000000001</v>
      </c>
      <c r="P43" s="14"/>
      <c r="Q43" s="14">
        <f t="shared" ref="Q43:R43" si="165">Q40+Q42</f>
        <v>140.25300000000004</v>
      </c>
      <c r="R43" s="14">
        <f t="shared" si="165"/>
        <v>251.90799999999996</v>
      </c>
      <c r="S43" s="14">
        <f t="shared" ref="S43:U43" si="166">S40+S42</f>
        <v>99.282999999999959</v>
      </c>
      <c r="T43" s="14">
        <f t="shared" si="166"/>
        <v>153.24099999999999</v>
      </c>
      <c r="U43" s="14">
        <f t="shared" si="166"/>
        <v>188.279</v>
      </c>
      <c r="V43" s="14">
        <f t="shared" ref="V43:W43" si="167">V40+V42</f>
        <v>837.65700000000015</v>
      </c>
      <c r="W43" s="14">
        <f t="shared" si="167"/>
        <v>490.22200000000004</v>
      </c>
      <c r="X43" s="14">
        <f t="shared" ref="X43:Y43" si="168">X40+X42</f>
        <v>306.30299999999994</v>
      </c>
      <c r="Y43" s="14">
        <f t="shared" si="168"/>
        <v>471.1</v>
      </c>
      <c r="Z43" s="14">
        <f t="shared" ref="Z43:AB43" si="169">Z40+Z42</f>
        <v>451.50000000000023</v>
      </c>
      <c r="AA43" s="14">
        <f t="shared" ref="AA43:AD43" si="170">AA40+AA42</f>
        <v>533.79999999999995</v>
      </c>
      <c r="AB43" s="14">
        <f t="shared" si="169"/>
        <v>547.6</v>
      </c>
      <c r="AC43" s="14">
        <f t="shared" si="170"/>
        <v>625.69999999999982</v>
      </c>
      <c r="AD43" s="14">
        <f t="shared" si="170"/>
        <v>456.10000000000014</v>
      </c>
      <c r="AF43" s="14">
        <f t="shared" ref="AF43:AH43" si="171">AF40+AF42</f>
        <v>22.72399999999999</v>
      </c>
      <c r="AG43" s="14">
        <f t="shared" si="171"/>
        <v>229.18399999999991</v>
      </c>
      <c r="AH43" s="14">
        <f t="shared" si="171"/>
        <v>57.767000000000017</v>
      </c>
      <c r="AI43" s="14">
        <f t="shared" ref="AI43" si="172">AI40+AI42</f>
        <v>41.515999999999984</v>
      </c>
      <c r="AJ43" s="14">
        <f t="shared" ref="AJ43:AK43" si="173">AJ40+AJ42</f>
        <v>61.78300000000003</v>
      </c>
      <c r="AK43" s="14">
        <f t="shared" si="173"/>
        <v>91.457999999999984</v>
      </c>
      <c r="AL43" s="14">
        <f t="shared" ref="AL43:AP43" si="174">AL40+AL42</f>
        <v>98.48599999999999</v>
      </c>
      <c r="AM43" s="14">
        <f t="shared" si="174"/>
        <v>89.792999999999992</v>
      </c>
      <c r="AN43" s="14">
        <f t="shared" si="174"/>
        <v>129.50100000000003</v>
      </c>
      <c r="AO43" s="14">
        <f t="shared" si="174"/>
        <v>708.15599999999995</v>
      </c>
      <c r="AP43" s="14">
        <f t="shared" si="174"/>
        <v>60.212999999999987</v>
      </c>
      <c r="AQ43" s="14">
        <f t="shared" ref="AQ43:AT43" si="175">AQ40+AQ42</f>
        <v>430.00899999999996</v>
      </c>
      <c r="AR43" s="14">
        <f t="shared" si="175"/>
        <v>105.67700000000002</v>
      </c>
      <c r="AS43" s="14">
        <f t="shared" si="175"/>
        <v>200.62600000000006</v>
      </c>
      <c r="AT43" s="14">
        <f t="shared" si="175"/>
        <v>225.48600000000002</v>
      </c>
      <c r="AU43" s="14">
        <f t="shared" ref="AU43:AX43" si="176">AU40+AU42</f>
        <v>245.61399999999995</v>
      </c>
      <c r="AV43" s="14">
        <f t="shared" si="176"/>
        <v>261.39999999999998</v>
      </c>
      <c r="AW43" s="14">
        <f t="shared" si="176"/>
        <v>190.10000000000008</v>
      </c>
      <c r="AX43" s="14">
        <f t="shared" si="176"/>
        <v>227.20700000000005</v>
      </c>
      <c r="AY43" s="14">
        <f t="shared" ref="AY43:BC43" si="177">AY40+AY42</f>
        <v>306.89299999999997</v>
      </c>
      <c r="AZ43" s="14">
        <f t="shared" si="177"/>
        <v>203.20000000000002</v>
      </c>
      <c r="BA43" s="14">
        <f t="shared" si="177"/>
        <v>344.39999999999992</v>
      </c>
      <c r="BB43" s="14">
        <f t="shared" si="177"/>
        <v>196</v>
      </c>
      <c r="BC43" s="14">
        <f t="shared" si="177"/>
        <v>429.69999999999987</v>
      </c>
      <c r="BD43" s="14">
        <f t="shared" ref="BD43:BF43" si="178">BD40+BD42</f>
        <v>237.20000000000005</v>
      </c>
      <c r="BE43" s="14">
        <f t="shared" si="178"/>
        <v>218.90000000000006</v>
      </c>
      <c r="BF43" s="14">
        <f t="shared" si="178"/>
        <v>212.6</v>
      </c>
    </row>
    <row r="44" spans="2:58" s="15" customFormat="1">
      <c r="B44" s="16" t="s">
        <v>227</v>
      </c>
      <c r="C44" s="25">
        <f t="shared" ref="C44:O44" si="179">C43/C20</f>
        <v>1.6749498803595686</v>
      </c>
      <c r="D44" s="25">
        <f t="shared" si="179"/>
        <v>1.6232749580050301</v>
      </c>
      <c r="E44" s="25">
        <f t="shared" si="179"/>
        <v>1.5136396626373352</v>
      </c>
      <c r="F44" s="25">
        <f t="shared" si="179"/>
        <v>1.5934184703774283</v>
      </c>
      <c r="G44" s="25">
        <f t="shared" si="179"/>
        <v>0.83354733933870506</v>
      </c>
      <c r="H44" s="25">
        <f t="shared" si="179"/>
        <v>3.0747670553822268</v>
      </c>
      <c r="I44" s="25">
        <f t="shared" si="179"/>
        <v>1.7132627974455656</v>
      </c>
      <c r="J44" s="25">
        <f t="shared" si="179"/>
        <v>1.6438088069251033</v>
      </c>
      <c r="K44" s="25">
        <f t="shared" si="179"/>
        <v>1.6653429602888086</v>
      </c>
      <c r="L44" s="25">
        <f t="shared" si="179"/>
        <v>1.6542944235251933</v>
      </c>
      <c r="M44" s="25">
        <f t="shared" si="179"/>
        <v>1.5860956292167794</v>
      </c>
      <c r="N44" s="25">
        <f t="shared" ref="N44" si="180">N43/N20</f>
        <v>1.3881688694982677</v>
      </c>
      <c r="O44" s="25">
        <f t="shared" si="179"/>
        <v>1.3711147172637626</v>
      </c>
      <c r="P44" s="175"/>
      <c r="Q44" s="25">
        <f t="shared" ref="Q44:AC44" si="181">Q43/Q20</f>
        <v>1.2002002430300025</v>
      </c>
      <c r="R44" s="25">
        <f t="shared" si="181"/>
        <v>1.9489226722370505</v>
      </c>
      <c r="S44" s="25">
        <f t="shared" si="181"/>
        <v>0.6202047713345118</v>
      </c>
      <c r="T44" s="25">
        <f t="shared" si="181"/>
        <v>1.0725904668579824</v>
      </c>
      <c r="U44" s="25">
        <f t="shared" si="181"/>
        <v>1.1295090916726158</v>
      </c>
      <c r="V44" s="25">
        <f t="shared" si="181"/>
        <v>5.0167513115971554</v>
      </c>
      <c r="W44" s="25">
        <f t="shared" si="181"/>
        <v>2.2439692028819658</v>
      </c>
      <c r="X44" s="25">
        <f t="shared" si="181"/>
        <v>1.2428354060579008</v>
      </c>
      <c r="Y44" s="25">
        <f t="shared" si="181"/>
        <v>1.7168367346938773</v>
      </c>
      <c r="Z44" s="25">
        <f t="shared" si="181"/>
        <v>1.6148068669527904</v>
      </c>
      <c r="AA44" s="25">
        <f t="shared" si="181"/>
        <v>1.6205221615057681</v>
      </c>
      <c r="AB44" s="25">
        <f t="shared" si="181"/>
        <v>1.5539160045402953</v>
      </c>
      <c r="AC44" s="25">
        <f t="shared" si="181"/>
        <v>1.6614445034519383</v>
      </c>
      <c r="AD44" s="25">
        <f t="shared" ref="AD44" si="182">AD43/AD20</f>
        <v>1.1326049168115226</v>
      </c>
      <c r="AF44" s="25">
        <f t="shared" ref="AF44:BD44" si="183">AF43/AF20</f>
        <v>0.40626452604855706</v>
      </c>
      <c r="AG44" s="25">
        <f t="shared" si="183"/>
        <v>3.1257620599828129</v>
      </c>
      <c r="AH44" s="25">
        <f t="shared" si="183"/>
        <v>0.74893688741378417</v>
      </c>
      <c r="AI44" s="25">
        <f t="shared" si="183"/>
        <v>0.50050030741781082</v>
      </c>
      <c r="AJ44" s="25">
        <f t="shared" si="183"/>
        <v>0.91032724808086174</v>
      </c>
      <c r="AK44" s="25">
        <f t="shared" si="183"/>
        <v>1.2194237410167863</v>
      </c>
      <c r="AL44" s="25">
        <f t="shared" si="183"/>
        <v>1.1945660743525985</v>
      </c>
      <c r="AM44" s="25">
        <f t="shared" si="183"/>
        <v>1.0658428886831419</v>
      </c>
      <c r="AN44" s="25">
        <f t="shared" si="183"/>
        <v>1.6147659542631989</v>
      </c>
      <c r="AO44" s="25">
        <f t="shared" si="183"/>
        <v>8.1609237790121441</v>
      </c>
      <c r="AP44" s="25">
        <f t="shared" si="183"/>
        <v>0.54818328310922138</v>
      </c>
      <c r="AQ44" s="25">
        <f t="shared" si="183"/>
        <v>3.9588017050110009</v>
      </c>
      <c r="AR44" s="25">
        <f t="shared" si="183"/>
        <v>0.88738579873706847</v>
      </c>
      <c r="AS44" s="25">
        <f t="shared" si="183"/>
        <v>1.5751803842439571</v>
      </c>
      <c r="AT44" s="25">
        <f t="shared" si="183"/>
        <v>1.7060042974306209</v>
      </c>
      <c r="AU44" s="25">
        <f t="shared" si="183"/>
        <v>1.7269032820541663</v>
      </c>
      <c r="AV44" s="25">
        <f t="shared" si="183"/>
        <v>1.89557650471356</v>
      </c>
      <c r="AW44" s="25">
        <f t="shared" si="183"/>
        <v>1.3415666901905441</v>
      </c>
      <c r="AX44" s="25">
        <f t="shared" si="183"/>
        <v>1.4343876262626263</v>
      </c>
      <c r="AY44" s="25">
        <f t="shared" si="183"/>
        <v>1.7915528312901343</v>
      </c>
      <c r="AZ44" s="25">
        <f t="shared" si="183"/>
        <v>1.2226233453670277</v>
      </c>
      <c r="BA44" s="25">
        <f t="shared" si="183"/>
        <v>1.8496240601503751</v>
      </c>
      <c r="BB44" s="25">
        <f t="shared" si="183"/>
        <v>1.0716238381629306</v>
      </c>
      <c r="BC44" s="25">
        <f t="shared" si="183"/>
        <v>2.2183789364997408</v>
      </c>
      <c r="BD44" s="25">
        <f t="shared" si="183"/>
        <v>1.2102040816326534</v>
      </c>
      <c r="BE44" s="25">
        <f t="shared" ref="BE44:BF44" si="184">BE43/BE20</f>
        <v>1.0590227382680217</v>
      </c>
      <c r="BF44" s="25">
        <f t="shared" si="184"/>
        <v>1.0385930630190523</v>
      </c>
    </row>
    <row r="45" spans="2:58" s="15" customFormat="1">
      <c r="B45" s="21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175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</row>
    <row r="46" spans="2:58" s="5" customFormat="1">
      <c r="B46" s="20" t="s">
        <v>235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/>
      <c r="P46" s="19"/>
      <c r="Q46" s="18"/>
      <c r="R46" s="19"/>
      <c r="S46" s="18"/>
      <c r="T46" s="19"/>
      <c r="U46" s="18"/>
      <c r="V46" s="19"/>
      <c r="W46" s="18"/>
      <c r="X46" s="19"/>
      <c r="Y46" s="18"/>
      <c r="Z46" s="19"/>
      <c r="AA46" s="18"/>
      <c r="AB46" s="19"/>
      <c r="AC46" s="19"/>
      <c r="AD46" s="19"/>
      <c r="AF46" s="18"/>
      <c r="AH46" s="18"/>
      <c r="AJ46" s="18"/>
      <c r="AL46" s="18"/>
      <c r="AM46" s="18"/>
      <c r="AN46" s="18"/>
      <c r="AP46" s="18"/>
      <c r="AQ46" s="18"/>
      <c r="AR46" s="18"/>
      <c r="AT46" s="18"/>
      <c r="AU46" s="18"/>
      <c r="AV46" s="18"/>
      <c r="AX46" s="18"/>
      <c r="AY46" s="18"/>
      <c r="BB46" s="18"/>
      <c r="BF46" s="18"/>
    </row>
    <row r="47" spans="2:58" s="5" customFormat="1">
      <c r="B47" s="20" t="s">
        <v>236</v>
      </c>
      <c r="C47" s="19">
        <f t="shared" ref="C47:F47" si="185">C43-C48</f>
        <v>310.79700000000014</v>
      </c>
      <c r="D47" s="19">
        <f t="shared" si="185"/>
        <v>349.81899999999996</v>
      </c>
      <c r="E47" s="19">
        <f t="shared" si="185"/>
        <v>366.27499999999998</v>
      </c>
      <c r="F47" s="19">
        <f t="shared" si="185"/>
        <v>392.17500000000007</v>
      </c>
      <c r="G47" s="19">
        <f t="shared" ref="G47:H47" si="186">G43-G48</f>
        <v>252.11800000000005</v>
      </c>
      <c r="H47" s="19">
        <f t="shared" si="186"/>
        <v>1025.9360000000001</v>
      </c>
      <c r="I47" s="19">
        <f t="shared" ref="I47:J47" si="187">I43-I48</f>
        <v>794.64900000000011</v>
      </c>
      <c r="J47" s="19">
        <f t="shared" si="187"/>
        <v>766.73</v>
      </c>
      <c r="K47" s="19">
        <f t="shared" ref="K47:M47" si="188">K43-K48</f>
        <v>922.59999999999991</v>
      </c>
      <c r="L47" s="19">
        <f t="shared" ref="L47" si="189">L43-L48</f>
        <v>922.60000000000014</v>
      </c>
      <c r="M47" s="19">
        <f t="shared" si="188"/>
        <v>1081.4000000000001</v>
      </c>
      <c r="N47" s="19">
        <f t="shared" ref="N47" si="190">N43-N48</f>
        <v>1081.8</v>
      </c>
      <c r="O47" s="19">
        <f>SUM(BC47:BF47)</f>
        <v>1098.3999999999999</v>
      </c>
      <c r="P47" s="19"/>
      <c r="Q47" s="19">
        <f t="shared" ref="Q47:R47" si="191">Q43-Q48</f>
        <v>138.70300000000003</v>
      </c>
      <c r="R47" s="19">
        <f t="shared" si="191"/>
        <v>253.47199999999995</v>
      </c>
      <c r="S47" s="19">
        <f>S43-S48</f>
        <v>99.322999999999965</v>
      </c>
      <c r="T47" s="19">
        <f t="shared" ref="T47:W47" si="192">T43-T48</f>
        <v>152.79499999999999</v>
      </c>
      <c r="U47" s="19">
        <f>U43-U48</f>
        <v>188.279</v>
      </c>
      <c r="V47" s="19">
        <f t="shared" si="192"/>
        <v>837.65700000000015</v>
      </c>
      <c r="W47" s="19">
        <f t="shared" si="192"/>
        <v>490.22200000000004</v>
      </c>
      <c r="X47" s="19">
        <f t="shared" ref="X47:Y47" si="193">X43-X48</f>
        <v>304.42699999999996</v>
      </c>
      <c r="Y47" s="19">
        <f t="shared" si="193"/>
        <v>471.1</v>
      </c>
      <c r="Z47" s="19">
        <f t="shared" ref="Z47:AB47" si="194">Z43-Z48</f>
        <v>451.50000000000023</v>
      </c>
      <c r="AA47" s="19">
        <f t="shared" ref="AA47:AD47" si="195">AA43-AA48</f>
        <v>533.79999999999995</v>
      </c>
      <c r="AB47" s="19">
        <f t="shared" si="194"/>
        <v>547.6</v>
      </c>
      <c r="AC47" s="19">
        <f t="shared" si="195"/>
        <v>625.69999999999982</v>
      </c>
      <c r="AD47" s="19">
        <f t="shared" si="195"/>
        <v>456.10000000000014</v>
      </c>
      <c r="AF47" s="19">
        <f t="shared" ref="AF47:AI47" si="196">AF43-AF48</f>
        <v>22.95999999999999</v>
      </c>
      <c r="AG47" s="19">
        <f t="shared" si="196"/>
        <v>230.51199999999992</v>
      </c>
      <c r="AH47" s="19">
        <f t="shared" si="196"/>
        <v>56.823000000000015</v>
      </c>
      <c r="AI47" s="19">
        <f t="shared" si="196"/>
        <v>42.499999999999986</v>
      </c>
      <c r="AJ47" s="19">
        <f t="shared" ref="AJ47:AK47" si="197">AJ43-AJ48</f>
        <v>61.635000000000026</v>
      </c>
      <c r="AK47" s="19">
        <f t="shared" si="197"/>
        <v>91.159999999999982</v>
      </c>
      <c r="AL47" s="19">
        <f t="shared" ref="AL47:AP47" si="198">AL43-AL48</f>
        <v>98.48599999999999</v>
      </c>
      <c r="AM47" s="19">
        <f t="shared" si="198"/>
        <v>89.792999999999992</v>
      </c>
      <c r="AN47" s="19">
        <f t="shared" si="198"/>
        <v>129.50100000000003</v>
      </c>
      <c r="AO47" s="19">
        <f t="shared" si="198"/>
        <v>708.15599999999995</v>
      </c>
      <c r="AP47" s="19">
        <f t="shared" si="198"/>
        <v>60.212999999999987</v>
      </c>
      <c r="AQ47" s="19">
        <f t="shared" ref="AQ47:AT47" si="199">AQ43-AQ48</f>
        <v>430.00899999999996</v>
      </c>
      <c r="AR47" s="19">
        <f t="shared" si="199"/>
        <v>105.67700000000002</v>
      </c>
      <c r="AS47" s="19">
        <f t="shared" si="199"/>
        <v>198.75000000000006</v>
      </c>
      <c r="AT47" s="19">
        <f t="shared" si="199"/>
        <v>225.48600000000002</v>
      </c>
      <c r="AU47" s="19">
        <f t="shared" ref="AU47:AX47" si="200">AU43-AU48</f>
        <v>245.61399999999995</v>
      </c>
      <c r="AV47" s="19">
        <f t="shared" si="200"/>
        <v>261.39999999999998</v>
      </c>
      <c r="AW47" s="19">
        <f t="shared" si="200"/>
        <v>190.10000000000008</v>
      </c>
      <c r="AX47" s="19">
        <f t="shared" si="200"/>
        <v>227.20700000000005</v>
      </c>
      <c r="AY47" s="19">
        <f>AY43-AY48</f>
        <v>306.89299999999997</v>
      </c>
      <c r="AZ47" s="19">
        <f>AZ43-AZ48</f>
        <v>203.20000000000002</v>
      </c>
      <c r="BA47" s="19">
        <f t="shared" ref="BA47:BB47" si="201">BA43-BA48</f>
        <v>344.39999999999992</v>
      </c>
      <c r="BB47" s="19">
        <f t="shared" si="201"/>
        <v>196</v>
      </c>
      <c r="BC47" s="19">
        <f t="shared" si="148"/>
        <v>429.69999999999982</v>
      </c>
      <c r="BD47" s="19">
        <f>BD43-BD48</f>
        <v>237.20000000000005</v>
      </c>
      <c r="BE47" s="19">
        <f t="shared" ref="BE47:BF47" si="202">BE43-BE48</f>
        <v>218.90000000000006</v>
      </c>
      <c r="BF47" s="19">
        <f t="shared" si="202"/>
        <v>212.6</v>
      </c>
    </row>
    <row r="48" spans="2:58" s="5" customFormat="1">
      <c r="B48" s="20" t="s">
        <v>237</v>
      </c>
      <c r="C48" s="18">
        <v>0</v>
      </c>
      <c r="D48" s="18">
        <v>0</v>
      </c>
      <c r="E48" s="18">
        <v>-3.3919999999999999</v>
      </c>
      <c r="F48" s="18">
        <v>-1.4E-2</v>
      </c>
      <c r="G48" s="18">
        <v>0.40600000000000003</v>
      </c>
      <c r="H48" s="18">
        <v>0</v>
      </c>
      <c r="I48" s="18">
        <v>1.8759999999999999</v>
      </c>
      <c r="J48" s="18">
        <v>-2.4</v>
      </c>
      <c r="K48" s="18">
        <v>0</v>
      </c>
      <c r="L48" s="18">
        <v>0</v>
      </c>
      <c r="M48" s="18">
        <v>0</v>
      </c>
      <c r="N48" s="18">
        <v>0</v>
      </c>
      <c r="O48" s="19">
        <f>SUM(BC48:BF48)</f>
        <v>0</v>
      </c>
      <c r="P48" s="19"/>
      <c r="Q48" s="18">
        <v>1.55</v>
      </c>
      <c r="R48" s="19">
        <f>F48-Q48</f>
        <v>-1.5640000000000001</v>
      </c>
      <c r="S48" s="18">
        <v>-0.04</v>
      </c>
      <c r="T48" s="19">
        <f>G48-S48</f>
        <v>0.44600000000000001</v>
      </c>
      <c r="U48" s="18">
        <v>0</v>
      </c>
      <c r="V48" s="19">
        <f>H48-U48</f>
        <v>0</v>
      </c>
      <c r="W48" s="18">
        <v>0</v>
      </c>
      <c r="X48" s="19">
        <f>I48-W48</f>
        <v>1.8759999999999999</v>
      </c>
      <c r="Y48" s="18">
        <v>0</v>
      </c>
      <c r="Z48" s="19">
        <f>K48-Y48</f>
        <v>0</v>
      </c>
      <c r="AA48" s="18">
        <v>0</v>
      </c>
      <c r="AB48" s="19">
        <f>M48-AA48</f>
        <v>0</v>
      </c>
      <c r="AC48" s="19">
        <v>0</v>
      </c>
      <c r="AD48" s="19">
        <f>N48-AC48</f>
        <v>0</v>
      </c>
      <c r="AF48" s="18">
        <f>1.314-Q48</f>
        <v>-0.23599999999999999</v>
      </c>
      <c r="AG48" s="19">
        <f>F48-AF48-Q48</f>
        <v>-1.3280000000000001</v>
      </c>
      <c r="AH48" s="18">
        <v>0.94399999999999995</v>
      </c>
      <c r="AI48" s="19">
        <f>S48-AH48</f>
        <v>-0.98399999999999999</v>
      </c>
      <c r="AJ48" s="18">
        <f>0.108-S48</f>
        <v>0.14799999999999999</v>
      </c>
      <c r="AK48" s="19">
        <f>G48-AJ48-S48</f>
        <v>0.29799999999999999</v>
      </c>
      <c r="AL48" s="18">
        <v>0</v>
      </c>
      <c r="AM48" s="19">
        <f>U48-AL48</f>
        <v>0</v>
      </c>
      <c r="AN48" s="18">
        <f>0-U48</f>
        <v>0</v>
      </c>
      <c r="AO48" s="19">
        <f>H48-AN48-U48</f>
        <v>0</v>
      </c>
      <c r="AP48" s="18">
        <v>0</v>
      </c>
      <c r="AQ48" s="19">
        <f>W48-AP48</f>
        <v>0</v>
      </c>
      <c r="AR48" s="19">
        <f>0-W48</f>
        <v>0</v>
      </c>
      <c r="AS48" s="19">
        <f>I48-AR48-W48</f>
        <v>1.8759999999999999</v>
      </c>
      <c r="AT48" s="18">
        <v>0</v>
      </c>
      <c r="AU48" s="19">
        <f>Y48-AT48</f>
        <v>0</v>
      </c>
      <c r="AV48" s="19">
        <f>0-Y48</f>
        <v>0</v>
      </c>
      <c r="AW48" s="19">
        <f>K48-AV48-Y48</f>
        <v>0</v>
      </c>
      <c r="AX48" s="18">
        <v>0</v>
      </c>
      <c r="AY48" s="19">
        <f>AA48-AX48</f>
        <v>0</v>
      </c>
      <c r="AZ48" s="19">
        <f>AE48-AY48</f>
        <v>0</v>
      </c>
      <c r="BA48" s="19">
        <f t="shared" ref="BA48" si="203">M48-AZ48-AA48</f>
        <v>0</v>
      </c>
      <c r="BB48" s="18">
        <v>0</v>
      </c>
      <c r="BC48" s="19">
        <f t="shared" si="148"/>
        <v>0</v>
      </c>
      <c r="BD48" s="22">
        <f>0-AC48</f>
        <v>0</v>
      </c>
      <c r="BE48" s="19">
        <f t="shared" ref="BE48" si="204">N48-AC48-BD48</f>
        <v>0</v>
      </c>
      <c r="BF48" s="18">
        <v>0</v>
      </c>
    </row>
    <row r="49" spans="2:58" s="5" customFormat="1">
      <c r="B49" s="20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19"/>
      <c r="Q49" s="18"/>
      <c r="R49" s="19"/>
      <c r="S49" s="18"/>
      <c r="T49" s="19"/>
      <c r="U49" s="18"/>
      <c r="V49" s="19"/>
      <c r="W49" s="18"/>
      <c r="X49" s="19"/>
      <c r="Y49" s="18"/>
      <c r="Z49" s="19"/>
      <c r="AA49" s="18"/>
      <c r="AB49" s="19"/>
      <c r="AC49" s="19"/>
      <c r="AD49" s="19"/>
      <c r="AF49" s="18"/>
      <c r="AH49" s="18"/>
      <c r="AJ49" s="18"/>
      <c r="AL49" s="18"/>
      <c r="AM49" s="18"/>
      <c r="AN49" s="18"/>
      <c r="AP49" s="18"/>
      <c r="AQ49" s="18"/>
      <c r="AR49" s="18"/>
      <c r="AT49" s="18"/>
      <c r="AU49" s="18"/>
      <c r="AV49" s="18"/>
      <c r="AX49" s="18"/>
      <c r="AY49" s="18"/>
      <c r="BB49" s="18"/>
      <c r="BC49" s="19"/>
      <c r="BF49" s="18"/>
    </row>
    <row r="50" spans="2:58" s="270" customFormat="1" ht="11.25">
      <c r="B50" s="267" t="s">
        <v>24</v>
      </c>
      <c r="C50" s="268">
        <f t="shared" ref="C50:E50" si="205">+C43-C47-C48</f>
        <v>0</v>
      </c>
      <c r="D50" s="268">
        <f t="shared" si="205"/>
        <v>0</v>
      </c>
      <c r="E50" s="268">
        <f t="shared" si="205"/>
        <v>3.9968028886505635E-15</v>
      </c>
      <c r="F50" s="268">
        <f t="shared" ref="F50:K50" si="206">+F43-F47-F48</f>
        <v>-1.0004150285958247E-14</v>
      </c>
      <c r="G50" s="268">
        <f t="shared" si="206"/>
        <v>5.8841820305133297E-15</v>
      </c>
      <c r="H50" s="268">
        <f t="shared" si="206"/>
        <v>0</v>
      </c>
      <c r="I50" s="268">
        <f t="shared" si="206"/>
        <v>-2.3536728122053319E-14</v>
      </c>
      <c r="J50" s="268">
        <f t="shared" si="206"/>
        <v>2.2648549702353193E-14</v>
      </c>
      <c r="K50" s="268">
        <f t="shared" si="206"/>
        <v>0</v>
      </c>
      <c r="L50" s="268">
        <f t="shared" ref="L50" si="207">+L43-L47-L48</f>
        <v>0</v>
      </c>
      <c r="M50" s="268">
        <f t="shared" ref="M50:N50" si="208">+M43-M47-M48</f>
        <v>0</v>
      </c>
      <c r="N50" s="268">
        <f t="shared" si="208"/>
        <v>0</v>
      </c>
      <c r="O50" s="268">
        <f>+O43-O47-O48</f>
        <v>2.2737367544323206E-13</v>
      </c>
      <c r="P50" s="269"/>
      <c r="Q50" s="268">
        <f t="shared" ref="Q50:R50" si="209">+Q43-Q47-Q48</f>
        <v>1.1324274851176597E-14</v>
      </c>
      <c r="R50" s="268">
        <f t="shared" si="209"/>
        <v>7.1054273576010019E-15</v>
      </c>
      <c r="S50" s="268">
        <f t="shared" ref="S50:T50" si="210">+S43-S47-S48</f>
        <v>-6.2519434074204128E-15</v>
      </c>
      <c r="T50" s="268">
        <f t="shared" si="210"/>
        <v>-2.0539125955565396E-15</v>
      </c>
      <c r="U50" s="268">
        <f>+U43-U47-U48</f>
        <v>0</v>
      </c>
      <c r="V50" s="268">
        <f t="shared" ref="V50:W50" si="211">+V43-V47-V48</f>
        <v>0</v>
      </c>
      <c r="W50" s="268">
        <f t="shared" si="211"/>
        <v>0</v>
      </c>
      <c r="X50" s="268">
        <f t="shared" ref="X50:Y50" si="212">+X43-X47-X48</f>
        <v>-2.3536728122053319E-14</v>
      </c>
      <c r="Y50" s="268">
        <f t="shared" si="212"/>
        <v>0</v>
      </c>
      <c r="Z50" s="268">
        <f t="shared" ref="Z50:AB50" si="213">+Z43-Z47-Z48</f>
        <v>0</v>
      </c>
      <c r="AA50" s="268">
        <f t="shared" ref="AA50:AD50" si="214">+AA43-AA47-AA48</f>
        <v>0</v>
      </c>
      <c r="AB50" s="268">
        <f t="shared" si="213"/>
        <v>0</v>
      </c>
      <c r="AC50" s="268">
        <f t="shared" si="214"/>
        <v>0</v>
      </c>
      <c r="AD50" s="268">
        <f t="shared" si="214"/>
        <v>0</v>
      </c>
      <c r="AF50" s="268">
        <f t="shared" ref="AF50:AI50" si="215">+AF43-AF47-AF48</f>
        <v>-6.6613381477509392E-16</v>
      </c>
      <c r="AG50" s="268">
        <f t="shared" si="215"/>
        <v>-2.886579864025407E-15</v>
      </c>
      <c r="AH50" s="268">
        <f t="shared" si="215"/>
        <v>2.6645352591003757E-15</v>
      </c>
      <c r="AI50" s="268">
        <f t="shared" si="215"/>
        <v>-1.7763568394002505E-15</v>
      </c>
      <c r="AJ50" s="268">
        <f t="shared" ref="AJ50:AK50" si="216">+AJ43-AJ47-AJ48</f>
        <v>3.2474023470285829E-15</v>
      </c>
      <c r="AK50" s="268">
        <f t="shared" si="216"/>
        <v>1.8318679906315083E-15</v>
      </c>
      <c r="AL50" s="268">
        <f t="shared" ref="AL50:AQ50" si="217">+AL43-AL47-AL48</f>
        <v>0</v>
      </c>
      <c r="AM50" s="268">
        <f t="shared" si="217"/>
        <v>0</v>
      </c>
      <c r="AN50" s="268">
        <f t="shared" si="217"/>
        <v>0</v>
      </c>
      <c r="AO50" s="268">
        <f t="shared" si="217"/>
        <v>0</v>
      </c>
      <c r="AP50" s="268">
        <f t="shared" si="217"/>
        <v>0</v>
      </c>
      <c r="AQ50" s="268">
        <f t="shared" si="217"/>
        <v>0</v>
      </c>
      <c r="AR50" s="268">
        <f t="shared" ref="AR50:AU50" si="218">+AR43-AR47-AR48</f>
        <v>0</v>
      </c>
      <c r="AS50" s="268">
        <f t="shared" si="218"/>
        <v>4.8849813083506888E-15</v>
      </c>
      <c r="AT50" s="268">
        <f t="shared" si="218"/>
        <v>0</v>
      </c>
      <c r="AU50" s="268">
        <f t="shared" si="218"/>
        <v>0</v>
      </c>
      <c r="AV50" s="268">
        <f t="shared" ref="AV50:AZ50" si="219">+AV43-AV47-AV48</f>
        <v>0</v>
      </c>
      <c r="AW50" s="268">
        <f t="shared" si="219"/>
        <v>0</v>
      </c>
      <c r="AX50" s="268">
        <f t="shared" si="219"/>
        <v>0</v>
      </c>
      <c r="AY50" s="268">
        <f t="shared" si="219"/>
        <v>0</v>
      </c>
      <c r="AZ50" s="268">
        <f t="shared" si="219"/>
        <v>0</v>
      </c>
      <c r="BA50" s="268">
        <f t="shared" ref="BA50:BD50" si="220">+BA43-BA47-BA48</f>
        <v>0</v>
      </c>
      <c r="BB50" s="268">
        <f t="shared" si="220"/>
        <v>0</v>
      </c>
      <c r="BC50" s="268">
        <f t="shared" si="220"/>
        <v>5.6843418860808015E-14</v>
      </c>
      <c r="BD50" s="268">
        <f t="shared" si="220"/>
        <v>0</v>
      </c>
      <c r="BE50" s="268">
        <f t="shared" ref="BE50:BF50" si="221">+BE43-BE47-BE48</f>
        <v>0</v>
      </c>
      <c r="BF50" s="268">
        <f t="shared" si="221"/>
        <v>0</v>
      </c>
    </row>
    <row r="51" spans="2:58" s="5" customFormat="1">
      <c r="B51" s="20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220"/>
      <c r="Q51" s="18"/>
      <c r="R51" s="19"/>
      <c r="S51" s="18"/>
      <c r="T51" s="19"/>
      <c r="U51" s="18"/>
      <c r="V51" s="19"/>
      <c r="W51" s="18"/>
      <c r="X51" s="19"/>
      <c r="Y51" s="18"/>
      <c r="Z51" s="19"/>
      <c r="AA51" s="18"/>
      <c r="AB51" s="19"/>
      <c r="AC51" s="19"/>
      <c r="AD51" s="19"/>
      <c r="AE51" s="62"/>
      <c r="AF51" s="18"/>
      <c r="AJ51" s="18"/>
      <c r="AN51" s="18"/>
    </row>
    <row r="52" spans="2:58" s="5" customFormat="1">
      <c r="B52" s="222" t="s">
        <v>238</v>
      </c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0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62"/>
      <c r="AF52" s="223"/>
      <c r="AG52" s="224"/>
      <c r="AH52" s="224"/>
      <c r="AI52" s="224"/>
      <c r="AJ52" s="223"/>
      <c r="AK52" s="224"/>
      <c r="AL52" s="224"/>
      <c r="AM52" s="224"/>
      <c r="AN52" s="223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</row>
    <row r="53" spans="2:58" s="15" customFormat="1">
      <c r="B53" s="47" t="s">
        <v>205</v>
      </c>
      <c r="C53" s="17">
        <f t="shared" ref="C53:O53" si="222">C10/C$20</f>
        <v>0.97899825389639772</v>
      </c>
      <c r="D53" s="17">
        <f t="shared" si="222"/>
        <v>0.9609562788280388</v>
      </c>
      <c r="E53" s="17">
        <f t="shared" si="222"/>
        <v>0.9683367953883758</v>
      </c>
      <c r="F53" s="17">
        <f t="shared" si="222"/>
        <v>0.97430854932490363</v>
      </c>
      <c r="G53" s="17">
        <f t="shared" si="222"/>
        <v>0.92645015200477954</v>
      </c>
      <c r="H53" s="17">
        <f t="shared" si="222"/>
        <v>0.97959018530673159</v>
      </c>
      <c r="I53" s="17">
        <f t="shared" si="222"/>
        <v>0.97250476966856458</v>
      </c>
      <c r="J53" s="17">
        <f t="shared" si="222"/>
        <v>0.97238346147642341</v>
      </c>
      <c r="K53" s="17">
        <f t="shared" si="222"/>
        <v>0.98050541516245493</v>
      </c>
      <c r="L53" s="17">
        <f t="shared" si="222"/>
        <v>0.97435897435897445</v>
      </c>
      <c r="M53" s="17">
        <f t="shared" si="222"/>
        <v>0.94866529774127306</v>
      </c>
      <c r="N53" s="17">
        <f t="shared" si="222"/>
        <v>0.94700372128833554</v>
      </c>
      <c r="O53" s="17">
        <f t="shared" si="222"/>
        <v>0.94657346149045063</v>
      </c>
      <c r="P53" s="220"/>
      <c r="Q53" s="17">
        <f t="shared" ref="Q53:AD53" si="223">Q10/Q$20</f>
        <v>0.96324599086070273</v>
      </c>
      <c r="R53" s="17">
        <f t="shared" si="223"/>
        <v>0.98431008471625836</v>
      </c>
      <c r="S53" s="17">
        <f t="shared" si="223"/>
        <v>0.85263085562933771</v>
      </c>
      <c r="T53" s="17">
        <f t="shared" si="223"/>
        <v>1.0091621754042135</v>
      </c>
      <c r="U53" s="17">
        <f t="shared" si="223"/>
        <v>0.96170159156763102</v>
      </c>
      <c r="V53" s="17">
        <f t="shared" si="223"/>
        <v>0.99744867402917858</v>
      </c>
      <c r="W53" s="17">
        <f t="shared" si="223"/>
        <v>0.96815464474370816</v>
      </c>
      <c r="X53" s="17">
        <f t="shared" si="223"/>
        <v>0.97636079608853543</v>
      </c>
      <c r="Y53" s="17">
        <f t="shared" si="223"/>
        <v>0.98323615160349842</v>
      </c>
      <c r="Z53" s="17">
        <f t="shared" si="223"/>
        <v>0.9778254649499285</v>
      </c>
      <c r="AA53" s="17">
        <f t="shared" si="223"/>
        <v>0.95840922890103208</v>
      </c>
      <c r="AB53" s="17">
        <f t="shared" si="223"/>
        <v>0.93955732122587976</v>
      </c>
      <c r="AC53" s="17">
        <f t="shared" si="223"/>
        <v>0.95698353690918758</v>
      </c>
      <c r="AD53" s="17">
        <f t="shared" si="223"/>
        <v>0.93767072262229945</v>
      </c>
      <c r="AE53" s="62"/>
      <c r="AF53" s="17">
        <f t="shared" ref="AF53:BE53" si="224">AF10/AF$20</f>
        <v>0.94733078270819171</v>
      </c>
      <c r="AG53" s="17">
        <f t="shared" si="224"/>
        <v>1.012520287502898</v>
      </c>
      <c r="AH53" s="17">
        <f t="shared" si="224"/>
        <v>0.86624228595135611</v>
      </c>
      <c r="AI53" s="17">
        <f t="shared" si="224"/>
        <v>0.83997395990307289</v>
      </c>
      <c r="AJ53" s="17">
        <f t="shared" si="224"/>
        <v>0.9840575225802648</v>
      </c>
      <c r="AK53" s="17">
        <f t="shared" si="224"/>
        <v>1.0318795749390008</v>
      </c>
      <c r="AL53" s="17">
        <f t="shared" si="224"/>
        <v>0.94715264721935832</v>
      </c>
      <c r="AM53" s="17">
        <f t="shared" si="224"/>
        <v>0.97593951048120964</v>
      </c>
      <c r="AN53" s="17">
        <f t="shared" si="224"/>
        <v>0.99206962767151285</v>
      </c>
      <c r="AO53" s="17">
        <f t="shared" si="224"/>
        <v>1.0024200797473899</v>
      </c>
      <c r="AP53" s="17">
        <f t="shared" si="224"/>
        <v>0.97594705073697441</v>
      </c>
      <c r="AQ53" s="17">
        <f t="shared" si="224"/>
        <v>0.96027471667541264</v>
      </c>
      <c r="AR53" s="17">
        <f t="shared" si="224"/>
        <v>0.98020791347574898</v>
      </c>
      <c r="AS53" s="17">
        <f t="shared" si="224"/>
        <v>0.97276374571121249</v>
      </c>
      <c r="AT53" s="17">
        <f t="shared" si="224"/>
        <v>0.98849226765124243</v>
      </c>
      <c r="AU53" s="17">
        <f t="shared" si="224"/>
        <v>0.97835166071378343</v>
      </c>
      <c r="AV53" s="17">
        <f t="shared" si="224"/>
        <v>0.98549673676577232</v>
      </c>
      <c r="AW53" s="17">
        <f t="shared" si="224"/>
        <v>0.97035991531404386</v>
      </c>
      <c r="AX53" s="17">
        <f t="shared" si="224"/>
        <v>0.9709595959595958</v>
      </c>
      <c r="AY53" s="17">
        <f t="shared" si="224"/>
        <v>0.94512551079976648</v>
      </c>
      <c r="AZ53" s="17">
        <f t="shared" si="224"/>
        <v>0.98255114320096271</v>
      </c>
      <c r="BA53" s="17">
        <f t="shared" si="224"/>
        <v>0.90118152524167561</v>
      </c>
      <c r="BB53" s="17">
        <f t="shared" si="224"/>
        <v>0.98031711317659931</v>
      </c>
      <c r="BC53" s="17">
        <f t="shared" si="224"/>
        <v>0.93495095508518311</v>
      </c>
      <c r="BD53" s="17">
        <f t="shared" si="224"/>
        <v>0.96173469387755106</v>
      </c>
      <c r="BE53" s="17">
        <f t="shared" si="224"/>
        <v>0.91485244315433001</v>
      </c>
      <c r="BF53" s="17">
        <f t="shared" ref="BF53" si="225">BF10/BF$20</f>
        <v>0.97508549096238395</v>
      </c>
    </row>
    <row r="54" spans="2:58" s="15" customFormat="1">
      <c r="B54" s="47" t="s">
        <v>211</v>
      </c>
      <c r="C54" s="17">
        <f t="shared" ref="C54:O54" si="226">C16/C$20</f>
        <v>1.5149065511220331E-2</v>
      </c>
      <c r="D54" s="17">
        <f t="shared" si="226"/>
        <v>2.0482408515930247E-2</v>
      </c>
      <c r="E54" s="17">
        <f t="shared" si="226"/>
        <v>2.5544126602764641E-2</v>
      </c>
      <c r="F54" s="17">
        <f t="shared" si="226"/>
        <v>2.3432325801562699E-2</v>
      </c>
      <c r="G54" s="17">
        <f t="shared" si="226"/>
        <v>-4.7862525622955677E-4</v>
      </c>
      <c r="H54" s="17">
        <f t="shared" si="226"/>
        <v>-7.6574268048899613E-3</v>
      </c>
      <c r="I54" s="17">
        <f t="shared" si="226"/>
        <v>8.04659756472661E-3</v>
      </c>
      <c r="J54" s="17">
        <f t="shared" si="226"/>
        <v>8.0455938491316749E-3</v>
      </c>
      <c r="K54" s="17">
        <f t="shared" si="226"/>
        <v>9.7472924187725664E-3</v>
      </c>
      <c r="L54" s="17">
        <f t="shared" si="226"/>
        <v>9.6826250672404565E-3</v>
      </c>
      <c r="M54" s="17">
        <f t="shared" si="226"/>
        <v>8.946905250806686E-3</v>
      </c>
      <c r="N54" s="17">
        <f t="shared" si="226"/>
        <v>1.1677146156807395E-2</v>
      </c>
      <c r="O54" s="17">
        <f t="shared" si="226"/>
        <v>1.1109724129322186E-2</v>
      </c>
      <c r="P54" s="176"/>
      <c r="Q54" s="17">
        <f t="shared" ref="Q54:AD54" si="227">Q16/Q$20</f>
        <v>2.6305430522514502E-2</v>
      </c>
      <c r="R54" s="17">
        <f t="shared" si="227"/>
        <v>2.0834783954199076E-2</v>
      </c>
      <c r="S54" s="17">
        <f t="shared" si="227"/>
        <v>2.1239247630886748E-4</v>
      </c>
      <c r="T54" s="17">
        <f t="shared" si="227"/>
        <v>-1.2528872401483882E-3</v>
      </c>
      <c r="U54" s="17">
        <f t="shared" si="227"/>
        <v>7.5588964011254558E-4</v>
      </c>
      <c r="V54" s="17">
        <f t="shared" si="227"/>
        <v>-1.6056584337493709E-2</v>
      </c>
      <c r="W54" s="17">
        <f t="shared" si="227"/>
        <v>5.1862566487535589E-3</v>
      </c>
      <c r="X54" s="17">
        <f t="shared" si="227"/>
        <v>1.0582053518897974E-2</v>
      </c>
      <c r="Y54" s="17">
        <f t="shared" si="227"/>
        <v>9.4752186588921254E-3</v>
      </c>
      <c r="Z54" s="17">
        <f t="shared" si="227"/>
        <v>1.0014306151645216E-2</v>
      </c>
      <c r="AA54" s="17">
        <f t="shared" si="227"/>
        <v>1.5482695810564663E-2</v>
      </c>
      <c r="AB54" s="17">
        <f t="shared" si="227"/>
        <v>2.8376844494892119E-3</v>
      </c>
      <c r="AC54" s="17">
        <f t="shared" si="227"/>
        <v>1.5666489644184815E-2</v>
      </c>
      <c r="AD54" s="17">
        <f t="shared" si="227"/>
        <v>7.9463620561211843E-3</v>
      </c>
      <c r="AF54" s="17">
        <f t="shared" ref="AF54:BE54" si="228">AF16/AF$20</f>
        <v>4.4034040118711329E-2</v>
      </c>
      <c r="AG54" s="17">
        <f t="shared" si="228"/>
        <v>3.1368912044298647E-3</v>
      </c>
      <c r="AH54" s="17">
        <f t="shared" si="228"/>
        <v>3.1634081833739527E-3</v>
      </c>
      <c r="AI54" s="17">
        <f t="shared" si="228"/>
        <v>-2.5316760901276688E-3</v>
      </c>
      <c r="AJ54" s="17">
        <f t="shared" si="228"/>
        <v>4.4792173157111514E-3</v>
      </c>
      <c r="AK54" s="17">
        <f t="shared" si="228"/>
        <v>-6.4399141344782147E-3</v>
      </c>
      <c r="AL54" s="17">
        <f t="shared" si="228"/>
        <v>-4.0754442355509729E-3</v>
      </c>
      <c r="AM54" s="17">
        <f t="shared" si="228"/>
        <v>5.4839398903212041E-3</v>
      </c>
      <c r="AN54" s="17">
        <f t="shared" si="228"/>
        <v>2.369136387441099E-4</v>
      </c>
      <c r="AO54" s="17">
        <f t="shared" si="228"/>
        <v>-3.1115311037868479E-2</v>
      </c>
      <c r="AP54" s="17">
        <f t="shared" si="228"/>
        <v>-3.641627443304412E-3</v>
      </c>
      <c r="AQ54" s="17">
        <f t="shared" si="228"/>
        <v>1.4113293009639023E-2</v>
      </c>
      <c r="AR54" s="17">
        <f t="shared" si="228"/>
        <v>5.1810425903533516E-3</v>
      </c>
      <c r="AS54" s="17">
        <f t="shared" si="228"/>
        <v>1.5631992588347066E-2</v>
      </c>
      <c r="AT54" s="17">
        <f t="shared" si="228"/>
        <v>5.1675090034197851E-3</v>
      </c>
      <c r="AU54" s="17">
        <f t="shared" si="228"/>
        <v>1.3478358691678152E-2</v>
      </c>
      <c r="AV54" s="17">
        <f t="shared" si="228"/>
        <v>7.9767947788252445E-3</v>
      </c>
      <c r="AW54" s="17">
        <f t="shared" si="228"/>
        <v>1.1997177134791823E-2</v>
      </c>
      <c r="AX54" s="17">
        <f t="shared" si="228"/>
        <v>8.2070707070707044E-3</v>
      </c>
      <c r="AY54" s="17">
        <f t="shared" si="228"/>
        <v>2.2183304144775248E-2</v>
      </c>
      <c r="AZ54" s="17">
        <f t="shared" si="228"/>
        <v>6.0168471720818389E-3</v>
      </c>
      <c r="BA54" s="17">
        <f t="shared" si="228"/>
        <v>0</v>
      </c>
      <c r="BB54" s="17">
        <f t="shared" si="228"/>
        <v>5.4674685620557653E-3</v>
      </c>
      <c r="BC54" s="17">
        <f t="shared" si="228"/>
        <v>2.5296850800206504E-2</v>
      </c>
      <c r="BD54" s="17">
        <f t="shared" si="228"/>
        <v>8.6734693877551072E-3</v>
      </c>
      <c r="BE54" s="17">
        <f t="shared" si="228"/>
        <v>7.2568940493468806E-3</v>
      </c>
      <c r="BF54" s="17">
        <f t="shared" ref="BF54" si="229">BF16/BF$20</f>
        <v>3.9081582804103556E-3</v>
      </c>
    </row>
    <row r="55" spans="2:58" s="15" customFormat="1">
      <c r="B55" s="47" t="s">
        <v>214</v>
      </c>
      <c r="C55" s="17">
        <f t="shared" ref="C55:O55" si="230">C19/C$20</f>
        <v>5.8526805923818162E-3</v>
      </c>
      <c r="D55" s="17">
        <f t="shared" si="230"/>
        <v>1.8561312656031035E-2</v>
      </c>
      <c r="E55" s="17">
        <f t="shared" si="230"/>
        <v>6.1190780088595268E-3</v>
      </c>
      <c r="F55" s="17">
        <f t="shared" si="230"/>
        <v>2.2591248735337002E-3</v>
      </c>
      <c r="G55" s="17">
        <f t="shared" si="230"/>
        <v>7.40284732514499E-2</v>
      </c>
      <c r="H55" s="17">
        <f t="shared" si="230"/>
        <v>2.8067241498158309E-2</v>
      </c>
      <c r="I55" s="17">
        <f t="shared" si="230"/>
        <v>1.9448632766708898E-2</v>
      </c>
      <c r="J55" s="17">
        <f t="shared" si="230"/>
        <v>1.9570944674444861E-2</v>
      </c>
      <c r="K55" s="17">
        <f t="shared" si="230"/>
        <v>9.7472924187725664E-3</v>
      </c>
      <c r="L55" s="17">
        <f t="shared" si="230"/>
        <v>9.6826250672404565E-3</v>
      </c>
      <c r="M55" s="17">
        <f t="shared" si="230"/>
        <v>3.7400997359929598E-2</v>
      </c>
      <c r="N55" s="17">
        <f t="shared" si="230"/>
        <v>3.4646477608109856E-2</v>
      </c>
      <c r="O55" s="17">
        <f t="shared" si="230"/>
        <v>3.8197478467107734E-2</v>
      </c>
      <c r="P55" s="176"/>
      <c r="Q55" s="17">
        <f t="shared" ref="Q55:AD55" si="231">Q19/Q$20</f>
        <v>1.0448578616782762E-2</v>
      </c>
      <c r="R55" s="17">
        <f t="shared" si="231"/>
        <v>-5.1448686704576264E-3</v>
      </c>
      <c r="S55" s="17">
        <f t="shared" si="231"/>
        <v>0.14715675189435354</v>
      </c>
      <c r="T55" s="17">
        <f t="shared" si="231"/>
        <v>-7.9092881640652497E-3</v>
      </c>
      <c r="U55" s="17">
        <f t="shared" si="231"/>
        <v>3.7542518792256348E-2</v>
      </c>
      <c r="V55" s="17">
        <f t="shared" si="231"/>
        <v>1.8607910308315143E-2</v>
      </c>
      <c r="W55" s="17">
        <f t="shared" si="231"/>
        <v>2.6659098607538158E-2</v>
      </c>
      <c r="X55" s="17">
        <f t="shared" si="231"/>
        <v>1.3057150392566594E-2</v>
      </c>
      <c r="Y55" s="17">
        <f t="shared" si="231"/>
        <v>7.2886297376093282E-3</v>
      </c>
      <c r="Z55" s="17">
        <f t="shared" si="231"/>
        <v>1.216022889842633E-2</v>
      </c>
      <c r="AA55" s="17">
        <f t="shared" si="231"/>
        <v>2.6108075288403153E-2</v>
      </c>
      <c r="AB55" s="17">
        <f t="shared" si="231"/>
        <v>4.7956867196367783E-2</v>
      </c>
      <c r="AC55" s="17">
        <f t="shared" si="231"/>
        <v>1.6994158258098777E-2</v>
      </c>
      <c r="AD55" s="17">
        <f t="shared" si="231"/>
        <v>5.1154705736280129E-2</v>
      </c>
      <c r="AF55" s="17">
        <f t="shared" ref="AF55:BE55" si="232">AF19/AF$20</f>
        <v>8.6351771730968745E-3</v>
      </c>
      <c r="AG55" s="17">
        <f t="shared" si="232"/>
        <v>-1.5657178707328055E-2</v>
      </c>
      <c r="AH55" s="17">
        <f t="shared" si="232"/>
        <v>0.13059430586526993</v>
      </c>
      <c r="AI55" s="17">
        <f t="shared" si="232"/>
        <v>0.16255771618705472</v>
      </c>
      <c r="AJ55" s="17">
        <f t="shared" si="232"/>
        <v>1.1463260104023957E-2</v>
      </c>
      <c r="AK55" s="17">
        <f t="shared" si="232"/>
        <v>-2.5439660804522674E-2</v>
      </c>
      <c r="AL55" s="17">
        <f t="shared" si="232"/>
        <v>5.6922797016192579E-2</v>
      </c>
      <c r="AM55" s="17">
        <f t="shared" si="232"/>
        <v>1.8576549628469063E-2</v>
      </c>
      <c r="AN55" s="17">
        <f t="shared" si="232"/>
        <v>7.6934586897428525E-3</v>
      </c>
      <c r="AO55" s="17">
        <f t="shared" si="232"/>
        <v>2.8695231290478691E-2</v>
      </c>
      <c r="AP55" s="17">
        <f t="shared" si="232"/>
        <v>2.7694576706330059E-2</v>
      </c>
      <c r="AQ55" s="17">
        <f t="shared" si="232"/>
        <v>2.5611990314948322E-2</v>
      </c>
      <c r="AR55" s="17">
        <f t="shared" si="232"/>
        <v>1.4611043933897607E-2</v>
      </c>
      <c r="AS55" s="17">
        <f t="shared" si="232"/>
        <v>1.1604261700440472E-2</v>
      </c>
      <c r="AT55" s="17">
        <f t="shared" si="232"/>
        <v>6.3402233453378936E-3</v>
      </c>
      <c r="AU55" s="17">
        <f t="shared" si="232"/>
        <v>8.1699805945383477E-3</v>
      </c>
      <c r="AV55" s="17">
        <f t="shared" si="232"/>
        <v>6.5264684554024663E-3</v>
      </c>
      <c r="AW55" s="17">
        <f t="shared" si="232"/>
        <v>1.7642907551164447E-2</v>
      </c>
      <c r="AX55" s="17">
        <f t="shared" si="232"/>
        <v>1.8939393939393936E-2</v>
      </c>
      <c r="AY55" s="17">
        <f t="shared" si="232"/>
        <v>3.2691185055458274E-2</v>
      </c>
      <c r="AZ55" s="17">
        <f t="shared" si="232"/>
        <v>1.1432009626955487E-2</v>
      </c>
      <c r="BA55" s="17">
        <f t="shared" si="232"/>
        <v>8.0558539205155724E-2</v>
      </c>
      <c r="BB55" s="17">
        <f t="shared" si="232"/>
        <v>1.3668671405139421E-2</v>
      </c>
      <c r="BC55" s="17">
        <f t="shared" si="232"/>
        <v>2.0134228187919455E-2</v>
      </c>
      <c r="BD55" s="17">
        <f t="shared" si="232"/>
        <v>1.98979591836735E-2</v>
      </c>
      <c r="BE55" s="17">
        <f t="shared" si="232"/>
        <v>8.0793420416061953E-2</v>
      </c>
      <c r="BF55" s="17">
        <f t="shared" ref="BF55" si="233">BF19/BF$20</f>
        <v>2.9799706888128968E-2</v>
      </c>
    </row>
    <row r="56" spans="2:58" s="15" customFormat="1">
      <c r="B56" s="47" t="s">
        <v>219</v>
      </c>
      <c r="C56" s="17">
        <f t="shared" ref="C56:O56" si="234">C26/C$20</f>
        <v>4.9419043307680696E-2</v>
      </c>
      <c r="D56" s="17">
        <f t="shared" si="234"/>
        <v>1.7605405054245439E-2</v>
      </c>
      <c r="E56" s="17">
        <f t="shared" si="234"/>
        <v>0.20727698943030423</v>
      </c>
      <c r="F56" s="17">
        <f t="shared" si="234"/>
        <v>3.6950506474668132E-2</v>
      </c>
      <c r="G56" s="17">
        <f t="shared" si="234"/>
        <v>1.3236463982624251E-2</v>
      </c>
      <c r="H56" s="17">
        <f t="shared" si="234"/>
        <v>3.1304040304139198E-2</v>
      </c>
      <c r="I56" s="17">
        <f t="shared" si="234"/>
        <v>1.7598840223093583E-2</v>
      </c>
      <c r="J56" s="17">
        <f t="shared" si="234"/>
        <v>1.759664498091295E-2</v>
      </c>
      <c r="K56" s="17">
        <f t="shared" si="234"/>
        <v>2.5451263537906138E-2</v>
      </c>
      <c r="L56" s="17">
        <f t="shared" si="234"/>
        <v>1.3986013986013988E-2</v>
      </c>
      <c r="M56" s="17">
        <f t="shared" si="234"/>
        <v>1.5693751833382223E-2</v>
      </c>
      <c r="N56" s="17">
        <f t="shared" si="234"/>
        <v>1.591171564224304E-2</v>
      </c>
      <c r="O56" s="17">
        <f t="shared" si="234"/>
        <v>1.7725627262514046E-2</v>
      </c>
      <c r="P56" s="176"/>
      <c r="Q56" s="17">
        <f t="shared" ref="Q56:AD56" si="235">Q26/Q$20</f>
        <v>0.12432182649027024</v>
      </c>
      <c r="R56" s="17">
        <f t="shared" si="235"/>
        <v>-4.2040926850025154E-2</v>
      </c>
      <c r="S56" s="17">
        <f t="shared" si="235"/>
        <v>2.4181508111518549E-2</v>
      </c>
      <c r="T56" s="17">
        <f t="shared" si="235"/>
        <v>9.7291243788058903E-4</v>
      </c>
      <c r="U56" s="17">
        <f t="shared" si="235"/>
        <v>2.4278455345519551E-2</v>
      </c>
      <c r="V56" s="17">
        <f t="shared" si="235"/>
        <v>3.8317801787125995E-2</v>
      </c>
      <c r="W56" s="17">
        <f t="shared" si="235"/>
        <v>1.9998901410771666E-2</v>
      </c>
      <c r="X56" s="17">
        <f t="shared" si="235"/>
        <v>1.547138422835812E-2</v>
      </c>
      <c r="Y56" s="17">
        <f t="shared" si="235"/>
        <v>3.1341107871720113E-2</v>
      </c>
      <c r="Z56" s="17">
        <f t="shared" si="235"/>
        <v>1.9670958512160226E-2</v>
      </c>
      <c r="AA56" s="17">
        <f t="shared" si="235"/>
        <v>2.4590163934426229E-2</v>
      </c>
      <c r="AB56" s="17">
        <f t="shared" si="235"/>
        <v>7.3779795686719635E-3</v>
      </c>
      <c r="AC56" s="17">
        <f t="shared" si="235"/>
        <v>1.7259691980881574E-2</v>
      </c>
      <c r="AD56" s="17">
        <f t="shared" si="235"/>
        <v>1.4651105040973431E-2</v>
      </c>
      <c r="AF56" s="17">
        <f t="shared" ref="AF56:BE56" si="236">AF26/AF$20</f>
        <v>1.147781313691135E-2</v>
      </c>
      <c r="AG56" s="17">
        <f t="shared" si="236"/>
        <v>-8.2868482426589909E-2</v>
      </c>
      <c r="AH56" s="17">
        <f t="shared" si="236"/>
        <v>1.2329513042576359E-2</v>
      </c>
      <c r="AI56" s="17">
        <f t="shared" si="236"/>
        <v>3.5202353253203783E-2</v>
      </c>
      <c r="AJ56" s="17">
        <f t="shared" si="236"/>
        <v>5.0464866139179873E-2</v>
      </c>
      <c r="AK56" s="17">
        <f t="shared" si="236"/>
        <v>-4.3812749163344503E-2</v>
      </c>
      <c r="AL56" s="17">
        <f t="shared" si="236"/>
        <v>2.1456728728243068E-2</v>
      </c>
      <c r="AM56" s="17">
        <f t="shared" si="236"/>
        <v>2.7039859459202804E-2</v>
      </c>
      <c r="AN56" s="17">
        <f t="shared" si="236"/>
        <v>4.1035936058255819E-2</v>
      </c>
      <c r="AO56" s="17">
        <f t="shared" si="236"/>
        <v>3.5805656072095321E-2</v>
      </c>
      <c r="AP56" s="17">
        <f t="shared" si="236"/>
        <v>2.303329357890041E-2</v>
      </c>
      <c r="AQ56" s="17">
        <f t="shared" si="236"/>
        <v>1.6930427817825281E-2</v>
      </c>
      <c r="AR56" s="17">
        <f t="shared" si="236"/>
        <v>1.8708853956737877E-2</v>
      </c>
      <c r="AS56" s="17">
        <f t="shared" si="236"/>
        <v>1.2444353717996027E-2</v>
      </c>
      <c r="AT56" s="17">
        <f t="shared" si="236"/>
        <v>4.5395393880700904E-3</v>
      </c>
      <c r="AU56" s="17">
        <f t="shared" si="236"/>
        <v>5.6247714936580706E-2</v>
      </c>
      <c r="AV56" s="17">
        <f t="shared" si="236"/>
        <v>-1.4503263234227697E-2</v>
      </c>
      <c r="AW56" s="17">
        <f t="shared" si="236"/>
        <v>5.2928722653493313E-2</v>
      </c>
      <c r="AX56" s="17">
        <f t="shared" si="236"/>
        <v>2.9040404040404033E-2</v>
      </c>
      <c r="AY56" s="17">
        <f t="shared" si="236"/>
        <v>2.0431990659661416E-2</v>
      </c>
      <c r="AZ56" s="17">
        <f t="shared" si="236"/>
        <v>1.1432009626955477E-2</v>
      </c>
      <c r="BA56" s="17">
        <f t="shared" si="236"/>
        <v>3.759398496240597E-3</v>
      </c>
      <c r="BB56" s="17">
        <f t="shared" si="236"/>
        <v>1.4762165117550574E-2</v>
      </c>
      <c r="BC56" s="17">
        <f t="shared" si="236"/>
        <v>1.9617965926690756E-2</v>
      </c>
      <c r="BD56" s="17">
        <f t="shared" si="236"/>
        <v>5.6122448979591816E-3</v>
      </c>
      <c r="BE56" s="17">
        <f t="shared" si="236"/>
        <v>2.3222060957910021E-2</v>
      </c>
      <c r="BF56" s="17">
        <f t="shared" ref="BF56" si="237">BF26/BF$20</f>
        <v>2.1983390327308259E-2</v>
      </c>
    </row>
    <row r="57" spans="2:58" s="15" customFormat="1">
      <c r="B57" s="47" t="s">
        <v>220</v>
      </c>
      <c r="C57" s="17">
        <f t="shared" ref="C57:O57" si="238">-C27/C$20</f>
        <v>2.1535277759813749E-2</v>
      </c>
      <c r="D57" s="17">
        <f t="shared" si="238"/>
        <v>2.5141297992594038E-2</v>
      </c>
      <c r="E57" s="17">
        <f t="shared" si="238"/>
        <v>1.6134010728199481E-2</v>
      </c>
      <c r="F57" s="17">
        <f t="shared" si="238"/>
        <v>3.9628138294198187E-2</v>
      </c>
      <c r="G57" s="17">
        <f t="shared" si="238"/>
        <v>3.4533637452921429E-2</v>
      </c>
      <c r="H57" s="17">
        <f t="shared" si="238"/>
        <v>2.5315962513074563E-2</v>
      </c>
      <c r="I57" s="17">
        <f t="shared" si="238"/>
        <v>2.3077237442382187E-2</v>
      </c>
      <c r="J57" s="17">
        <f t="shared" si="238"/>
        <v>2.307435883649658E-2</v>
      </c>
      <c r="K57" s="17">
        <f t="shared" si="238"/>
        <v>2.2924187725631769E-2</v>
      </c>
      <c r="L57" s="17">
        <f t="shared" si="238"/>
        <v>2.0261789492558729E-2</v>
      </c>
      <c r="M57" s="17">
        <f t="shared" si="238"/>
        <v>1.6133763567028454E-2</v>
      </c>
      <c r="N57" s="17">
        <f t="shared" si="238"/>
        <v>1.565507506736815E-2</v>
      </c>
      <c r="O57" s="17">
        <f t="shared" si="238"/>
        <v>1.6227686930470601E-2</v>
      </c>
      <c r="P57" s="176"/>
      <c r="Q57" s="17">
        <f t="shared" ref="Q57:AD57" si="239">-Q27/Q$20</f>
        <v>2.9574355200328601E-2</v>
      </c>
      <c r="R57" s="17">
        <f t="shared" si="239"/>
        <v>4.8717651154694216E-2</v>
      </c>
      <c r="S57" s="17">
        <f t="shared" si="239"/>
        <v>2.6967597653687829E-2</v>
      </c>
      <c r="T57" s="17">
        <f t="shared" si="239"/>
        <v>4.301112899839013E-2</v>
      </c>
      <c r="U57" s="17">
        <f t="shared" si="239"/>
        <v>3.0607531300430139E-2</v>
      </c>
      <c r="V57" s="17">
        <f t="shared" si="239"/>
        <v>2.0033298996238885E-2</v>
      </c>
      <c r="W57" s="17">
        <f t="shared" si="239"/>
        <v>2.2955937417033622E-2</v>
      </c>
      <c r="X57" s="17">
        <f t="shared" si="239"/>
        <v>2.3184759895315571E-2</v>
      </c>
      <c r="Y57" s="17">
        <f t="shared" si="239"/>
        <v>2.2230320699708452E-2</v>
      </c>
      <c r="Z57" s="17">
        <f t="shared" si="239"/>
        <v>2.3605150214592273E-2</v>
      </c>
      <c r="AA57" s="17">
        <f t="shared" si="239"/>
        <v>1.7304189435336979E-2</v>
      </c>
      <c r="AB57" s="17">
        <f t="shared" si="239"/>
        <v>1.503972758229285E-2</v>
      </c>
      <c r="AC57" s="17">
        <f t="shared" si="239"/>
        <v>1.513542219861923E-2</v>
      </c>
      <c r="AD57" s="17">
        <f t="shared" si="239"/>
        <v>1.6141047926496149E-2</v>
      </c>
      <c r="AF57" s="17">
        <f t="shared" ref="AF57:BE57" si="240">-AF27/AF$20</f>
        <v>1.8432438230771984E-2</v>
      </c>
      <c r="AG57" s="17">
        <f t="shared" si="240"/>
        <v>7.1821169924032646E-2</v>
      </c>
      <c r="AH57" s="17">
        <f t="shared" si="240"/>
        <v>3.4162215422911361E-2</v>
      </c>
      <c r="AI57" s="17">
        <f t="shared" si="240"/>
        <v>2.0277519921879719E-2</v>
      </c>
      <c r="AJ57" s="17">
        <f t="shared" si="240"/>
        <v>3.1045101592774304E-2</v>
      </c>
      <c r="AK57" s="17">
        <f t="shared" si="240"/>
        <v>5.3839282142904774E-2</v>
      </c>
      <c r="AL57" s="17">
        <f t="shared" si="240"/>
        <v>3.1099520892716354E-2</v>
      </c>
      <c r="AM57" s="17">
        <f t="shared" si="240"/>
        <v>3.012605939747881E-2</v>
      </c>
      <c r="AN57" s="17">
        <f t="shared" si="240"/>
        <v>1.5823337240330183E-2</v>
      </c>
      <c r="AO57" s="17">
        <f t="shared" si="240"/>
        <v>2.3924216931338862E-2</v>
      </c>
      <c r="AP57" s="17">
        <f t="shared" si="240"/>
        <v>2.0256552653380798E-2</v>
      </c>
      <c r="AQ57" s="17">
        <f t="shared" si="240"/>
        <v>2.5685640898168858E-2</v>
      </c>
      <c r="AR57" s="17">
        <f t="shared" si="240"/>
        <v>2.4276165524654034E-2</v>
      </c>
      <c r="AS57" s="17">
        <f t="shared" si="240"/>
        <v>2.2164296874386612E-2</v>
      </c>
      <c r="AT57" s="17">
        <f t="shared" si="240"/>
        <v>2.1184517144327088E-2</v>
      </c>
      <c r="AU57" s="17">
        <f t="shared" si="240"/>
        <v>2.3202182411339541E-2</v>
      </c>
      <c r="AV57" s="17">
        <f t="shared" si="240"/>
        <v>1.522842639593908E-2</v>
      </c>
      <c r="AW57" s="17">
        <f t="shared" si="240"/>
        <v>3.1757233592095979E-2</v>
      </c>
      <c r="AX57" s="17">
        <f t="shared" si="240"/>
        <v>2.02020202020202E-2</v>
      </c>
      <c r="AY57" s="17">
        <f t="shared" si="240"/>
        <v>1.4594279042615297E-2</v>
      </c>
      <c r="AZ57" s="17">
        <f t="shared" si="240"/>
        <v>1.6245487364620937E-2</v>
      </c>
      <c r="BA57" s="17">
        <f t="shared" si="240"/>
        <v>1.3963480128893662E-2</v>
      </c>
      <c r="BB57" s="17">
        <f t="shared" si="240"/>
        <v>1.530891197375615E-2</v>
      </c>
      <c r="BC57" s="17">
        <f t="shared" si="240"/>
        <v>1.4971605575632423E-2</v>
      </c>
      <c r="BD57" s="17">
        <f t="shared" si="240"/>
        <v>1.4285714285714285E-2</v>
      </c>
      <c r="BE57" s="17">
        <f t="shared" si="240"/>
        <v>1.7900338655055636E-2</v>
      </c>
      <c r="BF57" s="17">
        <f t="shared" ref="BF57" si="241">-BF27/BF$20</f>
        <v>1.7586712261846608E-2</v>
      </c>
    </row>
    <row r="58" spans="2:58" s="15" customFormat="1">
      <c r="B58" s="47" t="s">
        <v>221</v>
      </c>
      <c r="C58" s="17">
        <f t="shared" ref="C58:O58" si="242">-C28/C$20</f>
        <v>0</v>
      </c>
      <c r="D58" s="17">
        <f t="shared" si="242"/>
        <v>0</v>
      </c>
      <c r="E58" s="17">
        <f t="shared" si="242"/>
        <v>4.7279992658774854E-2</v>
      </c>
      <c r="F58" s="17">
        <f t="shared" si="242"/>
        <v>6.9772827928634401E-2</v>
      </c>
      <c r="G58" s="17">
        <f t="shared" si="242"/>
        <v>7.5817541450597617E-2</v>
      </c>
      <c r="H58" s="17">
        <f t="shared" si="242"/>
        <v>9.5554496602859751E-2</v>
      </c>
      <c r="I58" s="17">
        <f t="shared" si="242"/>
        <v>9.4008177803780027E-2</v>
      </c>
      <c r="J58" s="17">
        <f t="shared" si="242"/>
        <v>9.3996451422119459E-2</v>
      </c>
      <c r="K58" s="17">
        <f t="shared" si="242"/>
        <v>9.0974729241877259E-2</v>
      </c>
      <c r="L58" s="17">
        <f t="shared" si="242"/>
        <v>9.0371167294244228E-2</v>
      </c>
      <c r="M58" s="17">
        <f t="shared" si="242"/>
        <v>7.7442065121736584E-2</v>
      </c>
      <c r="N58" s="17">
        <f t="shared" si="242"/>
        <v>6.5956627742846149E-2</v>
      </c>
      <c r="O58" s="17">
        <f t="shared" si="242"/>
        <v>6.6783173136936713E-2</v>
      </c>
      <c r="P58" s="176"/>
      <c r="Q58" s="17">
        <f t="shared" ref="Q58:AD58" si="243">-Q28/Q$20</f>
        <v>7.0350339728559447E-2</v>
      </c>
      <c r="R58" s="17">
        <f t="shared" si="243"/>
        <v>6.9250705968821324E-2</v>
      </c>
      <c r="S58" s="17">
        <f t="shared" si="243"/>
        <v>5.8226772696322503E-2</v>
      </c>
      <c r="T58" s="17">
        <f t="shared" si="243"/>
        <v>9.5527402533771955E-2</v>
      </c>
      <c r="U58" s="17">
        <f t="shared" si="243"/>
        <v>7.3915208379576575E-2</v>
      </c>
      <c r="V58" s="17">
        <f t="shared" si="243"/>
        <v>0.11715736770236926</v>
      </c>
      <c r="W58" s="17">
        <f t="shared" si="243"/>
        <v>9.8818101088518823E-2</v>
      </c>
      <c r="X58" s="17">
        <f t="shared" si="243"/>
        <v>8.9744578117709126E-2</v>
      </c>
      <c r="Y58" s="17">
        <f t="shared" si="243"/>
        <v>9.2930029154518937E-2</v>
      </c>
      <c r="Z58" s="17">
        <f t="shared" si="243"/>
        <v>8.905579399141629E-2</v>
      </c>
      <c r="AA58" s="17">
        <f t="shared" si="243"/>
        <v>7.5591985428050998E-2</v>
      </c>
      <c r="AB58" s="17">
        <f t="shared" si="243"/>
        <v>7.9171396140749153E-2</v>
      </c>
      <c r="AC58" s="17">
        <f t="shared" si="243"/>
        <v>7.0366436537440277E-2</v>
      </c>
      <c r="AD58" s="17">
        <f t="shared" si="243"/>
        <v>6.1832629749192944E-2</v>
      </c>
      <c r="AF58" s="17">
        <f t="shared" ref="AF58:BE58" si="244">-AF28/AF$20</f>
        <v>7.1781027639718248E-2</v>
      </c>
      <c r="AG58" s="17">
        <f t="shared" si="244"/>
        <v>6.7320412978546365E-2</v>
      </c>
      <c r="AH58" s="17">
        <f t="shared" si="244"/>
        <v>5.5657833324690133E-2</v>
      </c>
      <c r="AI58" s="17">
        <f t="shared" si="244"/>
        <v>6.0615558957913908E-2</v>
      </c>
      <c r="AJ58" s="17">
        <f t="shared" si="244"/>
        <v>6.1368224078739916E-2</v>
      </c>
      <c r="AK58" s="17">
        <f t="shared" si="244"/>
        <v>0.1264383141558113</v>
      </c>
      <c r="AL58" s="17">
        <f t="shared" si="244"/>
        <v>6.9052095336284786E-2</v>
      </c>
      <c r="AM58" s="17">
        <f t="shared" si="244"/>
        <v>7.8674358426512825E-2</v>
      </c>
      <c r="AN58" s="17">
        <f t="shared" si="244"/>
        <v>0.12836978478266289</v>
      </c>
      <c r="AO58" s="17">
        <f t="shared" si="244"/>
        <v>0.10679466199552862</v>
      </c>
      <c r="AP58" s="17">
        <f t="shared" si="244"/>
        <v>8.8345881774565066E-2</v>
      </c>
      <c r="AQ58" s="17">
        <f t="shared" si="244"/>
        <v>0.10940794137413574</v>
      </c>
      <c r="AR58" s="17">
        <f t="shared" si="244"/>
        <v>0.10055589144162301</v>
      </c>
      <c r="AS58" s="17">
        <f t="shared" si="244"/>
        <v>7.9636012467907705E-2</v>
      </c>
      <c r="AT58" s="17">
        <f t="shared" si="244"/>
        <v>9.855340011500166E-2</v>
      </c>
      <c r="AU58" s="17">
        <f t="shared" si="244"/>
        <v>8.7704249514863469E-2</v>
      </c>
      <c r="AV58" s="17">
        <f t="shared" si="244"/>
        <v>7.1791153009427094E-2</v>
      </c>
      <c r="AW58" s="17">
        <f t="shared" si="244"/>
        <v>0.1058574453069866</v>
      </c>
      <c r="AX58" s="17">
        <f t="shared" si="244"/>
        <v>8.4595959595959586E-2</v>
      </c>
      <c r="AY58" s="17">
        <f t="shared" si="244"/>
        <v>6.713368359603035E-2</v>
      </c>
      <c r="AZ58" s="17">
        <f t="shared" si="244"/>
        <v>9.0252707581227429E-2</v>
      </c>
      <c r="BA58" s="17">
        <f t="shared" si="244"/>
        <v>6.928034371643392E-2</v>
      </c>
      <c r="BB58" s="17">
        <f t="shared" si="244"/>
        <v>7.1623838162930553E-2</v>
      </c>
      <c r="BC58" s="17">
        <f t="shared" si="244"/>
        <v>6.9179143004646351E-2</v>
      </c>
      <c r="BD58" s="17">
        <f t="shared" si="244"/>
        <v>6.1734693877551025E-2</v>
      </c>
      <c r="BE58" s="17">
        <f t="shared" si="244"/>
        <v>6.1925495887760036E-2</v>
      </c>
      <c r="BF58" s="17">
        <f t="shared" ref="BF58" si="245">-BF28/BF$20</f>
        <v>7.4255007327796774E-2</v>
      </c>
    </row>
    <row r="59" spans="2:58" s="15" customFormat="1">
      <c r="B59" s="47" t="s">
        <v>224</v>
      </c>
      <c r="C59" s="17">
        <f t="shared" ref="C59:O59" si="246">-C31/C$20</f>
        <v>0.16041518463428828</v>
      </c>
      <c r="D59" s="17">
        <f t="shared" si="246"/>
        <v>0.15456469081493443</v>
      </c>
      <c r="E59" s="17">
        <f t="shared" si="246"/>
        <v>0.11827714793402909</v>
      </c>
      <c r="F59" s="17">
        <f t="shared" si="246"/>
        <v>6.9679374921275988E-2</v>
      </c>
      <c r="G59" s="17">
        <f t="shared" si="246"/>
        <v>0.10932791111433862</v>
      </c>
      <c r="H59" s="17">
        <f t="shared" si="246"/>
        <v>7.9310561854326056E-2</v>
      </c>
      <c r="I59" s="17">
        <f t="shared" si="246"/>
        <v>0.12816051037066831</v>
      </c>
      <c r="J59" s="17">
        <f t="shared" si="246"/>
        <v>0.14990053228668207</v>
      </c>
      <c r="K59" s="17">
        <f t="shared" si="246"/>
        <v>0.1055956678700361</v>
      </c>
      <c r="L59" s="17">
        <f t="shared" si="246"/>
        <v>0.10274341043571814</v>
      </c>
      <c r="M59" s="17">
        <f t="shared" si="246"/>
        <v>8.1108829568788496E-2</v>
      </c>
      <c r="N59" s="17">
        <f t="shared" si="246"/>
        <v>8.4049788271525733E-2</v>
      </c>
      <c r="O59" s="17">
        <f t="shared" si="246"/>
        <v>8.7255024341530416E-2</v>
      </c>
      <c r="P59" s="176"/>
      <c r="Q59" s="17">
        <f t="shared" ref="Q59:AD59" si="247">-Q31/Q$20</f>
        <v>0.1481712848072019</v>
      </c>
      <c r="R59" s="17">
        <f t="shared" si="247"/>
        <v>-1.2842830064601011E-3</v>
      </c>
      <c r="S59" s="17">
        <f t="shared" si="247"/>
        <v>7.6367588908115278E-2</v>
      </c>
      <c r="T59" s="17">
        <f t="shared" si="247"/>
        <v>0.14625883670469655</v>
      </c>
      <c r="U59" s="17">
        <f t="shared" si="247"/>
        <v>5.7525601262215717E-2</v>
      </c>
      <c r="V59" s="17">
        <f t="shared" si="247"/>
        <v>0.10105886016817194</v>
      </c>
      <c r="W59" s="17">
        <f t="shared" si="247"/>
        <v>0.16111726524521425</v>
      </c>
      <c r="X59" s="17">
        <f t="shared" si="247"/>
        <v>9.8947069444726227E-2</v>
      </c>
      <c r="Y59" s="17">
        <f t="shared" si="247"/>
        <v>0.10787172011661807</v>
      </c>
      <c r="Z59" s="17">
        <f t="shared" si="247"/>
        <v>0.10336194563662374</v>
      </c>
      <c r="AA59" s="17">
        <f t="shared" si="247"/>
        <v>7.9842137219186413E-2</v>
      </c>
      <c r="AB59" s="17">
        <f t="shared" si="247"/>
        <v>8.2292849035187285E-2</v>
      </c>
      <c r="AC59" s="17">
        <f t="shared" si="247"/>
        <v>6.7711099309612333E-2</v>
      </c>
      <c r="AD59" s="17">
        <f t="shared" si="247"/>
        <v>9.9329525701514779E-2</v>
      </c>
      <c r="AF59" s="17">
        <f t="shared" ref="AF59:BE59" si="248">-AF31/AF$20</f>
        <v>-3.4862516537347607E-2</v>
      </c>
      <c r="AG59" s="17">
        <f t="shared" si="248"/>
        <v>2.43313648204471E-2</v>
      </c>
      <c r="AH59" s="17">
        <f t="shared" si="248"/>
        <v>8.7966084115542173E-2</v>
      </c>
      <c r="AI59" s="17">
        <f t="shared" si="248"/>
        <v>6.5582466334735814E-2</v>
      </c>
      <c r="AJ59" s="17">
        <f t="shared" si="248"/>
        <v>6.6274735151541905E-2</v>
      </c>
      <c r="AK59" s="17">
        <f t="shared" si="248"/>
        <v>0.21863708483886887</v>
      </c>
      <c r="AL59" s="17">
        <f t="shared" si="248"/>
        <v>6.162896476438838E-2</v>
      </c>
      <c r="AM59" s="17">
        <f t="shared" si="248"/>
        <v>5.3509958929800816E-2</v>
      </c>
      <c r="AN59" s="17">
        <f t="shared" si="248"/>
        <v>5.8629891019726169E-2</v>
      </c>
      <c r="AO59" s="17">
        <f t="shared" si="248"/>
        <v>0.14027243183442045</v>
      </c>
      <c r="AP59" s="17">
        <f t="shared" si="248"/>
        <v>0.18745277264409466</v>
      </c>
      <c r="AQ59" s="17">
        <f t="shared" si="248"/>
        <v>0.13448596496073503</v>
      </c>
      <c r="AR59" s="17">
        <f t="shared" si="248"/>
        <v>0.10856677415020825</v>
      </c>
      <c r="AS59" s="17">
        <f t="shared" si="248"/>
        <v>8.9952656496580755E-2</v>
      </c>
      <c r="AT59" s="17">
        <f t="shared" si="248"/>
        <v>0.12942983385285839</v>
      </c>
      <c r="AU59" s="17">
        <f t="shared" si="248"/>
        <v>8.783783783783787E-2</v>
      </c>
      <c r="AV59" s="17">
        <f t="shared" si="248"/>
        <v>8.2668600435097869E-2</v>
      </c>
      <c r="AW59" s="17">
        <f t="shared" si="248"/>
        <v>0.12350035285815103</v>
      </c>
      <c r="AX59" s="17">
        <f t="shared" si="248"/>
        <v>6.8813131313131298E-2</v>
      </c>
      <c r="AY59" s="17">
        <f t="shared" si="248"/>
        <v>8.990075890251023E-2</v>
      </c>
      <c r="AZ59" s="17">
        <f t="shared" si="248"/>
        <v>5.5956678700361008E-2</v>
      </c>
      <c r="BA59" s="17">
        <f t="shared" si="248"/>
        <v>0.10580021482277119</v>
      </c>
      <c r="BB59" s="17">
        <f t="shared" si="248"/>
        <v>6.7796610169491525E-2</v>
      </c>
      <c r="BC59" s="17">
        <f t="shared" si="248"/>
        <v>6.7630356220960239E-2</v>
      </c>
      <c r="BD59" s="17">
        <f t="shared" si="248"/>
        <v>6.2244897959183691E-2</v>
      </c>
      <c r="BE59" s="17">
        <f t="shared" si="248"/>
        <v>0.13449443638122885</v>
      </c>
      <c r="BF59" s="17">
        <f t="shared" ref="BF59" si="249">-BF31/BF$20</f>
        <v>8.2071323888617501E-2</v>
      </c>
    </row>
    <row r="60" spans="2:58" s="15" customFormat="1">
      <c r="B60" s="47" t="s">
        <v>239</v>
      </c>
      <c r="C60" s="17">
        <f t="shared" ref="C60:O60" si="250">C78/C$20</f>
        <v>0.88900385867339249</v>
      </c>
      <c r="D60" s="17">
        <f t="shared" si="250"/>
        <v>0.86304071423931117</v>
      </c>
      <c r="E60" s="17">
        <f t="shared" si="250"/>
        <v>0.84757781281544331</v>
      </c>
      <c r="F60" s="17">
        <f t="shared" si="250"/>
        <v>0.87155087297298384</v>
      </c>
      <c r="G60" s="17">
        <f t="shared" si="250"/>
        <v>0.78593567936729036</v>
      </c>
      <c r="H60" s="17">
        <f t="shared" si="250"/>
        <v>0.85320817711283514</v>
      </c>
      <c r="I60" s="17">
        <f t="shared" si="250"/>
        <v>0.7980650309625158</v>
      </c>
      <c r="J60" s="17">
        <f t="shared" si="250"/>
        <v>0.77633421151674831</v>
      </c>
      <c r="K60" s="17">
        <f t="shared" si="250"/>
        <v>0.82635379061371828</v>
      </c>
      <c r="L60" s="17">
        <f t="shared" si="250"/>
        <v>0.84758830912677074</v>
      </c>
      <c r="M60" s="17">
        <f t="shared" si="250"/>
        <v>0.88589029040774425</v>
      </c>
      <c r="N60" s="17">
        <f t="shared" si="250"/>
        <v>0.89978185551135648</v>
      </c>
      <c r="O60" s="17">
        <f t="shared" si="250"/>
        <v>0.89676694545000646</v>
      </c>
      <c r="P60" s="176"/>
      <c r="Q60" s="17">
        <f t="shared" ref="Q60:AD60" si="251">Q78/Q$20</f>
        <v>0.79583768334217597</v>
      </c>
      <c r="R60" s="17">
        <f t="shared" si="251"/>
        <v>0.94000232099338521</v>
      </c>
      <c r="S60" s="17">
        <f t="shared" si="251"/>
        <v>0.74524771834258918</v>
      </c>
      <c r="T60" s="17">
        <f t="shared" si="251"/>
        <v>0.8315251627353536</v>
      </c>
      <c r="U60" s="17">
        <f t="shared" si="251"/>
        <v>0.89432542848744057</v>
      </c>
      <c r="V60" s="17">
        <f t="shared" si="251"/>
        <v>0.81216012265529558</v>
      </c>
      <c r="W60" s="17">
        <f t="shared" si="251"/>
        <v>0.76218289679669671</v>
      </c>
      <c r="X60" s="17">
        <f t="shared" si="251"/>
        <v>0.82987157899007935</v>
      </c>
      <c r="Y60" s="17">
        <f t="shared" si="251"/>
        <v>0.82871720116618075</v>
      </c>
      <c r="Z60" s="17">
        <f t="shared" si="251"/>
        <v>0.82403433476394816</v>
      </c>
      <c r="AA60" s="17">
        <f t="shared" si="251"/>
        <v>0.86581663630843964</v>
      </c>
      <c r="AB60" s="17">
        <f t="shared" si="251"/>
        <v>0.90465380249716243</v>
      </c>
      <c r="AC60" s="17">
        <f t="shared" si="251"/>
        <v>0.879182156133829</v>
      </c>
      <c r="AD60" s="17">
        <f t="shared" si="251"/>
        <v>0.91904643655326579</v>
      </c>
      <c r="AF60" s="17">
        <f t="shared" ref="AF60:BE60" si="252">AF78/AF$20</f>
        <v>0.97455930203454066</v>
      </c>
      <c r="AG60" s="17">
        <f t="shared" si="252"/>
        <v>0.91364002127630528</v>
      </c>
      <c r="AH60" s="17">
        <f t="shared" si="252"/>
        <v>0.86819996888450957</v>
      </c>
      <c r="AI60" s="17">
        <f t="shared" si="252"/>
        <v>0.6309177928606734</v>
      </c>
      <c r="AJ60" s="17">
        <f t="shared" si="252"/>
        <v>0.82511897920994848</v>
      </c>
      <c r="AK60" s="17">
        <f t="shared" si="252"/>
        <v>0.83732216903774581</v>
      </c>
      <c r="AL60" s="17">
        <f t="shared" si="252"/>
        <v>0.89368670022439167</v>
      </c>
      <c r="AM60" s="17">
        <f t="shared" si="252"/>
        <v>0.89495050210099003</v>
      </c>
      <c r="AN60" s="17">
        <f t="shared" si="252"/>
        <v>0.84777675253746976</v>
      </c>
      <c r="AO60" s="17">
        <f t="shared" si="252"/>
        <v>0.77924263028095953</v>
      </c>
      <c r="AP60" s="17">
        <f t="shared" si="252"/>
        <v>0.75030271028122464</v>
      </c>
      <c r="AQ60" s="17">
        <f t="shared" si="252"/>
        <v>0.77419651816867763</v>
      </c>
      <c r="AR60" s="17">
        <f t="shared" si="252"/>
        <v>0.82016659948945314</v>
      </c>
      <c r="AS60" s="17">
        <f t="shared" si="252"/>
        <v>0.83894572377460408</v>
      </c>
      <c r="AT60" s="17">
        <f t="shared" si="252"/>
        <v>0.77561813394667567</v>
      </c>
      <c r="AU60" s="17">
        <f t="shared" si="252"/>
        <v>0.87806198498185994</v>
      </c>
      <c r="AV60" s="17">
        <f t="shared" si="252"/>
        <v>0.82886149383611341</v>
      </c>
      <c r="AW60" s="17">
        <f t="shared" si="252"/>
        <v>0.81933662667607521</v>
      </c>
      <c r="AX60" s="17">
        <f t="shared" si="252"/>
        <v>0.87121212121212088</v>
      </c>
      <c r="AY60" s="17">
        <f t="shared" si="252"/>
        <v>0.86106246351430216</v>
      </c>
      <c r="AZ60" s="17">
        <f t="shared" si="252"/>
        <v>0.86341756919374235</v>
      </c>
      <c r="BA60" s="17">
        <f t="shared" si="252"/>
        <v>0.94146079484425327</v>
      </c>
      <c r="BB60" s="17">
        <f t="shared" si="252"/>
        <v>0.87534171678512862</v>
      </c>
      <c r="BC60" s="17">
        <f t="shared" si="252"/>
        <v>0.88280846670108382</v>
      </c>
      <c r="BD60" s="17">
        <f t="shared" si="252"/>
        <v>0.88163265306122451</v>
      </c>
      <c r="BE60" s="17">
        <f t="shared" si="252"/>
        <v>0.95452346395742704</v>
      </c>
      <c r="BF60" s="17">
        <f t="shared" ref="BF60" si="253">BF78/BF$20</f>
        <v>0.86614557889594523</v>
      </c>
    </row>
    <row r="61" spans="2:58" s="15" customFormat="1">
      <c r="B61" s="47" t="s">
        <v>240</v>
      </c>
      <c r="C61" s="17">
        <f>C36/C130</f>
        <v>1.3816228635298135E-2</v>
      </c>
      <c r="D61" s="17">
        <f>D36/D130</f>
        <v>5.1912889935256029E-2</v>
      </c>
      <c r="E61" s="17">
        <f>E36/E130</f>
        <v>4.2196007259528136E-2</v>
      </c>
      <c r="F61" s="17">
        <f>F36/F130</f>
        <v>9.1192554174958085E-3</v>
      </c>
      <c r="G61" s="17">
        <f>G36/G130</f>
        <v>2.2736978725536273E-3</v>
      </c>
      <c r="H61" s="17">
        <f>H36/H130</f>
        <v>2.232262862672712E-3</v>
      </c>
      <c r="I61" s="17">
        <f>I36/I130</f>
        <v>6.4105378040085923E-3</v>
      </c>
      <c r="J61" s="17">
        <f>J36/J130</f>
        <v>6.4105378040085923E-3</v>
      </c>
      <c r="K61" s="17">
        <f>K36/K130</f>
        <v>2.4905878945844191E-2</v>
      </c>
      <c r="L61" s="17">
        <f>L36/L130</f>
        <v>2.4905878945844191E-2</v>
      </c>
      <c r="M61" s="17">
        <f>M36/M130</f>
        <v>4.2903904606032273E-2</v>
      </c>
      <c r="N61" s="17">
        <f>N36/N130</f>
        <v>3.797289666854884E-2</v>
      </c>
      <c r="O61" s="17">
        <f>O36/O130</f>
        <v>3.8230647709320692E-2</v>
      </c>
      <c r="P61" s="176"/>
      <c r="Q61" s="17"/>
      <c r="R61" s="17">
        <f>R36/R130</f>
        <v>4.4499459425580918E-3</v>
      </c>
      <c r="S61" s="17">
        <f>S36/S130</f>
        <v>5.2228943221674382E-3</v>
      </c>
      <c r="T61" s="17">
        <f>T36/T130</f>
        <v>1.2931209306653369E-3</v>
      </c>
      <c r="U61" s="17">
        <f>U36/U130</f>
        <v>2.0040573443471017E-3</v>
      </c>
      <c r="V61" s="17">
        <f>V36/V130</f>
        <v>1.1379724377699324E-3</v>
      </c>
      <c r="W61" s="17">
        <f>W36/W130</f>
        <v>3.5454235922169363E-3</v>
      </c>
      <c r="X61" s="17">
        <f>X36/X130</f>
        <v>2.974428992887104E-3</v>
      </c>
      <c r="Y61" s="17">
        <f>Y36/Y130</f>
        <v>1.0180337405468295E-2</v>
      </c>
      <c r="Z61" s="17">
        <f>Z36/Z130</f>
        <v>1.4769765421372719E-2</v>
      </c>
      <c r="AA61" s="17">
        <f>AA36/AA130</f>
        <v>1.6887597603050662E-2</v>
      </c>
      <c r="AB61" s="17">
        <f>AB36/AB130</f>
        <v>2.1159691372457334E-2</v>
      </c>
      <c r="AC61" s="17">
        <f>AC36/AC130</f>
        <v>1.826968411126827E-2</v>
      </c>
      <c r="AD61" s="17">
        <f>AD36/AD130</f>
        <v>1.6092603049124788E-2</v>
      </c>
      <c r="AF61" s="17"/>
      <c r="AG61" s="17">
        <f>AG36/AG130</f>
        <v>2.9770765108663283E-3</v>
      </c>
      <c r="AH61" s="17"/>
      <c r="AI61" s="17">
        <f>AI36/AI130</f>
        <v>1.6901336857622117E-3</v>
      </c>
      <c r="AJ61" s="17">
        <f>AJ36/AJ130</f>
        <v>1.9557718368855494E-3</v>
      </c>
      <c r="AK61" s="17">
        <f>AK36/AK130</f>
        <v>9.9012026978987939E-4</v>
      </c>
      <c r="AL61" s="17">
        <f>AL36/AL130</f>
        <v>4.1376234536176764E-4</v>
      </c>
      <c r="AM61" s="17">
        <f>AM36/AM130</f>
        <v>1.0297203550278865E-3</v>
      </c>
      <c r="AN61" s="17">
        <f>AN36/AN130</f>
        <v>3.5332281760195271E-4</v>
      </c>
      <c r="AO61" s="17">
        <f>AO36/AO130</f>
        <v>5.8802709628859719E-4</v>
      </c>
      <c r="AP61" s="17">
        <f>AP36/AP130</f>
        <v>8.7759282836380004E-4</v>
      </c>
      <c r="AQ61" s="17">
        <f>AQ36/AQ130</f>
        <v>1.9757536758389536E-3</v>
      </c>
      <c r="AR61" s="17">
        <f>AR36/AR130</f>
        <v>1.261491208356075E-3</v>
      </c>
      <c r="AS61" s="17">
        <f>AS36/AS130</f>
        <v>1.5470058171657103E-3</v>
      </c>
      <c r="AT61" s="17">
        <f>AT36/AT130</f>
        <v>5.003186222447345E-3</v>
      </c>
      <c r="AU61" s="17">
        <f>AU36/AU130</f>
        <v>5.7271669575334498E-3</v>
      </c>
      <c r="AV61" s="17">
        <f>AV36/AV130</f>
        <v>5.4116292458261366E-3</v>
      </c>
      <c r="AW61" s="17">
        <f>AW36/AW130</f>
        <v>7.9640891977990156E-3</v>
      </c>
      <c r="AX61" s="17">
        <f>AX36/AX130</f>
        <v>6.4924525239409185E-3</v>
      </c>
      <c r="AY61" s="17">
        <f>AY36/AY130</f>
        <v>9.6241147630288723E-3</v>
      </c>
      <c r="AZ61" s="17">
        <f>AZ36/AZ130</f>
        <v>7.0795083242570387E-3</v>
      </c>
      <c r="BA61" s="17">
        <f>BA36/BA130</f>
        <v>1.0521393500116908E-2</v>
      </c>
      <c r="BB61" s="17">
        <f>BB36/BB130</f>
        <v>2.9786081776333605E-3</v>
      </c>
      <c r="BC61" s="17">
        <f>BC36/BC130</f>
        <v>1.1786892975011787E-2</v>
      </c>
      <c r="BD61" s="17">
        <f>BD36/BD130</f>
        <v>3.9916365709941068E-3</v>
      </c>
      <c r="BE61" s="17">
        <f>BE36/BE130</f>
        <v>1.0163749294184076E-2</v>
      </c>
      <c r="BF61" s="17">
        <f>BF36/BF130</f>
        <v>4.4233807266982617E-3</v>
      </c>
    </row>
    <row r="62" spans="2:58" s="15" customFormat="1">
      <c r="B62" s="47" t="s">
        <v>241</v>
      </c>
      <c r="C62" s="17">
        <f>-(C37)/C128</f>
        <v>2.2266806657172258E-2</v>
      </c>
      <c r="D62" s="17">
        <f>-(D37)/D128</f>
        <v>2.1942622999401376E-2</v>
      </c>
      <c r="E62" s="17">
        <f>-(E37)/E128</f>
        <v>2.5771086948973933E-2</v>
      </c>
      <c r="F62" s="17">
        <f>-(F37)/F128</f>
        <v>2.1293122409966638E-2</v>
      </c>
      <c r="G62" s="17">
        <f>-(G37)/G128</f>
        <v>2.0191158126459451E-2</v>
      </c>
      <c r="H62" s="17">
        <f>-(H37)/H128</f>
        <v>1.5707051077221437E-2</v>
      </c>
      <c r="I62" s="17">
        <f>-(I37)/I128</f>
        <v>1.4460500128613062E-2</v>
      </c>
      <c r="J62" s="17">
        <f>-(J37)/J128</f>
        <v>1.4460500128613062E-2</v>
      </c>
      <c r="K62" s="17">
        <f>-(K37)/K128</f>
        <v>1.8512671852128241E-2</v>
      </c>
      <c r="L62" s="17">
        <f>-(L37)/L128</f>
        <v>1.8512671852128241E-2</v>
      </c>
      <c r="M62" s="17">
        <f>-(M37)/M128</f>
        <v>2.9841348231372307E-2</v>
      </c>
      <c r="N62" s="17">
        <f>-(N37)/N128</f>
        <v>3.1824978870034465E-2</v>
      </c>
      <c r="O62" s="17">
        <f>-(O37)/O128</f>
        <v>3.0989400046921318E-2</v>
      </c>
      <c r="P62" s="176"/>
      <c r="Q62" s="17"/>
      <c r="R62" s="17">
        <f>-(R37)/R128</f>
        <v>1.1597897239276976E-2</v>
      </c>
      <c r="S62" s="17">
        <f>-(S37)/S128</f>
        <v>1.0984956831471259E-2</v>
      </c>
      <c r="T62" s="17">
        <f>-(T37)/T128</f>
        <v>1.1094324591707529E-2</v>
      </c>
      <c r="U62" s="17">
        <f>-(U37)/U128</f>
        <v>1.4262473751874514E-2</v>
      </c>
      <c r="V62" s="17">
        <f>-(V37)/V128</f>
        <v>6.018860959037974E-3</v>
      </c>
      <c r="W62" s="17">
        <f>-(W37)/W128</f>
        <v>7.6507388414817192E-3</v>
      </c>
      <c r="X62" s="17">
        <f>-(X37)/X128</f>
        <v>7.5790629853313019E-3</v>
      </c>
      <c r="Y62" s="17">
        <f>-(Y37)/Y128</f>
        <v>9.3488626592667864E-3</v>
      </c>
      <c r="Z62" s="17">
        <f>-(Z37)/Z128</f>
        <v>9.9308286214517382E-3</v>
      </c>
      <c r="AA62" s="17">
        <f>-(AA37)/AA128</f>
        <v>1.3490002269346177E-2</v>
      </c>
      <c r="AB62" s="17">
        <f>-(AB37)/AB128</f>
        <v>1.6630656213346501E-2</v>
      </c>
      <c r="AC62" s="17">
        <f>-(AC37)/AC128</f>
        <v>1.6766256590509666E-2</v>
      </c>
      <c r="AD62" s="17">
        <f>-(AD37)/AD128</f>
        <v>1.631883492620766E-2</v>
      </c>
      <c r="AF62" s="17"/>
      <c r="AG62" s="17">
        <f>-(AG37)/AG128</f>
        <v>6.0952725227639091E-3</v>
      </c>
      <c r="AH62" s="17"/>
      <c r="AI62" s="17">
        <f>-(AI37)/AI128</f>
        <v>5.1262183173452526E-3</v>
      </c>
      <c r="AJ62" s="17">
        <f>-(AJ37)/AJ128</f>
        <v>8.1681363948247973E-3</v>
      </c>
      <c r="AK62" s="17">
        <f>-(AK37)/AK128</f>
        <v>4.1254966475736407E-3</v>
      </c>
      <c r="AL62" s="17">
        <f>-(AL37)/AL128</f>
        <v>5.4434909403006946E-3</v>
      </c>
      <c r="AM62" s="17">
        <f>-(AM37)/AM128</f>
        <v>8.1051536524570384E-3</v>
      </c>
      <c r="AN62" s="17">
        <f>-(AN37)/AN128</f>
        <v>2.7015758785616231E-3</v>
      </c>
      <c r="AO62" s="17">
        <f>-(AO37)/AO128</f>
        <v>3.3223172947079126E-3</v>
      </c>
      <c r="AP62" s="17">
        <f>-(AP37)/AP128</f>
        <v>4.0437627711060161E-3</v>
      </c>
      <c r="AQ62" s="17">
        <f>-(AQ37)/AQ128</f>
        <v>3.5205549610469651E-3</v>
      </c>
      <c r="AR62" s="17">
        <f>-(AR37)/AR128</f>
        <v>3.4442919408753246E-3</v>
      </c>
      <c r="AS62" s="17">
        <f>-(AS37)/AS128</f>
        <v>4.2315484518851811E-3</v>
      </c>
      <c r="AT62" s="17">
        <f>-(AT37)/AT128</f>
        <v>4.5811539700177095E-3</v>
      </c>
      <c r="AU62" s="17">
        <f>-(AU37)/AU128</f>
        <v>4.9633393261940117E-3</v>
      </c>
      <c r="AV62" s="17">
        <f>-(AV37)/AV128</f>
        <v>4.4796793492676316E-3</v>
      </c>
      <c r="AW62" s="17">
        <f>-(AW37)/AW128</f>
        <v>5.5681524640509746E-3</v>
      </c>
      <c r="AX62" s="17">
        <f>-(AX37)/AX128</f>
        <v>6.620959843290892E-3</v>
      </c>
      <c r="AY62" s="17">
        <f>-(AY37)/AY128</f>
        <v>7.0980105398522403E-3</v>
      </c>
      <c r="AZ62" s="17">
        <f>-(AZ37)/AZ128</f>
        <v>7.9766967380349562E-3</v>
      </c>
      <c r="BA62" s="17">
        <f>-(BA37)/BA128</f>
        <v>8.6178159145626244E-3</v>
      </c>
      <c r="BB62" s="17">
        <f>-(BB37)/BB128</f>
        <v>7.2458282414266705E-3</v>
      </c>
      <c r="BC62" s="17">
        <f>-(BC37)/BC128</f>
        <v>8.9162272993555947E-3</v>
      </c>
      <c r="BD62" s="17">
        <f>-(BD37)/BD128</f>
        <v>8.0557707203718059E-3</v>
      </c>
      <c r="BE62" s="17">
        <f>-(BE37)/BE128</f>
        <v>8.4303144572307823E-3</v>
      </c>
      <c r="BF62" s="17">
        <f>-(BF37)/BF128</f>
        <v>6.8142555505790519E-3</v>
      </c>
    </row>
    <row r="63" spans="2:58" s="15" customFormat="1">
      <c r="B63" s="47" t="s">
        <v>242</v>
      </c>
      <c r="C63" s="17">
        <f t="shared" ref="C63:O63" si="254">(-C42)/C40</f>
        <v>0.19098254400441469</v>
      </c>
      <c r="D63" s="17">
        <f t="shared" si="254"/>
        <v>0.23824714902586727</v>
      </c>
      <c r="E63" s="17">
        <f t="shared" si="254"/>
        <v>0.14389147744028311</v>
      </c>
      <c r="F63" s="17">
        <f t="shared" si="254"/>
        <v>0.2167885937740284</v>
      </c>
      <c r="G63" s="17">
        <f t="shared" si="254"/>
        <v>0.13050185073599033</v>
      </c>
      <c r="H63" s="17">
        <f t="shared" si="254"/>
        <v>0.19640946510116</v>
      </c>
      <c r="I63" s="17">
        <f t="shared" si="254"/>
        <v>0.19320285879821891</v>
      </c>
      <c r="J63" s="17">
        <f t="shared" si="254"/>
        <v>0.19622895481265706</v>
      </c>
      <c r="K63" s="17">
        <f t="shared" si="254"/>
        <v>0.2388416797293953</v>
      </c>
      <c r="L63" s="17">
        <f t="shared" si="254"/>
        <v>0.23884167972939524</v>
      </c>
      <c r="M63" s="17">
        <f t="shared" si="254"/>
        <v>0.18697842267498682</v>
      </c>
      <c r="N63" s="17">
        <f t="shared" si="254"/>
        <v>0.20776272427682166</v>
      </c>
      <c r="O63" s="17">
        <f t="shared" si="254"/>
        <v>0.20830330113882081</v>
      </c>
      <c r="P63" s="176"/>
      <c r="Q63" s="17">
        <f t="shared" ref="Q63:AD63" si="255">(-Q42)/Q40</f>
        <v>0.19416594368187898</v>
      </c>
      <c r="R63" s="17">
        <f t="shared" si="255"/>
        <v>0.22884204468227101</v>
      </c>
      <c r="S63" s="17">
        <f t="shared" si="255"/>
        <v>0.21788690898205484</v>
      </c>
      <c r="T63" s="17">
        <f t="shared" si="255"/>
        <v>6.2648715768612057E-2</v>
      </c>
      <c r="U63" s="17">
        <f t="shared" si="255"/>
        <v>0.19267711200871304</v>
      </c>
      <c r="V63" s="17">
        <f t="shared" si="255"/>
        <v>0.19724363569454398</v>
      </c>
      <c r="W63" s="17">
        <f t="shared" si="255"/>
        <v>0.19641270601040581</v>
      </c>
      <c r="X63" s="17">
        <f t="shared" si="255"/>
        <v>0.18801196099950696</v>
      </c>
      <c r="Y63" s="17">
        <f t="shared" si="255"/>
        <v>0.19276901987662781</v>
      </c>
      <c r="Z63" s="17">
        <f t="shared" si="255"/>
        <v>0.28162291169451065</v>
      </c>
      <c r="AA63" s="17">
        <f t="shared" si="255"/>
        <v>0.19426415094339622</v>
      </c>
      <c r="AB63" s="17">
        <f t="shared" si="255"/>
        <v>0.17974835230677053</v>
      </c>
      <c r="AC63" s="17">
        <f t="shared" si="255"/>
        <v>0.18698024948024955</v>
      </c>
      <c r="AD63" s="17">
        <f t="shared" si="255"/>
        <v>0.23460312132908201</v>
      </c>
      <c r="AF63" s="17">
        <f t="shared" ref="AF63:BE63" si="256">(-AF42)/AF40</f>
        <v>0.34161958568738249</v>
      </c>
      <c r="AG63" s="17">
        <f t="shared" si="256"/>
        <v>0.21551821514511538</v>
      </c>
      <c r="AH63" s="17">
        <f t="shared" si="256"/>
        <v>0.21852002164502157</v>
      </c>
      <c r="AI63" s="17">
        <f t="shared" si="256"/>
        <v>0.21700426238165296</v>
      </c>
      <c r="AJ63" s="17">
        <f t="shared" si="256"/>
        <v>0.21432658926459547</v>
      </c>
      <c r="AK63" s="17">
        <f t="shared" si="256"/>
        <v>-7.7929425076020034E-2</v>
      </c>
      <c r="AL63" s="17">
        <f t="shared" si="256"/>
        <v>0.18688594970360464</v>
      </c>
      <c r="AM63" s="17">
        <f t="shared" si="256"/>
        <v>0.19893480355422336</v>
      </c>
      <c r="AN63" s="17">
        <f t="shared" si="256"/>
        <v>0.19495592495430863</v>
      </c>
      <c r="AO63" s="17">
        <f t="shared" si="256"/>
        <v>0.19766058548810692</v>
      </c>
      <c r="AP63" s="17">
        <f t="shared" si="256"/>
        <v>0.19722422206223506</v>
      </c>
      <c r="AQ63" s="17">
        <f t="shared" si="256"/>
        <v>0.19629894063203224</v>
      </c>
      <c r="AR63" s="17">
        <f t="shared" si="256"/>
        <v>0.19653148426927003</v>
      </c>
      <c r="AS63" s="17">
        <f t="shared" si="256"/>
        <v>0.18345136345136334</v>
      </c>
      <c r="AT63" s="17">
        <f t="shared" si="256"/>
        <v>0.19318873041885226</v>
      </c>
      <c r="AU63" s="17">
        <f t="shared" si="256"/>
        <v>0.19238331985190157</v>
      </c>
      <c r="AV63" s="17">
        <f t="shared" si="256"/>
        <v>0.19420468557336623</v>
      </c>
      <c r="AW63" s="17">
        <f t="shared" si="256"/>
        <v>0.37487668530088775</v>
      </c>
      <c r="AX63" s="17">
        <f t="shared" si="256"/>
        <v>0.19403562167665223</v>
      </c>
      <c r="AY63" s="17">
        <f t="shared" si="256"/>
        <v>0.19428028343918105</v>
      </c>
      <c r="AZ63" s="17">
        <f t="shared" si="256"/>
        <v>0.19460959175584627</v>
      </c>
      <c r="BA63" s="17">
        <f t="shared" si="256"/>
        <v>0.1707199614736335</v>
      </c>
      <c r="BB63" s="17">
        <f t="shared" si="256"/>
        <v>0.18705931148900873</v>
      </c>
      <c r="BC63" s="17">
        <f t="shared" si="256"/>
        <v>0.18694418164616847</v>
      </c>
      <c r="BD63" s="17">
        <f t="shared" si="256"/>
        <v>0.18683579019540622</v>
      </c>
      <c r="BE63" s="17">
        <f t="shared" si="256"/>
        <v>0.28040762656147261</v>
      </c>
      <c r="BF63" s="17">
        <f t="shared" ref="BF63" si="257">(-BF42)/BF40</f>
        <v>0.19163498098859316</v>
      </c>
    </row>
    <row r="64" spans="2:58" s="15" customFormat="1">
      <c r="B64" s="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176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</row>
    <row r="65" spans="2:58" s="15" customFormat="1">
      <c r="B65" s="37" t="s">
        <v>243</v>
      </c>
      <c r="C65" s="17">
        <f t="shared" ref="C65:I65" si="258">C111/C128</f>
        <v>2.423499000315325E-2</v>
      </c>
      <c r="D65" s="17">
        <f t="shared" si="258"/>
        <v>2.3547349558737239E-2</v>
      </c>
      <c r="E65" s="17">
        <f t="shared" si="258"/>
        <v>2.5671619101955482E-2</v>
      </c>
      <c r="F65" s="17">
        <f t="shared" si="258"/>
        <v>2.03834248321298E-2</v>
      </c>
      <c r="G65" s="17">
        <f t="shared" si="258"/>
        <v>1.8346277743176861E-2</v>
      </c>
      <c r="H65" s="17">
        <f t="shared" si="258"/>
        <v>1.0008167852696787E-2</v>
      </c>
      <c r="I65" s="17">
        <f t="shared" si="258"/>
        <v>1.1013738190112065E-2</v>
      </c>
      <c r="J65" s="17">
        <f t="shared" ref="J65" si="259">J111/J128</f>
        <v>1.1013738190112065E-2</v>
      </c>
      <c r="K65" s="17">
        <f t="shared" ref="K65:M65" si="260">K111/K128</f>
        <v>1.6718808300565425E-2</v>
      </c>
      <c r="L65" s="17">
        <f t="shared" ref="L65" si="261">L111/L128</f>
        <v>1.6718808300565425E-2</v>
      </c>
      <c r="M65" s="17">
        <f t="shared" si="260"/>
        <v>2.5557133156367678E-2</v>
      </c>
      <c r="N65" s="17">
        <f t="shared" ref="N65" si="262">N111/N128</f>
        <v>2.6244500791019226E-2</v>
      </c>
      <c r="O65" s="17">
        <f>O111/O128</f>
        <v>2.9805703073346557E-2</v>
      </c>
      <c r="P65" s="176"/>
      <c r="Q65" s="17"/>
      <c r="R65" s="17">
        <f t="shared" ref="R65:X65" si="263">R111/R128</f>
        <v>2.03834248321298E-2</v>
      </c>
      <c r="S65" s="17">
        <f t="shared" si="263"/>
        <v>2.1401401144994173E-2</v>
      </c>
      <c r="T65" s="17">
        <f t="shared" si="263"/>
        <v>1.8346277743176861E-2</v>
      </c>
      <c r="U65" s="17">
        <f t="shared" si="263"/>
        <v>1.7078693323703445E-2</v>
      </c>
      <c r="V65" s="17">
        <f t="shared" si="263"/>
        <v>1.0008167852696787E-2</v>
      </c>
      <c r="W65" s="17">
        <f t="shared" si="263"/>
        <v>9.7421388909182515E-3</v>
      </c>
      <c r="X65" s="17">
        <f t="shared" si="263"/>
        <v>1.1013738190112065E-2</v>
      </c>
      <c r="Y65" s="17">
        <f t="shared" ref="Y65:AA65" si="264">Y111/Y128</f>
        <v>1.3487375908700071E-2</v>
      </c>
      <c r="Z65" s="17">
        <f t="shared" si="264"/>
        <v>1.6718808300565425E-2</v>
      </c>
      <c r="AA65" s="17">
        <f t="shared" si="264"/>
        <v>1.7713507652739605E-2</v>
      </c>
      <c r="AB65" s="17">
        <f t="shared" ref="AB65:AC65" si="265">AB111/AB128</f>
        <v>2.5557133156367678E-2</v>
      </c>
      <c r="AC65" s="17">
        <f t="shared" si="265"/>
        <v>2.8623315758640893E-2</v>
      </c>
      <c r="AD65" s="17">
        <f t="shared" ref="AD65" si="266">AD111/AD128</f>
        <v>2.6244500791019226E-2</v>
      </c>
      <c r="AF65" s="17"/>
      <c r="AG65" s="17">
        <f>AG111/AG128</f>
        <v>2.03834248321298E-2</v>
      </c>
      <c r="AH65" s="17"/>
      <c r="AI65" s="17"/>
      <c r="AJ65" s="17"/>
      <c r="AK65" s="17">
        <f>AK111/AK128</f>
        <v>1.8346277743176861E-2</v>
      </c>
      <c r="AL65" s="17"/>
      <c r="AM65" s="17"/>
      <c r="AN65" s="17"/>
      <c r="AO65" s="17">
        <f>AO111/AO128</f>
        <v>1.0008167852696787E-2</v>
      </c>
      <c r="AP65" s="17"/>
      <c r="AQ65" s="17"/>
      <c r="AR65" s="17"/>
      <c r="AS65" s="17">
        <f>AS111/AS128</f>
        <v>1.1013738190112065E-2</v>
      </c>
      <c r="AT65" s="17"/>
      <c r="AU65" s="17"/>
      <c r="AV65" s="17"/>
      <c r="AW65" s="17">
        <f>AW111/AW128</f>
        <v>1.6718808300565425E-2</v>
      </c>
      <c r="AX65" s="17"/>
      <c r="AY65" s="17"/>
      <c r="AZ65" s="17"/>
      <c r="BA65" s="17">
        <f>BA111/BA128</f>
        <v>2.5557133156367678E-2</v>
      </c>
      <c r="BB65" s="17"/>
      <c r="BC65" s="17"/>
      <c r="BD65" s="17"/>
      <c r="BE65" s="17">
        <f>BE111/BE128</f>
        <v>2.6244500791019226E-2</v>
      </c>
      <c r="BF65" s="17"/>
    </row>
    <row r="66" spans="2:58" s="15" customFormat="1">
      <c r="B66" s="37" t="s">
        <v>244</v>
      </c>
      <c r="C66" s="17">
        <f t="shared" ref="C66:G66" si="267">C122/C107</f>
        <v>-8.0089029726874927E-2</v>
      </c>
      <c r="D66" s="17">
        <f t="shared" si="267"/>
        <v>-0.38671102820391456</v>
      </c>
      <c r="E66" s="17">
        <f t="shared" si="267"/>
        <v>-0.27995928956962068</v>
      </c>
      <c r="F66" s="17">
        <f t="shared" si="267"/>
        <v>-0.28276442122114642</v>
      </c>
      <c r="G66" s="17">
        <f t="shared" si="267"/>
        <v>-0.29109327911114335</v>
      </c>
      <c r="H66" s="17">
        <f t="shared" ref="H66:I66" si="268">H122/H107</f>
        <v>-0.25782601007603478</v>
      </c>
      <c r="I66" s="17">
        <f t="shared" si="268"/>
        <v>-0.1762228526812312</v>
      </c>
      <c r="J66" s="17">
        <f t="shared" ref="J66" si="269">J122/J107</f>
        <v>-0.17620087101457058</v>
      </c>
      <c r="K66" s="17">
        <f t="shared" ref="K66:M66" si="270">K122/K107</f>
        <v>-0.16570397111913349</v>
      </c>
      <c r="L66" s="17">
        <f t="shared" ref="L66" si="271">L122/L107</f>
        <v>-0.16460462614308763</v>
      </c>
      <c r="M66" s="17">
        <f t="shared" si="270"/>
        <v>-6.820181871516566E-2</v>
      </c>
      <c r="N66" s="17">
        <f t="shared" ref="N66" si="272">N122/N107</f>
        <v>-6.3390221994097246E-2</v>
      </c>
      <c r="O66" s="17">
        <f>O122/O107</f>
        <v>6.2289352140806442E-2</v>
      </c>
      <c r="P66" s="176"/>
      <c r="Q66" s="17"/>
      <c r="R66" s="17">
        <f t="shared" ref="R66:W66" si="273">R122/R107</f>
        <v>-0.28276442122114642</v>
      </c>
      <c r="S66" s="17">
        <f t="shared" si="273"/>
        <v>-0.39224638482594637</v>
      </c>
      <c r="T66" s="17">
        <f t="shared" si="273"/>
        <v>-0.29109327911114335</v>
      </c>
      <c r="U66" s="17">
        <f t="shared" si="273"/>
        <v>-0.18396051182157963</v>
      </c>
      <c r="V66" s="17">
        <f t="shared" si="273"/>
        <v>-0.25782601007603484</v>
      </c>
      <c r="W66" s="17">
        <f t="shared" si="273"/>
        <v>-0.1590025789110458</v>
      </c>
      <c r="X66" s="17">
        <f t="shared" ref="X66:Y66" si="274">X122/X107</f>
        <v>-0.1762228526812312</v>
      </c>
      <c r="Y66" s="17">
        <f t="shared" si="274"/>
        <v>-7.2956964990256404E-2</v>
      </c>
      <c r="Z66" s="17">
        <f t="shared" ref="Z66:AC66" si="275">Z122/Z107</f>
        <v>-0.16570397111913349</v>
      </c>
      <c r="AA66" s="17">
        <f t="shared" ref="AA66" si="276">AA122/AA107</f>
        <v>-0.17207684663795955</v>
      </c>
      <c r="AB66" s="17">
        <f t="shared" si="275"/>
        <v>-6.820181871516566E-2</v>
      </c>
      <c r="AC66" s="17">
        <f t="shared" si="275"/>
        <v>-9.4650205761316886E-2</v>
      </c>
      <c r="AD66" s="17">
        <f t="shared" ref="AD66" si="277">AD122/AD107</f>
        <v>-6.3390221994097246E-2</v>
      </c>
      <c r="AF66" s="17"/>
      <c r="AG66" s="17">
        <f>AG122/AG107</f>
        <v>-0.28276442122114642</v>
      </c>
      <c r="AH66" s="17"/>
      <c r="AI66" s="17">
        <f t="shared" ref="AI66:AN66" si="278">AI122/AI107</f>
        <v>-0.39224638482594626</v>
      </c>
      <c r="AJ66" s="17">
        <f t="shared" si="278"/>
        <v>-0.26275678707874295</v>
      </c>
      <c r="AK66" s="17">
        <f t="shared" si="278"/>
        <v>-0.29109327911114335</v>
      </c>
      <c r="AL66" s="17">
        <f t="shared" si="278"/>
        <v>-0.23216463810240573</v>
      </c>
      <c r="AM66" s="17">
        <f t="shared" si="278"/>
        <v>-0.18396051182157963</v>
      </c>
      <c r="AN66" s="17">
        <f t="shared" si="278"/>
        <v>-0.28816676504395916</v>
      </c>
      <c r="AO66" s="17">
        <f t="shared" ref="AO66:AP66" si="279">AO122/AO107</f>
        <v>-0.25782601007603478</v>
      </c>
      <c r="AP66" s="17">
        <f t="shared" si="279"/>
        <v>-2.9914778471108721E-2</v>
      </c>
      <c r="AQ66" s="17">
        <f t="shared" ref="AQ66:AT66" si="280">AQ122/AQ107</f>
        <v>-0.15900257891104577</v>
      </c>
      <c r="AR66" s="17">
        <f t="shared" si="280"/>
        <v>-0.17681064469603411</v>
      </c>
      <c r="AS66" s="17">
        <f t="shared" si="280"/>
        <v>-0.1762228526812312</v>
      </c>
      <c r="AT66" s="17">
        <f t="shared" si="280"/>
        <v>-4.3142301251108295E-2</v>
      </c>
      <c r="AU66" s="17">
        <f t="shared" ref="AU66:AX66" si="281">AU122/AU107</f>
        <v>-7.2956964990256418E-2</v>
      </c>
      <c r="AV66" s="17">
        <f t="shared" si="281"/>
        <v>-0.15972812864229238</v>
      </c>
      <c r="AW66" s="17">
        <f t="shared" si="281"/>
        <v>-0.16570397111913349</v>
      </c>
      <c r="AX66" s="17">
        <f t="shared" si="281"/>
        <v>-9.8409590712616443E-2</v>
      </c>
      <c r="AY66" s="17">
        <f t="shared" ref="AY66:BB66" si="282">AY122/AY107</f>
        <v>-0.17052355161660918</v>
      </c>
      <c r="AZ66" s="17">
        <f t="shared" si="282"/>
        <v>-0.10868883312421582</v>
      </c>
      <c r="BA66" s="17">
        <f t="shared" si="282"/>
        <v>-6.8171822313443681E-2</v>
      </c>
      <c r="BB66" s="17">
        <f t="shared" si="282"/>
        <v>-6.3260684970280284E-2</v>
      </c>
      <c r="BC66" s="17">
        <f t="shared" ref="BC66:BF66" si="283">BC122/BC107</f>
        <v>-9.4650205761316858E-2</v>
      </c>
      <c r="BD66" s="17">
        <f t="shared" si="283"/>
        <v>-0.13218239325250394</v>
      </c>
      <c r="BE66" s="17">
        <f t="shared" si="283"/>
        <v>-6.3390221994097246E-2</v>
      </c>
      <c r="BF66" s="17">
        <f t="shared" si="283"/>
        <v>6.2289352140806442E-2</v>
      </c>
    </row>
    <row r="67" spans="2:58" s="15" customFormat="1"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176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spans="2:58">
      <c r="B68" s="10" t="s">
        <v>245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</row>
    <row r="69" spans="2:58">
      <c r="B69" s="20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2:58" s="5" customFormat="1">
      <c r="B70" s="27" t="s">
        <v>246</v>
      </c>
      <c r="C70" s="14">
        <f t="shared" ref="C70:O70" si="284">+C34</f>
        <v>421.79900000000009</v>
      </c>
      <c r="D70" s="14">
        <f t="shared" si="284"/>
        <v>509.09699999999998</v>
      </c>
      <c r="E70" s="14">
        <f t="shared" si="284"/>
        <v>483.89300000000003</v>
      </c>
      <c r="F70" s="14">
        <f t="shared" si="284"/>
        <v>617.899</v>
      </c>
      <c r="G70" s="14">
        <f t="shared" si="284"/>
        <v>391.88600000000008</v>
      </c>
      <c r="H70" s="14">
        <f t="shared" si="284"/>
        <v>1376.808</v>
      </c>
      <c r="I70" s="14">
        <f t="shared" si="284"/>
        <v>1083.885</v>
      </c>
      <c r="J70" s="14">
        <f t="shared" si="284"/>
        <v>1047.547</v>
      </c>
      <c r="K70" s="14">
        <f t="shared" si="284"/>
        <v>1323.8</v>
      </c>
      <c r="L70" s="14">
        <f t="shared" si="284"/>
        <v>1323.8000000000002</v>
      </c>
      <c r="M70" s="14">
        <f t="shared" si="284"/>
        <v>1511.2</v>
      </c>
      <c r="N70" s="14">
        <f t="shared" si="284"/>
        <v>1688.7</v>
      </c>
      <c r="O70" s="14">
        <f t="shared" si="284"/>
        <v>1713</v>
      </c>
      <c r="P70" s="1"/>
      <c r="Q70" s="14">
        <f t="shared" ref="Q70:AD70" si="285">+Q34</f>
        <v>247.637</v>
      </c>
      <c r="R70" s="14">
        <f t="shared" si="285"/>
        <v>370.262</v>
      </c>
      <c r="S70" s="14">
        <f t="shared" si="285"/>
        <v>168.04899999999998</v>
      </c>
      <c r="T70" s="14">
        <f t="shared" si="285"/>
        <v>223.83699999999999</v>
      </c>
      <c r="U70" s="14">
        <f t="shared" si="285"/>
        <v>289.71699999999998</v>
      </c>
      <c r="V70" s="14">
        <f t="shared" si="285"/>
        <v>1087.0909999999999</v>
      </c>
      <c r="W70" s="14">
        <f t="shared" si="285"/>
        <v>660.50900000000001</v>
      </c>
      <c r="X70" s="14">
        <f t="shared" si="285"/>
        <v>423.37599999999998</v>
      </c>
      <c r="Y70" s="14">
        <f t="shared" si="285"/>
        <v>638.5</v>
      </c>
      <c r="Z70" s="14">
        <f t="shared" si="285"/>
        <v>685.30000000000018</v>
      </c>
      <c r="AA70" s="14">
        <f t="shared" si="285"/>
        <v>716.19999999999993</v>
      </c>
      <c r="AB70" s="14">
        <f t="shared" si="285"/>
        <v>795</v>
      </c>
      <c r="AC70" s="14">
        <f t="shared" si="285"/>
        <v>923.29999999999984</v>
      </c>
      <c r="AD70" s="14">
        <f t="shared" si="285"/>
        <v>765.40000000000009</v>
      </c>
      <c r="AF70" s="14">
        <f t="shared" ref="AF70:BE70" si="286">+AF34</f>
        <v>87.844999999999999</v>
      </c>
      <c r="AG70" s="14">
        <f t="shared" si="286"/>
        <v>282.41699999999997</v>
      </c>
      <c r="AH70" s="14">
        <f t="shared" si="286"/>
        <v>93.01100000000001</v>
      </c>
      <c r="AI70" s="14">
        <f t="shared" si="286"/>
        <v>75.037999999999982</v>
      </c>
      <c r="AJ70" s="14">
        <f t="shared" si="286"/>
        <v>107.19100000000003</v>
      </c>
      <c r="AK70" s="14">
        <f t="shared" si="286"/>
        <v>116.646</v>
      </c>
      <c r="AL70" s="14">
        <f t="shared" si="286"/>
        <v>138.21699999999998</v>
      </c>
      <c r="AM70" s="14">
        <f t="shared" si="286"/>
        <v>151.5</v>
      </c>
      <c r="AN70" s="14">
        <f t="shared" si="286"/>
        <v>186.21000000000004</v>
      </c>
      <c r="AO70" s="14">
        <f t="shared" si="286"/>
        <v>900.88099999999997</v>
      </c>
      <c r="AP70" s="14">
        <f t="shared" si="286"/>
        <v>107.71</v>
      </c>
      <c r="AQ70" s="14">
        <f t="shared" si="286"/>
        <v>552.79899999999998</v>
      </c>
      <c r="AR70" s="14">
        <f t="shared" si="286"/>
        <v>153.90300000000002</v>
      </c>
      <c r="AS70" s="14">
        <f t="shared" si="286"/>
        <v>269.47300000000007</v>
      </c>
      <c r="AT70" s="14">
        <f t="shared" si="286"/>
        <v>307.99700000000001</v>
      </c>
      <c r="AU70" s="14">
        <f t="shared" si="286"/>
        <v>330.50299999999993</v>
      </c>
      <c r="AV70" s="14">
        <f t="shared" si="286"/>
        <v>351.3</v>
      </c>
      <c r="AW70" s="14">
        <f t="shared" si="286"/>
        <v>334.00000000000011</v>
      </c>
      <c r="AX70" s="14">
        <f t="shared" si="286"/>
        <v>300.39999999999998</v>
      </c>
      <c r="AY70" s="14">
        <f t="shared" si="286"/>
        <v>416.09999999999997</v>
      </c>
      <c r="AZ70" s="14">
        <f t="shared" si="286"/>
        <v>308.20000000000005</v>
      </c>
      <c r="BA70" s="14">
        <f t="shared" si="286"/>
        <v>486.7999999999999</v>
      </c>
      <c r="BB70" s="14">
        <f t="shared" si="286"/>
        <v>313.5</v>
      </c>
      <c r="BC70" s="14">
        <f t="shared" si="286"/>
        <v>609.79999999999995</v>
      </c>
      <c r="BD70" s="14">
        <f t="shared" si="286"/>
        <v>373.70000000000005</v>
      </c>
      <c r="BE70" s="14">
        <f t="shared" si="286"/>
        <v>391.70000000000005</v>
      </c>
      <c r="BF70" s="14">
        <f>+BF34</f>
        <v>337.79999999999995</v>
      </c>
    </row>
    <row r="71" spans="2:58">
      <c r="B71" s="20" t="s">
        <v>247</v>
      </c>
      <c r="C71" s="19">
        <f t="shared" ref="C71:O71" si="287">-C22</f>
        <v>-260.83500000000004</v>
      </c>
      <c r="D71" s="19">
        <f t="shared" si="287"/>
        <v>-328.52799999999996</v>
      </c>
      <c r="E71" s="19">
        <f t="shared" si="287"/>
        <v>-238.017</v>
      </c>
      <c r="F71" s="19">
        <f t="shared" si="287"/>
        <v>-406.77499999999998</v>
      </c>
      <c r="G71" s="19">
        <f t="shared" si="287"/>
        <v>-152.16200000000001</v>
      </c>
      <c r="H71" s="19">
        <f t="shared" si="287"/>
        <v>-1100.5709999999999</v>
      </c>
      <c r="I71" s="19">
        <f t="shared" si="287"/>
        <v>-723.58</v>
      </c>
      <c r="J71" s="19">
        <f t="shared" si="287"/>
        <v>-697.3</v>
      </c>
      <c r="K71" s="19">
        <f t="shared" si="287"/>
        <v>-878.7</v>
      </c>
      <c r="L71" s="19">
        <f t="shared" si="287"/>
        <v>-878.7</v>
      </c>
      <c r="M71" s="19">
        <f t="shared" si="287"/>
        <v>-941.5</v>
      </c>
      <c r="N71" s="19">
        <f t="shared" si="287"/>
        <v>-1139.9000000000001</v>
      </c>
      <c r="O71" s="19">
        <f t="shared" si="287"/>
        <v>-1147.8000000000002</v>
      </c>
      <c r="Q71" s="19">
        <f t="shared" ref="Q71:AD71" si="288">-Q22</f>
        <v>-145.24299999999999</v>
      </c>
      <c r="R71" s="19">
        <f t="shared" si="288"/>
        <v>-261.53199999999998</v>
      </c>
      <c r="S71" s="19">
        <f t="shared" si="288"/>
        <v>-29.96</v>
      </c>
      <c r="T71" s="19">
        <f t="shared" si="288"/>
        <v>-122.202</v>
      </c>
      <c r="U71" s="19">
        <f t="shared" si="288"/>
        <v>-145.74299999999999</v>
      </c>
      <c r="V71" s="19">
        <f t="shared" si="288"/>
        <v>-954.82799999999997</v>
      </c>
      <c r="W71" s="19">
        <f t="shared" si="288"/>
        <v>-499.01600000000002</v>
      </c>
      <c r="X71" s="19">
        <f t="shared" si="288"/>
        <v>-224.56400000000002</v>
      </c>
      <c r="Y71" s="19">
        <f t="shared" si="288"/>
        <v>-417.2</v>
      </c>
      <c r="Z71" s="19">
        <f t="shared" si="288"/>
        <v>-461.50000000000006</v>
      </c>
      <c r="AA71" s="19">
        <f t="shared" si="288"/>
        <v>-436.7</v>
      </c>
      <c r="AB71" s="19">
        <f t="shared" si="288"/>
        <v>-504.8</v>
      </c>
      <c r="AC71" s="19">
        <f t="shared" si="288"/>
        <v>-597.9</v>
      </c>
      <c r="AD71" s="19">
        <f t="shared" si="288"/>
        <v>-542.00000000000011</v>
      </c>
      <c r="AF71" s="19">
        <f t="shared" ref="AF71:BE71" si="289">-AF22</f>
        <v>-34.365000000000009</v>
      </c>
      <c r="AG71" s="19">
        <f t="shared" si="289"/>
        <v>-227.16699999999997</v>
      </c>
      <c r="AH71" s="19">
        <f t="shared" si="289"/>
        <v>-28.68</v>
      </c>
      <c r="AI71" s="19">
        <f t="shared" si="289"/>
        <v>-1.2800000000000011</v>
      </c>
      <c r="AJ71" s="19">
        <f t="shared" si="289"/>
        <v>-46.666999999999994</v>
      </c>
      <c r="AK71" s="19">
        <f t="shared" si="289"/>
        <v>-75.534999999999997</v>
      </c>
      <c r="AL71" s="19">
        <f t="shared" si="289"/>
        <v>-67.100999999999999</v>
      </c>
      <c r="AM71" s="19">
        <f t="shared" si="289"/>
        <v>-78.641999999999996</v>
      </c>
      <c r="AN71" s="19">
        <f t="shared" si="289"/>
        <v>-119.48900000000003</v>
      </c>
      <c r="AO71" s="19">
        <f t="shared" si="289"/>
        <v>-835.33899999999994</v>
      </c>
      <c r="AP71" s="19">
        <f t="shared" si="289"/>
        <v>-27.521000000000001</v>
      </c>
      <c r="AQ71" s="19">
        <f t="shared" si="289"/>
        <v>-471.495</v>
      </c>
      <c r="AR71" s="19">
        <f t="shared" si="289"/>
        <v>-59.122000000000014</v>
      </c>
      <c r="AS71" s="19">
        <f t="shared" si="289"/>
        <v>-165.44200000000006</v>
      </c>
      <c r="AT71" s="19">
        <f t="shared" si="289"/>
        <v>-208.28200000000001</v>
      </c>
      <c r="AU71" s="19">
        <f t="shared" si="289"/>
        <v>-208.91799999999998</v>
      </c>
      <c r="AV71" s="19">
        <f t="shared" si="289"/>
        <v>-239.09999999999997</v>
      </c>
      <c r="AW71" s="19">
        <f t="shared" si="289"/>
        <v>-222.40000000000015</v>
      </c>
      <c r="AX71" s="19">
        <f t="shared" si="289"/>
        <v>-165.6</v>
      </c>
      <c r="AY71" s="19">
        <f t="shared" si="289"/>
        <v>-271.10000000000002</v>
      </c>
      <c r="AZ71" s="19">
        <f t="shared" si="289"/>
        <v>-167.40000000000003</v>
      </c>
      <c r="BA71" s="19">
        <f t="shared" si="289"/>
        <v>-337.39999999999992</v>
      </c>
      <c r="BB71" s="19">
        <f t="shared" si="289"/>
        <v>-156.19999999999999</v>
      </c>
      <c r="BC71" s="19">
        <f t="shared" si="289"/>
        <v>-441.7</v>
      </c>
      <c r="BD71" s="19">
        <f t="shared" si="289"/>
        <v>-203.70000000000005</v>
      </c>
      <c r="BE71" s="19">
        <f t="shared" si="289"/>
        <v>-338.30000000000007</v>
      </c>
      <c r="BF71" s="19">
        <f t="shared" ref="BF71" si="290">-BF22</f>
        <v>-164.1</v>
      </c>
    </row>
    <row r="72" spans="2:58">
      <c r="B72" s="20" t="s">
        <v>248</v>
      </c>
      <c r="C72" s="19">
        <f>-C27</f>
        <v>3.996</v>
      </c>
      <c r="D72" s="19">
        <f t="shared" ref="D72:BE72" si="291">-D27</f>
        <v>5.4180000000000001</v>
      </c>
      <c r="E72" s="19">
        <f t="shared" si="291"/>
        <v>3.8679999999999999</v>
      </c>
      <c r="F72" s="19">
        <f t="shared" si="291"/>
        <v>9.7530000000000001</v>
      </c>
      <c r="G72" s="19">
        <f t="shared" si="291"/>
        <v>10.462</v>
      </c>
      <c r="H72" s="19">
        <f t="shared" si="291"/>
        <v>8.4469999999999992</v>
      </c>
      <c r="I72" s="19">
        <f t="shared" si="291"/>
        <v>10.728999999999999</v>
      </c>
      <c r="J72" s="19">
        <f t="shared" si="291"/>
        <v>10.728999999999999</v>
      </c>
      <c r="K72" s="19">
        <f t="shared" si="291"/>
        <v>12.7</v>
      </c>
      <c r="L72" s="19">
        <f t="shared" si="291"/>
        <v>11.3</v>
      </c>
      <c r="M72" s="19">
        <f t="shared" si="291"/>
        <v>11</v>
      </c>
      <c r="N72" s="19">
        <f t="shared" si="291"/>
        <v>12.2</v>
      </c>
      <c r="O72" s="19">
        <f t="shared" si="291"/>
        <v>12.999999999999998</v>
      </c>
      <c r="Q72" s="19">
        <f t="shared" si="291"/>
        <v>3.456</v>
      </c>
      <c r="R72" s="19">
        <f t="shared" si="291"/>
        <v>6.2970000000000006</v>
      </c>
      <c r="S72" s="19">
        <f t="shared" si="291"/>
        <v>4.3170000000000002</v>
      </c>
      <c r="T72" s="19">
        <f t="shared" si="291"/>
        <v>6.1449999999999996</v>
      </c>
      <c r="U72" s="19">
        <f t="shared" si="291"/>
        <v>5.1020000000000003</v>
      </c>
      <c r="V72" s="19">
        <f t="shared" si="291"/>
        <v>3.3449999999999989</v>
      </c>
      <c r="W72" s="19">
        <f t="shared" si="291"/>
        <v>5.0149999999999997</v>
      </c>
      <c r="X72" s="19">
        <f t="shared" si="291"/>
        <v>5.7139999999999995</v>
      </c>
      <c r="Y72" s="19">
        <f t="shared" si="291"/>
        <v>6.1</v>
      </c>
      <c r="Z72" s="19">
        <f t="shared" si="291"/>
        <v>6.6</v>
      </c>
      <c r="AA72" s="19">
        <f t="shared" si="291"/>
        <v>5.7</v>
      </c>
      <c r="AB72" s="19">
        <f t="shared" si="291"/>
        <v>5.3</v>
      </c>
      <c r="AC72" s="19">
        <f t="shared" si="291"/>
        <v>5.7</v>
      </c>
      <c r="AD72" s="19">
        <f t="shared" si="291"/>
        <v>6.4999999999999991</v>
      </c>
      <c r="AE72" s="19"/>
      <c r="AF72" s="19">
        <f t="shared" si="291"/>
        <v>1.0310000000000001</v>
      </c>
      <c r="AG72" s="19">
        <f t="shared" si="291"/>
        <v>5.266</v>
      </c>
      <c r="AH72" s="19">
        <f t="shared" si="291"/>
        <v>2.6349999999999998</v>
      </c>
      <c r="AI72" s="19">
        <f t="shared" si="291"/>
        <v>1.6820000000000004</v>
      </c>
      <c r="AJ72" s="19">
        <f t="shared" si="291"/>
        <v>2.1070000000000002</v>
      </c>
      <c r="AK72" s="19">
        <f t="shared" si="291"/>
        <v>4.0380000000000003</v>
      </c>
      <c r="AL72" s="19">
        <f t="shared" si="291"/>
        <v>2.5640000000000001</v>
      </c>
      <c r="AM72" s="19">
        <f t="shared" si="291"/>
        <v>2.5380000000000003</v>
      </c>
      <c r="AN72" s="19">
        <f t="shared" si="291"/>
        <v>1.2690000000000001</v>
      </c>
      <c r="AO72" s="19">
        <f t="shared" si="291"/>
        <v>2.0759999999999987</v>
      </c>
      <c r="AP72" s="19">
        <f t="shared" si="291"/>
        <v>2.2250000000000001</v>
      </c>
      <c r="AQ72" s="19">
        <f t="shared" si="291"/>
        <v>2.7899999999999996</v>
      </c>
      <c r="AR72" s="19">
        <f t="shared" si="291"/>
        <v>2.891</v>
      </c>
      <c r="AS72" s="19">
        <f t="shared" si="291"/>
        <v>2.8229999999999995</v>
      </c>
      <c r="AT72" s="19">
        <f t="shared" si="291"/>
        <v>2.8</v>
      </c>
      <c r="AU72" s="19">
        <f t="shared" si="291"/>
        <v>3.3</v>
      </c>
      <c r="AV72" s="19">
        <f t="shared" si="291"/>
        <v>2.0999999999999996</v>
      </c>
      <c r="AW72" s="19">
        <f t="shared" si="291"/>
        <v>4.5</v>
      </c>
      <c r="AX72" s="19">
        <f t="shared" si="291"/>
        <v>3.2</v>
      </c>
      <c r="AY72" s="19">
        <f t="shared" si="291"/>
        <v>2.5</v>
      </c>
      <c r="AZ72" s="19">
        <f t="shared" si="291"/>
        <v>2.7</v>
      </c>
      <c r="BA72" s="19">
        <f t="shared" si="291"/>
        <v>2.6000000000000005</v>
      </c>
      <c r="BB72" s="19">
        <f t="shared" si="291"/>
        <v>2.8</v>
      </c>
      <c r="BC72" s="19">
        <f t="shared" si="291"/>
        <v>2.9000000000000004</v>
      </c>
      <c r="BD72" s="19">
        <f t="shared" si="291"/>
        <v>2.8</v>
      </c>
      <c r="BE72" s="19">
        <f t="shared" si="291"/>
        <v>3.6999999999999993</v>
      </c>
      <c r="BF72" s="19">
        <f t="shared" ref="BF72" si="292">-BF27</f>
        <v>3.6</v>
      </c>
    </row>
    <row r="73" spans="2:58" s="5" customFormat="1">
      <c r="B73" s="5" t="s">
        <v>245</v>
      </c>
      <c r="C73" s="14">
        <f t="shared" ref="C73:D73" si="293">C70+C72+C71</f>
        <v>164.96000000000004</v>
      </c>
      <c r="D73" s="14">
        <f t="shared" si="293"/>
        <v>185.98700000000002</v>
      </c>
      <c r="E73" s="14">
        <f t="shared" ref="E73" si="294">E70+E72+E71</f>
        <v>249.74400000000003</v>
      </c>
      <c r="F73" s="14">
        <f t="shared" ref="F73:G73" si="295">F70+F72+F71</f>
        <v>220.87700000000007</v>
      </c>
      <c r="G73" s="14">
        <f t="shared" si="295"/>
        <v>250.18600000000006</v>
      </c>
      <c r="H73" s="14">
        <f t="shared" ref="H73:I73" si="296">H70+H72+H71</f>
        <v>284.68399999999997</v>
      </c>
      <c r="I73" s="14">
        <f t="shared" si="296"/>
        <v>371.03399999999999</v>
      </c>
      <c r="J73" s="14">
        <f t="shared" ref="J73" si="297">J70+J72+J71</f>
        <v>360.97600000000011</v>
      </c>
      <c r="K73" s="14">
        <f t="shared" ref="K73:M73" si="298">K70+K72+K71</f>
        <v>457.79999999999995</v>
      </c>
      <c r="L73" s="14">
        <f t="shared" ref="L73" si="299">L70+L72+L71</f>
        <v>456.40000000000009</v>
      </c>
      <c r="M73" s="14">
        <f t="shared" si="298"/>
        <v>580.70000000000005</v>
      </c>
      <c r="N73" s="14">
        <f t="shared" ref="N73" si="300">N70+N72+N71</f>
        <v>561</v>
      </c>
      <c r="O73" s="14">
        <f t="shared" ref="O73" si="301">O70+O72+O71</f>
        <v>578.19999999999982</v>
      </c>
      <c r="P73" s="14"/>
      <c r="Q73" s="14">
        <f t="shared" ref="Q73:R73" si="302">Q70+Q72+Q71</f>
        <v>105.85</v>
      </c>
      <c r="R73" s="14">
        <f t="shared" si="302"/>
        <v>115.02700000000004</v>
      </c>
      <c r="S73" s="14">
        <f>S70+S72+S71</f>
        <v>142.40599999999998</v>
      </c>
      <c r="T73" s="14">
        <f t="shared" ref="T73:V73" si="303">T70+T72+T71</f>
        <v>107.78</v>
      </c>
      <c r="U73" s="14">
        <f>U70+U72+U71</f>
        <v>149.07599999999996</v>
      </c>
      <c r="V73" s="14">
        <f t="shared" si="303"/>
        <v>135.60799999999995</v>
      </c>
      <c r="W73" s="14">
        <f>W70+W72+W71</f>
        <v>166.50799999999998</v>
      </c>
      <c r="X73" s="14">
        <f t="shared" ref="X73:Z73" si="304">X70+X72+X71</f>
        <v>204.52599999999995</v>
      </c>
      <c r="Y73" s="14">
        <f>Y70+Y72+Y71</f>
        <v>227.40000000000003</v>
      </c>
      <c r="Z73" s="14">
        <f t="shared" si="304"/>
        <v>230.40000000000015</v>
      </c>
      <c r="AA73" s="14">
        <f>AA70+AA72+AA71</f>
        <v>285.2</v>
      </c>
      <c r="AB73" s="14">
        <f t="shared" ref="AB73:AD73" si="305">AB70+AB72+AB71</f>
        <v>295.49999999999994</v>
      </c>
      <c r="AC73" s="14">
        <f>AC70+AC72+AC71</f>
        <v>331.09999999999991</v>
      </c>
      <c r="AD73" s="14">
        <f t="shared" si="305"/>
        <v>229.89999999999998</v>
      </c>
      <c r="AF73" s="14">
        <f t="shared" ref="AF73:AG73" si="306">AF70+AF72+AF71</f>
        <v>54.510999999999996</v>
      </c>
      <c r="AG73" s="14">
        <f t="shared" si="306"/>
        <v>60.51600000000002</v>
      </c>
      <c r="AH73" s="14">
        <f t="shared" ref="AH73:AM73" si="307">AH70+AH72+AH71</f>
        <v>66.966000000000008</v>
      </c>
      <c r="AI73" s="14">
        <f t="shared" si="307"/>
        <v>75.439999999999984</v>
      </c>
      <c r="AJ73" s="14">
        <f t="shared" si="307"/>
        <v>62.631000000000036</v>
      </c>
      <c r="AK73" s="14">
        <f t="shared" si="307"/>
        <v>45.149000000000001</v>
      </c>
      <c r="AL73" s="14">
        <f t="shared" si="307"/>
        <v>73.679999999999978</v>
      </c>
      <c r="AM73" s="14">
        <f t="shared" si="307"/>
        <v>75.396000000000015</v>
      </c>
      <c r="AN73" s="14">
        <f t="shared" ref="AN73:AP73" si="308">AN70+AN72+AN71</f>
        <v>67.990000000000009</v>
      </c>
      <c r="AO73" s="14">
        <f t="shared" si="308"/>
        <v>67.618000000000052</v>
      </c>
      <c r="AP73" s="14">
        <f t="shared" si="308"/>
        <v>82.413999999999987</v>
      </c>
      <c r="AQ73" s="14">
        <f t="shared" ref="AQ73:AT73" si="309">AQ70+AQ72+AQ71</f>
        <v>84.093999999999937</v>
      </c>
      <c r="AR73" s="14">
        <f t="shared" si="309"/>
        <v>97.671999999999997</v>
      </c>
      <c r="AS73" s="14">
        <f t="shared" si="309"/>
        <v>106.85399999999998</v>
      </c>
      <c r="AT73" s="14">
        <f t="shared" si="309"/>
        <v>102.51500000000001</v>
      </c>
      <c r="AU73" s="14">
        <f t="shared" ref="AU73:AX73" si="310">AU70+AU72+AU71</f>
        <v>124.88499999999996</v>
      </c>
      <c r="AV73" s="14">
        <f t="shared" si="310"/>
        <v>114.30000000000007</v>
      </c>
      <c r="AW73" s="14">
        <f t="shared" si="310"/>
        <v>116.09999999999997</v>
      </c>
      <c r="AX73" s="14">
        <f t="shared" si="310"/>
        <v>137.99999999999997</v>
      </c>
      <c r="AY73" s="14">
        <f t="shared" ref="AY73:BB73" si="311">AY70+AY72+AY71</f>
        <v>147.49999999999994</v>
      </c>
      <c r="AZ73" s="14">
        <f t="shared" si="311"/>
        <v>143.5</v>
      </c>
      <c r="BA73" s="14">
        <f t="shared" si="311"/>
        <v>152</v>
      </c>
      <c r="BB73" s="14">
        <f t="shared" si="311"/>
        <v>160.10000000000002</v>
      </c>
      <c r="BC73" s="14">
        <f t="shared" ref="BC73:BD73" si="312">BC70+BC72+BC71</f>
        <v>170.99999999999994</v>
      </c>
      <c r="BD73" s="14">
        <f t="shared" si="312"/>
        <v>172.8</v>
      </c>
      <c r="BE73" s="14">
        <f>BE70+BE72+BE71</f>
        <v>57.099999999999966</v>
      </c>
      <c r="BF73" s="14">
        <f t="shared" ref="BF73" si="313">BF70+BF72+BF71</f>
        <v>177.29999999999998</v>
      </c>
    </row>
    <row r="74" spans="2:58" s="15" customFormat="1">
      <c r="B74" s="16" t="s">
        <v>216</v>
      </c>
      <c r="C74" s="25"/>
      <c r="D74" s="25">
        <f t="shared" ref="D74:E74" si="314">D73/C73-1</f>
        <v>0.12746726479146453</v>
      </c>
      <c r="E74" s="25">
        <f t="shared" si="314"/>
        <v>0.34280352927892799</v>
      </c>
      <c r="F74" s="25">
        <f t="shared" ref="F74:K74" si="315">F73/E73-1</f>
        <v>-0.11558636043308335</v>
      </c>
      <c r="G74" s="25">
        <f t="shared" si="315"/>
        <v>0.13269376168636837</v>
      </c>
      <c r="H74" s="25">
        <f t="shared" si="315"/>
        <v>0.13788941027875223</v>
      </c>
      <c r="I74" s="25">
        <f t="shared" si="315"/>
        <v>0.30331876747551689</v>
      </c>
      <c r="J74" s="25">
        <f t="shared" si="315"/>
        <v>-2.7108027835723636E-2</v>
      </c>
      <c r="K74" s="25">
        <f t="shared" si="315"/>
        <v>0.2682283586720442</v>
      </c>
      <c r="L74" s="25">
        <f>L73/J73-1</f>
        <v>0.26434998448650315</v>
      </c>
      <c r="M74" s="25">
        <f>M73/L73-1</f>
        <v>0.27234881682734424</v>
      </c>
      <c r="N74" s="25">
        <f>N73/M73-1</f>
        <v>-3.3924573790253265E-2</v>
      </c>
      <c r="O74" s="25"/>
      <c r="P74" s="175"/>
      <c r="Q74" s="25"/>
      <c r="R74" s="25"/>
      <c r="S74" s="25">
        <f t="shared" ref="S74:AD74" si="316">S73/Q73-1</f>
        <v>0.34535663675011796</v>
      </c>
      <c r="T74" s="25">
        <f t="shared" si="316"/>
        <v>-6.3002599389708869E-2</v>
      </c>
      <c r="U74" s="25">
        <f t="shared" si="316"/>
        <v>4.6837914132831449E-2</v>
      </c>
      <c r="V74" s="25">
        <f t="shared" si="316"/>
        <v>0.25819261458526577</v>
      </c>
      <c r="W74" s="25">
        <f t="shared" si="316"/>
        <v>0.11693364458397082</v>
      </c>
      <c r="X74" s="25">
        <f t="shared" si="316"/>
        <v>0.50821485458085092</v>
      </c>
      <c r="Y74" s="25">
        <f t="shared" si="316"/>
        <v>0.365700146539506</v>
      </c>
      <c r="Z74" s="25">
        <f t="shared" si="316"/>
        <v>0.12650714334607915</v>
      </c>
      <c r="AA74" s="25">
        <f>AA73/X73-1</f>
        <v>0.3944437382044339</v>
      </c>
      <c r="AB74" s="25">
        <f t="shared" si="316"/>
        <v>0.28255208333333237</v>
      </c>
      <c r="AC74" s="25">
        <f>AC73/Z73-1</f>
        <v>0.43706597222222099</v>
      </c>
      <c r="AD74" s="25">
        <f t="shared" si="316"/>
        <v>-0.22199661590524522</v>
      </c>
      <c r="AF74" s="25"/>
      <c r="AG74" s="25"/>
      <c r="AH74" s="25"/>
      <c r="AI74" s="25"/>
      <c r="AJ74" s="25">
        <f t="shared" ref="AJ74:AO74" si="317">AJ73/AF73-1</f>
        <v>0.14896076021353566</v>
      </c>
      <c r="AK74" s="25">
        <f t="shared" si="317"/>
        <v>-0.25393284420649109</v>
      </c>
      <c r="AL74" s="25">
        <f t="shared" si="317"/>
        <v>0.10025983334826583</v>
      </c>
      <c r="AM74" s="25">
        <f t="shared" si="317"/>
        <v>-5.8324496288397754E-4</v>
      </c>
      <c r="AN74" s="25">
        <f t="shared" si="317"/>
        <v>8.5564656480017431E-2</v>
      </c>
      <c r="AO74" s="25">
        <f t="shared" si="317"/>
        <v>0.49766329265321607</v>
      </c>
      <c r="AP74" s="25">
        <f>+AP73/AL73-1</f>
        <v>0.11853963083604802</v>
      </c>
      <c r="AQ74" s="25">
        <f>+AQ73/AM73-1</f>
        <v>0.11536421030293287</v>
      </c>
      <c r="AR74" s="25">
        <f t="shared" ref="AR74:AS74" si="318">AR73/AN73-1</f>
        <v>0.43656420061773771</v>
      </c>
      <c r="AS74" s="25">
        <f t="shared" si="318"/>
        <v>0.58025969416427436</v>
      </c>
      <c r="AT74" s="25">
        <f>+AT73/AP73-1</f>
        <v>0.24390273497221382</v>
      </c>
      <c r="AU74" s="25">
        <f>+AU73/AQ73-1</f>
        <v>0.48506433277047178</v>
      </c>
      <c r="AV74" s="25">
        <f t="shared" ref="AV74:AW74" si="319">AV73/AR73-1</f>
        <v>0.17024326316651717</v>
      </c>
      <c r="AW74" s="25">
        <f t="shared" si="319"/>
        <v>8.6529282946824493E-2</v>
      </c>
      <c r="AX74" s="25">
        <f>+AX73/AT73-1</f>
        <v>0.34614446666341459</v>
      </c>
      <c r="AY74" s="25">
        <f>+AY73/AU73-1</f>
        <v>0.18108659967169793</v>
      </c>
      <c r="AZ74" s="25">
        <f>+AZ73/AV73-1</f>
        <v>0.25546806649168774</v>
      </c>
      <c r="BA74" s="25">
        <f t="shared" ref="BA74" si="320">BA73/AW73-1</f>
        <v>0.30921619293712355</v>
      </c>
      <c r="BB74" s="25">
        <f>+BB73/AX73-1</f>
        <v>0.16014492753623233</v>
      </c>
      <c r="BC74" s="25">
        <f>+BC73/AY73-1</f>
        <v>0.15932203389830524</v>
      </c>
      <c r="BD74" s="25">
        <f>+BD73/AZ73-1</f>
        <v>0.2041811846689896</v>
      </c>
      <c r="BE74" s="25">
        <f t="shared" ref="BE74" si="321">BE73/BA73-1</f>
        <v>-0.62434210526315814</v>
      </c>
      <c r="BF74" s="25">
        <f>+BF73/BB73-1</f>
        <v>0.10743285446595841</v>
      </c>
    </row>
    <row r="75" spans="2:58" s="15" customFormat="1">
      <c r="B75" s="16" t="s">
        <v>227</v>
      </c>
      <c r="C75" s="25"/>
      <c r="D75" s="25">
        <f t="shared" ref="D75:O75" si="322">D73/D20</f>
        <v>0.86304071423931117</v>
      </c>
      <c r="E75" s="25">
        <f t="shared" si="322"/>
        <v>1.0417198488375006</v>
      </c>
      <c r="F75" s="25">
        <f t="shared" si="322"/>
        <v>0.89746173505666116</v>
      </c>
      <c r="G75" s="25">
        <f t="shared" si="322"/>
        <v>0.82582991968998298</v>
      </c>
      <c r="H75" s="25">
        <f t="shared" si="322"/>
        <v>0.85320817711283514</v>
      </c>
      <c r="I75" s="25">
        <f t="shared" si="322"/>
        <v>0.7980650309625158</v>
      </c>
      <c r="J75" s="25">
        <f t="shared" si="322"/>
        <v>0.77633421151674831</v>
      </c>
      <c r="K75" s="25">
        <f t="shared" si="322"/>
        <v>0.82635379061371828</v>
      </c>
      <c r="L75" s="25">
        <f t="shared" si="322"/>
        <v>0.81836112605343403</v>
      </c>
      <c r="M75" s="25">
        <f t="shared" si="322"/>
        <v>0.8517160457612204</v>
      </c>
      <c r="N75" s="25">
        <f t="shared" si="322"/>
        <v>0.71987681252406011</v>
      </c>
      <c r="O75" s="25">
        <f t="shared" si="322"/>
        <v>0.72175758332293083</v>
      </c>
      <c r="P75" s="175"/>
      <c r="Q75" s="25">
        <f t="shared" ref="Q75:AD75" si="323">Q73/Q20</f>
        <v>0.90580020195450883</v>
      </c>
      <c r="R75" s="25">
        <f t="shared" si="323"/>
        <v>0.88992302038605897</v>
      </c>
      <c r="S75" s="25">
        <f t="shared" si="323"/>
        <v>0.88958714650708082</v>
      </c>
      <c r="T75" s="25">
        <f t="shared" si="323"/>
        <v>0.75439210471057583</v>
      </c>
      <c r="U75" s="25">
        <f t="shared" si="323"/>
        <v>0.89432542848744057</v>
      </c>
      <c r="V75" s="25">
        <f t="shared" si="323"/>
        <v>0.81216012265529525</v>
      </c>
      <c r="W75" s="25">
        <f t="shared" si="323"/>
        <v>0.76218289679669671</v>
      </c>
      <c r="X75" s="25">
        <f t="shared" si="323"/>
        <v>0.82987157899007913</v>
      </c>
      <c r="Y75" s="25">
        <f t="shared" si="323"/>
        <v>0.82871720116618075</v>
      </c>
      <c r="Z75" s="25">
        <f t="shared" si="323"/>
        <v>0.82403433476394894</v>
      </c>
      <c r="AA75" s="25">
        <f t="shared" si="323"/>
        <v>0.86581663630843964</v>
      </c>
      <c r="AB75" s="25">
        <f t="shared" si="323"/>
        <v>0.83853575482406351</v>
      </c>
      <c r="AC75" s="25">
        <f t="shared" si="323"/>
        <v>0.879182156133829</v>
      </c>
      <c r="AD75" s="25">
        <f t="shared" si="323"/>
        <v>0.57089644896945613</v>
      </c>
      <c r="AF75" s="25">
        <f t="shared" ref="AF75:BE75" si="324">AF73/AF20</f>
        <v>0.97455930203454066</v>
      </c>
      <c r="AG75" s="25">
        <f t="shared" si="324"/>
        <v>0.82535699185772149</v>
      </c>
      <c r="AH75" s="25">
        <f t="shared" si="324"/>
        <v>0.86819996888450957</v>
      </c>
      <c r="AI75" s="25">
        <f t="shared" si="324"/>
        <v>0.90947449637729205</v>
      </c>
      <c r="AJ75" s="25">
        <f t="shared" si="324"/>
        <v>0.9228219069088982</v>
      </c>
      <c r="AK75" s="25">
        <f t="shared" si="324"/>
        <v>0.60197864028479631</v>
      </c>
      <c r="AL75" s="25">
        <f t="shared" si="324"/>
        <v>0.89368670022439167</v>
      </c>
      <c r="AM75" s="25">
        <f t="shared" si="324"/>
        <v>0.89495050210099003</v>
      </c>
      <c r="AN75" s="25">
        <f t="shared" si="324"/>
        <v>0.84777675253746976</v>
      </c>
      <c r="AO75" s="25">
        <f t="shared" si="324"/>
        <v>0.77924263028096019</v>
      </c>
      <c r="AP75" s="25">
        <f t="shared" si="324"/>
        <v>0.75030271028122464</v>
      </c>
      <c r="AQ75" s="25">
        <f t="shared" si="324"/>
        <v>0.77419651816867763</v>
      </c>
      <c r="AR75" s="25">
        <f t="shared" si="324"/>
        <v>0.82016659948945314</v>
      </c>
      <c r="AS75" s="25">
        <f t="shared" si="324"/>
        <v>0.83894572377460408</v>
      </c>
      <c r="AT75" s="25">
        <f t="shared" si="324"/>
        <v>0.77561813394667567</v>
      </c>
      <c r="AU75" s="25">
        <f t="shared" si="324"/>
        <v>0.87806198498185994</v>
      </c>
      <c r="AV75" s="25">
        <f t="shared" si="324"/>
        <v>0.82886149383611341</v>
      </c>
      <c r="AW75" s="25">
        <f t="shared" si="324"/>
        <v>0.8193366266760761</v>
      </c>
      <c r="AX75" s="25">
        <f t="shared" si="324"/>
        <v>0.87121212121212088</v>
      </c>
      <c r="AY75" s="25">
        <f t="shared" si="324"/>
        <v>0.86106246351430216</v>
      </c>
      <c r="AZ75" s="25">
        <f t="shared" si="324"/>
        <v>0.86341756919374235</v>
      </c>
      <c r="BA75" s="25">
        <f t="shared" si="324"/>
        <v>0.81632653061224469</v>
      </c>
      <c r="BB75" s="25">
        <f t="shared" si="324"/>
        <v>0.87534171678512862</v>
      </c>
      <c r="BC75" s="25">
        <f t="shared" si="324"/>
        <v>0.88280846670108382</v>
      </c>
      <c r="BD75" s="25">
        <f t="shared" si="324"/>
        <v>0.88163265306122451</v>
      </c>
      <c r="BE75" s="25">
        <f t="shared" si="324"/>
        <v>0.27624576681180446</v>
      </c>
      <c r="BF75" s="25">
        <f t="shared" ref="BF75" si="325">BF73/BF20</f>
        <v>0.86614557889594523</v>
      </c>
    </row>
    <row r="76" spans="2:58" s="15" customFormat="1">
      <c r="B76" s="21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175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</row>
    <row r="77" spans="2:58">
      <c r="B77" s="271" t="s">
        <v>249</v>
      </c>
      <c r="C77" s="272">
        <f t="shared" ref="C77:G77" si="326">C78-C73</f>
        <v>0</v>
      </c>
      <c r="D77" s="272">
        <f t="shared" si="326"/>
        <v>0</v>
      </c>
      <c r="E77" s="272">
        <f t="shared" si="326"/>
        <v>-46.54400000000004</v>
      </c>
      <c r="F77" s="272">
        <f t="shared" si="326"/>
        <v>-6.3770000000000664</v>
      </c>
      <c r="G77" s="272">
        <f t="shared" si="326"/>
        <v>-12.08600000000007</v>
      </c>
      <c r="H77" s="272">
        <f t="shared" ref="H77:I77" si="327">H78-H73</f>
        <v>0</v>
      </c>
      <c r="I77" s="272">
        <f t="shared" si="327"/>
        <v>0</v>
      </c>
      <c r="J77" s="272">
        <f t="shared" ref="J77" si="328">J78-J73</f>
        <v>0</v>
      </c>
      <c r="K77" s="272">
        <f t="shared" ref="K77:M77" si="329">K78-K73</f>
        <v>0</v>
      </c>
      <c r="L77" s="272">
        <f t="shared" ref="L77" si="330">L78-L73</f>
        <v>16.299999999999898</v>
      </c>
      <c r="M77" s="272">
        <f t="shared" si="329"/>
        <v>23.299999999999955</v>
      </c>
      <c r="N77" s="272">
        <f t="shared" ref="N77" si="331">N78-N73</f>
        <v>140.20000000000005</v>
      </c>
      <c r="O77" s="272">
        <f t="shared" ref="O77" si="332">O78-O73</f>
        <v>140.20000000000027</v>
      </c>
      <c r="P77" s="175"/>
      <c r="Q77" s="272">
        <f t="shared" ref="Q77:V77" si="333">Q78-Q73</f>
        <v>-12.849999999999994</v>
      </c>
      <c r="R77" s="272">
        <f t="shared" si="333"/>
        <v>6.4729999999999563</v>
      </c>
      <c r="S77" s="272">
        <f t="shared" si="333"/>
        <v>-23.10599999999998</v>
      </c>
      <c r="T77" s="272">
        <f t="shared" si="333"/>
        <v>11.019999999999996</v>
      </c>
      <c r="U77" s="272">
        <f t="shared" si="333"/>
        <v>0</v>
      </c>
      <c r="V77" s="272">
        <f t="shared" si="333"/>
        <v>0</v>
      </c>
      <c r="W77" s="272">
        <f t="shared" ref="W77:X77" si="334">W78-W73</f>
        <v>0</v>
      </c>
      <c r="X77" s="272">
        <f t="shared" si="334"/>
        <v>0</v>
      </c>
      <c r="Y77" s="272">
        <f t="shared" ref="Y77:AA77" si="335">Y78-Y73</f>
        <v>0</v>
      </c>
      <c r="Z77" s="272">
        <f t="shared" si="335"/>
        <v>-2.2737367544323206E-13</v>
      </c>
      <c r="AA77" s="272">
        <f t="shared" si="335"/>
        <v>0</v>
      </c>
      <c r="AB77" s="272">
        <f t="shared" ref="AB77:AC77" si="336">AB78-AB73</f>
        <v>23.300000000000068</v>
      </c>
      <c r="AC77" s="272">
        <f t="shared" si="336"/>
        <v>0</v>
      </c>
      <c r="AD77" s="272">
        <f t="shared" ref="AD77" si="337">AD78-AD73</f>
        <v>140.20000000000016</v>
      </c>
      <c r="AE77" s="15"/>
      <c r="AF77" s="272">
        <f t="shared" ref="AF77:AL77" si="338">AF78-AF73</f>
        <v>0</v>
      </c>
      <c r="AG77" s="272">
        <f t="shared" si="338"/>
        <v>6.4729999999999848</v>
      </c>
      <c r="AH77" s="272">
        <f t="shared" si="338"/>
        <v>0</v>
      </c>
      <c r="AI77" s="272">
        <f t="shared" si="338"/>
        <v>-23.105999999999995</v>
      </c>
      <c r="AJ77" s="272">
        <f t="shared" si="338"/>
        <v>-6.6310000000000215</v>
      </c>
      <c r="AK77" s="272">
        <f t="shared" si="338"/>
        <v>17.650999999999968</v>
      </c>
      <c r="AL77" s="272">
        <f t="shared" si="338"/>
        <v>0</v>
      </c>
      <c r="AM77" s="272">
        <f t="shared" ref="AM77:AP77" si="339">AM78-AM73</f>
        <v>0</v>
      </c>
      <c r="AN77" s="272">
        <f t="shared" si="339"/>
        <v>0</v>
      </c>
      <c r="AO77" s="272">
        <f t="shared" si="339"/>
        <v>0</v>
      </c>
      <c r="AP77" s="272">
        <f t="shared" si="339"/>
        <v>0</v>
      </c>
      <c r="AQ77" s="272">
        <f t="shared" ref="AQ77:AT77" si="340">AQ78-AQ73</f>
        <v>0</v>
      </c>
      <c r="AR77" s="272">
        <f t="shared" si="340"/>
        <v>0</v>
      </c>
      <c r="AS77" s="272">
        <f t="shared" si="340"/>
        <v>0</v>
      </c>
      <c r="AT77" s="272">
        <f t="shared" si="340"/>
        <v>0</v>
      </c>
      <c r="AU77" s="272">
        <f t="shared" ref="AU77:AX77" si="341">AU78-AU73</f>
        <v>0</v>
      </c>
      <c r="AV77" s="272">
        <f t="shared" si="341"/>
        <v>0</v>
      </c>
      <c r="AW77" s="272">
        <f t="shared" si="341"/>
        <v>-1.1368683772161603E-13</v>
      </c>
      <c r="AX77" s="272">
        <f t="shared" si="341"/>
        <v>0</v>
      </c>
      <c r="AY77" s="272">
        <f t="shared" ref="AY77:BB77" si="342">AY78-AY73</f>
        <v>0</v>
      </c>
      <c r="AZ77" s="272">
        <f t="shared" si="342"/>
        <v>0</v>
      </c>
      <c r="BA77" s="272">
        <f t="shared" si="342"/>
        <v>23.300000000000011</v>
      </c>
      <c r="BB77" s="272">
        <f t="shared" si="342"/>
        <v>0</v>
      </c>
      <c r="BC77" s="272">
        <f t="shared" ref="BC77:BF77" si="343">BC78-BC73</f>
        <v>0</v>
      </c>
      <c r="BD77" s="272">
        <f t="shared" si="343"/>
        <v>0</v>
      </c>
      <c r="BE77" s="272">
        <f t="shared" si="343"/>
        <v>140.20000000000016</v>
      </c>
      <c r="BF77" s="272">
        <f t="shared" si="343"/>
        <v>0</v>
      </c>
    </row>
    <row r="78" spans="2:58" s="5" customFormat="1">
      <c r="B78" s="5" t="s">
        <v>250</v>
      </c>
      <c r="C78" s="14">
        <f>C73</f>
        <v>164.96000000000004</v>
      </c>
      <c r="D78" s="14">
        <f>D73</f>
        <v>185.98700000000002</v>
      </c>
      <c r="E78" s="43">
        <v>203.2</v>
      </c>
      <c r="F78" s="43">
        <v>214.5</v>
      </c>
      <c r="G78" s="43">
        <v>238.1</v>
      </c>
      <c r="H78" s="14">
        <f t="shared" ref="H78:K78" si="344">H73</f>
        <v>284.68399999999997</v>
      </c>
      <c r="I78" s="14">
        <f t="shared" si="344"/>
        <v>371.03399999999999</v>
      </c>
      <c r="J78" s="14">
        <f t="shared" si="344"/>
        <v>360.97600000000011</v>
      </c>
      <c r="K78" s="14">
        <f t="shared" si="344"/>
        <v>457.79999999999995</v>
      </c>
      <c r="L78" s="274">
        <v>472.7</v>
      </c>
      <c r="M78" s="274">
        <v>604</v>
      </c>
      <c r="N78" s="274">
        <v>701.2</v>
      </c>
      <c r="O78" s="14">
        <f>SUM(BC78:BF78)</f>
        <v>718.40000000000009</v>
      </c>
      <c r="P78" s="175"/>
      <c r="Q78" s="43">
        <v>93</v>
      </c>
      <c r="R78" s="14">
        <f>F78-Q78</f>
        <v>121.5</v>
      </c>
      <c r="S78" s="43">
        <v>119.3</v>
      </c>
      <c r="T78" s="14">
        <f>G78-S78</f>
        <v>118.8</v>
      </c>
      <c r="U78" s="14">
        <f>U73</f>
        <v>149.07599999999996</v>
      </c>
      <c r="V78" s="14">
        <f>H78-U78</f>
        <v>135.608</v>
      </c>
      <c r="W78" s="14">
        <f>W73</f>
        <v>166.50799999999998</v>
      </c>
      <c r="X78" s="14">
        <f>I78-W78</f>
        <v>204.52600000000001</v>
      </c>
      <c r="Y78" s="14">
        <f>Y73</f>
        <v>227.40000000000003</v>
      </c>
      <c r="Z78" s="14">
        <f>K78-Y78</f>
        <v>230.39999999999992</v>
      </c>
      <c r="AA78" s="14">
        <f>AA73</f>
        <v>285.2</v>
      </c>
      <c r="AB78" s="14">
        <f>M78-AA78</f>
        <v>318.8</v>
      </c>
      <c r="AC78" s="14">
        <f>AC73</f>
        <v>331.09999999999991</v>
      </c>
      <c r="AD78" s="14">
        <f>N78-AC78</f>
        <v>370.10000000000014</v>
      </c>
      <c r="AF78" s="14">
        <f>AF73</f>
        <v>54.510999999999996</v>
      </c>
      <c r="AG78" s="14">
        <f>F78-Q78-AF78</f>
        <v>66.989000000000004</v>
      </c>
      <c r="AH78" s="14">
        <f>AH73</f>
        <v>66.966000000000008</v>
      </c>
      <c r="AI78" s="14">
        <f>S78-AH78</f>
        <v>52.333999999999989</v>
      </c>
      <c r="AJ78" s="43">
        <f>175.3-S78</f>
        <v>56.000000000000014</v>
      </c>
      <c r="AK78" s="14">
        <f>G78-AJ78-S78</f>
        <v>62.799999999999969</v>
      </c>
      <c r="AL78" s="14">
        <f>AL73</f>
        <v>73.679999999999978</v>
      </c>
      <c r="AM78" s="14">
        <f>AM73</f>
        <v>75.396000000000015</v>
      </c>
      <c r="AN78" s="14">
        <f>AN73</f>
        <v>67.990000000000009</v>
      </c>
      <c r="AO78" s="14">
        <f>H78-AN78-U78</f>
        <v>67.617999999999995</v>
      </c>
      <c r="AP78" s="14">
        <f>AP73</f>
        <v>82.413999999999987</v>
      </c>
      <c r="AQ78" s="14">
        <f>AQ73</f>
        <v>84.093999999999937</v>
      </c>
      <c r="AR78" s="14">
        <f>AR73</f>
        <v>97.671999999999997</v>
      </c>
      <c r="AS78" s="14">
        <f>I78-AR78-W78</f>
        <v>106.85399999999998</v>
      </c>
      <c r="AT78" s="14">
        <f>AT73</f>
        <v>102.51500000000001</v>
      </c>
      <c r="AU78" s="14">
        <f>AU73</f>
        <v>124.88499999999996</v>
      </c>
      <c r="AV78" s="14">
        <f>AV73</f>
        <v>114.30000000000007</v>
      </c>
      <c r="AW78" s="14">
        <f>K78-AV78-Y78</f>
        <v>116.09999999999985</v>
      </c>
      <c r="AX78" s="14">
        <f>AX73</f>
        <v>137.99999999999997</v>
      </c>
      <c r="AY78" s="14">
        <f>AY73</f>
        <v>147.49999999999994</v>
      </c>
      <c r="AZ78" s="14">
        <f>AZ73</f>
        <v>143.5</v>
      </c>
      <c r="BA78" s="14">
        <f t="shared" ref="BA78" si="345">M78-AZ78-AA78</f>
        <v>175.3</v>
      </c>
      <c r="BB78" s="14">
        <f>BB73</f>
        <v>160.10000000000002</v>
      </c>
      <c r="BC78" s="14">
        <f>BC73</f>
        <v>170.99999999999994</v>
      </c>
      <c r="BD78" s="14">
        <f>BD73</f>
        <v>172.8</v>
      </c>
      <c r="BE78" s="19">
        <f>N78-AC78-BD78</f>
        <v>197.30000000000013</v>
      </c>
      <c r="BF78" s="14">
        <f>BF73</f>
        <v>177.29999999999998</v>
      </c>
    </row>
    <row r="79" spans="2:58" s="15" customFormat="1">
      <c r="B79" s="16" t="s">
        <v>216</v>
      </c>
      <c r="C79" s="25"/>
      <c r="D79" s="25">
        <f t="shared" ref="D79:K79" si="346">D78/C78-1</f>
        <v>0.12746726479146453</v>
      </c>
      <c r="E79" s="25">
        <f t="shared" si="346"/>
        <v>9.2549479264679491E-2</v>
      </c>
      <c r="F79" s="25">
        <f t="shared" si="346"/>
        <v>5.5610236220472453E-2</v>
      </c>
      <c r="G79" s="25">
        <f t="shared" si="346"/>
        <v>0.11002331002330989</v>
      </c>
      <c r="H79" s="25">
        <f t="shared" si="346"/>
        <v>0.19564888702225947</v>
      </c>
      <c r="I79" s="25">
        <f t="shared" si="346"/>
        <v>0.30331876747551689</v>
      </c>
      <c r="J79" s="25">
        <f t="shared" si="346"/>
        <v>-2.7108027835723636E-2</v>
      </c>
      <c r="K79" s="25">
        <f t="shared" si="346"/>
        <v>0.2682283586720442</v>
      </c>
      <c r="L79" s="25">
        <f>L78/J78-1</f>
        <v>0.30950534107530658</v>
      </c>
      <c r="M79" s="25">
        <f>M78/L78-1</f>
        <v>0.27776602496297875</v>
      </c>
      <c r="N79" s="25">
        <f>N78/M78-1</f>
        <v>0.16092715231788079</v>
      </c>
      <c r="O79" s="25"/>
      <c r="P79" s="175"/>
      <c r="Q79" s="25"/>
      <c r="R79" s="25"/>
      <c r="S79" s="25">
        <f>S78/Q78-1</f>
        <v>0.28279569892473111</v>
      </c>
      <c r="T79" s="25"/>
      <c r="U79" s="25">
        <f>U78/R78-1</f>
        <v>0.22696296296296259</v>
      </c>
      <c r="V79" s="25"/>
      <c r="W79" s="25">
        <f>W78/T78-1</f>
        <v>0.40158249158249149</v>
      </c>
      <c r="X79" s="25">
        <f>X78/U78-1</f>
        <v>0.37195792750006751</v>
      </c>
      <c r="Y79" s="25">
        <f>Y78/V78-1</f>
        <v>0.67689221874815675</v>
      </c>
      <c r="Z79" s="25">
        <f>Z78/W78-1</f>
        <v>0.38371729886852246</v>
      </c>
      <c r="AA79" s="25">
        <f>AA78/W78-1</f>
        <v>0.71283061474523768</v>
      </c>
      <c r="AB79" s="25">
        <f>AB78/Y78-1</f>
        <v>0.40193491644678958</v>
      </c>
      <c r="AC79" s="25">
        <f>AC78/Y78-1</f>
        <v>0.45602462620932216</v>
      </c>
      <c r="AD79" s="25">
        <f>AD78/AA78-1</f>
        <v>0.29768583450210429</v>
      </c>
      <c r="AF79" s="25"/>
      <c r="AG79" s="25"/>
      <c r="AH79" s="25"/>
      <c r="AI79" s="25"/>
      <c r="AJ79" s="25">
        <f t="shared" ref="AJ79:AO79" si="347">AJ78/AF78-1</f>
        <v>2.7315587679551223E-2</v>
      </c>
      <c r="AK79" s="25">
        <f t="shared" si="347"/>
        <v>-6.2532654614937289E-2</v>
      </c>
      <c r="AL79" s="25">
        <f t="shared" si="347"/>
        <v>0.10025983334826583</v>
      </c>
      <c r="AM79" s="25">
        <f t="shared" si="347"/>
        <v>0.44066954561088445</v>
      </c>
      <c r="AN79" s="25">
        <f t="shared" si="347"/>
        <v>0.21410714285714261</v>
      </c>
      <c r="AO79" s="25">
        <f t="shared" si="347"/>
        <v>7.6719745222930458E-2</v>
      </c>
      <c r="AP79" s="25">
        <f>AP78/AL78-1</f>
        <v>0.11853963083604802</v>
      </c>
      <c r="AQ79" s="25">
        <f>AQ78/AM78-1</f>
        <v>0.11536421030293287</v>
      </c>
      <c r="AR79" s="25">
        <f t="shared" ref="AR79:AS79" si="348">AR78/AN78-1</f>
        <v>0.43656420061773771</v>
      </c>
      <c r="AS79" s="25">
        <f t="shared" si="348"/>
        <v>0.5802596941642757</v>
      </c>
      <c r="AT79" s="25">
        <f>AT78/AP78-1</f>
        <v>0.24390273497221382</v>
      </c>
      <c r="AU79" s="25">
        <f>AU78/AQ78-1</f>
        <v>0.48506433277047178</v>
      </c>
      <c r="AV79" s="25">
        <f t="shared" ref="AV79:AW79" si="349">AV78/AR78-1</f>
        <v>0.17024326316651717</v>
      </c>
      <c r="AW79" s="25">
        <f t="shared" si="349"/>
        <v>8.6529282946823383E-2</v>
      </c>
      <c r="AX79" s="25">
        <f>AX78/AT78-1</f>
        <v>0.34614446666341459</v>
      </c>
      <c r="AY79" s="25">
        <f>AY78/AU78-1</f>
        <v>0.18108659967169793</v>
      </c>
      <c r="AZ79" s="25">
        <f>AZ78/AV78-1</f>
        <v>0.25546806649168774</v>
      </c>
      <c r="BA79" s="25">
        <f t="shared" ref="BA79" si="350">BA78/AW78-1</f>
        <v>0.50990525409130272</v>
      </c>
      <c r="BB79" s="25">
        <f>BB78/AX78-1</f>
        <v>0.16014492753623233</v>
      </c>
      <c r="BC79" s="25">
        <f>BC78/AY78-1</f>
        <v>0.15932203389830524</v>
      </c>
      <c r="BD79" s="25">
        <f>BD78/AZ78-1</f>
        <v>0.2041811846689896</v>
      </c>
      <c r="BE79" s="25">
        <f t="shared" ref="BE79" si="351">BE78/BA78-1</f>
        <v>0.12549914432401654</v>
      </c>
      <c r="BF79" s="25">
        <f>BF78/BB78-1</f>
        <v>0.10743285446595841</v>
      </c>
    </row>
    <row r="80" spans="2:58" s="15" customFormat="1">
      <c r="B80" s="16" t="s">
        <v>227</v>
      </c>
      <c r="C80" s="25">
        <f t="shared" ref="C80:O80" si="352">C78/C20</f>
        <v>0.88900385867339249</v>
      </c>
      <c r="D80" s="25">
        <f t="shared" si="352"/>
        <v>0.86304071423931117</v>
      </c>
      <c r="E80" s="25">
        <f t="shared" si="352"/>
        <v>0.84757781281544331</v>
      </c>
      <c r="F80" s="25">
        <f t="shared" si="352"/>
        <v>0.87155087297298384</v>
      </c>
      <c r="G80" s="25">
        <f t="shared" si="352"/>
        <v>0.78593567936729036</v>
      </c>
      <c r="H80" s="25">
        <f t="shared" si="352"/>
        <v>0.85320817711283514</v>
      </c>
      <c r="I80" s="25">
        <f t="shared" si="352"/>
        <v>0.7980650309625158</v>
      </c>
      <c r="J80" s="25">
        <f t="shared" si="352"/>
        <v>0.77633421151674831</v>
      </c>
      <c r="K80" s="25">
        <f t="shared" si="352"/>
        <v>0.82635379061371828</v>
      </c>
      <c r="L80" s="25">
        <f t="shared" si="352"/>
        <v>0.84758830912677074</v>
      </c>
      <c r="M80" s="25">
        <f t="shared" si="352"/>
        <v>0.88589029040774425</v>
      </c>
      <c r="N80" s="25">
        <f t="shared" si="352"/>
        <v>0.89978185551135648</v>
      </c>
      <c r="O80" s="25">
        <f t="shared" si="352"/>
        <v>0.89676694545000646</v>
      </c>
      <c r="P80" s="175"/>
      <c r="Q80" s="25">
        <f t="shared" ref="Q80:AD80" si="353">Q78/Q20</f>
        <v>0.79583768334217597</v>
      </c>
      <c r="R80" s="25">
        <f t="shared" si="353"/>
        <v>0.94000232099338521</v>
      </c>
      <c r="S80" s="25">
        <f t="shared" si="353"/>
        <v>0.74524771834258918</v>
      </c>
      <c r="T80" s="25">
        <f t="shared" si="353"/>
        <v>0.8315251627353536</v>
      </c>
      <c r="U80" s="25">
        <f t="shared" si="353"/>
        <v>0.89432542848744057</v>
      </c>
      <c r="V80" s="25">
        <f t="shared" si="353"/>
        <v>0.81216012265529558</v>
      </c>
      <c r="W80" s="25">
        <f t="shared" si="353"/>
        <v>0.76218289679669671</v>
      </c>
      <c r="X80" s="25">
        <f t="shared" si="353"/>
        <v>0.82987157899007935</v>
      </c>
      <c r="Y80" s="25">
        <f t="shared" si="353"/>
        <v>0.82871720116618075</v>
      </c>
      <c r="Z80" s="25">
        <f t="shared" si="353"/>
        <v>0.82403433476394816</v>
      </c>
      <c r="AA80" s="25">
        <f t="shared" si="353"/>
        <v>0.86581663630843964</v>
      </c>
      <c r="AB80" s="25">
        <f t="shared" si="353"/>
        <v>0.90465380249716243</v>
      </c>
      <c r="AC80" s="25">
        <f t="shared" si="353"/>
        <v>0.879182156133829</v>
      </c>
      <c r="AD80" s="25">
        <f t="shared" si="353"/>
        <v>0.91904643655326579</v>
      </c>
      <c r="AF80" s="25">
        <f t="shared" ref="AF80:BE80" si="354">AF78/AF20</f>
        <v>0.97455930203454066</v>
      </c>
      <c r="AG80" s="25">
        <f t="shared" si="354"/>
        <v>0.91364002127630528</v>
      </c>
      <c r="AH80" s="25">
        <f t="shared" si="354"/>
        <v>0.86819996888450957</v>
      </c>
      <c r="AI80" s="25">
        <f t="shared" si="354"/>
        <v>0.6309177928606734</v>
      </c>
      <c r="AJ80" s="25">
        <f t="shared" si="354"/>
        <v>0.82511897920994848</v>
      </c>
      <c r="AK80" s="25">
        <f t="shared" si="354"/>
        <v>0.83732216903774581</v>
      </c>
      <c r="AL80" s="25">
        <f t="shared" si="354"/>
        <v>0.89368670022439167</v>
      </c>
      <c r="AM80" s="25">
        <f t="shared" si="354"/>
        <v>0.89495050210099003</v>
      </c>
      <c r="AN80" s="25">
        <f t="shared" si="354"/>
        <v>0.84777675253746976</v>
      </c>
      <c r="AO80" s="25">
        <f t="shared" si="354"/>
        <v>0.77924263028095953</v>
      </c>
      <c r="AP80" s="25">
        <f t="shared" si="354"/>
        <v>0.75030271028122464</v>
      </c>
      <c r="AQ80" s="25">
        <f t="shared" si="354"/>
        <v>0.77419651816867763</v>
      </c>
      <c r="AR80" s="25">
        <f t="shared" si="354"/>
        <v>0.82016659948945314</v>
      </c>
      <c r="AS80" s="25">
        <f t="shared" si="354"/>
        <v>0.83894572377460408</v>
      </c>
      <c r="AT80" s="25">
        <f t="shared" si="354"/>
        <v>0.77561813394667567</v>
      </c>
      <c r="AU80" s="25">
        <f t="shared" si="354"/>
        <v>0.87806198498185994</v>
      </c>
      <c r="AV80" s="25">
        <f t="shared" si="354"/>
        <v>0.82886149383611341</v>
      </c>
      <c r="AW80" s="25">
        <f t="shared" si="354"/>
        <v>0.81933662667607521</v>
      </c>
      <c r="AX80" s="25">
        <f t="shared" si="354"/>
        <v>0.87121212121212088</v>
      </c>
      <c r="AY80" s="25">
        <f t="shared" si="354"/>
        <v>0.86106246351430216</v>
      </c>
      <c r="AZ80" s="25">
        <f t="shared" si="354"/>
        <v>0.86341756919374235</v>
      </c>
      <c r="BA80" s="25">
        <f t="shared" si="354"/>
        <v>0.94146079484425327</v>
      </c>
      <c r="BB80" s="25">
        <f t="shared" si="354"/>
        <v>0.87534171678512862</v>
      </c>
      <c r="BC80" s="25">
        <f t="shared" si="354"/>
        <v>0.88280846670108382</v>
      </c>
      <c r="BD80" s="25">
        <f t="shared" si="354"/>
        <v>0.88163265306122451</v>
      </c>
      <c r="BE80" s="25">
        <f t="shared" si="354"/>
        <v>0.95452346395742704</v>
      </c>
      <c r="BF80" s="25">
        <f t="shared" ref="BF80" si="355">BF78/BF20</f>
        <v>0.86614557889594523</v>
      </c>
    </row>
    <row r="81" spans="2:58" customFormat="1" ht="15"/>
    <row r="82" spans="2:58">
      <c r="B82" s="10" t="s">
        <v>251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</row>
    <row r="83" spans="2:58" s="5" customFormat="1">
      <c r="B83" s="5" t="s">
        <v>252</v>
      </c>
      <c r="C83" s="14">
        <f>C78</f>
        <v>164.96000000000004</v>
      </c>
      <c r="D83" s="14">
        <f>D78</f>
        <v>185.98700000000002</v>
      </c>
      <c r="E83" s="14">
        <f>E78</f>
        <v>203.2</v>
      </c>
      <c r="F83" s="14">
        <f>F78</f>
        <v>214.5</v>
      </c>
      <c r="G83" s="14">
        <f>G78</f>
        <v>238.1</v>
      </c>
      <c r="H83" s="14">
        <f>H78</f>
        <v>284.68399999999997</v>
      </c>
      <c r="I83" s="14">
        <f>I78</f>
        <v>371.03399999999999</v>
      </c>
      <c r="J83" s="14">
        <f>J78</f>
        <v>360.97600000000011</v>
      </c>
      <c r="K83" s="14">
        <f>K78</f>
        <v>457.79999999999995</v>
      </c>
      <c r="L83" s="14">
        <f>L78</f>
        <v>472.7</v>
      </c>
      <c r="M83" s="14">
        <f>M78</f>
        <v>604</v>
      </c>
      <c r="N83" s="14">
        <f>N78</f>
        <v>701.2</v>
      </c>
      <c r="O83" s="14">
        <f>SUM(BC83:BF83)</f>
        <v>718.40000000000009</v>
      </c>
      <c r="P83" s="14"/>
      <c r="Q83" s="14">
        <f>Q78</f>
        <v>93</v>
      </c>
      <c r="R83" s="14">
        <f>R78</f>
        <v>121.5</v>
      </c>
      <c r="S83" s="14">
        <f>S78</f>
        <v>119.3</v>
      </c>
      <c r="T83" s="14">
        <f>T78</f>
        <v>118.8</v>
      </c>
      <c r="U83" s="14">
        <f>U78</f>
        <v>149.07599999999996</v>
      </c>
      <c r="V83" s="14">
        <f>V78</f>
        <v>135.608</v>
      </c>
      <c r="W83" s="14">
        <f>W78</f>
        <v>166.50799999999998</v>
      </c>
      <c r="X83" s="14">
        <f>X78</f>
        <v>204.52600000000001</v>
      </c>
      <c r="Y83" s="14">
        <f>Y78</f>
        <v>227.40000000000003</v>
      </c>
      <c r="Z83" s="14">
        <f>Z78</f>
        <v>230.39999999999992</v>
      </c>
      <c r="AA83" s="14">
        <f>AA78</f>
        <v>285.2</v>
      </c>
      <c r="AB83" s="14">
        <f>AB78</f>
        <v>318.8</v>
      </c>
      <c r="AC83" s="14">
        <f>AC78</f>
        <v>331.09999999999991</v>
      </c>
      <c r="AD83" s="14">
        <f>AD78</f>
        <v>370.10000000000014</v>
      </c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4">
        <f>AT78</f>
        <v>102.51500000000001</v>
      </c>
      <c r="AU83" s="14">
        <f>AU78</f>
        <v>124.88499999999996</v>
      </c>
      <c r="AV83" s="14">
        <f>AV78</f>
        <v>114.30000000000007</v>
      </c>
      <c r="AW83" s="14">
        <f>AW78</f>
        <v>116.09999999999985</v>
      </c>
      <c r="AX83" s="14">
        <f>AX78</f>
        <v>137.99999999999997</v>
      </c>
      <c r="AY83" s="14">
        <f>AY78</f>
        <v>147.49999999999994</v>
      </c>
      <c r="AZ83" s="14">
        <f>AZ78</f>
        <v>143.5</v>
      </c>
      <c r="BA83" s="14">
        <f>BA78</f>
        <v>175.3</v>
      </c>
      <c r="BB83" s="14">
        <f>BB78</f>
        <v>160.10000000000002</v>
      </c>
      <c r="BC83" s="14">
        <f>BC78</f>
        <v>170.99999999999994</v>
      </c>
      <c r="BD83" s="14">
        <f>BD78</f>
        <v>172.8</v>
      </c>
      <c r="BE83" s="14">
        <f>BE78</f>
        <v>197.30000000000013</v>
      </c>
      <c r="BF83" s="14">
        <f>BF78</f>
        <v>177.29999999999998</v>
      </c>
    </row>
    <row r="84" spans="2:58">
      <c r="B84" s="20" t="s">
        <v>253</v>
      </c>
      <c r="C84" s="22">
        <v>-74.722999999999999</v>
      </c>
      <c r="D84" s="22">
        <v>44.216000000000001</v>
      </c>
      <c r="E84" s="22">
        <v>33.066000000000003</v>
      </c>
      <c r="F84" s="22">
        <v>-5.3929999999999998</v>
      </c>
      <c r="G84" s="22">
        <v>17.893000000000001</v>
      </c>
      <c r="H84" s="22">
        <v>-47.253999999999998</v>
      </c>
      <c r="I84" s="22">
        <v>34.206000000000003</v>
      </c>
      <c r="J84" s="22">
        <v>34.206000000000003</v>
      </c>
      <c r="K84" s="22">
        <v>10.4</v>
      </c>
      <c r="L84" s="22">
        <v>10.4</v>
      </c>
      <c r="M84" s="22">
        <v>-33</v>
      </c>
      <c r="N84" s="22">
        <v>35</v>
      </c>
      <c r="O84" s="19">
        <f>SUM(BC84:BF84)</f>
        <v>-32.200000000000003</v>
      </c>
      <c r="P84" s="19"/>
      <c r="Q84" s="22">
        <v>-30.763999999999999</v>
      </c>
      <c r="R84" s="19">
        <f>F84-Q84</f>
        <v>25.370999999999999</v>
      </c>
      <c r="S84" s="22">
        <v>13.16</v>
      </c>
      <c r="T84" s="19">
        <f>G84-S84</f>
        <v>4.7330000000000005</v>
      </c>
      <c r="U84" s="22">
        <v>-60.152000000000001</v>
      </c>
      <c r="V84" s="19">
        <f>H84-U84</f>
        <v>12.898000000000003</v>
      </c>
      <c r="W84" s="22">
        <v>20.638000000000002</v>
      </c>
      <c r="X84" s="19">
        <f>I84-W84</f>
        <v>13.568000000000001</v>
      </c>
      <c r="Y84" s="22">
        <v>-54.1</v>
      </c>
      <c r="Z84" s="19">
        <f>K84-Y84</f>
        <v>64.5</v>
      </c>
      <c r="AA84" s="22">
        <v>8.9</v>
      </c>
      <c r="AB84" s="19">
        <f>M84-AA84</f>
        <v>-41.9</v>
      </c>
      <c r="AC84" s="22">
        <v>8.1999999999999993</v>
      </c>
      <c r="AD84" s="19">
        <f>N84-AC84</f>
        <v>26.8</v>
      </c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22">
        <v>-73.191999999999993</v>
      </c>
      <c r="AU84" s="19">
        <f>Y84-AT84</f>
        <v>19.091999999999992</v>
      </c>
      <c r="AV84" s="19">
        <f>7.2-Y84</f>
        <v>61.300000000000004</v>
      </c>
      <c r="AW84" s="187">
        <f>K84-SUM(AT84:AV84)</f>
        <v>3.1999999999999975</v>
      </c>
      <c r="AX84" s="22">
        <v>-29.3</v>
      </c>
      <c r="AY84" s="19">
        <f>AA84-AX84</f>
        <v>38.200000000000003</v>
      </c>
      <c r="AZ84" s="19">
        <f>32.5-35.6-19.6-AA84</f>
        <v>-31.6</v>
      </c>
      <c r="BA84" s="19">
        <f t="shared" ref="BA84:BA98" si="356">M84-AZ84-AA84</f>
        <v>-10.299999999999999</v>
      </c>
      <c r="BB84" s="22">
        <v>-27.8</v>
      </c>
      <c r="BC84" s="19">
        <f>AC84-BB84</f>
        <v>36</v>
      </c>
      <c r="BD84" s="22">
        <f>-12.6+60.7-3.8-AC84</f>
        <v>36.100000000000009</v>
      </c>
      <c r="BE84" s="19">
        <f t="shared" ref="BE84:BE87" si="357">N84-AC84-BD84</f>
        <v>-9.3000000000000078</v>
      </c>
      <c r="BF84" s="22">
        <v>-95</v>
      </c>
    </row>
    <row r="85" spans="2:58">
      <c r="B85" s="20" t="s">
        <v>254</v>
      </c>
      <c r="C85" s="48">
        <v>-8.6760000000000002</v>
      </c>
      <c r="D85" s="48">
        <v>-11.124000000000001</v>
      </c>
      <c r="E85" s="48">
        <v>-36.765999999999998</v>
      </c>
      <c r="F85" s="48">
        <v>-12.077</v>
      </c>
      <c r="G85" s="48">
        <v>-8.6850000000000005</v>
      </c>
      <c r="H85" s="48">
        <v>-33.066000000000003</v>
      </c>
      <c r="I85" s="48">
        <v>-30.818999999999999</v>
      </c>
      <c r="J85" s="48">
        <v>-30.818999999999999</v>
      </c>
      <c r="K85" s="48">
        <v>-45</v>
      </c>
      <c r="L85" s="48">
        <v>-45</v>
      </c>
      <c r="M85" s="48">
        <v>-44.9</v>
      </c>
      <c r="N85" s="48">
        <v>-74</v>
      </c>
      <c r="O85" s="19">
        <f>SUM(BC85:BF85)</f>
        <v>-72.099999999999994</v>
      </c>
      <c r="P85" s="19"/>
      <c r="Q85" s="48">
        <v>-10.375</v>
      </c>
      <c r="R85" s="19">
        <f>F85-Q85</f>
        <v>-1.702</v>
      </c>
      <c r="S85" s="48">
        <v>-3.827</v>
      </c>
      <c r="T85" s="19">
        <f>G85-S85</f>
        <v>-4.8580000000000005</v>
      </c>
      <c r="U85" s="48">
        <v>14.695</v>
      </c>
      <c r="V85" s="19">
        <f>H85-U85</f>
        <v>-47.761000000000003</v>
      </c>
      <c r="W85" s="48">
        <v>-25.885000000000002</v>
      </c>
      <c r="X85" s="19">
        <f>I85-W85</f>
        <v>-4.9339999999999975</v>
      </c>
      <c r="Y85" s="48">
        <v>-25.2</v>
      </c>
      <c r="Z85" s="19">
        <f>K85-Y85</f>
        <v>-19.8</v>
      </c>
      <c r="AA85" s="48">
        <v>-31.1</v>
      </c>
      <c r="AB85" s="19">
        <f>M85-AA85</f>
        <v>-13.799999999999997</v>
      </c>
      <c r="AC85" s="22">
        <v>-40.1</v>
      </c>
      <c r="AD85" s="19">
        <f>N85-AC85</f>
        <v>-33.9</v>
      </c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48">
        <v>-8.7110000000000003</v>
      </c>
      <c r="AU85" s="186">
        <f t="shared" ref="AU85:AU98" si="358">Y85-AT85</f>
        <v>-16.488999999999997</v>
      </c>
      <c r="AV85" s="163">
        <f>-38.9-Y85</f>
        <v>-13.7</v>
      </c>
      <c r="AW85" s="187">
        <f t="shared" ref="AW85:AW98" si="359">K85-SUM(AT85:AV85)</f>
        <v>-6.1000000000000085</v>
      </c>
      <c r="AX85" s="48">
        <v>-10.4</v>
      </c>
      <c r="AY85" s="19">
        <f>AA85-AX85</f>
        <v>-20.700000000000003</v>
      </c>
      <c r="AZ85" s="163">
        <f>-34.3-AA85</f>
        <v>-3.1999999999999957</v>
      </c>
      <c r="BA85" s="19">
        <f t="shared" si="356"/>
        <v>-10.600000000000001</v>
      </c>
      <c r="BB85" s="48">
        <v>-16.2</v>
      </c>
      <c r="BC85" s="19">
        <f>AC85-BB85</f>
        <v>-23.900000000000002</v>
      </c>
      <c r="BD85" s="22">
        <f>-54.5-AC85</f>
        <v>-14.399999999999999</v>
      </c>
      <c r="BE85" s="19">
        <f t="shared" si="357"/>
        <v>-19.5</v>
      </c>
      <c r="BF85" s="48">
        <v>-14.3</v>
      </c>
    </row>
    <row r="86" spans="2:58">
      <c r="B86" s="20" t="s">
        <v>255</v>
      </c>
      <c r="C86" s="48">
        <v>-41.963999999999999</v>
      </c>
      <c r="D86" s="48">
        <v>-47.674999999999997</v>
      </c>
      <c r="E86" s="48">
        <v>-54.715000000000003</v>
      </c>
      <c r="F86" s="48">
        <v>-54.582999999999998</v>
      </c>
      <c r="G86" s="48">
        <v>-62.271999999999998</v>
      </c>
      <c r="H86" s="48">
        <v>-45.164999999999999</v>
      </c>
      <c r="I86" s="48">
        <v>-64.697000000000003</v>
      </c>
      <c r="J86" s="48">
        <v>-64.697000000000003</v>
      </c>
      <c r="K86" s="48">
        <v>-116.5</v>
      </c>
      <c r="L86" s="48">
        <v>-116.5</v>
      </c>
      <c r="M86" s="48">
        <v>-207</v>
      </c>
      <c r="N86" s="48">
        <v>-242.2</v>
      </c>
      <c r="O86" s="19">
        <f>SUM(BC86:BF86)</f>
        <v>-279.5</v>
      </c>
      <c r="P86" s="19"/>
      <c r="Q86" s="48">
        <v>-25.962</v>
      </c>
      <c r="R86" s="19">
        <f>F86-Q86</f>
        <v>-28.620999999999999</v>
      </c>
      <c r="S86" s="48">
        <v>-31.535</v>
      </c>
      <c r="T86" s="19">
        <f>G86-S86</f>
        <v>-30.736999999999998</v>
      </c>
      <c r="U86" s="48">
        <v>-21.617000000000001</v>
      </c>
      <c r="V86" s="19">
        <f>H86-U86</f>
        <v>-23.547999999999998</v>
      </c>
      <c r="W86" s="48">
        <v>-27.925000000000001</v>
      </c>
      <c r="X86" s="19">
        <f>I86-W86</f>
        <v>-36.772000000000006</v>
      </c>
      <c r="Y86" s="48">
        <v>-49.5</v>
      </c>
      <c r="Z86" s="19">
        <f>K86-Y86</f>
        <v>-67</v>
      </c>
      <c r="AA86" s="48">
        <v>-91</v>
      </c>
      <c r="AB86" s="19">
        <f>M86-AA86</f>
        <v>-116</v>
      </c>
      <c r="AC86" s="22">
        <v>-128.30000000000001</v>
      </c>
      <c r="AD86" s="19">
        <f>N86-AC86</f>
        <v>-113.89999999999998</v>
      </c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48">
        <v>-24.128</v>
      </c>
      <c r="AU86" s="186">
        <f t="shared" si="358"/>
        <v>-25.372</v>
      </c>
      <c r="AV86" s="163">
        <f>-76.6-Y86</f>
        <v>-27.099999999999994</v>
      </c>
      <c r="AW86" s="187">
        <f t="shared" si="359"/>
        <v>-39.900000000000006</v>
      </c>
      <c r="AX86" s="48">
        <v>-35.9</v>
      </c>
      <c r="AY86" s="19">
        <f>AA86-AX86</f>
        <v>-55.1</v>
      </c>
      <c r="AZ86" s="163">
        <f>-150.1-AA86</f>
        <v>-59.099999999999994</v>
      </c>
      <c r="BA86" s="19">
        <f t="shared" si="356"/>
        <v>-56.900000000000006</v>
      </c>
      <c r="BB86" s="48">
        <v>-76.599999999999994</v>
      </c>
      <c r="BC86" s="19">
        <f>AC86-BB86</f>
        <v>-51.700000000000017</v>
      </c>
      <c r="BD86" s="22">
        <f>-175.2-AC86</f>
        <v>-46.899999999999977</v>
      </c>
      <c r="BE86" s="19">
        <f t="shared" si="357"/>
        <v>-67</v>
      </c>
      <c r="BF86" s="48">
        <v>-113.9</v>
      </c>
    </row>
    <row r="87" spans="2:58">
      <c r="B87" s="20" t="s">
        <v>256</v>
      </c>
      <c r="C87" s="48">
        <v>2.9780000000000002</v>
      </c>
      <c r="D87" s="48">
        <v>2.677</v>
      </c>
      <c r="E87" s="48">
        <v>1.9530000000000001</v>
      </c>
      <c r="F87" s="48">
        <v>0.58199999999999996</v>
      </c>
      <c r="G87" s="48">
        <v>0.371</v>
      </c>
      <c r="H87" s="48">
        <v>0.223</v>
      </c>
      <c r="I87" s="48">
        <v>3.7850000000000001</v>
      </c>
      <c r="J87" s="48">
        <v>3.7850000000000001</v>
      </c>
      <c r="K87" s="48">
        <v>20.399999999999999</v>
      </c>
      <c r="L87" s="48">
        <v>20.399999999999999</v>
      </c>
      <c r="M87" s="48">
        <v>50.7</v>
      </c>
      <c r="N87" s="48">
        <v>25.4</v>
      </c>
      <c r="O87" s="19">
        <f>SUM(BC87:BF87)</f>
        <v>20.399999999999999</v>
      </c>
      <c r="P87" s="19"/>
      <c r="Q87" s="48">
        <v>0.29799999999999999</v>
      </c>
      <c r="R87" s="19">
        <f>F87-Q87</f>
        <v>0.28399999999999997</v>
      </c>
      <c r="S87" s="48">
        <v>0.38200000000000001</v>
      </c>
      <c r="T87" s="19">
        <f>G87-S87</f>
        <v>-1.100000000000001E-2</v>
      </c>
      <c r="U87" s="48">
        <v>0.223</v>
      </c>
      <c r="V87" s="19">
        <f>H87-U87</f>
        <v>0</v>
      </c>
      <c r="W87" s="48">
        <v>-0.30199999999999999</v>
      </c>
      <c r="X87" s="19">
        <f>I87-W87</f>
        <v>4.0869999999999997</v>
      </c>
      <c r="Y87" s="48">
        <v>6.2</v>
      </c>
      <c r="Z87" s="19">
        <f>K87-Y87</f>
        <v>14.2</v>
      </c>
      <c r="AA87" s="48">
        <v>26.8</v>
      </c>
      <c r="AB87" s="19">
        <f>M87-AA87</f>
        <v>23.900000000000002</v>
      </c>
      <c r="AC87" s="22">
        <v>19.899999999999999</v>
      </c>
      <c r="AD87" s="19">
        <f>N87-AC87</f>
        <v>5.5</v>
      </c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48">
        <v>2.5990000000000002</v>
      </c>
      <c r="AU87" s="186">
        <f t="shared" si="358"/>
        <v>3.601</v>
      </c>
      <c r="AV87" s="163">
        <f>4.6-Y87</f>
        <v>-1.6000000000000005</v>
      </c>
      <c r="AW87" s="187">
        <f t="shared" si="359"/>
        <v>15.799999999999999</v>
      </c>
      <c r="AX87" s="48">
        <v>12.2</v>
      </c>
      <c r="AY87" s="19">
        <f>AA87-AX87</f>
        <v>14.600000000000001</v>
      </c>
      <c r="AZ87" s="163">
        <f>37.7-AA87</f>
        <v>10.900000000000002</v>
      </c>
      <c r="BA87" s="19">
        <f t="shared" si="356"/>
        <v>12.999999999999996</v>
      </c>
      <c r="BB87" s="48">
        <v>7.3</v>
      </c>
      <c r="BC87" s="19">
        <f>AC87-BB87</f>
        <v>12.599999999999998</v>
      </c>
      <c r="BD87" s="22">
        <f>18.2-AC87</f>
        <v>-1.6999999999999993</v>
      </c>
      <c r="BE87" s="19">
        <f t="shared" si="357"/>
        <v>7.1999999999999993</v>
      </c>
      <c r="BF87" s="48">
        <v>2.2999999999999998</v>
      </c>
    </row>
    <row r="88" spans="2:58" s="5" customFormat="1">
      <c r="B88" s="5" t="s">
        <v>257</v>
      </c>
      <c r="C88" s="26">
        <f>SUM(C83:C87)</f>
        <v>42.575000000000038</v>
      </c>
      <c r="D88" s="26">
        <f t="shared" ref="D88:F88" si="360">SUM(D83:D87)</f>
        <v>174.08100000000005</v>
      </c>
      <c r="E88" s="26">
        <f t="shared" si="360"/>
        <v>146.738</v>
      </c>
      <c r="F88" s="26">
        <f t="shared" si="360"/>
        <v>143.029</v>
      </c>
      <c r="G88" s="26">
        <f t="shared" ref="G88:H88" si="361">SUM(G83:G87)</f>
        <v>185.40700000000001</v>
      </c>
      <c r="H88" s="26">
        <f t="shared" si="361"/>
        <v>159.422</v>
      </c>
      <c r="I88" s="26">
        <f t="shared" ref="I88:J88" si="362">SUM(I83:I87)</f>
        <v>313.50900000000001</v>
      </c>
      <c r="J88" s="26">
        <f t="shared" si="362"/>
        <v>303.45100000000014</v>
      </c>
      <c r="K88" s="26">
        <f t="shared" ref="K88:M88" si="363">SUM(K83:K87)</f>
        <v>327.09999999999991</v>
      </c>
      <c r="L88" s="26">
        <f t="shared" ref="L88" si="364">SUM(L83:L87)</f>
        <v>341.99999999999994</v>
      </c>
      <c r="M88" s="26">
        <f t="shared" si="363"/>
        <v>369.8</v>
      </c>
      <c r="N88" s="26">
        <f t="shared" ref="N88" si="365">SUM(N83:N87)</f>
        <v>445.40000000000003</v>
      </c>
      <c r="O88" s="189">
        <f>SUM(O83:O87)</f>
        <v>355</v>
      </c>
      <c r="P88" s="26"/>
      <c r="Q88" s="26">
        <f t="shared" ref="Q88:S88" si="366">SUM(Q83:Q87)</f>
        <v>26.197000000000003</v>
      </c>
      <c r="R88" s="26">
        <f t="shared" ref="R88:T88" si="367">SUM(R83:R87)</f>
        <v>116.83200000000002</v>
      </c>
      <c r="S88" s="26">
        <f t="shared" si="366"/>
        <v>97.480000000000018</v>
      </c>
      <c r="T88" s="26">
        <f t="shared" si="367"/>
        <v>87.927000000000007</v>
      </c>
      <c r="U88" s="26">
        <f t="shared" ref="U88:W88" si="368">SUM(U83:U87)</f>
        <v>82.224999999999966</v>
      </c>
      <c r="V88" s="26">
        <f t="shared" si="368"/>
        <v>77.197000000000003</v>
      </c>
      <c r="W88" s="26">
        <f t="shared" si="368"/>
        <v>133.03399999999999</v>
      </c>
      <c r="X88" s="26">
        <f t="shared" ref="X88:Y88" si="369">SUM(X83:X87)</f>
        <v>180.47500000000002</v>
      </c>
      <c r="Y88" s="26">
        <f t="shared" si="369"/>
        <v>104.80000000000005</v>
      </c>
      <c r="Z88" s="26">
        <f t="shared" ref="Z88:AB88" si="370">SUM(Z83:Z87)</f>
        <v>222.2999999999999</v>
      </c>
      <c r="AA88" s="26">
        <f t="shared" ref="AA88:AD88" si="371">SUM(AA83:AA87)</f>
        <v>198.79999999999995</v>
      </c>
      <c r="AB88" s="26">
        <f t="shared" si="370"/>
        <v>171.00000000000003</v>
      </c>
      <c r="AC88" s="26">
        <f t="shared" si="371"/>
        <v>190.79999999999987</v>
      </c>
      <c r="AD88" s="26">
        <f t="shared" si="371"/>
        <v>254.60000000000019</v>
      </c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8"/>
      <c r="AS88" s="138"/>
      <c r="AT88" s="26">
        <f t="shared" ref="AT88:AW88" si="372">SUM(AT83:AT87)</f>
        <v>-0.91699999999997672</v>
      </c>
      <c r="AU88" s="14">
        <f t="shared" si="372"/>
        <v>105.71699999999994</v>
      </c>
      <c r="AV88" s="14">
        <f t="shared" si="372"/>
        <v>133.2000000000001</v>
      </c>
      <c r="AW88" s="14">
        <f t="shared" si="372"/>
        <v>89.099999999999838</v>
      </c>
      <c r="AX88" s="26">
        <f t="shared" ref="AX88:BA88" si="373">SUM(AX83:AX87)</f>
        <v>74.599999999999966</v>
      </c>
      <c r="AY88" s="14">
        <f t="shared" si="373"/>
        <v>124.49999999999994</v>
      </c>
      <c r="AZ88" s="14">
        <f t="shared" si="373"/>
        <v>60.500000000000028</v>
      </c>
      <c r="BA88" s="14">
        <f t="shared" si="373"/>
        <v>110.5</v>
      </c>
      <c r="BB88" s="26">
        <f t="shared" ref="BB88:BE88" si="374">SUM(BB83:BB87)</f>
        <v>46.800000000000011</v>
      </c>
      <c r="BC88" s="14">
        <f t="shared" si="374"/>
        <v>143.99999999999991</v>
      </c>
      <c r="BD88" s="14">
        <f t="shared" si="374"/>
        <v>145.90000000000006</v>
      </c>
      <c r="BE88" s="14">
        <f t="shared" si="374"/>
        <v>108.70000000000012</v>
      </c>
      <c r="BF88" s="26">
        <f t="shared" ref="BF88" si="375">SUM(BF83:BF87)</f>
        <v>-43.600000000000023</v>
      </c>
    </row>
    <row r="89" spans="2:58">
      <c r="B89" s="20" t="s">
        <v>258</v>
      </c>
      <c r="C89" s="48">
        <f>-16.905-173.865</f>
        <v>-190.77</v>
      </c>
      <c r="D89" s="48">
        <f>-14.7-62.278+14.68-387.812</f>
        <v>-450.11</v>
      </c>
      <c r="E89" s="48">
        <f>-46.603-20.879+37.09-348.922</f>
        <v>-379.31400000000002</v>
      </c>
      <c r="F89" s="48">
        <f>-48.699-3.228+12.11-322.055</f>
        <v>-361.87200000000001</v>
      </c>
      <c r="G89" s="48">
        <f>-64.105-2.232+8.95-359.227</f>
        <v>-416.61399999999998</v>
      </c>
      <c r="H89" s="48">
        <f>-174.392-13.969-96.526+4.312-599.566</f>
        <v>-880.14100000000008</v>
      </c>
      <c r="I89" s="48">
        <f>-228.433-43.909-6.353+11.146-870.674</f>
        <v>-1138.223</v>
      </c>
      <c r="J89" s="48">
        <f>-228.433-43.909-6.353+11.146-870.674</f>
        <v>-1138.223</v>
      </c>
      <c r="K89" s="48">
        <f>-246.8-61.9-8.8-812.8</f>
        <v>-1130.3</v>
      </c>
      <c r="L89" s="48">
        <f>-246.8-61.9-8.8-812.8</f>
        <v>-1130.3</v>
      </c>
      <c r="M89" s="48">
        <f>-326.2-33.4-1-793.1</f>
        <v>-1153.7</v>
      </c>
      <c r="N89" s="48">
        <f>-134.5-44.5-50.5-965.5</f>
        <v>-1195</v>
      </c>
      <c r="O89" s="19">
        <f t="shared" ref="O89:O95" si="376">SUM(BC89:BF89)</f>
        <v>-1200.7</v>
      </c>
      <c r="P89" s="19"/>
      <c r="Q89" s="48">
        <f>-0.761-145.597+14.49</f>
        <v>-131.86799999999999</v>
      </c>
      <c r="R89" s="19">
        <f>F89-Q89</f>
        <v>-230.00400000000002</v>
      </c>
      <c r="S89" s="48">
        <f>-0.489-166.927</f>
        <v>-167.416</v>
      </c>
      <c r="T89" s="19">
        <f>G89-S89</f>
        <v>-249.19799999999998</v>
      </c>
      <c r="U89" s="48">
        <f>-48.18-22.884-275.205</f>
        <v>-346.26900000000001</v>
      </c>
      <c r="V89" s="19">
        <f>H89-U89</f>
        <v>-533.87200000000007</v>
      </c>
      <c r="W89" s="48">
        <f>-37.576-5.769-2.538+12.719-450.991</f>
        <v>-484.15499999999997</v>
      </c>
      <c r="X89" s="19">
        <f>I89-W89</f>
        <v>-654.06799999999998</v>
      </c>
      <c r="Y89" s="48">
        <f>-55.6-19-11.6-344.9</f>
        <v>-431.09999999999997</v>
      </c>
      <c r="Z89" s="19">
        <f>K89-Y89</f>
        <v>-699.2</v>
      </c>
      <c r="AA89" s="48">
        <f>-48-18.1-0.8-396.9</f>
        <v>-463.79999999999995</v>
      </c>
      <c r="AB89" s="19">
        <f>M89-AA89</f>
        <v>-689.90000000000009</v>
      </c>
      <c r="AC89" s="48">
        <f>-58.6-12.3-1.5-400</f>
        <v>-472.4</v>
      </c>
      <c r="AD89" s="19">
        <f>N89-AC89</f>
        <v>-722.6</v>
      </c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48">
        <f>-36.655-11.685-154.704</f>
        <v>-203.04400000000001</v>
      </c>
      <c r="AU89" s="186">
        <f t="shared" si="358"/>
        <v>-228.05599999999995</v>
      </c>
      <c r="AV89" s="156">
        <f>-127.2-33.2-8.5-554-Y89</f>
        <v>-291.8</v>
      </c>
      <c r="AW89" s="187">
        <f t="shared" si="359"/>
        <v>-407.4</v>
      </c>
      <c r="AX89" s="48">
        <f>-15.6-10.5-187.2</f>
        <v>-213.29999999999998</v>
      </c>
      <c r="AY89" s="19">
        <f>AA89-AX89</f>
        <v>-250.49999999999997</v>
      </c>
      <c r="AZ89" s="163">
        <f>-120.6-24.9-1.7-604-AA89</f>
        <v>-287.40000000000009</v>
      </c>
      <c r="BA89" s="19">
        <f t="shared" si="356"/>
        <v>-402.5</v>
      </c>
      <c r="BB89" s="48">
        <f>-40.9-5.7-149.8</f>
        <v>-196.4</v>
      </c>
      <c r="BC89" s="19">
        <f>AC89-BB89</f>
        <v>-276</v>
      </c>
      <c r="BD89" s="22">
        <f>-93.7-22.8-72.9-699.2-AC89</f>
        <v>-416.20000000000005</v>
      </c>
      <c r="BE89" s="19">
        <f t="shared" ref="BE89:BE98" si="377">N89-AC89-BD89</f>
        <v>-306.39999999999998</v>
      </c>
      <c r="BF89" s="48">
        <f>-32.8-8.5-160.8</f>
        <v>-202.10000000000002</v>
      </c>
    </row>
    <row r="90" spans="2:58">
      <c r="B90" s="20" t="s">
        <v>259</v>
      </c>
      <c r="C90" s="48">
        <v>-38.063000000000002</v>
      </c>
      <c r="D90" s="48">
        <v>-14.723000000000001</v>
      </c>
      <c r="E90" s="48">
        <v>-39.689</v>
      </c>
      <c r="F90" s="48">
        <v>-20.378</v>
      </c>
      <c r="G90" s="48">
        <f>-27.116+1.06</f>
        <v>-26.056000000000001</v>
      </c>
      <c r="H90" s="48">
        <f>-552.568+8.95</f>
        <v>-543.61799999999994</v>
      </c>
      <c r="I90" s="48">
        <f>-112.522-194.843</f>
        <v>-307.36500000000001</v>
      </c>
      <c r="J90" s="48">
        <f>-102.522-194.843</f>
        <v>-297.36500000000001</v>
      </c>
      <c r="K90" s="48">
        <f>-58.5-39.5</f>
        <v>-98</v>
      </c>
      <c r="L90" s="48">
        <f>-58.5-39.5</f>
        <v>-98</v>
      </c>
      <c r="M90" s="48">
        <f>-147.4-26.6</f>
        <v>-174</v>
      </c>
      <c r="N90" s="48">
        <f>-168.8-162.3</f>
        <v>-331.1</v>
      </c>
      <c r="O90" s="19">
        <f t="shared" si="376"/>
        <v>-323.90000000000003</v>
      </c>
      <c r="P90" s="19"/>
      <c r="Q90" s="48">
        <v>-13.22</v>
      </c>
      <c r="R90" s="19">
        <f>F90-Q90</f>
        <v>-7.1579999999999995</v>
      </c>
      <c r="S90" s="48">
        <v>-5.2069999999999999</v>
      </c>
      <c r="T90" s="19">
        <f>G90-S90</f>
        <v>-20.849</v>
      </c>
      <c r="U90" s="48">
        <v>-60.734999999999999</v>
      </c>
      <c r="V90" s="19">
        <f>H90-U90</f>
        <v>-482.88299999999992</v>
      </c>
      <c r="W90" s="48">
        <v>-138.32499999999999</v>
      </c>
      <c r="X90" s="19">
        <f>I90-W90</f>
        <v>-169.04000000000002</v>
      </c>
      <c r="Y90" s="48">
        <f>-40.1-29.5+3.7</f>
        <v>-65.899999999999991</v>
      </c>
      <c r="Z90" s="19">
        <f>K90-Y90</f>
        <v>-32.100000000000009</v>
      </c>
      <c r="AA90" s="48">
        <f>-131.1-26.6</f>
        <v>-157.69999999999999</v>
      </c>
      <c r="AB90" s="19">
        <f>M90-AA90</f>
        <v>-16.300000000000011</v>
      </c>
      <c r="AC90" s="48">
        <f>-45.2-36.3</f>
        <v>-81.5</v>
      </c>
      <c r="AD90" s="19">
        <f>N90-AC90</f>
        <v>-249.60000000000002</v>
      </c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48">
        <f>-40.146-29.519</f>
        <v>-69.664999999999992</v>
      </c>
      <c r="AU90" s="186">
        <f t="shared" si="358"/>
        <v>3.7650000000000006</v>
      </c>
      <c r="AV90" s="187">
        <f>-40.1-29.5+3.7-Y90</f>
        <v>0</v>
      </c>
      <c r="AW90" s="187">
        <f t="shared" si="359"/>
        <v>-32.100000000000009</v>
      </c>
      <c r="AX90" s="48">
        <v>0</v>
      </c>
      <c r="AY90" s="19">
        <f>AA90-AX90</f>
        <v>-157.69999999999999</v>
      </c>
      <c r="AZ90" s="187">
        <f>-131.1-26.6-AA90</f>
        <v>0</v>
      </c>
      <c r="BA90" s="19">
        <f t="shared" si="356"/>
        <v>-16.300000000000011</v>
      </c>
      <c r="BB90" s="48">
        <v>-7.2</v>
      </c>
      <c r="BC90" s="19">
        <f>AC90-BB90</f>
        <v>-74.3</v>
      </c>
      <c r="BD90" s="22">
        <f>-45.2-36.3-AC90</f>
        <v>0</v>
      </c>
      <c r="BE90" s="19">
        <f t="shared" si="377"/>
        <v>-249.60000000000002</v>
      </c>
      <c r="BF90" s="48">
        <v>0</v>
      </c>
    </row>
    <row r="91" spans="2:58" s="5" customFormat="1">
      <c r="B91" s="27" t="s">
        <v>260</v>
      </c>
      <c r="C91" s="14">
        <f t="shared" ref="C91:F91" si="378">SUM(C88:C90)</f>
        <v>-186.25799999999998</v>
      </c>
      <c r="D91" s="14">
        <f t="shared" si="378"/>
        <v>-290.75200000000001</v>
      </c>
      <c r="E91" s="14">
        <f t="shared" si="378"/>
        <v>-272.26500000000004</v>
      </c>
      <c r="F91" s="14">
        <f t="shared" si="378"/>
        <v>-239.221</v>
      </c>
      <c r="G91" s="14">
        <f t="shared" ref="G91:H91" si="379">SUM(G88:G90)</f>
        <v>-257.26299999999998</v>
      </c>
      <c r="H91" s="14">
        <f t="shared" si="379"/>
        <v>-1264.337</v>
      </c>
      <c r="I91" s="14">
        <f t="shared" ref="I91:J91" si="380">SUM(I88:I90)</f>
        <v>-1132.079</v>
      </c>
      <c r="J91" s="14">
        <f t="shared" si="380"/>
        <v>-1132.1369999999997</v>
      </c>
      <c r="K91" s="14">
        <f t="shared" ref="K91:M91" si="381">SUM(K88:K90)</f>
        <v>-901.2</v>
      </c>
      <c r="L91" s="14">
        <f t="shared" ref="L91" si="382">SUM(L88:L90)</f>
        <v>-886.3</v>
      </c>
      <c r="M91" s="14">
        <f t="shared" si="381"/>
        <v>-957.90000000000009</v>
      </c>
      <c r="N91" s="14">
        <f t="shared" ref="N91" si="383">SUM(N88:N90)</f>
        <v>-1080.6999999999998</v>
      </c>
      <c r="O91" s="14">
        <f t="shared" si="376"/>
        <v>-1169.5999999999999</v>
      </c>
      <c r="P91" s="14"/>
      <c r="Q91" s="14">
        <f t="shared" ref="Q91:S91" si="384">SUM(Q88:Q90)</f>
        <v>-118.89099999999999</v>
      </c>
      <c r="R91" s="14">
        <f>SUM(R88:R90)</f>
        <v>-120.33</v>
      </c>
      <c r="S91" s="14">
        <f t="shared" si="384"/>
        <v>-75.142999999999972</v>
      </c>
      <c r="T91" s="14">
        <f>SUM(T88:T90)</f>
        <v>-182.11999999999995</v>
      </c>
      <c r="U91" s="14">
        <f t="shared" ref="U91" si="385">SUM(U88:U90)</f>
        <v>-324.77900000000005</v>
      </c>
      <c r="V91" s="14">
        <f t="shared" ref="V91:AA91" si="386">SUM(V88:V90)</f>
        <v>-939.55799999999999</v>
      </c>
      <c r="W91" s="14">
        <f t="shared" si="386"/>
        <v>-489.44599999999997</v>
      </c>
      <c r="X91" s="14">
        <f t="shared" si="386"/>
        <v>-642.63300000000004</v>
      </c>
      <c r="Y91" s="14">
        <f t="shared" si="386"/>
        <v>-392.19999999999987</v>
      </c>
      <c r="Z91" s="14">
        <f t="shared" si="386"/>
        <v>-509.00000000000017</v>
      </c>
      <c r="AA91" s="14">
        <f t="shared" si="386"/>
        <v>-422.7</v>
      </c>
      <c r="AB91" s="14">
        <f t="shared" ref="AB91:AC91" si="387">SUM(AB88:AB90)</f>
        <v>-535.20000000000005</v>
      </c>
      <c r="AC91" s="14">
        <f t="shared" si="387"/>
        <v>-363.10000000000014</v>
      </c>
      <c r="AD91" s="14">
        <f t="shared" ref="AD91" si="388">SUM(AD88:AD90)</f>
        <v>-717.59999999999991</v>
      </c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  <c r="AT91" s="14">
        <f t="shared" ref="AT91:AV91" si="389">SUM(AT88:AT90)</f>
        <v>-273.62599999999998</v>
      </c>
      <c r="AU91" s="14">
        <f t="shared" si="389"/>
        <v>-118.57400000000001</v>
      </c>
      <c r="AV91" s="14">
        <f t="shared" si="389"/>
        <v>-158.59999999999991</v>
      </c>
      <c r="AW91" s="14">
        <f t="shared" ref="AW91:AZ91" si="390">SUM(AW88:AW90)</f>
        <v>-350.40000000000015</v>
      </c>
      <c r="AX91" s="14">
        <f t="shared" si="390"/>
        <v>-138.70000000000002</v>
      </c>
      <c r="AY91" s="14">
        <f t="shared" si="390"/>
        <v>-283.70000000000005</v>
      </c>
      <c r="AZ91" s="14">
        <f t="shared" si="390"/>
        <v>-226.90000000000006</v>
      </c>
      <c r="BA91" s="14">
        <f t="shared" ref="BA91:BD91" si="391">SUM(BA88:BA90)</f>
        <v>-308.3</v>
      </c>
      <c r="BB91" s="14">
        <f t="shared" si="391"/>
        <v>-156.79999999999998</v>
      </c>
      <c r="BC91" s="14">
        <f t="shared" si="391"/>
        <v>-206.30000000000007</v>
      </c>
      <c r="BD91" s="14">
        <f t="shared" si="391"/>
        <v>-270.29999999999995</v>
      </c>
      <c r="BE91" s="14">
        <f t="shared" ref="BE91:BF91" si="392">SUM(BE88:BE90)</f>
        <v>-447.2999999999999</v>
      </c>
      <c r="BF91" s="14">
        <f t="shared" si="392"/>
        <v>-245.70000000000005</v>
      </c>
    </row>
    <row r="92" spans="2:58">
      <c r="B92" s="20" t="s">
        <v>261</v>
      </c>
      <c r="C92" s="22">
        <v>0</v>
      </c>
      <c r="D92" s="22">
        <v>23.481000000000002</v>
      </c>
      <c r="E92" s="22">
        <v>398.15899999999999</v>
      </c>
      <c r="F92" s="22">
        <v>0</v>
      </c>
      <c r="G92" s="22">
        <f>-27.08+0.629</f>
        <v>-26.450999999999997</v>
      </c>
      <c r="H92" s="22">
        <f>-15+3.512</f>
        <v>-11.488</v>
      </c>
      <c r="I92" s="22">
        <f>-1.79+2.398+80.184</f>
        <v>80.792000000000002</v>
      </c>
      <c r="J92" s="22">
        <f>-1.79+2.398+80.184</f>
        <v>80.792000000000002</v>
      </c>
      <c r="K92" s="22">
        <f>-0.2+44+4.1+3.7</f>
        <v>51.6</v>
      </c>
      <c r="L92" s="22">
        <f>-0.2+44+4.1+3.7</f>
        <v>51.6</v>
      </c>
      <c r="M92" s="22">
        <f>0.6</f>
        <v>0.6</v>
      </c>
      <c r="N92" s="22">
        <v>0</v>
      </c>
      <c r="O92" s="19">
        <f t="shared" si="376"/>
        <v>0.79999999999999982</v>
      </c>
      <c r="P92" s="19"/>
      <c r="Q92" s="22">
        <v>0</v>
      </c>
      <c r="R92" s="19">
        <f>F92-Q92</f>
        <v>0</v>
      </c>
      <c r="S92" s="22">
        <v>0</v>
      </c>
      <c r="T92" s="19">
        <f>G92-S92</f>
        <v>-26.450999999999997</v>
      </c>
      <c r="U92" s="22">
        <v>0</v>
      </c>
      <c r="V92" s="19">
        <f>H92-U92</f>
        <v>-11.488</v>
      </c>
      <c r="W92" s="22">
        <v>0</v>
      </c>
      <c r="X92" s="19">
        <f>I92-W92</f>
        <v>80.792000000000002</v>
      </c>
      <c r="Y92" s="22">
        <f>-0.1+4+4.1</f>
        <v>8</v>
      </c>
      <c r="Z92" s="19">
        <f>K92-Y92</f>
        <v>43.6</v>
      </c>
      <c r="AA92" s="22">
        <v>0.6</v>
      </c>
      <c r="AB92" s="19">
        <f>M92-AA92</f>
        <v>0</v>
      </c>
      <c r="AC92" s="22">
        <v>0</v>
      </c>
      <c r="AD92" s="19">
        <f>N92-AC92</f>
        <v>0</v>
      </c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22">
        <f>-0.05+4.08</f>
        <v>4.03</v>
      </c>
      <c r="AU92" s="19">
        <f t="shared" si="358"/>
        <v>3.9699999999999998</v>
      </c>
      <c r="AV92" s="19">
        <f>-0.2+44+4.1-Y92</f>
        <v>39.9</v>
      </c>
      <c r="AW92" s="187">
        <f t="shared" si="359"/>
        <v>3.7000000000000028</v>
      </c>
      <c r="AX92" s="22">
        <f>-0.4+0.6</f>
        <v>0.19999999999999996</v>
      </c>
      <c r="AY92" s="19">
        <f>AA92-AX92</f>
        <v>0.4</v>
      </c>
      <c r="AZ92" s="19">
        <f>0.6-0-0-AA92</f>
        <v>0</v>
      </c>
      <c r="BA92" s="19">
        <f t="shared" si="356"/>
        <v>0</v>
      </c>
      <c r="BB92" s="22">
        <f>-1.6-0.7</f>
        <v>-2.2999999999999998</v>
      </c>
      <c r="BC92" s="19">
        <f>AC92-BB92</f>
        <v>2.2999999999999998</v>
      </c>
      <c r="BD92" s="22">
        <f t="shared" ref="BD92" si="393">0-AC92</f>
        <v>0</v>
      </c>
      <c r="BE92" s="19">
        <f t="shared" si="377"/>
        <v>0</v>
      </c>
      <c r="BF92" s="22">
        <v>-1.5</v>
      </c>
    </row>
    <row r="93" spans="2:58">
      <c r="B93" s="20" t="s">
        <v>262</v>
      </c>
      <c r="C93" s="22">
        <v>0</v>
      </c>
      <c r="D93" s="22">
        <v>0</v>
      </c>
      <c r="E93" s="22">
        <v>-195.60599999999999</v>
      </c>
      <c r="F93" s="22">
        <v>0</v>
      </c>
      <c r="G93" s="22">
        <f>0.2-12.5</f>
        <v>-12.3</v>
      </c>
      <c r="H93" s="22">
        <f>854.238-34.904-5.513</f>
        <v>813.82100000000003</v>
      </c>
      <c r="I93" s="22">
        <f>-123.96-2.247</f>
        <v>-126.20699999999999</v>
      </c>
      <c r="J93" s="22">
        <f>-123.96-2.247</f>
        <v>-126.20699999999999</v>
      </c>
      <c r="K93" s="22">
        <v>-164</v>
      </c>
      <c r="L93" s="22">
        <v>-164</v>
      </c>
      <c r="M93" s="22">
        <f>-151.4+294.6</f>
        <v>143.20000000000002</v>
      </c>
      <c r="N93" s="22">
        <v>-83.7</v>
      </c>
      <c r="O93" s="19">
        <f t="shared" si="376"/>
        <v>-83.7</v>
      </c>
      <c r="P93" s="19"/>
      <c r="Q93" s="22">
        <v>0</v>
      </c>
      <c r="R93" s="19">
        <f>F93-Q93</f>
        <v>0</v>
      </c>
      <c r="S93" s="22">
        <v>-12.5</v>
      </c>
      <c r="T93" s="19">
        <f>G93-S93</f>
        <v>0.19999999999999929</v>
      </c>
      <c r="U93" s="22">
        <v>0</v>
      </c>
      <c r="V93" s="19">
        <f>H93-U93</f>
        <v>813.82100000000003</v>
      </c>
      <c r="W93" s="22">
        <v>0</v>
      </c>
      <c r="X93" s="19">
        <f>I93-W93</f>
        <v>-126.20699999999999</v>
      </c>
      <c r="Y93" s="22">
        <v>0</v>
      </c>
      <c r="Z93" s="19">
        <f>K93-Y93</f>
        <v>-164</v>
      </c>
      <c r="AA93" s="22">
        <v>0</v>
      </c>
      <c r="AB93" s="19">
        <f>M93-AA93</f>
        <v>143.20000000000002</v>
      </c>
      <c r="AC93" s="22">
        <v>0</v>
      </c>
      <c r="AD93" s="19">
        <f>N93-AC93</f>
        <v>-83.7</v>
      </c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22">
        <v>0</v>
      </c>
      <c r="AU93" s="19">
        <f t="shared" si="358"/>
        <v>0</v>
      </c>
      <c r="AV93" s="22">
        <f>0-Y93</f>
        <v>0</v>
      </c>
      <c r="AW93" s="187">
        <f t="shared" si="359"/>
        <v>-164</v>
      </c>
      <c r="AX93" s="22">
        <v>0</v>
      </c>
      <c r="AY93" s="19">
        <f>AA93-AX93</f>
        <v>0</v>
      </c>
      <c r="AZ93" s="19">
        <f>222.8-AA93</f>
        <v>222.8</v>
      </c>
      <c r="BA93" s="19">
        <f t="shared" si="356"/>
        <v>-79.599999999999994</v>
      </c>
      <c r="BB93" s="22">
        <v>0</v>
      </c>
      <c r="BC93" s="19">
        <f>AC93-BB93</f>
        <v>0</v>
      </c>
      <c r="BD93" s="22">
        <f>-44.9-AC93</f>
        <v>-44.9</v>
      </c>
      <c r="BE93" s="19">
        <f t="shared" si="377"/>
        <v>-38.800000000000004</v>
      </c>
      <c r="BF93" s="22">
        <v>0</v>
      </c>
    </row>
    <row r="94" spans="2:58">
      <c r="B94" s="20" t="s">
        <v>263</v>
      </c>
      <c r="C94" s="48">
        <f>-846.437+1019.269</f>
        <v>172.83199999999999</v>
      </c>
      <c r="D94" s="48">
        <f>-528.446-21.657+828.944</f>
        <v>278.84099999999989</v>
      </c>
      <c r="E94" s="48">
        <f>-273.782+357.466-13.428+11.518</f>
        <v>81.774000000000029</v>
      </c>
      <c r="F94" s="48">
        <f>-1508.8+2042.082-225</f>
        <v>308.28200000000015</v>
      </c>
      <c r="G94" s="48">
        <f>1041.395-1088.814+743.657-20.625</f>
        <v>675.61299999999994</v>
      </c>
      <c r="H94" s="48">
        <f>2479.615-2119.968+677.468-35.968</f>
        <v>1001.1469999999998</v>
      </c>
      <c r="I94" s="48">
        <f>733.368-391.201+628.987-0</f>
        <v>971.154</v>
      </c>
      <c r="J94" s="48">
        <f>733.368-391.201+628.987-0</f>
        <v>971.154</v>
      </c>
      <c r="K94" s="48">
        <f>-427.9+1492.8</f>
        <v>1064.9000000000001</v>
      </c>
      <c r="L94" s="48">
        <f>-427.9+1492.8</f>
        <v>1064.9000000000001</v>
      </c>
      <c r="M94" s="48">
        <f>1369.3-1350.3+1035.4-4.2</f>
        <v>1050.2</v>
      </c>
      <c r="N94" s="48">
        <f>1596.2-1248.3+764.8-4.6</f>
        <v>1108.1000000000001</v>
      </c>
      <c r="O94" s="19">
        <f t="shared" si="376"/>
        <v>123.70000000000016</v>
      </c>
      <c r="P94" s="19"/>
      <c r="Q94" s="48">
        <f>-1443.246+1824.639-225</f>
        <v>156.3929999999998</v>
      </c>
      <c r="R94" s="19">
        <f>F94-Q94</f>
        <v>151.88900000000035</v>
      </c>
      <c r="S94" s="48">
        <f>-105.387+201.539+0.629-15.981</f>
        <v>80.8</v>
      </c>
      <c r="T94" s="19">
        <f>G94-S94</f>
        <v>594.81299999999999</v>
      </c>
      <c r="U94" s="48">
        <f>-1910.975+75.468+3.542-35.969+1487.52-15</f>
        <v>-395.41399999999999</v>
      </c>
      <c r="V94" s="19">
        <f>H94-U94</f>
        <v>1396.5609999999997</v>
      </c>
      <c r="W94" s="48">
        <f>-434.517+53.987+4.626+695.226-1.5</f>
        <v>317.822</v>
      </c>
      <c r="X94" s="19">
        <f>I94-W94</f>
        <v>653.33199999999999</v>
      </c>
      <c r="Y94" s="48">
        <f>-13.2+508.3-1.8</f>
        <v>493.3</v>
      </c>
      <c r="Z94" s="19">
        <f>K94-Y94</f>
        <v>571.60000000000014</v>
      </c>
      <c r="AA94" s="48">
        <f>823.2-748.5+823.8-2.1</f>
        <v>896.4</v>
      </c>
      <c r="AB94" s="19">
        <f>M94-AA94</f>
        <v>153.80000000000007</v>
      </c>
      <c r="AC94" s="22">
        <f>996.2-743.3+185.6-2.3</f>
        <v>436.2000000000001</v>
      </c>
      <c r="AD94" s="19">
        <f>N94-AC94</f>
        <v>671.90000000000009</v>
      </c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48">
        <f>-6.122+228.4</f>
        <v>222.27800000000002</v>
      </c>
      <c r="AU94" s="186">
        <f t="shared" si="358"/>
        <v>271.02199999999999</v>
      </c>
      <c r="AV94" s="48">
        <f>-19.3+905.3-2.8-Y94</f>
        <v>389.90000000000003</v>
      </c>
      <c r="AW94" s="187">
        <f t="shared" si="359"/>
        <v>181.70000000000005</v>
      </c>
      <c r="AX94" s="48">
        <f>-247.6+192+747.9</f>
        <v>692.3</v>
      </c>
      <c r="AY94" s="19">
        <f>AA94-AX94</f>
        <v>204.10000000000002</v>
      </c>
      <c r="AZ94" s="163">
        <f>823.2-763.8+1035.5-3.2-AA94</f>
        <v>195.30000000000007</v>
      </c>
      <c r="BA94" s="19">
        <f t="shared" si="356"/>
        <v>-41.5</v>
      </c>
      <c r="BB94" s="48">
        <f>-15+185.6+996.2</f>
        <v>1166.8</v>
      </c>
      <c r="BC94" s="19">
        <f>AC94-BB94</f>
        <v>-730.59999999999991</v>
      </c>
      <c r="BD94" s="22">
        <f>996.2-757.1+684.8-3.4-AC94</f>
        <v>484.2999999999999</v>
      </c>
      <c r="BE94" s="19">
        <f t="shared" si="377"/>
        <v>187.60000000000019</v>
      </c>
      <c r="BF94" s="48">
        <f>-597.2+280+499.6</f>
        <v>182.39999999999998</v>
      </c>
    </row>
    <row r="95" spans="2:58">
      <c r="B95" s="20" t="s">
        <v>264</v>
      </c>
      <c r="C95" s="22">
        <v>0</v>
      </c>
      <c r="D95" s="22">
        <v>-10.999000000000001</v>
      </c>
      <c r="E95" s="22">
        <f>-2.385-0.59</f>
        <v>-2.9749999999999996</v>
      </c>
      <c r="F95" s="22">
        <f>-31.705-0.5</f>
        <v>-32.204999999999998</v>
      </c>
      <c r="G95" s="22">
        <f>-21.649-0.541</f>
        <v>-22.19</v>
      </c>
      <c r="H95" s="22">
        <f>-45.344-0.974</f>
        <v>-46.317999999999998</v>
      </c>
      <c r="I95" s="22">
        <f>-4.754-3.01</f>
        <v>-7.7639999999999993</v>
      </c>
      <c r="J95" s="22">
        <f>-4.754-3.01</f>
        <v>-7.7639999999999993</v>
      </c>
      <c r="K95" s="22">
        <f>-3.6-11.2</f>
        <v>-14.799999999999999</v>
      </c>
      <c r="L95" s="22">
        <f>-3.6-11.2</f>
        <v>-14.799999999999999</v>
      </c>
      <c r="M95" s="22">
        <f>-39.6</f>
        <v>-39.6</v>
      </c>
      <c r="N95" s="22">
        <v>-32.4</v>
      </c>
      <c r="O95" s="19">
        <f t="shared" si="376"/>
        <v>-29.8</v>
      </c>
      <c r="P95" s="19"/>
      <c r="Q95" s="22">
        <f>-59.621-0.2</f>
        <v>-59.821000000000005</v>
      </c>
      <c r="R95" s="19">
        <f>F95-Q95</f>
        <v>27.616000000000007</v>
      </c>
      <c r="S95" s="22">
        <f>-1.376+0.2-0.123</f>
        <v>-1.2989999999999999</v>
      </c>
      <c r="T95" s="19">
        <f>G95-S95</f>
        <v>-20.891000000000002</v>
      </c>
      <c r="U95" s="22">
        <f>-23.844-0.5+854.238-13.208</f>
        <v>816.68600000000004</v>
      </c>
      <c r="V95" s="19">
        <f>H95-U95</f>
        <v>-863.00400000000002</v>
      </c>
      <c r="W95" s="22">
        <f>0.832-67.942-0.555</f>
        <v>-67.665000000000006</v>
      </c>
      <c r="X95" s="19">
        <f>I95-W95</f>
        <v>59.90100000000001</v>
      </c>
      <c r="Y95" s="22">
        <f>-6.8-75.9</f>
        <v>-82.7</v>
      </c>
      <c r="Z95" s="19">
        <f>K95-Y95</f>
        <v>67.900000000000006</v>
      </c>
      <c r="AA95" s="22">
        <f>-15.7-41.4</f>
        <v>-57.099999999999994</v>
      </c>
      <c r="AB95" s="19">
        <f>M95-AA95</f>
        <v>17.499999999999993</v>
      </c>
      <c r="AC95" s="22">
        <f>-44.9-12.3</f>
        <v>-57.2</v>
      </c>
      <c r="AD95" s="19">
        <f>N95-AC95</f>
        <v>24.800000000000004</v>
      </c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22">
        <f>-2.374-0.955</f>
        <v>-3.3290000000000002</v>
      </c>
      <c r="AU95" s="19">
        <f t="shared" si="358"/>
        <v>-79.371000000000009</v>
      </c>
      <c r="AV95" s="22">
        <f>-9.2-164-Y95</f>
        <v>-90.499999999999986</v>
      </c>
      <c r="AW95" s="187">
        <f t="shared" si="359"/>
        <v>158.39999999999998</v>
      </c>
      <c r="AX95" s="22">
        <f>-8.8-1.2</f>
        <v>-10</v>
      </c>
      <c r="AY95" s="19">
        <f>AA95-AX95</f>
        <v>-47.099999999999994</v>
      </c>
      <c r="AZ95" s="19">
        <f>-19.3-41.4-AA95</f>
        <v>-3.6000000000000085</v>
      </c>
      <c r="BA95" s="19">
        <f t="shared" si="356"/>
        <v>21.1</v>
      </c>
      <c r="BB95" s="22">
        <f>-9.7-1.2</f>
        <v>-10.899999999999999</v>
      </c>
      <c r="BC95" s="19">
        <f>AC95-BB95</f>
        <v>-46.300000000000004</v>
      </c>
      <c r="BD95" s="22">
        <f>-27.1-AC95</f>
        <v>30.1</v>
      </c>
      <c r="BE95" s="19">
        <f t="shared" si="377"/>
        <v>-5.2999999999999972</v>
      </c>
      <c r="BF95" s="22">
        <f>-6.9-1.4</f>
        <v>-8.3000000000000007</v>
      </c>
    </row>
    <row r="96" spans="2:58">
      <c r="B96" s="27" t="s">
        <v>265</v>
      </c>
      <c r="C96" s="14">
        <f t="shared" ref="C96:E96" si="394">SUM(C91:C95)</f>
        <v>-13.425999999999988</v>
      </c>
      <c r="D96" s="14">
        <f t="shared" si="394"/>
        <v>0.57099999999987894</v>
      </c>
      <c r="E96" s="14">
        <f t="shared" si="394"/>
        <v>9.0869999999999838</v>
      </c>
      <c r="F96" s="14">
        <f t="shared" ref="F96:K96" si="395">SUM(F91:F95)</f>
        <v>36.856000000000151</v>
      </c>
      <c r="G96" s="14">
        <f t="shared" si="395"/>
        <v>357.40899999999993</v>
      </c>
      <c r="H96" s="14">
        <f t="shared" si="395"/>
        <v>492.82499999999982</v>
      </c>
      <c r="I96" s="14">
        <f t="shared" si="395"/>
        <v>-214.10400000000016</v>
      </c>
      <c r="J96" s="14">
        <f t="shared" si="395"/>
        <v>-214.16199999999969</v>
      </c>
      <c r="K96" s="14">
        <f t="shared" si="395"/>
        <v>36.500000000000071</v>
      </c>
      <c r="L96" s="14">
        <f t="shared" ref="L96" si="396">SUM(L91:L95)</f>
        <v>51.400000000000162</v>
      </c>
      <c r="M96" s="14">
        <f t="shared" ref="M96:N96" si="397">SUM(M91:M95)</f>
        <v>196.50000000000003</v>
      </c>
      <c r="N96" s="14">
        <f t="shared" si="397"/>
        <v>-88.699999999999733</v>
      </c>
      <c r="O96" s="189">
        <f>SUM(O91:O95)</f>
        <v>-1158.5999999999997</v>
      </c>
      <c r="P96" s="14"/>
      <c r="Q96" s="14">
        <f t="shared" ref="Q96:S96" si="398">SUM(Q91:Q95)</f>
        <v>-22.319000000000194</v>
      </c>
      <c r="R96" s="14">
        <f>SUM(R91:R95)</f>
        <v>59.17500000000036</v>
      </c>
      <c r="S96" s="14">
        <f t="shared" si="398"/>
        <v>-8.1419999999999746</v>
      </c>
      <c r="T96" s="14">
        <f>SUM(T91:T95)</f>
        <v>365.55099999999999</v>
      </c>
      <c r="U96" s="14">
        <f t="shared" ref="U96" si="399">SUM(U91:U95)</f>
        <v>96.493000000000052</v>
      </c>
      <c r="V96" s="14">
        <f t="shared" ref="V96:AC96" si="400">SUM(V91:V95)</f>
        <v>396.33199999999977</v>
      </c>
      <c r="W96" s="14">
        <f t="shared" si="400"/>
        <v>-239.28899999999999</v>
      </c>
      <c r="X96" s="14">
        <f t="shared" si="400"/>
        <v>25.185000000000002</v>
      </c>
      <c r="Y96" s="14">
        <f t="shared" si="400"/>
        <v>26.400000000000134</v>
      </c>
      <c r="Z96" s="14">
        <f t="shared" si="400"/>
        <v>10.100000000000051</v>
      </c>
      <c r="AA96" s="14">
        <f t="shared" si="400"/>
        <v>417.20000000000005</v>
      </c>
      <c r="AB96" s="14">
        <f t="shared" ref="AB96:AD96" si="401">SUM(AB91:AB95)</f>
        <v>-220.69999999999993</v>
      </c>
      <c r="AC96" s="14">
        <f t="shared" si="400"/>
        <v>15.899999999999963</v>
      </c>
      <c r="AD96" s="14">
        <f t="shared" si="401"/>
        <v>-104.59999999999985</v>
      </c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4">
        <f>SUM(AT91:AT95)</f>
        <v>-50.646999999999984</v>
      </c>
      <c r="AU96" s="14">
        <f t="shared" si="358"/>
        <v>77.047000000000111</v>
      </c>
      <c r="AV96" s="14">
        <f>SUM(AV91:AV95)</f>
        <v>180.70000000000016</v>
      </c>
      <c r="AW96" s="14">
        <f>SUM(AW91:AW95)</f>
        <v>-170.60000000000014</v>
      </c>
      <c r="AX96" s="14">
        <f>SUM(AX91:AX95)</f>
        <v>543.79999999999995</v>
      </c>
      <c r="AY96" s="14">
        <f>AA96-AX96</f>
        <v>-126.59999999999991</v>
      </c>
      <c r="AZ96" s="14">
        <f t="shared" ref="AZ96:BE96" si="402">SUM(AZ91:AZ95)</f>
        <v>187.60000000000002</v>
      </c>
      <c r="BA96" s="14">
        <f t="shared" si="402"/>
        <v>-408.29999999999995</v>
      </c>
      <c r="BB96" s="14">
        <f t="shared" si="402"/>
        <v>996.8</v>
      </c>
      <c r="BC96" s="14">
        <f t="shared" si="402"/>
        <v>-980.89999999999986</v>
      </c>
      <c r="BD96" s="14">
        <f t="shared" si="402"/>
        <v>199.19999999999996</v>
      </c>
      <c r="BE96" s="14">
        <f t="shared" si="402"/>
        <v>-303.79999999999973</v>
      </c>
      <c r="BF96" s="14">
        <f t="shared" ref="BF96" si="403">SUM(BF91:BF95)</f>
        <v>-73.100000000000065</v>
      </c>
    </row>
    <row r="97" spans="2:58">
      <c r="B97" s="20" t="s">
        <v>266</v>
      </c>
      <c r="C97" s="18">
        <f>21.11-C96</f>
        <v>34.535999999999987</v>
      </c>
      <c r="D97" s="18">
        <f>-0.09-D96</f>
        <v>-0.66099999999987891</v>
      </c>
      <c r="E97" s="18">
        <f>16.258-E96</f>
        <v>7.1710000000000154</v>
      </c>
      <c r="F97" s="18">
        <f>17.785-F96</f>
        <v>-19.071000000000151</v>
      </c>
      <c r="G97" s="18">
        <f>357.432-G96</f>
        <v>2.30000000000814E-2</v>
      </c>
      <c r="H97" s="18">
        <f>472.461-H96</f>
        <v>-20.363999999999805</v>
      </c>
      <c r="I97" s="18">
        <f>-227.298-I96</f>
        <v>-13.193999999999846</v>
      </c>
      <c r="J97" s="18">
        <f>-227.298-J96</f>
        <v>-13.136000000000308</v>
      </c>
      <c r="K97" s="18">
        <f>27.8-K96</f>
        <v>-8.7000000000000703</v>
      </c>
      <c r="L97" s="18">
        <f>27.8-L96</f>
        <v>-23.600000000000161</v>
      </c>
      <c r="M97" s="18">
        <f>166.7-M96</f>
        <v>-29.80000000000004</v>
      </c>
      <c r="N97" s="18">
        <f>-151.4-N96</f>
        <v>-62.700000000000273</v>
      </c>
      <c r="O97" s="19">
        <f>SUM(BC97:BF97)</f>
        <v>-56.800000000000352</v>
      </c>
      <c r="P97" s="19"/>
      <c r="Q97" s="18">
        <f>-9.498-Q96</f>
        <v>12.821000000000195</v>
      </c>
      <c r="R97" s="19">
        <f>F97-Q97</f>
        <v>-31.892000000000344</v>
      </c>
      <c r="S97" s="18">
        <f>14.871-S96</f>
        <v>23.012999999999977</v>
      </c>
      <c r="T97" s="19">
        <f>G97-S97</f>
        <v>-22.989999999999895</v>
      </c>
      <c r="U97" s="18">
        <f>66.811-U96</f>
        <v>-29.682000000000045</v>
      </c>
      <c r="V97" s="19">
        <f>H97-U97</f>
        <v>9.3180000000002394</v>
      </c>
      <c r="W97" s="18">
        <f>-247.141-W96</f>
        <v>-7.8520000000000039</v>
      </c>
      <c r="X97" s="19">
        <f>I97-W97</f>
        <v>-5.3419999999998424</v>
      </c>
      <c r="Y97" s="18">
        <f>22.9-Y96</f>
        <v>-3.500000000000135</v>
      </c>
      <c r="Z97" s="19">
        <f>K97-Y97</f>
        <v>-5.1999999999999353</v>
      </c>
      <c r="AA97" s="18">
        <f>412.1-AA96</f>
        <v>-5.1000000000000227</v>
      </c>
      <c r="AB97" s="19">
        <f>M97-AA97</f>
        <v>-24.700000000000017</v>
      </c>
      <c r="AC97" s="18">
        <f>-9-AC96</f>
        <v>-24.899999999999963</v>
      </c>
      <c r="AD97" s="19">
        <f>N97-AC97</f>
        <v>-37.80000000000031</v>
      </c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8">
        <f>-52.188-AT96</f>
        <v>-1.5410000000000181</v>
      </c>
      <c r="AU97" s="19">
        <f>22.9-AU96-AT96-AT97</f>
        <v>-1.9590000000001098</v>
      </c>
      <c r="AV97" s="18">
        <f>207.7-AV96-AU96-AT96-AT97-AU97</f>
        <v>4.0999999999998309</v>
      </c>
      <c r="AW97" s="187">
        <f t="shared" si="359"/>
        <v>-9.2999999999997733</v>
      </c>
      <c r="AX97" s="18">
        <f>543.9-AX96</f>
        <v>0.10000000000002274</v>
      </c>
      <c r="AY97" s="19">
        <f>412.1-AY96-AX96-AX97</f>
        <v>-5.2000000000000455</v>
      </c>
      <c r="AZ97" s="18">
        <f>596.6-AZ96-AY96-AX96-AX97-AY97</f>
        <v>-3.1000000000000227</v>
      </c>
      <c r="BA97" s="19">
        <f t="shared" si="356"/>
        <v>-21.599999999999994</v>
      </c>
      <c r="BB97" s="18">
        <f>989.4-BB96</f>
        <v>-7.3999999999999773</v>
      </c>
      <c r="BC97" s="19">
        <f>-9-BC96-BB96-BB97</f>
        <v>-17.500000000000114</v>
      </c>
      <c r="BD97" s="18">
        <f>193.1-BD96-BC96-BB96-BB97-BC97</f>
        <v>2.9000000000000909</v>
      </c>
      <c r="BE97" s="19">
        <f t="shared" si="377"/>
        <v>-40.700000000000401</v>
      </c>
      <c r="BF97" s="18">
        <f>-74.6-BF96</f>
        <v>-1.4999999999999289</v>
      </c>
    </row>
    <row r="98" spans="2:58">
      <c r="B98" s="20" t="s">
        <v>267</v>
      </c>
      <c r="C98" s="49">
        <v>0</v>
      </c>
      <c r="D98" s="49">
        <v>0</v>
      </c>
      <c r="E98" s="49">
        <v>4.5410000000000004</v>
      </c>
      <c r="F98" s="49">
        <v>-0.248</v>
      </c>
      <c r="G98" s="49">
        <v>-2.1120000000000001</v>
      </c>
      <c r="H98" s="49">
        <v>1.214</v>
      </c>
      <c r="I98" s="49">
        <v>-4.8869999999999996</v>
      </c>
      <c r="J98" s="49">
        <v>-4.8869999999999996</v>
      </c>
      <c r="K98" s="49">
        <v>2.2000000000000002</v>
      </c>
      <c r="L98" s="49">
        <v>2.2000000000000002</v>
      </c>
      <c r="M98" s="49">
        <v>-1.9</v>
      </c>
      <c r="N98" s="49">
        <v>4.4000000000000004</v>
      </c>
      <c r="O98" s="19">
        <f>SUM(BC98:BF98)</f>
        <v>2.1</v>
      </c>
      <c r="P98" s="19"/>
      <c r="Q98" s="49">
        <v>0</v>
      </c>
      <c r="R98" s="19">
        <f>F98-Q98</f>
        <v>-0.248</v>
      </c>
      <c r="S98" s="49">
        <v>0</v>
      </c>
      <c r="T98" s="19">
        <f>G98-S98</f>
        <v>-2.1120000000000001</v>
      </c>
      <c r="U98" s="49">
        <v>1.5589999999999999</v>
      </c>
      <c r="V98" s="19">
        <f>H98-U98</f>
        <v>-0.34499999999999997</v>
      </c>
      <c r="W98" s="49">
        <v>-5.4130000000000003</v>
      </c>
      <c r="X98" s="19">
        <f>I98-W98</f>
        <v>0.52600000000000069</v>
      </c>
      <c r="Y98" s="49">
        <v>4.0999999999999996</v>
      </c>
      <c r="Z98" s="19">
        <f>K98-Y98</f>
        <v>-1.8999999999999995</v>
      </c>
      <c r="AA98" s="49">
        <v>-1.3</v>
      </c>
      <c r="AB98" s="19">
        <f>M98-AA98</f>
        <v>-0.59999999999999987</v>
      </c>
      <c r="AC98" s="18">
        <v>2</v>
      </c>
      <c r="AD98" s="19">
        <f>N98-AC98</f>
        <v>2.4000000000000004</v>
      </c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49">
        <v>3.5670000000000002</v>
      </c>
      <c r="AU98" s="42">
        <f t="shared" si="358"/>
        <v>0.53299999999999947</v>
      </c>
      <c r="AV98" s="49">
        <f>0.2-Y98</f>
        <v>-3.8999999999999995</v>
      </c>
      <c r="AW98" s="187">
        <f t="shared" si="359"/>
        <v>2</v>
      </c>
      <c r="AX98" s="49">
        <v>-2.2999999999999998</v>
      </c>
      <c r="AY98" s="42">
        <f>AA98-AX98</f>
        <v>0.99999999999999978</v>
      </c>
      <c r="AZ98" s="19">
        <f>-1.8-AA98</f>
        <v>-0.5</v>
      </c>
      <c r="BA98" s="19">
        <f t="shared" si="356"/>
        <v>-9.9999999999999867E-2</v>
      </c>
      <c r="BB98" s="49">
        <v>1.7</v>
      </c>
      <c r="BC98" s="42">
        <f>AC98-BB98</f>
        <v>0.30000000000000004</v>
      </c>
      <c r="BD98" s="22">
        <f>3.7-AC98</f>
        <v>1.7000000000000002</v>
      </c>
      <c r="BE98" s="19">
        <f t="shared" si="377"/>
        <v>0.70000000000000018</v>
      </c>
      <c r="BF98" s="49">
        <v>-0.6</v>
      </c>
    </row>
    <row r="99" spans="2:58">
      <c r="B99" s="27" t="s">
        <v>268</v>
      </c>
      <c r="C99" s="14">
        <f t="shared" ref="C99:D99" si="404">SUM(C96:C98)</f>
        <v>21.11</v>
      </c>
      <c r="D99" s="14">
        <f t="shared" si="404"/>
        <v>-8.9999999999999969E-2</v>
      </c>
      <c r="E99" s="14">
        <f t="shared" ref="E99:I99" si="405">SUM(E96:E98)</f>
        <v>20.798999999999999</v>
      </c>
      <c r="F99" s="14">
        <f t="shared" si="405"/>
        <v>17.536999999999999</v>
      </c>
      <c r="G99" s="14">
        <f t="shared" si="405"/>
        <v>355.32</v>
      </c>
      <c r="H99" s="14">
        <f t="shared" si="405"/>
        <v>473.67500000000001</v>
      </c>
      <c r="I99" s="14">
        <f t="shared" si="405"/>
        <v>-232.185</v>
      </c>
      <c r="J99" s="14">
        <f t="shared" ref="J99" si="406">SUM(J96:J98)</f>
        <v>-232.185</v>
      </c>
      <c r="K99" s="14">
        <f t="shared" ref="K99:M99" si="407">SUM(K96:K98)</f>
        <v>30</v>
      </c>
      <c r="L99" s="14">
        <f t="shared" ref="L99" si="408">SUM(L96:L98)</f>
        <v>30</v>
      </c>
      <c r="M99" s="14">
        <f t="shared" si="407"/>
        <v>164.79999999999998</v>
      </c>
      <c r="N99" s="14">
        <f t="shared" ref="N99" si="409">SUM(N96:N98)</f>
        <v>-147</v>
      </c>
      <c r="O99" s="189">
        <f>SUM(O96:O98)</f>
        <v>-1213.3000000000002</v>
      </c>
      <c r="P99" s="14"/>
      <c r="Q99" s="14">
        <f t="shared" ref="Q99:S99" si="410">SUM(Q96:Q98)</f>
        <v>-9.4979999999999993</v>
      </c>
      <c r="R99" s="14">
        <f>SUM(R96:R98)</f>
        <v>27.035000000000014</v>
      </c>
      <c r="S99" s="14">
        <f t="shared" si="410"/>
        <v>14.871000000000002</v>
      </c>
      <c r="T99" s="14">
        <f t="shared" ref="T99:Y99" si="411">SUM(T96:T98)</f>
        <v>340.44900000000007</v>
      </c>
      <c r="U99" s="14">
        <f t="shared" si="411"/>
        <v>68.37</v>
      </c>
      <c r="V99" s="14">
        <f t="shared" si="411"/>
        <v>405.30499999999995</v>
      </c>
      <c r="W99" s="14">
        <f t="shared" si="411"/>
        <v>-252.554</v>
      </c>
      <c r="X99" s="14">
        <f t="shared" si="411"/>
        <v>20.36900000000016</v>
      </c>
      <c r="Y99" s="14">
        <f t="shared" si="411"/>
        <v>27</v>
      </c>
      <c r="Z99" s="14">
        <f t="shared" ref="Z99:AB99" si="412">SUM(Z96:Z98)</f>
        <v>3.0000000000001164</v>
      </c>
      <c r="AA99" s="14">
        <f t="shared" ref="AA99:AD99" si="413">SUM(AA96:AA98)</f>
        <v>410.8</v>
      </c>
      <c r="AB99" s="14">
        <f t="shared" si="412"/>
        <v>-245.99999999999994</v>
      </c>
      <c r="AC99" s="14">
        <f t="shared" si="413"/>
        <v>-7</v>
      </c>
      <c r="AD99" s="14">
        <f t="shared" si="413"/>
        <v>-140.00000000000014</v>
      </c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4">
        <f t="shared" ref="AT99:AU99" si="414">SUM(AT96:AT98)</f>
        <v>-48.621000000000002</v>
      </c>
      <c r="AU99" s="14">
        <f t="shared" si="414"/>
        <v>75.620999999999995</v>
      </c>
      <c r="AV99" s="14">
        <f>SUM(AV96:AV98)</f>
        <v>180.89999999999998</v>
      </c>
      <c r="AW99" s="14">
        <f t="shared" ref="AW99:AY99" si="415">SUM(AW96:AW98)</f>
        <v>-177.89999999999992</v>
      </c>
      <c r="AX99" s="14">
        <f t="shared" si="415"/>
        <v>541.6</v>
      </c>
      <c r="AY99" s="14">
        <f t="shared" si="415"/>
        <v>-130.79999999999995</v>
      </c>
      <c r="AZ99" s="14">
        <f>SUM(AZ96:AZ98)</f>
        <v>184</v>
      </c>
      <c r="BA99" s="14">
        <f t="shared" ref="BA99:BC99" si="416">SUM(BA96:BA98)</f>
        <v>-430</v>
      </c>
      <c r="BB99" s="14">
        <f t="shared" si="416"/>
        <v>991.1</v>
      </c>
      <c r="BC99" s="14">
        <f t="shared" si="416"/>
        <v>-998.1</v>
      </c>
      <c r="BD99" s="14">
        <f>SUM(BD96:BD98)</f>
        <v>203.80000000000004</v>
      </c>
      <c r="BE99" s="14">
        <f t="shared" ref="BE99:BF99" si="417">SUM(BE96:BE98)</f>
        <v>-343.80000000000013</v>
      </c>
      <c r="BF99" s="14">
        <f t="shared" si="417"/>
        <v>-75.199999999999989</v>
      </c>
    </row>
    <row r="100" spans="2:58" s="5" customFormat="1">
      <c r="B100" s="27" t="s">
        <v>12</v>
      </c>
      <c r="C100" s="36">
        <f>C130</f>
        <v>64.417000000000002</v>
      </c>
      <c r="D100" s="36">
        <f>D130</f>
        <v>25.484999999999999</v>
      </c>
      <c r="E100" s="36">
        <f>D100+E99</f>
        <v>46.283999999999999</v>
      </c>
      <c r="F100" s="36">
        <f>+E100+F99</f>
        <v>63.820999999999998</v>
      </c>
      <c r="G100" s="36">
        <f>+F100+G99</f>
        <v>419.14099999999996</v>
      </c>
      <c r="H100" s="36">
        <f>+G100+H99</f>
        <v>892.81600000000003</v>
      </c>
      <c r="I100" s="36">
        <f>+H100+I99</f>
        <v>660.63100000000009</v>
      </c>
      <c r="J100" s="36">
        <f>+H100+J99</f>
        <v>660.63100000000009</v>
      </c>
      <c r="K100" s="36">
        <f>+J100+K99</f>
        <v>690.63100000000009</v>
      </c>
      <c r="L100" s="36">
        <f>+J100+L99</f>
        <v>690.63100000000009</v>
      </c>
      <c r="M100" s="36">
        <f>+K100+M99</f>
        <v>855.43100000000004</v>
      </c>
      <c r="N100" s="36">
        <f>+M100+N99</f>
        <v>708.43100000000004</v>
      </c>
      <c r="O100" s="36">
        <f>BF100</f>
        <v>633.19999999999982</v>
      </c>
      <c r="P100" s="14"/>
      <c r="Q100" s="36">
        <f>+E100+Q99</f>
        <v>36.786000000000001</v>
      </c>
      <c r="R100" s="36">
        <f t="shared" ref="R100:AD100" si="418">+Q100+R99</f>
        <v>63.821000000000012</v>
      </c>
      <c r="S100" s="36">
        <f t="shared" si="418"/>
        <v>78.692000000000007</v>
      </c>
      <c r="T100" s="36">
        <f t="shared" si="418"/>
        <v>419.14100000000008</v>
      </c>
      <c r="U100" s="36">
        <f t="shared" si="418"/>
        <v>487.51100000000008</v>
      </c>
      <c r="V100" s="36">
        <f t="shared" si="418"/>
        <v>892.81600000000003</v>
      </c>
      <c r="W100" s="36">
        <f t="shared" si="418"/>
        <v>640.26200000000006</v>
      </c>
      <c r="X100" s="36">
        <f t="shared" si="418"/>
        <v>660.6310000000002</v>
      </c>
      <c r="Y100" s="36">
        <f t="shared" si="418"/>
        <v>687.6310000000002</v>
      </c>
      <c r="Z100" s="36">
        <f t="shared" si="418"/>
        <v>690.63100000000031</v>
      </c>
      <c r="AA100" s="36">
        <f t="shared" si="418"/>
        <v>1101.4310000000003</v>
      </c>
      <c r="AB100" s="36">
        <f t="shared" si="418"/>
        <v>855.43100000000027</v>
      </c>
      <c r="AC100" s="36">
        <f t="shared" si="418"/>
        <v>848.43100000000027</v>
      </c>
      <c r="AD100" s="36">
        <f t="shared" si="418"/>
        <v>708.43100000000015</v>
      </c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  <c r="AP100" s="138"/>
      <c r="AQ100" s="138"/>
      <c r="AR100" s="138"/>
      <c r="AS100" s="138"/>
      <c r="AT100" s="36">
        <f>AT130</f>
        <v>612.01</v>
      </c>
      <c r="AU100" s="36">
        <f>AT100+AU99</f>
        <v>687.63099999999997</v>
      </c>
      <c r="AV100" s="36">
        <f>AU100+AV99</f>
        <v>868.53099999999995</v>
      </c>
      <c r="AW100" s="36">
        <f>AV100+AW99</f>
        <v>690.63100000000009</v>
      </c>
      <c r="AX100" s="36">
        <f>AX130</f>
        <v>1232.2</v>
      </c>
      <c r="AY100" s="36">
        <f t="shared" ref="AY100:BF100" si="419">AX100+AY99</f>
        <v>1101.4000000000001</v>
      </c>
      <c r="AZ100" s="36">
        <f t="shared" si="419"/>
        <v>1285.4000000000001</v>
      </c>
      <c r="BA100" s="36">
        <f t="shared" si="419"/>
        <v>855.40000000000009</v>
      </c>
      <c r="BB100" s="36">
        <f t="shared" si="419"/>
        <v>1846.5</v>
      </c>
      <c r="BC100" s="36">
        <f t="shared" si="419"/>
        <v>848.4</v>
      </c>
      <c r="BD100" s="36">
        <f t="shared" si="419"/>
        <v>1052.2</v>
      </c>
      <c r="BE100" s="36">
        <f t="shared" si="419"/>
        <v>708.39999999999986</v>
      </c>
      <c r="BF100" s="36">
        <f t="shared" si="419"/>
        <v>633.19999999999982</v>
      </c>
    </row>
    <row r="101" spans="2:58">
      <c r="B101" s="20"/>
      <c r="C101" s="63"/>
      <c r="D101" s="63"/>
      <c r="E101" s="49"/>
      <c r="F101" s="63"/>
      <c r="G101" s="63"/>
      <c r="H101" s="63"/>
      <c r="I101" s="63"/>
      <c r="J101" s="63"/>
      <c r="K101" s="63"/>
      <c r="L101" s="63"/>
      <c r="M101" s="63"/>
      <c r="N101" s="63"/>
      <c r="O101" s="18"/>
      <c r="P101" s="18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</row>
    <row r="102" spans="2:58" s="46" customFormat="1">
      <c r="B102" s="267" t="s">
        <v>269</v>
      </c>
      <c r="C102" s="275">
        <f t="shared" ref="C102:I102" si="420">C100-C130</f>
        <v>0</v>
      </c>
      <c r="D102" s="275">
        <f t="shared" si="420"/>
        <v>0</v>
      </c>
      <c r="E102" s="275">
        <f t="shared" si="420"/>
        <v>0</v>
      </c>
      <c r="F102" s="275">
        <f t="shared" si="420"/>
        <v>0</v>
      </c>
      <c r="G102" s="275">
        <f t="shared" si="420"/>
        <v>0</v>
      </c>
      <c r="H102" s="275">
        <f t="shared" si="420"/>
        <v>0</v>
      </c>
      <c r="I102" s="275">
        <f t="shared" si="420"/>
        <v>0</v>
      </c>
      <c r="J102" s="275">
        <f t="shared" ref="J102" si="421">J100-J130</f>
        <v>0</v>
      </c>
      <c r="K102" s="275">
        <f t="shared" ref="K102:M102" si="422">K100-K130</f>
        <v>3.1000000000062755E-2</v>
      </c>
      <c r="L102" s="275">
        <f t="shared" ref="L102" si="423">L100-L130</f>
        <v>3.1000000000062755E-2</v>
      </c>
      <c r="M102" s="275">
        <f t="shared" si="422"/>
        <v>3.1000000000062755E-2</v>
      </c>
      <c r="N102" s="275">
        <f t="shared" ref="N102" si="424">N100-N130</f>
        <v>3.1000000000062755E-2</v>
      </c>
      <c r="O102" s="275">
        <f>O100-O130</f>
        <v>0.1999999999998181</v>
      </c>
      <c r="P102" s="276"/>
      <c r="Q102" s="275"/>
      <c r="R102" s="275">
        <f t="shared" ref="R102:X102" si="425">R100-R130</f>
        <v>0</v>
      </c>
      <c r="S102" s="275">
        <f t="shared" si="425"/>
        <v>0</v>
      </c>
      <c r="T102" s="275">
        <f t="shared" si="425"/>
        <v>0</v>
      </c>
      <c r="U102" s="277">
        <f t="shared" si="425"/>
        <v>0</v>
      </c>
      <c r="V102" s="275">
        <f t="shared" si="425"/>
        <v>0</v>
      </c>
      <c r="W102" s="277">
        <f t="shared" si="425"/>
        <v>0</v>
      </c>
      <c r="X102" s="275">
        <f t="shared" si="425"/>
        <v>0</v>
      </c>
      <c r="Y102" s="277">
        <f t="shared" ref="Y102:AC102" si="426">Y100-Y130</f>
        <v>3.1000000000176442E-2</v>
      </c>
      <c r="Z102" s="275">
        <f t="shared" si="426"/>
        <v>3.1000000000290129E-2</v>
      </c>
      <c r="AA102" s="277">
        <f t="shared" si="426"/>
        <v>3.1000000000176442E-2</v>
      </c>
      <c r="AB102" s="275">
        <f t="shared" ref="AB102:AD102" si="427">AB100-AB130</f>
        <v>3.1000000000290129E-2</v>
      </c>
      <c r="AC102" s="275">
        <f t="shared" si="426"/>
        <v>3.1000000000290129E-2</v>
      </c>
      <c r="AD102" s="275">
        <f t="shared" si="427"/>
        <v>3.1000000000176442E-2</v>
      </c>
      <c r="AE102" s="278"/>
      <c r="AF102" s="278"/>
      <c r="AG102" s="278"/>
      <c r="AH102" s="278"/>
      <c r="AI102" s="278"/>
      <c r="AJ102" s="278"/>
      <c r="AK102" s="278"/>
      <c r="AL102" s="278"/>
      <c r="AM102" s="278"/>
      <c r="AN102" s="278"/>
      <c r="AO102" s="278"/>
      <c r="AP102" s="278"/>
      <c r="AQ102" s="278"/>
      <c r="AR102" s="278"/>
      <c r="AS102" s="278"/>
      <c r="AT102" s="275">
        <f t="shared" ref="AT102:AZ102" si="428">AT100-AT130</f>
        <v>0</v>
      </c>
      <c r="AU102" s="275">
        <f t="shared" si="428"/>
        <v>3.0999999999949068E-2</v>
      </c>
      <c r="AV102" s="275">
        <f t="shared" si="428"/>
        <v>3.0999999999949068E-2</v>
      </c>
      <c r="AW102" s="275">
        <f t="shared" si="428"/>
        <v>3.1000000000062755E-2</v>
      </c>
      <c r="AX102" s="275">
        <f t="shared" si="428"/>
        <v>0</v>
      </c>
      <c r="AY102" s="275">
        <f t="shared" si="428"/>
        <v>0</v>
      </c>
      <c r="AZ102" s="275">
        <f t="shared" si="428"/>
        <v>0</v>
      </c>
      <c r="BA102" s="275">
        <f t="shared" ref="BA102:BB102" si="429">BA100-BA130</f>
        <v>0</v>
      </c>
      <c r="BB102" s="275">
        <f t="shared" si="429"/>
        <v>0</v>
      </c>
      <c r="BC102" s="275">
        <f t="shared" ref="BC102:BF102" si="430">BC100-BC130</f>
        <v>0</v>
      </c>
      <c r="BD102" s="275">
        <f t="shared" si="430"/>
        <v>0</v>
      </c>
      <c r="BE102" s="275">
        <f t="shared" si="430"/>
        <v>0</v>
      </c>
      <c r="BF102" s="275">
        <f t="shared" si="430"/>
        <v>0.1999999999998181</v>
      </c>
    </row>
    <row r="103" spans="2:58" s="46" customFormat="1">
      <c r="B103" s="267" t="s">
        <v>270</v>
      </c>
      <c r="C103" s="275">
        <f>77.111-(C88+C97)</f>
        <v>0</v>
      </c>
      <c r="D103" s="275">
        <f>173.42-(D88+D97)</f>
        <v>0</v>
      </c>
      <c r="E103" s="275">
        <f>153.909-(E88+E97)</f>
        <v>0</v>
      </c>
      <c r="F103" s="275">
        <f>123.958-(F88+F97)</f>
        <v>1.5631940186722204E-13</v>
      </c>
      <c r="G103" s="275">
        <f>185.43-(G88+G97)</f>
        <v>0</v>
      </c>
      <c r="H103" s="275">
        <f>139.058-(H88+H97)</f>
        <v>0</v>
      </c>
      <c r="I103" s="275">
        <f>300.315-(I88+I97)</f>
        <v>0</v>
      </c>
      <c r="J103" s="275">
        <f>290.2-(J88+J97)</f>
        <v>-0.11499999999983856</v>
      </c>
      <c r="K103" s="275">
        <f>318.4-(K88+K97)</f>
        <v>0</v>
      </c>
      <c r="L103" s="275">
        <f>318.4-(L88+L97)</f>
        <v>0</v>
      </c>
      <c r="M103" s="275">
        <f>340-(M88+M97)</f>
        <v>0</v>
      </c>
      <c r="N103" s="275">
        <f>382.7-(N88+N97)</f>
        <v>0</v>
      </c>
      <c r="O103" s="275"/>
      <c r="P103" s="276"/>
      <c r="Q103" s="275">
        <f>39.018-(Q88+Q97)</f>
        <v>-1.9895196601282805E-13</v>
      </c>
      <c r="R103" s="275"/>
      <c r="S103" s="275">
        <f>120.493-(S88+S97)</f>
        <v>0</v>
      </c>
      <c r="T103" s="275"/>
      <c r="U103" s="275">
        <f>52.543-(U88+U97)</f>
        <v>7.815970093361102E-14</v>
      </c>
      <c r="V103" s="275"/>
      <c r="W103" s="275">
        <f>125.182-(W88+W97)</f>
        <v>0</v>
      </c>
      <c r="X103" s="275"/>
      <c r="Y103" s="275">
        <f>101.3-(Y88+Y97)</f>
        <v>0</v>
      </c>
      <c r="Z103" s="275"/>
      <c r="AA103" s="275">
        <f>191.4-(AA88+AA97)</f>
        <v>-2.2999999999999261</v>
      </c>
      <c r="AB103" s="275"/>
      <c r="AC103" s="275"/>
      <c r="AD103" s="275"/>
      <c r="AE103" s="278"/>
      <c r="AF103" s="278"/>
      <c r="AG103" s="278"/>
      <c r="AH103" s="278"/>
      <c r="AI103" s="278"/>
      <c r="AJ103" s="278"/>
      <c r="AK103" s="278"/>
      <c r="AL103" s="278"/>
      <c r="AM103" s="278"/>
      <c r="AN103" s="278"/>
      <c r="AO103" s="278"/>
      <c r="AP103" s="278"/>
      <c r="AQ103" s="278"/>
      <c r="AR103" s="278"/>
      <c r="AS103" s="278"/>
      <c r="AT103" s="275">
        <f>-2.458-(AT88+AT97)</f>
        <v>-5.3290705182007514E-15</v>
      </c>
      <c r="AU103" s="278"/>
      <c r="AV103" s="275">
        <f>238.6-(SUM(AT97:AV97)+SUM(AT88:AV88))</f>
        <v>2.2737367544323206E-13</v>
      </c>
      <c r="AW103" s="278"/>
      <c r="AX103" s="275">
        <f>74.7-(AX88+AX97)</f>
        <v>0</v>
      </c>
      <c r="AY103" s="278"/>
      <c r="AZ103" s="278"/>
      <c r="BA103" s="278"/>
      <c r="BB103" s="275">
        <f>39.4-(BB88+BB97)</f>
        <v>0</v>
      </c>
      <c r="BC103" s="275"/>
      <c r="BD103" s="278"/>
      <c r="BE103" s="278"/>
      <c r="BF103" s="275">
        <f>-45.1-(BF88+BF97)</f>
        <v>0</v>
      </c>
    </row>
    <row r="104" spans="2:58" s="46" customFormat="1">
      <c r="B104" s="45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177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2:58">
      <c r="B105" s="10" t="s">
        <v>271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F105" s="136">
        <f>AF3</f>
        <v>43738</v>
      </c>
      <c r="AG105" s="136">
        <f>AG3</f>
        <v>43830</v>
      </c>
      <c r="AH105" s="136">
        <f>AH3</f>
        <v>43920</v>
      </c>
      <c r="AI105" s="136">
        <f>AI3</f>
        <v>44012</v>
      </c>
      <c r="AJ105" s="136">
        <f>AJ3</f>
        <v>44104</v>
      </c>
      <c r="AK105" s="136">
        <f>AK3</f>
        <v>44196</v>
      </c>
      <c r="AL105" s="136">
        <f>AL3</f>
        <v>44285</v>
      </c>
      <c r="AM105" s="136">
        <f>AM3</f>
        <v>44377</v>
      </c>
      <c r="AN105" s="136">
        <f>AN3</f>
        <v>44469</v>
      </c>
      <c r="AO105" s="136">
        <f>AO3</f>
        <v>44561</v>
      </c>
      <c r="AP105" s="136">
        <f>AP3</f>
        <v>44651</v>
      </c>
      <c r="AQ105" s="136">
        <f>AQ3</f>
        <v>44742</v>
      </c>
      <c r="AR105" s="136">
        <f>AR3</f>
        <v>44834</v>
      </c>
      <c r="AS105" s="136">
        <f>AS3</f>
        <v>44926</v>
      </c>
      <c r="AT105" s="136">
        <f>AT3</f>
        <v>45016</v>
      </c>
      <c r="AU105" s="136">
        <f>AU3</f>
        <v>45107</v>
      </c>
      <c r="AV105" s="136">
        <f>AV3</f>
        <v>45199</v>
      </c>
      <c r="AW105" s="136">
        <f>AW3</f>
        <v>45291</v>
      </c>
      <c r="AX105" s="24">
        <f>AX3</f>
        <v>45382</v>
      </c>
      <c r="AY105" s="24">
        <f>AY3</f>
        <v>45473</v>
      </c>
      <c r="AZ105" s="24">
        <f>AZ3</f>
        <v>45565</v>
      </c>
      <c r="BA105" s="24">
        <f>BA3</f>
        <v>45657</v>
      </c>
      <c r="BB105" s="24">
        <f>BB3</f>
        <v>45747</v>
      </c>
      <c r="BC105" s="24">
        <f>BC3</f>
        <v>45838</v>
      </c>
      <c r="BD105" s="24">
        <f>BD3</f>
        <v>45930</v>
      </c>
      <c r="BE105" s="24">
        <f>BE3</f>
        <v>46022</v>
      </c>
      <c r="BF105" s="24">
        <f>BF3</f>
        <v>46112</v>
      </c>
    </row>
    <row r="106" spans="2:58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spans="2:58">
      <c r="B107" s="1" t="s">
        <v>215</v>
      </c>
      <c r="C107" s="19">
        <f>+C20</f>
        <v>185.55600000000001</v>
      </c>
      <c r="D107" s="19">
        <f>+D20</f>
        <v>215.50199999999998</v>
      </c>
      <c r="E107" s="19">
        <f>+E20</f>
        <v>239.74199999999999</v>
      </c>
      <c r="F107" s="19">
        <f>+F20</f>
        <v>246.11300000000003</v>
      </c>
      <c r="G107" s="19">
        <f>+G20</f>
        <v>302.95100000000002</v>
      </c>
      <c r="H107" s="19">
        <f>+H20</f>
        <v>333.66300000000007</v>
      </c>
      <c r="I107" s="19">
        <f>+I20</f>
        <v>464.91700000000003</v>
      </c>
      <c r="J107" s="19">
        <f>+J20</f>
        <v>464.97500000000008</v>
      </c>
      <c r="K107" s="19">
        <f>+K20</f>
        <v>554</v>
      </c>
      <c r="L107" s="19">
        <f>+L20</f>
        <v>557.69999999999993</v>
      </c>
      <c r="M107" s="19">
        <f>+M20</f>
        <v>681.8</v>
      </c>
      <c r="N107" s="19">
        <f>+N20</f>
        <v>779.3</v>
      </c>
      <c r="O107" s="19">
        <f>+O20</f>
        <v>801.09999999999991</v>
      </c>
      <c r="P107" s="19"/>
      <c r="Q107" s="19"/>
      <c r="R107" s="19">
        <f>SUM(Q20,R20)</f>
        <v>246.113</v>
      </c>
      <c r="S107" s="19">
        <f>SUM(R20,S20)</f>
        <v>289.33599999999996</v>
      </c>
      <c r="T107" s="19">
        <f>SUM(S20,T20)</f>
        <v>302.95100000000002</v>
      </c>
      <c r="U107" s="19">
        <f>SUM(T20,U20)</f>
        <v>309.56100000000004</v>
      </c>
      <c r="V107" s="19">
        <f>SUM(U20,V20)</f>
        <v>333.66300000000001</v>
      </c>
      <c r="W107" s="19">
        <f>SUM(V20,W20)</f>
        <v>385.43399999999997</v>
      </c>
      <c r="X107" s="19">
        <f>SUM(W20,X20)</f>
        <v>464.91700000000003</v>
      </c>
      <c r="Y107" s="19">
        <f>SUM(X20,Y20)</f>
        <v>520.85500000000002</v>
      </c>
      <c r="Z107" s="19">
        <f>SUM(Y20,Z20)</f>
        <v>554</v>
      </c>
      <c r="AA107" s="19">
        <f>SUM(Y20,AA20)</f>
        <v>603.79999999999995</v>
      </c>
      <c r="AB107" s="19">
        <f>SUM(AA20,AB20)</f>
        <v>681.8</v>
      </c>
      <c r="AC107" s="19">
        <f>SUM(AB20,AC20)</f>
        <v>728.99999999999989</v>
      </c>
      <c r="AD107" s="19">
        <f>SUM(AC20,AD20)</f>
        <v>779.3</v>
      </c>
      <c r="AF107" s="137"/>
      <c r="AG107" s="19">
        <f t="shared" ref="AG107:AG114" si="431">F107</f>
        <v>246.11300000000003</v>
      </c>
      <c r="AH107" s="137"/>
      <c r="AI107" s="19">
        <f>SUM(AF20:AI20)</f>
        <v>289.33600000000001</v>
      </c>
      <c r="AJ107" s="19">
        <f>SUM(AG20:AJ20)</f>
        <v>301.27100000000007</v>
      </c>
      <c r="AK107" s="19">
        <f t="shared" ref="AK107:AK114" si="432">G107</f>
        <v>302.95100000000002</v>
      </c>
      <c r="AL107" s="19">
        <f>SUM(AI20:AL20)</f>
        <v>308.26400000000001</v>
      </c>
      <c r="AM107" s="19">
        <f>SUM(AJ20:AM20)</f>
        <v>309.56100000000004</v>
      </c>
      <c r="AN107" s="19">
        <f>SUM(AK20:AN20)</f>
        <v>321.89</v>
      </c>
      <c r="AO107" s="19">
        <f t="shared" ref="AO107:AO114" si="433">H107</f>
        <v>333.66300000000007</v>
      </c>
      <c r="AP107" s="19">
        <f>SUM(AM20:AP20)</f>
        <v>361.05900000000003</v>
      </c>
      <c r="AQ107" s="19">
        <f>SUM(AN20:AQ20)</f>
        <v>385.43400000000008</v>
      </c>
      <c r="AR107" s="19">
        <f>SUM(AO20:AR20)</f>
        <v>424.32400000000001</v>
      </c>
      <c r="AS107" s="19">
        <f t="shared" ref="AS107:AS114" si="434">I107</f>
        <v>464.91700000000003</v>
      </c>
      <c r="AT107" s="19">
        <f>SUM(AQ20:AT20)</f>
        <v>487.24800000000005</v>
      </c>
      <c r="AU107" s="19">
        <f>SUM(AR20:AU20)</f>
        <v>520.8549999999999</v>
      </c>
      <c r="AV107" s="19">
        <f>SUM(AS20:AV20)</f>
        <v>539.66699999999992</v>
      </c>
      <c r="AW107" s="19">
        <f t="shared" ref="AW107:AW114" si="435">K107</f>
        <v>554</v>
      </c>
      <c r="AX107" s="19">
        <f>SUM(AU20:AX20)</f>
        <v>580.22800000000007</v>
      </c>
      <c r="AY107" s="19">
        <f>SUM(AV20:AY20)</f>
        <v>609.30000000000007</v>
      </c>
      <c r="AZ107" s="19">
        <f>SUM(AW20:AZ20)</f>
        <v>637.6</v>
      </c>
      <c r="BA107" s="19">
        <f>SUM(AX20:BA20)</f>
        <v>682.10000000000014</v>
      </c>
      <c r="BB107" s="19">
        <f>SUM(AY20:BB20)</f>
        <v>706.6</v>
      </c>
      <c r="BC107" s="19">
        <f>SUM(AZ20:BC20)</f>
        <v>729.00000000000011</v>
      </c>
      <c r="BD107" s="19">
        <f>SUM(BA20:BD20)</f>
        <v>758.80000000000007</v>
      </c>
      <c r="BE107" s="19">
        <f>SUM(BB20:BE20)</f>
        <v>779.3</v>
      </c>
      <c r="BF107" s="19">
        <f>SUM(BC20:BF20)</f>
        <v>801.09999999999991</v>
      </c>
    </row>
    <row r="108" spans="2:58">
      <c r="B108" s="1" t="s">
        <v>272</v>
      </c>
      <c r="C108" s="19">
        <f>+C70</f>
        <v>421.79900000000009</v>
      </c>
      <c r="D108" s="19">
        <f>+D70</f>
        <v>509.09699999999998</v>
      </c>
      <c r="E108" s="19">
        <f>+E70</f>
        <v>483.89300000000003</v>
      </c>
      <c r="F108" s="19">
        <f>+F70</f>
        <v>617.899</v>
      </c>
      <c r="G108" s="19">
        <f>+G70</f>
        <v>391.88600000000008</v>
      </c>
      <c r="H108" s="19">
        <f>+H70</f>
        <v>1376.808</v>
      </c>
      <c r="I108" s="19">
        <f>+I70</f>
        <v>1083.885</v>
      </c>
      <c r="J108" s="19">
        <f>+J70</f>
        <v>1047.547</v>
      </c>
      <c r="K108" s="19">
        <f>+K70</f>
        <v>1323.8</v>
      </c>
      <c r="L108" s="19">
        <f>+L70</f>
        <v>1323.8000000000002</v>
      </c>
      <c r="M108" s="19">
        <f>+M70</f>
        <v>1511.2</v>
      </c>
      <c r="N108" s="19">
        <f>+N70</f>
        <v>1688.7</v>
      </c>
      <c r="O108" s="19">
        <f>+O70</f>
        <v>1713</v>
      </c>
      <c r="P108" s="19"/>
      <c r="Q108" s="19"/>
      <c r="R108" s="19">
        <f>SUM(Q70,R70)</f>
        <v>617.899</v>
      </c>
      <c r="S108" s="19">
        <f>SUM(R70,S70)</f>
        <v>538.31099999999992</v>
      </c>
      <c r="T108" s="19">
        <f>SUM(S70,T70)</f>
        <v>391.88599999999997</v>
      </c>
      <c r="U108" s="19">
        <f>SUM(T70,U70)</f>
        <v>513.55399999999997</v>
      </c>
      <c r="V108" s="19">
        <f>SUM(U70,V70)</f>
        <v>1376.808</v>
      </c>
      <c r="W108" s="19">
        <f>SUM(V70,W70)</f>
        <v>1747.6</v>
      </c>
      <c r="X108" s="19">
        <f>SUM(W70,X70)</f>
        <v>1083.885</v>
      </c>
      <c r="Y108" s="19">
        <f>SUM(X70,Y70)</f>
        <v>1061.876</v>
      </c>
      <c r="Z108" s="19">
        <f>SUM(Y70,Z70)</f>
        <v>1323.8000000000002</v>
      </c>
      <c r="AA108" s="19">
        <f>SUM(Y70,AA70)</f>
        <v>1354.6999999999998</v>
      </c>
      <c r="AB108" s="19">
        <f>SUM(AA70,AB70)</f>
        <v>1511.1999999999998</v>
      </c>
      <c r="AC108" s="19">
        <f>SUM(AB70,AC70)</f>
        <v>1718.2999999999997</v>
      </c>
      <c r="AD108" s="19">
        <f>SUM(AC70,AD70)</f>
        <v>1688.6999999999998</v>
      </c>
      <c r="AF108" s="137"/>
      <c r="AG108" s="19">
        <f t="shared" si="431"/>
        <v>617.899</v>
      </c>
      <c r="AH108" s="137"/>
      <c r="AI108" s="19">
        <f>SUM(AF70:AI70)</f>
        <v>538.31099999999992</v>
      </c>
      <c r="AJ108" s="19">
        <f>SUM(AG70:AJ70)</f>
        <v>557.65700000000004</v>
      </c>
      <c r="AK108" s="19">
        <f t="shared" si="432"/>
        <v>391.88600000000008</v>
      </c>
      <c r="AL108" s="19">
        <f>SUM(AI70:AL70)</f>
        <v>437.09199999999998</v>
      </c>
      <c r="AM108" s="19">
        <f>SUM(AJ70:AM70)</f>
        <v>513.55400000000009</v>
      </c>
      <c r="AN108" s="19">
        <f>SUM(AK70:AN70)</f>
        <v>592.57300000000009</v>
      </c>
      <c r="AO108" s="19">
        <f t="shared" si="433"/>
        <v>1376.808</v>
      </c>
      <c r="AP108" s="19">
        <f>SUM(AM70:AP70)</f>
        <v>1346.3009999999999</v>
      </c>
      <c r="AQ108" s="19">
        <f>SUM(AN70:AQ70)</f>
        <v>1747.6</v>
      </c>
      <c r="AR108" s="19">
        <f>SUM(AO70:AR70)</f>
        <v>1715.2929999999999</v>
      </c>
      <c r="AS108" s="19">
        <f t="shared" si="434"/>
        <v>1083.885</v>
      </c>
      <c r="AT108" s="19">
        <f>SUM(AQ70:AT70)</f>
        <v>1284.172</v>
      </c>
      <c r="AU108" s="19">
        <f>SUM(AR70:AU70)</f>
        <v>1061.876</v>
      </c>
      <c r="AV108" s="19">
        <f>SUM(AS70:AV70)</f>
        <v>1259.2729999999999</v>
      </c>
      <c r="AW108" s="19">
        <f t="shared" si="435"/>
        <v>1323.8</v>
      </c>
      <c r="AX108" s="19">
        <f>SUM(AU70:AX70)</f>
        <v>1316.203</v>
      </c>
      <c r="AY108" s="19">
        <f>SUM(AV70:AY70)</f>
        <v>1401.8000000000002</v>
      </c>
      <c r="AZ108" s="19">
        <f>SUM(AW70:AZ70)</f>
        <v>1358.7</v>
      </c>
      <c r="BA108" s="19">
        <f>SUM(AX70:BA70)</f>
        <v>1511.5</v>
      </c>
      <c r="BB108" s="19">
        <f>SUM(AY70:BB70)</f>
        <v>1524.6</v>
      </c>
      <c r="BC108" s="19">
        <f>SUM(AZ70:BC70)</f>
        <v>1718.3</v>
      </c>
      <c r="BD108" s="19">
        <f>SUM(BA70:BD70)</f>
        <v>1783.8</v>
      </c>
      <c r="BE108" s="19">
        <f>SUM(BB70:BE70)</f>
        <v>1688.7</v>
      </c>
      <c r="BF108" s="19">
        <f>SUM(BC70:BF70)</f>
        <v>1713</v>
      </c>
    </row>
    <row r="109" spans="2:58">
      <c r="B109" s="1" t="s">
        <v>239</v>
      </c>
      <c r="C109" s="19">
        <f>+C73</f>
        <v>164.96000000000004</v>
      </c>
      <c r="D109" s="19">
        <f>+D73</f>
        <v>185.98700000000002</v>
      </c>
      <c r="E109" s="19">
        <f>+E73</f>
        <v>249.74400000000003</v>
      </c>
      <c r="F109" s="19">
        <f>+F73</f>
        <v>220.87700000000007</v>
      </c>
      <c r="G109" s="19">
        <f>+G73</f>
        <v>250.18600000000006</v>
      </c>
      <c r="H109" s="19">
        <f>+H73</f>
        <v>284.68399999999997</v>
      </c>
      <c r="I109" s="19">
        <f>+I73</f>
        <v>371.03399999999999</v>
      </c>
      <c r="J109" s="19">
        <f>+J73</f>
        <v>360.97600000000011</v>
      </c>
      <c r="K109" s="19">
        <f>+K73</f>
        <v>457.79999999999995</v>
      </c>
      <c r="L109" s="19">
        <f>+L73</f>
        <v>456.40000000000009</v>
      </c>
      <c r="M109" s="19">
        <f>+M73</f>
        <v>580.70000000000005</v>
      </c>
      <c r="N109" s="19">
        <f>+N73</f>
        <v>561</v>
      </c>
      <c r="O109" s="19">
        <f>+O73</f>
        <v>578.19999999999982</v>
      </c>
      <c r="P109" s="19"/>
      <c r="Q109" s="19"/>
      <c r="R109" s="19">
        <f>SUM(Q73,R73)</f>
        <v>220.87700000000004</v>
      </c>
      <c r="S109" s="19">
        <f>SUM(R73,S73)</f>
        <v>257.43299999999999</v>
      </c>
      <c r="T109" s="19">
        <f>SUM(S73,T73)</f>
        <v>250.18599999999998</v>
      </c>
      <c r="U109" s="19">
        <f>SUM(T73,U73)</f>
        <v>256.85599999999999</v>
      </c>
      <c r="V109" s="19">
        <f>SUM(U73,V73)</f>
        <v>284.68399999999991</v>
      </c>
      <c r="W109" s="19">
        <f>SUM(V73,W73)</f>
        <v>302.11599999999993</v>
      </c>
      <c r="X109" s="19">
        <f>SUM(W73,X73)</f>
        <v>371.03399999999993</v>
      </c>
      <c r="Y109" s="19">
        <f>SUM(X73,Y73)</f>
        <v>431.92599999999999</v>
      </c>
      <c r="Z109" s="19">
        <f>SUM(Y73,Z73)</f>
        <v>457.80000000000018</v>
      </c>
      <c r="AA109" s="19">
        <f>SUM(Y73,AA73)</f>
        <v>512.6</v>
      </c>
      <c r="AB109" s="19">
        <f>SUM(AA73,AB73)</f>
        <v>580.69999999999993</v>
      </c>
      <c r="AC109" s="19">
        <f>SUM(AB73,AC73)</f>
        <v>626.59999999999991</v>
      </c>
      <c r="AD109" s="19">
        <f>SUM(AC73,AD73)</f>
        <v>560.99999999999989</v>
      </c>
      <c r="AF109" s="137"/>
      <c r="AG109" s="19">
        <f t="shared" si="431"/>
        <v>220.87700000000007</v>
      </c>
      <c r="AH109" s="137"/>
      <c r="AI109" s="19">
        <f>SUM(AF73:AI73)</f>
        <v>257.43299999999999</v>
      </c>
      <c r="AJ109" s="19">
        <f>SUM(AG73:AJ73)</f>
        <v>265.55300000000005</v>
      </c>
      <c r="AK109" s="19">
        <f t="shared" si="432"/>
        <v>250.18600000000006</v>
      </c>
      <c r="AL109" s="19">
        <f>SUM(AI73:AL73)</f>
        <v>256.89999999999998</v>
      </c>
      <c r="AM109" s="19">
        <f>SUM(AJ73:AM73)</f>
        <v>256.85599999999999</v>
      </c>
      <c r="AN109" s="19">
        <f>SUM(AK73:AN73)</f>
        <v>262.21500000000003</v>
      </c>
      <c r="AO109" s="19">
        <f t="shared" si="433"/>
        <v>284.68399999999997</v>
      </c>
      <c r="AP109" s="19">
        <f>SUM(AM73:AP73)</f>
        <v>293.41800000000006</v>
      </c>
      <c r="AQ109" s="19">
        <f>SUM(AN73:AQ73)</f>
        <v>302.11599999999999</v>
      </c>
      <c r="AR109" s="19">
        <f>SUM(AO73:AR73)</f>
        <v>331.798</v>
      </c>
      <c r="AS109" s="19">
        <f t="shared" si="434"/>
        <v>371.03399999999999</v>
      </c>
      <c r="AT109" s="19">
        <f>SUM(AQ73:AT73)</f>
        <v>391.13499999999988</v>
      </c>
      <c r="AU109" s="19">
        <f>SUM(AR73:AU73)</f>
        <v>431.92599999999993</v>
      </c>
      <c r="AV109" s="19">
        <f>SUM(AS73:AV73)</f>
        <v>448.55400000000003</v>
      </c>
      <c r="AW109" s="19">
        <f t="shared" si="435"/>
        <v>457.79999999999995</v>
      </c>
      <c r="AX109" s="19">
        <f>SUM(AU73:AX73)</f>
        <v>493.28499999999997</v>
      </c>
      <c r="AY109" s="19">
        <f>SUM(AV73:AY73)</f>
        <v>515.89999999999986</v>
      </c>
      <c r="AZ109" s="19">
        <f>SUM(AW73:AZ73)</f>
        <v>545.09999999999991</v>
      </c>
      <c r="BA109" s="19">
        <f>SUM(AX73:BA73)</f>
        <v>580.99999999999989</v>
      </c>
      <c r="BB109" s="19">
        <f>SUM(AY73:BB73)</f>
        <v>603.09999999999991</v>
      </c>
      <c r="BC109" s="19">
        <f>SUM(AZ73:BC73)</f>
        <v>626.59999999999991</v>
      </c>
      <c r="BD109" s="19">
        <f>SUM(BA73:BD73)</f>
        <v>655.9</v>
      </c>
      <c r="BE109" s="19">
        <f>SUM(BB73:BE73)</f>
        <v>561</v>
      </c>
      <c r="BF109" s="19">
        <f>SUM(BC73:BF73)</f>
        <v>578.19999999999993</v>
      </c>
    </row>
    <row r="110" spans="2:58" s="5" customFormat="1">
      <c r="B110" s="1" t="s">
        <v>273</v>
      </c>
      <c r="C110" s="19">
        <f>+C78</f>
        <v>164.96000000000004</v>
      </c>
      <c r="D110" s="19">
        <f>+D78</f>
        <v>185.98700000000002</v>
      </c>
      <c r="E110" s="19">
        <f>+E78</f>
        <v>203.2</v>
      </c>
      <c r="F110" s="19">
        <f>+F78</f>
        <v>214.5</v>
      </c>
      <c r="G110" s="19">
        <f>+G78</f>
        <v>238.1</v>
      </c>
      <c r="H110" s="19">
        <f>+H78</f>
        <v>284.68399999999997</v>
      </c>
      <c r="I110" s="19">
        <f>+I78</f>
        <v>371.03399999999999</v>
      </c>
      <c r="J110" s="19">
        <f>+J78</f>
        <v>360.97600000000011</v>
      </c>
      <c r="K110" s="19">
        <f>+K78</f>
        <v>457.79999999999995</v>
      </c>
      <c r="L110" s="19">
        <f>+L78</f>
        <v>472.7</v>
      </c>
      <c r="M110" s="19">
        <f>+M78</f>
        <v>604</v>
      </c>
      <c r="N110" s="19">
        <f>+N78</f>
        <v>701.2</v>
      </c>
      <c r="O110" s="19">
        <f>+O78</f>
        <v>718.40000000000009</v>
      </c>
      <c r="P110" s="19"/>
      <c r="Q110" s="19"/>
      <c r="R110" s="19">
        <f>SUM(Q78,R78)</f>
        <v>214.5</v>
      </c>
      <c r="S110" s="19">
        <f>SUM(R78,S78)</f>
        <v>240.8</v>
      </c>
      <c r="T110" s="19">
        <f>SUM(S78,T78)</f>
        <v>238.1</v>
      </c>
      <c r="U110" s="19">
        <f>SUM(T78,U78)</f>
        <v>267.87599999999998</v>
      </c>
      <c r="V110" s="19">
        <f>SUM(U78,V78)</f>
        <v>284.68399999999997</v>
      </c>
      <c r="W110" s="19">
        <f>SUM(V78,W78)</f>
        <v>302.11599999999999</v>
      </c>
      <c r="X110" s="19">
        <f>SUM(W78,X78)</f>
        <v>371.03399999999999</v>
      </c>
      <c r="Y110" s="19">
        <f>SUM(X78,Y78)</f>
        <v>431.92600000000004</v>
      </c>
      <c r="Z110" s="19">
        <f>SUM(Y78,Z78)</f>
        <v>457.79999999999995</v>
      </c>
      <c r="AA110" s="19">
        <f>SUM(Y78,AA78)</f>
        <v>512.6</v>
      </c>
      <c r="AB110" s="19">
        <f>SUM(AA78,AB78)</f>
        <v>604</v>
      </c>
      <c r="AC110" s="19">
        <f>SUM(AB78,AC78)</f>
        <v>649.89999999999986</v>
      </c>
      <c r="AD110" s="19">
        <f>SUM(AC78,AD78)</f>
        <v>701.2</v>
      </c>
      <c r="AF110" s="138"/>
      <c r="AG110" s="19">
        <f t="shared" si="431"/>
        <v>214.5</v>
      </c>
      <c r="AH110" s="138"/>
      <c r="AI110" s="19">
        <f>SUM(AF78:AI78)</f>
        <v>240.8</v>
      </c>
      <c r="AJ110" s="19">
        <f>SUM(AG78:AJ78)</f>
        <v>242.28899999999999</v>
      </c>
      <c r="AK110" s="19">
        <f t="shared" si="432"/>
        <v>238.1</v>
      </c>
      <c r="AL110" s="19">
        <f>SUM(AI78:AL78)</f>
        <v>244.81399999999994</v>
      </c>
      <c r="AM110" s="19">
        <f>SUM(AJ78:AM78)</f>
        <v>267.87599999999998</v>
      </c>
      <c r="AN110" s="19">
        <f>SUM(AK78:AN78)</f>
        <v>279.86599999999999</v>
      </c>
      <c r="AO110" s="19">
        <f t="shared" si="433"/>
        <v>284.68399999999997</v>
      </c>
      <c r="AP110" s="19">
        <f>SUM(AM78:AP78)</f>
        <v>293.41800000000001</v>
      </c>
      <c r="AQ110" s="19">
        <f>SUM(AN78:AQ78)</f>
        <v>302.11599999999993</v>
      </c>
      <c r="AR110" s="19">
        <f>SUM(AO78:AR78)</f>
        <v>331.79799999999989</v>
      </c>
      <c r="AS110" s="19">
        <f t="shared" si="434"/>
        <v>371.03399999999999</v>
      </c>
      <c r="AT110" s="19">
        <f>SUM(AQ78:AT78)</f>
        <v>391.13499999999988</v>
      </c>
      <c r="AU110" s="19">
        <f>SUM(AR78:AU78)</f>
        <v>431.92599999999993</v>
      </c>
      <c r="AV110" s="19">
        <f>SUM(AS78:AV78)</f>
        <v>448.55400000000003</v>
      </c>
      <c r="AW110" s="19">
        <f t="shared" si="435"/>
        <v>457.79999999999995</v>
      </c>
      <c r="AX110" s="19">
        <f>SUM(AU78:AX78)</f>
        <v>493.28499999999985</v>
      </c>
      <c r="AY110" s="19">
        <f>SUM(AV78:AY78)</f>
        <v>515.89999999999986</v>
      </c>
      <c r="AZ110" s="19">
        <f>SUM(AW78:AZ78)</f>
        <v>545.0999999999998</v>
      </c>
      <c r="BA110" s="19">
        <f>SUM(AX78:BA78)</f>
        <v>604.29999999999995</v>
      </c>
      <c r="BB110" s="19">
        <f>SUM(AY78:BB78)</f>
        <v>626.4</v>
      </c>
      <c r="BC110" s="19">
        <f>SUM(AZ78:BC78)</f>
        <v>649.9</v>
      </c>
      <c r="BD110" s="19">
        <f>SUM(BA78:BD78)</f>
        <v>679.2</v>
      </c>
      <c r="BE110" s="19">
        <f>SUM(BB78:BE78)</f>
        <v>701.2</v>
      </c>
      <c r="BF110" s="19">
        <f>SUM(BC78:BF78)</f>
        <v>718.40000000000009</v>
      </c>
    </row>
    <row r="111" spans="2:58">
      <c r="B111" s="1" t="s">
        <v>255</v>
      </c>
      <c r="C111" s="19">
        <f t="shared" ref="C111:F111" si="436">-C86</f>
        <v>41.963999999999999</v>
      </c>
      <c r="D111" s="19">
        <f t="shared" ref="D111:E111" si="437">-D86</f>
        <v>47.674999999999997</v>
      </c>
      <c r="E111" s="19">
        <f t="shared" si="437"/>
        <v>54.715000000000003</v>
      </c>
      <c r="F111" s="19">
        <f t="shared" si="436"/>
        <v>54.582999999999998</v>
      </c>
      <c r="G111" s="19">
        <f t="shared" ref="G111:H111" si="438">-G86</f>
        <v>62.271999999999998</v>
      </c>
      <c r="H111" s="19">
        <f t="shared" si="438"/>
        <v>45.164999999999999</v>
      </c>
      <c r="I111" s="19">
        <f t="shared" ref="I111:J111" si="439">-I86</f>
        <v>64.697000000000003</v>
      </c>
      <c r="J111" s="19">
        <f t="shared" si="439"/>
        <v>64.697000000000003</v>
      </c>
      <c r="K111" s="19">
        <f>-K86</f>
        <v>116.5</v>
      </c>
      <c r="L111" s="19">
        <f>-L86</f>
        <v>116.5</v>
      </c>
      <c r="M111" s="19">
        <f>-M86</f>
        <v>207</v>
      </c>
      <c r="N111" s="19">
        <f>-N86</f>
        <v>242.2</v>
      </c>
      <c r="O111" s="19">
        <f>-O86</f>
        <v>279.5</v>
      </c>
      <c r="P111" s="19"/>
      <c r="Q111" s="19"/>
      <c r="R111" s="19">
        <f t="shared" ref="R111:AD111" si="440">-SUM(Q86,R86)</f>
        <v>54.582999999999998</v>
      </c>
      <c r="S111" s="19">
        <f t="shared" si="440"/>
        <v>60.155999999999999</v>
      </c>
      <c r="T111" s="19">
        <f t="shared" si="440"/>
        <v>62.271999999999998</v>
      </c>
      <c r="U111" s="19">
        <f t="shared" si="440"/>
        <v>52.353999999999999</v>
      </c>
      <c r="V111" s="19">
        <f t="shared" si="440"/>
        <v>45.164999999999999</v>
      </c>
      <c r="W111" s="19">
        <f t="shared" si="440"/>
        <v>51.472999999999999</v>
      </c>
      <c r="X111" s="19">
        <f t="shared" si="440"/>
        <v>64.697000000000003</v>
      </c>
      <c r="Y111" s="19">
        <f t="shared" si="440"/>
        <v>86.272000000000006</v>
      </c>
      <c r="Z111" s="19">
        <f t="shared" si="440"/>
        <v>116.5</v>
      </c>
      <c r="AA111" s="19">
        <f>-SUM(Y86,AA86)</f>
        <v>140.5</v>
      </c>
      <c r="AB111" s="19">
        <f t="shared" si="440"/>
        <v>207</v>
      </c>
      <c r="AC111" s="19">
        <f>-SUM(AB86,AC86)</f>
        <v>244.3</v>
      </c>
      <c r="AD111" s="19">
        <f t="shared" si="440"/>
        <v>242.2</v>
      </c>
      <c r="AF111" s="137"/>
      <c r="AG111" s="19">
        <f t="shared" si="431"/>
        <v>54.582999999999998</v>
      </c>
      <c r="AH111" s="137"/>
      <c r="AI111" s="137"/>
      <c r="AJ111" s="137"/>
      <c r="AK111" s="19">
        <f t="shared" si="432"/>
        <v>62.271999999999998</v>
      </c>
      <c r="AL111" s="137"/>
      <c r="AM111" s="137"/>
      <c r="AN111" s="137"/>
      <c r="AO111" s="19">
        <f t="shared" si="433"/>
        <v>45.164999999999999</v>
      </c>
      <c r="AP111" s="137"/>
      <c r="AQ111" s="137"/>
      <c r="AR111" s="137"/>
      <c r="AS111" s="19">
        <f t="shared" si="434"/>
        <v>64.697000000000003</v>
      </c>
      <c r="AT111" s="137"/>
      <c r="AU111" s="137"/>
      <c r="AV111" s="137"/>
      <c r="AW111" s="19">
        <f t="shared" si="435"/>
        <v>116.5</v>
      </c>
      <c r="AX111" s="19">
        <f t="shared" ref="AX111" si="441">J111</f>
        <v>64.697000000000003</v>
      </c>
      <c r="AY111" s="19">
        <f t="shared" ref="AY111" si="442">K111</f>
        <v>116.5</v>
      </c>
      <c r="AZ111" s="19">
        <f t="shared" ref="AZ111" si="443">L111</f>
        <v>116.5</v>
      </c>
      <c r="BA111" s="19">
        <f t="shared" ref="BA111:BA114" si="444">M111</f>
        <v>207</v>
      </c>
      <c r="BB111" s="19">
        <f>-SUM(AY86:BB86)</f>
        <v>247.7</v>
      </c>
      <c r="BC111" s="19">
        <f t="shared" ref="BC111:BE111" si="445">-SUM(AZ86:BC86)</f>
        <v>244.3</v>
      </c>
      <c r="BD111" s="19">
        <f t="shared" si="445"/>
        <v>232.1</v>
      </c>
      <c r="BE111" s="19">
        <f t="shared" si="445"/>
        <v>242.2</v>
      </c>
      <c r="BF111" s="19">
        <f>-SUM(BC86:BF86)</f>
        <v>279.5</v>
      </c>
    </row>
    <row r="112" spans="2:58">
      <c r="B112" s="1" t="s">
        <v>274</v>
      </c>
      <c r="C112" s="19">
        <f>+C43</f>
        <v>310.79700000000014</v>
      </c>
      <c r="D112" s="19">
        <f>+D43</f>
        <v>349.81899999999996</v>
      </c>
      <c r="E112" s="19">
        <f>+E43</f>
        <v>362.88299999999998</v>
      </c>
      <c r="F112" s="19">
        <f>+F43</f>
        <v>392.16100000000006</v>
      </c>
      <c r="G112" s="19">
        <f>+G43</f>
        <v>252.52400000000006</v>
      </c>
      <c r="H112" s="19">
        <f>+H43</f>
        <v>1025.9360000000001</v>
      </c>
      <c r="I112" s="19">
        <f>+I43</f>
        <v>796.52500000000009</v>
      </c>
      <c r="J112" s="19">
        <f>+J43</f>
        <v>764.33</v>
      </c>
      <c r="K112" s="19">
        <f>+K43</f>
        <v>922.59999999999991</v>
      </c>
      <c r="L112" s="19">
        <f>+L43</f>
        <v>922.60000000000014</v>
      </c>
      <c r="M112" s="19">
        <f>+M43</f>
        <v>1081.4000000000001</v>
      </c>
      <c r="N112" s="19">
        <f>+N43</f>
        <v>1081.8</v>
      </c>
      <c r="O112" s="19">
        <f>+O43</f>
        <v>1098.4000000000001</v>
      </c>
      <c r="P112" s="19"/>
      <c r="Q112" s="19"/>
      <c r="R112" s="19">
        <f>SUM(Q43,R43)</f>
        <v>392.161</v>
      </c>
      <c r="S112" s="19">
        <f>SUM(R43,S43)</f>
        <v>351.19099999999992</v>
      </c>
      <c r="T112" s="19">
        <f>SUM(S43,T43)</f>
        <v>252.52399999999994</v>
      </c>
      <c r="U112" s="19">
        <f>SUM(T43,U43)</f>
        <v>341.52</v>
      </c>
      <c r="V112" s="19">
        <f>SUM(U43,V43)</f>
        <v>1025.9360000000001</v>
      </c>
      <c r="W112" s="19">
        <f>SUM(V43,W43)</f>
        <v>1327.8790000000001</v>
      </c>
      <c r="X112" s="19">
        <f>SUM(W43,X43)</f>
        <v>796.52499999999998</v>
      </c>
      <c r="Y112" s="19">
        <f>SUM(X43,Y43)</f>
        <v>777.40300000000002</v>
      </c>
      <c r="Z112" s="19">
        <f>SUM(Y43,Z43)</f>
        <v>922.60000000000025</v>
      </c>
      <c r="AA112" s="19">
        <f>SUM(Y43,AA43)</f>
        <v>1004.9</v>
      </c>
      <c r="AB112" s="19">
        <f>SUM(AA43,AB43)</f>
        <v>1081.4000000000001</v>
      </c>
      <c r="AC112" s="19">
        <f>SUM(AB43,AC43)</f>
        <v>1173.2999999999997</v>
      </c>
      <c r="AD112" s="19">
        <f>SUM(AC43,AD43)</f>
        <v>1081.8</v>
      </c>
      <c r="AF112" s="137"/>
      <c r="AG112" s="19">
        <f t="shared" si="431"/>
        <v>392.16100000000006</v>
      </c>
      <c r="AH112" s="137"/>
      <c r="AI112" s="19">
        <f>SUM(AF43:AI43)</f>
        <v>351.19099999999986</v>
      </c>
      <c r="AJ112" s="19">
        <f>SUM(AG43:AJ43)</f>
        <v>390.24999999999989</v>
      </c>
      <c r="AK112" s="19">
        <f t="shared" si="432"/>
        <v>252.52400000000006</v>
      </c>
      <c r="AL112" s="19">
        <f>SUM(AI43:AL43)</f>
        <v>293.24299999999999</v>
      </c>
      <c r="AM112" s="19">
        <f>SUM(AJ43:AM43)</f>
        <v>341.52</v>
      </c>
      <c r="AN112" s="19">
        <f>SUM(AK43:AN43)</f>
        <v>409.238</v>
      </c>
      <c r="AO112" s="19">
        <f t="shared" si="433"/>
        <v>1025.9360000000001</v>
      </c>
      <c r="AP112" s="19">
        <f>SUM(AM43:AP43)</f>
        <v>987.66300000000001</v>
      </c>
      <c r="AQ112" s="19">
        <f>SUM(AN43:AQ43)</f>
        <v>1327.8789999999999</v>
      </c>
      <c r="AR112" s="19">
        <f>SUM(AO43:AR43)</f>
        <v>1304.0549999999998</v>
      </c>
      <c r="AS112" s="19">
        <f t="shared" si="434"/>
        <v>796.52500000000009</v>
      </c>
      <c r="AT112" s="19">
        <f>SUM(AQ43:AT43)</f>
        <v>961.798</v>
      </c>
      <c r="AU112" s="19">
        <f>SUM(AR43:AU43)</f>
        <v>777.40300000000002</v>
      </c>
      <c r="AV112" s="19">
        <f>SUM(AS43:AV43)</f>
        <v>933.12599999999998</v>
      </c>
      <c r="AW112" s="19">
        <f t="shared" si="435"/>
        <v>922.59999999999991</v>
      </c>
      <c r="AX112" s="19">
        <f>SUM(AU43:AX43)</f>
        <v>924.32100000000014</v>
      </c>
      <c r="AY112" s="19">
        <f>SUM(AV43:AY43)</f>
        <v>985.60000000000014</v>
      </c>
      <c r="AZ112" s="19">
        <f>SUM(AW43:AZ43)</f>
        <v>927.40000000000009</v>
      </c>
      <c r="BA112" s="19">
        <f t="shared" si="444"/>
        <v>1081.4000000000001</v>
      </c>
      <c r="BB112" s="19">
        <f>SUM(AY43:BB43)</f>
        <v>1050.4929999999999</v>
      </c>
      <c r="BC112" s="19">
        <f>SUM(AZ43:BC43)</f>
        <v>1173.2999999999997</v>
      </c>
      <c r="BD112" s="19">
        <f>SUM(BA43:BD43)</f>
        <v>1207.2999999999997</v>
      </c>
      <c r="BE112" s="19">
        <f>SUM(BB43:BE43)</f>
        <v>1081.8</v>
      </c>
      <c r="BF112" s="19">
        <f>SUM(BC43:BF43)</f>
        <v>1098.3999999999999</v>
      </c>
    </row>
    <row r="113" spans="2:58">
      <c r="B113" s="1" t="s">
        <v>275</v>
      </c>
      <c r="C113" s="19">
        <f t="shared" ref="C113:F113" si="446">-C89</f>
        <v>190.77</v>
      </c>
      <c r="D113" s="19">
        <f t="shared" ref="D113:E113" si="447">-D89</f>
        <v>450.11</v>
      </c>
      <c r="E113" s="19">
        <f t="shared" si="447"/>
        <v>379.31400000000002</v>
      </c>
      <c r="F113" s="19">
        <f t="shared" si="446"/>
        <v>361.87200000000001</v>
      </c>
      <c r="G113" s="19">
        <f t="shared" ref="G113:H113" si="448">-G89</f>
        <v>416.61399999999998</v>
      </c>
      <c r="H113" s="19">
        <f t="shared" si="448"/>
        <v>880.14100000000008</v>
      </c>
      <c r="I113" s="19">
        <f t="shared" ref="I113:J113" si="449">-I89</f>
        <v>1138.223</v>
      </c>
      <c r="J113" s="19">
        <f t="shared" si="449"/>
        <v>1138.223</v>
      </c>
      <c r="K113" s="19">
        <f t="shared" ref="K113:O113" si="450">-K89</f>
        <v>1130.3</v>
      </c>
      <c r="L113" s="19">
        <f t="shared" ref="L113" si="451">-L89</f>
        <v>1130.3</v>
      </c>
      <c r="M113" s="19">
        <f t="shared" ref="M113:N113" si="452">-M89</f>
        <v>1153.7</v>
      </c>
      <c r="N113" s="19">
        <f t="shared" si="452"/>
        <v>1195</v>
      </c>
      <c r="O113" s="19">
        <f t="shared" si="450"/>
        <v>1200.7</v>
      </c>
      <c r="P113" s="19"/>
      <c r="Q113" s="19"/>
      <c r="R113" s="19">
        <f t="shared" ref="R113:AD113" si="453">-SUM(Q89,R89)</f>
        <v>361.87200000000001</v>
      </c>
      <c r="S113" s="19">
        <f t="shared" si="453"/>
        <v>397.42</v>
      </c>
      <c r="T113" s="19">
        <f t="shared" si="453"/>
        <v>416.61399999999998</v>
      </c>
      <c r="U113" s="19">
        <f t="shared" si="453"/>
        <v>595.46699999999998</v>
      </c>
      <c r="V113" s="19">
        <f t="shared" si="453"/>
        <v>880.14100000000008</v>
      </c>
      <c r="W113" s="19">
        <f t="shared" si="453"/>
        <v>1018.027</v>
      </c>
      <c r="X113" s="19">
        <f t="shared" si="453"/>
        <v>1138.223</v>
      </c>
      <c r="Y113" s="19">
        <f t="shared" si="453"/>
        <v>1085.1679999999999</v>
      </c>
      <c r="Z113" s="19">
        <f t="shared" si="453"/>
        <v>1130.3</v>
      </c>
      <c r="AA113" s="19">
        <f>-SUM(Y89,AA89)</f>
        <v>894.89999999999986</v>
      </c>
      <c r="AB113" s="19">
        <f t="shared" si="453"/>
        <v>1153.7</v>
      </c>
      <c r="AC113" s="19">
        <f>-SUM(AB89,AC89)</f>
        <v>1162.3000000000002</v>
      </c>
      <c r="AD113" s="19">
        <f t="shared" si="453"/>
        <v>1195</v>
      </c>
      <c r="AF113" s="137"/>
      <c r="AG113" s="19">
        <f t="shared" si="431"/>
        <v>361.87200000000001</v>
      </c>
      <c r="AH113" s="137"/>
      <c r="AI113" s="137"/>
      <c r="AJ113" s="137"/>
      <c r="AK113" s="19">
        <f t="shared" si="432"/>
        <v>416.61399999999998</v>
      </c>
      <c r="AL113" s="137"/>
      <c r="AM113" s="137"/>
      <c r="AN113" s="137"/>
      <c r="AO113" s="19">
        <f t="shared" si="433"/>
        <v>880.14100000000008</v>
      </c>
      <c r="AP113" s="137"/>
      <c r="AQ113" s="137"/>
      <c r="AR113" s="137"/>
      <c r="AS113" s="19">
        <f t="shared" si="434"/>
        <v>1138.223</v>
      </c>
      <c r="AT113" s="137"/>
      <c r="AU113" s="137"/>
      <c r="AV113" s="137"/>
      <c r="AW113" s="19">
        <f t="shared" si="435"/>
        <v>1130.3</v>
      </c>
      <c r="AX113" s="19">
        <f t="shared" ref="AX113:AX114" si="454">J113</f>
        <v>1138.223</v>
      </c>
      <c r="AY113" s="19">
        <f t="shared" ref="AY113:AY114" si="455">K113</f>
        <v>1130.3</v>
      </c>
      <c r="AZ113" s="19">
        <f t="shared" ref="AZ113:AZ114" si="456">L113</f>
        <v>1130.3</v>
      </c>
      <c r="BA113" s="19">
        <f t="shared" si="444"/>
        <v>1153.7</v>
      </c>
      <c r="BB113" s="19">
        <f>-SUM(AY89:BB89)</f>
        <v>1136.8000000000002</v>
      </c>
      <c r="BC113" s="19">
        <f t="shared" ref="BC113:BE113" si="457">-SUM(AZ89:BC89)</f>
        <v>1162.3000000000002</v>
      </c>
      <c r="BD113" s="19">
        <f t="shared" si="457"/>
        <v>1291.0999999999999</v>
      </c>
      <c r="BE113" s="19">
        <f t="shared" si="457"/>
        <v>1195</v>
      </c>
      <c r="BF113" s="19">
        <f>-SUM(BC89:BF89)</f>
        <v>1200.7</v>
      </c>
    </row>
    <row r="114" spans="2:58">
      <c r="B114" s="1" t="s">
        <v>260</v>
      </c>
      <c r="C114" s="19">
        <f t="shared" ref="C114:F114" si="458">+C91</f>
        <v>-186.25799999999998</v>
      </c>
      <c r="D114" s="19">
        <f t="shared" ref="D114:E114" si="459">+D91</f>
        <v>-290.75200000000001</v>
      </c>
      <c r="E114" s="19">
        <f t="shared" si="459"/>
        <v>-272.26500000000004</v>
      </c>
      <c r="F114" s="19">
        <f t="shared" si="458"/>
        <v>-239.221</v>
      </c>
      <c r="G114" s="19">
        <f t="shared" ref="G114:H114" si="460">+G91</f>
        <v>-257.26299999999998</v>
      </c>
      <c r="H114" s="19">
        <f t="shared" si="460"/>
        <v>-1264.337</v>
      </c>
      <c r="I114" s="19">
        <f t="shared" ref="I114:J114" si="461">+I91</f>
        <v>-1132.079</v>
      </c>
      <c r="J114" s="19">
        <f t="shared" si="461"/>
        <v>-1132.1369999999997</v>
      </c>
      <c r="K114" s="19">
        <f t="shared" ref="K114:O114" si="462">+K91</f>
        <v>-901.2</v>
      </c>
      <c r="L114" s="19">
        <f t="shared" ref="L114" si="463">+L91</f>
        <v>-886.3</v>
      </c>
      <c r="M114" s="19">
        <f t="shared" ref="M114:N114" si="464">+M91</f>
        <v>-957.90000000000009</v>
      </c>
      <c r="N114" s="19">
        <f t="shared" si="464"/>
        <v>-1080.6999999999998</v>
      </c>
      <c r="O114" s="19">
        <f t="shared" si="462"/>
        <v>-1169.5999999999999</v>
      </c>
      <c r="P114" s="19"/>
      <c r="Q114" s="19"/>
      <c r="R114" s="19">
        <f t="shared" ref="R114:AD114" si="465">SUM(Q91,R91)</f>
        <v>-239.221</v>
      </c>
      <c r="S114" s="19">
        <f t="shared" si="465"/>
        <v>-195.47299999999996</v>
      </c>
      <c r="T114" s="19">
        <f t="shared" si="465"/>
        <v>-257.26299999999992</v>
      </c>
      <c r="U114" s="19">
        <f t="shared" si="465"/>
        <v>-506.899</v>
      </c>
      <c r="V114" s="19">
        <f t="shared" si="465"/>
        <v>-1264.337</v>
      </c>
      <c r="W114" s="19">
        <f t="shared" si="465"/>
        <v>-1429.0039999999999</v>
      </c>
      <c r="X114" s="19">
        <f t="shared" si="465"/>
        <v>-1132.079</v>
      </c>
      <c r="Y114" s="19">
        <f t="shared" si="465"/>
        <v>-1034.8329999999999</v>
      </c>
      <c r="Z114" s="19">
        <f t="shared" si="465"/>
        <v>-901.2</v>
      </c>
      <c r="AA114" s="19">
        <f>SUM(Y91,AA91)</f>
        <v>-814.89999999999986</v>
      </c>
      <c r="AB114" s="19">
        <f t="shared" si="465"/>
        <v>-957.90000000000009</v>
      </c>
      <c r="AC114" s="19">
        <f>SUM(AB91,AC91)</f>
        <v>-898.30000000000018</v>
      </c>
      <c r="AD114" s="19">
        <f t="shared" si="465"/>
        <v>-1080.7</v>
      </c>
      <c r="AF114" s="137"/>
      <c r="AG114" s="19">
        <f t="shared" si="431"/>
        <v>-239.221</v>
      </c>
      <c r="AH114" s="137"/>
      <c r="AI114" s="137"/>
      <c r="AJ114" s="137"/>
      <c r="AK114" s="19">
        <f t="shared" si="432"/>
        <v>-257.26299999999998</v>
      </c>
      <c r="AL114" s="137"/>
      <c r="AM114" s="137"/>
      <c r="AN114" s="137"/>
      <c r="AO114" s="19">
        <f t="shared" si="433"/>
        <v>-1264.337</v>
      </c>
      <c r="AP114" s="137"/>
      <c r="AQ114" s="137"/>
      <c r="AR114" s="137"/>
      <c r="AS114" s="19">
        <f t="shared" si="434"/>
        <v>-1132.079</v>
      </c>
      <c r="AT114" s="137"/>
      <c r="AU114" s="137"/>
      <c r="AV114" s="137"/>
      <c r="AW114" s="19">
        <f t="shared" si="435"/>
        <v>-901.2</v>
      </c>
      <c r="AX114" s="19">
        <f t="shared" si="454"/>
        <v>-1132.1369999999997</v>
      </c>
      <c r="AY114" s="19">
        <f t="shared" si="455"/>
        <v>-901.2</v>
      </c>
      <c r="AZ114" s="19">
        <f t="shared" si="456"/>
        <v>-886.3</v>
      </c>
      <c r="BA114" s="19">
        <f t="shared" si="444"/>
        <v>-957.90000000000009</v>
      </c>
      <c r="BB114" s="19">
        <f>SUM(AY91:BB91)</f>
        <v>-975.7</v>
      </c>
      <c r="BC114" s="19">
        <f t="shared" ref="BC114" si="466">SUM(AZ91:BC91)</f>
        <v>-898.30000000000007</v>
      </c>
      <c r="BD114" s="19">
        <f>SUM(BA91:BD91)</f>
        <v>-941.7</v>
      </c>
      <c r="BE114" s="19">
        <f>SUM(BB91:BE91)</f>
        <v>-1080.6999999999998</v>
      </c>
      <c r="BF114" s="19">
        <f>SUM(BC91:BF91)</f>
        <v>-1169.5999999999999</v>
      </c>
    </row>
    <row r="115" spans="2:58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2:58">
      <c r="B116" s="10" t="s">
        <v>276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</row>
    <row r="117" spans="2:58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2:58" s="5" customFormat="1">
      <c r="B118" s="1" t="s">
        <v>277</v>
      </c>
      <c r="C118" s="49">
        <f>3156.036+226.07+23.406</f>
        <v>3405.5120000000002</v>
      </c>
      <c r="D118" s="18">
        <f>3786.71+310.089+33.858</f>
        <v>4130.6570000000002</v>
      </c>
      <c r="E118" s="18">
        <f>4094.048+315.357+54.22</f>
        <v>4463.625</v>
      </c>
      <c r="F118" s="18">
        <f>4721.358+440.727+117.09</f>
        <v>5279.1750000000002</v>
      </c>
      <c r="G118" s="18">
        <f>5386.23+387.347+98.884</f>
        <v>5872.4609999999993</v>
      </c>
      <c r="H118" s="18">
        <f>7575.107+774.203+110.967</f>
        <v>8460.277</v>
      </c>
      <c r="I118" s="18">
        <f>10124.185+1193.343+168.905</f>
        <v>11486.433000000001</v>
      </c>
      <c r="J118" s="18">
        <f>10124.185+1193.343+168.905</f>
        <v>11486.433000000001</v>
      </c>
      <c r="K118" s="18">
        <f>12039.2+1359.6+233.8</f>
        <v>13632.6</v>
      </c>
      <c r="L118" s="18">
        <f>12039.2+1359.6+233.8</f>
        <v>13632.6</v>
      </c>
      <c r="M118" s="18">
        <f>14655.3+1076.8+248.4</f>
        <v>15980.499999999998</v>
      </c>
      <c r="N118" s="18">
        <f>16835.1+1368.1+279.8</f>
        <v>18482.999999999996</v>
      </c>
      <c r="O118" s="19">
        <f>BF118</f>
        <v>18857.399999999998</v>
      </c>
      <c r="P118" s="19"/>
      <c r="Q118" s="18"/>
      <c r="R118" s="19">
        <f>F118</f>
        <v>5279.1750000000002</v>
      </c>
      <c r="S118" s="18">
        <f>4996.237+462.143+45.322</f>
        <v>5503.7020000000002</v>
      </c>
      <c r="T118" s="19">
        <f>G118</f>
        <v>5872.4609999999993</v>
      </c>
      <c r="U118" s="18">
        <f>5731.154+573.173+101.937</f>
        <v>6406.2640000000001</v>
      </c>
      <c r="V118" s="19">
        <f>H118</f>
        <v>8460.277</v>
      </c>
      <c r="W118" s="18">
        <f>9382.412+1057.7+142.166</f>
        <v>10582.278</v>
      </c>
      <c r="X118" s="19">
        <f>I118</f>
        <v>11486.433000000001</v>
      </c>
      <c r="Y118" s="18">
        <f>10992.7+1247.9+187.1</f>
        <v>12427.7</v>
      </c>
      <c r="Z118" s="19">
        <f>K118</f>
        <v>13632.6</v>
      </c>
      <c r="AA118" s="18">
        <f>13012.7+1530.9+244.9</f>
        <v>14788.5</v>
      </c>
      <c r="AB118" s="19">
        <f>M118</f>
        <v>15980.499999999998</v>
      </c>
      <c r="AC118" s="18">
        <f>15463.5+1416.4+256.1</f>
        <v>17136</v>
      </c>
      <c r="AD118" s="19">
        <f>N118</f>
        <v>18482.999999999996</v>
      </c>
      <c r="AE118" s="18"/>
      <c r="AF118" s="138"/>
      <c r="AG118" s="19">
        <f>F118</f>
        <v>5279.1750000000002</v>
      </c>
      <c r="AH118" s="138"/>
      <c r="AI118" s="19">
        <f>S118</f>
        <v>5503.7020000000002</v>
      </c>
      <c r="AJ118" s="18">
        <f>5074.367+522.447+44.962</f>
        <v>5641.7760000000007</v>
      </c>
      <c r="AK118" s="19">
        <f>G118</f>
        <v>5872.4609999999993</v>
      </c>
      <c r="AL118" s="18">
        <f>5514.164+470.832+99.235</f>
        <v>6084.2309999999998</v>
      </c>
      <c r="AM118" s="19">
        <f>U118</f>
        <v>6406.2640000000001</v>
      </c>
      <c r="AN118" s="18">
        <f>6126.95+892.897+101.606</f>
        <v>7121.4529999999995</v>
      </c>
      <c r="AO118" s="19">
        <f>H118</f>
        <v>8460.277</v>
      </c>
      <c r="AP118" s="18">
        <f>8602.99+915.724+111.559</f>
        <v>9630.2729999999992</v>
      </c>
      <c r="AQ118" s="19">
        <f>W118</f>
        <v>10582.278</v>
      </c>
      <c r="AR118" s="19">
        <f>9780.832+1112.078+142.357</f>
        <v>11035.267</v>
      </c>
      <c r="AS118" s="19">
        <f>I118</f>
        <v>11486.433000000001</v>
      </c>
      <c r="AT118" s="18">
        <f>10610.513+1217.505+179.884</f>
        <v>12007.902</v>
      </c>
      <c r="AU118" s="19">
        <f>Y118</f>
        <v>12427.7</v>
      </c>
      <c r="AV118" s="18">
        <f>11219.3+1537.5+202.2</f>
        <v>12959</v>
      </c>
      <c r="AW118" s="19">
        <f>K118</f>
        <v>13632.6</v>
      </c>
      <c r="AX118" s="18">
        <f>12244.8+1523.6+241</f>
        <v>14009.4</v>
      </c>
      <c r="AY118" s="19">
        <f>AA118</f>
        <v>14788.5</v>
      </c>
      <c r="AZ118" s="18">
        <f>13378.5+1616.4+249.6</f>
        <v>15244.5</v>
      </c>
      <c r="BA118" s="19">
        <f>M118</f>
        <v>15980.499999999998</v>
      </c>
      <c r="BB118" s="18">
        <f>14839.4+1256.5+249</f>
        <v>16344.9</v>
      </c>
      <c r="BC118" s="19">
        <f>AC118</f>
        <v>17136</v>
      </c>
      <c r="BD118" s="18">
        <f>15757.5+1660.5+260.7</f>
        <v>17678.7</v>
      </c>
      <c r="BE118" s="19">
        <f>N118</f>
        <v>18482.999999999996</v>
      </c>
      <c r="BF118" s="18">
        <f>16960.6+1614.2+282.6</f>
        <v>18857.399999999998</v>
      </c>
    </row>
    <row r="119" spans="2:58" s="5" customFormat="1">
      <c r="B119" s="20" t="s">
        <v>278</v>
      </c>
      <c r="C119" s="18">
        <v>54.082999999999998</v>
      </c>
      <c r="D119" s="18">
        <v>67.869</v>
      </c>
      <c r="E119" s="18">
        <v>79.789000000000001</v>
      </c>
      <c r="F119" s="18">
        <v>90.394999999999996</v>
      </c>
      <c r="G119" s="18">
        <v>67.941000000000003</v>
      </c>
      <c r="H119" s="18">
        <v>144.08199999999999</v>
      </c>
      <c r="I119" s="18">
        <v>235.584</v>
      </c>
      <c r="J119" s="18">
        <v>235.584</v>
      </c>
      <c r="K119" s="18">
        <v>266.60000000000002</v>
      </c>
      <c r="L119" s="18">
        <v>266.60000000000002</v>
      </c>
      <c r="M119" s="18">
        <v>269.10000000000002</v>
      </c>
      <c r="N119" s="18">
        <v>327.8</v>
      </c>
      <c r="O119" s="19">
        <f>BF119</f>
        <v>334</v>
      </c>
      <c r="P119" s="19"/>
      <c r="Q119" s="18"/>
      <c r="R119" s="19">
        <f>F119</f>
        <v>90.394999999999996</v>
      </c>
      <c r="S119" s="18">
        <v>105.11</v>
      </c>
      <c r="T119" s="19">
        <f>G119</f>
        <v>67.941000000000003</v>
      </c>
      <c r="U119" s="18">
        <v>93.397999999999996</v>
      </c>
      <c r="V119" s="19">
        <f>H119</f>
        <v>144.08199999999999</v>
      </c>
      <c r="W119" s="18">
        <v>241.42</v>
      </c>
      <c r="X119" s="19">
        <f>I119</f>
        <v>235.584</v>
      </c>
      <c r="Y119" s="18">
        <v>247</v>
      </c>
      <c r="Z119" s="19">
        <f>K119</f>
        <v>266.60000000000002</v>
      </c>
      <c r="AA119" s="18">
        <v>270.10000000000002</v>
      </c>
      <c r="AB119" s="19">
        <f>M119</f>
        <v>269.10000000000002</v>
      </c>
      <c r="AC119" s="18">
        <v>243.8</v>
      </c>
      <c r="AD119" s="19">
        <f>N119</f>
        <v>327.8</v>
      </c>
      <c r="AE119" s="18"/>
      <c r="AF119" s="138"/>
      <c r="AG119" s="19">
        <f>F119</f>
        <v>90.394999999999996</v>
      </c>
      <c r="AH119" s="138"/>
      <c r="AI119" s="19">
        <f>S119</f>
        <v>105.11</v>
      </c>
      <c r="AJ119" s="18">
        <v>93.29</v>
      </c>
      <c r="AK119" s="19">
        <f>G119</f>
        <v>67.941000000000003</v>
      </c>
      <c r="AL119" s="18">
        <v>82.953999999999994</v>
      </c>
      <c r="AM119" s="19">
        <f>U119</f>
        <v>93.397999999999996</v>
      </c>
      <c r="AN119" s="18">
        <v>97.382999999999996</v>
      </c>
      <c r="AO119" s="19">
        <f>H119</f>
        <v>144.08199999999999</v>
      </c>
      <c r="AP119" s="18">
        <f>255.172</f>
        <v>255.172</v>
      </c>
      <c r="AQ119" s="19">
        <f t="shared" ref="AQ119:AQ121" si="467">W119</f>
        <v>241.42</v>
      </c>
      <c r="AR119" s="19">
        <v>245.018</v>
      </c>
      <c r="AS119" s="19">
        <f>I119</f>
        <v>235.584</v>
      </c>
      <c r="AT119" s="18">
        <v>263.60399999999998</v>
      </c>
      <c r="AU119" s="19">
        <f t="shared" ref="AU119:AU121" si="468">Y119</f>
        <v>247</v>
      </c>
      <c r="AV119" s="18">
        <v>234.1</v>
      </c>
      <c r="AW119" s="19">
        <f>K119</f>
        <v>266.60000000000002</v>
      </c>
      <c r="AX119" s="18">
        <v>268.2</v>
      </c>
      <c r="AY119" s="19">
        <f>AA119</f>
        <v>270.10000000000002</v>
      </c>
      <c r="AZ119" s="18">
        <v>240.2</v>
      </c>
      <c r="BA119" s="19">
        <f t="shared" ref="BA119:BA122" si="469">M119</f>
        <v>269.10000000000002</v>
      </c>
      <c r="BB119" s="18">
        <v>272.89999999999998</v>
      </c>
      <c r="BC119" s="19">
        <f>AC119</f>
        <v>243.8</v>
      </c>
      <c r="BD119" s="18">
        <v>264.2</v>
      </c>
      <c r="BE119" s="19">
        <f>N119</f>
        <v>327.8</v>
      </c>
      <c r="BF119" s="18">
        <v>334</v>
      </c>
    </row>
    <row r="120" spans="2:58" s="5" customFormat="1">
      <c r="B120" s="20" t="s">
        <v>279</v>
      </c>
      <c r="C120" s="18">
        <v>0</v>
      </c>
      <c r="D120" s="18">
        <v>0</v>
      </c>
      <c r="E120" s="18">
        <v>1.343</v>
      </c>
      <c r="F120" s="18">
        <v>8.4610000000000003</v>
      </c>
      <c r="G120" s="18">
        <v>12.878</v>
      </c>
      <c r="H120" s="18">
        <v>7.0389999999999997</v>
      </c>
      <c r="I120" s="18">
        <v>3.4039999999999999</v>
      </c>
      <c r="J120" s="18">
        <v>3.4039999999999999</v>
      </c>
      <c r="K120" s="18">
        <v>8.5</v>
      </c>
      <c r="L120" s="18">
        <v>8.5</v>
      </c>
      <c r="M120" s="18">
        <v>8.1</v>
      </c>
      <c r="N120" s="18">
        <v>36.5</v>
      </c>
      <c r="O120" s="19">
        <f>BF120</f>
        <v>52.1</v>
      </c>
      <c r="P120" s="19"/>
      <c r="Q120" s="18"/>
      <c r="R120" s="19">
        <f>F120</f>
        <v>8.4610000000000003</v>
      </c>
      <c r="S120" s="18">
        <v>8.3510000000000009</v>
      </c>
      <c r="T120" s="19">
        <f>G120</f>
        <v>12.878</v>
      </c>
      <c r="U120" s="18">
        <v>2.847</v>
      </c>
      <c r="V120" s="19">
        <f>H120</f>
        <v>7.0389999999999997</v>
      </c>
      <c r="W120" s="18">
        <v>4.2320000000000002</v>
      </c>
      <c r="X120" s="19">
        <f>I120</f>
        <v>3.4039999999999999</v>
      </c>
      <c r="Y120" s="18">
        <v>6.2</v>
      </c>
      <c r="Z120" s="19">
        <f>K120</f>
        <v>8.5</v>
      </c>
      <c r="AA120" s="18">
        <v>6.5</v>
      </c>
      <c r="AB120" s="19">
        <f>M120</f>
        <v>8.1</v>
      </c>
      <c r="AC120" s="18">
        <v>7.7</v>
      </c>
      <c r="AD120" s="19">
        <f>N120</f>
        <v>36.5</v>
      </c>
      <c r="AE120" s="18"/>
      <c r="AF120" s="138"/>
      <c r="AG120" s="19">
        <f>F120</f>
        <v>8.4610000000000003</v>
      </c>
      <c r="AH120" s="138"/>
      <c r="AI120" s="19">
        <f>S120</f>
        <v>8.3510000000000009</v>
      </c>
      <c r="AJ120" s="18">
        <v>8.8569999999999993</v>
      </c>
      <c r="AK120" s="19">
        <f>G120</f>
        <v>12.878</v>
      </c>
      <c r="AL120" s="18">
        <v>8.25</v>
      </c>
      <c r="AM120" s="19">
        <f>U120</f>
        <v>2.847</v>
      </c>
      <c r="AN120" s="18">
        <v>2.8540000000000001</v>
      </c>
      <c r="AO120" s="19">
        <f>H120</f>
        <v>7.0389999999999997</v>
      </c>
      <c r="AP120" s="18">
        <v>2.9470000000000001</v>
      </c>
      <c r="AQ120" s="19">
        <f t="shared" si="467"/>
        <v>4.2320000000000002</v>
      </c>
      <c r="AR120" s="19">
        <v>3.323</v>
      </c>
      <c r="AS120" s="19">
        <f>I120</f>
        <v>3.4039999999999999</v>
      </c>
      <c r="AT120" s="18">
        <v>4.4619999999999997</v>
      </c>
      <c r="AU120" s="19">
        <f t="shared" si="468"/>
        <v>6.2</v>
      </c>
      <c r="AV120" s="18">
        <v>5.6</v>
      </c>
      <c r="AW120" s="19">
        <f>K120</f>
        <v>8.5</v>
      </c>
      <c r="AX120" s="18">
        <v>7.8</v>
      </c>
      <c r="AY120" s="19">
        <f>AA120</f>
        <v>6.5</v>
      </c>
      <c r="AZ120" s="18">
        <v>28.2</v>
      </c>
      <c r="BA120" s="19">
        <f t="shared" si="469"/>
        <v>8.1</v>
      </c>
      <c r="BB120" s="18">
        <v>9.4</v>
      </c>
      <c r="BC120" s="19">
        <f>AC120</f>
        <v>7.7</v>
      </c>
      <c r="BD120" s="18">
        <v>11.9</v>
      </c>
      <c r="BE120" s="19">
        <f>N120</f>
        <v>36.5</v>
      </c>
      <c r="BF120" s="18">
        <v>52.1</v>
      </c>
    </row>
    <row r="121" spans="2:58" s="5" customFormat="1">
      <c r="B121" s="20" t="s">
        <v>280</v>
      </c>
      <c r="C121" s="18">
        <v>68.944000000000003</v>
      </c>
      <c r="D121" s="18">
        <v>151.20599999999999</v>
      </c>
      <c r="E121" s="18">
        <v>148.25</v>
      </c>
      <c r="F121" s="18">
        <v>168.44800000000001</v>
      </c>
      <c r="G121" s="18">
        <v>169.006</v>
      </c>
      <c r="H121" s="18">
        <v>237.148</v>
      </c>
      <c r="I121" s="18">
        <v>320.91699999999997</v>
      </c>
      <c r="J121" s="18">
        <v>320.91699999999997</v>
      </c>
      <c r="K121" s="18">
        <v>366.9</v>
      </c>
      <c r="L121" s="18">
        <v>366.9</v>
      </c>
      <c r="M121" s="18">
        <v>323.7</v>
      </c>
      <c r="N121" s="18">
        <v>413.7</v>
      </c>
      <c r="O121" s="19">
        <f>BF121</f>
        <v>336.2</v>
      </c>
      <c r="P121" s="19"/>
      <c r="Q121" s="18"/>
      <c r="R121" s="19">
        <f>F121</f>
        <v>168.44800000000001</v>
      </c>
      <c r="S121" s="18">
        <v>226.952</v>
      </c>
      <c r="T121" s="19">
        <f>G121</f>
        <v>169.006</v>
      </c>
      <c r="U121" s="18">
        <v>153.19200000000001</v>
      </c>
      <c r="V121" s="19">
        <f>H121</f>
        <v>237.148</v>
      </c>
      <c r="W121" s="18">
        <v>306.93700000000001</v>
      </c>
      <c r="X121" s="19">
        <f>I121</f>
        <v>320.91699999999997</v>
      </c>
      <c r="Y121" s="18">
        <v>291.2</v>
      </c>
      <c r="Z121" s="19">
        <f>K121</f>
        <v>366.9</v>
      </c>
      <c r="AA121" s="18">
        <v>380.5</v>
      </c>
      <c r="AB121" s="19">
        <f>M121</f>
        <v>323.7</v>
      </c>
      <c r="AC121" s="18">
        <v>320.5</v>
      </c>
      <c r="AD121" s="19">
        <f>N121</f>
        <v>413.7</v>
      </c>
      <c r="AE121" s="18"/>
      <c r="AF121" s="138"/>
      <c r="AG121" s="19">
        <f>F121</f>
        <v>168.44800000000001</v>
      </c>
      <c r="AH121" s="138"/>
      <c r="AI121" s="19">
        <f>S121</f>
        <v>226.952</v>
      </c>
      <c r="AJ121" s="18">
        <v>181.30799999999999</v>
      </c>
      <c r="AK121" s="19">
        <f>G121</f>
        <v>169.006</v>
      </c>
      <c r="AL121" s="18">
        <v>162.77199999999999</v>
      </c>
      <c r="AM121" s="19">
        <f>U121</f>
        <v>153.19200000000001</v>
      </c>
      <c r="AN121" s="18">
        <v>192.995</v>
      </c>
      <c r="AO121" s="19">
        <f>H121</f>
        <v>237.148</v>
      </c>
      <c r="AP121" s="18">
        <v>268.92</v>
      </c>
      <c r="AQ121" s="19">
        <f t="shared" si="467"/>
        <v>306.93700000000001</v>
      </c>
      <c r="AR121" s="19">
        <v>323.36599999999999</v>
      </c>
      <c r="AS121" s="19">
        <f>I121</f>
        <v>320.91699999999997</v>
      </c>
      <c r="AT121" s="18">
        <v>289.08699999999999</v>
      </c>
      <c r="AU121" s="19">
        <f t="shared" si="468"/>
        <v>291.2</v>
      </c>
      <c r="AV121" s="18">
        <v>325.89999999999998</v>
      </c>
      <c r="AW121" s="19">
        <f>K121</f>
        <v>366.9</v>
      </c>
      <c r="AX121" s="18">
        <v>333.1</v>
      </c>
      <c r="AY121" s="19">
        <f>AA121</f>
        <v>380.5</v>
      </c>
      <c r="AZ121" s="18">
        <v>337.7</v>
      </c>
      <c r="BA121" s="19">
        <f t="shared" si="469"/>
        <v>323.7</v>
      </c>
      <c r="BB121" s="18">
        <v>327</v>
      </c>
      <c r="BC121" s="19">
        <f>AC121</f>
        <v>320.5</v>
      </c>
      <c r="BD121" s="18">
        <v>376.4</v>
      </c>
      <c r="BE121" s="19">
        <f>N121</f>
        <v>413.7</v>
      </c>
      <c r="BF121" s="18">
        <v>336.2</v>
      </c>
    </row>
    <row r="122" spans="2:58" s="5" customFormat="1">
      <c r="B122" s="5" t="s">
        <v>281</v>
      </c>
      <c r="C122" s="14">
        <f>C119+C120-C121</f>
        <v>-14.861000000000004</v>
      </c>
      <c r="D122" s="14">
        <f>D119+D120-D121</f>
        <v>-83.336999999999989</v>
      </c>
      <c r="E122" s="14">
        <f t="shared" ref="E122" si="470">E119+E120-E121</f>
        <v>-67.117999999999995</v>
      </c>
      <c r="F122" s="14">
        <f t="shared" ref="F122:K122" si="471">F119+F120-F121</f>
        <v>-69.592000000000013</v>
      </c>
      <c r="G122" s="14">
        <f t="shared" si="471"/>
        <v>-88.186999999999998</v>
      </c>
      <c r="H122" s="14">
        <f t="shared" si="471"/>
        <v>-86.027000000000015</v>
      </c>
      <c r="I122" s="14">
        <f t="shared" si="471"/>
        <v>-81.928999999999974</v>
      </c>
      <c r="J122" s="14">
        <f t="shared" si="471"/>
        <v>-81.928999999999974</v>
      </c>
      <c r="K122" s="14">
        <f t="shared" si="471"/>
        <v>-91.799999999999955</v>
      </c>
      <c r="L122" s="14">
        <f t="shared" ref="L122" si="472">L119+L120-L121</f>
        <v>-91.799999999999955</v>
      </c>
      <c r="M122" s="14">
        <f t="shared" ref="M122:N122" si="473">M119+M120-M121</f>
        <v>-46.499999999999943</v>
      </c>
      <c r="N122" s="14">
        <f t="shared" si="473"/>
        <v>-49.399999999999977</v>
      </c>
      <c r="O122" s="14">
        <f t="shared" ref="O122" si="474">O119+O120-O121</f>
        <v>49.900000000000034</v>
      </c>
      <c r="P122" s="14"/>
      <c r="Q122" s="14"/>
      <c r="R122" s="14">
        <f t="shared" ref="R122:W122" si="475">R119+R120-R121</f>
        <v>-69.592000000000013</v>
      </c>
      <c r="S122" s="14">
        <f t="shared" si="475"/>
        <v>-113.491</v>
      </c>
      <c r="T122" s="14">
        <f t="shared" si="475"/>
        <v>-88.186999999999998</v>
      </c>
      <c r="U122" s="14">
        <f t="shared" si="475"/>
        <v>-56.947000000000017</v>
      </c>
      <c r="V122" s="14">
        <f t="shared" si="475"/>
        <v>-86.027000000000015</v>
      </c>
      <c r="W122" s="14">
        <f t="shared" si="475"/>
        <v>-61.285000000000025</v>
      </c>
      <c r="X122" s="14">
        <f t="shared" ref="X122:Y122" si="476">X119+X120-X121</f>
        <v>-81.928999999999974</v>
      </c>
      <c r="Y122" s="14">
        <f t="shared" si="476"/>
        <v>-38</v>
      </c>
      <c r="Z122" s="14">
        <f t="shared" ref="Z122:AB122" si="477">Z119+Z120-Z121</f>
        <v>-91.799999999999955</v>
      </c>
      <c r="AA122" s="14">
        <f t="shared" ref="AA122:AD122" si="478">AA119+AA120-AA121</f>
        <v>-103.89999999999998</v>
      </c>
      <c r="AB122" s="14">
        <f t="shared" si="477"/>
        <v>-46.499999999999943</v>
      </c>
      <c r="AC122" s="14">
        <f t="shared" si="478"/>
        <v>-69</v>
      </c>
      <c r="AD122" s="14">
        <f t="shared" si="478"/>
        <v>-49.399999999999977</v>
      </c>
      <c r="AE122" s="14"/>
      <c r="AF122" s="138"/>
      <c r="AG122" s="14">
        <f>AG119+AG120-AG121</f>
        <v>-69.592000000000013</v>
      </c>
      <c r="AH122" s="138"/>
      <c r="AI122" s="14">
        <f t="shared" ref="AI122:AN122" si="479">AI119+AI120-AI121</f>
        <v>-113.491</v>
      </c>
      <c r="AJ122" s="14">
        <f t="shared" si="479"/>
        <v>-79.160999999999987</v>
      </c>
      <c r="AK122" s="14">
        <f t="shared" si="479"/>
        <v>-88.186999999999998</v>
      </c>
      <c r="AL122" s="14">
        <f t="shared" si="479"/>
        <v>-71.567999999999998</v>
      </c>
      <c r="AM122" s="14">
        <f t="shared" si="479"/>
        <v>-56.947000000000017</v>
      </c>
      <c r="AN122" s="14">
        <f t="shared" si="479"/>
        <v>-92.75800000000001</v>
      </c>
      <c r="AO122" s="14">
        <f t="shared" ref="AO122:AP122" si="480">AO119+AO120-AO121</f>
        <v>-86.027000000000015</v>
      </c>
      <c r="AP122" s="14">
        <f t="shared" si="480"/>
        <v>-10.801000000000045</v>
      </c>
      <c r="AQ122" s="14">
        <f t="shared" ref="AQ122" si="481">AQ119+AQ120-AQ121</f>
        <v>-61.285000000000025</v>
      </c>
      <c r="AR122" s="14">
        <f>AR119+AR120-AR121</f>
        <v>-75.024999999999977</v>
      </c>
      <c r="AS122" s="14">
        <f t="shared" ref="AS122:AU122" si="482">AS119+AS120-AS121</f>
        <v>-81.928999999999974</v>
      </c>
      <c r="AT122" s="14">
        <f t="shared" si="482"/>
        <v>-21.021000000000015</v>
      </c>
      <c r="AU122" s="14">
        <f t="shared" si="482"/>
        <v>-38</v>
      </c>
      <c r="AV122" s="14">
        <f>AV119+AV120-AV121</f>
        <v>-86.199999999999989</v>
      </c>
      <c r="AW122" s="14">
        <f t="shared" ref="AW122:AX122" si="483">AW119+AW120-AW121</f>
        <v>-91.799999999999955</v>
      </c>
      <c r="AX122" s="14">
        <f t="shared" si="483"/>
        <v>-57.100000000000023</v>
      </c>
      <c r="AY122" s="14">
        <f>AY119+AY120-AY121</f>
        <v>-103.89999999999998</v>
      </c>
      <c r="AZ122" s="14">
        <f>AZ119+AZ120-AZ121</f>
        <v>-69.300000000000011</v>
      </c>
      <c r="BA122" s="19">
        <f t="shared" si="469"/>
        <v>-46.499999999999943</v>
      </c>
      <c r="BB122" s="14">
        <f t="shared" ref="BB122" si="484">BB119+BB120-BB121</f>
        <v>-44.700000000000045</v>
      </c>
      <c r="BC122" s="14">
        <f>BC119+BC120-BC121</f>
        <v>-69</v>
      </c>
      <c r="BD122" s="14">
        <f>BD119+BD120-BD121</f>
        <v>-100.30000000000001</v>
      </c>
      <c r="BE122" s="14">
        <f>N122</f>
        <v>-49.399999999999977</v>
      </c>
      <c r="BF122" s="14">
        <f t="shared" ref="BF122" si="485">BF119+BF120-BF121</f>
        <v>49.900000000000034</v>
      </c>
    </row>
    <row r="123" spans="2:58" s="15" customFormat="1">
      <c r="B123" s="28" t="s">
        <v>282</v>
      </c>
      <c r="C123" s="29">
        <f t="shared" ref="C123:G123" si="486">C122/C107</f>
        <v>-8.0089029726874927E-2</v>
      </c>
      <c r="D123" s="29">
        <f t="shared" si="486"/>
        <v>-0.38671102820391456</v>
      </c>
      <c r="E123" s="29">
        <f t="shared" si="486"/>
        <v>-0.27995928956962068</v>
      </c>
      <c r="F123" s="29">
        <f t="shared" si="486"/>
        <v>-0.28276442122114642</v>
      </c>
      <c r="G123" s="29">
        <f t="shared" si="486"/>
        <v>-0.29109327911114335</v>
      </c>
      <c r="H123" s="29">
        <f t="shared" ref="H123:I123" si="487">H122/H107</f>
        <v>-0.25782601007603478</v>
      </c>
      <c r="I123" s="29">
        <f t="shared" si="487"/>
        <v>-0.1762228526812312</v>
      </c>
      <c r="J123" s="29">
        <f t="shared" ref="J123" si="488">J122/J107</f>
        <v>-0.17620087101457058</v>
      </c>
      <c r="K123" s="29">
        <f t="shared" ref="K123:M123" si="489">K122/K107</f>
        <v>-0.16570397111913349</v>
      </c>
      <c r="L123" s="29">
        <f t="shared" ref="L123" si="490">L122/L107</f>
        <v>-0.16460462614308763</v>
      </c>
      <c r="M123" s="29">
        <f t="shared" si="489"/>
        <v>-6.820181871516566E-2</v>
      </c>
      <c r="N123" s="29">
        <f t="shared" ref="N123" si="491">N122/N107</f>
        <v>-6.3390221994097246E-2</v>
      </c>
      <c r="O123" s="29">
        <f>O122/O107</f>
        <v>6.2289352140806442E-2</v>
      </c>
      <c r="P123" s="221"/>
      <c r="Q123" s="29"/>
      <c r="R123" s="29">
        <f t="shared" ref="R123:W123" si="492">R122/R107</f>
        <v>-0.28276442122114642</v>
      </c>
      <c r="S123" s="29">
        <f t="shared" si="492"/>
        <v>-0.39224638482594637</v>
      </c>
      <c r="T123" s="29">
        <f t="shared" si="492"/>
        <v>-0.29109327911114335</v>
      </c>
      <c r="U123" s="29">
        <f t="shared" si="492"/>
        <v>-0.18396051182157963</v>
      </c>
      <c r="V123" s="29">
        <f t="shared" si="492"/>
        <v>-0.25782601007603484</v>
      </c>
      <c r="W123" s="29">
        <f t="shared" si="492"/>
        <v>-0.1590025789110458</v>
      </c>
      <c r="X123" s="29">
        <f t="shared" ref="X123:Y123" si="493">X122/X107</f>
        <v>-0.1762228526812312</v>
      </c>
      <c r="Y123" s="29">
        <f t="shared" si="493"/>
        <v>-7.2956964990256404E-2</v>
      </c>
      <c r="Z123" s="29">
        <f t="shared" ref="Z123:AB123" si="494">Z122/Z107</f>
        <v>-0.16570397111913349</v>
      </c>
      <c r="AA123" s="29">
        <f t="shared" ref="AA123:AD123" si="495">AA122/AA107</f>
        <v>-0.17207684663795955</v>
      </c>
      <c r="AB123" s="29">
        <f t="shared" si="494"/>
        <v>-6.820181871516566E-2</v>
      </c>
      <c r="AC123" s="29">
        <f t="shared" si="495"/>
        <v>-9.4650205761316886E-2</v>
      </c>
      <c r="AD123" s="29">
        <f t="shared" si="495"/>
        <v>-6.3390221994097246E-2</v>
      </c>
      <c r="AE123" s="221"/>
      <c r="AF123" s="141"/>
      <c r="AG123" s="29">
        <f t="shared" ref="AG123:AI123" si="496">AG122/AG107</f>
        <v>-0.28276442122114642</v>
      </c>
      <c r="AH123" s="141"/>
      <c r="AI123" s="29">
        <f t="shared" si="496"/>
        <v>-0.39224638482594626</v>
      </c>
      <c r="AJ123" s="29">
        <f t="shared" ref="AJ123" si="497">AJ122/AJ107</f>
        <v>-0.26275678707874295</v>
      </c>
      <c r="AK123" s="29">
        <f t="shared" ref="AK123:AL123" si="498">AK122/AK107</f>
        <v>-0.29109327911114335</v>
      </c>
      <c r="AL123" s="29">
        <f t="shared" si="498"/>
        <v>-0.23216463810240573</v>
      </c>
      <c r="AM123" s="29">
        <f t="shared" ref="AM123:AP123" si="499">AM122/AM107</f>
        <v>-0.18396051182157963</v>
      </c>
      <c r="AN123" s="29">
        <f t="shared" si="499"/>
        <v>-0.28816676504395916</v>
      </c>
      <c r="AO123" s="29">
        <f t="shared" si="499"/>
        <v>-0.25782601007603478</v>
      </c>
      <c r="AP123" s="29">
        <f t="shared" si="499"/>
        <v>-2.9914778471108721E-2</v>
      </c>
      <c r="AQ123" s="29">
        <f t="shared" ref="AQ123:AT123" si="500">AQ122/AQ107</f>
        <v>-0.15900257891104577</v>
      </c>
      <c r="AR123" s="29">
        <f t="shared" si="500"/>
        <v>-0.17681064469603411</v>
      </c>
      <c r="AS123" s="29">
        <f t="shared" si="500"/>
        <v>-0.1762228526812312</v>
      </c>
      <c r="AT123" s="29">
        <f t="shared" si="500"/>
        <v>-4.3142301251108295E-2</v>
      </c>
      <c r="AU123" s="29">
        <f t="shared" ref="AU123:AX123" si="501">AU122/AU107</f>
        <v>-7.2956964990256418E-2</v>
      </c>
      <c r="AV123" s="29">
        <f t="shared" si="501"/>
        <v>-0.15972812864229238</v>
      </c>
      <c r="AW123" s="29">
        <f t="shared" si="501"/>
        <v>-0.16570397111913349</v>
      </c>
      <c r="AX123" s="29">
        <f t="shared" si="501"/>
        <v>-9.8409590712616443E-2</v>
      </c>
      <c r="AY123" s="29">
        <f>AY122/AY107</f>
        <v>-0.17052355161660918</v>
      </c>
      <c r="AZ123" s="29">
        <f>AZ122/AZ107</f>
        <v>-0.10868883312421582</v>
      </c>
      <c r="BA123" s="29">
        <f t="shared" ref="BA123:BB123" si="502">BA122/BA107</f>
        <v>-6.8171822313443681E-2</v>
      </c>
      <c r="BB123" s="29">
        <f t="shared" si="502"/>
        <v>-6.3260684970280284E-2</v>
      </c>
      <c r="BC123" s="29">
        <f>BC122/BC107</f>
        <v>-9.4650205761316858E-2</v>
      </c>
      <c r="BD123" s="29">
        <f>BD122/BD107</f>
        <v>-0.13218239325250394</v>
      </c>
      <c r="BE123" s="29">
        <f t="shared" ref="BE123:BF123" si="503">BE122/BE107</f>
        <v>-6.3390221994097246E-2</v>
      </c>
      <c r="BF123" s="29">
        <f t="shared" si="503"/>
        <v>6.2289352140806442E-2</v>
      </c>
    </row>
    <row r="124" spans="2:58"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137"/>
      <c r="AH124" s="137"/>
      <c r="AJ124" s="30"/>
      <c r="AL124" s="30"/>
      <c r="AM124" s="30"/>
      <c r="AN124" s="30"/>
      <c r="AP124" s="30"/>
      <c r="AQ124" s="30"/>
      <c r="AR124" s="30"/>
      <c r="AT124" s="30"/>
      <c r="AU124" s="30"/>
      <c r="AV124" s="30"/>
      <c r="AX124" s="30"/>
      <c r="AY124" s="30"/>
      <c r="BB124" s="30"/>
      <c r="BF124" s="30"/>
    </row>
    <row r="125" spans="2:58">
      <c r="B125" s="5" t="s">
        <v>283</v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</row>
    <row r="126" spans="2:58">
      <c r="B126" s="1" t="s">
        <v>284</v>
      </c>
      <c r="C126" s="18">
        <v>82.460999999999999</v>
      </c>
      <c r="D126" s="18">
        <v>136.958</v>
      </c>
      <c r="E126" s="18">
        <v>153.06100000000001</v>
      </c>
      <c r="F126" s="18">
        <v>182.87799999999999</v>
      </c>
      <c r="G126" s="18">
        <v>160.28800000000001</v>
      </c>
      <c r="H126" s="18">
        <f>20.833+13.49</f>
        <v>34.323</v>
      </c>
      <c r="I126" s="18">
        <f>24.73+417.562</f>
        <v>442.29200000000003</v>
      </c>
      <c r="J126" s="18">
        <f>24.73+417.562</f>
        <v>442.29200000000003</v>
      </c>
      <c r="K126" s="18">
        <f>50+18.7</f>
        <v>68.7</v>
      </c>
      <c r="L126" s="18">
        <f>50+18.7</f>
        <v>68.7</v>
      </c>
      <c r="M126" s="18">
        <f>108.7+506.8</f>
        <v>615.5</v>
      </c>
      <c r="N126" s="18">
        <f>72.4+708.4</f>
        <v>780.8</v>
      </c>
      <c r="O126" s="19">
        <f>BF126</f>
        <v>882.5</v>
      </c>
      <c r="P126" s="19"/>
      <c r="Q126" s="19"/>
      <c r="R126" s="19">
        <f>F126</f>
        <v>182.87799999999999</v>
      </c>
      <c r="S126" s="18">
        <v>232.977</v>
      </c>
      <c r="T126" s="19">
        <f>G126</f>
        <v>160.28800000000001</v>
      </c>
      <c r="U126" s="18">
        <v>78.847999999999999</v>
      </c>
      <c r="V126" s="19">
        <f>H126</f>
        <v>34.323</v>
      </c>
      <c r="W126" s="18">
        <f>21.131+19.149</f>
        <v>40.28</v>
      </c>
      <c r="X126" s="19">
        <f>I126</f>
        <v>442.29200000000003</v>
      </c>
      <c r="Y126" s="18">
        <f>30.1+420.5</f>
        <v>450.6</v>
      </c>
      <c r="Z126" s="19">
        <f>K126</f>
        <v>68.7</v>
      </c>
      <c r="AA126" s="18">
        <f>79.4+300.8</f>
        <v>380.20000000000005</v>
      </c>
      <c r="AB126" s="19">
        <f>M126</f>
        <v>615.5</v>
      </c>
      <c r="AC126" s="18">
        <f>105.3+587.9</f>
        <v>693.19999999999993</v>
      </c>
      <c r="AD126" s="19">
        <f>N126</f>
        <v>780.8</v>
      </c>
      <c r="AE126" s="18"/>
      <c r="AF126" s="137"/>
      <c r="AG126" s="19">
        <f>F126</f>
        <v>182.87799999999999</v>
      </c>
      <c r="AH126" s="137"/>
      <c r="AI126" s="19">
        <f>S126</f>
        <v>232.977</v>
      </c>
      <c r="AJ126" s="18">
        <v>218.56</v>
      </c>
      <c r="AK126" s="19">
        <f>G126</f>
        <v>160.28800000000001</v>
      </c>
      <c r="AL126" s="18">
        <v>119.104</v>
      </c>
      <c r="AM126" s="19">
        <f>U126</f>
        <v>78.847999999999999</v>
      </c>
      <c r="AN126" s="18">
        <v>81.387</v>
      </c>
      <c r="AO126" s="19">
        <f>H126</f>
        <v>34.323</v>
      </c>
      <c r="AP126" s="18">
        <f>35.21+138.884</f>
        <v>174.09399999999999</v>
      </c>
      <c r="AQ126" s="19">
        <f>W126</f>
        <v>40.28</v>
      </c>
      <c r="AR126" s="19">
        <f>23.789+11.2</f>
        <v>34.989000000000004</v>
      </c>
      <c r="AS126" s="19">
        <f>I126</f>
        <v>442.29200000000003</v>
      </c>
      <c r="AT126" s="18">
        <f>29.461+418.798</f>
        <v>448.25900000000001</v>
      </c>
      <c r="AU126" s="19">
        <f t="shared" ref="AU126:AU127" si="504">Y126</f>
        <v>450.6</v>
      </c>
      <c r="AV126" s="18">
        <f>42.3+420.2</f>
        <v>462.5</v>
      </c>
      <c r="AW126" s="19">
        <f>K126</f>
        <v>68.7</v>
      </c>
      <c r="AX126" s="18">
        <f>65.8+22.7</f>
        <v>88.5</v>
      </c>
      <c r="AY126" s="19">
        <f>AA126</f>
        <v>380.20000000000005</v>
      </c>
      <c r="AZ126" s="18">
        <f>120.9+307.9</f>
        <v>428.79999999999995</v>
      </c>
      <c r="BA126" s="19">
        <f t="shared" ref="BA126:BA127" si="505">M126</f>
        <v>615.5</v>
      </c>
      <c r="BB126" s="18">
        <f>116.5+835.7</f>
        <v>952.2</v>
      </c>
      <c r="BC126" s="19">
        <f>AC126</f>
        <v>693.19999999999993</v>
      </c>
      <c r="BD126" s="18">
        <f>118.1+884.7</f>
        <v>1002.8000000000001</v>
      </c>
      <c r="BE126" s="19">
        <f>N126</f>
        <v>780.8</v>
      </c>
      <c r="BF126" s="18">
        <f>70.4+812.1</f>
        <v>882.5</v>
      </c>
    </row>
    <row r="127" spans="2:58">
      <c r="B127" s="1" t="s">
        <v>285</v>
      </c>
      <c r="C127" s="18">
        <v>1649.085</v>
      </c>
      <c r="D127" s="18">
        <v>1887.6859999999999</v>
      </c>
      <c r="E127" s="18">
        <v>1978.2809999999999</v>
      </c>
      <c r="F127" s="18">
        <v>2494.9349999999999</v>
      </c>
      <c r="G127" s="18">
        <f>2191.999+1041.971</f>
        <v>3233.97</v>
      </c>
      <c r="H127" s="18">
        <f>1110.471+3368.02</f>
        <v>4478.491</v>
      </c>
      <c r="I127" s="18">
        <f>1868.129+3563.788</f>
        <v>5431.9169999999995</v>
      </c>
      <c r="J127" s="18">
        <f>1868.129+3563.788</f>
        <v>5431.9169999999995</v>
      </c>
      <c r="K127" s="18">
        <f>3328.2+3571.3</f>
        <v>6899.5</v>
      </c>
      <c r="L127" s="18">
        <f>3328.2+3571.3</f>
        <v>6899.5</v>
      </c>
      <c r="M127" s="18">
        <f>3947.7+3536.3</f>
        <v>7484</v>
      </c>
      <c r="N127" s="18">
        <f>4013.5+4434.3</f>
        <v>8447.7999999999993</v>
      </c>
      <c r="O127" s="19">
        <f>BF127</f>
        <v>8494.9</v>
      </c>
      <c r="P127" s="19"/>
      <c r="Q127" s="19"/>
      <c r="R127" s="19">
        <f>F127</f>
        <v>2494.9349999999999</v>
      </c>
      <c r="S127" s="18">
        <v>2577.8670000000002</v>
      </c>
      <c r="T127" s="19">
        <f>G127</f>
        <v>3233.97</v>
      </c>
      <c r="U127" s="18">
        <f>447.01+2539.599</f>
        <v>2986.6090000000004</v>
      </c>
      <c r="V127" s="19">
        <f>H127</f>
        <v>4478.491</v>
      </c>
      <c r="W127" s="18">
        <f>1322.97+3920.292</f>
        <v>5243.2619999999997</v>
      </c>
      <c r="X127" s="19">
        <f>I127</f>
        <v>5431.9169999999995</v>
      </c>
      <c r="Y127" s="18">
        <f>2379.7+3566.2</f>
        <v>5945.9</v>
      </c>
      <c r="Z127" s="19">
        <f>K127</f>
        <v>6899.5</v>
      </c>
      <c r="AA127" s="18">
        <f>4177.1+3374.5</f>
        <v>7551.6</v>
      </c>
      <c r="AB127" s="19">
        <f>M127</f>
        <v>7484</v>
      </c>
      <c r="AC127" s="18">
        <f>3663.4+4178.4</f>
        <v>7841.7999999999993</v>
      </c>
      <c r="AD127" s="19">
        <f>N127</f>
        <v>8447.7999999999993</v>
      </c>
      <c r="AE127" s="18"/>
      <c r="AF127" s="137"/>
      <c r="AG127" s="19">
        <f>F127</f>
        <v>2494.9349999999999</v>
      </c>
      <c r="AH127" s="137"/>
      <c r="AI127" s="19">
        <f>S127</f>
        <v>2577.8670000000002</v>
      </c>
      <c r="AJ127" s="18">
        <v>2677.3270000000002</v>
      </c>
      <c r="AK127" s="19">
        <f>G127</f>
        <v>3233.97</v>
      </c>
      <c r="AL127" s="18">
        <f>1805.015+1543.325</f>
        <v>3348.34</v>
      </c>
      <c r="AM127" s="19">
        <f>U127</f>
        <v>2986.6090000000004</v>
      </c>
      <c r="AN127" s="18">
        <f>1037.73+3385.291</f>
        <v>4423.0210000000006</v>
      </c>
      <c r="AO127" s="19">
        <f>H127</f>
        <v>4478.491</v>
      </c>
      <c r="AP127" s="18">
        <f>1303.546+3918.819</f>
        <v>5222.3649999999998</v>
      </c>
      <c r="AQ127" s="19">
        <f>W127</f>
        <v>5243.2619999999997</v>
      </c>
      <c r="AR127" s="19">
        <f>1713.725+3960.442</f>
        <v>5674.1669999999995</v>
      </c>
      <c r="AS127" s="19">
        <f>I127</f>
        <v>5431.9169999999995</v>
      </c>
      <c r="AT127" s="18">
        <f>2110.217+3564.872</f>
        <v>5675.0889999999999</v>
      </c>
      <c r="AU127" s="19">
        <f t="shared" si="504"/>
        <v>5945.9</v>
      </c>
      <c r="AV127" s="18">
        <f>2756.3+3567.4</f>
        <v>6323.7000000000007</v>
      </c>
      <c r="AW127" s="19">
        <f>K127</f>
        <v>6899.5</v>
      </c>
      <c r="AX127" s="18">
        <f>3502.7+4066.3</f>
        <v>7569</v>
      </c>
      <c r="AY127" s="19">
        <f>AA127</f>
        <v>7551.6</v>
      </c>
      <c r="AZ127" s="18">
        <f>4332.2+3375.2</f>
        <v>7707.4</v>
      </c>
      <c r="BA127" s="19">
        <f t="shared" si="505"/>
        <v>7484</v>
      </c>
      <c r="BB127" s="18">
        <f>4117.9+4176.6</f>
        <v>8294.5</v>
      </c>
      <c r="BC127" s="19">
        <f>AC127</f>
        <v>7841.7999999999993</v>
      </c>
      <c r="BD127" s="18">
        <f>4128.4+3905.8</f>
        <v>8034.2</v>
      </c>
      <c r="BE127" s="19">
        <f>N127</f>
        <v>8447.7999999999993</v>
      </c>
      <c r="BF127" s="18">
        <f>4276.9+4218</f>
        <v>8494.9</v>
      </c>
    </row>
    <row r="128" spans="2:58">
      <c r="B128" s="5" t="s">
        <v>286</v>
      </c>
      <c r="C128" s="14">
        <f t="shared" ref="C128" si="506">C127+C126</f>
        <v>1731.546</v>
      </c>
      <c r="D128" s="14">
        <f t="shared" ref="D128" si="507">D127+D126</f>
        <v>2024.644</v>
      </c>
      <c r="E128" s="14">
        <f t="shared" ref="E128:K128" si="508">E127+E126</f>
        <v>2131.3420000000001</v>
      </c>
      <c r="F128" s="14">
        <f t="shared" si="508"/>
        <v>2677.8130000000001</v>
      </c>
      <c r="G128" s="14">
        <f t="shared" si="508"/>
        <v>3394.2579999999998</v>
      </c>
      <c r="H128" s="14">
        <f t="shared" si="508"/>
        <v>4512.8140000000003</v>
      </c>
      <c r="I128" s="14">
        <f t="shared" si="508"/>
        <v>5874.2089999999998</v>
      </c>
      <c r="J128" s="14">
        <f t="shared" si="508"/>
        <v>5874.2089999999998</v>
      </c>
      <c r="K128" s="14">
        <f t="shared" si="508"/>
        <v>6968.2</v>
      </c>
      <c r="L128" s="14">
        <f t="shared" ref="L128" si="509">L127+L126</f>
        <v>6968.2</v>
      </c>
      <c r="M128" s="14">
        <f t="shared" ref="M128:N128" si="510">M127+M126</f>
        <v>8099.5</v>
      </c>
      <c r="N128" s="14">
        <f t="shared" si="510"/>
        <v>9228.5999999999985</v>
      </c>
      <c r="O128" s="14">
        <f>O127+O126</f>
        <v>9377.4</v>
      </c>
      <c r="P128" s="14"/>
      <c r="Q128" s="14"/>
      <c r="R128" s="14">
        <f t="shared" ref="R128:T128" si="511">R127+R126</f>
        <v>2677.8130000000001</v>
      </c>
      <c r="S128" s="14">
        <f>S127+S126</f>
        <v>2810.8440000000001</v>
      </c>
      <c r="T128" s="14">
        <f t="shared" si="511"/>
        <v>3394.2579999999998</v>
      </c>
      <c r="U128" s="14">
        <f>U127+U126</f>
        <v>3065.4570000000003</v>
      </c>
      <c r="V128" s="14">
        <f t="shared" ref="V128:W128" si="512">V127+V126</f>
        <v>4512.8140000000003</v>
      </c>
      <c r="W128" s="14">
        <f t="shared" si="512"/>
        <v>5283.5419999999995</v>
      </c>
      <c r="X128" s="14">
        <f t="shared" ref="X128:Y128" si="513">X127+X126</f>
        <v>5874.2089999999998</v>
      </c>
      <c r="Y128" s="14">
        <f t="shared" si="513"/>
        <v>6396.5</v>
      </c>
      <c r="Z128" s="14">
        <f t="shared" ref="Z128:AC128" si="514">Z127+Z126</f>
        <v>6968.2</v>
      </c>
      <c r="AA128" s="14">
        <f t="shared" ref="AA128" si="515">AA127+AA126</f>
        <v>7931.8</v>
      </c>
      <c r="AB128" s="14">
        <f t="shared" si="514"/>
        <v>8099.5</v>
      </c>
      <c r="AC128" s="14">
        <f t="shared" si="514"/>
        <v>8535</v>
      </c>
      <c r="AD128" s="14">
        <f t="shared" ref="AD128" si="516">AD127+AD126</f>
        <v>9228.5999999999985</v>
      </c>
      <c r="AE128" s="14"/>
      <c r="AF128" s="137"/>
      <c r="AG128" s="14">
        <f>AG127+AG126</f>
        <v>2677.8130000000001</v>
      </c>
      <c r="AH128" s="137"/>
      <c r="AI128" s="14">
        <f t="shared" ref="AI128:AN128" si="517">AI127+AI126</f>
        <v>2810.8440000000001</v>
      </c>
      <c r="AJ128" s="14">
        <f t="shared" si="517"/>
        <v>2895.8870000000002</v>
      </c>
      <c r="AK128" s="14">
        <f t="shared" si="517"/>
        <v>3394.2579999999998</v>
      </c>
      <c r="AL128" s="14">
        <f t="shared" si="517"/>
        <v>3467.444</v>
      </c>
      <c r="AM128" s="14">
        <f t="shared" si="517"/>
        <v>3065.4570000000003</v>
      </c>
      <c r="AN128" s="14">
        <f t="shared" si="517"/>
        <v>4504.4080000000004</v>
      </c>
      <c r="AO128" s="14">
        <f t="shared" ref="AO128:AQ128" si="518">AO127+AO126</f>
        <v>4512.8140000000003</v>
      </c>
      <c r="AP128" s="14">
        <f t="shared" si="518"/>
        <v>5396.4589999999998</v>
      </c>
      <c r="AQ128" s="14">
        <f t="shared" si="518"/>
        <v>5283.5419999999995</v>
      </c>
      <c r="AR128" s="14">
        <f>AR127+AR126</f>
        <v>5709.155999999999</v>
      </c>
      <c r="AS128" s="14">
        <f t="shared" ref="AS128:AU128" si="519">AS127+AS126</f>
        <v>5874.2089999999998</v>
      </c>
      <c r="AT128" s="14">
        <f t="shared" si="519"/>
        <v>6123.348</v>
      </c>
      <c r="AU128" s="14">
        <f t="shared" si="519"/>
        <v>6396.5</v>
      </c>
      <c r="AV128" s="14">
        <f>AV127+AV126</f>
        <v>6786.2000000000007</v>
      </c>
      <c r="AW128" s="14">
        <f t="shared" ref="AW128" si="520">AW127+AW126</f>
        <v>6968.2</v>
      </c>
      <c r="AX128" s="14">
        <f>AX127+AX126</f>
        <v>7657.5</v>
      </c>
      <c r="AY128" s="14">
        <f>AY127+AY126</f>
        <v>7931.8</v>
      </c>
      <c r="AZ128" s="14">
        <f>AZ127+AZ126</f>
        <v>8136.2</v>
      </c>
      <c r="BA128" s="14">
        <f t="shared" ref="BA128:BC128" si="521">BA127+BA126</f>
        <v>8099.5</v>
      </c>
      <c r="BB128" s="14">
        <f t="shared" si="521"/>
        <v>9246.7000000000007</v>
      </c>
      <c r="BC128" s="14">
        <f t="shared" si="521"/>
        <v>8535</v>
      </c>
      <c r="BD128" s="14">
        <f>BD127+BD126</f>
        <v>9037</v>
      </c>
      <c r="BE128" s="14">
        <f t="shared" ref="BE128:BF128" si="522">BE127+BE126</f>
        <v>9228.5999999999985</v>
      </c>
      <c r="BF128" s="14">
        <f t="shared" si="522"/>
        <v>9377.4</v>
      </c>
    </row>
    <row r="129" spans="2:58"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137"/>
      <c r="AH129" s="137"/>
      <c r="AJ129" s="30"/>
      <c r="AL129" s="30"/>
      <c r="AM129" s="30"/>
      <c r="AN129" s="30"/>
      <c r="AP129" s="30"/>
      <c r="AQ129" s="30"/>
      <c r="AR129" s="30"/>
      <c r="AT129" s="30"/>
      <c r="AU129" s="30"/>
      <c r="AV129" s="30"/>
      <c r="AX129" s="30"/>
      <c r="AY129" s="30"/>
      <c r="BB129" s="30"/>
      <c r="BF129" s="30"/>
    </row>
    <row r="130" spans="2:58">
      <c r="B130" s="1" t="s">
        <v>12</v>
      </c>
      <c r="C130" s="18">
        <v>64.417000000000002</v>
      </c>
      <c r="D130" s="18">
        <v>25.484999999999999</v>
      </c>
      <c r="E130" s="18">
        <v>46.283999999999999</v>
      </c>
      <c r="F130" s="18">
        <v>63.820999999999998</v>
      </c>
      <c r="G130" s="18">
        <v>419.14100000000002</v>
      </c>
      <c r="H130" s="18">
        <v>892.81600000000003</v>
      </c>
      <c r="I130" s="18">
        <v>660.63099999999997</v>
      </c>
      <c r="J130" s="18">
        <v>660.63099999999997</v>
      </c>
      <c r="K130" s="18">
        <v>690.6</v>
      </c>
      <c r="L130" s="18">
        <v>690.6</v>
      </c>
      <c r="M130" s="18">
        <v>855.4</v>
      </c>
      <c r="N130" s="18">
        <v>708.4</v>
      </c>
      <c r="O130" s="19">
        <f>BF130</f>
        <v>633</v>
      </c>
      <c r="P130" s="19"/>
      <c r="Q130" s="19"/>
      <c r="R130" s="19">
        <f>F130</f>
        <v>63.820999999999998</v>
      </c>
      <c r="S130" s="18">
        <v>78.691999999999993</v>
      </c>
      <c r="T130" s="19">
        <f>G130</f>
        <v>419.14100000000002</v>
      </c>
      <c r="U130" s="18">
        <v>487.51100000000002</v>
      </c>
      <c r="V130" s="19">
        <f>H130</f>
        <v>892.81600000000003</v>
      </c>
      <c r="W130" s="18">
        <v>640.26199999999994</v>
      </c>
      <c r="X130" s="19">
        <f>I130</f>
        <v>660.63099999999997</v>
      </c>
      <c r="Y130" s="18">
        <v>687.6</v>
      </c>
      <c r="Z130" s="19">
        <f>K130</f>
        <v>690.6</v>
      </c>
      <c r="AA130" s="18">
        <v>1101.4000000000001</v>
      </c>
      <c r="AB130" s="19">
        <f>M130</f>
        <v>855.4</v>
      </c>
      <c r="AC130" s="18">
        <v>848.4</v>
      </c>
      <c r="AD130" s="19">
        <f>N130</f>
        <v>708.4</v>
      </c>
      <c r="AE130" s="18"/>
      <c r="AF130" s="137"/>
      <c r="AG130" s="19">
        <f>F130</f>
        <v>63.820999999999998</v>
      </c>
      <c r="AH130" s="137"/>
      <c r="AI130" s="19">
        <f>S130</f>
        <v>78.691999999999993</v>
      </c>
      <c r="AJ130" s="18">
        <v>64.936000000000007</v>
      </c>
      <c r="AK130" s="19">
        <f>G130</f>
        <v>419.14100000000002</v>
      </c>
      <c r="AL130" s="18">
        <v>1148.002</v>
      </c>
      <c r="AM130" s="19">
        <f>U130</f>
        <v>487.51100000000002</v>
      </c>
      <c r="AN130" s="18">
        <v>1389.664</v>
      </c>
      <c r="AO130" s="19">
        <f>H130</f>
        <v>892.81600000000003</v>
      </c>
      <c r="AP130" s="18">
        <v>1145.1780000000001</v>
      </c>
      <c r="AQ130" s="19">
        <f>W130</f>
        <v>640.26199999999994</v>
      </c>
      <c r="AR130" s="19">
        <v>747.52800000000002</v>
      </c>
      <c r="AS130" s="19">
        <f>I130</f>
        <v>660.63099999999997</v>
      </c>
      <c r="AT130" s="18">
        <v>612.01</v>
      </c>
      <c r="AU130" s="19">
        <f>Y130</f>
        <v>687.6</v>
      </c>
      <c r="AV130" s="18">
        <v>868.5</v>
      </c>
      <c r="AW130" s="19">
        <f>K130</f>
        <v>690.6</v>
      </c>
      <c r="AX130" s="18">
        <v>1232.2</v>
      </c>
      <c r="AY130" s="19">
        <f>AA130</f>
        <v>1101.4000000000001</v>
      </c>
      <c r="AZ130" s="18">
        <v>1285.4000000000001</v>
      </c>
      <c r="BA130" s="19">
        <f>M130</f>
        <v>855.4</v>
      </c>
      <c r="BB130" s="18">
        <v>1846.5</v>
      </c>
      <c r="BC130" s="19">
        <f>AC130</f>
        <v>848.4</v>
      </c>
      <c r="BD130" s="18">
        <v>1052.2</v>
      </c>
      <c r="BE130" s="19">
        <f>N130</f>
        <v>708.4</v>
      </c>
      <c r="BF130" s="18">
        <v>633</v>
      </c>
    </row>
    <row r="131" spans="2:58" s="60" customFormat="1">
      <c r="B131" s="1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2:58">
      <c r="B132" s="1" t="s">
        <v>287</v>
      </c>
      <c r="C132" s="14">
        <f t="shared" ref="C132:G132" si="523">C128-C130</f>
        <v>1667.1290000000001</v>
      </c>
      <c r="D132" s="14">
        <f t="shared" si="523"/>
        <v>1999.1590000000001</v>
      </c>
      <c r="E132" s="14">
        <f t="shared" si="523"/>
        <v>2085.058</v>
      </c>
      <c r="F132" s="14">
        <f t="shared" si="523"/>
        <v>2613.9920000000002</v>
      </c>
      <c r="G132" s="14">
        <f t="shared" si="523"/>
        <v>2975.1169999999997</v>
      </c>
      <c r="H132" s="14">
        <f t="shared" ref="H132:I132" si="524">H128-H130</f>
        <v>3619.9980000000005</v>
      </c>
      <c r="I132" s="14">
        <f t="shared" si="524"/>
        <v>5213.5779999999995</v>
      </c>
      <c r="J132" s="14">
        <f t="shared" ref="J132" si="525">J128-J130</f>
        <v>5213.5779999999995</v>
      </c>
      <c r="K132" s="14">
        <f t="shared" ref="K132:M132" si="526">K128-K130</f>
        <v>6277.5999999999995</v>
      </c>
      <c r="L132" s="14">
        <f t="shared" ref="L132" si="527">L128-L130</f>
        <v>6277.5999999999995</v>
      </c>
      <c r="M132" s="14">
        <f t="shared" si="526"/>
        <v>7244.1</v>
      </c>
      <c r="N132" s="14">
        <f t="shared" ref="N132" si="528">N128-N130</f>
        <v>8520.1999999999989</v>
      </c>
      <c r="O132" s="14">
        <f>O128-O130</f>
        <v>8744.4</v>
      </c>
      <c r="P132" s="14"/>
      <c r="Q132" s="14"/>
      <c r="R132" s="14">
        <f t="shared" ref="R132:W132" si="529">R128-R130</f>
        <v>2613.9920000000002</v>
      </c>
      <c r="S132" s="14">
        <f t="shared" si="529"/>
        <v>2732.152</v>
      </c>
      <c r="T132" s="14">
        <f t="shared" si="529"/>
        <v>2975.1169999999997</v>
      </c>
      <c r="U132" s="14">
        <f t="shared" si="529"/>
        <v>2577.9460000000004</v>
      </c>
      <c r="V132" s="14">
        <f t="shared" si="529"/>
        <v>3619.9980000000005</v>
      </c>
      <c r="W132" s="14">
        <f t="shared" si="529"/>
        <v>4643.28</v>
      </c>
      <c r="X132" s="14">
        <f t="shared" ref="X132:Y132" si="530">X128-X130</f>
        <v>5213.5779999999995</v>
      </c>
      <c r="Y132" s="14">
        <f t="shared" si="530"/>
        <v>5708.9</v>
      </c>
      <c r="Z132" s="14">
        <f t="shared" ref="Z132:AC132" si="531">Z128-Z130</f>
        <v>6277.5999999999995</v>
      </c>
      <c r="AA132" s="14">
        <f t="shared" ref="AA132" si="532">AA128-AA130</f>
        <v>6830.4</v>
      </c>
      <c r="AB132" s="14">
        <f t="shared" si="531"/>
        <v>7244.1</v>
      </c>
      <c r="AC132" s="14">
        <f t="shared" si="531"/>
        <v>7686.6</v>
      </c>
      <c r="AD132" s="14">
        <f t="shared" ref="AD132" si="533">AD128-AD130</f>
        <v>8520.1999999999989</v>
      </c>
      <c r="AE132" s="14"/>
      <c r="AF132" s="137"/>
      <c r="AG132" s="14">
        <f t="shared" ref="AG132:AI132" si="534">AG128-AG130</f>
        <v>2613.9920000000002</v>
      </c>
      <c r="AH132" s="137"/>
      <c r="AI132" s="14">
        <f t="shared" si="534"/>
        <v>2732.152</v>
      </c>
      <c r="AJ132" s="14">
        <f t="shared" ref="AJ132" si="535">AJ128-AJ130</f>
        <v>2830.951</v>
      </c>
      <c r="AK132" s="14">
        <f t="shared" ref="AK132:AL132" si="536">AK128-AK130</f>
        <v>2975.1169999999997</v>
      </c>
      <c r="AL132" s="14">
        <f t="shared" si="536"/>
        <v>2319.442</v>
      </c>
      <c r="AM132" s="14">
        <f t="shared" ref="AM132:AR132" si="537">AM128-AM130</f>
        <v>2577.9460000000004</v>
      </c>
      <c r="AN132" s="14">
        <f t="shared" si="537"/>
        <v>3114.7440000000006</v>
      </c>
      <c r="AO132" s="14">
        <f t="shared" si="537"/>
        <v>3619.9980000000005</v>
      </c>
      <c r="AP132" s="14">
        <f t="shared" si="537"/>
        <v>4251.2809999999999</v>
      </c>
      <c r="AQ132" s="14">
        <f t="shared" si="537"/>
        <v>4643.28</v>
      </c>
      <c r="AR132" s="14">
        <f t="shared" si="537"/>
        <v>4961.6279999999988</v>
      </c>
      <c r="AS132" s="14">
        <f t="shared" ref="AS132:AU132" si="538">AS128-AS130</f>
        <v>5213.5779999999995</v>
      </c>
      <c r="AT132" s="14">
        <f t="shared" si="538"/>
        <v>5511.3379999999997</v>
      </c>
      <c r="AU132" s="14">
        <f t="shared" si="538"/>
        <v>5708.9</v>
      </c>
      <c r="AV132" s="14">
        <f>AV128-AV130</f>
        <v>5917.7000000000007</v>
      </c>
      <c r="AW132" s="14">
        <f t="shared" ref="AW132" si="539">AW128-AW130</f>
        <v>6277.5999999999995</v>
      </c>
      <c r="AX132" s="14">
        <f>AX128-AX130</f>
        <v>6425.3</v>
      </c>
      <c r="AY132" s="14">
        <f>AY128-AY130</f>
        <v>6830.4</v>
      </c>
      <c r="AZ132" s="14">
        <f>AZ128-AZ130</f>
        <v>6850.7999999999993</v>
      </c>
      <c r="BA132" s="14">
        <f t="shared" ref="BA132:BC132" si="540">BA128-BA130</f>
        <v>7244.1</v>
      </c>
      <c r="BB132" s="14">
        <f t="shared" si="540"/>
        <v>7400.2000000000007</v>
      </c>
      <c r="BC132" s="14">
        <f t="shared" si="540"/>
        <v>7686.6</v>
      </c>
      <c r="BD132" s="14">
        <f>BD128-BD130</f>
        <v>7984.8</v>
      </c>
      <c r="BE132" s="14">
        <f t="shared" ref="BE132:BF132" si="541">BE128-BE130</f>
        <v>8520.1999999999989</v>
      </c>
      <c r="BF132" s="14">
        <f t="shared" si="541"/>
        <v>8744.4</v>
      </c>
    </row>
    <row r="133" spans="2:58"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137"/>
      <c r="AH133" s="137"/>
      <c r="AJ133" s="30"/>
      <c r="AL133" s="30"/>
      <c r="AM133" s="30"/>
      <c r="AN133" s="30"/>
      <c r="AP133" s="30"/>
      <c r="AQ133" s="30"/>
      <c r="AR133" s="30"/>
      <c r="AT133" s="30"/>
      <c r="AU133" s="30"/>
      <c r="AV133" s="30"/>
      <c r="AX133" s="30"/>
      <c r="AY133" s="30"/>
      <c r="BB133" s="30"/>
      <c r="BF133" s="30"/>
    </row>
    <row r="134" spans="2:58">
      <c r="B134" s="1" t="s">
        <v>288</v>
      </c>
      <c r="C134" s="18">
        <v>1434.2329999999999</v>
      </c>
      <c r="D134" s="18">
        <v>1727.981</v>
      </c>
      <c r="E134" s="18">
        <v>953.07899999999995</v>
      </c>
      <c r="F134" s="18">
        <v>2042.848</v>
      </c>
      <c r="G134" s="18">
        <v>2264.2330000000002</v>
      </c>
      <c r="H134" s="18">
        <v>4106.83</v>
      </c>
      <c r="I134" s="18">
        <v>5284.5169999999998</v>
      </c>
      <c r="J134" s="18">
        <v>5421</v>
      </c>
      <c r="K134" s="18">
        <v>6166.9</v>
      </c>
      <c r="L134" s="18">
        <v>6166.9</v>
      </c>
      <c r="M134" s="18">
        <v>7351.2</v>
      </c>
      <c r="N134" s="18">
        <v>8462.2000000000007</v>
      </c>
      <c r="O134" s="19">
        <f>BF134</f>
        <v>8679.7999999999993</v>
      </c>
      <c r="P134" s="19"/>
      <c r="Q134" s="18"/>
      <c r="R134" s="19">
        <f>F134</f>
        <v>2042.848</v>
      </c>
      <c r="S134" s="18">
        <v>2109.1550000000002</v>
      </c>
      <c r="T134" s="19">
        <f>G134</f>
        <v>2264.2330000000002</v>
      </c>
      <c r="U134" s="18">
        <v>3272.422</v>
      </c>
      <c r="V134" s="19">
        <f>H134</f>
        <v>4106.83</v>
      </c>
      <c r="W134" s="18">
        <v>4935.7110000000002</v>
      </c>
      <c r="X134" s="19">
        <f>I134</f>
        <v>5284.5169999999998</v>
      </c>
      <c r="Y134" s="18">
        <v>5681.8</v>
      </c>
      <c r="Z134" s="19">
        <f>K134</f>
        <v>6166.9</v>
      </c>
      <c r="AA134" s="18">
        <v>6681</v>
      </c>
      <c r="AB134" s="19">
        <f>M134</f>
        <v>7351.2</v>
      </c>
      <c r="AC134" s="18">
        <v>7989</v>
      </c>
      <c r="AD134" s="19">
        <f>N134</f>
        <v>8462.2000000000007</v>
      </c>
      <c r="AE134" s="18"/>
      <c r="AF134" s="137"/>
      <c r="AG134" s="19">
        <f>F134</f>
        <v>2042.848</v>
      </c>
      <c r="AH134" s="137"/>
      <c r="AI134" s="19">
        <f>S134</f>
        <v>2109.1550000000002</v>
      </c>
      <c r="AJ134" s="18">
        <v>2173.721</v>
      </c>
      <c r="AK134" s="19">
        <f>G134</f>
        <v>2264.2330000000002</v>
      </c>
      <c r="AL134" s="18">
        <v>3181.489</v>
      </c>
      <c r="AM134" s="19">
        <f>U134</f>
        <v>3272.422</v>
      </c>
      <c r="AN134" s="18">
        <v>3396.8380000000002</v>
      </c>
      <c r="AO134" s="19">
        <f>H134</f>
        <v>4106.83</v>
      </c>
      <c r="AP134" s="18">
        <v>4567.884</v>
      </c>
      <c r="AQ134" s="19">
        <f>W134</f>
        <v>4935.7110000000002</v>
      </c>
      <c r="AR134" s="19">
        <v>5096.3779999999997</v>
      </c>
      <c r="AS134" s="19">
        <f>I134</f>
        <v>5284.5169999999998</v>
      </c>
      <c r="AT134" s="18">
        <v>5508.5969999999998</v>
      </c>
      <c r="AU134" s="19">
        <f>Y134</f>
        <v>5681.8</v>
      </c>
      <c r="AV134" s="18">
        <v>5915.5</v>
      </c>
      <c r="AW134" s="19">
        <f>K134</f>
        <v>6166.9</v>
      </c>
      <c r="AX134" s="18">
        <v>6389.2</v>
      </c>
      <c r="AY134" s="19">
        <f>AA134</f>
        <v>6681</v>
      </c>
      <c r="AZ134" s="18">
        <v>7056.6</v>
      </c>
      <c r="BA134" s="19">
        <f>M134</f>
        <v>7351.2</v>
      </c>
      <c r="BB134" s="18">
        <v>7596.9</v>
      </c>
      <c r="BC134" s="19">
        <f>AC134</f>
        <v>7989</v>
      </c>
      <c r="BD134" s="18">
        <v>8243.9</v>
      </c>
      <c r="BE134" s="19">
        <f>N134</f>
        <v>8462.2000000000007</v>
      </c>
      <c r="BF134" s="18">
        <v>8679.7999999999993</v>
      </c>
    </row>
    <row r="135" spans="2:58" s="5" customFormat="1">
      <c r="B135" s="5" t="s">
        <v>289</v>
      </c>
      <c r="C135" s="309">
        <f t="shared" ref="C135:G135" si="542">C134+C128</f>
        <v>3165.779</v>
      </c>
      <c r="D135" s="309">
        <f t="shared" si="542"/>
        <v>3752.625</v>
      </c>
      <c r="E135" s="309">
        <f t="shared" si="542"/>
        <v>3084.4210000000003</v>
      </c>
      <c r="F135" s="309">
        <f t="shared" si="542"/>
        <v>4720.6610000000001</v>
      </c>
      <c r="G135" s="309">
        <f t="shared" si="542"/>
        <v>5658.491</v>
      </c>
      <c r="H135" s="309">
        <f t="shared" ref="H135" si="543">H134+H128</f>
        <v>8619.6440000000002</v>
      </c>
      <c r="I135" s="309">
        <f t="shared" ref="I135:J135" si="544">I134+I128</f>
        <v>11158.725999999999</v>
      </c>
      <c r="J135" s="309">
        <f t="shared" si="544"/>
        <v>11295.208999999999</v>
      </c>
      <c r="K135" s="309">
        <f t="shared" ref="K135:M135" si="545">K134+K128</f>
        <v>13135.099999999999</v>
      </c>
      <c r="L135" s="310">
        <f t="shared" ref="L135" si="546">L134+L128</f>
        <v>13135.099999999999</v>
      </c>
      <c r="M135" s="310">
        <f t="shared" si="545"/>
        <v>15450.7</v>
      </c>
      <c r="N135" s="310">
        <f t="shared" ref="N135" si="547">N134+N128</f>
        <v>17690.8</v>
      </c>
      <c r="O135" s="310">
        <f>O134+O128</f>
        <v>18057.199999999997</v>
      </c>
      <c r="P135" s="249"/>
      <c r="Q135" s="310"/>
      <c r="R135" s="310">
        <f t="shared" ref="R135:W135" si="548">R134+R128</f>
        <v>4720.6610000000001</v>
      </c>
      <c r="S135" s="310">
        <f t="shared" si="548"/>
        <v>4919.9989999999998</v>
      </c>
      <c r="T135" s="310">
        <f t="shared" si="548"/>
        <v>5658.491</v>
      </c>
      <c r="U135" s="310">
        <f t="shared" si="548"/>
        <v>6337.8790000000008</v>
      </c>
      <c r="V135" s="310">
        <f t="shared" si="548"/>
        <v>8619.6440000000002</v>
      </c>
      <c r="W135" s="310">
        <f t="shared" si="548"/>
        <v>10219.253000000001</v>
      </c>
      <c r="X135" s="310">
        <f t="shared" ref="X135:Y135" si="549">X134+X128</f>
        <v>11158.725999999999</v>
      </c>
      <c r="Y135" s="310">
        <f t="shared" si="549"/>
        <v>12078.3</v>
      </c>
      <c r="Z135" s="310">
        <f t="shared" ref="Z135:AC135" si="550">Z134+Z128</f>
        <v>13135.099999999999</v>
      </c>
      <c r="AA135" s="310">
        <f t="shared" ref="AA135" si="551">AA134+AA128</f>
        <v>14612.8</v>
      </c>
      <c r="AB135" s="310">
        <f t="shared" si="550"/>
        <v>15450.7</v>
      </c>
      <c r="AC135" s="310">
        <f t="shared" si="550"/>
        <v>16524</v>
      </c>
      <c r="AD135" s="310">
        <f t="shared" ref="AD135" si="552">AD134+AD128</f>
        <v>17690.8</v>
      </c>
      <c r="AE135" s="249"/>
      <c r="AF135" s="311"/>
      <c r="AG135" s="310">
        <f t="shared" ref="AG135" si="553">AG134+AG128</f>
        <v>4720.6610000000001</v>
      </c>
      <c r="AH135" s="311"/>
      <c r="AI135" s="312">
        <f>S135</f>
        <v>4919.9989999999998</v>
      </c>
      <c r="AJ135" s="310">
        <f t="shared" ref="AJ135" si="554">AJ134+AJ128</f>
        <v>5069.6080000000002</v>
      </c>
      <c r="AK135" s="310">
        <f t="shared" ref="AK135:AL135" si="555">AK134+AK128</f>
        <v>5658.491</v>
      </c>
      <c r="AL135" s="310">
        <f t="shared" si="555"/>
        <v>6648.933</v>
      </c>
      <c r="AM135" s="310">
        <f t="shared" ref="AM135:AR135" si="556">AM134+AM128</f>
        <v>6337.8790000000008</v>
      </c>
      <c r="AN135" s="310">
        <f t="shared" si="556"/>
        <v>7901.246000000001</v>
      </c>
      <c r="AO135" s="310">
        <f t="shared" si="556"/>
        <v>8619.6440000000002</v>
      </c>
      <c r="AP135" s="310">
        <f t="shared" si="556"/>
        <v>9964.3430000000008</v>
      </c>
      <c r="AQ135" s="310">
        <f t="shared" si="556"/>
        <v>10219.253000000001</v>
      </c>
      <c r="AR135" s="310">
        <f t="shared" si="556"/>
        <v>10805.534</v>
      </c>
      <c r="AS135" s="310">
        <f t="shared" ref="AS135:AU135" si="557">AS134+AS128</f>
        <v>11158.725999999999</v>
      </c>
      <c r="AT135" s="310">
        <f t="shared" si="557"/>
        <v>11631.945</v>
      </c>
      <c r="AU135" s="310">
        <f t="shared" si="557"/>
        <v>12078.3</v>
      </c>
      <c r="AV135" s="310">
        <f>AV134+AV128</f>
        <v>12701.7</v>
      </c>
      <c r="AW135" s="310">
        <f>AW134+AW128</f>
        <v>13135.099999999999</v>
      </c>
      <c r="AX135" s="310">
        <f t="shared" ref="AX135" si="558">AX134+AX128</f>
        <v>14046.7</v>
      </c>
      <c r="AY135" s="310">
        <f>AY134+AY128</f>
        <v>14612.8</v>
      </c>
      <c r="AZ135" s="310">
        <f>AZ134+AZ128</f>
        <v>15192.8</v>
      </c>
      <c r="BA135" s="310">
        <f>BA134+BA128</f>
        <v>15450.7</v>
      </c>
      <c r="BB135" s="310">
        <f t="shared" ref="BB135:BC135" si="559">BB134+BB128</f>
        <v>16843.599999999999</v>
      </c>
      <c r="BC135" s="310">
        <f t="shared" si="559"/>
        <v>16524</v>
      </c>
      <c r="BD135" s="310">
        <f>BD134+BD128</f>
        <v>17280.900000000001</v>
      </c>
      <c r="BE135" s="310">
        <f>BE134+BE128</f>
        <v>17690.8</v>
      </c>
      <c r="BF135" s="310">
        <f t="shared" ref="BF135" si="560">BF134+BF128</f>
        <v>18057.199999999997</v>
      </c>
    </row>
    <row r="137" spans="2:58">
      <c r="B137" s="10" t="s">
        <v>290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</row>
    <row r="138" spans="2:58">
      <c r="B138" s="5"/>
    </row>
    <row r="139" spans="2:58" s="5" customFormat="1">
      <c r="B139" s="5" t="s">
        <v>291</v>
      </c>
      <c r="C139" s="61">
        <f t="shared" ref="C139:I139" si="561">IF(C132&lt;0,"net cash",C132/C110)</f>
        <v>10.106262124151309</v>
      </c>
      <c r="D139" s="61">
        <f t="shared" si="561"/>
        <v>10.748917935124497</v>
      </c>
      <c r="E139" s="61">
        <f t="shared" si="561"/>
        <v>10.261112204724411</v>
      </c>
      <c r="F139" s="61">
        <f t="shared" si="561"/>
        <v>12.186442890442891</v>
      </c>
      <c r="G139" s="61">
        <f t="shared" si="561"/>
        <v>12.495241495170095</v>
      </c>
      <c r="H139" s="61">
        <f t="shared" si="561"/>
        <v>12.715846341908927</v>
      </c>
      <c r="I139" s="61">
        <f t="shared" si="561"/>
        <v>14.051483152487371</v>
      </c>
      <c r="J139" s="61">
        <f t="shared" ref="J139" si="562">IF(J132&lt;0,"net cash",J132/J110)</f>
        <v>14.443004521076187</v>
      </c>
      <c r="K139" s="61">
        <f t="shared" ref="K139:M139" si="563">IF(K132&lt;0,"net cash",K132/K110)</f>
        <v>13.712538226299694</v>
      </c>
      <c r="L139" s="61">
        <f t="shared" ref="L139" si="564">IF(L132&lt;0,"net cash",L132/L110)</f>
        <v>13.280304632959593</v>
      </c>
      <c r="M139" s="61">
        <f t="shared" si="563"/>
        <v>11.993543046357617</v>
      </c>
      <c r="N139" s="61">
        <f t="shared" ref="N139" si="565">IF(N132&lt;0,"net cash",N132/N110)</f>
        <v>12.150884198516826</v>
      </c>
      <c r="O139" s="61">
        <f>IF(O132&lt;0,"net cash",O132/O110)</f>
        <v>12.172048997772826</v>
      </c>
      <c r="P139" s="31"/>
      <c r="Q139" s="61"/>
      <c r="R139" s="61">
        <f>IF(R132&lt;0,"net cash",R132/R110)</f>
        <v>12.186442890442891</v>
      </c>
      <c r="S139" s="61">
        <f>IF(S132&lt;0,"net cash",S132/S110)</f>
        <v>11.346146179401993</v>
      </c>
      <c r="T139" s="61">
        <f>IF(T132&lt;0,"net casG",T132/T110)</f>
        <v>12.495241495170095</v>
      </c>
      <c r="U139" s="61">
        <f>IF(U132&lt;0,"net cash",U132/U110)</f>
        <v>9.6236542280756794</v>
      </c>
      <c r="V139" s="61">
        <f t="shared" ref="V139:AC139" si="566">IF(V132&lt;0,"net casG",V132/V110)</f>
        <v>12.715846341908927</v>
      </c>
      <c r="W139" s="61">
        <f t="shared" si="566"/>
        <v>15.369195937984086</v>
      </c>
      <c r="X139" s="61">
        <f t="shared" si="566"/>
        <v>14.051483152487371</v>
      </c>
      <c r="Y139" s="61">
        <f t="shared" si="566"/>
        <v>13.21731037261012</v>
      </c>
      <c r="Z139" s="61">
        <f t="shared" si="566"/>
        <v>13.712538226299694</v>
      </c>
      <c r="AA139" s="61">
        <f t="shared" si="566"/>
        <v>13.325009754194303</v>
      </c>
      <c r="AB139" s="61">
        <f t="shared" ref="AB139:AD139" si="567">IF(AB132&lt;0,"net casG",AB132/AB110)</f>
        <v>11.993543046357617</v>
      </c>
      <c r="AC139" s="61">
        <f t="shared" si="566"/>
        <v>11.827358055085401</v>
      </c>
      <c r="AD139" s="61">
        <f t="shared" si="567"/>
        <v>12.150884198516826</v>
      </c>
      <c r="AF139" s="138"/>
      <c r="AG139" s="61">
        <f>IF(AG132&lt;0,"net Fash",AG132/AG110)</f>
        <v>12.186442890442891</v>
      </c>
      <c r="AH139" s="138"/>
      <c r="AI139" s="61">
        <f>IF(AI132&lt;0,"net Fash",AI132/AI110)</f>
        <v>11.346146179401993</v>
      </c>
      <c r="AJ139" s="61">
        <f t="shared" ref="AJ139:AT139" si="568">IF(AJ132&lt;0,"net cash",AJ132/AJ110)</f>
        <v>11.684191193161887</v>
      </c>
      <c r="AK139" s="61">
        <f t="shared" si="568"/>
        <v>12.495241495170095</v>
      </c>
      <c r="AL139" s="61">
        <f t="shared" si="568"/>
        <v>9.4743029401913308</v>
      </c>
      <c r="AM139" s="61">
        <f t="shared" si="568"/>
        <v>9.6236542280756794</v>
      </c>
      <c r="AN139" s="61">
        <f t="shared" si="568"/>
        <v>11.129411932853582</v>
      </c>
      <c r="AO139" s="61">
        <f t="shared" si="568"/>
        <v>12.715846341908927</v>
      </c>
      <c r="AP139" s="61">
        <f t="shared" si="568"/>
        <v>14.488821408366221</v>
      </c>
      <c r="AQ139" s="61">
        <f t="shared" si="568"/>
        <v>15.369195937984088</v>
      </c>
      <c r="AR139" s="61">
        <f t="shared" si="568"/>
        <v>14.953761023273199</v>
      </c>
      <c r="AS139" s="61">
        <f t="shared" si="568"/>
        <v>14.051483152487371</v>
      </c>
      <c r="AT139" s="61">
        <f t="shared" si="568"/>
        <v>14.090628555358128</v>
      </c>
      <c r="AU139" s="61">
        <f t="shared" ref="AU139:AX139" si="569">IF(AU132&lt;0,"net cash",AU132/AU110)</f>
        <v>13.217310372610124</v>
      </c>
      <c r="AV139" s="61">
        <f>IF(AV132&lt;0,"net cash",AV132/AV110)</f>
        <v>13.192837428715384</v>
      </c>
      <c r="AW139" s="61">
        <f t="shared" si="569"/>
        <v>13.712538226299694</v>
      </c>
      <c r="AX139" s="61">
        <f t="shared" si="569"/>
        <v>13.025532906940212</v>
      </c>
      <c r="AY139" s="61">
        <f t="shared" ref="AY139:BB139" si="570">IF(AY132&lt;0,"net cash",AY132/AY110)</f>
        <v>13.239775150222915</v>
      </c>
      <c r="AZ139" s="61">
        <f t="shared" si="570"/>
        <v>12.567969179966981</v>
      </c>
      <c r="BA139" s="61">
        <f t="shared" si="570"/>
        <v>11.987588945887806</v>
      </c>
      <c r="BB139" s="61">
        <f t="shared" si="570"/>
        <v>11.813856960408685</v>
      </c>
      <c r="BC139" s="61">
        <f t="shared" ref="BC139:BF139" si="571">IF(BC132&lt;0,"net cash",BC132/BC110)</f>
        <v>11.8273580550854</v>
      </c>
      <c r="BD139" s="61">
        <f t="shared" si="571"/>
        <v>11.756183745583039</v>
      </c>
      <c r="BE139" s="61">
        <f t="shared" si="571"/>
        <v>12.150884198516826</v>
      </c>
      <c r="BF139" s="61">
        <f t="shared" si="571"/>
        <v>12.172048997772826</v>
      </c>
    </row>
    <row r="140" spans="2:58">
      <c r="B140" s="1" t="s">
        <v>292</v>
      </c>
      <c r="C140" s="32">
        <f t="shared" ref="C140:I140" si="572">C128/C110</f>
        <v>10.496762851600385</v>
      </c>
      <c r="D140" s="32">
        <f t="shared" si="572"/>
        <v>10.885943641222235</v>
      </c>
      <c r="E140" s="32">
        <f t="shared" si="572"/>
        <v>10.488887795275591</v>
      </c>
      <c r="F140" s="32">
        <f t="shared" si="572"/>
        <v>12.483976689976691</v>
      </c>
      <c r="G140" s="32">
        <f t="shared" si="572"/>
        <v>14.255598488030239</v>
      </c>
      <c r="H140" s="32">
        <f t="shared" si="572"/>
        <v>15.8520113529387</v>
      </c>
      <c r="I140" s="32">
        <f t="shared" si="572"/>
        <v>15.831996528620019</v>
      </c>
      <c r="J140" s="32">
        <f t="shared" ref="J140" si="573">J128/J110</f>
        <v>16.273128961482197</v>
      </c>
      <c r="K140" s="32">
        <f t="shared" ref="K140:M140" si="574">K128/K110</f>
        <v>15.221057230231544</v>
      </c>
      <c r="L140" s="32">
        <f t="shared" ref="L140" si="575">L128/L110</f>
        <v>14.741273535011635</v>
      </c>
      <c r="M140" s="32">
        <f t="shared" si="574"/>
        <v>13.409768211920531</v>
      </c>
      <c r="N140" s="32">
        <f t="shared" ref="N140" si="576">N128/N110</f>
        <v>13.161152310325154</v>
      </c>
      <c r="O140" s="32">
        <f t="shared" ref="O140" si="577">O128/O110</f>
        <v>13.053173719376391</v>
      </c>
      <c r="P140" s="32"/>
      <c r="Q140" s="32"/>
      <c r="R140" s="32">
        <f t="shared" ref="R140:X140" si="578">R128/R110</f>
        <v>12.483976689976691</v>
      </c>
      <c r="S140" s="32">
        <f t="shared" si="578"/>
        <v>11.672940199335548</v>
      </c>
      <c r="T140" s="32">
        <f t="shared" si="578"/>
        <v>14.255598488030239</v>
      </c>
      <c r="U140" s="32">
        <f t="shared" si="578"/>
        <v>11.443567172871033</v>
      </c>
      <c r="V140" s="32">
        <f t="shared" si="578"/>
        <v>15.8520113529387</v>
      </c>
      <c r="W140" s="32">
        <f t="shared" si="578"/>
        <v>17.488454765719126</v>
      </c>
      <c r="X140" s="32">
        <f t="shared" si="578"/>
        <v>15.831996528620019</v>
      </c>
      <c r="Y140" s="32">
        <f t="shared" ref="Y140:AA140" si="579">Y128/Y110</f>
        <v>14.809249732593081</v>
      </c>
      <c r="Z140" s="32">
        <f t="shared" si="579"/>
        <v>15.221057230231544</v>
      </c>
      <c r="AA140" s="32">
        <f t="shared" si="579"/>
        <v>15.473663675380413</v>
      </c>
      <c r="AB140" s="32">
        <f t="shared" ref="AB140:AC140" si="580">AB128/AB110</f>
        <v>13.409768211920531</v>
      </c>
      <c r="AC140" s="32">
        <f t="shared" si="580"/>
        <v>13.132789659947687</v>
      </c>
      <c r="AD140" s="32">
        <f t="shared" ref="AD140" si="581">AD128/AD110</f>
        <v>13.161152310325154</v>
      </c>
      <c r="AF140" s="137"/>
      <c r="AG140" s="32">
        <f>AG128/AG110</f>
        <v>12.483976689976691</v>
      </c>
      <c r="AH140" s="137"/>
      <c r="AI140" s="32">
        <f t="shared" ref="AI140:AT140" si="582">AI128/AI110</f>
        <v>11.672940199335548</v>
      </c>
      <c r="AJ140" s="32">
        <f t="shared" si="582"/>
        <v>11.952201709528705</v>
      </c>
      <c r="AK140" s="32">
        <f t="shared" si="582"/>
        <v>14.255598488030239</v>
      </c>
      <c r="AL140" s="32">
        <f t="shared" si="582"/>
        <v>14.163585415866743</v>
      </c>
      <c r="AM140" s="32">
        <f t="shared" si="582"/>
        <v>11.443567172871033</v>
      </c>
      <c r="AN140" s="32">
        <f t="shared" si="582"/>
        <v>16.094873975402518</v>
      </c>
      <c r="AO140" s="32">
        <f t="shared" si="582"/>
        <v>15.8520113529387</v>
      </c>
      <c r="AP140" s="32">
        <f t="shared" si="582"/>
        <v>18.391710801654977</v>
      </c>
      <c r="AQ140" s="32">
        <f t="shared" si="582"/>
        <v>17.48845476571913</v>
      </c>
      <c r="AR140" s="32">
        <f t="shared" si="582"/>
        <v>17.206722162279462</v>
      </c>
      <c r="AS140" s="32">
        <f t="shared" si="582"/>
        <v>15.831996528620019</v>
      </c>
      <c r="AT140" s="32">
        <f t="shared" si="582"/>
        <v>15.655331279481514</v>
      </c>
      <c r="AU140" s="32">
        <f t="shared" ref="AU140:AX140" si="583">AU128/AU110</f>
        <v>14.809249732593086</v>
      </c>
      <c r="AV140" s="32">
        <f>AV128/AV110</f>
        <v>15.12905915452766</v>
      </c>
      <c r="AW140" s="32">
        <f t="shared" si="583"/>
        <v>15.221057230231544</v>
      </c>
      <c r="AX140" s="32">
        <f t="shared" si="583"/>
        <v>15.523480340979358</v>
      </c>
      <c r="AY140" s="32">
        <f t="shared" ref="AY140:BB140" si="584">AY128/AY110</f>
        <v>15.374685016476066</v>
      </c>
      <c r="AZ140" s="32">
        <f t="shared" si="584"/>
        <v>14.926068611263993</v>
      </c>
      <c r="BA140" s="32">
        <f t="shared" si="584"/>
        <v>13.403111037564125</v>
      </c>
      <c r="BB140" s="32">
        <f t="shared" si="584"/>
        <v>14.761653895274586</v>
      </c>
      <c r="BC140" s="32">
        <f t="shared" ref="BC140:BF140" si="585">BC128/BC110</f>
        <v>13.132789659947685</v>
      </c>
      <c r="BD140" s="32">
        <f t="shared" si="585"/>
        <v>13.305359246171966</v>
      </c>
      <c r="BE140" s="32">
        <f t="shared" si="585"/>
        <v>13.161152310325154</v>
      </c>
      <c r="BF140" s="32">
        <f t="shared" si="585"/>
        <v>13.053173719376391</v>
      </c>
    </row>
    <row r="141" spans="2:58"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J141" s="51"/>
      <c r="AL141" s="51"/>
      <c r="AM141" s="51"/>
      <c r="AN141" s="51"/>
      <c r="AP141" s="51"/>
      <c r="AQ141" s="51"/>
      <c r="AR141" s="51"/>
      <c r="AT141" s="51"/>
      <c r="AU141" s="51"/>
      <c r="AV141" s="51"/>
      <c r="AX141" s="51"/>
      <c r="AY141" s="51"/>
      <c r="AZ141" s="51"/>
      <c r="BB141" s="51"/>
      <c r="BD141" s="51"/>
      <c r="BF141" s="51"/>
    </row>
    <row r="142" spans="2:58" s="5" customFormat="1">
      <c r="B142" s="5" t="s">
        <v>293</v>
      </c>
      <c r="C142" s="31">
        <f t="shared" ref="C142:I142" si="586">+(C110-C113)/C111</f>
        <v>-0.61505099609188774</v>
      </c>
      <c r="D142" s="31">
        <f t="shared" si="586"/>
        <v>-5.540073413738857</v>
      </c>
      <c r="E142" s="31">
        <f t="shared" si="586"/>
        <v>-3.218751713424107</v>
      </c>
      <c r="F142" s="31">
        <f t="shared" si="586"/>
        <v>-2.6999615264826047</v>
      </c>
      <c r="G142" s="31">
        <f t="shared" si="586"/>
        <v>-2.8666816546762588</v>
      </c>
      <c r="H142" s="31">
        <f t="shared" si="586"/>
        <v>-13.184036311303002</v>
      </c>
      <c r="I142" s="31">
        <f t="shared" si="586"/>
        <v>-11.858185078133452</v>
      </c>
      <c r="J142" s="31">
        <f t="shared" ref="J142" si="587">+(J110-J113)/J111</f>
        <v>-12.013648237167098</v>
      </c>
      <c r="K142" s="31">
        <f t="shared" ref="K142:O142" si="588">+(K110-K113)/K111</f>
        <v>-5.7725321888412013</v>
      </c>
      <c r="L142" s="31">
        <f t="shared" ref="L142" si="589">+(L110-L113)/L111</f>
        <v>-5.6446351931330465</v>
      </c>
      <c r="M142" s="31">
        <f>+(M110-M113)/M111</f>
        <v>-2.6555555555555559</v>
      </c>
      <c r="N142" s="31">
        <f>+(N110-N113)/N111</f>
        <v>-2.0388109000825763</v>
      </c>
      <c r="O142" s="31">
        <f t="shared" si="588"/>
        <v>-1.725581395348837</v>
      </c>
      <c r="P142" s="31"/>
      <c r="Q142" s="31"/>
      <c r="R142" s="31">
        <f t="shared" ref="R142:X142" si="590">+(R110-R113)/R111</f>
        <v>-2.6999615264826047</v>
      </c>
      <c r="S142" s="31">
        <f t="shared" si="590"/>
        <v>-2.6035640667597582</v>
      </c>
      <c r="T142" s="31">
        <f t="shared" si="590"/>
        <v>-2.8666816546762588</v>
      </c>
      <c r="U142" s="31">
        <f t="shared" si="590"/>
        <v>-6.2572296290636817</v>
      </c>
      <c r="V142" s="31">
        <f t="shared" si="590"/>
        <v>-13.184036311303002</v>
      </c>
      <c r="W142" s="31">
        <f t="shared" si="590"/>
        <v>-13.908476288539624</v>
      </c>
      <c r="X142" s="31">
        <f t="shared" si="590"/>
        <v>-11.858185078133452</v>
      </c>
      <c r="Y142" s="31">
        <f t="shared" ref="Y142:AA142" si="591">+(Y110-Y113)/Y111</f>
        <v>-7.5718889094955468</v>
      </c>
      <c r="Z142" s="31">
        <f t="shared" si="591"/>
        <v>-5.7725321888412013</v>
      </c>
      <c r="AA142" s="31">
        <f t="shared" si="591"/>
        <v>-2.7209964412811378</v>
      </c>
      <c r="AB142" s="31">
        <f t="shared" ref="AB142:AC142" si="592">+(AB110-AB113)/AB111</f>
        <v>-2.6555555555555559</v>
      </c>
      <c r="AC142" s="31">
        <f t="shared" si="592"/>
        <v>-2.0974212034383966</v>
      </c>
      <c r="AD142" s="31">
        <f t="shared" ref="AD142" si="593">+(AD110-AD113)/AD111</f>
        <v>-2.0388109000825763</v>
      </c>
      <c r="AF142" s="138"/>
      <c r="AG142" s="138"/>
      <c r="AH142" s="138"/>
      <c r="AI142" s="138"/>
      <c r="AJ142" s="139"/>
      <c r="AK142" s="138"/>
      <c r="AL142" s="139"/>
      <c r="AM142" s="139"/>
      <c r="AN142" s="139"/>
      <c r="AO142" s="138"/>
      <c r="AP142" s="139"/>
      <c r="AQ142" s="139"/>
      <c r="AR142" s="139"/>
      <c r="AS142" s="138"/>
      <c r="AT142" s="139"/>
      <c r="AU142" s="139"/>
      <c r="AV142" s="31"/>
      <c r="AW142" s="31">
        <f t="shared" ref="AW142:AZ142" si="594">+(AW110-AW113)/AW111</f>
        <v>-5.7725321888412013</v>
      </c>
      <c r="AX142" s="31">
        <f t="shared" si="594"/>
        <v>-9.9685920521817089</v>
      </c>
      <c r="AY142" s="31">
        <f t="shared" si="594"/>
        <v>-5.2738197424892714</v>
      </c>
      <c r="AZ142" s="31">
        <f t="shared" si="594"/>
        <v>-5.0231759656652377</v>
      </c>
      <c r="BA142" s="31">
        <f t="shared" ref="BA142:BD142" si="595">+(BA110-BA113)/BA111</f>
        <v>-2.6541062801932371</v>
      </c>
      <c r="BB142" s="31">
        <f t="shared" si="595"/>
        <v>-2.0605571255551078</v>
      </c>
      <c r="BC142" s="31">
        <f t="shared" si="595"/>
        <v>-2.0974212034383961</v>
      </c>
      <c r="BD142" s="31">
        <f t="shared" si="595"/>
        <v>-2.6363636363636358</v>
      </c>
      <c r="BE142" s="31">
        <f t="shared" ref="BE142:BF142" si="596">+(BE110-BE113)/BE111</f>
        <v>-2.0388109000825763</v>
      </c>
      <c r="BF142" s="31">
        <f t="shared" si="596"/>
        <v>-1.725581395348837</v>
      </c>
    </row>
    <row r="143" spans="2:58">
      <c r="B143" s="1" t="s">
        <v>294</v>
      </c>
      <c r="C143" s="32">
        <f t="shared" ref="C143:I143" si="597">+C110/C111</f>
        <v>3.9309884663044525</v>
      </c>
      <c r="D143" s="32">
        <f t="shared" si="597"/>
        <v>3.9011431567907717</v>
      </c>
      <c r="E143" s="32">
        <f t="shared" si="597"/>
        <v>3.713789637211002</v>
      </c>
      <c r="F143" s="32">
        <f t="shared" si="597"/>
        <v>3.9297949911144499</v>
      </c>
      <c r="G143" s="32">
        <f t="shared" si="597"/>
        <v>3.8235483042137717</v>
      </c>
      <c r="H143" s="32">
        <f t="shared" si="597"/>
        <v>6.3031993800509234</v>
      </c>
      <c r="I143" s="32">
        <f t="shared" si="597"/>
        <v>5.7349490702814654</v>
      </c>
      <c r="J143" s="32">
        <f t="shared" ref="J143" si="598">+J110/J111</f>
        <v>5.5794859112478186</v>
      </c>
      <c r="K143" s="32">
        <f t="shared" ref="K143:O143" si="599">+K110/K111</f>
        <v>3.9296137339055792</v>
      </c>
      <c r="L143" s="32">
        <f t="shared" ref="L143" si="600">+L110/L111</f>
        <v>4.0575107296137336</v>
      </c>
      <c r="M143" s="32">
        <f t="shared" ref="M143:N143" si="601">+M110/M111</f>
        <v>2.9178743961352658</v>
      </c>
      <c r="N143" s="32">
        <f t="shared" si="601"/>
        <v>2.8951279933938898</v>
      </c>
      <c r="O143" s="32">
        <f t="shared" si="599"/>
        <v>2.5703041144901615</v>
      </c>
      <c r="P143" s="32"/>
      <c r="Q143" s="32"/>
      <c r="R143" s="32">
        <f t="shared" ref="R143:X143" si="602">+R110/R111</f>
        <v>3.9297949911144499</v>
      </c>
      <c r="S143" s="32">
        <f t="shared" si="602"/>
        <v>4.0029257264445777</v>
      </c>
      <c r="T143" s="32">
        <f t="shared" si="602"/>
        <v>3.8235483042137717</v>
      </c>
      <c r="U143" s="32">
        <f t="shared" si="602"/>
        <v>5.1166291018833325</v>
      </c>
      <c r="V143" s="32">
        <f t="shared" si="602"/>
        <v>6.3031993800509234</v>
      </c>
      <c r="W143" s="32">
        <f t="shared" si="602"/>
        <v>5.8694072620597204</v>
      </c>
      <c r="X143" s="32">
        <f t="shared" si="602"/>
        <v>5.7349490702814654</v>
      </c>
      <c r="Y143" s="32">
        <f t="shared" ref="Y143:AA143" si="603">+Y110/Y111</f>
        <v>5.0065606454005938</v>
      </c>
      <c r="Z143" s="32">
        <f t="shared" si="603"/>
        <v>3.9296137339055792</v>
      </c>
      <c r="AA143" s="32">
        <f t="shared" si="603"/>
        <v>3.6483985765124558</v>
      </c>
      <c r="AB143" s="32">
        <f t="shared" ref="AB143:AC143" si="604">+AB110/AB111</f>
        <v>2.9178743961352658</v>
      </c>
      <c r="AC143" s="32">
        <f t="shared" si="604"/>
        <v>2.6602537863282842</v>
      </c>
      <c r="AD143" s="32">
        <f t="shared" ref="AD143" si="605">+AD110/AD111</f>
        <v>2.8951279933938898</v>
      </c>
      <c r="AF143" s="137"/>
      <c r="AG143" s="137"/>
      <c r="AH143" s="137"/>
      <c r="AI143" s="137"/>
      <c r="AJ143" s="140"/>
      <c r="AK143" s="137"/>
      <c r="AL143" s="140"/>
      <c r="AM143" s="140"/>
      <c r="AN143" s="140"/>
      <c r="AO143" s="137"/>
      <c r="AP143" s="140"/>
      <c r="AQ143" s="140"/>
      <c r="AR143" s="140"/>
      <c r="AS143" s="137"/>
      <c r="AT143" s="140"/>
      <c r="AU143" s="140"/>
      <c r="AV143" s="32"/>
      <c r="AW143" s="32">
        <f t="shared" ref="AW143:AZ143" si="606">+AW110/AW111</f>
        <v>3.9296137339055792</v>
      </c>
      <c r="AX143" s="32">
        <f t="shared" si="606"/>
        <v>7.624542096233208</v>
      </c>
      <c r="AY143" s="32">
        <f t="shared" si="606"/>
        <v>4.4283261802575096</v>
      </c>
      <c r="AZ143" s="32">
        <f t="shared" si="606"/>
        <v>4.6789699570815433</v>
      </c>
      <c r="BA143" s="32">
        <f t="shared" ref="BA143:BD143" si="607">+BA110/BA111</f>
        <v>2.9193236714975845</v>
      </c>
      <c r="BB143" s="32">
        <f t="shared" si="607"/>
        <v>2.5288655631812675</v>
      </c>
      <c r="BC143" s="32">
        <f t="shared" si="607"/>
        <v>2.6602537863282847</v>
      </c>
      <c r="BD143" s="32">
        <f t="shared" si="607"/>
        <v>2.9263248599741494</v>
      </c>
      <c r="BE143" s="32">
        <f t="shared" ref="BE143:BF143" si="608">+BE110/BE111</f>
        <v>2.8951279933938898</v>
      </c>
      <c r="BF143" s="32">
        <f t="shared" si="608"/>
        <v>2.5703041144901615</v>
      </c>
    </row>
    <row r="144" spans="2:58" customFormat="1" ht="15"/>
    <row r="145" spans="2:58" s="5" customFormat="1">
      <c r="B145" s="5" t="s">
        <v>295</v>
      </c>
      <c r="C145" s="52">
        <f t="shared" ref="C145:G145" si="609">C132/C134</f>
        <v>1.1623836573276449</v>
      </c>
      <c r="D145" s="52">
        <f t="shared" si="609"/>
        <v>1.1569334385042429</v>
      </c>
      <c r="E145" s="52">
        <f t="shared" si="609"/>
        <v>2.1877074198466233</v>
      </c>
      <c r="F145" s="52">
        <f t="shared" si="609"/>
        <v>1.2795822302980937</v>
      </c>
      <c r="G145" s="52">
        <f t="shared" si="609"/>
        <v>1.3139623881464493</v>
      </c>
      <c r="H145" s="52">
        <f t="shared" ref="H145:I145" si="610">H132/H134</f>
        <v>0.88145796149341482</v>
      </c>
      <c r="I145" s="52">
        <f t="shared" si="610"/>
        <v>0.98657606740597104</v>
      </c>
      <c r="J145" s="52">
        <f t="shared" ref="J145" si="611">J132/J134</f>
        <v>0.96173731783803718</v>
      </c>
      <c r="K145" s="52">
        <f t="shared" ref="K145:M145" si="612">K132/K134</f>
        <v>1.01795067213673</v>
      </c>
      <c r="L145" s="52">
        <f t="shared" ref="L145" si="613">L132/L134</f>
        <v>1.01795067213673</v>
      </c>
      <c r="M145" s="52">
        <f t="shared" si="612"/>
        <v>0.98543095004897163</v>
      </c>
      <c r="N145" s="52">
        <f t="shared" ref="N145" si="614">N132/N134</f>
        <v>1.0068540095956131</v>
      </c>
      <c r="O145" s="52">
        <f t="shared" ref="O145" si="615">O132/O134</f>
        <v>1.0074425678011014</v>
      </c>
      <c r="P145" s="52"/>
      <c r="Q145" s="52"/>
      <c r="R145" s="52">
        <f t="shared" ref="R145:W145" si="616">R132/R134</f>
        <v>1.2795822302980937</v>
      </c>
      <c r="S145" s="52">
        <f t="shared" si="616"/>
        <v>1.2953775327085966</v>
      </c>
      <c r="T145" s="52">
        <f t="shared" si="616"/>
        <v>1.3139623881464493</v>
      </c>
      <c r="U145" s="52">
        <f t="shared" si="616"/>
        <v>0.78777920451579908</v>
      </c>
      <c r="V145" s="52">
        <f t="shared" si="616"/>
        <v>0.88145796149341482</v>
      </c>
      <c r="W145" s="52">
        <f t="shared" si="616"/>
        <v>0.94075200107947965</v>
      </c>
      <c r="X145" s="52">
        <f t="shared" ref="X145:Y145" si="617">X132/X134</f>
        <v>0.98657606740597104</v>
      </c>
      <c r="Y145" s="52">
        <f t="shared" si="617"/>
        <v>1.0047696152627688</v>
      </c>
      <c r="Z145" s="52">
        <f t="shared" ref="Z145:AB145" si="618">Z132/Z134</f>
        <v>1.01795067213673</v>
      </c>
      <c r="AA145" s="52">
        <f t="shared" ref="AA145" si="619">AA132/AA134</f>
        <v>1.0223619218679838</v>
      </c>
      <c r="AB145" s="52">
        <f t="shared" si="618"/>
        <v>0.98543095004897163</v>
      </c>
      <c r="AC145" s="52">
        <f t="shared" ref="AC145:AD145" si="620">AC132/AC134</f>
        <v>0.96214795343597448</v>
      </c>
      <c r="AD145" s="52">
        <f t="shared" si="620"/>
        <v>1.0068540095956131</v>
      </c>
      <c r="AF145" s="147"/>
      <c r="AG145" s="52">
        <f t="shared" ref="AG145" si="621">AG132/AG134</f>
        <v>1.2795822302980937</v>
      </c>
      <c r="AH145" s="147"/>
      <c r="AI145" s="52">
        <f>AI132/AI134</f>
        <v>1.2953775327085966</v>
      </c>
      <c r="AJ145" s="52">
        <f t="shared" ref="AJ145:AK145" si="622">AJ132/AJ134</f>
        <v>1.3023525098207176</v>
      </c>
      <c r="AK145" s="52">
        <f t="shared" si="622"/>
        <v>1.3139623881464493</v>
      </c>
      <c r="AL145" s="52">
        <f t="shared" ref="AL145:AP145" si="623">AL132/AL134</f>
        <v>0.72904291041081704</v>
      </c>
      <c r="AM145" s="52">
        <f t="shared" si="623"/>
        <v>0.78777920451579908</v>
      </c>
      <c r="AN145" s="52">
        <f t="shared" si="623"/>
        <v>0.91695394363817184</v>
      </c>
      <c r="AO145" s="52">
        <f t="shared" si="623"/>
        <v>0.88145796149341482</v>
      </c>
      <c r="AP145" s="52">
        <f t="shared" si="623"/>
        <v>0.93068935200631187</v>
      </c>
      <c r="AQ145" s="52">
        <f t="shared" ref="AQ145:AT145" si="624">AQ132/AQ134</f>
        <v>0.94075200107947965</v>
      </c>
      <c r="AR145" s="52">
        <f t="shared" si="624"/>
        <v>0.9735596535421821</v>
      </c>
      <c r="AS145" s="52">
        <f t="shared" si="624"/>
        <v>0.98657606740597104</v>
      </c>
      <c r="AT145" s="52">
        <f t="shared" si="624"/>
        <v>1.0004975858644225</v>
      </c>
      <c r="AU145" s="52">
        <f t="shared" ref="AU145:AX145" si="625">AU132/AU134</f>
        <v>1.0047696152627688</v>
      </c>
      <c r="AV145" s="52">
        <f>AV132/AV134</f>
        <v>1.0003719043191617</v>
      </c>
      <c r="AW145" s="52">
        <f t="shared" si="625"/>
        <v>1.01795067213673</v>
      </c>
      <c r="AX145" s="52">
        <f t="shared" si="625"/>
        <v>1.0056501596444001</v>
      </c>
      <c r="AY145" s="52">
        <f t="shared" ref="AY145:BB145" si="626">AY132/AY134</f>
        <v>1.0223619218679838</v>
      </c>
      <c r="AZ145" s="52">
        <f t="shared" si="626"/>
        <v>0.9708358132811834</v>
      </c>
      <c r="BA145" s="52">
        <f t="shared" si="626"/>
        <v>0.98543095004897163</v>
      </c>
      <c r="BB145" s="52">
        <f t="shared" si="626"/>
        <v>0.97410785978491243</v>
      </c>
      <c r="BC145" s="52">
        <f t="shared" ref="BC145:BF145" si="627">BC132/BC134</f>
        <v>0.96214795343597448</v>
      </c>
      <c r="BD145" s="52">
        <f t="shared" si="627"/>
        <v>0.9685707007605624</v>
      </c>
      <c r="BE145" s="52">
        <f t="shared" si="627"/>
        <v>1.0068540095956131</v>
      </c>
      <c r="BF145" s="52">
        <f t="shared" si="627"/>
        <v>1.0074425678011014</v>
      </c>
    </row>
    <row r="146" spans="2:58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J146" s="19"/>
      <c r="AL146" s="19"/>
      <c r="AM146" s="19"/>
      <c r="AN146" s="19"/>
      <c r="AP146" s="19"/>
      <c r="AQ146" s="19"/>
      <c r="AR146" s="19"/>
      <c r="AT146" s="19"/>
      <c r="AU146" s="19"/>
      <c r="AV146" s="19"/>
      <c r="AX146" s="19"/>
      <c r="AY146" s="19"/>
      <c r="BB146" s="19"/>
      <c r="BF146" s="19"/>
    </row>
    <row r="147" spans="2:58" s="5" customFormat="1">
      <c r="B147" s="5" t="s">
        <v>296</v>
      </c>
      <c r="C147" s="64">
        <v>0.51</v>
      </c>
      <c r="D147" s="64">
        <v>0.49</v>
      </c>
      <c r="E147" s="64">
        <v>0.48</v>
      </c>
      <c r="F147" s="64">
        <v>0.498</v>
      </c>
      <c r="G147" s="64">
        <v>0.51</v>
      </c>
      <c r="H147" s="64">
        <v>0.42799999999999999</v>
      </c>
      <c r="I147" s="64">
        <v>0.45</v>
      </c>
      <c r="J147" s="64">
        <v>0.45400000000000001</v>
      </c>
      <c r="K147" s="64">
        <v>0.46</v>
      </c>
      <c r="L147" s="64">
        <v>0.46</v>
      </c>
      <c r="M147" s="64">
        <v>0.45300000000000001</v>
      </c>
      <c r="N147" s="64">
        <v>0.46100000000000002</v>
      </c>
      <c r="O147" s="68">
        <f>BF147</f>
        <v>0.46400000000000002</v>
      </c>
      <c r="P147" s="178"/>
      <c r="Q147" s="64"/>
      <c r="R147" s="68">
        <f>+F147</f>
        <v>0.498</v>
      </c>
      <c r="S147" s="64">
        <v>0.496</v>
      </c>
      <c r="T147" s="68">
        <f>+G147</f>
        <v>0.51</v>
      </c>
      <c r="U147" s="64">
        <v>0.40200000000000002</v>
      </c>
      <c r="V147" s="68">
        <f>+H147</f>
        <v>0.42799999999999999</v>
      </c>
      <c r="W147" s="64">
        <v>0.439</v>
      </c>
      <c r="X147" s="68">
        <f>+I147</f>
        <v>0.45</v>
      </c>
      <c r="Y147" s="64">
        <v>0.45900000000000002</v>
      </c>
      <c r="Z147" s="68">
        <f>+K147</f>
        <v>0.46</v>
      </c>
      <c r="AA147" s="64">
        <v>0.46200000000000002</v>
      </c>
      <c r="AB147" s="68">
        <f>+M147</f>
        <v>0.45300000000000001</v>
      </c>
      <c r="AC147" s="64">
        <v>0.44900000000000001</v>
      </c>
      <c r="AD147" s="68">
        <f>+N147</f>
        <v>0.46100000000000002</v>
      </c>
      <c r="AF147" s="138"/>
      <c r="AG147" s="279">
        <f>F147</f>
        <v>0.498</v>
      </c>
      <c r="AH147" s="138"/>
      <c r="AI147" s="279">
        <f>S147</f>
        <v>0.496</v>
      </c>
      <c r="AJ147" s="64">
        <v>0.5</v>
      </c>
      <c r="AK147" s="279">
        <f>G147</f>
        <v>0.51</v>
      </c>
      <c r="AL147" s="64">
        <v>0.38100000000000001</v>
      </c>
      <c r="AM147" s="279">
        <f>U147</f>
        <v>0.40200000000000002</v>
      </c>
      <c r="AN147" s="64">
        <v>0.437</v>
      </c>
      <c r="AO147" s="279">
        <f>H147</f>
        <v>0.42799999999999999</v>
      </c>
      <c r="AP147" s="64">
        <v>0.441</v>
      </c>
      <c r="AQ147" s="279">
        <f>W147</f>
        <v>0.439</v>
      </c>
      <c r="AR147" s="279">
        <v>0.45</v>
      </c>
      <c r="AS147" s="279">
        <f>I147</f>
        <v>0.45</v>
      </c>
      <c r="AT147" s="64">
        <v>0.45900000000000002</v>
      </c>
      <c r="AU147" s="279">
        <f>Y147</f>
        <v>0.45900000000000002</v>
      </c>
      <c r="AV147" s="64">
        <v>0.45700000000000002</v>
      </c>
      <c r="AW147" s="279">
        <f>K147</f>
        <v>0.46</v>
      </c>
      <c r="AX147" s="64">
        <v>0.45900000000000002</v>
      </c>
      <c r="AY147" s="279">
        <f>AA147</f>
        <v>0.46200000000000002</v>
      </c>
      <c r="AZ147" s="64">
        <v>0.44900000000000001</v>
      </c>
      <c r="BA147" s="279">
        <f>M147</f>
        <v>0.45300000000000001</v>
      </c>
      <c r="BB147" s="64">
        <v>0.45300000000000001</v>
      </c>
      <c r="BC147" s="279">
        <f>AC147</f>
        <v>0.44900000000000001</v>
      </c>
      <c r="BD147" s="64">
        <v>0.45200000000000001</v>
      </c>
      <c r="BE147" s="279">
        <f>N147</f>
        <v>0.46100000000000002</v>
      </c>
      <c r="BF147" s="64">
        <v>0.46400000000000002</v>
      </c>
    </row>
    <row r="148" spans="2:58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spans="2:58">
      <c r="B149" s="6" t="s">
        <v>297</v>
      </c>
      <c r="C149" s="7">
        <f>C3</f>
        <v>42735</v>
      </c>
      <c r="D149" s="7">
        <f>D3</f>
        <v>43100</v>
      </c>
      <c r="E149" s="7">
        <f>E3</f>
        <v>43465</v>
      </c>
      <c r="F149" s="7">
        <f>F3</f>
        <v>43830</v>
      </c>
      <c r="G149" s="7">
        <f>G3</f>
        <v>44196</v>
      </c>
      <c r="H149" s="7">
        <f>H3</f>
        <v>44561</v>
      </c>
      <c r="I149" s="7">
        <f>I3</f>
        <v>44926</v>
      </c>
      <c r="J149" s="7">
        <f>J3</f>
        <v>44926</v>
      </c>
      <c r="K149" s="7">
        <f>K3</f>
        <v>45291</v>
      </c>
      <c r="L149" s="7">
        <f>L3</f>
        <v>45291</v>
      </c>
      <c r="M149" s="7">
        <f>M3</f>
        <v>45657</v>
      </c>
      <c r="N149" s="7">
        <f>N3</f>
        <v>46022</v>
      </c>
      <c r="O149" s="7">
        <f>O3</f>
        <v>46112</v>
      </c>
      <c r="P149" s="219"/>
      <c r="Q149" s="7">
        <f>Q3</f>
        <v>43646</v>
      </c>
      <c r="R149" s="7">
        <f>R3</f>
        <v>43830</v>
      </c>
      <c r="S149" s="7">
        <f>S3</f>
        <v>44012</v>
      </c>
      <c r="T149" s="7">
        <f>T3</f>
        <v>44196</v>
      </c>
      <c r="U149" s="7">
        <f>U3</f>
        <v>44377</v>
      </c>
      <c r="V149" s="7">
        <f>V3</f>
        <v>44561</v>
      </c>
      <c r="W149" s="7">
        <f>W3</f>
        <v>44742</v>
      </c>
      <c r="X149" s="7">
        <f>X3</f>
        <v>44926</v>
      </c>
      <c r="Y149" s="7">
        <f>Y3</f>
        <v>45107</v>
      </c>
      <c r="Z149" s="7">
        <f>Z3</f>
        <v>45291</v>
      </c>
      <c r="AA149" s="7">
        <f>AA3</f>
        <v>45473</v>
      </c>
      <c r="AB149" s="7">
        <f>AB3</f>
        <v>45657</v>
      </c>
      <c r="AC149" s="7">
        <f>AC3</f>
        <v>45838</v>
      </c>
      <c r="AD149" s="7">
        <f>AD3</f>
        <v>46022</v>
      </c>
      <c r="AF149" s="7">
        <f>AF3</f>
        <v>43738</v>
      </c>
      <c r="AG149" s="7">
        <f>AG3</f>
        <v>43830</v>
      </c>
      <c r="AH149" s="7">
        <f>AH3</f>
        <v>43920</v>
      </c>
      <c r="AI149" s="7">
        <f>AI3</f>
        <v>44012</v>
      </c>
      <c r="AJ149" s="7">
        <f>AJ3</f>
        <v>44104</v>
      </c>
      <c r="AK149" s="7">
        <f>AK3</f>
        <v>44196</v>
      </c>
      <c r="AL149" s="7">
        <f>AL3</f>
        <v>44285</v>
      </c>
      <c r="AM149" s="7">
        <f>AM3</f>
        <v>44377</v>
      </c>
      <c r="AN149" s="7">
        <f>AN3</f>
        <v>44469</v>
      </c>
      <c r="AO149" s="7">
        <f>AO3</f>
        <v>44561</v>
      </c>
      <c r="AP149" s="7">
        <f>AP3</f>
        <v>44651</v>
      </c>
      <c r="AQ149" s="7">
        <f>AQ3</f>
        <v>44742</v>
      </c>
      <c r="AR149" s="7">
        <f>AR3</f>
        <v>44834</v>
      </c>
      <c r="AS149" s="7">
        <f>AS3</f>
        <v>44926</v>
      </c>
      <c r="AT149" s="7">
        <f>AT3</f>
        <v>45016</v>
      </c>
      <c r="AU149" s="7">
        <f>AU3</f>
        <v>45107</v>
      </c>
      <c r="AV149" s="7">
        <f>AV3</f>
        <v>45199</v>
      </c>
      <c r="AW149" s="7">
        <f>AW3</f>
        <v>45291</v>
      </c>
      <c r="AX149" s="7">
        <f>AX3</f>
        <v>45382</v>
      </c>
      <c r="AY149" s="7">
        <f>AY3</f>
        <v>45473</v>
      </c>
      <c r="AZ149" s="7">
        <f>AZ3</f>
        <v>45565</v>
      </c>
      <c r="BA149" s="7">
        <f>BA3</f>
        <v>45657</v>
      </c>
      <c r="BB149" s="7">
        <f>BB3</f>
        <v>45747</v>
      </c>
      <c r="BC149" s="7">
        <f>BC3</f>
        <v>45838</v>
      </c>
      <c r="BD149" s="7">
        <f>BD3</f>
        <v>45930</v>
      </c>
      <c r="BE149" s="7">
        <f>BE3</f>
        <v>46022</v>
      </c>
      <c r="BF149" s="7">
        <f>BF3</f>
        <v>46112</v>
      </c>
    </row>
    <row r="150" spans="2:58">
      <c r="B150" s="6"/>
      <c r="C150" s="7" t="s">
        <v>167</v>
      </c>
      <c r="D150" s="7" t="s">
        <v>167</v>
      </c>
      <c r="E150" s="7" t="s">
        <v>167</v>
      </c>
      <c r="F150" s="7" t="s">
        <v>167</v>
      </c>
      <c r="G150" s="7" t="s">
        <v>167</v>
      </c>
      <c r="H150" s="7" t="s">
        <v>167</v>
      </c>
      <c r="I150" s="7" t="s">
        <v>167</v>
      </c>
      <c r="J150" s="7" t="s">
        <v>167</v>
      </c>
      <c r="K150" s="7" t="s">
        <v>167</v>
      </c>
      <c r="L150" s="7" t="s">
        <v>167</v>
      </c>
      <c r="M150" s="7" t="s">
        <v>167</v>
      </c>
      <c r="N150" s="7" t="s">
        <v>167</v>
      </c>
      <c r="O150" s="7" t="s">
        <v>167</v>
      </c>
      <c r="P150" s="219"/>
      <c r="Q150" s="7" t="s">
        <v>167</v>
      </c>
      <c r="R150" s="7" t="s">
        <v>167</v>
      </c>
      <c r="S150" s="7" t="s">
        <v>167</v>
      </c>
      <c r="T150" s="7" t="s">
        <v>167</v>
      </c>
      <c r="U150" s="7" t="s">
        <v>167</v>
      </c>
      <c r="V150" s="7" t="s">
        <v>167</v>
      </c>
      <c r="W150" s="7" t="s">
        <v>167</v>
      </c>
      <c r="X150" s="7" t="s">
        <v>167</v>
      </c>
      <c r="Y150" s="7" t="s">
        <v>167</v>
      </c>
      <c r="Z150" s="7" t="s">
        <v>167</v>
      </c>
      <c r="AA150" s="7" t="s">
        <v>167</v>
      </c>
      <c r="AB150" s="7" t="s">
        <v>167</v>
      </c>
      <c r="AC150" s="7" t="s">
        <v>167</v>
      </c>
      <c r="AD150" s="7" t="s">
        <v>167</v>
      </c>
      <c r="AF150" s="7" t="s">
        <v>167</v>
      </c>
      <c r="AG150" s="7" t="s">
        <v>167</v>
      </c>
      <c r="AH150" s="7" t="s">
        <v>167</v>
      </c>
      <c r="AI150" s="7" t="s">
        <v>167</v>
      </c>
      <c r="AJ150" s="7" t="s">
        <v>167</v>
      </c>
      <c r="AK150" s="7" t="s">
        <v>167</v>
      </c>
      <c r="AL150" s="7" t="s">
        <v>167</v>
      </c>
      <c r="AM150" s="7" t="s">
        <v>167</v>
      </c>
      <c r="AN150" s="7" t="s">
        <v>167</v>
      </c>
      <c r="AO150" s="7" t="s">
        <v>167</v>
      </c>
      <c r="AP150" s="7" t="s">
        <v>167</v>
      </c>
      <c r="AQ150" s="7" t="s">
        <v>167</v>
      </c>
      <c r="AR150" s="7" t="s">
        <v>167</v>
      </c>
      <c r="AS150" s="7" t="s">
        <v>167</v>
      </c>
      <c r="AT150" s="7" t="s">
        <v>167</v>
      </c>
      <c r="AU150" s="7" t="s">
        <v>167</v>
      </c>
      <c r="AV150" s="7" t="s">
        <v>167</v>
      </c>
      <c r="AW150" s="7" t="s">
        <v>167</v>
      </c>
      <c r="AX150" s="7" t="s">
        <v>167</v>
      </c>
      <c r="AY150" s="7" t="s">
        <v>167</v>
      </c>
      <c r="AZ150" s="7" t="s">
        <v>167</v>
      </c>
      <c r="BA150" s="7" t="s">
        <v>167</v>
      </c>
      <c r="BB150" s="7" t="s">
        <v>167</v>
      </c>
      <c r="BC150" s="7" t="s">
        <v>167</v>
      </c>
      <c r="BD150" s="7" t="s">
        <v>167</v>
      </c>
      <c r="BE150" s="7" t="s">
        <v>167</v>
      </c>
      <c r="BF150" s="7" t="s">
        <v>167</v>
      </c>
    </row>
    <row r="151" spans="2:58">
      <c r="B151" s="1" t="s">
        <v>298</v>
      </c>
      <c r="C151" s="19">
        <f t="shared" ref="C151:I151" si="628">C107</f>
        <v>185.55600000000001</v>
      </c>
      <c r="D151" s="19">
        <f t="shared" si="628"/>
        <v>215.50199999999998</v>
      </c>
      <c r="E151" s="19">
        <f t="shared" si="628"/>
        <v>239.74199999999999</v>
      </c>
      <c r="F151" s="19">
        <f t="shared" si="628"/>
        <v>246.11300000000003</v>
      </c>
      <c r="G151" s="19">
        <f t="shared" si="628"/>
        <v>302.95100000000002</v>
      </c>
      <c r="H151" s="19">
        <f t="shared" si="628"/>
        <v>333.66300000000007</v>
      </c>
      <c r="I151" s="19">
        <f t="shared" si="628"/>
        <v>464.91700000000003</v>
      </c>
      <c r="J151" s="19">
        <f t="shared" ref="J151" si="629">J107</f>
        <v>464.97500000000008</v>
      </c>
      <c r="K151" s="19">
        <f t="shared" ref="K151:M151" si="630">K107</f>
        <v>554</v>
      </c>
      <c r="L151" s="19">
        <f t="shared" ref="L151" si="631">L107</f>
        <v>557.69999999999993</v>
      </c>
      <c r="M151" s="19">
        <f t="shared" si="630"/>
        <v>681.8</v>
      </c>
      <c r="N151" s="19">
        <f t="shared" ref="N151" si="632">N107</f>
        <v>779.3</v>
      </c>
      <c r="O151" s="19">
        <f t="shared" ref="O151" si="633">O107</f>
        <v>801.09999999999991</v>
      </c>
      <c r="P151" s="19"/>
      <c r="Q151" s="19"/>
      <c r="R151" s="19">
        <f t="shared" ref="R151:X151" si="634">R107</f>
        <v>246.113</v>
      </c>
      <c r="S151" s="19">
        <f t="shared" si="634"/>
        <v>289.33599999999996</v>
      </c>
      <c r="T151" s="19">
        <f t="shared" si="634"/>
        <v>302.95100000000002</v>
      </c>
      <c r="U151" s="19">
        <f t="shared" si="634"/>
        <v>309.56100000000004</v>
      </c>
      <c r="V151" s="19">
        <f t="shared" si="634"/>
        <v>333.66300000000001</v>
      </c>
      <c r="W151" s="19">
        <f t="shared" si="634"/>
        <v>385.43399999999997</v>
      </c>
      <c r="X151" s="19">
        <f t="shared" si="634"/>
        <v>464.91700000000003</v>
      </c>
      <c r="Y151" s="19">
        <f t="shared" ref="Y151:AA151" si="635">Y107</f>
        <v>520.85500000000002</v>
      </c>
      <c r="Z151" s="19">
        <f t="shared" si="635"/>
        <v>554</v>
      </c>
      <c r="AA151" s="19">
        <f t="shared" si="635"/>
        <v>603.79999999999995</v>
      </c>
      <c r="AB151" s="19">
        <f t="shared" ref="AB151:AC151" si="636">AB107</f>
        <v>681.8</v>
      </c>
      <c r="AC151" s="19">
        <f t="shared" si="636"/>
        <v>728.99999999999989</v>
      </c>
      <c r="AD151" s="19">
        <f t="shared" ref="AD151" si="637">AD107</f>
        <v>779.3</v>
      </c>
      <c r="AF151" s="148"/>
      <c r="AG151" s="19">
        <f>AG107</f>
        <v>246.11300000000003</v>
      </c>
      <c r="AH151" s="148"/>
      <c r="AI151" s="19">
        <f t="shared" ref="AI151:AT151" si="638">AI107</f>
        <v>289.33600000000001</v>
      </c>
      <c r="AJ151" s="19">
        <f t="shared" si="638"/>
        <v>301.27100000000007</v>
      </c>
      <c r="AK151" s="19">
        <f t="shared" si="638"/>
        <v>302.95100000000002</v>
      </c>
      <c r="AL151" s="19">
        <f t="shared" si="638"/>
        <v>308.26400000000001</v>
      </c>
      <c r="AM151" s="19">
        <f t="shared" si="638"/>
        <v>309.56100000000004</v>
      </c>
      <c r="AN151" s="19">
        <f t="shared" si="638"/>
        <v>321.89</v>
      </c>
      <c r="AO151" s="19">
        <f t="shared" si="638"/>
        <v>333.66300000000007</v>
      </c>
      <c r="AP151" s="19">
        <f t="shared" si="638"/>
        <v>361.05900000000003</v>
      </c>
      <c r="AQ151" s="19">
        <f t="shared" si="638"/>
        <v>385.43400000000008</v>
      </c>
      <c r="AR151" s="19">
        <f t="shared" si="638"/>
        <v>424.32400000000001</v>
      </c>
      <c r="AS151" s="19">
        <f t="shared" si="638"/>
        <v>464.91700000000003</v>
      </c>
      <c r="AT151" s="19">
        <f t="shared" si="638"/>
        <v>487.24800000000005</v>
      </c>
      <c r="AU151" s="19">
        <f t="shared" ref="AU151:AX151" si="639">AU107</f>
        <v>520.8549999999999</v>
      </c>
      <c r="AV151" s="19">
        <f t="shared" si="639"/>
        <v>539.66699999999992</v>
      </c>
      <c r="AW151" s="19">
        <f t="shared" si="639"/>
        <v>554</v>
      </c>
      <c r="AX151" s="19">
        <f t="shared" si="639"/>
        <v>580.22800000000007</v>
      </c>
      <c r="AY151" s="19">
        <f t="shared" ref="AY151:BB151" si="640">AY107</f>
        <v>609.30000000000007</v>
      </c>
      <c r="AZ151" s="19">
        <f t="shared" si="640"/>
        <v>637.6</v>
      </c>
      <c r="BA151" s="19">
        <f>BA107</f>
        <v>682.10000000000014</v>
      </c>
      <c r="BB151" s="19">
        <f t="shared" si="640"/>
        <v>706.6</v>
      </c>
      <c r="BC151" s="19">
        <f>BC107</f>
        <v>729.00000000000011</v>
      </c>
      <c r="BD151" s="19">
        <f>BD107</f>
        <v>758.80000000000007</v>
      </c>
      <c r="BE151" s="19">
        <f t="shared" ref="BE151:BF151" si="641">BE107</f>
        <v>779.3</v>
      </c>
      <c r="BF151" s="19">
        <f t="shared" si="641"/>
        <v>801.09999999999991</v>
      </c>
    </row>
    <row r="152" spans="2:58">
      <c r="B152" s="1" t="s">
        <v>299</v>
      </c>
      <c r="C152" s="19">
        <f t="shared" ref="C152:I152" si="642">C110</f>
        <v>164.96000000000004</v>
      </c>
      <c r="D152" s="19">
        <f t="shared" si="642"/>
        <v>185.98700000000002</v>
      </c>
      <c r="E152" s="19">
        <f t="shared" si="642"/>
        <v>203.2</v>
      </c>
      <c r="F152" s="19">
        <f t="shared" si="642"/>
        <v>214.5</v>
      </c>
      <c r="G152" s="19">
        <f t="shared" si="642"/>
        <v>238.1</v>
      </c>
      <c r="H152" s="19">
        <f t="shared" si="642"/>
        <v>284.68399999999997</v>
      </c>
      <c r="I152" s="19">
        <f t="shared" si="642"/>
        <v>371.03399999999999</v>
      </c>
      <c r="J152" s="19">
        <f t="shared" ref="J152" si="643">J110</f>
        <v>360.97600000000011</v>
      </c>
      <c r="K152" s="19">
        <f t="shared" ref="K152:M152" si="644">K110</f>
        <v>457.79999999999995</v>
      </c>
      <c r="L152" s="19">
        <f t="shared" ref="L152" si="645">L110</f>
        <v>472.7</v>
      </c>
      <c r="M152" s="19">
        <f t="shared" si="644"/>
        <v>604</v>
      </c>
      <c r="N152" s="19">
        <f t="shared" ref="N152" si="646">N110</f>
        <v>701.2</v>
      </c>
      <c r="O152" s="19">
        <f t="shared" ref="O152" si="647">O110</f>
        <v>718.40000000000009</v>
      </c>
      <c r="P152" s="19"/>
      <c r="Q152" s="19"/>
      <c r="R152" s="19">
        <f t="shared" ref="R152:X152" si="648">R110</f>
        <v>214.5</v>
      </c>
      <c r="S152" s="19">
        <f t="shared" si="648"/>
        <v>240.8</v>
      </c>
      <c r="T152" s="19">
        <f t="shared" si="648"/>
        <v>238.1</v>
      </c>
      <c r="U152" s="19">
        <f t="shared" si="648"/>
        <v>267.87599999999998</v>
      </c>
      <c r="V152" s="19">
        <f t="shared" si="648"/>
        <v>284.68399999999997</v>
      </c>
      <c r="W152" s="19">
        <f t="shared" si="648"/>
        <v>302.11599999999999</v>
      </c>
      <c r="X152" s="19">
        <f t="shared" si="648"/>
        <v>371.03399999999999</v>
      </c>
      <c r="Y152" s="19">
        <f t="shared" ref="Y152:AA152" si="649">Y110</f>
        <v>431.92600000000004</v>
      </c>
      <c r="Z152" s="19">
        <f t="shared" si="649"/>
        <v>457.79999999999995</v>
      </c>
      <c r="AA152" s="19">
        <f t="shared" si="649"/>
        <v>512.6</v>
      </c>
      <c r="AB152" s="19">
        <f t="shared" ref="AB152:AC152" si="650">AB110</f>
        <v>604</v>
      </c>
      <c r="AC152" s="19">
        <f t="shared" si="650"/>
        <v>649.89999999999986</v>
      </c>
      <c r="AD152" s="19">
        <f t="shared" ref="AD152" si="651">AD110</f>
        <v>701.2</v>
      </c>
      <c r="AF152" s="148"/>
      <c r="AG152" s="19">
        <f>AG110</f>
        <v>214.5</v>
      </c>
      <c r="AH152" s="148"/>
      <c r="AI152" s="19">
        <f t="shared" ref="AI152:AT152" si="652">AI110</f>
        <v>240.8</v>
      </c>
      <c r="AJ152" s="19">
        <f t="shared" si="652"/>
        <v>242.28899999999999</v>
      </c>
      <c r="AK152" s="19">
        <f t="shared" si="652"/>
        <v>238.1</v>
      </c>
      <c r="AL152" s="19">
        <f t="shared" si="652"/>
        <v>244.81399999999994</v>
      </c>
      <c r="AM152" s="19">
        <f t="shared" si="652"/>
        <v>267.87599999999998</v>
      </c>
      <c r="AN152" s="19">
        <f t="shared" si="652"/>
        <v>279.86599999999999</v>
      </c>
      <c r="AO152" s="19">
        <f t="shared" si="652"/>
        <v>284.68399999999997</v>
      </c>
      <c r="AP152" s="19">
        <f t="shared" si="652"/>
        <v>293.41800000000001</v>
      </c>
      <c r="AQ152" s="19">
        <f t="shared" si="652"/>
        <v>302.11599999999993</v>
      </c>
      <c r="AR152" s="19">
        <f t="shared" si="652"/>
        <v>331.79799999999989</v>
      </c>
      <c r="AS152" s="19">
        <f t="shared" si="652"/>
        <v>371.03399999999999</v>
      </c>
      <c r="AT152" s="19">
        <f t="shared" si="652"/>
        <v>391.13499999999988</v>
      </c>
      <c r="AU152" s="19">
        <f t="shared" ref="AU152:AX152" si="653">AU110</f>
        <v>431.92599999999993</v>
      </c>
      <c r="AV152" s="19">
        <f t="shared" si="653"/>
        <v>448.55400000000003</v>
      </c>
      <c r="AW152" s="19">
        <f t="shared" si="653"/>
        <v>457.79999999999995</v>
      </c>
      <c r="AX152" s="19">
        <f t="shared" si="653"/>
        <v>493.28499999999985</v>
      </c>
      <c r="AY152" s="19">
        <f t="shared" ref="AY152:BB152" si="654">AY110</f>
        <v>515.89999999999986</v>
      </c>
      <c r="AZ152" s="19">
        <f t="shared" si="654"/>
        <v>545.0999999999998</v>
      </c>
      <c r="BA152" s="19">
        <f t="shared" si="654"/>
        <v>604.29999999999995</v>
      </c>
      <c r="BB152" s="19">
        <f t="shared" si="654"/>
        <v>626.4</v>
      </c>
      <c r="BC152" s="19">
        <f t="shared" ref="BC152:BF152" si="655">BC110</f>
        <v>649.9</v>
      </c>
      <c r="BD152" s="19">
        <f t="shared" si="655"/>
        <v>679.2</v>
      </c>
      <c r="BE152" s="19">
        <f t="shared" si="655"/>
        <v>701.2</v>
      </c>
      <c r="BF152" s="19">
        <f t="shared" si="655"/>
        <v>718.40000000000009</v>
      </c>
    </row>
    <row r="153" spans="2:58">
      <c r="B153" s="1" t="s">
        <v>300</v>
      </c>
      <c r="C153" s="33">
        <f t="shared" ref="C153" si="656">C152/C151</f>
        <v>0.88900385867339249</v>
      </c>
      <c r="D153" s="33">
        <f t="shared" ref="D153" si="657">D152/D151</f>
        <v>0.86304071423931117</v>
      </c>
      <c r="E153" s="33">
        <f t="shared" ref="E153:F153" si="658">E152/E151</f>
        <v>0.84757781281544331</v>
      </c>
      <c r="F153" s="33">
        <f t="shared" si="658"/>
        <v>0.87155087297298384</v>
      </c>
      <c r="G153" s="33">
        <f t="shared" ref="G153:H153" si="659">G152/G151</f>
        <v>0.78593567936729036</v>
      </c>
      <c r="H153" s="33">
        <f t="shared" si="659"/>
        <v>0.85320817711283514</v>
      </c>
      <c r="I153" s="33">
        <f t="shared" ref="I153:J153" si="660">I152/I151</f>
        <v>0.7980650309625158</v>
      </c>
      <c r="J153" s="33">
        <f t="shared" si="660"/>
        <v>0.77633421151674831</v>
      </c>
      <c r="K153" s="33">
        <f t="shared" ref="K153:M153" si="661">K152/K151</f>
        <v>0.82635379061371828</v>
      </c>
      <c r="L153" s="33">
        <f t="shared" ref="L153" si="662">L152/L151</f>
        <v>0.84758830912677074</v>
      </c>
      <c r="M153" s="33">
        <f t="shared" si="661"/>
        <v>0.88589029040774425</v>
      </c>
      <c r="N153" s="33">
        <f t="shared" ref="N153" si="663">N152/N151</f>
        <v>0.89978185551135648</v>
      </c>
      <c r="O153" s="33">
        <f t="shared" ref="O153" si="664">O152/O151</f>
        <v>0.89676694545000646</v>
      </c>
      <c r="P153" s="33"/>
      <c r="Q153" s="33"/>
      <c r="R153" s="33">
        <f t="shared" ref="R153:S153" si="665">R152/R151</f>
        <v>0.87155087297298395</v>
      </c>
      <c r="S153" s="33">
        <f t="shared" si="665"/>
        <v>0.83225039400558531</v>
      </c>
      <c r="T153" s="33">
        <f t="shared" ref="T153:V153" si="666">T152/T151</f>
        <v>0.78593567936729036</v>
      </c>
      <c r="U153" s="33">
        <f t="shared" ref="U153" si="667">U152/U151</f>
        <v>0.8653415643443455</v>
      </c>
      <c r="V153" s="33">
        <f t="shared" si="666"/>
        <v>0.85320817711283525</v>
      </c>
      <c r="W153" s="33">
        <f t="shared" ref="W153:X153" si="668">W152/W151</f>
        <v>0.78383328922720885</v>
      </c>
      <c r="X153" s="33">
        <f t="shared" si="668"/>
        <v>0.7980650309625158</v>
      </c>
      <c r="Y153" s="33">
        <f t="shared" ref="Y153:AA153" si="669">Y152/Y151</f>
        <v>0.82926342264161812</v>
      </c>
      <c r="Z153" s="33">
        <f t="shared" si="669"/>
        <v>0.82635379061371828</v>
      </c>
      <c r="AA153" s="33">
        <f t="shared" si="669"/>
        <v>0.84895660814839358</v>
      </c>
      <c r="AB153" s="33">
        <f t="shared" ref="AB153:AC153" si="670">AB152/AB151</f>
        <v>0.88589029040774425</v>
      </c>
      <c r="AC153" s="33">
        <f t="shared" si="670"/>
        <v>0.89149519890260631</v>
      </c>
      <c r="AD153" s="33">
        <f t="shared" ref="AD153" si="671">AD152/AD151</f>
        <v>0.89978185551135648</v>
      </c>
      <c r="AF153" s="149"/>
      <c r="AG153" s="33">
        <f t="shared" ref="AG153:AK153" si="672">AG152/AG151</f>
        <v>0.87155087297298384</v>
      </c>
      <c r="AH153" s="149"/>
      <c r="AI153" s="33">
        <f t="shared" si="672"/>
        <v>0.8322503940055852</v>
      </c>
      <c r="AJ153" s="33">
        <f t="shared" si="672"/>
        <v>0.8042227761716193</v>
      </c>
      <c r="AK153" s="33">
        <f t="shared" si="672"/>
        <v>0.78593567936729036</v>
      </c>
      <c r="AL153" s="33">
        <f t="shared" ref="AL153:AP153" si="673">AL152/AL151</f>
        <v>0.79416993226584986</v>
      </c>
      <c r="AM153" s="33">
        <f t="shared" si="673"/>
        <v>0.8653415643443455</v>
      </c>
      <c r="AN153" s="33">
        <f t="shared" si="673"/>
        <v>0.86944608406598523</v>
      </c>
      <c r="AO153" s="33">
        <f t="shared" si="673"/>
        <v>0.85320817711283514</v>
      </c>
      <c r="AP153" s="33">
        <f t="shared" si="673"/>
        <v>0.812659426852675</v>
      </c>
      <c r="AQ153" s="33">
        <f t="shared" ref="AQ153:AT153" si="674">AQ152/AQ151</f>
        <v>0.78383328922720841</v>
      </c>
      <c r="AR153" s="33">
        <f t="shared" si="674"/>
        <v>0.78194492887510458</v>
      </c>
      <c r="AS153" s="33">
        <f t="shared" si="674"/>
        <v>0.7980650309625158</v>
      </c>
      <c r="AT153" s="33">
        <f t="shared" si="674"/>
        <v>0.80274316159327452</v>
      </c>
      <c r="AU153" s="33">
        <f t="shared" ref="AU153:AX153" si="675">AU152/AU151</f>
        <v>0.82926342264161812</v>
      </c>
      <c r="AV153" s="33">
        <f t="shared" si="675"/>
        <v>0.83116810922290985</v>
      </c>
      <c r="AW153" s="33">
        <f t="shared" si="675"/>
        <v>0.82635379061371828</v>
      </c>
      <c r="AX153" s="33">
        <f t="shared" si="675"/>
        <v>0.85015717959147064</v>
      </c>
      <c r="AY153" s="33">
        <f t="shared" ref="AY153:BB153" si="676">AY152/AY151</f>
        <v>0.84670933858526143</v>
      </c>
      <c r="AZ153" s="33">
        <f t="shared" si="676"/>
        <v>0.85492471769134215</v>
      </c>
      <c r="BA153" s="33">
        <f t="shared" si="676"/>
        <v>0.88594047793578634</v>
      </c>
      <c r="BB153" s="33">
        <f t="shared" si="676"/>
        <v>0.88649872629493343</v>
      </c>
      <c r="BC153" s="33">
        <f t="shared" ref="BC153:BF153" si="677">BC152/BC151</f>
        <v>0.89149519890260609</v>
      </c>
      <c r="BD153" s="33">
        <f t="shared" si="677"/>
        <v>0.89509752240379548</v>
      </c>
      <c r="BE153" s="33">
        <f t="shared" si="677"/>
        <v>0.89978185551135648</v>
      </c>
      <c r="BF153" s="33">
        <f t="shared" si="677"/>
        <v>0.89676694545000646</v>
      </c>
    </row>
    <row r="154" spans="2:58">
      <c r="B154" s="1" t="s">
        <v>18</v>
      </c>
      <c r="C154" s="19">
        <f t="shared" ref="C154:G154" si="678">C128</f>
        <v>1731.546</v>
      </c>
      <c r="D154" s="19">
        <f t="shared" si="678"/>
        <v>2024.644</v>
      </c>
      <c r="E154" s="19">
        <f t="shared" si="678"/>
        <v>2131.3420000000001</v>
      </c>
      <c r="F154" s="19">
        <f t="shared" si="678"/>
        <v>2677.8130000000001</v>
      </c>
      <c r="G154" s="19">
        <f t="shared" si="678"/>
        <v>3394.2579999999998</v>
      </c>
      <c r="H154" s="19">
        <f t="shared" ref="H154:I154" si="679">H128</f>
        <v>4512.8140000000003</v>
      </c>
      <c r="I154" s="19">
        <f t="shared" si="679"/>
        <v>5874.2089999999998</v>
      </c>
      <c r="J154" s="19">
        <f t="shared" ref="J154" si="680">J128</f>
        <v>5874.2089999999998</v>
      </c>
      <c r="K154" s="19">
        <f t="shared" ref="K154:M154" si="681">K128</f>
        <v>6968.2</v>
      </c>
      <c r="L154" s="19">
        <f t="shared" ref="L154" si="682">L128</f>
        <v>6968.2</v>
      </c>
      <c r="M154" s="19">
        <f t="shared" si="681"/>
        <v>8099.5</v>
      </c>
      <c r="N154" s="19">
        <f t="shared" ref="N154" si="683">N128</f>
        <v>9228.5999999999985</v>
      </c>
      <c r="O154" s="19">
        <f t="shared" ref="O154" si="684">O128</f>
        <v>9377.4</v>
      </c>
      <c r="P154" s="19"/>
      <c r="Q154" s="19"/>
      <c r="R154" s="19">
        <f t="shared" ref="R154:W154" si="685">R128</f>
        <v>2677.8130000000001</v>
      </c>
      <c r="S154" s="19">
        <f t="shared" si="685"/>
        <v>2810.8440000000001</v>
      </c>
      <c r="T154" s="19">
        <f t="shared" si="685"/>
        <v>3394.2579999999998</v>
      </c>
      <c r="U154" s="19">
        <f t="shared" si="685"/>
        <v>3065.4570000000003</v>
      </c>
      <c r="V154" s="19">
        <f t="shared" si="685"/>
        <v>4512.8140000000003</v>
      </c>
      <c r="W154" s="19">
        <f t="shared" si="685"/>
        <v>5283.5419999999995</v>
      </c>
      <c r="X154" s="19">
        <f t="shared" ref="X154:Y154" si="686">X128</f>
        <v>5874.2089999999998</v>
      </c>
      <c r="Y154" s="19">
        <f t="shared" si="686"/>
        <v>6396.5</v>
      </c>
      <c r="Z154" s="19">
        <f t="shared" ref="Z154:AB154" si="687">Z128</f>
        <v>6968.2</v>
      </c>
      <c r="AA154" s="19">
        <f t="shared" ref="AA154:AD154" si="688">AA128</f>
        <v>7931.8</v>
      </c>
      <c r="AB154" s="19">
        <f t="shared" si="687"/>
        <v>8099.5</v>
      </c>
      <c r="AC154" s="19">
        <f t="shared" si="688"/>
        <v>8535</v>
      </c>
      <c r="AD154" s="19">
        <f t="shared" si="688"/>
        <v>9228.5999999999985</v>
      </c>
      <c r="AF154" s="148"/>
      <c r="AG154" s="19">
        <f t="shared" ref="AG154:AK154" si="689">AG128</f>
        <v>2677.8130000000001</v>
      </c>
      <c r="AH154" s="148"/>
      <c r="AI154" s="19">
        <f t="shared" si="689"/>
        <v>2810.8440000000001</v>
      </c>
      <c r="AJ154" s="19">
        <f t="shared" si="689"/>
        <v>2895.8870000000002</v>
      </c>
      <c r="AK154" s="19">
        <f t="shared" si="689"/>
        <v>3394.2579999999998</v>
      </c>
      <c r="AL154" s="19">
        <f>AL128</f>
        <v>3467.444</v>
      </c>
      <c r="AM154" s="19">
        <f>AM128</f>
        <v>3065.4570000000003</v>
      </c>
      <c r="AN154" s="19">
        <f t="shared" ref="AN154:AP154" si="690">AN128</f>
        <v>4504.4080000000004</v>
      </c>
      <c r="AO154" s="19">
        <f t="shared" si="690"/>
        <v>4512.8140000000003</v>
      </c>
      <c r="AP154" s="19">
        <f t="shared" si="690"/>
        <v>5396.4589999999998</v>
      </c>
      <c r="AQ154" s="19">
        <f t="shared" ref="AQ154:AT154" si="691">AQ128</f>
        <v>5283.5419999999995</v>
      </c>
      <c r="AR154" s="19">
        <f t="shared" si="691"/>
        <v>5709.155999999999</v>
      </c>
      <c r="AS154" s="19">
        <f t="shared" si="691"/>
        <v>5874.2089999999998</v>
      </c>
      <c r="AT154" s="19">
        <f t="shared" si="691"/>
        <v>6123.348</v>
      </c>
      <c r="AU154" s="19">
        <f t="shared" ref="AU154:AX154" si="692">AU128</f>
        <v>6396.5</v>
      </c>
      <c r="AV154" s="19">
        <f t="shared" si="692"/>
        <v>6786.2000000000007</v>
      </c>
      <c r="AW154" s="19">
        <f t="shared" si="692"/>
        <v>6968.2</v>
      </c>
      <c r="AX154" s="19">
        <f t="shared" si="692"/>
        <v>7657.5</v>
      </c>
      <c r="AY154" s="19">
        <f t="shared" ref="AY154:BB154" si="693">AY128</f>
        <v>7931.8</v>
      </c>
      <c r="AZ154" s="19">
        <f t="shared" si="693"/>
        <v>8136.2</v>
      </c>
      <c r="BA154" s="19">
        <f t="shared" si="693"/>
        <v>8099.5</v>
      </c>
      <c r="BB154" s="19">
        <f t="shared" si="693"/>
        <v>9246.7000000000007</v>
      </c>
      <c r="BC154" s="19">
        <f t="shared" ref="BC154:BF154" si="694">BC128</f>
        <v>8535</v>
      </c>
      <c r="BD154" s="19">
        <f t="shared" si="694"/>
        <v>9037</v>
      </c>
      <c r="BE154" s="19">
        <f t="shared" si="694"/>
        <v>9228.5999999999985</v>
      </c>
      <c r="BF154" s="19">
        <f t="shared" si="694"/>
        <v>9377.4</v>
      </c>
    </row>
    <row r="155" spans="2:58">
      <c r="B155" s="1" t="s">
        <v>301</v>
      </c>
      <c r="C155" s="19">
        <f t="shared" ref="C155:G155" si="695">C130</f>
        <v>64.417000000000002</v>
      </c>
      <c r="D155" s="19">
        <f t="shared" si="695"/>
        <v>25.484999999999999</v>
      </c>
      <c r="E155" s="19">
        <f t="shared" si="695"/>
        <v>46.283999999999999</v>
      </c>
      <c r="F155" s="19">
        <f t="shared" si="695"/>
        <v>63.820999999999998</v>
      </c>
      <c r="G155" s="19">
        <f t="shared" si="695"/>
        <v>419.14100000000002</v>
      </c>
      <c r="H155" s="19">
        <f t="shared" ref="H155:I155" si="696">H130</f>
        <v>892.81600000000003</v>
      </c>
      <c r="I155" s="19">
        <f t="shared" si="696"/>
        <v>660.63099999999997</v>
      </c>
      <c r="J155" s="19">
        <f t="shared" ref="J155" si="697">J130</f>
        <v>660.63099999999997</v>
      </c>
      <c r="K155" s="19">
        <f t="shared" ref="K155:M155" si="698">K130</f>
        <v>690.6</v>
      </c>
      <c r="L155" s="19">
        <f t="shared" ref="L155" si="699">L130</f>
        <v>690.6</v>
      </c>
      <c r="M155" s="19">
        <f t="shared" si="698"/>
        <v>855.4</v>
      </c>
      <c r="N155" s="19">
        <f t="shared" ref="N155" si="700">N130</f>
        <v>708.4</v>
      </c>
      <c r="O155" s="19">
        <f t="shared" ref="O155" si="701">O130</f>
        <v>633</v>
      </c>
      <c r="P155" s="19"/>
      <c r="Q155" s="19"/>
      <c r="R155" s="19">
        <f t="shared" ref="R155:W155" si="702">R130</f>
        <v>63.820999999999998</v>
      </c>
      <c r="S155" s="19">
        <f t="shared" si="702"/>
        <v>78.691999999999993</v>
      </c>
      <c r="T155" s="19">
        <f t="shared" si="702"/>
        <v>419.14100000000002</v>
      </c>
      <c r="U155" s="19">
        <f t="shared" si="702"/>
        <v>487.51100000000002</v>
      </c>
      <c r="V155" s="19">
        <f t="shared" si="702"/>
        <v>892.81600000000003</v>
      </c>
      <c r="W155" s="19">
        <f t="shared" si="702"/>
        <v>640.26199999999994</v>
      </c>
      <c r="X155" s="19">
        <f t="shared" ref="X155:Y155" si="703">X130</f>
        <v>660.63099999999997</v>
      </c>
      <c r="Y155" s="19">
        <f t="shared" si="703"/>
        <v>687.6</v>
      </c>
      <c r="Z155" s="19">
        <f t="shared" ref="Z155:AB155" si="704">Z130</f>
        <v>690.6</v>
      </c>
      <c r="AA155" s="19">
        <f t="shared" ref="AA155:AD155" si="705">AA130</f>
        <v>1101.4000000000001</v>
      </c>
      <c r="AB155" s="19">
        <f t="shared" si="704"/>
        <v>855.4</v>
      </c>
      <c r="AC155" s="19">
        <f t="shared" si="705"/>
        <v>848.4</v>
      </c>
      <c r="AD155" s="19">
        <f t="shared" si="705"/>
        <v>708.4</v>
      </c>
      <c r="AF155" s="148"/>
      <c r="AG155" s="19">
        <f t="shared" ref="AG155:AK155" si="706">AG130</f>
        <v>63.820999999999998</v>
      </c>
      <c r="AH155" s="148"/>
      <c r="AI155" s="19">
        <f t="shared" si="706"/>
        <v>78.691999999999993</v>
      </c>
      <c r="AJ155" s="19">
        <f t="shared" si="706"/>
        <v>64.936000000000007</v>
      </c>
      <c r="AK155" s="19">
        <f t="shared" si="706"/>
        <v>419.14100000000002</v>
      </c>
      <c r="AL155" s="19">
        <f>AL130</f>
        <v>1148.002</v>
      </c>
      <c r="AM155" s="19">
        <f>AM130</f>
        <v>487.51100000000002</v>
      </c>
      <c r="AN155" s="19">
        <f t="shared" ref="AN155:AP155" si="707">AN130</f>
        <v>1389.664</v>
      </c>
      <c r="AO155" s="19">
        <f t="shared" si="707"/>
        <v>892.81600000000003</v>
      </c>
      <c r="AP155" s="19">
        <f t="shared" si="707"/>
        <v>1145.1780000000001</v>
      </c>
      <c r="AQ155" s="19">
        <f t="shared" ref="AQ155:AT155" si="708">AQ130</f>
        <v>640.26199999999994</v>
      </c>
      <c r="AR155" s="19">
        <f t="shared" si="708"/>
        <v>747.52800000000002</v>
      </c>
      <c r="AS155" s="19">
        <f t="shared" si="708"/>
        <v>660.63099999999997</v>
      </c>
      <c r="AT155" s="19">
        <f t="shared" si="708"/>
        <v>612.01</v>
      </c>
      <c r="AU155" s="19">
        <f t="shared" ref="AU155:AX155" si="709">AU130</f>
        <v>687.6</v>
      </c>
      <c r="AV155" s="19">
        <f t="shared" si="709"/>
        <v>868.5</v>
      </c>
      <c r="AW155" s="19">
        <f t="shared" si="709"/>
        <v>690.6</v>
      </c>
      <c r="AX155" s="19">
        <f t="shared" si="709"/>
        <v>1232.2</v>
      </c>
      <c r="AY155" s="19">
        <f t="shared" ref="AY155:BB155" si="710">AY130</f>
        <v>1101.4000000000001</v>
      </c>
      <c r="AZ155" s="19">
        <f t="shared" si="710"/>
        <v>1285.4000000000001</v>
      </c>
      <c r="BA155" s="19">
        <f t="shared" si="710"/>
        <v>855.4</v>
      </c>
      <c r="BB155" s="19">
        <f t="shared" si="710"/>
        <v>1846.5</v>
      </c>
      <c r="BC155" s="19">
        <f t="shared" ref="BC155:BF155" si="711">BC130</f>
        <v>848.4</v>
      </c>
      <c r="BD155" s="19">
        <f t="shared" si="711"/>
        <v>1052.2</v>
      </c>
      <c r="BE155" s="19">
        <f t="shared" si="711"/>
        <v>708.4</v>
      </c>
      <c r="BF155" s="19">
        <f t="shared" si="711"/>
        <v>633</v>
      </c>
    </row>
    <row r="156" spans="2:58">
      <c r="B156" s="1" t="s">
        <v>14</v>
      </c>
      <c r="C156" s="19">
        <f t="shared" ref="C156" si="712">C154-C155</f>
        <v>1667.1290000000001</v>
      </c>
      <c r="D156" s="19">
        <f t="shared" ref="D156" si="713">D154-D155</f>
        <v>1999.1590000000001</v>
      </c>
      <c r="E156" s="19">
        <f t="shared" ref="E156:F156" si="714">E154-E155</f>
        <v>2085.058</v>
      </c>
      <c r="F156" s="19">
        <f t="shared" si="714"/>
        <v>2613.9920000000002</v>
      </c>
      <c r="G156" s="19">
        <f t="shared" ref="G156:H156" si="715">G154-G155</f>
        <v>2975.1169999999997</v>
      </c>
      <c r="H156" s="19">
        <f t="shared" si="715"/>
        <v>3619.9980000000005</v>
      </c>
      <c r="I156" s="19">
        <f t="shared" ref="I156:J156" si="716">I154-I155</f>
        <v>5213.5779999999995</v>
      </c>
      <c r="J156" s="19">
        <f t="shared" si="716"/>
        <v>5213.5779999999995</v>
      </c>
      <c r="K156" s="19">
        <f t="shared" ref="K156:M156" si="717">K154-K155</f>
        <v>6277.5999999999995</v>
      </c>
      <c r="L156" s="19">
        <f t="shared" ref="L156" si="718">L154-L155</f>
        <v>6277.5999999999995</v>
      </c>
      <c r="M156" s="19">
        <f t="shared" si="717"/>
        <v>7244.1</v>
      </c>
      <c r="N156" s="19">
        <f t="shared" ref="N156" si="719">N154-N155</f>
        <v>8520.1999999999989</v>
      </c>
      <c r="O156" s="19">
        <f t="shared" ref="O156" si="720">O154-O155</f>
        <v>8744.4</v>
      </c>
      <c r="P156" s="19"/>
      <c r="Q156" s="19"/>
      <c r="R156" s="19">
        <f t="shared" ref="R156:S156" si="721">R154-R155</f>
        <v>2613.9920000000002</v>
      </c>
      <c r="S156" s="19">
        <f t="shared" si="721"/>
        <v>2732.152</v>
      </c>
      <c r="T156" s="19">
        <f t="shared" ref="T156:V156" si="722">T154-T155</f>
        <v>2975.1169999999997</v>
      </c>
      <c r="U156" s="19">
        <f t="shared" ref="U156" si="723">U154-U155</f>
        <v>2577.9460000000004</v>
      </c>
      <c r="V156" s="19">
        <f t="shared" si="722"/>
        <v>3619.9980000000005</v>
      </c>
      <c r="W156" s="19">
        <f t="shared" ref="W156:X156" si="724">W154-W155</f>
        <v>4643.28</v>
      </c>
      <c r="X156" s="19">
        <f t="shared" si="724"/>
        <v>5213.5779999999995</v>
      </c>
      <c r="Y156" s="19">
        <f t="shared" ref="Y156:AA156" si="725">Y154-Y155</f>
        <v>5708.9</v>
      </c>
      <c r="Z156" s="19">
        <f t="shared" si="725"/>
        <v>6277.5999999999995</v>
      </c>
      <c r="AA156" s="19">
        <f t="shared" si="725"/>
        <v>6830.4</v>
      </c>
      <c r="AB156" s="19">
        <f t="shared" ref="AB156:AC156" si="726">AB154-AB155</f>
        <v>7244.1</v>
      </c>
      <c r="AC156" s="19">
        <f t="shared" si="726"/>
        <v>7686.6</v>
      </c>
      <c r="AD156" s="19">
        <f t="shared" ref="AD156" si="727">AD154-AD155</f>
        <v>8520.1999999999989</v>
      </c>
      <c r="AF156" s="148"/>
      <c r="AG156" s="19">
        <f t="shared" ref="AG156:AK156" si="728">AG154-AG155</f>
        <v>2613.9920000000002</v>
      </c>
      <c r="AH156" s="148"/>
      <c r="AI156" s="19">
        <f t="shared" si="728"/>
        <v>2732.152</v>
      </c>
      <c r="AJ156" s="19">
        <f t="shared" si="728"/>
        <v>2830.951</v>
      </c>
      <c r="AK156" s="19">
        <f t="shared" si="728"/>
        <v>2975.1169999999997</v>
      </c>
      <c r="AL156" s="19">
        <f>AL154-AL155</f>
        <v>2319.442</v>
      </c>
      <c r="AM156" s="19">
        <f>AM154-AM155</f>
        <v>2577.9460000000004</v>
      </c>
      <c r="AN156" s="19">
        <f t="shared" ref="AN156:AP156" si="729">AN154-AN155</f>
        <v>3114.7440000000006</v>
      </c>
      <c r="AO156" s="19">
        <f t="shared" si="729"/>
        <v>3619.9980000000005</v>
      </c>
      <c r="AP156" s="19">
        <f t="shared" si="729"/>
        <v>4251.2809999999999</v>
      </c>
      <c r="AQ156" s="19">
        <f t="shared" ref="AQ156:AT156" si="730">AQ154-AQ155</f>
        <v>4643.28</v>
      </c>
      <c r="AR156" s="19">
        <f t="shared" si="730"/>
        <v>4961.6279999999988</v>
      </c>
      <c r="AS156" s="19">
        <f t="shared" si="730"/>
        <v>5213.5779999999995</v>
      </c>
      <c r="AT156" s="19">
        <f t="shared" si="730"/>
        <v>5511.3379999999997</v>
      </c>
      <c r="AU156" s="19">
        <f t="shared" ref="AU156:AX156" si="731">AU154-AU155</f>
        <v>5708.9</v>
      </c>
      <c r="AV156" s="19">
        <f t="shared" si="731"/>
        <v>5917.7000000000007</v>
      </c>
      <c r="AW156" s="19">
        <f t="shared" si="731"/>
        <v>6277.5999999999995</v>
      </c>
      <c r="AX156" s="19">
        <f t="shared" si="731"/>
        <v>6425.3</v>
      </c>
      <c r="AY156" s="19">
        <f t="shared" ref="AY156:BB156" si="732">AY154-AY155</f>
        <v>6830.4</v>
      </c>
      <c r="AZ156" s="19">
        <f t="shared" si="732"/>
        <v>6850.7999999999993</v>
      </c>
      <c r="BA156" s="19">
        <f t="shared" si="732"/>
        <v>7244.1</v>
      </c>
      <c r="BB156" s="19">
        <f t="shared" si="732"/>
        <v>7400.2000000000007</v>
      </c>
      <c r="BC156" s="19">
        <f t="shared" ref="BC156:BF156" si="733">BC154-BC155</f>
        <v>7686.6</v>
      </c>
      <c r="BD156" s="19">
        <f t="shared" si="733"/>
        <v>7984.8</v>
      </c>
      <c r="BE156" s="19">
        <f t="shared" si="733"/>
        <v>8520.1999999999989</v>
      </c>
      <c r="BF156" s="19">
        <f t="shared" si="733"/>
        <v>8744.4</v>
      </c>
    </row>
    <row r="157" spans="2:58">
      <c r="B157" s="1" t="s">
        <v>302</v>
      </c>
      <c r="C157" s="53">
        <f t="shared" ref="C157:G157" si="734">C140</f>
        <v>10.496762851600385</v>
      </c>
      <c r="D157" s="53">
        <f t="shared" si="734"/>
        <v>10.885943641222235</v>
      </c>
      <c r="E157" s="53">
        <f t="shared" si="734"/>
        <v>10.488887795275591</v>
      </c>
      <c r="F157" s="53">
        <f t="shared" si="734"/>
        <v>12.483976689976691</v>
      </c>
      <c r="G157" s="53">
        <f t="shared" si="734"/>
        <v>14.255598488030239</v>
      </c>
      <c r="H157" s="53">
        <f t="shared" ref="H157:I157" si="735">H140</f>
        <v>15.8520113529387</v>
      </c>
      <c r="I157" s="53">
        <f t="shared" si="735"/>
        <v>15.831996528620019</v>
      </c>
      <c r="J157" s="53">
        <f t="shared" ref="J157" si="736">J140</f>
        <v>16.273128961482197</v>
      </c>
      <c r="K157" s="53">
        <f t="shared" ref="K157:M157" si="737">K140</f>
        <v>15.221057230231544</v>
      </c>
      <c r="L157" s="53">
        <f t="shared" ref="L157" si="738">L140</f>
        <v>14.741273535011635</v>
      </c>
      <c r="M157" s="53">
        <f t="shared" si="737"/>
        <v>13.409768211920531</v>
      </c>
      <c r="N157" s="53">
        <f t="shared" ref="N157" si="739">N140</f>
        <v>13.161152310325154</v>
      </c>
      <c r="O157" s="53">
        <f t="shared" ref="O157" si="740">O140</f>
        <v>13.053173719376391</v>
      </c>
      <c r="P157" s="53"/>
      <c r="Q157" s="53"/>
      <c r="R157" s="53">
        <f t="shared" ref="R157:W157" si="741">R140</f>
        <v>12.483976689976691</v>
      </c>
      <c r="S157" s="53">
        <f t="shared" si="741"/>
        <v>11.672940199335548</v>
      </c>
      <c r="T157" s="53">
        <f t="shared" si="741"/>
        <v>14.255598488030239</v>
      </c>
      <c r="U157" s="53">
        <f t="shared" si="741"/>
        <v>11.443567172871033</v>
      </c>
      <c r="V157" s="53">
        <f t="shared" si="741"/>
        <v>15.8520113529387</v>
      </c>
      <c r="W157" s="53">
        <f t="shared" si="741"/>
        <v>17.488454765719126</v>
      </c>
      <c r="X157" s="53">
        <f t="shared" ref="X157:Y157" si="742">X140</f>
        <v>15.831996528620019</v>
      </c>
      <c r="Y157" s="53">
        <f t="shared" si="742"/>
        <v>14.809249732593081</v>
      </c>
      <c r="Z157" s="53">
        <f t="shared" ref="Z157:AB157" si="743">Z140</f>
        <v>15.221057230231544</v>
      </c>
      <c r="AA157" s="53">
        <f t="shared" ref="AA157:AD157" si="744">AA140</f>
        <v>15.473663675380413</v>
      </c>
      <c r="AB157" s="53">
        <f t="shared" si="743"/>
        <v>13.409768211920531</v>
      </c>
      <c r="AC157" s="53">
        <f t="shared" si="744"/>
        <v>13.132789659947687</v>
      </c>
      <c r="AD157" s="53">
        <f t="shared" si="744"/>
        <v>13.161152310325154</v>
      </c>
      <c r="AF157" s="150"/>
      <c r="AG157" s="53">
        <f t="shared" ref="AG157:AK157" si="745">AG140</f>
        <v>12.483976689976691</v>
      </c>
      <c r="AH157" s="150"/>
      <c r="AI157" s="53">
        <f t="shared" si="745"/>
        <v>11.672940199335548</v>
      </c>
      <c r="AJ157" s="53">
        <f t="shared" si="745"/>
        <v>11.952201709528705</v>
      </c>
      <c r="AK157" s="53">
        <f t="shared" si="745"/>
        <v>14.255598488030239</v>
      </c>
      <c r="AL157" s="53">
        <f>AL140</f>
        <v>14.163585415866743</v>
      </c>
      <c r="AM157" s="53">
        <f>AM140</f>
        <v>11.443567172871033</v>
      </c>
      <c r="AN157" s="53">
        <f t="shared" ref="AN157:AP157" si="746">AN140</f>
        <v>16.094873975402518</v>
      </c>
      <c r="AO157" s="53">
        <f t="shared" si="746"/>
        <v>15.8520113529387</v>
      </c>
      <c r="AP157" s="53">
        <f t="shared" si="746"/>
        <v>18.391710801654977</v>
      </c>
      <c r="AQ157" s="53">
        <f t="shared" ref="AQ157:AT157" si="747">AQ140</f>
        <v>17.48845476571913</v>
      </c>
      <c r="AR157" s="53">
        <f t="shared" si="747"/>
        <v>17.206722162279462</v>
      </c>
      <c r="AS157" s="53">
        <f t="shared" si="747"/>
        <v>15.831996528620019</v>
      </c>
      <c r="AT157" s="53">
        <f t="shared" si="747"/>
        <v>15.655331279481514</v>
      </c>
      <c r="AU157" s="53">
        <f t="shared" ref="AU157:AX157" si="748">AU140</f>
        <v>14.809249732593086</v>
      </c>
      <c r="AV157" s="53">
        <f t="shared" si="748"/>
        <v>15.12905915452766</v>
      </c>
      <c r="AW157" s="53">
        <f t="shared" si="748"/>
        <v>15.221057230231544</v>
      </c>
      <c r="AX157" s="53">
        <f t="shared" si="748"/>
        <v>15.523480340979358</v>
      </c>
      <c r="AY157" s="53">
        <f t="shared" ref="AY157:BB157" si="749">AY140</f>
        <v>15.374685016476066</v>
      </c>
      <c r="AZ157" s="53">
        <f t="shared" si="749"/>
        <v>14.926068611263993</v>
      </c>
      <c r="BA157" s="53">
        <f t="shared" si="749"/>
        <v>13.403111037564125</v>
      </c>
      <c r="BB157" s="53">
        <f t="shared" si="749"/>
        <v>14.761653895274586</v>
      </c>
      <c r="BC157" s="53">
        <f t="shared" ref="BC157:BF157" si="750">BC140</f>
        <v>13.132789659947685</v>
      </c>
      <c r="BD157" s="53">
        <f t="shared" si="750"/>
        <v>13.305359246171966</v>
      </c>
      <c r="BE157" s="53">
        <f t="shared" si="750"/>
        <v>13.161152310325154</v>
      </c>
      <c r="BF157" s="53">
        <f t="shared" si="750"/>
        <v>13.053173719376391</v>
      </c>
    </row>
    <row r="158" spans="2:58">
      <c r="B158" s="1" t="s">
        <v>303</v>
      </c>
      <c r="C158" s="35">
        <f t="shared" ref="C158:G158" si="751">C139</f>
        <v>10.106262124151309</v>
      </c>
      <c r="D158" s="35">
        <f t="shared" si="751"/>
        <v>10.748917935124497</v>
      </c>
      <c r="E158" s="35">
        <f t="shared" si="751"/>
        <v>10.261112204724411</v>
      </c>
      <c r="F158" s="35">
        <f t="shared" si="751"/>
        <v>12.186442890442891</v>
      </c>
      <c r="G158" s="35">
        <f t="shared" si="751"/>
        <v>12.495241495170095</v>
      </c>
      <c r="H158" s="35">
        <f t="shared" ref="H158:I158" si="752">H139</f>
        <v>12.715846341908927</v>
      </c>
      <c r="I158" s="35">
        <f t="shared" si="752"/>
        <v>14.051483152487371</v>
      </c>
      <c r="J158" s="35">
        <f t="shared" ref="J158" si="753">J139</f>
        <v>14.443004521076187</v>
      </c>
      <c r="K158" s="35">
        <f t="shared" ref="K158:M158" si="754">K139</f>
        <v>13.712538226299694</v>
      </c>
      <c r="L158" s="35">
        <f t="shared" ref="L158" si="755">L139</f>
        <v>13.280304632959593</v>
      </c>
      <c r="M158" s="35">
        <f t="shared" si="754"/>
        <v>11.993543046357617</v>
      </c>
      <c r="N158" s="35">
        <f t="shared" ref="N158" si="756">N139</f>
        <v>12.150884198516826</v>
      </c>
      <c r="O158" s="35">
        <f t="shared" ref="O158" si="757">O139</f>
        <v>12.172048997772826</v>
      </c>
      <c r="P158" s="35"/>
      <c r="Q158" s="35"/>
      <c r="R158" s="35">
        <f t="shared" ref="R158:W158" si="758">R139</f>
        <v>12.186442890442891</v>
      </c>
      <c r="S158" s="35">
        <f t="shared" si="758"/>
        <v>11.346146179401993</v>
      </c>
      <c r="T158" s="35">
        <f t="shared" si="758"/>
        <v>12.495241495170095</v>
      </c>
      <c r="U158" s="35">
        <f t="shared" si="758"/>
        <v>9.6236542280756794</v>
      </c>
      <c r="V158" s="35">
        <f t="shared" si="758"/>
        <v>12.715846341908927</v>
      </c>
      <c r="W158" s="35">
        <f t="shared" si="758"/>
        <v>15.369195937984086</v>
      </c>
      <c r="X158" s="35">
        <f t="shared" ref="X158:Y158" si="759">X139</f>
        <v>14.051483152487371</v>
      </c>
      <c r="Y158" s="35">
        <f t="shared" si="759"/>
        <v>13.21731037261012</v>
      </c>
      <c r="Z158" s="35">
        <f t="shared" ref="Z158:AB158" si="760">Z139</f>
        <v>13.712538226299694</v>
      </c>
      <c r="AA158" s="35">
        <f t="shared" ref="AA158:AD158" si="761">AA139</f>
        <v>13.325009754194303</v>
      </c>
      <c r="AB158" s="35">
        <f t="shared" si="760"/>
        <v>11.993543046357617</v>
      </c>
      <c r="AC158" s="35">
        <f t="shared" si="761"/>
        <v>11.827358055085401</v>
      </c>
      <c r="AD158" s="35">
        <f t="shared" si="761"/>
        <v>12.150884198516826</v>
      </c>
      <c r="AF158" s="145"/>
      <c r="AG158" s="35">
        <f t="shared" ref="AG158:AK158" si="762">AG139</f>
        <v>12.186442890442891</v>
      </c>
      <c r="AH158" s="145"/>
      <c r="AI158" s="35">
        <f t="shared" si="762"/>
        <v>11.346146179401993</v>
      </c>
      <c r="AJ158" s="35">
        <f t="shared" si="762"/>
        <v>11.684191193161887</v>
      </c>
      <c r="AK158" s="35">
        <f t="shared" si="762"/>
        <v>12.495241495170095</v>
      </c>
      <c r="AL158" s="35">
        <f>AL139</f>
        <v>9.4743029401913308</v>
      </c>
      <c r="AM158" s="35">
        <f>AM139</f>
        <v>9.6236542280756794</v>
      </c>
      <c r="AN158" s="35">
        <f t="shared" ref="AN158:AP158" si="763">AN139</f>
        <v>11.129411932853582</v>
      </c>
      <c r="AO158" s="35">
        <f t="shared" si="763"/>
        <v>12.715846341908927</v>
      </c>
      <c r="AP158" s="35">
        <f t="shared" si="763"/>
        <v>14.488821408366221</v>
      </c>
      <c r="AQ158" s="35">
        <f t="shared" ref="AQ158:AT158" si="764">AQ139</f>
        <v>15.369195937984088</v>
      </c>
      <c r="AR158" s="35">
        <f t="shared" si="764"/>
        <v>14.953761023273199</v>
      </c>
      <c r="AS158" s="35">
        <f t="shared" si="764"/>
        <v>14.051483152487371</v>
      </c>
      <c r="AT158" s="35">
        <f t="shared" si="764"/>
        <v>14.090628555358128</v>
      </c>
      <c r="AU158" s="35">
        <f t="shared" ref="AU158:AX158" si="765">AU139</f>
        <v>13.217310372610124</v>
      </c>
      <c r="AV158" s="35">
        <f t="shared" si="765"/>
        <v>13.192837428715384</v>
      </c>
      <c r="AW158" s="35">
        <f t="shared" si="765"/>
        <v>13.712538226299694</v>
      </c>
      <c r="AX158" s="35">
        <f t="shared" si="765"/>
        <v>13.025532906940212</v>
      </c>
      <c r="AY158" s="35">
        <f t="shared" ref="AY158:BB158" si="766">AY139</f>
        <v>13.239775150222915</v>
      </c>
      <c r="AZ158" s="35">
        <f t="shared" si="766"/>
        <v>12.567969179966981</v>
      </c>
      <c r="BA158" s="35">
        <f t="shared" si="766"/>
        <v>11.987588945887806</v>
      </c>
      <c r="BB158" s="35">
        <f t="shared" si="766"/>
        <v>11.813856960408685</v>
      </c>
      <c r="BC158" s="35">
        <f t="shared" ref="BC158:BF158" si="767">BC139</f>
        <v>11.8273580550854</v>
      </c>
      <c r="BD158" s="35">
        <f t="shared" si="767"/>
        <v>11.756183745583039</v>
      </c>
      <c r="BE158" s="35">
        <f t="shared" si="767"/>
        <v>12.150884198516826</v>
      </c>
      <c r="BF158" s="35">
        <f t="shared" si="767"/>
        <v>12.172048997772826</v>
      </c>
    </row>
    <row r="159" spans="2:58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BA159" s="19"/>
      <c r="BB159" s="19"/>
      <c r="BE159" s="19"/>
      <c r="BF159" s="19"/>
    </row>
    <row r="160" spans="2:58" s="5" customFormat="1" ht="21">
      <c r="B160" s="3" t="s">
        <v>304</v>
      </c>
      <c r="C160" s="7">
        <f>C149</f>
        <v>42735</v>
      </c>
      <c r="D160" s="7">
        <f t="shared" ref="D160:BE160" si="768">D149</f>
        <v>43100</v>
      </c>
      <c r="E160" s="7">
        <f t="shared" si="768"/>
        <v>43465</v>
      </c>
      <c r="F160" s="7">
        <f t="shared" si="768"/>
        <v>43830</v>
      </c>
      <c r="G160" s="7">
        <f t="shared" si="768"/>
        <v>44196</v>
      </c>
      <c r="H160" s="7">
        <f t="shared" si="768"/>
        <v>44561</v>
      </c>
      <c r="I160" s="7">
        <f t="shared" si="768"/>
        <v>44926</v>
      </c>
      <c r="J160" s="7">
        <f t="shared" si="768"/>
        <v>44926</v>
      </c>
      <c r="K160" s="7">
        <f t="shared" si="768"/>
        <v>45291</v>
      </c>
      <c r="L160" s="7">
        <f t="shared" si="768"/>
        <v>45291</v>
      </c>
      <c r="M160" s="7">
        <f t="shared" si="768"/>
        <v>45657</v>
      </c>
      <c r="N160" s="7">
        <f t="shared" si="768"/>
        <v>46022</v>
      </c>
      <c r="O160" s="7">
        <f t="shared" si="768"/>
        <v>46112</v>
      </c>
      <c r="P160" s="19"/>
      <c r="Q160" s="7">
        <f t="shared" si="768"/>
        <v>43646</v>
      </c>
      <c r="R160" s="7">
        <f t="shared" si="768"/>
        <v>43830</v>
      </c>
      <c r="S160" s="7">
        <f t="shared" si="768"/>
        <v>44012</v>
      </c>
      <c r="T160" s="7">
        <f t="shared" si="768"/>
        <v>44196</v>
      </c>
      <c r="U160" s="7">
        <f t="shared" si="768"/>
        <v>44377</v>
      </c>
      <c r="V160" s="7">
        <f t="shared" si="768"/>
        <v>44561</v>
      </c>
      <c r="W160" s="7">
        <f t="shared" si="768"/>
        <v>44742</v>
      </c>
      <c r="X160" s="7">
        <f t="shared" si="768"/>
        <v>44926</v>
      </c>
      <c r="Y160" s="7">
        <f t="shared" si="768"/>
        <v>45107</v>
      </c>
      <c r="Z160" s="7">
        <f t="shared" si="768"/>
        <v>45291</v>
      </c>
      <c r="AA160" s="7">
        <f t="shared" si="768"/>
        <v>45473</v>
      </c>
      <c r="AB160" s="7">
        <f t="shared" si="768"/>
        <v>45657</v>
      </c>
      <c r="AC160" s="7">
        <f t="shared" si="768"/>
        <v>45838</v>
      </c>
      <c r="AD160" s="7">
        <f t="shared" si="768"/>
        <v>46022</v>
      </c>
      <c r="AE160" s="19"/>
      <c r="AF160" s="7">
        <f t="shared" si="768"/>
        <v>43738</v>
      </c>
      <c r="AG160" s="7">
        <f t="shared" si="768"/>
        <v>43830</v>
      </c>
      <c r="AH160" s="7">
        <f t="shared" si="768"/>
        <v>43920</v>
      </c>
      <c r="AI160" s="7">
        <f t="shared" si="768"/>
        <v>44012</v>
      </c>
      <c r="AJ160" s="7">
        <f t="shared" si="768"/>
        <v>44104</v>
      </c>
      <c r="AK160" s="7">
        <f t="shared" si="768"/>
        <v>44196</v>
      </c>
      <c r="AL160" s="7">
        <f t="shared" si="768"/>
        <v>44285</v>
      </c>
      <c r="AM160" s="7">
        <f t="shared" si="768"/>
        <v>44377</v>
      </c>
      <c r="AN160" s="7">
        <f t="shared" si="768"/>
        <v>44469</v>
      </c>
      <c r="AO160" s="7">
        <f t="shared" si="768"/>
        <v>44561</v>
      </c>
      <c r="AP160" s="7">
        <f t="shared" si="768"/>
        <v>44651</v>
      </c>
      <c r="AQ160" s="7">
        <f t="shared" si="768"/>
        <v>44742</v>
      </c>
      <c r="AR160" s="7">
        <f t="shared" si="768"/>
        <v>44834</v>
      </c>
      <c r="AS160" s="7">
        <f t="shared" si="768"/>
        <v>44926</v>
      </c>
      <c r="AT160" s="7">
        <f t="shared" si="768"/>
        <v>45016</v>
      </c>
      <c r="AU160" s="7">
        <f t="shared" si="768"/>
        <v>45107</v>
      </c>
      <c r="AV160" s="7">
        <f t="shared" si="768"/>
        <v>45199</v>
      </c>
      <c r="AW160" s="7">
        <f t="shared" si="768"/>
        <v>45291</v>
      </c>
      <c r="AX160" s="7">
        <f t="shared" si="768"/>
        <v>45382</v>
      </c>
      <c r="AY160" s="7">
        <f t="shared" si="768"/>
        <v>45473</v>
      </c>
      <c r="AZ160" s="7">
        <f t="shared" si="768"/>
        <v>45565</v>
      </c>
      <c r="BA160" s="7">
        <f t="shared" si="768"/>
        <v>45657</v>
      </c>
      <c r="BB160" s="7">
        <f t="shared" si="768"/>
        <v>45747</v>
      </c>
      <c r="BC160" s="7">
        <f t="shared" si="768"/>
        <v>45838</v>
      </c>
      <c r="BD160" s="7">
        <f t="shared" si="768"/>
        <v>45930</v>
      </c>
      <c r="BE160" s="7">
        <f t="shared" si="768"/>
        <v>46022</v>
      </c>
      <c r="BF160" s="7">
        <f t="shared" ref="BF160" si="769">BF149</f>
        <v>46112</v>
      </c>
    </row>
    <row r="161" spans="2:58" s="5" customFormat="1">
      <c r="B161" s="6" t="str">
        <f>B3</f>
        <v>(EUR millions)</v>
      </c>
      <c r="C161" s="7" t="str">
        <f>C150</f>
        <v>Act</v>
      </c>
      <c r="D161" s="7" t="str">
        <f t="shared" ref="D161:BE161" si="770">D150</f>
        <v>Act</v>
      </c>
      <c r="E161" s="7" t="str">
        <f t="shared" si="770"/>
        <v>Act</v>
      </c>
      <c r="F161" s="7" t="str">
        <f t="shared" si="770"/>
        <v>Act</v>
      </c>
      <c r="G161" s="7" t="str">
        <f t="shared" si="770"/>
        <v>Act</v>
      </c>
      <c r="H161" s="7" t="str">
        <f t="shared" si="770"/>
        <v>Act</v>
      </c>
      <c r="I161" s="7" t="str">
        <f t="shared" si="770"/>
        <v>Act</v>
      </c>
      <c r="J161" s="7" t="str">
        <f t="shared" si="770"/>
        <v>Act</v>
      </c>
      <c r="K161" s="7" t="str">
        <f t="shared" si="770"/>
        <v>Act</v>
      </c>
      <c r="L161" s="7" t="str">
        <f t="shared" si="770"/>
        <v>Act</v>
      </c>
      <c r="M161" s="7" t="str">
        <f t="shared" si="770"/>
        <v>Act</v>
      </c>
      <c r="N161" s="7" t="str">
        <f t="shared" si="770"/>
        <v>Act</v>
      </c>
      <c r="O161" s="7" t="str">
        <f t="shared" si="770"/>
        <v>Act</v>
      </c>
      <c r="P161" s="19"/>
      <c r="Q161" s="7" t="str">
        <f t="shared" si="770"/>
        <v>Act</v>
      </c>
      <c r="R161" s="7" t="str">
        <f t="shared" si="770"/>
        <v>Act</v>
      </c>
      <c r="S161" s="7" t="str">
        <f t="shared" si="770"/>
        <v>Act</v>
      </c>
      <c r="T161" s="7" t="str">
        <f t="shared" si="770"/>
        <v>Act</v>
      </c>
      <c r="U161" s="7" t="str">
        <f t="shared" si="770"/>
        <v>Act</v>
      </c>
      <c r="V161" s="7" t="str">
        <f t="shared" si="770"/>
        <v>Act</v>
      </c>
      <c r="W161" s="7" t="str">
        <f t="shared" si="770"/>
        <v>Act</v>
      </c>
      <c r="X161" s="7" t="str">
        <f t="shared" si="770"/>
        <v>Act</v>
      </c>
      <c r="Y161" s="7" t="str">
        <f t="shared" si="770"/>
        <v>Act</v>
      </c>
      <c r="Z161" s="7" t="str">
        <f t="shared" si="770"/>
        <v>Act</v>
      </c>
      <c r="AA161" s="7" t="str">
        <f t="shared" si="770"/>
        <v>Act</v>
      </c>
      <c r="AB161" s="7" t="str">
        <f t="shared" si="770"/>
        <v>Act</v>
      </c>
      <c r="AC161" s="7" t="str">
        <f t="shared" si="770"/>
        <v>Act</v>
      </c>
      <c r="AD161" s="7" t="str">
        <f t="shared" si="770"/>
        <v>Act</v>
      </c>
      <c r="AE161" s="19"/>
      <c r="AF161" s="7" t="str">
        <f t="shared" si="770"/>
        <v>Act</v>
      </c>
      <c r="AG161" s="7" t="str">
        <f t="shared" si="770"/>
        <v>Act</v>
      </c>
      <c r="AH161" s="7" t="str">
        <f t="shared" si="770"/>
        <v>Act</v>
      </c>
      <c r="AI161" s="7" t="str">
        <f t="shared" si="770"/>
        <v>Act</v>
      </c>
      <c r="AJ161" s="7" t="str">
        <f t="shared" si="770"/>
        <v>Act</v>
      </c>
      <c r="AK161" s="7" t="str">
        <f t="shared" si="770"/>
        <v>Act</v>
      </c>
      <c r="AL161" s="7" t="str">
        <f t="shared" si="770"/>
        <v>Act</v>
      </c>
      <c r="AM161" s="7" t="str">
        <f t="shared" si="770"/>
        <v>Act</v>
      </c>
      <c r="AN161" s="7" t="str">
        <f t="shared" si="770"/>
        <v>Act</v>
      </c>
      <c r="AO161" s="7" t="str">
        <f t="shared" si="770"/>
        <v>Act</v>
      </c>
      <c r="AP161" s="7" t="str">
        <f t="shared" si="770"/>
        <v>Act</v>
      </c>
      <c r="AQ161" s="7" t="str">
        <f t="shared" si="770"/>
        <v>Act</v>
      </c>
      <c r="AR161" s="7" t="str">
        <f t="shared" si="770"/>
        <v>Act</v>
      </c>
      <c r="AS161" s="7" t="str">
        <f t="shared" si="770"/>
        <v>Act</v>
      </c>
      <c r="AT161" s="7" t="str">
        <f t="shared" si="770"/>
        <v>Act</v>
      </c>
      <c r="AU161" s="7" t="str">
        <f t="shared" si="770"/>
        <v>Act</v>
      </c>
      <c r="AV161" s="7" t="str">
        <f t="shared" si="770"/>
        <v>Act</v>
      </c>
      <c r="AW161" s="7" t="str">
        <f t="shared" si="770"/>
        <v>Act</v>
      </c>
      <c r="AX161" s="7" t="str">
        <f t="shared" si="770"/>
        <v>Act</v>
      </c>
      <c r="AY161" s="7" t="str">
        <f t="shared" si="770"/>
        <v>Act</v>
      </c>
      <c r="AZ161" s="7" t="str">
        <f t="shared" si="770"/>
        <v>Act</v>
      </c>
      <c r="BA161" s="7" t="str">
        <f t="shared" si="770"/>
        <v>Act</v>
      </c>
      <c r="BB161" s="7" t="str">
        <f t="shared" si="770"/>
        <v>Act</v>
      </c>
      <c r="BC161" s="7" t="str">
        <f t="shared" si="770"/>
        <v>Act</v>
      </c>
      <c r="BD161" s="7" t="str">
        <f t="shared" si="770"/>
        <v>Act</v>
      </c>
      <c r="BE161" s="7" t="str">
        <f t="shared" si="770"/>
        <v>Act</v>
      </c>
      <c r="BF161" s="7" t="str">
        <f t="shared" ref="BF161" si="771">BF150</f>
        <v>Act</v>
      </c>
    </row>
    <row r="162" spans="2:58" s="5" customFormat="1"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</row>
    <row r="163" spans="2:58" s="5" customFormat="1">
      <c r="B163" s="5" t="str">
        <f>+B20</f>
        <v>Revenue</v>
      </c>
      <c r="C163" s="36">
        <f>C20</f>
        <v>185.55600000000001</v>
      </c>
      <c r="D163" s="36">
        <f>D20</f>
        <v>215.50199999999998</v>
      </c>
      <c r="E163" s="36">
        <f>E20</f>
        <v>239.74199999999999</v>
      </c>
      <c r="F163" s="36">
        <f>F20</f>
        <v>246.11300000000003</v>
      </c>
      <c r="G163" s="36">
        <f>G20</f>
        <v>302.95100000000002</v>
      </c>
      <c r="H163" s="36">
        <f>H20</f>
        <v>333.66300000000007</v>
      </c>
      <c r="I163" s="36">
        <f>I20</f>
        <v>464.91700000000003</v>
      </c>
      <c r="J163" s="36">
        <f>J20</f>
        <v>464.97500000000008</v>
      </c>
      <c r="K163" s="36">
        <f>K20</f>
        <v>554</v>
      </c>
      <c r="L163" s="36">
        <f>L20</f>
        <v>557.69999999999993</v>
      </c>
      <c r="M163" s="36">
        <f>M20</f>
        <v>681.8</v>
      </c>
      <c r="N163" s="36">
        <f>N20</f>
        <v>779.3</v>
      </c>
      <c r="O163" s="36">
        <f>O20</f>
        <v>801.09999999999991</v>
      </c>
      <c r="P163" s="36"/>
      <c r="Q163" s="36">
        <f>Q20</f>
        <v>116.858</v>
      </c>
      <c r="R163" s="36">
        <f>R20</f>
        <v>129.255</v>
      </c>
      <c r="S163" s="36">
        <f>S20</f>
        <v>160.08099999999996</v>
      </c>
      <c r="T163" s="36">
        <f>T20</f>
        <v>142.87000000000003</v>
      </c>
      <c r="U163" s="36">
        <f>U20</f>
        <v>166.691</v>
      </c>
      <c r="V163" s="36">
        <f>V20</f>
        <v>166.97199999999998</v>
      </c>
      <c r="W163" s="36">
        <f>W20</f>
        <v>218.46200000000002</v>
      </c>
      <c r="X163" s="36">
        <f>X20</f>
        <v>246.45500000000001</v>
      </c>
      <c r="Y163" s="36">
        <f>Y20</f>
        <v>274.40000000000003</v>
      </c>
      <c r="Z163" s="36">
        <f>Z20</f>
        <v>279.60000000000002</v>
      </c>
      <c r="AA163" s="36">
        <f>AA20</f>
        <v>329.4</v>
      </c>
      <c r="AB163" s="36">
        <f>AB20</f>
        <v>352.4</v>
      </c>
      <c r="AC163" s="36">
        <f>AC20</f>
        <v>376.59999999999991</v>
      </c>
      <c r="AD163" s="36">
        <f>AD20</f>
        <v>402.7</v>
      </c>
      <c r="AF163" s="36">
        <f>AF20</f>
        <v>55.933999999999997</v>
      </c>
      <c r="AG163" s="36">
        <f>AG20</f>
        <v>73.321000000000026</v>
      </c>
      <c r="AH163" s="36">
        <f>AH20</f>
        <v>77.132000000000019</v>
      </c>
      <c r="AI163" s="36">
        <f>AI20</f>
        <v>82.948999999999984</v>
      </c>
      <c r="AJ163" s="36">
        <f>AJ20</f>
        <v>67.869000000000028</v>
      </c>
      <c r="AK163" s="36">
        <f>AK20</f>
        <v>75.000999999999991</v>
      </c>
      <c r="AL163" s="36">
        <f>AL20</f>
        <v>82.445000000000007</v>
      </c>
      <c r="AM163" s="36">
        <f>AM20</f>
        <v>84.246000000000009</v>
      </c>
      <c r="AN163" s="36">
        <f>AN20</f>
        <v>80.198000000000008</v>
      </c>
      <c r="AO163" s="36">
        <f>AO20</f>
        <v>86.774000000000015</v>
      </c>
      <c r="AP163" s="36">
        <f>AP20</f>
        <v>109.84099999999999</v>
      </c>
      <c r="AQ163" s="36">
        <f>AQ20</f>
        <v>108.62100000000001</v>
      </c>
      <c r="AR163" s="36">
        <f>AR20</f>
        <v>119.08800000000001</v>
      </c>
      <c r="AS163" s="36">
        <f>AS20</f>
        <v>127.36699999999999</v>
      </c>
      <c r="AT163" s="36">
        <f>AT20</f>
        <v>132.172</v>
      </c>
      <c r="AU163" s="36">
        <f>AU20</f>
        <v>142.22799999999998</v>
      </c>
      <c r="AV163" s="36">
        <f>AV20</f>
        <v>137.90000000000003</v>
      </c>
      <c r="AW163" s="36">
        <f>AW20</f>
        <v>141.69999999999999</v>
      </c>
      <c r="AX163" s="36">
        <f>AX20</f>
        <v>158.40000000000003</v>
      </c>
      <c r="AY163" s="36">
        <f>AY20</f>
        <v>171.29999999999998</v>
      </c>
      <c r="AZ163" s="36">
        <f>AZ20</f>
        <v>166.20000000000002</v>
      </c>
      <c r="BA163" s="36">
        <f>BA20</f>
        <v>186.20000000000005</v>
      </c>
      <c r="BB163" s="36">
        <f>BB20</f>
        <v>182.9</v>
      </c>
      <c r="BC163" s="36">
        <f>BC20</f>
        <v>193.70000000000002</v>
      </c>
      <c r="BD163" s="36">
        <f>BD20</f>
        <v>196</v>
      </c>
      <c r="BE163" s="36">
        <f>BE20</f>
        <v>206.69999999999996</v>
      </c>
      <c r="BF163" s="36">
        <f>BF20</f>
        <v>204.7</v>
      </c>
    </row>
    <row r="164" spans="2:58" s="15" customFormat="1">
      <c r="B164" s="37" t="s">
        <v>216</v>
      </c>
      <c r="C164" s="38"/>
      <c r="D164" s="38">
        <f t="shared" ref="D164:K164" si="772">D163/C163-1</f>
        <v>0.16138524219103645</v>
      </c>
      <c r="E164" s="38">
        <f t="shared" si="772"/>
        <v>0.11248155469554821</v>
      </c>
      <c r="F164" s="38">
        <f t="shared" si="772"/>
        <v>2.657440081420881E-2</v>
      </c>
      <c r="G164" s="38">
        <f t="shared" si="772"/>
        <v>0.23094269705379222</v>
      </c>
      <c r="H164" s="38">
        <f t="shared" si="772"/>
        <v>0.10137613013325608</v>
      </c>
      <c r="I164" s="38">
        <f t="shared" si="772"/>
        <v>0.39337295414834705</v>
      </c>
      <c r="J164" s="38">
        <f t="shared" si="772"/>
        <v>1.2475345061613297E-4</v>
      </c>
      <c r="K164" s="38">
        <f t="shared" si="772"/>
        <v>0.19146190655411566</v>
      </c>
      <c r="L164" s="38">
        <f>L163/J163-1</f>
        <v>0.19941932361954917</v>
      </c>
      <c r="M164" s="38">
        <f>M163/L163-1</f>
        <v>0.22252106867491483</v>
      </c>
      <c r="N164" s="38">
        <f>N163/M163-1</f>
        <v>0.14300381343502488</v>
      </c>
      <c r="O164" s="25"/>
      <c r="P164" s="175"/>
      <c r="Q164" s="38"/>
      <c r="R164" s="38"/>
      <c r="S164" s="38">
        <f>S163/Q163-1</f>
        <v>0.36987626007633168</v>
      </c>
      <c r="T164" s="38"/>
      <c r="U164" s="38">
        <f>U163/S163-1</f>
        <v>4.1291596129459762E-2</v>
      </c>
      <c r="V164" s="38"/>
      <c r="W164" s="38"/>
      <c r="X164" s="38"/>
      <c r="Y164" s="38"/>
      <c r="Z164" s="38"/>
      <c r="AA164" s="38">
        <f t="shared" ref="AA164:AC164" si="773">AA163/Y163-1</f>
        <v>0.20043731778425622</v>
      </c>
      <c r="AB164" s="38">
        <f t="shared" si="773"/>
        <v>0.26037195994277518</v>
      </c>
      <c r="AC164" s="38">
        <f t="shared" si="773"/>
        <v>0.14329083181542179</v>
      </c>
      <c r="AD164" s="38">
        <f>AD163/AB163-1</f>
        <v>0.14273552780930765</v>
      </c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>
        <f t="shared" ref="BA164:BE164" si="774">BA163/AW163-1</f>
        <v>0.31404375441072729</v>
      </c>
      <c r="BB164" s="38">
        <f t="shared" si="774"/>
        <v>0.1546717171717169</v>
      </c>
      <c r="BC164" s="38">
        <f t="shared" si="774"/>
        <v>0.13076474022183326</v>
      </c>
      <c r="BD164" s="38">
        <f t="shared" si="774"/>
        <v>0.17930204572803832</v>
      </c>
      <c r="BE164" s="38">
        <f t="shared" si="774"/>
        <v>0.11009667024704561</v>
      </c>
      <c r="BF164" s="38">
        <f>BF163/BB163-1</f>
        <v>0.11919081465281556</v>
      </c>
    </row>
    <row r="165" spans="2:58" s="5" customFormat="1" ht="13.5" thickBot="1">
      <c r="B165" s="39" t="str">
        <f>+B78</f>
        <v xml:space="preserve">Adjusted Normalised EBITDA </v>
      </c>
      <c r="C165" s="54">
        <f>+C78</f>
        <v>164.96000000000004</v>
      </c>
      <c r="D165" s="54">
        <f>+D78</f>
        <v>185.98700000000002</v>
      </c>
      <c r="E165" s="54">
        <f>+E78</f>
        <v>203.2</v>
      </c>
      <c r="F165" s="54">
        <f>+F78</f>
        <v>214.5</v>
      </c>
      <c r="G165" s="54">
        <f>+G78</f>
        <v>238.1</v>
      </c>
      <c r="H165" s="54">
        <f>+H78</f>
        <v>284.68399999999997</v>
      </c>
      <c r="I165" s="54">
        <f>+I78</f>
        <v>371.03399999999999</v>
      </c>
      <c r="J165" s="54">
        <f>+J78</f>
        <v>360.97600000000011</v>
      </c>
      <c r="K165" s="54">
        <f>+K78</f>
        <v>457.79999999999995</v>
      </c>
      <c r="L165" s="54">
        <f>+L78</f>
        <v>472.7</v>
      </c>
      <c r="M165" s="54">
        <f>+M78</f>
        <v>604</v>
      </c>
      <c r="N165" s="54">
        <f>+N78</f>
        <v>701.2</v>
      </c>
      <c r="O165" s="54">
        <f>+O78</f>
        <v>718.40000000000009</v>
      </c>
      <c r="P165" s="36"/>
      <c r="Q165" s="54">
        <f>+Q78</f>
        <v>93</v>
      </c>
      <c r="R165" s="54">
        <f>+R78</f>
        <v>121.5</v>
      </c>
      <c r="S165" s="54">
        <f>+S78</f>
        <v>119.3</v>
      </c>
      <c r="T165" s="54">
        <f>+T78</f>
        <v>118.8</v>
      </c>
      <c r="U165" s="54">
        <f>+U78</f>
        <v>149.07599999999996</v>
      </c>
      <c r="V165" s="54">
        <f>+V78</f>
        <v>135.608</v>
      </c>
      <c r="W165" s="54">
        <f>+W78</f>
        <v>166.50799999999998</v>
      </c>
      <c r="X165" s="54">
        <f>+X78</f>
        <v>204.52600000000001</v>
      </c>
      <c r="Y165" s="54">
        <f>+Y78</f>
        <v>227.40000000000003</v>
      </c>
      <c r="Z165" s="54">
        <f>+Z78</f>
        <v>230.39999999999992</v>
      </c>
      <c r="AA165" s="54">
        <f>+AA78</f>
        <v>285.2</v>
      </c>
      <c r="AB165" s="54">
        <f>+AB78</f>
        <v>318.8</v>
      </c>
      <c r="AC165" s="54">
        <f>+AC78</f>
        <v>331.09999999999991</v>
      </c>
      <c r="AD165" s="54">
        <f>+AD78</f>
        <v>370.10000000000014</v>
      </c>
      <c r="AF165" s="54">
        <f>+AF78</f>
        <v>54.510999999999996</v>
      </c>
      <c r="AG165" s="54">
        <f>+AG78</f>
        <v>66.989000000000004</v>
      </c>
      <c r="AH165" s="54">
        <f>+AH78</f>
        <v>66.966000000000008</v>
      </c>
      <c r="AI165" s="54">
        <f>+AI78</f>
        <v>52.333999999999989</v>
      </c>
      <c r="AJ165" s="54">
        <f>+AJ78</f>
        <v>56.000000000000014</v>
      </c>
      <c r="AK165" s="54">
        <f>+AK78</f>
        <v>62.799999999999969</v>
      </c>
      <c r="AL165" s="54">
        <f>+AL78</f>
        <v>73.679999999999978</v>
      </c>
      <c r="AM165" s="54">
        <f>+AM78</f>
        <v>75.396000000000015</v>
      </c>
      <c r="AN165" s="54">
        <f>+AN78</f>
        <v>67.990000000000009</v>
      </c>
      <c r="AO165" s="54">
        <f>+AO78</f>
        <v>67.617999999999995</v>
      </c>
      <c r="AP165" s="54">
        <f>+AP78</f>
        <v>82.413999999999987</v>
      </c>
      <c r="AQ165" s="54">
        <f>+AQ78</f>
        <v>84.093999999999937</v>
      </c>
      <c r="AR165" s="54">
        <f>+AR78</f>
        <v>97.671999999999997</v>
      </c>
      <c r="AS165" s="54">
        <f>+AS78</f>
        <v>106.85399999999998</v>
      </c>
      <c r="AT165" s="54">
        <f>+AT78</f>
        <v>102.51500000000001</v>
      </c>
      <c r="AU165" s="54">
        <f>+AU78</f>
        <v>124.88499999999996</v>
      </c>
      <c r="AV165" s="54">
        <f>+AV78</f>
        <v>114.30000000000007</v>
      </c>
      <c r="AW165" s="54">
        <f>+AW78</f>
        <v>116.09999999999985</v>
      </c>
      <c r="AX165" s="54">
        <f>+AX78</f>
        <v>137.99999999999997</v>
      </c>
      <c r="AY165" s="54">
        <f>+AY78</f>
        <v>147.49999999999994</v>
      </c>
      <c r="AZ165" s="54">
        <f>+AZ78</f>
        <v>143.5</v>
      </c>
      <c r="BA165" s="54">
        <f>+BA78</f>
        <v>175.3</v>
      </c>
      <c r="BB165" s="54">
        <f>+BB78</f>
        <v>160.10000000000002</v>
      </c>
      <c r="BC165" s="54">
        <f>+BC78</f>
        <v>170.99999999999994</v>
      </c>
      <c r="BD165" s="54">
        <f>+BD78</f>
        <v>172.8</v>
      </c>
      <c r="BE165" s="54">
        <f>+BE78</f>
        <v>197.30000000000013</v>
      </c>
      <c r="BF165" s="54">
        <f>+BF78</f>
        <v>177.29999999999998</v>
      </c>
    </row>
    <row r="166" spans="2:58" s="15" customFormat="1" ht="13.5" thickTop="1">
      <c r="B166" s="37" t="str">
        <f>+B79</f>
        <v xml:space="preserve">% growth </v>
      </c>
      <c r="C166" s="38"/>
      <c r="D166" s="38">
        <f t="shared" ref="D166:K166" si="775">D165/C165-1</f>
        <v>0.12746726479146453</v>
      </c>
      <c r="E166" s="38">
        <f t="shared" si="775"/>
        <v>9.2549479264679491E-2</v>
      </c>
      <c r="F166" s="38">
        <f t="shared" si="775"/>
        <v>5.5610236220472453E-2</v>
      </c>
      <c r="G166" s="38">
        <f t="shared" si="775"/>
        <v>0.11002331002330989</v>
      </c>
      <c r="H166" s="38">
        <f t="shared" si="775"/>
        <v>0.19564888702225947</v>
      </c>
      <c r="I166" s="38">
        <f t="shared" si="775"/>
        <v>0.30331876747551689</v>
      </c>
      <c r="J166" s="38">
        <f t="shared" si="775"/>
        <v>-2.7108027835723636E-2</v>
      </c>
      <c r="K166" s="38">
        <f t="shared" si="775"/>
        <v>0.2682283586720442</v>
      </c>
      <c r="L166" s="38">
        <f>L165/J165-1</f>
        <v>0.30950534107530658</v>
      </c>
      <c r="M166" s="38">
        <f>M165/L165-1</f>
        <v>0.27776602496297875</v>
      </c>
      <c r="N166" s="38">
        <f>N165/M165-1</f>
        <v>0.16092715231788079</v>
      </c>
      <c r="O166" s="25"/>
      <c r="P166" s="175"/>
      <c r="Q166" s="38"/>
      <c r="R166" s="38"/>
      <c r="S166" s="38">
        <f>S165/Q165-1</f>
        <v>0.28279569892473111</v>
      </c>
      <c r="T166" s="38"/>
      <c r="U166" s="38">
        <f>U165/S165-1</f>
        <v>0.24958927074601811</v>
      </c>
      <c r="V166" s="38"/>
      <c r="W166" s="38"/>
      <c r="X166" s="38"/>
      <c r="Y166" s="38"/>
      <c r="Z166" s="38"/>
      <c r="AA166" s="38">
        <f t="shared" ref="AA166:AC166" si="776">AA165/Y165-1</f>
        <v>0.25417766051011403</v>
      </c>
      <c r="AB166" s="38">
        <f t="shared" si="776"/>
        <v>0.38368055555555602</v>
      </c>
      <c r="AC166" s="38">
        <f t="shared" si="776"/>
        <v>0.16093969144459996</v>
      </c>
      <c r="AD166" s="38">
        <f>AD165/AB165-1</f>
        <v>0.16091593475533283</v>
      </c>
      <c r="AF166" s="38"/>
      <c r="AG166" s="38"/>
      <c r="AH166" s="38"/>
      <c r="AI166" s="38"/>
      <c r="AJ166" s="38">
        <f t="shared" ref="AJ166:AX166" si="777">AJ165/AF165-1</f>
        <v>2.7315587679551223E-2</v>
      </c>
      <c r="AK166" s="38">
        <f t="shared" si="777"/>
        <v>-6.2532654614937289E-2</v>
      </c>
      <c r="AL166" s="38">
        <f t="shared" si="777"/>
        <v>0.10025983334826583</v>
      </c>
      <c r="AM166" s="38">
        <f t="shared" si="777"/>
        <v>0.44066954561088445</v>
      </c>
      <c r="AN166" s="38">
        <f t="shared" si="777"/>
        <v>0.21410714285714261</v>
      </c>
      <c r="AO166" s="38">
        <f t="shared" si="777"/>
        <v>7.6719745222930458E-2</v>
      </c>
      <c r="AP166" s="38">
        <f t="shared" si="777"/>
        <v>0.11853963083604802</v>
      </c>
      <c r="AQ166" s="38">
        <f>AQ165/AM165-1</f>
        <v>0.11536421030293287</v>
      </c>
      <c r="AR166" s="38">
        <f t="shared" si="777"/>
        <v>0.43656420061773771</v>
      </c>
      <c r="AS166" s="38">
        <f t="shared" si="777"/>
        <v>0.5802596941642757</v>
      </c>
      <c r="AT166" s="38">
        <f t="shared" si="777"/>
        <v>0.24390273497221382</v>
      </c>
      <c r="AU166" s="38">
        <f>AU165/AQ165-1</f>
        <v>0.48506433277047178</v>
      </c>
      <c r="AV166" s="38">
        <f t="shared" si="777"/>
        <v>0.17024326316651717</v>
      </c>
      <c r="AW166" s="38">
        <f t="shared" si="777"/>
        <v>8.6529282946823383E-2</v>
      </c>
      <c r="AX166" s="38">
        <f t="shared" si="777"/>
        <v>0.34614446666341459</v>
      </c>
      <c r="AY166" s="38">
        <f>AY165/AU165-1</f>
        <v>0.18108659967169793</v>
      </c>
      <c r="AZ166" s="38">
        <f>AZ165/AV165-1</f>
        <v>0.25546806649168774</v>
      </c>
      <c r="BA166" s="38">
        <f t="shared" ref="BA166:BF166" si="778">BA165/AW165-1</f>
        <v>0.50990525409130272</v>
      </c>
      <c r="BB166" s="38">
        <f t="shared" si="778"/>
        <v>0.16014492753623233</v>
      </c>
      <c r="BC166" s="38">
        <f t="shared" si="778"/>
        <v>0.15932203389830524</v>
      </c>
      <c r="BD166" s="38">
        <f>BD165/AZ165-1</f>
        <v>0.2041811846689896</v>
      </c>
      <c r="BE166" s="38">
        <f t="shared" si="778"/>
        <v>0.12549914432401654</v>
      </c>
      <c r="BF166" s="38">
        <f t="shared" si="778"/>
        <v>0.10743285446595841</v>
      </c>
    </row>
    <row r="167" spans="2:58" s="15" customFormat="1">
      <c r="B167" s="37" t="str">
        <f>+B80</f>
        <v>% margin</v>
      </c>
      <c r="C167" s="38">
        <f t="shared" ref="C167:R167" si="779">+C165/C163</f>
        <v>0.88900385867339249</v>
      </c>
      <c r="D167" s="38">
        <f t="shared" si="779"/>
        <v>0.86304071423931117</v>
      </c>
      <c r="E167" s="38">
        <f t="shared" si="779"/>
        <v>0.84757781281544331</v>
      </c>
      <c r="F167" s="38">
        <f t="shared" si="779"/>
        <v>0.87155087297298384</v>
      </c>
      <c r="G167" s="38">
        <f t="shared" ref="G167:H167" si="780">+G165/G163</f>
        <v>0.78593567936729036</v>
      </c>
      <c r="H167" s="38">
        <f t="shared" si="780"/>
        <v>0.85320817711283514</v>
      </c>
      <c r="I167" s="38">
        <f t="shared" ref="I167:J167" si="781">+I165/I163</f>
        <v>0.7980650309625158</v>
      </c>
      <c r="J167" s="38">
        <f t="shared" si="781"/>
        <v>0.77633421151674831</v>
      </c>
      <c r="K167" s="38">
        <f t="shared" ref="K167:M167" si="782">+K165/K163</f>
        <v>0.82635379061371828</v>
      </c>
      <c r="L167" s="38">
        <f t="shared" ref="L167" si="783">+L165/L163</f>
        <v>0.84758830912677074</v>
      </c>
      <c r="M167" s="38">
        <f t="shared" si="782"/>
        <v>0.88589029040774425</v>
      </c>
      <c r="N167" s="38">
        <f t="shared" ref="N167" si="784">+N165/N163</f>
        <v>0.89978185551135648</v>
      </c>
      <c r="O167" s="38">
        <f t="shared" ref="O167" si="785">+O165/O163</f>
        <v>0.89676694545000646</v>
      </c>
      <c r="P167" s="179"/>
      <c r="Q167" s="38">
        <f t="shared" si="779"/>
        <v>0.79583768334217597</v>
      </c>
      <c r="R167" s="38">
        <f t="shared" si="779"/>
        <v>0.94000232099338521</v>
      </c>
      <c r="S167" s="38">
        <f t="shared" ref="S167:U167" si="786">+S165/S163</f>
        <v>0.74524771834258918</v>
      </c>
      <c r="T167" s="38">
        <f t="shared" si="786"/>
        <v>0.8315251627353536</v>
      </c>
      <c r="U167" s="38">
        <f t="shared" si="786"/>
        <v>0.89432542848744057</v>
      </c>
      <c r="V167" s="38">
        <f t="shared" ref="V167:W167" si="787">+V165/V163</f>
        <v>0.81216012265529558</v>
      </c>
      <c r="W167" s="38">
        <f t="shared" si="787"/>
        <v>0.76218289679669671</v>
      </c>
      <c r="X167" s="38">
        <f t="shared" ref="X167:Y167" si="788">+X165/X163</f>
        <v>0.82987157899007935</v>
      </c>
      <c r="Y167" s="38">
        <f t="shared" si="788"/>
        <v>0.82871720116618075</v>
      </c>
      <c r="Z167" s="38">
        <f t="shared" ref="Z167:AB167" si="789">+Z165/Z163</f>
        <v>0.82403433476394816</v>
      </c>
      <c r="AA167" s="38">
        <f t="shared" ref="AA167:AD167" si="790">+AA165/AA163</f>
        <v>0.86581663630843964</v>
      </c>
      <c r="AB167" s="38">
        <f t="shared" si="789"/>
        <v>0.90465380249716243</v>
      </c>
      <c r="AC167" s="38">
        <f t="shared" si="790"/>
        <v>0.879182156133829</v>
      </c>
      <c r="AD167" s="38">
        <f t="shared" si="790"/>
        <v>0.91904643655326579</v>
      </c>
      <c r="AF167" s="38">
        <f t="shared" ref="AF167:AK167" si="791">+AF165/AF163</f>
        <v>0.97455930203454066</v>
      </c>
      <c r="AG167" s="38">
        <f t="shared" si="791"/>
        <v>0.91364002127630528</v>
      </c>
      <c r="AH167" s="38">
        <f t="shared" si="791"/>
        <v>0.86819996888450957</v>
      </c>
      <c r="AI167" s="38">
        <f t="shared" si="791"/>
        <v>0.6309177928606734</v>
      </c>
      <c r="AJ167" s="38">
        <f t="shared" si="791"/>
        <v>0.82511897920994848</v>
      </c>
      <c r="AK167" s="38">
        <f t="shared" si="791"/>
        <v>0.83732216903774581</v>
      </c>
      <c r="AL167" s="38">
        <f t="shared" ref="AL167:AP167" si="792">+AL165/AL163</f>
        <v>0.89368670022439167</v>
      </c>
      <c r="AM167" s="38">
        <f t="shared" si="792"/>
        <v>0.89495050210099003</v>
      </c>
      <c r="AN167" s="38">
        <f t="shared" si="792"/>
        <v>0.84777675253746976</v>
      </c>
      <c r="AO167" s="38">
        <f t="shared" si="792"/>
        <v>0.77924263028095953</v>
      </c>
      <c r="AP167" s="38">
        <f t="shared" si="792"/>
        <v>0.75030271028122464</v>
      </c>
      <c r="AQ167" s="38">
        <f t="shared" ref="AQ167:AT167" si="793">+AQ165/AQ163</f>
        <v>0.77419651816867763</v>
      </c>
      <c r="AR167" s="38">
        <f t="shared" si="793"/>
        <v>0.82016659948945314</v>
      </c>
      <c r="AS167" s="38">
        <f t="shared" si="793"/>
        <v>0.83894572377460408</v>
      </c>
      <c r="AT167" s="38">
        <f t="shared" si="793"/>
        <v>0.77561813394667567</v>
      </c>
      <c r="AU167" s="38">
        <f t="shared" ref="AU167:AX167" si="794">+AU165/AU163</f>
        <v>0.87806198498185994</v>
      </c>
      <c r="AV167" s="38">
        <f t="shared" si="794"/>
        <v>0.82886149383611341</v>
      </c>
      <c r="AW167" s="38">
        <f t="shared" si="794"/>
        <v>0.81933662667607521</v>
      </c>
      <c r="AX167" s="38">
        <f t="shared" si="794"/>
        <v>0.87121212121212088</v>
      </c>
      <c r="AY167" s="38">
        <f t="shared" ref="AY167:BB167" si="795">+AY165/AY163</f>
        <v>0.86106246351430216</v>
      </c>
      <c r="AZ167" s="38">
        <f t="shared" si="795"/>
        <v>0.86341756919374235</v>
      </c>
      <c r="BA167" s="38">
        <f t="shared" si="795"/>
        <v>0.94146079484425327</v>
      </c>
      <c r="BB167" s="38">
        <f t="shared" si="795"/>
        <v>0.87534171678512862</v>
      </c>
      <c r="BC167" s="38">
        <f t="shared" ref="BC167:BF167" si="796">+BC165/BC163</f>
        <v>0.88280846670108382</v>
      </c>
      <c r="BD167" s="38">
        <f t="shared" si="796"/>
        <v>0.88163265306122451</v>
      </c>
      <c r="BE167" s="38">
        <f t="shared" si="796"/>
        <v>0.95452346395742704</v>
      </c>
      <c r="BF167" s="38">
        <f t="shared" si="796"/>
        <v>0.86614557889594523</v>
      </c>
    </row>
    <row r="168" spans="2:58"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</row>
    <row r="169" spans="2:58" s="5" customFormat="1">
      <c r="B169" s="5" t="str">
        <f t="shared" ref="B169:I173" si="797">+B83</f>
        <v xml:space="preserve">Adj EBITDA </v>
      </c>
      <c r="C169" s="36">
        <f t="shared" si="797"/>
        <v>164.96000000000004</v>
      </c>
      <c r="D169" s="36">
        <f t="shared" si="797"/>
        <v>185.98700000000002</v>
      </c>
      <c r="E169" s="36">
        <f t="shared" si="797"/>
        <v>203.2</v>
      </c>
      <c r="F169" s="36">
        <f t="shared" si="797"/>
        <v>214.5</v>
      </c>
      <c r="G169" s="36">
        <f t="shared" si="797"/>
        <v>238.1</v>
      </c>
      <c r="H169" s="36">
        <f t="shared" si="797"/>
        <v>284.68399999999997</v>
      </c>
      <c r="I169" s="36">
        <f t="shared" si="797"/>
        <v>371.03399999999999</v>
      </c>
      <c r="J169" s="36">
        <f t="shared" ref="J169" si="798">+J83</f>
        <v>360.97600000000011</v>
      </c>
      <c r="K169" s="36">
        <f t="shared" ref="K169:O169" si="799">+K83</f>
        <v>457.79999999999995</v>
      </c>
      <c r="L169" s="36">
        <f t="shared" ref="L169" si="800">+L83</f>
        <v>472.7</v>
      </c>
      <c r="M169" s="36">
        <f t="shared" ref="M169:N169" si="801">+M83</f>
        <v>604</v>
      </c>
      <c r="N169" s="36">
        <f t="shared" si="801"/>
        <v>701.2</v>
      </c>
      <c r="O169" s="36">
        <f t="shared" si="799"/>
        <v>718.40000000000009</v>
      </c>
      <c r="P169" s="36"/>
      <c r="Q169" s="36">
        <f t="shared" ref="Q169:X173" si="802">+Q83</f>
        <v>93</v>
      </c>
      <c r="R169" s="36">
        <f t="shared" si="802"/>
        <v>121.5</v>
      </c>
      <c r="S169" s="36">
        <f t="shared" si="802"/>
        <v>119.3</v>
      </c>
      <c r="T169" s="36">
        <f t="shared" si="802"/>
        <v>118.8</v>
      </c>
      <c r="U169" s="36">
        <f t="shared" si="802"/>
        <v>149.07599999999996</v>
      </c>
      <c r="V169" s="36">
        <f t="shared" si="802"/>
        <v>135.608</v>
      </c>
      <c r="W169" s="36">
        <f t="shared" si="802"/>
        <v>166.50799999999998</v>
      </c>
      <c r="X169" s="36">
        <f t="shared" si="802"/>
        <v>204.52600000000001</v>
      </c>
      <c r="Y169" s="36">
        <f t="shared" ref="Y169:AA169" si="803">+Y83</f>
        <v>227.40000000000003</v>
      </c>
      <c r="Z169" s="36">
        <f t="shared" si="803"/>
        <v>230.39999999999992</v>
      </c>
      <c r="AA169" s="36">
        <f t="shared" si="803"/>
        <v>285.2</v>
      </c>
      <c r="AB169" s="36">
        <f t="shared" ref="AB169:AC169" si="804">+AB83</f>
        <v>318.8</v>
      </c>
      <c r="AC169" s="36">
        <f t="shared" si="804"/>
        <v>331.09999999999991</v>
      </c>
      <c r="AD169" s="36">
        <f t="shared" ref="AD169" si="805">+AD83</f>
        <v>370.10000000000014</v>
      </c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  <c r="AP169" s="142"/>
      <c r="AQ169" s="142"/>
      <c r="AR169" s="142"/>
      <c r="AS169" s="142"/>
      <c r="AT169" s="36">
        <f t="shared" ref="AT169:AU173" si="806">+AT83</f>
        <v>102.51500000000001</v>
      </c>
      <c r="AU169" s="36">
        <f t="shared" si="806"/>
        <v>124.88499999999996</v>
      </c>
      <c r="AV169" s="36">
        <f t="shared" ref="AV169:AY169" si="807">+AV83</f>
        <v>114.30000000000007</v>
      </c>
      <c r="AW169" s="36">
        <f t="shared" si="807"/>
        <v>116.09999999999985</v>
      </c>
      <c r="AX169" s="36">
        <f t="shared" si="807"/>
        <v>137.99999999999997</v>
      </c>
      <c r="AY169" s="36">
        <f t="shared" si="807"/>
        <v>147.49999999999994</v>
      </c>
      <c r="AZ169" s="36">
        <f t="shared" ref="AZ169:BB169" si="808">+AZ83</f>
        <v>143.5</v>
      </c>
      <c r="BA169" s="36">
        <f t="shared" si="808"/>
        <v>175.3</v>
      </c>
      <c r="BB169" s="36">
        <f t="shared" si="808"/>
        <v>160.10000000000002</v>
      </c>
      <c r="BC169" s="36">
        <f t="shared" ref="BC169:BF169" si="809">+BC83</f>
        <v>170.99999999999994</v>
      </c>
      <c r="BD169" s="36">
        <f t="shared" si="809"/>
        <v>172.8</v>
      </c>
      <c r="BE169" s="36">
        <f t="shared" si="809"/>
        <v>197.30000000000013</v>
      </c>
      <c r="BF169" s="36">
        <f t="shared" si="809"/>
        <v>177.29999999999998</v>
      </c>
    </row>
    <row r="170" spans="2:58">
      <c r="B170" s="1" t="str">
        <f t="shared" si="797"/>
        <v>Working Capital</v>
      </c>
      <c r="C170" s="42">
        <f t="shared" si="797"/>
        <v>-74.722999999999999</v>
      </c>
      <c r="D170" s="42">
        <f t="shared" si="797"/>
        <v>44.216000000000001</v>
      </c>
      <c r="E170" s="42">
        <f t="shared" si="797"/>
        <v>33.066000000000003</v>
      </c>
      <c r="F170" s="42">
        <f t="shared" si="797"/>
        <v>-5.3929999999999998</v>
      </c>
      <c r="G170" s="42">
        <f t="shared" si="797"/>
        <v>17.893000000000001</v>
      </c>
      <c r="H170" s="42">
        <f t="shared" si="797"/>
        <v>-47.253999999999998</v>
      </c>
      <c r="I170" s="42">
        <f t="shared" si="797"/>
        <v>34.206000000000003</v>
      </c>
      <c r="J170" s="42">
        <f t="shared" ref="J170" si="810">+J84</f>
        <v>34.206000000000003</v>
      </c>
      <c r="K170" s="42">
        <f t="shared" ref="K170:O170" si="811">+K84</f>
        <v>10.4</v>
      </c>
      <c r="L170" s="42">
        <f t="shared" ref="L170" si="812">+L84</f>
        <v>10.4</v>
      </c>
      <c r="M170" s="42">
        <f t="shared" ref="M170:N170" si="813">+M84</f>
        <v>-33</v>
      </c>
      <c r="N170" s="42">
        <f t="shared" si="813"/>
        <v>35</v>
      </c>
      <c r="O170" s="42">
        <f t="shared" si="811"/>
        <v>-32.200000000000003</v>
      </c>
      <c r="P170" s="42"/>
      <c r="Q170" s="42">
        <f t="shared" si="802"/>
        <v>-30.763999999999999</v>
      </c>
      <c r="R170" s="42">
        <f t="shared" si="802"/>
        <v>25.370999999999999</v>
      </c>
      <c r="S170" s="42">
        <f t="shared" si="802"/>
        <v>13.16</v>
      </c>
      <c r="T170" s="42">
        <f t="shared" si="802"/>
        <v>4.7330000000000005</v>
      </c>
      <c r="U170" s="42">
        <f t="shared" si="802"/>
        <v>-60.152000000000001</v>
      </c>
      <c r="V170" s="42">
        <f t="shared" si="802"/>
        <v>12.898000000000003</v>
      </c>
      <c r="W170" s="42">
        <f t="shared" si="802"/>
        <v>20.638000000000002</v>
      </c>
      <c r="X170" s="42">
        <f t="shared" si="802"/>
        <v>13.568000000000001</v>
      </c>
      <c r="Y170" s="42">
        <f t="shared" ref="Y170:AA170" si="814">+Y84</f>
        <v>-54.1</v>
      </c>
      <c r="Z170" s="42">
        <f t="shared" si="814"/>
        <v>64.5</v>
      </c>
      <c r="AA170" s="42">
        <f t="shared" si="814"/>
        <v>8.9</v>
      </c>
      <c r="AB170" s="42">
        <f t="shared" ref="AB170:AC170" si="815">+AB84</f>
        <v>-41.9</v>
      </c>
      <c r="AC170" s="42">
        <f t="shared" si="815"/>
        <v>8.1999999999999993</v>
      </c>
      <c r="AD170" s="42">
        <f t="shared" ref="AD170" si="816">+AD84</f>
        <v>26.8</v>
      </c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42">
        <f t="shared" si="806"/>
        <v>-73.191999999999993</v>
      </c>
      <c r="AU170" s="42">
        <f t="shared" si="806"/>
        <v>19.091999999999992</v>
      </c>
      <c r="AV170" s="42">
        <f t="shared" ref="AV170:AY170" si="817">+AV84</f>
        <v>61.300000000000004</v>
      </c>
      <c r="AW170" s="42">
        <f t="shared" si="817"/>
        <v>3.1999999999999975</v>
      </c>
      <c r="AX170" s="42">
        <f t="shared" si="817"/>
        <v>-29.3</v>
      </c>
      <c r="AY170" s="42">
        <f t="shared" si="817"/>
        <v>38.200000000000003</v>
      </c>
      <c r="AZ170" s="42">
        <f t="shared" ref="AZ170:BB170" si="818">+AZ84</f>
        <v>-31.6</v>
      </c>
      <c r="BA170" s="42">
        <f t="shared" si="818"/>
        <v>-10.299999999999999</v>
      </c>
      <c r="BB170" s="42">
        <f t="shared" si="818"/>
        <v>-27.8</v>
      </c>
      <c r="BC170" s="42">
        <f t="shared" ref="BC170:BF170" si="819">+BC84</f>
        <v>36</v>
      </c>
      <c r="BD170" s="42">
        <f t="shared" si="819"/>
        <v>36.100000000000009</v>
      </c>
      <c r="BE170" s="42">
        <f t="shared" si="819"/>
        <v>-9.3000000000000078</v>
      </c>
      <c r="BF170" s="42">
        <f t="shared" si="819"/>
        <v>-95</v>
      </c>
    </row>
    <row r="171" spans="2:58">
      <c r="B171" s="1" t="str">
        <f t="shared" si="797"/>
        <v>Taxes</v>
      </c>
      <c r="C171" s="42">
        <f t="shared" si="797"/>
        <v>-8.6760000000000002</v>
      </c>
      <c r="D171" s="42">
        <f t="shared" si="797"/>
        <v>-11.124000000000001</v>
      </c>
      <c r="E171" s="42">
        <f t="shared" si="797"/>
        <v>-36.765999999999998</v>
      </c>
      <c r="F171" s="42">
        <f t="shared" si="797"/>
        <v>-12.077</v>
      </c>
      <c r="G171" s="42">
        <f t="shared" si="797"/>
        <v>-8.6850000000000005</v>
      </c>
      <c r="H171" s="42">
        <f t="shared" si="797"/>
        <v>-33.066000000000003</v>
      </c>
      <c r="I171" s="42">
        <f t="shared" si="797"/>
        <v>-30.818999999999999</v>
      </c>
      <c r="J171" s="42">
        <f t="shared" ref="J171" si="820">+J85</f>
        <v>-30.818999999999999</v>
      </c>
      <c r="K171" s="42">
        <f t="shared" ref="K171:O171" si="821">+K85</f>
        <v>-45</v>
      </c>
      <c r="L171" s="42">
        <f t="shared" ref="L171" si="822">+L85</f>
        <v>-45</v>
      </c>
      <c r="M171" s="42">
        <f t="shared" ref="M171:N171" si="823">+M85</f>
        <v>-44.9</v>
      </c>
      <c r="N171" s="42">
        <f t="shared" si="823"/>
        <v>-74</v>
      </c>
      <c r="O171" s="42">
        <f t="shared" si="821"/>
        <v>-72.099999999999994</v>
      </c>
      <c r="P171" s="42"/>
      <c r="Q171" s="42">
        <f t="shared" si="802"/>
        <v>-10.375</v>
      </c>
      <c r="R171" s="42">
        <f t="shared" si="802"/>
        <v>-1.702</v>
      </c>
      <c r="S171" s="42">
        <f t="shared" si="802"/>
        <v>-3.827</v>
      </c>
      <c r="T171" s="42">
        <f t="shared" si="802"/>
        <v>-4.8580000000000005</v>
      </c>
      <c r="U171" s="42">
        <f t="shared" si="802"/>
        <v>14.695</v>
      </c>
      <c r="V171" s="42">
        <f t="shared" si="802"/>
        <v>-47.761000000000003</v>
      </c>
      <c r="W171" s="42">
        <f t="shared" si="802"/>
        <v>-25.885000000000002</v>
      </c>
      <c r="X171" s="42">
        <f t="shared" si="802"/>
        <v>-4.9339999999999975</v>
      </c>
      <c r="Y171" s="42">
        <f t="shared" ref="Y171:AA171" si="824">+Y85</f>
        <v>-25.2</v>
      </c>
      <c r="Z171" s="42">
        <f t="shared" si="824"/>
        <v>-19.8</v>
      </c>
      <c r="AA171" s="42">
        <f t="shared" si="824"/>
        <v>-31.1</v>
      </c>
      <c r="AB171" s="42">
        <f t="shared" ref="AB171:AC171" si="825">+AB85</f>
        <v>-13.799999999999997</v>
      </c>
      <c r="AC171" s="42">
        <f t="shared" si="825"/>
        <v>-40.1</v>
      </c>
      <c r="AD171" s="42">
        <f t="shared" ref="AD171" si="826">+AD85</f>
        <v>-33.9</v>
      </c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42">
        <f t="shared" si="806"/>
        <v>-8.7110000000000003</v>
      </c>
      <c r="AU171" s="42">
        <f t="shared" si="806"/>
        <v>-16.488999999999997</v>
      </c>
      <c r="AV171" s="42">
        <f t="shared" ref="AV171:AY171" si="827">+AV85</f>
        <v>-13.7</v>
      </c>
      <c r="AW171" s="42">
        <f t="shared" si="827"/>
        <v>-6.1000000000000085</v>
      </c>
      <c r="AX171" s="42">
        <f t="shared" si="827"/>
        <v>-10.4</v>
      </c>
      <c r="AY171" s="42">
        <f t="shared" si="827"/>
        <v>-20.700000000000003</v>
      </c>
      <c r="AZ171" s="42">
        <f t="shared" ref="AZ171:BB171" si="828">+AZ85</f>
        <v>-3.1999999999999957</v>
      </c>
      <c r="BA171" s="42">
        <f t="shared" si="828"/>
        <v>-10.600000000000001</v>
      </c>
      <c r="BB171" s="42">
        <f t="shared" si="828"/>
        <v>-16.2</v>
      </c>
      <c r="BC171" s="42">
        <f t="shared" ref="BC171:BF171" si="829">+BC85</f>
        <v>-23.900000000000002</v>
      </c>
      <c r="BD171" s="42">
        <f t="shared" si="829"/>
        <v>-14.399999999999999</v>
      </c>
      <c r="BE171" s="42">
        <f t="shared" si="829"/>
        <v>-19.5</v>
      </c>
      <c r="BF171" s="42">
        <f t="shared" si="829"/>
        <v>-14.3</v>
      </c>
    </row>
    <row r="172" spans="2:58">
      <c r="B172" s="1" t="str">
        <f t="shared" si="797"/>
        <v>Cash interest paid</v>
      </c>
      <c r="C172" s="42">
        <f t="shared" si="797"/>
        <v>-41.963999999999999</v>
      </c>
      <c r="D172" s="42">
        <f t="shared" si="797"/>
        <v>-47.674999999999997</v>
      </c>
      <c r="E172" s="42">
        <f t="shared" si="797"/>
        <v>-54.715000000000003</v>
      </c>
      <c r="F172" s="42">
        <f t="shared" si="797"/>
        <v>-54.582999999999998</v>
      </c>
      <c r="G172" s="42">
        <f t="shared" si="797"/>
        <v>-62.271999999999998</v>
      </c>
      <c r="H172" s="42">
        <f t="shared" si="797"/>
        <v>-45.164999999999999</v>
      </c>
      <c r="I172" s="42">
        <f t="shared" si="797"/>
        <v>-64.697000000000003</v>
      </c>
      <c r="J172" s="42">
        <f t="shared" ref="J172" si="830">+J86</f>
        <v>-64.697000000000003</v>
      </c>
      <c r="K172" s="42">
        <f t="shared" ref="K172:O172" si="831">+K86</f>
        <v>-116.5</v>
      </c>
      <c r="L172" s="42">
        <f t="shared" ref="L172" si="832">+L86</f>
        <v>-116.5</v>
      </c>
      <c r="M172" s="42">
        <f t="shared" ref="M172:N172" si="833">+M86</f>
        <v>-207</v>
      </c>
      <c r="N172" s="42">
        <f t="shared" si="833"/>
        <v>-242.2</v>
      </c>
      <c r="O172" s="42">
        <f t="shared" si="831"/>
        <v>-279.5</v>
      </c>
      <c r="P172" s="42"/>
      <c r="Q172" s="42">
        <f t="shared" si="802"/>
        <v>-25.962</v>
      </c>
      <c r="R172" s="42">
        <f t="shared" si="802"/>
        <v>-28.620999999999999</v>
      </c>
      <c r="S172" s="42">
        <f t="shared" si="802"/>
        <v>-31.535</v>
      </c>
      <c r="T172" s="42">
        <f t="shared" si="802"/>
        <v>-30.736999999999998</v>
      </c>
      <c r="U172" s="42">
        <f t="shared" si="802"/>
        <v>-21.617000000000001</v>
      </c>
      <c r="V172" s="42">
        <f t="shared" si="802"/>
        <v>-23.547999999999998</v>
      </c>
      <c r="W172" s="42">
        <f t="shared" si="802"/>
        <v>-27.925000000000001</v>
      </c>
      <c r="X172" s="42">
        <f t="shared" si="802"/>
        <v>-36.772000000000006</v>
      </c>
      <c r="Y172" s="42">
        <f t="shared" ref="Y172:AA172" si="834">+Y86</f>
        <v>-49.5</v>
      </c>
      <c r="Z172" s="42">
        <f t="shared" si="834"/>
        <v>-67</v>
      </c>
      <c r="AA172" s="42">
        <f t="shared" si="834"/>
        <v>-91</v>
      </c>
      <c r="AB172" s="42">
        <f t="shared" ref="AB172:AC172" si="835">+AB86</f>
        <v>-116</v>
      </c>
      <c r="AC172" s="42">
        <f t="shared" si="835"/>
        <v>-128.30000000000001</v>
      </c>
      <c r="AD172" s="42">
        <f t="shared" ref="AD172" si="836">+AD86</f>
        <v>-113.89999999999998</v>
      </c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42">
        <f t="shared" si="806"/>
        <v>-24.128</v>
      </c>
      <c r="AU172" s="42">
        <f t="shared" si="806"/>
        <v>-25.372</v>
      </c>
      <c r="AV172" s="42">
        <f t="shared" ref="AV172:AY172" si="837">+AV86</f>
        <v>-27.099999999999994</v>
      </c>
      <c r="AW172" s="42">
        <f t="shared" si="837"/>
        <v>-39.900000000000006</v>
      </c>
      <c r="AX172" s="42">
        <f t="shared" si="837"/>
        <v>-35.9</v>
      </c>
      <c r="AY172" s="42">
        <f t="shared" si="837"/>
        <v>-55.1</v>
      </c>
      <c r="AZ172" s="42">
        <f t="shared" ref="AZ172:BB172" si="838">+AZ86</f>
        <v>-59.099999999999994</v>
      </c>
      <c r="BA172" s="42">
        <f t="shared" si="838"/>
        <v>-56.900000000000006</v>
      </c>
      <c r="BB172" s="42">
        <f t="shared" si="838"/>
        <v>-76.599999999999994</v>
      </c>
      <c r="BC172" s="42">
        <f t="shared" ref="BC172:BF172" si="839">+BC86</f>
        <v>-51.700000000000017</v>
      </c>
      <c r="BD172" s="42">
        <f t="shared" si="839"/>
        <v>-46.899999999999977</v>
      </c>
      <c r="BE172" s="42">
        <f t="shared" si="839"/>
        <v>-67</v>
      </c>
      <c r="BF172" s="42">
        <f t="shared" si="839"/>
        <v>-113.9</v>
      </c>
    </row>
    <row r="173" spans="2:58">
      <c r="B173" s="1" t="str">
        <f t="shared" si="797"/>
        <v>Interest received</v>
      </c>
      <c r="C173" s="42">
        <f t="shared" si="797"/>
        <v>2.9780000000000002</v>
      </c>
      <c r="D173" s="42">
        <f t="shared" si="797"/>
        <v>2.677</v>
      </c>
      <c r="E173" s="42">
        <f t="shared" si="797"/>
        <v>1.9530000000000001</v>
      </c>
      <c r="F173" s="42">
        <f t="shared" si="797"/>
        <v>0.58199999999999996</v>
      </c>
      <c r="G173" s="42">
        <f t="shared" si="797"/>
        <v>0.371</v>
      </c>
      <c r="H173" s="42">
        <f t="shared" si="797"/>
        <v>0.223</v>
      </c>
      <c r="I173" s="42">
        <f t="shared" si="797"/>
        <v>3.7850000000000001</v>
      </c>
      <c r="J173" s="42">
        <f t="shared" ref="J173" si="840">+J87</f>
        <v>3.7850000000000001</v>
      </c>
      <c r="K173" s="42">
        <f t="shared" ref="K173:O173" si="841">+K87</f>
        <v>20.399999999999999</v>
      </c>
      <c r="L173" s="42">
        <f t="shared" ref="L173" si="842">+L87</f>
        <v>20.399999999999999</v>
      </c>
      <c r="M173" s="42">
        <f t="shared" ref="M173:N173" si="843">+M87</f>
        <v>50.7</v>
      </c>
      <c r="N173" s="42">
        <f t="shared" si="843"/>
        <v>25.4</v>
      </c>
      <c r="O173" s="42">
        <f t="shared" si="841"/>
        <v>20.399999999999999</v>
      </c>
      <c r="P173" s="42"/>
      <c r="Q173" s="42">
        <f t="shared" si="802"/>
        <v>0.29799999999999999</v>
      </c>
      <c r="R173" s="42">
        <f t="shared" si="802"/>
        <v>0.28399999999999997</v>
      </c>
      <c r="S173" s="42">
        <f t="shared" si="802"/>
        <v>0.38200000000000001</v>
      </c>
      <c r="T173" s="42">
        <f t="shared" si="802"/>
        <v>-1.100000000000001E-2</v>
      </c>
      <c r="U173" s="42">
        <f t="shared" si="802"/>
        <v>0.223</v>
      </c>
      <c r="V173" s="42">
        <f t="shared" si="802"/>
        <v>0</v>
      </c>
      <c r="W173" s="42">
        <f t="shared" si="802"/>
        <v>-0.30199999999999999</v>
      </c>
      <c r="X173" s="42">
        <f t="shared" si="802"/>
        <v>4.0869999999999997</v>
      </c>
      <c r="Y173" s="42">
        <f t="shared" ref="Y173:AA173" si="844">+Y87</f>
        <v>6.2</v>
      </c>
      <c r="Z173" s="42">
        <f t="shared" si="844"/>
        <v>14.2</v>
      </c>
      <c r="AA173" s="42">
        <f t="shared" si="844"/>
        <v>26.8</v>
      </c>
      <c r="AB173" s="42">
        <f t="shared" ref="AB173:AC173" si="845">+AB87</f>
        <v>23.900000000000002</v>
      </c>
      <c r="AC173" s="42">
        <f t="shared" si="845"/>
        <v>19.899999999999999</v>
      </c>
      <c r="AD173" s="42">
        <f t="shared" ref="AD173" si="846">+AD87</f>
        <v>5.5</v>
      </c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42">
        <f t="shared" si="806"/>
        <v>2.5990000000000002</v>
      </c>
      <c r="AU173" s="42">
        <f t="shared" si="806"/>
        <v>3.601</v>
      </c>
      <c r="AV173" s="42">
        <f t="shared" ref="AV173:AY173" si="847">+AV87</f>
        <v>-1.6000000000000005</v>
      </c>
      <c r="AW173" s="42">
        <f t="shared" si="847"/>
        <v>15.799999999999999</v>
      </c>
      <c r="AX173" s="42">
        <f t="shared" si="847"/>
        <v>12.2</v>
      </c>
      <c r="AY173" s="42">
        <f t="shared" si="847"/>
        <v>14.600000000000001</v>
      </c>
      <c r="AZ173" s="42">
        <f t="shared" ref="AZ173:BB173" si="848">+AZ87</f>
        <v>10.900000000000002</v>
      </c>
      <c r="BA173" s="42">
        <f t="shared" si="848"/>
        <v>12.999999999999996</v>
      </c>
      <c r="BB173" s="42">
        <f t="shared" si="848"/>
        <v>7.3</v>
      </c>
      <c r="BC173" s="42">
        <f t="shared" ref="BC173:BF173" si="849">+BC87</f>
        <v>12.599999999999998</v>
      </c>
      <c r="BD173" s="42">
        <f t="shared" si="849"/>
        <v>-1.6999999999999993</v>
      </c>
      <c r="BE173" s="42">
        <f t="shared" si="849"/>
        <v>7.1999999999999993</v>
      </c>
      <c r="BF173" s="42">
        <f t="shared" si="849"/>
        <v>2.2999999999999998</v>
      </c>
    </row>
    <row r="174" spans="2:58" s="5" customFormat="1" ht="13.5" thickBot="1">
      <c r="B174" s="39" t="str">
        <f t="shared" ref="B174:B182" si="850">+B88</f>
        <v xml:space="preserve">Net cash from operations </v>
      </c>
      <c r="C174" s="54">
        <f t="shared" ref="C174" si="851">SUM(C169:C172)</f>
        <v>39.597000000000037</v>
      </c>
      <c r="D174" s="54">
        <f t="shared" ref="D174" si="852">SUM(D169:D173)</f>
        <v>174.08100000000005</v>
      </c>
      <c r="E174" s="54">
        <f t="shared" ref="E174" si="853">SUM(E169:E173)</f>
        <v>146.738</v>
      </c>
      <c r="F174" s="54">
        <f t="shared" ref="F174:G174" si="854">SUM(F169:F173)</f>
        <v>143.029</v>
      </c>
      <c r="G174" s="54">
        <f t="shared" si="854"/>
        <v>185.40700000000001</v>
      </c>
      <c r="H174" s="54">
        <f t="shared" ref="H174:I174" si="855">SUM(H169:H173)</f>
        <v>159.422</v>
      </c>
      <c r="I174" s="54">
        <f t="shared" si="855"/>
        <v>313.50900000000001</v>
      </c>
      <c r="J174" s="54">
        <f t="shared" ref="J174" si="856">SUM(J169:J173)</f>
        <v>303.45100000000014</v>
      </c>
      <c r="K174" s="54">
        <f t="shared" ref="K174:M174" si="857">SUM(K169:K173)</f>
        <v>327.09999999999991</v>
      </c>
      <c r="L174" s="54">
        <f t="shared" ref="L174" si="858">SUM(L169:L173)</f>
        <v>341.99999999999994</v>
      </c>
      <c r="M174" s="54">
        <f t="shared" si="857"/>
        <v>369.8</v>
      </c>
      <c r="N174" s="54">
        <f t="shared" ref="N174" si="859">SUM(N169:N173)</f>
        <v>445.40000000000003</v>
      </c>
      <c r="O174" s="54">
        <f>SUM(O169:O173)</f>
        <v>355</v>
      </c>
      <c r="P174" s="36"/>
      <c r="Q174" s="54">
        <f t="shared" ref="Q174:R174" si="860">SUM(Q169:Q173)</f>
        <v>26.197000000000003</v>
      </c>
      <c r="R174" s="54">
        <f t="shared" si="860"/>
        <v>116.83200000000002</v>
      </c>
      <c r="S174" s="54">
        <f>SUM(S169:S173)</f>
        <v>97.480000000000018</v>
      </c>
      <c r="T174" s="54">
        <f t="shared" ref="T174:V174" si="861">SUM(T169:T173)</f>
        <v>87.927000000000007</v>
      </c>
      <c r="U174" s="54">
        <f>SUM(U169:U173)</f>
        <v>82.224999999999966</v>
      </c>
      <c r="V174" s="54">
        <f t="shared" si="861"/>
        <v>77.197000000000003</v>
      </c>
      <c r="W174" s="54">
        <f t="shared" ref="W174:X174" si="862">SUM(W169:W173)</f>
        <v>133.03399999999999</v>
      </c>
      <c r="X174" s="54">
        <f t="shared" si="862"/>
        <v>180.47500000000002</v>
      </c>
      <c r="Y174" s="54">
        <f t="shared" ref="Y174:AA174" si="863">SUM(Y169:Y173)</f>
        <v>104.80000000000005</v>
      </c>
      <c r="Z174" s="54">
        <f t="shared" si="863"/>
        <v>222.2999999999999</v>
      </c>
      <c r="AA174" s="54">
        <f t="shared" si="863"/>
        <v>198.79999999999995</v>
      </c>
      <c r="AB174" s="54">
        <f t="shared" ref="AB174:AC174" si="864">SUM(AB169:AB173)</f>
        <v>171.00000000000003</v>
      </c>
      <c r="AC174" s="54">
        <f t="shared" si="864"/>
        <v>190.79999999999987</v>
      </c>
      <c r="AD174" s="54">
        <f t="shared" ref="AD174" si="865">SUM(AD169:AD173)</f>
        <v>254.60000000000019</v>
      </c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54">
        <f t="shared" ref="AT174:AU174" si="866">SUM(AT169:AT173)</f>
        <v>-0.91699999999997672</v>
      </c>
      <c r="AU174" s="54">
        <f t="shared" si="866"/>
        <v>105.71699999999994</v>
      </c>
      <c r="AV174" s="54">
        <f t="shared" ref="AV174:AY174" si="867">SUM(AV169:AV173)</f>
        <v>133.2000000000001</v>
      </c>
      <c r="AW174" s="54">
        <f t="shared" si="867"/>
        <v>89.099999999999838</v>
      </c>
      <c r="AX174" s="54">
        <f t="shared" si="867"/>
        <v>74.599999999999966</v>
      </c>
      <c r="AY174" s="54">
        <f t="shared" si="867"/>
        <v>124.49999999999994</v>
      </c>
      <c r="AZ174" s="54">
        <f t="shared" ref="AZ174:BB174" si="868">SUM(AZ169:AZ173)</f>
        <v>60.500000000000028</v>
      </c>
      <c r="BA174" s="54">
        <f t="shared" si="868"/>
        <v>110.5</v>
      </c>
      <c r="BB174" s="54">
        <f t="shared" si="868"/>
        <v>46.800000000000011</v>
      </c>
      <c r="BC174" s="54">
        <f t="shared" ref="BC174:BF174" si="869">SUM(BC169:BC173)</f>
        <v>143.99999999999991</v>
      </c>
      <c r="BD174" s="54">
        <f t="shared" si="869"/>
        <v>145.90000000000006</v>
      </c>
      <c r="BE174" s="54">
        <f t="shared" si="869"/>
        <v>108.70000000000012</v>
      </c>
      <c r="BF174" s="54">
        <f t="shared" si="869"/>
        <v>-43.600000000000023</v>
      </c>
    </row>
    <row r="175" spans="2:58" ht="13.5" thickTop="1">
      <c r="B175" s="1" t="str">
        <f t="shared" si="850"/>
        <v>Net Capex</v>
      </c>
      <c r="C175" s="42">
        <f t="shared" ref="C175:I182" si="870">+C89</f>
        <v>-190.77</v>
      </c>
      <c r="D175" s="42">
        <f t="shared" si="870"/>
        <v>-450.11</v>
      </c>
      <c r="E175" s="42">
        <f t="shared" si="870"/>
        <v>-379.31400000000002</v>
      </c>
      <c r="F175" s="42">
        <f t="shared" si="870"/>
        <v>-361.87200000000001</v>
      </c>
      <c r="G175" s="42">
        <f t="shared" si="870"/>
        <v>-416.61399999999998</v>
      </c>
      <c r="H175" s="42">
        <f t="shared" si="870"/>
        <v>-880.14100000000008</v>
      </c>
      <c r="I175" s="42">
        <f t="shared" si="870"/>
        <v>-1138.223</v>
      </c>
      <c r="J175" s="42">
        <f t="shared" ref="J175" si="871">+J89</f>
        <v>-1138.223</v>
      </c>
      <c r="K175" s="42">
        <f t="shared" ref="K175:O175" si="872">+K89</f>
        <v>-1130.3</v>
      </c>
      <c r="L175" s="42">
        <f t="shared" ref="L175" si="873">+L89</f>
        <v>-1130.3</v>
      </c>
      <c r="M175" s="42">
        <f t="shared" ref="M175:N175" si="874">+M89</f>
        <v>-1153.7</v>
      </c>
      <c r="N175" s="42">
        <f t="shared" si="874"/>
        <v>-1195</v>
      </c>
      <c r="O175" s="42">
        <f t="shared" si="872"/>
        <v>-1200.7</v>
      </c>
      <c r="P175" s="42"/>
      <c r="Q175" s="42">
        <f t="shared" ref="Q175:X182" si="875">+Q89</f>
        <v>-131.86799999999999</v>
      </c>
      <c r="R175" s="42">
        <f t="shared" si="875"/>
        <v>-230.00400000000002</v>
      </c>
      <c r="S175" s="42">
        <f t="shared" si="875"/>
        <v>-167.416</v>
      </c>
      <c r="T175" s="42">
        <f t="shared" si="875"/>
        <v>-249.19799999999998</v>
      </c>
      <c r="U175" s="42">
        <f t="shared" si="875"/>
        <v>-346.26900000000001</v>
      </c>
      <c r="V175" s="42">
        <f t="shared" si="875"/>
        <v>-533.87200000000007</v>
      </c>
      <c r="W175" s="42">
        <f t="shared" si="875"/>
        <v>-484.15499999999997</v>
      </c>
      <c r="X175" s="42">
        <f t="shared" si="875"/>
        <v>-654.06799999999998</v>
      </c>
      <c r="Y175" s="42">
        <f t="shared" ref="Y175:AA175" si="876">+Y89</f>
        <v>-431.09999999999997</v>
      </c>
      <c r="Z175" s="42">
        <f t="shared" si="876"/>
        <v>-699.2</v>
      </c>
      <c r="AA175" s="42">
        <f t="shared" si="876"/>
        <v>-463.79999999999995</v>
      </c>
      <c r="AB175" s="42">
        <f t="shared" ref="AB175:AC175" si="877">+AB89</f>
        <v>-689.90000000000009</v>
      </c>
      <c r="AC175" s="42">
        <f t="shared" si="877"/>
        <v>-472.4</v>
      </c>
      <c r="AD175" s="42">
        <f t="shared" ref="AD175" si="878">+AD89</f>
        <v>-722.6</v>
      </c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42">
        <f t="shared" ref="AT175:AU182" si="879">+AT89</f>
        <v>-203.04400000000001</v>
      </c>
      <c r="AU175" s="42">
        <f t="shared" si="879"/>
        <v>-228.05599999999995</v>
      </c>
      <c r="AV175" s="42">
        <f t="shared" ref="AV175:AY175" si="880">+AV89</f>
        <v>-291.8</v>
      </c>
      <c r="AW175" s="42">
        <f t="shared" si="880"/>
        <v>-407.4</v>
      </c>
      <c r="AX175" s="42">
        <f t="shared" si="880"/>
        <v>-213.29999999999998</v>
      </c>
      <c r="AY175" s="42">
        <f t="shared" si="880"/>
        <v>-250.49999999999997</v>
      </c>
      <c r="AZ175" s="42">
        <f t="shared" ref="AZ175:BB175" si="881">+AZ89</f>
        <v>-287.40000000000009</v>
      </c>
      <c r="BA175" s="42">
        <f t="shared" si="881"/>
        <v>-402.5</v>
      </c>
      <c r="BB175" s="42">
        <f t="shared" si="881"/>
        <v>-196.4</v>
      </c>
      <c r="BC175" s="42">
        <f t="shared" ref="BC175:BF175" si="882">+BC89</f>
        <v>-276</v>
      </c>
      <c r="BD175" s="42">
        <f t="shared" si="882"/>
        <v>-416.20000000000005</v>
      </c>
      <c r="BE175" s="42">
        <f t="shared" si="882"/>
        <v>-306.39999999999998</v>
      </c>
      <c r="BF175" s="42">
        <f t="shared" si="882"/>
        <v>-202.10000000000002</v>
      </c>
    </row>
    <row r="176" spans="2:58">
      <c r="B176" s="1" t="str">
        <f t="shared" si="850"/>
        <v>Investment in subsidiaries, JVs</v>
      </c>
      <c r="C176" s="42">
        <f t="shared" si="870"/>
        <v>-38.063000000000002</v>
      </c>
      <c r="D176" s="42">
        <f t="shared" si="870"/>
        <v>-14.723000000000001</v>
      </c>
      <c r="E176" s="42">
        <f t="shared" si="870"/>
        <v>-39.689</v>
      </c>
      <c r="F176" s="42">
        <f t="shared" si="870"/>
        <v>-20.378</v>
      </c>
      <c r="G176" s="42">
        <f t="shared" si="870"/>
        <v>-26.056000000000001</v>
      </c>
      <c r="H176" s="42">
        <f t="shared" si="870"/>
        <v>-543.61799999999994</v>
      </c>
      <c r="I176" s="42">
        <f t="shared" si="870"/>
        <v>-307.36500000000001</v>
      </c>
      <c r="J176" s="42">
        <f t="shared" ref="J176" si="883">+J90</f>
        <v>-297.36500000000001</v>
      </c>
      <c r="K176" s="42">
        <f t="shared" ref="K176:O176" si="884">+K90</f>
        <v>-98</v>
      </c>
      <c r="L176" s="42">
        <f t="shared" ref="L176" si="885">+L90</f>
        <v>-98</v>
      </c>
      <c r="M176" s="42">
        <f t="shared" ref="M176:N176" si="886">+M90</f>
        <v>-174</v>
      </c>
      <c r="N176" s="42">
        <f t="shared" si="886"/>
        <v>-331.1</v>
      </c>
      <c r="O176" s="42">
        <f t="shared" si="884"/>
        <v>-323.90000000000003</v>
      </c>
      <c r="P176" s="42"/>
      <c r="Q176" s="42">
        <f t="shared" si="875"/>
        <v>-13.22</v>
      </c>
      <c r="R176" s="42">
        <f t="shared" si="875"/>
        <v>-7.1579999999999995</v>
      </c>
      <c r="S176" s="42">
        <f t="shared" si="875"/>
        <v>-5.2069999999999999</v>
      </c>
      <c r="T176" s="42">
        <f t="shared" si="875"/>
        <v>-20.849</v>
      </c>
      <c r="U176" s="42">
        <f t="shared" si="875"/>
        <v>-60.734999999999999</v>
      </c>
      <c r="V176" s="42">
        <f t="shared" si="875"/>
        <v>-482.88299999999992</v>
      </c>
      <c r="W176" s="42">
        <f t="shared" si="875"/>
        <v>-138.32499999999999</v>
      </c>
      <c r="X176" s="42">
        <f t="shared" si="875"/>
        <v>-169.04000000000002</v>
      </c>
      <c r="Y176" s="42">
        <f t="shared" ref="Y176:AA176" si="887">+Y90</f>
        <v>-65.899999999999991</v>
      </c>
      <c r="Z176" s="42">
        <f t="shared" si="887"/>
        <v>-32.100000000000009</v>
      </c>
      <c r="AA176" s="42">
        <f t="shared" si="887"/>
        <v>-157.69999999999999</v>
      </c>
      <c r="AB176" s="42">
        <f t="shared" ref="AB176:AC176" si="888">+AB90</f>
        <v>-16.300000000000011</v>
      </c>
      <c r="AC176" s="42">
        <f t="shared" si="888"/>
        <v>-81.5</v>
      </c>
      <c r="AD176" s="42">
        <f t="shared" ref="AD176" si="889">+AD90</f>
        <v>-249.60000000000002</v>
      </c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42">
        <f t="shared" si="879"/>
        <v>-69.664999999999992</v>
      </c>
      <c r="AU176" s="42">
        <f t="shared" si="879"/>
        <v>3.7650000000000006</v>
      </c>
      <c r="AV176" s="42">
        <f t="shared" ref="AV176:AY176" si="890">+AV90</f>
        <v>0</v>
      </c>
      <c r="AW176" s="42">
        <f t="shared" si="890"/>
        <v>-32.100000000000009</v>
      </c>
      <c r="AX176" s="42">
        <f t="shared" si="890"/>
        <v>0</v>
      </c>
      <c r="AY176" s="42">
        <f t="shared" si="890"/>
        <v>-157.69999999999999</v>
      </c>
      <c r="AZ176" s="42">
        <f t="shared" ref="AZ176:BB176" si="891">+AZ90</f>
        <v>0</v>
      </c>
      <c r="BA176" s="42">
        <f t="shared" si="891"/>
        <v>-16.300000000000011</v>
      </c>
      <c r="BB176" s="42">
        <f t="shared" si="891"/>
        <v>-7.2</v>
      </c>
      <c r="BC176" s="42">
        <f t="shared" ref="BC176:BF176" si="892">+BC90</f>
        <v>-74.3</v>
      </c>
      <c r="BD176" s="42">
        <f t="shared" si="892"/>
        <v>0</v>
      </c>
      <c r="BE176" s="42">
        <f t="shared" si="892"/>
        <v>-249.60000000000002</v>
      </c>
      <c r="BF176" s="42">
        <f t="shared" si="892"/>
        <v>0</v>
      </c>
    </row>
    <row r="177" spans="2:58" ht="13.5" thickBot="1">
      <c r="B177" s="39" t="str">
        <f t="shared" si="850"/>
        <v xml:space="preserve">Free cash flow </v>
      </c>
      <c r="C177" s="54">
        <f t="shared" si="870"/>
        <v>-186.25799999999998</v>
      </c>
      <c r="D177" s="54">
        <f t="shared" si="870"/>
        <v>-290.75200000000001</v>
      </c>
      <c r="E177" s="54">
        <f t="shared" si="870"/>
        <v>-272.26500000000004</v>
      </c>
      <c r="F177" s="54">
        <f t="shared" si="870"/>
        <v>-239.221</v>
      </c>
      <c r="G177" s="54">
        <f t="shared" si="870"/>
        <v>-257.26299999999998</v>
      </c>
      <c r="H177" s="54">
        <f t="shared" si="870"/>
        <v>-1264.337</v>
      </c>
      <c r="I177" s="54">
        <f t="shared" si="870"/>
        <v>-1132.079</v>
      </c>
      <c r="J177" s="54">
        <f t="shared" ref="J177" si="893">+J91</f>
        <v>-1132.1369999999997</v>
      </c>
      <c r="K177" s="54">
        <f t="shared" ref="K177:O177" si="894">+K91</f>
        <v>-901.2</v>
      </c>
      <c r="L177" s="54">
        <f t="shared" ref="L177" si="895">+L91</f>
        <v>-886.3</v>
      </c>
      <c r="M177" s="54">
        <f t="shared" ref="M177:N177" si="896">+M91</f>
        <v>-957.90000000000009</v>
      </c>
      <c r="N177" s="54">
        <f t="shared" si="896"/>
        <v>-1080.6999999999998</v>
      </c>
      <c r="O177" s="54">
        <f t="shared" si="894"/>
        <v>-1169.5999999999999</v>
      </c>
      <c r="P177" s="36"/>
      <c r="Q177" s="54">
        <f t="shared" si="875"/>
        <v>-118.89099999999999</v>
      </c>
      <c r="R177" s="54">
        <f t="shared" si="875"/>
        <v>-120.33</v>
      </c>
      <c r="S177" s="54">
        <f t="shared" si="875"/>
        <v>-75.142999999999972</v>
      </c>
      <c r="T177" s="54">
        <f t="shared" si="875"/>
        <v>-182.11999999999995</v>
      </c>
      <c r="U177" s="54">
        <f t="shared" si="875"/>
        <v>-324.77900000000005</v>
      </c>
      <c r="V177" s="54">
        <f t="shared" si="875"/>
        <v>-939.55799999999999</v>
      </c>
      <c r="W177" s="54">
        <f t="shared" si="875"/>
        <v>-489.44599999999997</v>
      </c>
      <c r="X177" s="54">
        <f t="shared" si="875"/>
        <v>-642.63300000000004</v>
      </c>
      <c r="Y177" s="54">
        <f t="shared" ref="Y177:AA177" si="897">+Y91</f>
        <v>-392.19999999999987</v>
      </c>
      <c r="Z177" s="54">
        <f t="shared" si="897"/>
        <v>-509.00000000000017</v>
      </c>
      <c r="AA177" s="54">
        <f t="shared" si="897"/>
        <v>-422.7</v>
      </c>
      <c r="AB177" s="54">
        <f t="shared" ref="AB177:AC177" si="898">+AB91</f>
        <v>-535.20000000000005</v>
      </c>
      <c r="AC177" s="54">
        <f t="shared" si="898"/>
        <v>-363.10000000000014</v>
      </c>
      <c r="AD177" s="54">
        <f t="shared" ref="AD177" si="899">+AD91</f>
        <v>-717.59999999999991</v>
      </c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54">
        <f t="shared" si="879"/>
        <v>-273.62599999999998</v>
      </c>
      <c r="AU177" s="54">
        <f t="shared" si="879"/>
        <v>-118.57400000000001</v>
      </c>
      <c r="AV177" s="54">
        <f t="shared" ref="AV177:AY177" si="900">+AV91</f>
        <v>-158.59999999999991</v>
      </c>
      <c r="AW177" s="54">
        <f t="shared" si="900"/>
        <v>-350.40000000000015</v>
      </c>
      <c r="AX177" s="54">
        <f t="shared" si="900"/>
        <v>-138.70000000000002</v>
      </c>
      <c r="AY177" s="54">
        <f t="shared" si="900"/>
        <v>-283.70000000000005</v>
      </c>
      <c r="AZ177" s="54">
        <f t="shared" ref="AZ177:BB177" si="901">+AZ91</f>
        <v>-226.90000000000006</v>
      </c>
      <c r="BA177" s="54">
        <f t="shared" si="901"/>
        <v>-308.3</v>
      </c>
      <c r="BB177" s="54">
        <f t="shared" si="901"/>
        <v>-156.79999999999998</v>
      </c>
      <c r="BC177" s="54">
        <f t="shared" ref="BC177:BF177" si="902">+BC91</f>
        <v>-206.30000000000007</v>
      </c>
      <c r="BD177" s="54">
        <f t="shared" si="902"/>
        <v>-270.29999999999995</v>
      </c>
      <c r="BE177" s="54">
        <f t="shared" si="902"/>
        <v>-447.2999999999999</v>
      </c>
      <c r="BF177" s="54">
        <f t="shared" si="902"/>
        <v>-245.70000000000005</v>
      </c>
    </row>
    <row r="178" spans="2:58" ht="13.5" thickTop="1">
      <c r="B178" s="1" t="str">
        <f t="shared" si="850"/>
        <v>Other investing activities</v>
      </c>
      <c r="C178" s="42">
        <f t="shared" si="870"/>
        <v>0</v>
      </c>
      <c r="D178" s="42">
        <f t="shared" si="870"/>
        <v>23.481000000000002</v>
      </c>
      <c r="E178" s="42">
        <f t="shared" si="870"/>
        <v>398.15899999999999</v>
      </c>
      <c r="F178" s="42">
        <f t="shared" si="870"/>
        <v>0</v>
      </c>
      <c r="G178" s="42">
        <f t="shared" si="870"/>
        <v>-26.450999999999997</v>
      </c>
      <c r="H178" s="42">
        <f t="shared" si="870"/>
        <v>-11.488</v>
      </c>
      <c r="I178" s="42">
        <f t="shared" si="870"/>
        <v>80.792000000000002</v>
      </c>
      <c r="J178" s="42">
        <f t="shared" ref="J178" si="903">+J92</f>
        <v>80.792000000000002</v>
      </c>
      <c r="K178" s="42">
        <f t="shared" ref="K178:O178" si="904">+K92</f>
        <v>51.6</v>
      </c>
      <c r="L178" s="42">
        <f t="shared" ref="L178" si="905">+L92</f>
        <v>51.6</v>
      </c>
      <c r="M178" s="42">
        <f t="shared" ref="M178:N178" si="906">+M92</f>
        <v>0.6</v>
      </c>
      <c r="N178" s="42">
        <f t="shared" si="906"/>
        <v>0</v>
      </c>
      <c r="O178" s="42">
        <f t="shared" si="904"/>
        <v>0.79999999999999982</v>
      </c>
      <c r="P178" s="42"/>
      <c r="Q178" s="42">
        <f t="shared" si="875"/>
        <v>0</v>
      </c>
      <c r="R178" s="42">
        <f t="shared" si="875"/>
        <v>0</v>
      </c>
      <c r="S178" s="42">
        <f t="shared" si="875"/>
        <v>0</v>
      </c>
      <c r="T178" s="42">
        <f t="shared" si="875"/>
        <v>-26.450999999999997</v>
      </c>
      <c r="U178" s="42">
        <f t="shared" si="875"/>
        <v>0</v>
      </c>
      <c r="V178" s="42">
        <f t="shared" si="875"/>
        <v>-11.488</v>
      </c>
      <c r="W178" s="42">
        <f t="shared" si="875"/>
        <v>0</v>
      </c>
      <c r="X178" s="42">
        <f t="shared" si="875"/>
        <v>80.792000000000002</v>
      </c>
      <c r="Y178" s="42">
        <f t="shared" ref="Y178:AA178" si="907">+Y92</f>
        <v>8</v>
      </c>
      <c r="Z178" s="42">
        <f t="shared" si="907"/>
        <v>43.6</v>
      </c>
      <c r="AA178" s="42">
        <f t="shared" si="907"/>
        <v>0.6</v>
      </c>
      <c r="AB178" s="42">
        <f t="shared" ref="AB178:AC178" si="908">+AB92</f>
        <v>0</v>
      </c>
      <c r="AC178" s="42">
        <f t="shared" si="908"/>
        <v>0</v>
      </c>
      <c r="AD178" s="42">
        <f t="shared" ref="AD178" si="909">+AD92</f>
        <v>0</v>
      </c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42">
        <f t="shared" si="879"/>
        <v>4.03</v>
      </c>
      <c r="AU178" s="42">
        <f t="shared" si="879"/>
        <v>3.9699999999999998</v>
      </c>
      <c r="AV178" s="42">
        <f t="shared" ref="AV178:AY178" si="910">+AV92</f>
        <v>39.9</v>
      </c>
      <c r="AW178" s="42">
        <f t="shared" si="910"/>
        <v>3.7000000000000028</v>
      </c>
      <c r="AX178" s="42">
        <f t="shared" si="910"/>
        <v>0.19999999999999996</v>
      </c>
      <c r="AY178" s="42">
        <f t="shared" si="910"/>
        <v>0.4</v>
      </c>
      <c r="AZ178" s="42">
        <f t="shared" ref="AZ178:BB178" si="911">+AZ92</f>
        <v>0</v>
      </c>
      <c r="BA178" s="42">
        <f t="shared" si="911"/>
        <v>0</v>
      </c>
      <c r="BB178" s="42">
        <f t="shared" si="911"/>
        <v>-2.2999999999999998</v>
      </c>
      <c r="BC178" s="42">
        <f t="shared" ref="BC178:BF178" si="912">+BC92</f>
        <v>2.2999999999999998</v>
      </c>
      <c r="BD178" s="42">
        <f t="shared" si="912"/>
        <v>0</v>
      </c>
      <c r="BE178" s="42">
        <f t="shared" si="912"/>
        <v>0</v>
      </c>
      <c r="BF178" s="42">
        <f t="shared" si="912"/>
        <v>-1.5</v>
      </c>
    </row>
    <row r="179" spans="2:58">
      <c r="B179" s="1" t="str">
        <f t="shared" si="850"/>
        <v>Dividends / Equity movements</v>
      </c>
      <c r="C179" s="42">
        <f t="shared" si="870"/>
        <v>0</v>
      </c>
      <c r="D179" s="42">
        <f t="shared" si="870"/>
        <v>0</v>
      </c>
      <c r="E179" s="42">
        <f t="shared" si="870"/>
        <v>-195.60599999999999</v>
      </c>
      <c r="F179" s="42">
        <f t="shared" si="870"/>
        <v>0</v>
      </c>
      <c r="G179" s="42">
        <f t="shared" si="870"/>
        <v>-12.3</v>
      </c>
      <c r="H179" s="42">
        <f t="shared" si="870"/>
        <v>813.82100000000003</v>
      </c>
      <c r="I179" s="42">
        <f t="shared" si="870"/>
        <v>-126.20699999999999</v>
      </c>
      <c r="J179" s="42">
        <f t="shared" ref="J179" si="913">+J93</f>
        <v>-126.20699999999999</v>
      </c>
      <c r="K179" s="42">
        <f t="shared" ref="K179:O179" si="914">+K93</f>
        <v>-164</v>
      </c>
      <c r="L179" s="42">
        <f t="shared" ref="L179" si="915">+L93</f>
        <v>-164</v>
      </c>
      <c r="M179" s="42">
        <f t="shared" ref="M179:N179" si="916">+M93</f>
        <v>143.20000000000002</v>
      </c>
      <c r="N179" s="42">
        <f t="shared" si="916"/>
        <v>-83.7</v>
      </c>
      <c r="O179" s="42">
        <f t="shared" si="914"/>
        <v>-83.7</v>
      </c>
      <c r="P179" s="42"/>
      <c r="Q179" s="42">
        <f t="shared" si="875"/>
        <v>0</v>
      </c>
      <c r="R179" s="42">
        <f t="shared" si="875"/>
        <v>0</v>
      </c>
      <c r="S179" s="42">
        <f t="shared" si="875"/>
        <v>-12.5</v>
      </c>
      <c r="T179" s="42">
        <f t="shared" si="875"/>
        <v>0.19999999999999929</v>
      </c>
      <c r="U179" s="42">
        <f t="shared" si="875"/>
        <v>0</v>
      </c>
      <c r="V179" s="42">
        <f t="shared" si="875"/>
        <v>813.82100000000003</v>
      </c>
      <c r="W179" s="42">
        <f t="shared" si="875"/>
        <v>0</v>
      </c>
      <c r="X179" s="42">
        <f t="shared" si="875"/>
        <v>-126.20699999999999</v>
      </c>
      <c r="Y179" s="42">
        <f t="shared" ref="Y179:AA179" si="917">+Y93</f>
        <v>0</v>
      </c>
      <c r="Z179" s="42">
        <f t="shared" si="917"/>
        <v>-164</v>
      </c>
      <c r="AA179" s="42">
        <f t="shared" si="917"/>
        <v>0</v>
      </c>
      <c r="AB179" s="42">
        <f t="shared" ref="AB179:AC179" si="918">+AB93</f>
        <v>143.20000000000002</v>
      </c>
      <c r="AC179" s="42">
        <f t="shared" si="918"/>
        <v>0</v>
      </c>
      <c r="AD179" s="42">
        <f t="shared" ref="AD179" si="919">+AD93</f>
        <v>-83.7</v>
      </c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42">
        <f t="shared" si="879"/>
        <v>0</v>
      </c>
      <c r="AU179" s="42">
        <f t="shared" si="879"/>
        <v>0</v>
      </c>
      <c r="AV179" s="42">
        <f t="shared" ref="AV179:AY179" si="920">+AV93</f>
        <v>0</v>
      </c>
      <c r="AW179" s="42">
        <f t="shared" si="920"/>
        <v>-164</v>
      </c>
      <c r="AX179" s="42">
        <f t="shared" si="920"/>
        <v>0</v>
      </c>
      <c r="AY179" s="42">
        <f t="shared" si="920"/>
        <v>0</v>
      </c>
      <c r="AZ179" s="42">
        <f t="shared" ref="AZ179:BB179" si="921">+AZ93</f>
        <v>222.8</v>
      </c>
      <c r="BA179" s="42">
        <f t="shared" si="921"/>
        <v>-79.599999999999994</v>
      </c>
      <c r="BB179" s="42">
        <f t="shared" si="921"/>
        <v>0</v>
      </c>
      <c r="BC179" s="42">
        <f t="shared" ref="BC179:BF179" si="922">+BC93</f>
        <v>0</v>
      </c>
      <c r="BD179" s="42">
        <f t="shared" si="922"/>
        <v>-44.9</v>
      </c>
      <c r="BE179" s="42">
        <f t="shared" si="922"/>
        <v>-38.800000000000004</v>
      </c>
      <c r="BF179" s="42">
        <f t="shared" si="922"/>
        <v>0</v>
      </c>
    </row>
    <row r="180" spans="2:58">
      <c r="B180" s="1" t="str">
        <f t="shared" si="850"/>
        <v>Change in debt</v>
      </c>
      <c r="C180" s="42">
        <f t="shared" si="870"/>
        <v>172.83199999999999</v>
      </c>
      <c r="D180" s="42">
        <f t="shared" si="870"/>
        <v>278.84099999999989</v>
      </c>
      <c r="E180" s="42">
        <f t="shared" si="870"/>
        <v>81.774000000000029</v>
      </c>
      <c r="F180" s="42">
        <f t="shared" si="870"/>
        <v>308.28200000000015</v>
      </c>
      <c r="G180" s="42">
        <f t="shared" si="870"/>
        <v>675.61299999999994</v>
      </c>
      <c r="H180" s="42">
        <f t="shared" si="870"/>
        <v>1001.1469999999998</v>
      </c>
      <c r="I180" s="42">
        <f t="shared" si="870"/>
        <v>971.154</v>
      </c>
      <c r="J180" s="42">
        <f t="shared" ref="J180" si="923">+J94</f>
        <v>971.154</v>
      </c>
      <c r="K180" s="42">
        <f t="shared" ref="K180:O180" si="924">+K94</f>
        <v>1064.9000000000001</v>
      </c>
      <c r="L180" s="42">
        <f t="shared" ref="L180" si="925">+L94</f>
        <v>1064.9000000000001</v>
      </c>
      <c r="M180" s="42">
        <f t="shared" ref="M180:N180" si="926">+M94</f>
        <v>1050.2</v>
      </c>
      <c r="N180" s="42">
        <f t="shared" si="926"/>
        <v>1108.1000000000001</v>
      </c>
      <c r="O180" s="42">
        <f t="shared" si="924"/>
        <v>123.70000000000016</v>
      </c>
      <c r="P180" s="42"/>
      <c r="Q180" s="42">
        <f t="shared" si="875"/>
        <v>156.3929999999998</v>
      </c>
      <c r="R180" s="42">
        <f t="shared" si="875"/>
        <v>151.88900000000035</v>
      </c>
      <c r="S180" s="42">
        <f t="shared" si="875"/>
        <v>80.8</v>
      </c>
      <c r="T180" s="42">
        <f t="shared" si="875"/>
        <v>594.81299999999999</v>
      </c>
      <c r="U180" s="42">
        <f t="shared" si="875"/>
        <v>-395.41399999999999</v>
      </c>
      <c r="V180" s="42">
        <f t="shared" si="875"/>
        <v>1396.5609999999997</v>
      </c>
      <c r="W180" s="42">
        <f t="shared" si="875"/>
        <v>317.822</v>
      </c>
      <c r="X180" s="42">
        <f t="shared" si="875"/>
        <v>653.33199999999999</v>
      </c>
      <c r="Y180" s="42">
        <f t="shared" ref="Y180:AA180" si="927">+Y94</f>
        <v>493.3</v>
      </c>
      <c r="Z180" s="42">
        <f t="shared" si="927"/>
        <v>571.60000000000014</v>
      </c>
      <c r="AA180" s="42">
        <f t="shared" si="927"/>
        <v>896.4</v>
      </c>
      <c r="AB180" s="42">
        <f t="shared" ref="AB180:AC180" si="928">+AB94</f>
        <v>153.80000000000007</v>
      </c>
      <c r="AC180" s="42">
        <f t="shared" si="928"/>
        <v>436.2000000000001</v>
      </c>
      <c r="AD180" s="42">
        <f t="shared" ref="AD180" si="929">+AD94</f>
        <v>671.90000000000009</v>
      </c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42">
        <f t="shared" si="879"/>
        <v>222.27800000000002</v>
      </c>
      <c r="AU180" s="42">
        <f t="shared" si="879"/>
        <v>271.02199999999999</v>
      </c>
      <c r="AV180" s="42">
        <f t="shared" ref="AV180:AY180" si="930">+AV94</f>
        <v>389.90000000000003</v>
      </c>
      <c r="AW180" s="42">
        <f t="shared" si="930"/>
        <v>181.70000000000005</v>
      </c>
      <c r="AX180" s="42">
        <f t="shared" si="930"/>
        <v>692.3</v>
      </c>
      <c r="AY180" s="42">
        <f t="shared" si="930"/>
        <v>204.10000000000002</v>
      </c>
      <c r="AZ180" s="42">
        <f t="shared" ref="AZ180:BB180" si="931">+AZ94</f>
        <v>195.30000000000007</v>
      </c>
      <c r="BA180" s="42">
        <f t="shared" si="931"/>
        <v>-41.5</v>
      </c>
      <c r="BB180" s="42">
        <f t="shared" si="931"/>
        <v>1166.8</v>
      </c>
      <c r="BC180" s="42">
        <f t="shared" ref="BC180:BF180" si="932">+BC94</f>
        <v>-730.59999999999991</v>
      </c>
      <c r="BD180" s="42">
        <f t="shared" si="932"/>
        <v>484.2999999999999</v>
      </c>
      <c r="BE180" s="42">
        <f t="shared" si="932"/>
        <v>187.60000000000019</v>
      </c>
      <c r="BF180" s="42">
        <f t="shared" si="932"/>
        <v>182.39999999999998</v>
      </c>
    </row>
    <row r="181" spans="2:58">
      <c r="B181" s="1" t="str">
        <f t="shared" si="850"/>
        <v>Other financing activities</v>
      </c>
      <c r="C181" s="42">
        <f t="shared" si="870"/>
        <v>0</v>
      </c>
      <c r="D181" s="42">
        <f t="shared" si="870"/>
        <v>-10.999000000000001</v>
      </c>
      <c r="E181" s="42">
        <f t="shared" si="870"/>
        <v>-2.9749999999999996</v>
      </c>
      <c r="F181" s="42">
        <f t="shared" si="870"/>
        <v>-32.204999999999998</v>
      </c>
      <c r="G181" s="42">
        <f t="shared" si="870"/>
        <v>-22.19</v>
      </c>
      <c r="H181" s="42">
        <f t="shared" si="870"/>
        <v>-46.317999999999998</v>
      </c>
      <c r="I181" s="42">
        <f t="shared" si="870"/>
        <v>-7.7639999999999993</v>
      </c>
      <c r="J181" s="42">
        <f t="shared" ref="J181" si="933">+J95</f>
        <v>-7.7639999999999993</v>
      </c>
      <c r="K181" s="42">
        <f t="shared" ref="K181:O181" si="934">+K95</f>
        <v>-14.799999999999999</v>
      </c>
      <c r="L181" s="42">
        <f t="shared" ref="L181" si="935">+L95</f>
        <v>-14.799999999999999</v>
      </c>
      <c r="M181" s="42">
        <f t="shared" ref="M181:N181" si="936">+M95</f>
        <v>-39.6</v>
      </c>
      <c r="N181" s="42">
        <f t="shared" si="936"/>
        <v>-32.4</v>
      </c>
      <c r="O181" s="42">
        <f t="shared" si="934"/>
        <v>-29.8</v>
      </c>
      <c r="P181" s="42"/>
      <c r="Q181" s="42">
        <f t="shared" si="875"/>
        <v>-59.821000000000005</v>
      </c>
      <c r="R181" s="42">
        <f t="shared" si="875"/>
        <v>27.616000000000007</v>
      </c>
      <c r="S181" s="42">
        <f t="shared" si="875"/>
        <v>-1.2989999999999999</v>
      </c>
      <c r="T181" s="42">
        <f t="shared" si="875"/>
        <v>-20.891000000000002</v>
      </c>
      <c r="U181" s="42">
        <f t="shared" si="875"/>
        <v>816.68600000000004</v>
      </c>
      <c r="V181" s="42">
        <f t="shared" si="875"/>
        <v>-863.00400000000002</v>
      </c>
      <c r="W181" s="42">
        <f t="shared" si="875"/>
        <v>-67.665000000000006</v>
      </c>
      <c r="X181" s="42">
        <f t="shared" si="875"/>
        <v>59.90100000000001</v>
      </c>
      <c r="Y181" s="42">
        <f t="shared" ref="Y181:AA181" si="937">+Y95</f>
        <v>-82.7</v>
      </c>
      <c r="Z181" s="42">
        <f t="shared" si="937"/>
        <v>67.900000000000006</v>
      </c>
      <c r="AA181" s="42">
        <f t="shared" si="937"/>
        <v>-57.099999999999994</v>
      </c>
      <c r="AB181" s="42">
        <f t="shared" ref="AB181:AC181" si="938">+AB95</f>
        <v>17.499999999999993</v>
      </c>
      <c r="AC181" s="42">
        <f t="shared" si="938"/>
        <v>-57.2</v>
      </c>
      <c r="AD181" s="42">
        <f t="shared" ref="AD181" si="939">+AD95</f>
        <v>24.800000000000004</v>
      </c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42">
        <f t="shared" si="879"/>
        <v>-3.3290000000000002</v>
      </c>
      <c r="AU181" s="42">
        <f t="shared" si="879"/>
        <v>-79.371000000000009</v>
      </c>
      <c r="AV181" s="42">
        <f t="shared" ref="AV181:AY181" si="940">+AV95</f>
        <v>-90.499999999999986</v>
      </c>
      <c r="AW181" s="42">
        <f t="shared" si="940"/>
        <v>158.39999999999998</v>
      </c>
      <c r="AX181" s="42">
        <f t="shared" si="940"/>
        <v>-10</v>
      </c>
      <c r="AY181" s="42">
        <f t="shared" si="940"/>
        <v>-47.099999999999994</v>
      </c>
      <c r="AZ181" s="42">
        <f t="shared" ref="AZ181:BB181" si="941">+AZ95</f>
        <v>-3.6000000000000085</v>
      </c>
      <c r="BA181" s="42">
        <f t="shared" si="941"/>
        <v>21.1</v>
      </c>
      <c r="BB181" s="42">
        <f t="shared" si="941"/>
        <v>-10.899999999999999</v>
      </c>
      <c r="BC181" s="42">
        <f t="shared" ref="BC181:BF181" si="942">+BC95</f>
        <v>-46.300000000000004</v>
      </c>
      <c r="BD181" s="42">
        <f t="shared" si="942"/>
        <v>30.1</v>
      </c>
      <c r="BE181" s="42">
        <f t="shared" si="942"/>
        <v>-5.2999999999999972</v>
      </c>
      <c r="BF181" s="42">
        <f t="shared" si="942"/>
        <v>-8.3000000000000007</v>
      </c>
    </row>
    <row r="182" spans="2:58" s="5" customFormat="1">
      <c r="B182" s="5" t="str">
        <f t="shared" si="850"/>
        <v>Cash flow after financing activities</v>
      </c>
      <c r="C182" s="42">
        <f t="shared" si="870"/>
        <v>-13.425999999999988</v>
      </c>
      <c r="D182" s="42">
        <f t="shared" si="870"/>
        <v>0.57099999999987894</v>
      </c>
      <c r="E182" s="42">
        <f t="shared" si="870"/>
        <v>9.0869999999999838</v>
      </c>
      <c r="F182" s="42">
        <f t="shared" si="870"/>
        <v>36.856000000000151</v>
      </c>
      <c r="G182" s="42">
        <f t="shared" si="870"/>
        <v>357.40899999999993</v>
      </c>
      <c r="H182" s="42">
        <f t="shared" si="870"/>
        <v>492.82499999999982</v>
      </c>
      <c r="I182" s="42">
        <f t="shared" si="870"/>
        <v>-214.10400000000016</v>
      </c>
      <c r="J182" s="42">
        <f t="shared" ref="J182" si="943">+J96</f>
        <v>-214.16199999999969</v>
      </c>
      <c r="K182" s="42">
        <f t="shared" ref="K182:O182" si="944">+K96</f>
        <v>36.500000000000071</v>
      </c>
      <c r="L182" s="42">
        <f t="shared" ref="L182" si="945">+L96</f>
        <v>51.400000000000162</v>
      </c>
      <c r="M182" s="42">
        <f t="shared" ref="M182:N182" si="946">+M96</f>
        <v>196.50000000000003</v>
      </c>
      <c r="N182" s="42">
        <f t="shared" si="946"/>
        <v>-88.699999999999733</v>
      </c>
      <c r="O182" s="42">
        <f t="shared" si="944"/>
        <v>-1158.5999999999997</v>
      </c>
      <c r="P182" s="42"/>
      <c r="Q182" s="42">
        <f t="shared" si="875"/>
        <v>-22.319000000000194</v>
      </c>
      <c r="R182" s="42">
        <f t="shared" si="875"/>
        <v>59.17500000000036</v>
      </c>
      <c r="S182" s="42">
        <f t="shared" si="875"/>
        <v>-8.1419999999999746</v>
      </c>
      <c r="T182" s="42">
        <f t="shared" si="875"/>
        <v>365.55099999999999</v>
      </c>
      <c r="U182" s="42">
        <f t="shared" si="875"/>
        <v>96.493000000000052</v>
      </c>
      <c r="V182" s="42">
        <f t="shared" si="875"/>
        <v>396.33199999999977</v>
      </c>
      <c r="W182" s="42">
        <f t="shared" si="875"/>
        <v>-239.28899999999999</v>
      </c>
      <c r="X182" s="42">
        <f t="shared" si="875"/>
        <v>25.185000000000002</v>
      </c>
      <c r="Y182" s="42">
        <f t="shared" ref="Y182:AA182" si="947">+Y96</f>
        <v>26.400000000000134</v>
      </c>
      <c r="Z182" s="42">
        <f t="shared" si="947"/>
        <v>10.100000000000051</v>
      </c>
      <c r="AA182" s="42">
        <f t="shared" si="947"/>
        <v>417.20000000000005</v>
      </c>
      <c r="AB182" s="42">
        <f t="shared" ref="AB182:AC182" si="948">+AB96</f>
        <v>-220.69999999999993</v>
      </c>
      <c r="AC182" s="42">
        <f t="shared" si="948"/>
        <v>15.899999999999963</v>
      </c>
      <c r="AD182" s="42">
        <f t="shared" ref="AD182" si="949">+AD96</f>
        <v>-104.59999999999985</v>
      </c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42">
        <f t="shared" si="879"/>
        <v>-50.646999999999984</v>
      </c>
      <c r="AU182" s="42">
        <f t="shared" si="879"/>
        <v>77.047000000000111</v>
      </c>
      <c r="AV182" s="42">
        <f t="shared" ref="AV182:AY182" si="950">+AV96</f>
        <v>180.70000000000016</v>
      </c>
      <c r="AW182" s="42">
        <f t="shared" si="950"/>
        <v>-170.60000000000014</v>
      </c>
      <c r="AX182" s="42">
        <f t="shared" si="950"/>
        <v>543.79999999999995</v>
      </c>
      <c r="AY182" s="42">
        <f t="shared" si="950"/>
        <v>-126.59999999999991</v>
      </c>
      <c r="AZ182" s="42">
        <f t="shared" ref="AZ182:BB182" si="951">+AZ96</f>
        <v>187.60000000000002</v>
      </c>
      <c r="BA182" s="42">
        <f t="shared" si="951"/>
        <v>-408.29999999999995</v>
      </c>
      <c r="BB182" s="42">
        <f t="shared" si="951"/>
        <v>996.8</v>
      </c>
      <c r="BC182" s="42">
        <f t="shared" ref="BC182:BF182" si="952">+BC96</f>
        <v>-980.89999999999986</v>
      </c>
      <c r="BD182" s="42">
        <f t="shared" si="952"/>
        <v>199.19999999999996</v>
      </c>
      <c r="BE182" s="42">
        <f t="shared" si="952"/>
        <v>-303.79999999999973</v>
      </c>
      <c r="BF182" s="42">
        <f t="shared" si="952"/>
        <v>-73.100000000000065</v>
      </c>
    </row>
    <row r="183" spans="2:58">
      <c r="B183" s="1" t="str">
        <f t="shared" ref="B183:I183" si="953">+B98</f>
        <v xml:space="preserve">FX </v>
      </c>
      <c r="C183" s="42">
        <f t="shared" si="953"/>
        <v>0</v>
      </c>
      <c r="D183" s="42">
        <f t="shared" si="953"/>
        <v>0</v>
      </c>
      <c r="E183" s="42">
        <f t="shared" si="953"/>
        <v>4.5410000000000004</v>
      </c>
      <c r="F183" s="42">
        <f t="shared" si="953"/>
        <v>-0.248</v>
      </c>
      <c r="G183" s="42">
        <f t="shared" si="953"/>
        <v>-2.1120000000000001</v>
      </c>
      <c r="H183" s="42">
        <f t="shared" si="953"/>
        <v>1.214</v>
      </c>
      <c r="I183" s="42">
        <f t="shared" si="953"/>
        <v>-4.8869999999999996</v>
      </c>
      <c r="J183" s="42">
        <f t="shared" ref="J183" si="954">+J98</f>
        <v>-4.8869999999999996</v>
      </c>
      <c r="K183" s="42">
        <f t="shared" ref="K183:O183" si="955">+K98</f>
        <v>2.2000000000000002</v>
      </c>
      <c r="L183" s="42">
        <f t="shared" ref="L183" si="956">+L98</f>
        <v>2.2000000000000002</v>
      </c>
      <c r="M183" s="42">
        <f t="shared" ref="M183:N183" si="957">+M98</f>
        <v>-1.9</v>
      </c>
      <c r="N183" s="42">
        <f t="shared" si="957"/>
        <v>4.4000000000000004</v>
      </c>
      <c r="O183" s="42">
        <f t="shared" si="955"/>
        <v>2.1</v>
      </c>
      <c r="P183" s="42"/>
      <c r="Q183" s="42">
        <f t="shared" ref="Q183:X183" si="958">+Q98</f>
        <v>0</v>
      </c>
      <c r="R183" s="42">
        <f t="shared" si="958"/>
        <v>-0.248</v>
      </c>
      <c r="S183" s="42">
        <f t="shared" si="958"/>
        <v>0</v>
      </c>
      <c r="T183" s="42">
        <f t="shared" si="958"/>
        <v>-2.1120000000000001</v>
      </c>
      <c r="U183" s="42">
        <f t="shared" si="958"/>
        <v>1.5589999999999999</v>
      </c>
      <c r="V183" s="42">
        <f t="shared" si="958"/>
        <v>-0.34499999999999997</v>
      </c>
      <c r="W183" s="42">
        <f t="shared" si="958"/>
        <v>-5.4130000000000003</v>
      </c>
      <c r="X183" s="42">
        <f t="shared" si="958"/>
        <v>0.52600000000000069</v>
      </c>
      <c r="Y183" s="42">
        <f t="shared" ref="Y183:AA183" si="959">+Y98</f>
        <v>4.0999999999999996</v>
      </c>
      <c r="Z183" s="42">
        <f t="shared" si="959"/>
        <v>-1.8999999999999995</v>
      </c>
      <c r="AA183" s="42">
        <f t="shared" si="959"/>
        <v>-1.3</v>
      </c>
      <c r="AB183" s="42">
        <f t="shared" ref="AB183:AC183" si="960">+AB98</f>
        <v>-0.59999999999999987</v>
      </c>
      <c r="AC183" s="42">
        <f t="shared" si="960"/>
        <v>2</v>
      </c>
      <c r="AD183" s="42">
        <f t="shared" ref="AD183" si="961">+AD98</f>
        <v>2.4000000000000004</v>
      </c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42">
        <f t="shared" ref="AT183:AY183" si="962">+AT98</f>
        <v>3.5670000000000002</v>
      </c>
      <c r="AU183" s="42">
        <f t="shared" si="962"/>
        <v>0.53299999999999947</v>
      </c>
      <c r="AV183" s="42">
        <f t="shared" si="962"/>
        <v>-3.8999999999999995</v>
      </c>
      <c r="AW183" s="42">
        <f t="shared" si="962"/>
        <v>2</v>
      </c>
      <c r="AX183" s="42">
        <f t="shared" si="962"/>
        <v>-2.2999999999999998</v>
      </c>
      <c r="AY183" s="42">
        <f t="shared" si="962"/>
        <v>0.99999999999999978</v>
      </c>
      <c r="AZ183" s="42">
        <f t="shared" ref="AZ183:BB183" si="963">+AZ98</f>
        <v>-0.5</v>
      </c>
      <c r="BA183" s="42">
        <f t="shared" si="963"/>
        <v>-9.9999999999999867E-2</v>
      </c>
      <c r="BB183" s="42">
        <f t="shared" si="963"/>
        <v>1.7</v>
      </c>
      <c r="BC183" s="42">
        <f t="shared" ref="BC183:BF183" si="964">+BC98</f>
        <v>0.30000000000000004</v>
      </c>
      <c r="BD183" s="42">
        <f t="shared" si="964"/>
        <v>1.7000000000000002</v>
      </c>
      <c r="BE183" s="42">
        <f t="shared" si="964"/>
        <v>0.70000000000000018</v>
      </c>
      <c r="BF183" s="42">
        <f t="shared" si="964"/>
        <v>-0.6</v>
      </c>
    </row>
    <row r="184" spans="2:58">
      <c r="B184" s="1" t="str">
        <f t="shared" ref="B184:I184" si="965">+B97</f>
        <v>Balancing figure</v>
      </c>
      <c r="C184" s="42">
        <f t="shared" si="965"/>
        <v>34.535999999999987</v>
      </c>
      <c r="D184" s="42">
        <f t="shared" si="965"/>
        <v>-0.66099999999987891</v>
      </c>
      <c r="E184" s="42">
        <f t="shared" si="965"/>
        <v>7.1710000000000154</v>
      </c>
      <c r="F184" s="42">
        <f t="shared" si="965"/>
        <v>-19.071000000000151</v>
      </c>
      <c r="G184" s="42">
        <f t="shared" si="965"/>
        <v>2.30000000000814E-2</v>
      </c>
      <c r="H184" s="42">
        <f t="shared" si="965"/>
        <v>-20.363999999999805</v>
      </c>
      <c r="I184" s="42">
        <f t="shared" si="965"/>
        <v>-13.193999999999846</v>
      </c>
      <c r="J184" s="42">
        <f t="shared" ref="J184" si="966">+J97</f>
        <v>-13.136000000000308</v>
      </c>
      <c r="K184" s="42">
        <f t="shared" ref="K184:O184" si="967">+K97</f>
        <v>-8.7000000000000703</v>
      </c>
      <c r="L184" s="42">
        <f t="shared" ref="L184" si="968">+L97</f>
        <v>-23.600000000000161</v>
      </c>
      <c r="M184" s="42">
        <f t="shared" ref="M184:N184" si="969">+M97</f>
        <v>-29.80000000000004</v>
      </c>
      <c r="N184" s="42">
        <f t="shared" si="969"/>
        <v>-62.700000000000273</v>
      </c>
      <c r="O184" s="42">
        <f t="shared" si="967"/>
        <v>-56.800000000000352</v>
      </c>
      <c r="P184" s="42"/>
      <c r="Q184" s="42">
        <f t="shared" ref="Q184:X184" si="970">+Q97</f>
        <v>12.821000000000195</v>
      </c>
      <c r="R184" s="42">
        <f t="shared" si="970"/>
        <v>-31.892000000000344</v>
      </c>
      <c r="S184" s="42">
        <f t="shared" si="970"/>
        <v>23.012999999999977</v>
      </c>
      <c r="T184" s="42">
        <f t="shared" si="970"/>
        <v>-22.989999999999895</v>
      </c>
      <c r="U184" s="42">
        <f t="shared" si="970"/>
        <v>-29.682000000000045</v>
      </c>
      <c r="V184" s="42">
        <f t="shared" si="970"/>
        <v>9.3180000000002394</v>
      </c>
      <c r="W184" s="42">
        <f t="shared" si="970"/>
        <v>-7.8520000000000039</v>
      </c>
      <c r="X184" s="42">
        <f t="shared" si="970"/>
        <v>-5.3419999999998424</v>
      </c>
      <c r="Y184" s="42">
        <f t="shared" ref="Y184:AA184" si="971">+Y97</f>
        <v>-3.500000000000135</v>
      </c>
      <c r="Z184" s="42">
        <f t="shared" si="971"/>
        <v>-5.1999999999999353</v>
      </c>
      <c r="AA184" s="42">
        <f t="shared" si="971"/>
        <v>-5.1000000000000227</v>
      </c>
      <c r="AB184" s="42">
        <f t="shared" ref="AB184:AC184" si="972">+AB97</f>
        <v>-24.700000000000017</v>
      </c>
      <c r="AC184" s="42">
        <f t="shared" si="972"/>
        <v>-24.899999999999963</v>
      </c>
      <c r="AD184" s="42">
        <f t="shared" ref="AD184" si="973">+AD97</f>
        <v>-37.80000000000031</v>
      </c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42">
        <f t="shared" ref="AT184:AY184" si="974">+AT97</f>
        <v>-1.5410000000000181</v>
      </c>
      <c r="AU184" s="42">
        <f t="shared" si="974"/>
        <v>-1.9590000000001098</v>
      </c>
      <c r="AV184" s="42">
        <f t="shared" si="974"/>
        <v>4.0999999999998309</v>
      </c>
      <c r="AW184" s="42">
        <f t="shared" si="974"/>
        <v>-9.2999999999997733</v>
      </c>
      <c r="AX184" s="42">
        <f t="shared" si="974"/>
        <v>0.10000000000002274</v>
      </c>
      <c r="AY184" s="42">
        <f t="shared" si="974"/>
        <v>-5.2000000000000455</v>
      </c>
      <c r="AZ184" s="42">
        <f t="shared" ref="AZ184:BB184" si="975">+AZ97</f>
        <v>-3.1000000000000227</v>
      </c>
      <c r="BA184" s="42">
        <f t="shared" si="975"/>
        <v>-21.599999999999994</v>
      </c>
      <c r="BB184" s="42">
        <f t="shared" si="975"/>
        <v>-7.3999999999999773</v>
      </c>
      <c r="BC184" s="42">
        <f t="shared" ref="BC184:BF184" si="976">+BC97</f>
        <v>-17.500000000000114</v>
      </c>
      <c r="BD184" s="42">
        <f t="shared" si="976"/>
        <v>2.9000000000000909</v>
      </c>
      <c r="BE184" s="42">
        <f t="shared" si="976"/>
        <v>-40.700000000000401</v>
      </c>
      <c r="BF184" s="42">
        <f t="shared" si="976"/>
        <v>-1.4999999999999289</v>
      </c>
    </row>
    <row r="185" spans="2:58" ht="13.5" thickBot="1">
      <c r="B185" s="39" t="str">
        <f t="shared" ref="B185:I186" si="977">+B99</f>
        <v xml:space="preserve">Net change in cash </v>
      </c>
      <c r="C185" s="54">
        <f t="shared" si="977"/>
        <v>21.11</v>
      </c>
      <c r="D185" s="54">
        <f t="shared" si="977"/>
        <v>-8.9999999999999969E-2</v>
      </c>
      <c r="E185" s="54">
        <f t="shared" si="977"/>
        <v>20.798999999999999</v>
      </c>
      <c r="F185" s="54">
        <f t="shared" si="977"/>
        <v>17.536999999999999</v>
      </c>
      <c r="G185" s="54">
        <f t="shared" si="977"/>
        <v>355.32</v>
      </c>
      <c r="H185" s="54">
        <f t="shared" si="977"/>
        <v>473.67500000000001</v>
      </c>
      <c r="I185" s="54">
        <f t="shared" si="977"/>
        <v>-232.185</v>
      </c>
      <c r="J185" s="54">
        <f t="shared" ref="J185" si="978">+J99</f>
        <v>-232.185</v>
      </c>
      <c r="K185" s="54">
        <f t="shared" ref="K185:O185" si="979">+K99</f>
        <v>30</v>
      </c>
      <c r="L185" s="54">
        <f t="shared" ref="L185" si="980">+L99</f>
        <v>30</v>
      </c>
      <c r="M185" s="54">
        <f t="shared" ref="M185:N185" si="981">+M99</f>
        <v>164.79999999999998</v>
      </c>
      <c r="N185" s="54">
        <f t="shared" si="981"/>
        <v>-147</v>
      </c>
      <c r="O185" s="54">
        <f t="shared" si="979"/>
        <v>-1213.3000000000002</v>
      </c>
      <c r="P185" s="36"/>
      <c r="Q185" s="54">
        <f t="shared" ref="Q185:X186" si="982">+Q99</f>
        <v>-9.4979999999999993</v>
      </c>
      <c r="R185" s="54">
        <f t="shared" si="982"/>
        <v>27.035000000000014</v>
      </c>
      <c r="S185" s="54">
        <f t="shared" si="982"/>
        <v>14.871000000000002</v>
      </c>
      <c r="T185" s="54">
        <f t="shared" si="982"/>
        <v>340.44900000000007</v>
      </c>
      <c r="U185" s="54">
        <f t="shared" si="982"/>
        <v>68.37</v>
      </c>
      <c r="V185" s="54">
        <f t="shared" si="982"/>
        <v>405.30499999999995</v>
      </c>
      <c r="W185" s="54">
        <f t="shared" si="982"/>
        <v>-252.554</v>
      </c>
      <c r="X185" s="54">
        <f t="shared" si="982"/>
        <v>20.36900000000016</v>
      </c>
      <c r="Y185" s="54">
        <f t="shared" ref="Y185:AA185" si="983">+Y99</f>
        <v>27</v>
      </c>
      <c r="Z185" s="54">
        <f t="shared" si="983"/>
        <v>3.0000000000001164</v>
      </c>
      <c r="AA185" s="54">
        <f t="shared" si="983"/>
        <v>410.8</v>
      </c>
      <c r="AB185" s="54">
        <f t="shared" ref="AB185:AC185" si="984">+AB99</f>
        <v>-245.99999999999994</v>
      </c>
      <c r="AC185" s="54">
        <f t="shared" si="984"/>
        <v>-7</v>
      </c>
      <c r="AD185" s="54">
        <f t="shared" ref="AD185" si="985">+AD99</f>
        <v>-140.00000000000014</v>
      </c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54">
        <f t="shared" ref="AT185:AV186" si="986">+AT99</f>
        <v>-48.621000000000002</v>
      </c>
      <c r="AU185" s="54">
        <f t="shared" si="986"/>
        <v>75.620999999999995</v>
      </c>
      <c r="AV185" s="54">
        <f t="shared" si="986"/>
        <v>180.89999999999998</v>
      </c>
      <c r="AW185" s="54">
        <f t="shared" ref="AW185:AY185" si="987">+AW99</f>
        <v>-177.89999999999992</v>
      </c>
      <c r="AX185" s="54">
        <f t="shared" si="987"/>
        <v>541.6</v>
      </c>
      <c r="AY185" s="54">
        <f t="shared" si="987"/>
        <v>-130.79999999999995</v>
      </c>
      <c r="AZ185" s="54">
        <f t="shared" ref="AZ185:BB185" si="988">+AZ99</f>
        <v>184</v>
      </c>
      <c r="BA185" s="54">
        <f t="shared" si="988"/>
        <v>-430</v>
      </c>
      <c r="BB185" s="54">
        <f t="shared" si="988"/>
        <v>991.1</v>
      </c>
      <c r="BC185" s="54">
        <f t="shared" ref="BC185:BF185" si="989">+BC99</f>
        <v>-998.1</v>
      </c>
      <c r="BD185" s="54">
        <f t="shared" si="989"/>
        <v>203.80000000000004</v>
      </c>
      <c r="BE185" s="54">
        <f t="shared" si="989"/>
        <v>-343.80000000000013</v>
      </c>
      <c r="BF185" s="54">
        <f t="shared" si="989"/>
        <v>-75.199999999999989</v>
      </c>
    </row>
    <row r="186" spans="2:58" ht="14.25" thickTop="1" thickBot="1">
      <c r="B186" s="39" t="str">
        <f t="shared" si="977"/>
        <v>Cash and cash equivalents</v>
      </c>
      <c r="C186" s="54">
        <f t="shared" si="977"/>
        <v>64.417000000000002</v>
      </c>
      <c r="D186" s="54">
        <f t="shared" si="977"/>
        <v>25.484999999999999</v>
      </c>
      <c r="E186" s="54">
        <f t="shared" si="977"/>
        <v>46.283999999999999</v>
      </c>
      <c r="F186" s="54">
        <f t="shared" si="977"/>
        <v>63.820999999999998</v>
      </c>
      <c r="G186" s="54">
        <f t="shared" si="977"/>
        <v>419.14099999999996</v>
      </c>
      <c r="H186" s="54">
        <f t="shared" si="977"/>
        <v>892.81600000000003</v>
      </c>
      <c r="I186" s="54">
        <f t="shared" si="977"/>
        <v>660.63100000000009</v>
      </c>
      <c r="J186" s="54">
        <f t="shared" ref="J186" si="990">+J100</f>
        <v>660.63100000000009</v>
      </c>
      <c r="K186" s="54">
        <f t="shared" ref="K186:O186" si="991">+K100</f>
        <v>690.63100000000009</v>
      </c>
      <c r="L186" s="54">
        <f t="shared" ref="L186" si="992">+L100</f>
        <v>690.63100000000009</v>
      </c>
      <c r="M186" s="54">
        <f t="shared" ref="M186:N186" si="993">+M100</f>
        <v>855.43100000000004</v>
      </c>
      <c r="N186" s="54">
        <f t="shared" si="993"/>
        <v>708.43100000000004</v>
      </c>
      <c r="O186" s="54">
        <f t="shared" si="991"/>
        <v>633.19999999999982</v>
      </c>
      <c r="P186" s="36"/>
      <c r="Q186" s="54">
        <f t="shared" si="982"/>
        <v>36.786000000000001</v>
      </c>
      <c r="R186" s="54">
        <f t="shared" si="982"/>
        <v>63.821000000000012</v>
      </c>
      <c r="S186" s="54">
        <f t="shared" si="982"/>
        <v>78.692000000000007</v>
      </c>
      <c r="T186" s="54">
        <f t="shared" si="982"/>
        <v>419.14100000000008</v>
      </c>
      <c r="U186" s="54">
        <f t="shared" si="982"/>
        <v>487.51100000000008</v>
      </c>
      <c r="V186" s="54">
        <f t="shared" si="982"/>
        <v>892.81600000000003</v>
      </c>
      <c r="W186" s="54">
        <f t="shared" si="982"/>
        <v>640.26200000000006</v>
      </c>
      <c r="X186" s="54">
        <f t="shared" si="982"/>
        <v>660.6310000000002</v>
      </c>
      <c r="Y186" s="54">
        <f t="shared" ref="Y186:AA186" si="994">+Y100</f>
        <v>687.6310000000002</v>
      </c>
      <c r="Z186" s="54">
        <f t="shared" si="994"/>
        <v>690.63100000000031</v>
      </c>
      <c r="AA186" s="54">
        <f t="shared" si="994"/>
        <v>1101.4310000000003</v>
      </c>
      <c r="AB186" s="54">
        <f t="shared" ref="AB186:AC186" si="995">+AB100</f>
        <v>855.43100000000027</v>
      </c>
      <c r="AC186" s="54">
        <f t="shared" si="995"/>
        <v>848.43100000000027</v>
      </c>
      <c r="AD186" s="54">
        <f t="shared" ref="AD186" si="996">+AD100</f>
        <v>708.43100000000015</v>
      </c>
      <c r="AF186" s="144"/>
      <c r="AG186" s="144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54">
        <f t="shared" si="986"/>
        <v>612.01</v>
      </c>
      <c r="AU186" s="54">
        <f t="shared" si="986"/>
        <v>687.63099999999997</v>
      </c>
      <c r="AV186" s="54">
        <f t="shared" si="986"/>
        <v>868.53099999999995</v>
      </c>
      <c r="AW186" s="54">
        <f t="shared" ref="AW186:AY186" si="997">+AW100</f>
        <v>690.63100000000009</v>
      </c>
      <c r="AX186" s="54">
        <f t="shared" si="997"/>
        <v>1232.2</v>
      </c>
      <c r="AY186" s="54">
        <f t="shared" si="997"/>
        <v>1101.4000000000001</v>
      </c>
      <c r="AZ186" s="54">
        <f t="shared" ref="AZ186:BB186" si="998">+AZ100</f>
        <v>1285.4000000000001</v>
      </c>
      <c r="BA186" s="54">
        <f t="shared" si="998"/>
        <v>855.40000000000009</v>
      </c>
      <c r="BB186" s="54">
        <f t="shared" si="998"/>
        <v>1846.5</v>
      </c>
      <c r="BC186" s="54">
        <f t="shared" ref="BC186:BF186" si="999">+BC100</f>
        <v>848.4</v>
      </c>
      <c r="BD186" s="54">
        <f t="shared" si="999"/>
        <v>1052.2</v>
      </c>
      <c r="BE186" s="54">
        <f t="shared" si="999"/>
        <v>708.39999999999986</v>
      </c>
      <c r="BF186" s="54">
        <f t="shared" si="999"/>
        <v>633.19999999999982</v>
      </c>
    </row>
    <row r="187" spans="2:58" ht="13.5" thickTop="1"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BA187" s="42"/>
      <c r="BB187" s="42"/>
      <c r="BC187" s="42"/>
      <c r="BE187" s="42"/>
      <c r="BF187" s="42"/>
    </row>
    <row r="188" spans="2:58">
      <c r="B188" s="1" t="s">
        <v>305</v>
      </c>
      <c r="C188" s="42">
        <f t="shared" ref="C188:G188" si="1000">C128</f>
        <v>1731.546</v>
      </c>
      <c r="D188" s="42">
        <f t="shared" si="1000"/>
        <v>2024.644</v>
      </c>
      <c r="E188" s="42">
        <f t="shared" si="1000"/>
        <v>2131.3420000000001</v>
      </c>
      <c r="F188" s="42">
        <f t="shared" si="1000"/>
        <v>2677.8130000000001</v>
      </c>
      <c r="G188" s="42">
        <f t="shared" si="1000"/>
        <v>3394.2579999999998</v>
      </c>
      <c r="H188" s="42">
        <f t="shared" ref="H188:I188" si="1001">H128</f>
        <v>4512.8140000000003</v>
      </c>
      <c r="I188" s="42">
        <f t="shared" si="1001"/>
        <v>5874.2089999999998</v>
      </c>
      <c r="J188" s="42">
        <f t="shared" ref="J188" si="1002">J128</f>
        <v>5874.2089999999998</v>
      </c>
      <c r="K188" s="42">
        <f t="shared" ref="K188:M188" si="1003">K128</f>
        <v>6968.2</v>
      </c>
      <c r="L188" s="42">
        <f t="shared" ref="L188" si="1004">L128</f>
        <v>6968.2</v>
      </c>
      <c r="M188" s="42">
        <f t="shared" si="1003"/>
        <v>8099.5</v>
      </c>
      <c r="N188" s="42">
        <f t="shared" ref="N188" si="1005">N128</f>
        <v>9228.5999999999985</v>
      </c>
      <c r="O188" s="42">
        <f t="shared" ref="O188" si="1006">O128</f>
        <v>9377.4</v>
      </c>
      <c r="P188" s="42"/>
      <c r="Q188" s="42">
        <f t="shared" ref="Q188:V188" si="1007">Q128</f>
        <v>0</v>
      </c>
      <c r="R188" s="42">
        <f t="shared" si="1007"/>
        <v>2677.8130000000001</v>
      </c>
      <c r="S188" s="42">
        <f t="shared" si="1007"/>
        <v>2810.8440000000001</v>
      </c>
      <c r="T188" s="42">
        <f t="shared" si="1007"/>
        <v>3394.2579999999998</v>
      </c>
      <c r="U188" s="42">
        <f t="shared" si="1007"/>
        <v>3065.4570000000003</v>
      </c>
      <c r="V188" s="42">
        <f t="shared" si="1007"/>
        <v>4512.8140000000003</v>
      </c>
      <c r="W188" s="42">
        <f t="shared" ref="W188:X188" si="1008">W128</f>
        <v>5283.5419999999995</v>
      </c>
      <c r="X188" s="42">
        <f t="shared" si="1008"/>
        <v>5874.2089999999998</v>
      </c>
      <c r="Y188" s="42">
        <f t="shared" ref="Y188:AA188" si="1009">Y128</f>
        <v>6396.5</v>
      </c>
      <c r="Z188" s="42">
        <f t="shared" si="1009"/>
        <v>6968.2</v>
      </c>
      <c r="AA188" s="42">
        <f t="shared" si="1009"/>
        <v>7931.8</v>
      </c>
      <c r="AB188" s="42">
        <f t="shared" ref="AB188:AC188" si="1010">AB128</f>
        <v>8099.5</v>
      </c>
      <c r="AC188" s="42">
        <f t="shared" si="1010"/>
        <v>8535</v>
      </c>
      <c r="AD188" s="42">
        <f t="shared" ref="AD188" si="1011">AD128</f>
        <v>9228.5999999999985</v>
      </c>
      <c r="AF188" s="143"/>
      <c r="AG188" s="42">
        <f t="shared" ref="AG188:AK188" si="1012">AG128</f>
        <v>2677.8130000000001</v>
      </c>
      <c r="AH188" s="143"/>
      <c r="AI188" s="42">
        <f t="shared" si="1012"/>
        <v>2810.8440000000001</v>
      </c>
      <c r="AJ188" s="42">
        <f t="shared" si="1012"/>
        <v>2895.8870000000002</v>
      </c>
      <c r="AK188" s="42">
        <f t="shared" si="1012"/>
        <v>3394.2579999999998</v>
      </c>
      <c r="AL188" s="42">
        <f>AL128</f>
        <v>3467.444</v>
      </c>
      <c r="AM188" s="42">
        <f>AM128</f>
        <v>3065.4570000000003</v>
      </c>
      <c r="AN188" s="42">
        <f t="shared" ref="AN188:AP188" si="1013">AN128</f>
        <v>4504.4080000000004</v>
      </c>
      <c r="AO188" s="42">
        <f t="shared" si="1013"/>
        <v>4512.8140000000003</v>
      </c>
      <c r="AP188" s="42">
        <f t="shared" si="1013"/>
        <v>5396.4589999999998</v>
      </c>
      <c r="AQ188" s="42">
        <f t="shared" ref="AQ188:AT188" si="1014">AQ128</f>
        <v>5283.5419999999995</v>
      </c>
      <c r="AR188" s="42">
        <f t="shared" si="1014"/>
        <v>5709.155999999999</v>
      </c>
      <c r="AS188" s="42">
        <f t="shared" si="1014"/>
        <v>5874.2089999999998</v>
      </c>
      <c r="AT188" s="42">
        <f t="shared" si="1014"/>
        <v>6123.348</v>
      </c>
      <c r="AU188" s="42">
        <f t="shared" ref="AU188:AX188" si="1015">AU128</f>
        <v>6396.5</v>
      </c>
      <c r="AV188" s="42">
        <f t="shared" si="1015"/>
        <v>6786.2000000000007</v>
      </c>
      <c r="AW188" s="42">
        <f t="shared" si="1015"/>
        <v>6968.2</v>
      </c>
      <c r="AX188" s="42">
        <f t="shared" si="1015"/>
        <v>7657.5</v>
      </c>
      <c r="AY188" s="42">
        <f t="shared" ref="AY188:BB188" si="1016">AY128</f>
        <v>7931.8</v>
      </c>
      <c r="AZ188" s="42">
        <f t="shared" si="1016"/>
        <v>8136.2</v>
      </c>
      <c r="BA188" s="42">
        <f t="shared" si="1016"/>
        <v>8099.5</v>
      </c>
      <c r="BB188" s="42">
        <f t="shared" si="1016"/>
        <v>9246.7000000000007</v>
      </c>
      <c r="BC188" s="42">
        <f t="shared" ref="BC188:BF188" si="1017">BC128</f>
        <v>8535</v>
      </c>
      <c r="BD188" s="42">
        <f t="shared" si="1017"/>
        <v>9037</v>
      </c>
      <c r="BE188" s="42">
        <f t="shared" si="1017"/>
        <v>9228.5999999999985</v>
      </c>
      <c r="BF188" s="42">
        <f t="shared" si="1017"/>
        <v>9377.4</v>
      </c>
    </row>
    <row r="189" spans="2:58" s="5" customFormat="1">
      <c r="B189" s="5" t="s">
        <v>14</v>
      </c>
      <c r="C189" s="36">
        <f t="shared" ref="C189:G189" si="1018">C132</f>
        <v>1667.1290000000001</v>
      </c>
      <c r="D189" s="36">
        <f t="shared" si="1018"/>
        <v>1999.1590000000001</v>
      </c>
      <c r="E189" s="36">
        <f t="shared" si="1018"/>
        <v>2085.058</v>
      </c>
      <c r="F189" s="36">
        <f t="shared" si="1018"/>
        <v>2613.9920000000002</v>
      </c>
      <c r="G189" s="36">
        <f t="shared" si="1018"/>
        <v>2975.1169999999997</v>
      </c>
      <c r="H189" s="36">
        <f t="shared" ref="H189:I189" si="1019">H132</f>
        <v>3619.9980000000005</v>
      </c>
      <c r="I189" s="36">
        <f t="shared" si="1019"/>
        <v>5213.5779999999995</v>
      </c>
      <c r="J189" s="36">
        <f t="shared" ref="J189" si="1020">J132</f>
        <v>5213.5779999999995</v>
      </c>
      <c r="K189" s="36">
        <f t="shared" ref="K189:M189" si="1021">K132</f>
        <v>6277.5999999999995</v>
      </c>
      <c r="L189" s="36">
        <f t="shared" ref="L189" si="1022">L132</f>
        <v>6277.5999999999995</v>
      </c>
      <c r="M189" s="36">
        <f t="shared" si="1021"/>
        <v>7244.1</v>
      </c>
      <c r="N189" s="36">
        <f t="shared" ref="N189" si="1023">N132</f>
        <v>8520.1999999999989</v>
      </c>
      <c r="O189" s="36">
        <f t="shared" ref="O189" si="1024">O132</f>
        <v>8744.4</v>
      </c>
      <c r="P189" s="36"/>
      <c r="Q189" s="36">
        <f t="shared" ref="Q189:V189" si="1025">Q132</f>
        <v>0</v>
      </c>
      <c r="R189" s="36">
        <f t="shared" si="1025"/>
        <v>2613.9920000000002</v>
      </c>
      <c r="S189" s="36">
        <f t="shared" si="1025"/>
        <v>2732.152</v>
      </c>
      <c r="T189" s="36">
        <f t="shared" si="1025"/>
        <v>2975.1169999999997</v>
      </c>
      <c r="U189" s="36">
        <f t="shared" si="1025"/>
        <v>2577.9460000000004</v>
      </c>
      <c r="V189" s="36">
        <f t="shared" si="1025"/>
        <v>3619.9980000000005</v>
      </c>
      <c r="W189" s="36">
        <f t="shared" ref="W189:X189" si="1026">W132</f>
        <v>4643.28</v>
      </c>
      <c r="X189" s="36">
        <f t="shared" si="1026"/>
        <v>5213.5779999999995</v>
      </c>
      <c r="Y189" s="36">
        <f t="shared" ref="Y189:AA189" si="1027">Y132</f>
        <v>5708.9</v>
      </c>
      <c r="Z189" s="36">
        <f t="shared" si="1027"/>
        <v>6277.5999999999995</v>
      </c>
      <c r="AA189" s="36">
        <f t="shared" si="1027"/>
        <v>6830.4</v>
      </c>
      <c r="AB189" s="36">
        <f t="shared" ref="AB189:AC189" si="1028">AB132</f>
        <v>7244.1</v>
      </c>
      <c r="AC189" s="36">
        <f t="shared" si="1028"/>
        <v>7686.6</v>
      </c>
      <c r="AD189" s="36">
        <f t="shared" ref="AD189" si="1029">AD132</f>
        <v>8520.1999999999989</v>
      </c>
      <c r="AF189" s="142"/>
      <c r="AG189" s="36">
        <f t="shared" ref="AG189:AK189" si="1030">AG132</f>
        <v>2613.9920000000002</v>
      </c>
      <c r="AH189" s="142"/>
      <c r="AI189" s="36">
        <f t="shared" si="1030"/>
        <v>2732.152</v>
      </c>
      <c r="AJ189" s="36">
        <f t="shared" si="1030"/>
        <v>2830.951</v>
      </c>
      <c r="AK189" s="36">
        <f t="shared" si="1030"/>
        <v>2975.1169999999997</v>
      </c>
      <c r="AL189" s="36">
        <f>AL132</f>
        <v>2319.442</v>
      </c>
      <c r="AM189" s="36">
        <f>AM132</f>
        <v>2577.9460000000004</v>
      </c>
      <c r="AN189" s="36">
        <f t="shared" ref="AN189:AP189" si="1031">AN132</f>
        <v>3114.7440000000006</v>
      </c>
      <c r="AO189" s="36">
        <f t="shared" si="1031"/>
        <v>3619.9980000000005</v>
      </c>
      <c r="AP189" s="36">
        <f t="shared" si="1031"/>
        <v>4251.2809999999999</v>
      </c>
      <c r="AQ189" s="36">
        <f t="shared" ref="AQ189:AT189" si="1032">AQ132</f>
        <v>4643.28</v>
      </c>
      <c r="AR189" s="36">
        <f t="shared" si="1032"/>
        <v>4961.6279999999988</v>
      </c>
      <c r="AS189" s="36">
        <f t="shared" si="1032"/>
        <v>5213.5779999999995</v>
      </c>
      <c r="AT189" s="36">
        <f t="shared" si="1032"/>
        <v>5511.3379999999997</v>
      </c>
      <c r="AU189" s="36">
        <f t="shared" ref="AU189:AX189" si="1033">AU132</f>
        <v>5708.9</v>
      </c>
      <c r="AV189" s="36">
        <f t="shared" si="1033"/>
        <v>5917.7000000000007</v>
      </c>
      <c r="AW189" s="36">
        <f t="shared" si="1033"/>
        <v>6277.5999999999995</v>
      </c>
      <c r="AX189" s="36">
        <f t="shared" si="1033"/>
        <v>6425.3</v>
      </c>
      <c r="AY189" s="36">
        <f t="shared" ref="AY189:BB189" si="1034">AY132</f>
        <v>6830.4</v>
      </c>
      <c r="AZ189" s="36">
        <f t="shared" si="1034"/>
        <v>6850.7999999999993</v>
      </c>
      <c r="BA189" s="36">
        <f t="shared" si="1034"/>
        <v>7244.1</v>
      </c>
      <c r="BB189" s="36">
        <f t="shared" si="1034"/>
        <v>7400.2000000000007</v>
      </c>
      <c r="BC189" s="36">
        <f t="shared" ref="BC189:BF189" si="1035">BC132</f>
        <v>7686.6</v>
      </c>
      <c r="BD189" s="36">
        <f t="shared" si="1035"/>
        <v>7984.8</v>
      </c>
      <c r="BE189" s="36">
        <f t="shared" si="1035"/>
        <v>8520.1999999999989</v>
      </c>
      <c r="BF189" s="36">
        <f t="shared" si="1035"/>
        <v>8744.4</v>
      </c>
    </row>
    <row r="190" spans="2:58"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</row>
    <row r="191" spans="2:58" s="5" customFormat="1">
      <c r="B191" s="5" t="s">
        <v>23</v>
      </c>
      <c r="C191" s="36">
        <f t="shared" ref="C191:I191" si="1036">C110</f>
        <v>164.96000000000004</v>
      </c>
      <c r="D191" s="36">
        <f t="shared" si="1036"/>
        <v>185.98700000000002</v>
      </c>
      <c r="E191" s="36">
        <f t="shared" si="1036"/>
        <v>203.2</v>
      </c>
      <c r="F191" s="36">
        <f t="shared" si="1036"/>
        <v>214.5</v>
      </c>
      <c r="G191" s="36">
        <f t="shared" si="1036"/>
        <v>238.1</v>
      </c>
      <c r="H191" s="36">
        <f t="shared" si="1036"/>
        <v>284.68399999999997</v>
      </c>
      <c r="I191" s="36">
        <f t="shared" si="1036"/>
        <v>371.03399999999999</v>
      </c>
      <c r="J191" s="36">
        <f t="shared" ref="J191" si="1037">J110</f>
        <v>360.97600000000011</v>
      </c>
      <c r="K191" s="36">
        <f t="shared" ref="K191:M191" si="1038">K110</f>
        <v>457.79999999999995</v>
      </c>
      <c r="L191" s="36">
        <f t="shared" ref="L191" si="1039">L110</f>
        <v>472.7</v>
      </c>
      <c r="M191" s="36">
        <f t="shared" si="1038"/>
        <v>604</v>
      </c>
      <c r="N191" s="36">
        <f t="shared" ref="N191" si="1040">N110</f>
        <v>701.2</v>
      </c>
      <c r="O191" s="36">
        <f t="shared" ref="O191" si="1041">O110</f>
        <v>718.40000000000009</v>
      </c>
      <c r="P191" s="36"/>
      <c r="Q191" s="36">
        <f t="shared" ref="Q191:X191" si="1042">Q110</f>
        <v>0</v>
      </c>
      <c r="R191" s="36">
        <f t="shared" si="1042"/>
        <v>214.5</v>
      </c>
      <c r="S191" s="36">
        <f t="shared" si="1042"/>
        <v>240.8</v>
      </c>
      <c r="T191" s="36">
        <f t="shared" si="1042"/>
        <v>238.1</v>
      </c>
      <c r="U191" s="36">
        <f t="shared" si="1042"/>
        <v>267.87599999999998</v>
      </c>
      <c r="V191" s="36">
        <f t="shared" si="1042"/>
        <v>284.68399999999997</v>
      </c>
      <c r="W191" s="36">
        <f t="shared" si="1042"/>
        <v>302.11599999999999</v>
      </c>
      <c r="X191" s="36">
        <f t="shared" si="1042"/>
        <v>371.03399999999999</v>
      </c>
      <c r="Y191" s="36">
        <f t="shared" ref="Y191:AA191" si="1043">Y110</f>
        <v>431.92600000000004</v>
      </c>
      <c r="Z191" s="36">
        <f t="shared" si="1043"/>
        <v>457.79999999999995</v>
      </c>
      <c r="AA191" s="36">
        <f t="shared" si="1043"/>
        <v>512.6</v>
      </c>
      <c r="AB191" s="36">
        <f t="shared" ref="AB191:AC191" si="1044">AB110</f>
        <v>604</v>
      </c>
      <c r="AC191" s="36">
        <f t="shared" si="1044"/>
        <v>649.89999999999986</v>
      </c>
      <c r="AD191" s="36">
        <f t="shared" ref="AD191" si="1045">AD110</f>
        <v>701.2</v>
      </c>
      <c r="AF191" s="142"/>
      <c r="AG191" s="36">
        <f>AG110</f>
        <v>214.5</v>
      </c>
      <c r="AH191" s="142"/>
      <c r="AI191" s="36">
        <f t="shared" ref="AI191:AT191" si="1046">AI110</f>
        <v>240.8</v>
      </c>
      <c r="AJ191" s="36">
        <f t="shared" si="1046"/>
        <v>242.28899999999999</v>
      </c>
      <c r="AK191" s="36">
        <f t="shared" si="1046"/>
        <v>238.1</v>
      </c>
      <c r="AL191" s="36">
        <f t="shared" si="1046"/>
        <v>244.81399999999994</v>
      </c>
      <c r="AM191" s="36">
        <f t="shared" si="1046"/>
        <v>267.87599999999998</v>
      </c>
      <c r="AN191" s="36">
        <f t="shared" si="1046"/>
        <v>279.86599999999999</v>
      </c>
      <c r="AO191" s="36">
        <f t="shared" si="1046"/>
        <v>284.68399999999997</v>
      </c>
      <c r="AP191" s="36">
        <f t="shared" si="1046"/>
        <v>293.41800000000001</v>
      </c>
      <c r="AQ191" s="36">
        <f t="shared" si="1046"/>
        <v>302.11599999999993</v>
      </c>
      <c r="AR191" s="36">
        <f t="shared" si="1046"/>
        <v>331.79799999999989</v>
      </c>
      <c r="AS191" s="36">
        <f t="shared" si="1046"/>
        <v>371.03399999999999</v>
      </c>
      <c r="AT191" s="36">
        <f t="shared" si="1046"/>
        <v>391.13499999999988</v>
      </c>
      <c r="AU191" s="36">
        <f t="shared" ref="AU191:AX191" si="1047">AU110</f>
        <v>431.92599999999993</v>
      </c>
      <c r="AV191" s="36">
        <f t="shared" si="1047"/>
        <v>448.55400000000003</v>
      </c>
      <c r="AW191" s="36">
        <f t="shared" si="1047"/>
        <v>457.79999999999995</v>
      </c>
      <c r="AX191" s="36">
        <f t="shared" si="1047"/>
        <v>493.28499999999985</v>
      </c>
      <c r="AY191" s="36">
        <f t="shared" ref="AY191:BB191" si="1048">AY110</f>
        <v>515.89999999999986</v>
      </c>
      <c r="AZ191" s="36">
        <f t="shared" si="1048"/>
        <v>545.0999999999998</v>
      </c>
      <c r="BA191" s="36">
        <f t="shared" si="1048"/>
        <v>604.29999999999995</v>
      </c>
      <c r="BB191" s="36">
        <f t="shared" si="1048"/>
        <v>626.4</v>
      </c>
      <c r="BC191" s="36">
        <f t="shared" ref="BC191:BF191" si="1049">BC110</f>
        <v>649.9</v>
      </c>
      <c r="BD191" s="36">
        <f t="shared" si="1049"/>
        <v>679.2</v>
      </c>
      <c r="BE191" s="36">
        <f t="shared" si="1049"/>
        <v>701.2</v>
      </c>
      <c r="BF191" s="36">
        <f t="shared" si="1049"/>
        <v>718.40000000000009</v>
      </c>
    </row>
    <row r="192" spans="2:58"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</row>
    <row r="193" spans="2:59" s="5" customFormat="1">
      <c r="B193" s="5" t="str">
        <f t="shared" ref="B193:F194" si="1050">B139</f>
        <v>Total Net Leverage</v>
      </c>
      <c r="C193" s="34">
        <f t="shared" si="1050"/>
        <v>10.106262124151309</v>
      </c>
      <c r="D193" s="34">
        <f t="shared" si="1050"/>
        <v>10.748917935124497</v>
      </c>
      <c r="E193" s="34">
        <f t="shared" si="1050"/>
        <v>10.261112204724411</v>
      </c>
      <c r="F193" s="34">
        <f t="shared" si="1050"/>
        <v>12.186442890442891</v>
      </c>
      <c r="G193" s="34">
        <f t="shared" ref="G193:H193" si="1051">G139</f>
        <v>12.495241495170095</v>
      </c>
      <c r="H193" s="34">
        <f t="shared" si="1051"/>
        <v>12.715846341908927</v>
      </c>
      <c r="I193" s="34">
        <f t="shared" ref="I193:J193" si="1052">I139</f>
        <v>14.051483152487371</v>
      </c>
      <c r="J193" s="34">
        <f t="shared" si="1052"/>
        <v>14.443004521076187</v>
      </c>
      <c r="K193" s="34">
        <f t="shared" ref="K193:M194" si="1053">K139</f>
        <v>13.712538226299694</v>
      </c>
      <c r="L193" s="34">
        <f t="shared" ref="L193" si="1054">L139</f>
        <v>13.280304632959593</v>
      </c>
      <c r="M193" s="34">
        <f t="shared" si="1053"/>
        <v>11.993543046357617</v>
      </c>
      <c r="N193" s="34">
        <f t="shared" ref="N193" si="1055">N139</f>
        <v>12.150884198516826</v>
      </c>
      <c r="O193" s="34">
        <f t="shared" ref="O193" si="1056">O139</f>
        <v>12.172048997772826</v>
      </c>
      <c r="P193" s="34"/>
      <c r="Q193" s="34">
        <f t="shared" ref="Q193:S194" si="1057">Q139</f>
        <v>0</v>
      </c>
      <c r="R193" s="34">
        <f t="shared" si="1057"/>
        <v>12.186442890442891</v>
      </c>
      <c r="S193" s="34">
        <f t="shared" si="1057"/>
        <v>11.346146179401993</v>
      </c>
      <c r="T193" s="34">
        <f t="shared" ref="T193:V193" si="1058">T139</f>
        <v>12.495241495170095</v>
      </c>
      <c r="U193" s="34">
        <f t="shared" ref="U193" si="1059">U139</f>
        <v>9.6236542280756794</v>
      </c>
      <c r="V193" s="34">
        <f t="shared" si="1058"/>
        <v>12.715846341908927</v>
      </c>
      <c r="W193" s="34">
        <f t="shared" ref="W193:X193" si="1060">W139</f>
        <v>15.369195937984086</v>
      </c>
      <c r="X193" s="34">
        <f t="shared" si="1060"/>
        <v>14.051483152487371</v>
      </c>
      <c r="Y193" s="34">
        <f t="shared" ref="Y193:AA193" si="1061">Y139</f>
        <v>13.21731037261012</v>
      </c>
      <c r="Z193" s="34">
        <f t="shared" si="1061"/>
        <v>13.712538226299694</v>
      </c>
      <c r="AA193" s="34">
        <f t="shared" si="1061"/>
        <v>13.325009754194303</v>
      </c>
      <c r="AB193" s="34">
        <f t="shared" ref="AB193:AC193" si="1062">AB139</f>
        <v>11.993543046357617</v>
      </c>
      <c r="AC193" s="34">
        <f t="shared" si="1062"/>
        <v>11.827358055085401</v>
      </c>
      <c r="AD193" s="34">
        <f t="shared" ref="AD193" si="1063">AD139</f>
        <v>12.150884198516826</v>
      </c>
      <c r="AF193" s="146"/>
      <c r="AG193" s="34">
        <f t="shared" ref="AG193:AK194" si="1064">AG139</f>
        <v>12.186442890442891</v>
      </c>
      <c r="AH193" s="146"/>
      <c r="AI193" s="34">
        <f t="shared" si="1064"/>
        <v>11.346146179401993</v>
      </c>
      <c r="AJ193" s="34">
        <f t="shared" si="1064"/>
        <v>11.684191193161887</v>
      </c>
      <c r="AK193" s="34">
        <f t="shared" si="1064"/>
        <v>12.495241495170095</v>
      </c>
      <c r="AL193" s="34">
        <f t="shared" ref="AL193:AP193" si="1065">AL139</f>
        <v>9.4743029401913308</v>
      </c>
      <c r="AM193" s="34">
        <f t="shared" si="1065"/>
        <v>9.6236542280756794</v>
      </c>
      <c r="AN193" s="34">
        <f t="shared" si="1065"/>
        <v>11.129411932853582</v>
      </c>
      <c r="AO193" s="34">
        <f t="shared" si="1065"/>
        <v>12.715846341908927</v>
      </c>
      <c r="AP193" s="34">
        <f t="shared" si="1065"/>
        <v>14.488821408366221</v>
      </c>
      <c r="AQ193" s="34">
        <f t="shared" ref="AQ193:AT193" si="1066">AQ139</f>
        <v>15.369195937984088</v>
      </c>
      <c r="AR193" s="34">
        <f t="shared" si="1066"/>
        <v>14.953761023273199</v>
      </c>
      <c r="AS193" s="34">
        <f t="shared" si="1066"/>
        <v>14.051483152487371</v>
      </c>
      <c r="AT193" s="34">
        <f t="shared" si="1066"/>
        <v>14.090628555358128</v>
      </c>
      <c r="AU193" s="34">
        <f t="shared" ref="AU193:AX193" si="1067">AU139</f>
        <v>13.217310372610124</v>
      </c>
      <c r="AV193" s="34">
        <f t="shared" si="1067"/>
        <v>13.192837428715384</v>
      </c>
      <c r="AW193" s="34">
        <f t="shared" si="1067"/>
        <v>13.712538226299694</v>
      </c>
      <c r="AX193" s="34">
        <f t="shared" si="1067"/>
        <v>13.025532906940212</v>
      </c>
      <c r="AY193" s="34">
        <f t="shared" ref="AY193:BB193" si="1068">AY139</f>
        <v>13.239775150222915</v>
      </c>
      <c r="AZ193" s="34">
        <f t="shared" si="1068"/>
        <v>12.567969179966981</v>
      </c>
      <c r="BA193" s="34">
        <f t="shared" si="1068"/>
        <v>11.987588945887806</v>
      </c>
      <c r="BB193" s="34">
        <f t="shared" si="1068"/>
        <v>11.813856960408685</v>
      </c>
      <c r="BC193" s="34">
        <f t="shared" ref="BC193:BF193" si="1069">BC139</f>
        <v>11.8273580550854</v>
      </c>
      <c r="BD193" s="34">
        <f t="shared" si="1069"/>
        <v>11.756183745583039</v>
      </c>
      <c r="BE193" s="34">
        <f t="shared" si="1069"/>
        <v>12.150884198516826</v>
      </c>
      <c r="BF193" s="34">
        <f t="shared" si="1069"/>
        <v>12.172048997772826</v>
      </c>
    </row>
    <row r="194" spans="2:59">
      <c r="B194" s="1" t="str">
        <f t="shared" si="1050"/>
        <v>Total Gross Leverage</v>
      </c>
      <c r="C194" s="35">
        <f t="shared" si="1050"/>
        <v>10.496762851600385</v>
      </c>
      <c r="D194" s="35">
        <f t="shared" si="1050"/>
        <v>10.885943641222235</v>
      </c>
      <c r="E194" s="35">
        <f t="shared" si="1050"/>
        <v>10.488887795275591</v>
      </c>
      <c r="F194" s="35">
        <f t="shared" si="1050"/>
        <v>12.483976689976691</v>
      </c>
      <c r="G194" s="35">
        <f t="shared" ref="G194:H194" si="1070">G140</f>
        <v>14.255598488030239</v>
      </c>
      <c r="H194" s="35">
        <f t="shared" si="1070"/>
        <v>15.8520113529387</v>
      </c>
      <c r="I194" s="35">
        <f t="shared" ref="I194:J194" si="1071">I140</f>
        <v>15.831996528620019</v>
      </c>
      <c r="J194" s="35">
        <f t="shared" si="1071"/>
        <v>16.273128961482197</v>
      </c>
      <c r="K194" s="35">
        <f t="shared" si="1053"/>
        <v>15.221057230231544</v>
      </c>
      <c r="L194" s="35">
        <f t="shared" ref="L194" si="1072">L140</f>
        <v>14.741273535011635</v>
      </c>
      <c r="M194" s="35">
        <f t="shared" si="1053"/>
        <v>13.409768211920531</v>
      </c>
      <c r="N194" s="35">
        <f t="shared" ref="N194" si="1073">N140</f>
        <v>13.161152310325154</v>
      </c>
      <c r="O194" s="35">
        <f t="shared" ref="O194" si="1074">O140</f>
        <v>13.053173719376391</v>
      </c>
      <c r="P194" s="35"/>
      <c r="Q194" s="35">
        <f t="shared" si="1057"/>
        <v>0</v>
      </c>
      <c r="R194" s="35">
        <f t="shared" si="1057"/>
        <v>12.483976689976691</v>
      </c>
      <c r="S194" s="35">
        <f t="shared" si="1057"/>
        <v>11.672940199335548</v>
      </c>
      <c r="T194" s="35">
        <f t="shared" ref="T194:V194" si="1075">T140</f>
        <v>14.255598488030239</v>
      </c>
      <c r="U194" s="35">
        <f t="shared" ref="U194" si="1076">U140</f>
        <v>11.443567172871033</v>
      </c>
      <c r="V194" s="35">
        <f t="shared" si="1075"/>
        <v>15.8520113529387</v>
      </c>
      <c r="W194" s="35">
        <f t="shared" ref="W194:X194" si="1077">W140</f>
        <v>17.488454765719126</v>
      </c>
      <c r="X194" s="35">
        <f t="shared" si="1077"/>
        <v>15.831996528620019</v>
      </c>
      <c r="Y194" s="35">
        <f t="shared" ref="Y194:AA194" si="1078">Y140</f>
        <v>14.809249732593081</v>
      </c>
      <c r="Z194" s="35">
        <f t="shared" si="1078"/>
        <v>15.221057230231544</v>
      </c>
      <c r="AA194" s="35">
        <f t="shared" si="1078"/>
        <v>15.473663675380413</v>
      </c>
      <c r="AB194" s="35">
        <f t="shared" ref="AB194:AC194" si="1079">AB140</f>
        <v>13.409768211920531</v>
      </c>
      <c r="AC194" s="35">
        <f t="shared" si="1079"/>
        <v>13.132789659947687</v>
      </c>
      <c r="AD194" s="35">
        <f t="shared" ref="AD194" si="1080">AD140</f>
        <v>13.161152310325154</v>
      </c>
      <c r="AF194" s="145"/>
      <c r="AG194" s="35">
        <f t="shared" si="1064"/>
        <v>12.483976689976691</v>
      </c>
      <c r="AH194" s="145"/>
      <c r="AI194" s="35">
        <f t="shared" si="1064"/>
        <v>11.672940199335548</v>
      </c>
      <c r="AJ194" s="35">
        <f t="shared" si="1064"/>
        <v>11.952201709528705</v>
      </c>
      <c r="AK194" s="35">
        <f t="shared" si="1064"/>
        <v>14.255598488030239</v>
      </c>
      <c r="AL194" s="35">
        <f t="shared" ref="AL194:AP194" si="1081">AL140</f>
        <v>14.163585415866743</v>
      </c>
      <c r="AM194" s="35">
        <f t="shared" si="1081"/>
        <v>11.443567172871033</v>
      </c>
      <c r="AN194" s="35">
        <f t="shared" si="1081"/>
        <v>16.094873975402518</v>
      </c>
      <c r="AO194" s="35">
        <f t="shared" si="1081"/>
        <v>15.8520113529387</v>
      </c>
      <c r="AP194" s="35">
        <f t="shared" si="1081"/>
        <v>18.391710801654977</v>
      </c>
      <c r="AQ194" s="35">
        <f t="shared" ref="AQ194:AT194" si="1082">AQ140</f>
        <v>17.48845476571913</v>
      </c>
      <c r="AR194" s="35">
        <f t="shared" si="1082"/>
        <v>17.206722162279462</v>
      </c>
      <c r="AS194" s="35">
        <f t="shared" si="1082"/>
        <v>15.831996528620019</v>
      </c>
      <c r="AT194" s="35">
        <f t="shared" si="1082"/>
        <v>15.655331279481514</v>
      </c>
      <c r="AU194" s="35">
        <f t="shared" ref="AU194:AX194" si="1083">AU140</f>
        <v>14.809249732593086</v>
      </c>
      <c r="AV194" s="35">
        <f t="shared" si="1083"/>
        <v>15.12905915452766</v>
      </c>
      <c r="AW194" s="35">
        <f t="shared" si="1083"/>
        <v>15.221057230231544</v>
      </c>
      <c r="AX194" s="35">
        <f t="shared" si="1083"/>
        <v>15.523480340979358</v>
      </c>
      <c r="AY194" s="35">
        <f t="shared" ref="AY194:BB194" si="1084">AY140</f>
        <v>15.374685016476066</v>
      </c>
      <c r="AZ194" s="35">
        <f t="shared" si="1084"/>
        <v>14.926068611263993</v>
      </c>
      <c r="BA194" s="35">
        <f t="shared" si="1084"/>
        <v>13.403111037564125</v>
      </c>
      <c r="BB194" s="35">
        <f t="shared" si="1084"/>
        <v>14.761653895274586</v>
      </c>
      <c r="BC194" s="35">
        <f t="shared" ref="BC194:BF194" si="1085">BC140</f>
        <v>13.132789659947685</v>
      </c>
      <c r="BD194" s="35">
        <f t="shared" si="1085"/>
        <v>13.305359246171966</v>
      </c>
      <c r="BE194" s="35">
        <f t="shared" si="1085"/>
        <v>13.161152310325154</v>
      </c>
      <c r="BF194" s="35">
        <f t="shared" si="1085"/>
        <v>13.053173719376391</v>
      </c>
    </row>
    <row r="195" spans="2:59"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BA195" s="35"/>
      <c r="BB195" s="35"/>
      <c r="BC195" s="35"/>
      <c r="BE195" s="35"/>
      <c r="BF195" s="35"/>
    </row>
    <row r="196" spans="2:59" s="5" customFormat="1">
      <c r="B196" s="5" t="str">
        <f t="shared" ref="B196:F197" si="1086">+B142</f>
        <v>EBITDA - Capex / Interest</v>
      </c>
      <c r="C196" s="34">
        <f t="shared" si="1086"/>
        <v>-0.61505099609188774</v>
      </c>
      <c r="D196" s="34">
        <f t="shared" si="1086"/>
        <v>-5.540073413738857</v>
      </c>
      <c r="E196" s="34">
        <f t="shared" si="1086"/>
        <v>-3.218751713424107</v>
      </c>
      <c r="F196" s="34">
        <f t="shared" si="1086"/>
        <v>-2.6999615264826047</v>
      </c>
      <c r="G196" s="34">
        <f t="shared" ref="G196:H196" si="1087">+G142</f>
        <v>-2.8666816546762588</v>
      </c>
      <c r="H196" s="34">
        <f t="shared" si="1087"/>
        <v>-13.184036311303002</v>
      </c>
      <c r="I196" s="34">
        <f t="shared" ref="I196:J196" si="1088">+I142</f>
        <v>-11.858185078133452</v>
      </c>
      <c r="J196" s="34">
        <f t="shared" si="1088"/>
        <v>-12.013648237167098</v>
      </c>
      <c r="K196" s="34">
        <f t="shared" ref="K196:M197" si="1089">+K142</f>
        <v>-5.7725321888412013</v>
      </c>
      <c r="L196" s="34">
        <f t="shared" ref="L196" si="1090">+L142</f>
        <v>-5.6446351931330465</v>
      </c>
      <c r="M196" s="34">
        <f t="shared" si="1089"/>
        <v>-2.6555555555555559</v>
      </c>
      <c r="N196" s="34">
        <f t="shared" ref="N196" si="1091">+N142</f>
        <v>-2.0388109000825763</v>
      </c>
      <c r="O196" s="34">
        <f t="shared" ref="O196" si="1092">+O142</f>
        <v>-1.725581395348837</v>
      </c>
      <c r="P196" s="34"/>
      <c r="Q196" s="34">
        <f t="shared" ref="Q196:S197" si="1093">+Q142</f>
        <v>0</v>
      </c>
      <c r="R196" s="34">
        <f t="shared" si="1093"/>
        <v>-2.6999615264826047</v>
      </c>
      <c r="S196" s="34">
        <f t="shared" si="1093"/>
        <v>-2.6035640667597582</v>
      </c>
      <c r="T196" s="34">
        <f t="shared" ref="T196:V196" si="1094">+T142</f>
        <v>-2.8666816546762588</v>
      </c>
      <c r="U196" s="34">
        <f t="shared" ref="U196" si="1095">+U142</f>
        <v>-6.2572296290636817</v>
      </c>
      <c r="V196" s="34">
        <f t="shared" si="1094"/>
        <v>-13.184036311303002</v>
      </c>
      <c r="W196" s="34">
        <f t="shared" ref="W196:X196" si="1096">+W142</f>
        <v>-13.908476288539624</v>
      </c>
      <c r="X196" s="34">
        <f t="shared" si="1096"/>
        <v>-11.858185078133452</v>
      </c>
      <c r="Y196" s="34">
        <f t="shared" ref="Y196:AA196" si="1097">+Y142</f>
        <v>-7.5718889094955468</v>
      </c>
      <c r="Z196" s="34">
        <f t="shared" si="1097"/>
        <v>-5.7725321888412013</v>
      </c>
      <c r="AA196" s="34">
        <f t="shared" si="1097"/>
        <v>-2.7209964412811378</v>
      </c>
      <c r="AB196" s="34">
        <f t="shared" ref="AB196:AC196" si="1098">+AB142</f>
        <v>-2.6555555555555559</v>
      </c>
      <c r="AC196" s="34">
        <f t="shared" si="1098"/>
        <v>-2.0974212034383966</v>
      </c>
      <c r="AD196" s="34">
        <f t="shared" ref="AD196" si="1099">+AD142</f>
        <v>-2.0388109000825763</v>
      </c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  <c r="AW196" s="34">
        <f t="shared" ref="AW196:AZ197" si="1100">+AW142</f>
        <v>-5.7725321888412013</v>
      </c>
      <c r="AX196" s="34">
        <f t="shared" si="1100"/>
        <v>-9.9685920521817089</v>
      </c>
      <c r="AY196" s="34">
        <f t="shared" si="1100"/>
        <v>-5.2738197424892714</v>
      </c>
      <c r="AZ196" s="34">
        <f t="shared" si="1100"/>
        <v>-5.0231759656652377</v>
      </c>
      <c r="BA196" s="34">
        <f t="shared" ref="BA196:BD197" si="1101">+BA142</f>
        <v>-2.6541062801932371</v>
      </c>
      <c r="BB196" s="34">
        <f t="shared" si="1101"/>
        <v>-2.0605571255551078</v>
      </c>
      <c r="BC196" s="34">
        <f t="shared" si="1101"/>
        <v>-2.0974212034383961</v>
      </c>
      <c r="BD196" s="34">
        <f t="shared" si="1101"/>
        <v>-2.6363636363636358</v>
      </c>
      <c r="BE196" s="34">
        <f t="shared" ref="BE196:BF196" si="1102">+BE142</f>
        <v>-2.0388109000825763</v>
      </c>
      <c r="BF196" s="34">
        <f t="shared" si="1102"/>
        <v>-1.725581395348837</v>
      </c>
    </row>
    <row r="197" spans="2:59">
      <c r="B197" s="1" t="str">
        <f t="shared" si="1086"/>
        <v>EBITDA/Interest</v>
      </c>
      <c r="C197" s="35">
        <f t="shared" si="1086"/>
        <v>3.9309884663044525</v>
      </c>
      <c r="D197" s="35">
        <f t="shared" si="1086"/>
        <v>3.9011431567907717</v>
      </c>
      <c r="E197" s="35">
        <f t="shared" si="1086"/>
        <v>3.713789637211002</v>
      </c>
      <c r="F197" s="35">
        <f t="shared" si="1086"/>
        <v>3.9297949911144499</v>
      </c>
      <c r="G197" s="35">
        <f t="shared" ref="G197:H197" si="1103">+G143</f>
        <v>3.8235483042137717</v>
      </c>
      <c r="H197" s="35">
        <f t="shared" si="1103"/>
        <v>6.3031993800509234</v>
      </c>
      <c r="I197" s="35">
        <f t="shared" ref="I197:J197" si="1104">+I143</f>
        <v>5.7349490702814654</v>
      </c>
      <c r="J197" s="35">
        <f t="shared" si="1104"/>
        <v>5.5794859112478186</v>
      </c>
      <c r="K197" s="35">
        <f t="shared" si="1089"/>
        <v>3.9296137339055792</v>
      </c>
      <c r="L197" s="35">
        <f t="shared" ref="L197" si="1105">+L143</f>
        <v>4.0575107296137336</v>
      </c>
      <c r="M197" s="35">
        <f t="shared" si="1089"/>
        <v>2.9178743961352658</v>
      </c>
      <c r="N197" s="35">
        <f t="shared" ref="N197" si="1106">+N143</f>
        <v>2.8951279933938898</v>
      </c>
      <c r="O197" s="35">
        <f t="shared" ref="O197" si="1107">+O143</f>
        <v>2.5703041144901615</v>
      </c>
      <c r="P197" s="35"/>
      <c r="Q197" s="35">
        <f t="shared" si="1093"/>
        <v>0</v>
      </c>
      <c r="R197" s="35">
        <f t="shared" si="1093"/>
        <v>3.9297949911144499</v>
      </c>
      <c r="S197" s="35">
        <f t="shared" si="1093"/>
        <v>4.0029257264445777</v>
      </c>
      <c r="T197" s="35">
        <f t="shared" ref="T197:V197" si="1108">+T143</f>
        <v>3.8235483042137717</v>
      </c>
      <c r="U197" s="35">
        <f t="shared" ref="U197" si="1109">+U143</f>
        <v>5.1166291018833325</v>
      </c>
      <c r="V197" s="35">
        <f t="shared" si="1108"/>
        <v>6.3031993800509234</v>
      </c>
      <c r="W197" s="35">
        <f t="shared" ref="W197:X197" si="1110">+W143</f>
        <v>5.8694072620597204</v>
      </c>
      <c r="X197" s="35">
        <f t="shared" si="1110"/>
        <v>5.7349490702814654</v>
      </c>
      <c r="Y197" s="35">
        <f t="shared" ref="Y197:AA197" si="1111">+Y143</f>
        <v>5.0065606454005938</v>
      </c>
      <c r="Z197" s="35">
        <f t="shared" si="1111"/>
        <v>3.9296137339055792</v>
      </c>
      <c r="AA197" s="35">
        <f t="shared" si="1111"/>
        <v>3.6483985765124558</v>
      </c>
      <c r="AB197" s="35">
        <f t="shared" ref="AB197:AC197" si="1112">+AB143</f>
        <v>2.9178743961352658</v>
      </c>
      <c r="AC197" s="35">
        <f t="shared" si="1112"/>
        <v>2.6602537863282842</v>
      </c>
      <c r="AD197" s="35">
        <f t="shared" ref="AD197" si="1113">+AD143</f>
        <v>2.8951279933938898</v>
      </c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  <c r="AP197" s="145"/>
      <c r="AQ197" s="145"/>
      <c r="AR197" s="145"/>
      <c r="AS197" s="145"/>
      <c r="AT197" s="145"/>
      <c r="AU197" s="145"/>
      <c r="AV197" s="145"/>
      <c r="AW197" s="35">
        <f t="shared" si="1100"/>
        <v>3.9296137339055792</v>
      </c>
      <c r="AX197" s="35">
        <f t="shared" si="1100"/>
        <v>7.624542096233208</v>
      </c>
      <c r="AY197" s="35">
        <f t="shared" si="1100"/>
        <v>4.4283261802575096</v>
      </c>
      <c r="AZ197" s="35">
        <f t="shared" si="1100"/>
        <v>4.6789699570815433</v>
      </c>
      <c r="BA197" s="35">
        <f t="shared" si="1101"/>
        <v>2.9193236714975845</v>
      </c>
      <c r="BB197" s="35">
        <f t="shared" si="1101"/>
        <v>2.5288655631812675</v>
      </c>
      <c r="BC197" s="35">
        <f t="shared" si="1101"/>
        <v>2.6602537863282847</v>
      </c>
      <c r="BD197" s="35">
        <f t="shared" si="1101"/>
        <v>2.9263248599741494</v>
      </c>
      <c r="BE197" s="35">
        <f t="shared" ref="BE197:BF197" si="1114">+BE143</f>
        <v>2.8951279933938898</v>
      </c>
      <c r="BF197" s="35">
        <f t="shared" si="1114"/>
        <v>2.5703041144901615</v>
      </c>
    </row>
    <row r="198" spans="2:59" customFormat="1" ht="15"/>
    <row r="199" spans="2:59" s="5" customFormat="1">
      <c r="B199" s="5" t="str">
        <f t="shared" ref="B199:F199" si="1115">+B145</f>
        <v xml:space="preserve">Gearing (Net debt / Equity) </v>
      </c>
      <c r="C199" s="52">
        <f t="shared" si="1115"/>
        <v>1.1623836573276449</v>
      </c>
      <c r="D199" s="52">
        <f t="shared" si="1115"/>
        <v>1.1569334385042429</v>
      </c>
      <c r="E199" s="52">
        <f t="shared" si="1115"/>
        <v>2.1877074198466233</v>
      </c>
      <c r="F199" s="52">
        <f t="shared" si="1115"/>
        <v>1.2795822302980937</v>
      </c>
      <c r="G199" s="52">
        <f t="shared" ref="G199:H199" si="1116">+G145</f>
        <v>1.3139623881464493</v>
      </c>
      <c r="H199" s="52">
        <f t="shared" si="1116"/>
        <v>0.88145796149341482</v>
      </c>
      <c r="I199" s="52">
        <f t="shared" ref="I199:J199" si="1117">+I145</f>
        <v>0.98657606740597104</v>
      </c>
      <c r="J199" s="52">
        <f t="shared" si="1117"/>
        <v>0.96173731783803718</v>
      </c>
      <c r="K199" s="52">
        <f t="shared" ref="K199:M199" si="1118">+K145</f>
        <v>1.01795067213673</v>
      </c>
      <c r="L199" s="52">
        <f t="shared" ref="L199" si="1119">+L145</f>
        <v>1.01795067213673</v>
      </c>
      <c r="M199" s="52">
        <f t="shared" si="1118"/>
        <v>0.98543095004897163</v>
      </c>
      <c r="N199" s="52">
        <f>+N145</f>
        <v>1.0068540095956131</v>
      </c>
      <c r="O199" s="52">
        <f t="shared" ref="O199" si="1120">+O145</f>
        <v>1.0074425678011014</v>
      </c>
      <c r="P199" s="34"/>
      <c r="Q199" s="52">
        <f t="shared" ref="Q199:V199" si="1121">+Q145</f>
        <v>0</v>
      </c>
      <c r="R199" s="52">
        <f t="shared" si="1121"/>
        <v>1.2795822302980937</v>
      </c>
      <c r="S199" s="52">
        <f t="shared" si="1121"/>
        <v>1.2953775327085966</v>
      </c>
      <c r="T199" s="52">
        <f t="shared" si="1121"/>
        <v>1.3139623881464493</v>
      </c>
      <c r="U199" s="52">
        <f t="shared" si="1121"/>
        <v>0.78777920451579908</v>
      </c>
      <c r="V199" s="52">
        <f t="shared" si="1121"/>
        <v>0.88145796149341482</v>
      </c>
      <c r="W199" s="52">
        <f t="shared" ref="W199:X199" si="1122">+W145</f>
        <v>0.94075200107947965</v>
      </c>
      <c r="X199" s="52">
        <f t="shared" si="1122"/>
        <v>0.98657606740597104</v>
      </c>
      <c r="Y199" s="52">
        <f t="shared" ref="Y199:AA199" si="1123">+Y145</f>
        <v>1.0047696152627688</v>
      </c>
      <c r="Z199" s="52">
        <f t="shared" si="1123"/>
        <v>1.01795067213673</v>
      </c>
      <c r="AA199" s="52">
        <f t="shared" si="1123"/>
        <v>1.0223619218679838</v>
      </c>
      <c r="AB199" s="52">
        <f t="shared" ref="AB199:AC199" si="1124">+AB145</f>
        <v>0.98543095004897163</v>
      </c>
      <c r="AC199" s="52">
        <f t="shared" si="1124"/>
        <v>0.96214795343597448</v>
      </c>
      <c r="AD199" s="52">
        <f t="shared" ref="AD199" si="1125">+AD145</f>
        <v>1.0068540095956131</v>
      </c>
      <c r="AF199" s="147"/>
      <c r="AG199" s="52">
        <f t="shared" ref="AG199:AK199" si="1126">+AG145</f>
        <v>1.2795822302980937</v>
      </c>
      <c r="AH199" s="147"/>
      <c r="AI199" s="52">
        <f t="shared" si="1126"/>
        <v>1.2953775327085966</v>
      </c>
      <c r="AJ199" s="52">
        <f t="shared" si="1126"/>
        <v>1.3023525098207176</v>
      </c>
      <c r="AK199" s="52">
        <f t="shared" si="1126"/>
        <v>1.3139623881464493</v>
      </c>
      <c r="AL199" s="52">
        <f>+AL145</f>
        <v>0.72904291041081704</v>
      </c>
      <c r="AM199" s="52">
        <f>+AM145</f>
        <v>0.78777920451579908</v>
      </c>
      <c r="AN199" s="52">
        <f t="shared" ref="AN199:AP199" si="1127">+AN145</f>
        <v>0.91695394363817184</v>
      </c>
      <c r="AO199" s="52">
        <f t="shared" si="1127"/>
        <v>0.88145796149341482</v>
      </c>
      <c r="AP199" s="52">
        <f t="shared" si="1127"/>
        <v>0.93068935200631187</v>
      </c>
      <c r="AQ199" s="52">
        <f t="shared" ref="AQ199:AT199" si="1128">+AQ145</f>
        <v>0.94075200107947965</v>
      </c>
      <c r="AR199" s="52">
        <f t="shared" si="1128"/>
        <v>0.9735596535421821</v>
      </c>
      <c r="AS199" s="52">
        <f t="shared" si="1128"/>
        <v>0.98657606740597104</v>
      </c>
      <c r="AT199" s="52">
        <f t="shared" si="1128"/>
        <v>1.0004975858644225</v>
      </c>
      <c r="AU199" s="52">
        <f t="shared" ref="AU199:AX199" si="1129">+AU145</f>
        <v>1.0047696152627688</v>
      </c>
      <c r="AV199" s="52">
        <f t="shared" si="1129"/>
        <v>1.0003719043191617</v>
      </c>
      <c r="AW199" s="52">
        <f t="shared" si="1129"/>
        <v>1.01795067213673</v>
      </c>
      <c r="AX199" s="52">
        <f t="shared" si="1129"/>
        <v>1.0056501596444001</v>
      </c>
      <c r="AY199" s="52">
        <f t="shared" ref="AY199:BB199" si="1130">+AY145</f>
        <v>1.0223619218679838</v>
      </c>
      <c r="AZ199" s="52">
        <f t="shared" si="1130"/>
        <v>0.9708358132811834</v>
      </c>
      <c r="BA199" s="52">
        <f t="shared" si="1130"/>
        <v>0.98543095004897163</v>
      </c>
      <c r="BB199" s="52">
        <f t="shared" si="1130"/>
        <v>0.97410785978491243</v>
      </c>
      <c r="BC199" s="52">
        <f t="shared" ref="BC199:BF199" si="1131">+BC145</f>
        <v>0.96214795343597448</v>
      </c>
      <c r="BD199" s="52">
        <f t="shared" si="1131"/>
        <v>0.9685707007605624</v>
      </c>
      <c r="BE199" s="52">
        <f t="shared" si="1131"/>
        <v>1.0068540095956131</v>
      </c>
      <c r="BF199" s="52">
        <f t="shared" si="1131"/>
        <v>1.0074425678011014</v>
      </c>
    </row>
    <row r="200" spans="2:59" s="5" customFormat="1"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34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F200" s="147"/>
      <c r="AG200" s="52"/>
      <c r="AH200" s="147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</row>
    <row r="201" spans="2:59" s="5" customFormat="1">
      <c r="B201" s="5" t="str">
        <f t="shared" ref="B201:F201" si="1132">+B147</f>
        <v>Loan to value (LTV)</v>
      </c>
      <c r="C201" s="52">
        <f t="shared" si="1132"/>
        <v>0.51</v>
      </c>
      <c r="D201" s="52">
        <f t="shared" si="1132"/>
        <v>0.49</v>
      </c>
      <c r="E201" s="52">
        <f t="shared" si="1132"/>
        <v>0.48</v>
      </c>
      <c r="F201" s="52">
        <f t="shared" si="1132"/>
        <v>0.498</v>
      </c>
      <c r="G201" s="52">
        <f t="shared" ref="G201:H201" si="1133">+G147</f>
        <v>0.51</v>
      </c>
      <c r="H201" s="52">
        <f t="shared" si="1133"/>
        <v>0.42799999999999999</v>
      </c>
      <c r="I201" s="52">
        <f t="shared" ref="I201:J201" si="1134">+I147</f>
        <v>0.45</v>
      </c>
      <c r="J201" s="52">
        <f t="shared" si="1134"/>
        <v>0.45400000000000001</v>
      </c>
      <c r="K201" s="52">
        <f t="shared" ref="K201:M201" si="1135">+K147</f>
        <v>0.46</v>
      </c>
      <c r="L201" s="52">
        <f t="shared" ref="L201" si="1136">+L147</f>
        <v>0.46</v>
      </c>
      <c r="M201" s="52">
        <f t="shared" si="1135"/>
        <v>0.45300000000000001</v>
      </c>
      <c r="N201" s="52">
        <f t="shared" ref="N201" si="1137">+N147</f>
        <v>0.46100000000000002</v>
      </c>
      <c r="O201" s="52">
        <f t="shared" ref="O201" si="1138">+O147</f>
        <v>0.46400000000000002</v>
      </c>
      <c r="P201" s="34"/>
      <c r="Q201" s="52">
        <f t="shared" ref="Q201:V201" si="1139">+Q147</f>
        <v>0</v>
      </c>
      <c r="R201" s="52">
        <f t="shared" si="1139"/>
        <v>0.498</v>
      </c>
      <c r="S201" s="52">
        <f t="shared" si="1139"/>
        <v>0.496</v>
      </c>
      <c r="T201" s="52">
        <f t="shared" si="1139"/>
        <v>0.51</v>
      </c>
      <c r="U201" s="52">
        <f t="shared" si="1139"/>
        <v>0.40200000000000002</v>
      </c>
      <c r="V201" s="52">
        <f t="shared" si="1139"/>
        <v>0.42799999999999999</v>
      </c>
      <c r="W201" s="52">
        <f t="shared" ref="W201:X201" si="1140">+W147</f>
        <v>0.439</v>
      </c>
      <c r="X201" s="52">
        <f t="shared" si="1140"/>
        <v>0.45</v>
      </c>
      <c r="Y201" s="52">
        <f t="shared" ref="Y201:AA201" si="1141">+Y147</f>
        <v>0.45900000000000002</v>
      </c>
      <c r="Z201" s="52">
        <f t="shared" si="1141"/>
        <v>0.46</v>
      </c>
      <c r="AA201" s="52">
        <f t="shared" si="1141"/>
        <v>0.46200000000000002</v>
      </c>
      <c r="AB201" s="52">
        <f t="shared" ref="AB201:AC201" si="1142">+AB147</f>
        <v>0.45300000000000001</v>
      </c>
      <c r="AC201" s="52">
        <f t="shared" si="1142"/>
        <v>0.44900000000000001</v>
      </c>
      <c r="AD201" s="52">
        <f t="shared" ref="AD201" si="1143">+AD147</f>
        <v>0.46100000000000002</v>
      </c>
      <c r="AF201" s="147"/>
      <c r="AG201" s="52">
        <f t="shared" ref="AG201:AK201" si="1144">+AG147</f>
        <v>0.498</v>
      </c>
      <c r="AH201" s="147"/>
      <c r="AI201" s="52">
        <f t="shared" si="1144"/>
        <v>0.496</v>
      </c>
      <c r="AJ201" s="52">
        <f t="shared" si="1144"/>
        <v>0.5</v>
      </c>
      <c r="AK201" s="52">
        <f t="shared" si="1144"/>
        <v>0.51</v>
      </c>
      <c r="AL201" s="52">
        <f>+AL147</f>
        <v>0.38100000000000001</v>
      </c>
      <c r="AM201" s="52">
        <f>+AM147</f>
        <v>0.40200000000000002</v>
      </c>
      <c r="AN201" s="52">
        <f t="shared" ref="AN201:AO201" si="1145">+AN147</f>
        <v>0.437</v>
      </c>
      <c r="AO201" s="52">
        <f t="shared" si="1145"/>
        <v>0.42799999999999999</v>
      </c>
      <c r="AP201" s="52">
        <f>+AP147</f>
        <v>0.441</v>
      </c>
      <c r="AQ201" s="52">
        <f>+AQ147</f>
        <v>0.439</v>
      </c>
      <c r="AR201" s="52">
        <f t="shared" ref="AR201:AS201" si="1146">+AR147</f>
        <v>0.45</v>
      </c>
      <c r="AS201" s="52">
        <f t="shared" si="1146"/>
        <v>0.45</v>
      </c>
      <c r="AT201" s="52">
        <f>+AT147</f>
        <v>0.45900000000000002</v>
      </c>
      <c r="AU201" s="52">
        <f>+AU147</f>
        <v>0.45900000000000002</v>
      </c>
      <c r="AV201" s="52">
        <f t="shared" ref="AV201:AW201" si="1147">+AV147</f>
        <v>0.45700000000000002</v>
      </c>
      <c r="AW201" s="52">
        <f t="shared" si="1147"/>
        <v>0.46</v>
      </c>
      <c r="AX201" s="52">
        <f>+AX147</f>
        <v>0.45900000000000002</v>
      </c>
      <c r="AY201" s="52">
        <f>+AY147</f>
        <v>0.46200000000000002</v>
      </c>
      <c r="AZ201" s="52">
        <f>+AZ147</f>
        <v>0.44900000000000001</v>
      </c>
      <c r="BA201" s="52">
        <f t="shared" ref="BA201" si="1148">+BA147</f>
        <v>0.45300000000000001</v>
      </c>
      <c r="BB201" s="52">
        <f>+BB147</f>
        <v>0.45300000000000001</v>
      </c>
      <c r="BC201" s="52">
        <f>+BC147</f>
        <v>0.44900000000000001</v>
      </c>
      <c r="BD201" s="52">
        <f>+BD147</f>
        <v>0.45200000000000001</v>
      </c>
      <c r="BE201" s="52">
        <f t="shared" ref="BE201" si="1149">+BE147</f>
        <v>0.46100000000000002</v>
      </c>
      <c r="BF201" s="52">
        <f>+BF147</f>
        <v>0.46400000000000002</v>
      </c>
      <c r="BG201" s="1"/>
    </row>
    <row r="202" spans="2:59">
      <c r="P202" s="34"/>
      <c r="AE202" s="5"/>
    </row>
    <row r="203" spans="2:59" ht="11.25" customHeight="1">
      <c r="B203" s="273" t="s">
        <v>306</v>
      </c>
      <c r="C203" s="225">
        <v>0.90400000000000003</v>
      </c>
      <c r="D203" s="225">
        <v>0.88680000000000003</v>
      </c>
      <c r="E203" s="225">
        <v>0.84770000000000001</v>
      </c>
      <c r="F203" s="225">
        <v>0.89339999999999997</v>
      </c>
      <c r="G203" s="225">
        <v>0.877</v>
      </c>
      <c r="H203" s="225">
        <f>1/1.1826</f>
        <v>0.84559445290038893</v>
      </c>
      <c r="I203" s="225">
        <f>I205</f>
        <v>0.93970066624261994</v>
      </c>
      <c r="J203" s="225">
        <f>J205</f>
        <v>0.9486756662426199</v>
      </c>
      <c r="K203" s="225">
        <v>0.92459999999999998</v>
      </c>
      <c r="L203" s="225">
        <v>0.92459999999999998</v>
      </c>
      <c r="M203" s="226">
        <f>AVERAGE(AX203:BA203)</f>
        <v>0.92437499999999995</v>
      </c>
      <c r="N203" s="226">
        <f>AVERAGE(BB203:BE203)</f>
        <v>0.89358749999999998</v>
      </c>
      <c r="O203" s="226">
        <f>AVERAGE(BC203:BF203)</f>
        <v>0.87061569280710738</v>
      </c>
      <c r="P203" s="34"/>
      <c r="Q203" s="225">
        <v>0.88529999999999998</v>
      </c>
      <c r="R203" s="225">
        <v>0.90129999999999999</v>
      </c>
      <c r="S203" s="225">
        <v>0.89019999999999999</v>
      </c>
      <c r="T203" s="225">
        <v>1.123</v>
      </c>
      <c r="U203" s="225">
        <f>1/1.2049</f>
        <v>0.82994439372562034</v>
      </c>
      <c r="V203" s="225">
        <f>1/1.167</f>
        <v>0.85689802913453295</v>
      </c>
      <c r="W203" s="225">
        <f>1/1.0932</f>
        <v>0.91474570069520678</v>
      </c>
      <c r="X203" s="225">
        <f>1/1.0219</f>
        <v>0.97856933163714643</v>
      </c>
      <c r="Y203" s="225">
        <v>0.92510000000000003</v>
      </c>
      <c r="Z203" s="225">
        <f>1/1.0219</f>
        <v>0.97856933163714643</v>
      </c>
      <c r="AA203" s="225">
        <v>0.92469999999999997</v>
      </c>
      <c r="AB203" s="225">
        <v>0.92400000000000004</v>
      </c>
      <c r="AC203" s="225">
        <f>AVERAGE(BB203:BC203)</f>
        <v>0.92972500000000002</v>
      </c>
      <c r="AD203" s="225">
        <v>0.85750000000000004</v>
      </c>
      <c r="AE203" s="5"/>
      <c r="AF203" s="225">
        <v>0.89949999999999997</v>
      </c>
      <c r="AG203" s="225">
        <v>0.90310000000000001</v>
      </c>
      <c r="AH203" s="225">
        <v>0.90710000000000002</v>
      </c>
      <c r="AI203" s="225">
        <v>0.9083</v>
      </c>
      <c r="AJ203" s="225">
        <v>0.85560000000000003</v>
      </c>
      <c r="AK203" s="225">
        <v>0.83840000000000003</v>
      </c>
      <c r="AL203" s="225">
        <v>0.83009999999999995</v>
      </c>
      <c r="AM203" s="225">
        <v>1.1815</v>
      </c>
      <c r="AN203" s="225">
        <v>0.85070000000000001</v>
      </c>
      <c r="AO203" s="225">
        <f>1/1.1432</f>
        <v>0.87473757872638214</v>
      </c>
      <c r="AP203" s="225">
        <v>0.89600000000000002</v>
      </c>
      <c r="AQ203" s="225">
        <v>0.93910000000000005</v>
      </c>
      <c r="AR203" s="225">
        <f>AVERAGE(AP204:AR204)</f>
        <v>0.94513333333333327</v>
      </c>
      <c r="AS203" s="225">
        <f>1/1.0219</f>
        <v>0.97856933163714643</v>
      </c>
      <c r="AT203" s="225">
        <v>0.93189999999999995</v>
      </c>
      <c r="AU203" s="225">
        <v>0.91830000000000001</v>
      </c>
      <c r="AV203" s="225">
        <f>AVERAGE(AT204:AV204)</f>
        <v>0.9647</v>
      </c>
      <c r="AW203" s="225">
        <f>AVERAGE(AT204:AW204)</f>
        <v>0.95002500000000001</v>
      </c>
      <c r="AX203" s="225">
        <v>0.92079999999999995</v>
      </c>
      <c r="AY203" s="225">
        <v>0.92869999999999997</v>
      </c>
      <c r="AZ203" s="225">
        <v>0.91020000000000001</v>
      </c>
      <c r="BA203" s="225">
        <v>0.93779999999999997</v>
      </c>
      <c r="BB203" s="225">
        <v>0.94615000000000005</v>
      </c>
      <c r="BC203" s="225">
        <v>0.9133</v>
      </c>
      <c r="BD203" s="225">
        <v>0.85580000000000001</v>
      </c>
      <c r="BE203" s="225">
        <v>0.85909999999999997</v>
      </c>
      <c r="BF203" s="225">
        <f>1/1.1706</f>
        <v>0.85426277122842975</v>
      </c>
    </row>
    <row r="204" spans="2:59" ht="11.25" customHeight="1">
      <c r="B204" s="273" t="s">
        <v>307</v>
      </c>
      <c r="C204" s="225">
        <v>0.9506</v>
      </c>
      <c r="D204" s="225">
        <v>0.83299999999999996</v>
      </c>
      <c r="E204" s="225">
        <v>0.87219999999999998</v>
      </c>
      <c r="F204" s="225">
        <v>0.89190000000000003</v>
      </c>
      <c r="G204" s="225">
        <v>0.81859999999999999</v>
      </c>
      <c r="H204" s="225">
        <f>1/1.1368</f>
        <v>0.8796622097114708</v>
      </c>
      <c r="I204" s="225">
        <f>1/1.0702</f>
        <v>0.93440478415249484</v>
      </c>
      <c r="J204" s="225">
        <f>1/1.0702</f>
        <v>0.93440478415249484</v>
      </c>
      <c r="K204" s="225">
        <v>0.90600000000000003</v>
      </c>
      <c r="L204" s="225">
        <v>0.90600000000000003</v>
      </c>
      <c r="M204" s="226">
        <f>BA204</f>
        <v>0.96579999999999999</v>
      </c>
      <c r="N204" s="226">
        <f>BE204</f>
        <v>0.85140000000000005</v>
      </c>
      <c r="O204" s="226">
        <f>BF204</f>
        <v>0.86557604085518913</v>
      </c>
      <c r="P204" s="34"/>
      <c r="Q204" s="225">
        <v>0.87929999999999997</v>
      </c>
      <c r="R204" s="225">
        <f>+F204</f>
        <v>0.89190000000000003</v>
      </c>
      <c r="S204" s="225">
        <v>0.90769999999999995</v>
      </c>
      <c r="T204" s="225">
        <v>1.1229</v>
      </c>
      <c r="U204" s="225">
        <f>1/1.1855</f>
        <v>0.84352593842260648</v>
      </c>
      <c r="V204" s="225">
        <f>1/1.1368</f>
        <v>0.8796622097114708</v>
      </c>
      <c r="W204" s="225">
        <f>1/1.0439</f>
        <v>0.95794616342561545</v>
      </c>
      <c r="X204" s="225">
        <f>1/1.0702</f>
        <v>0.93440478415249484</v>
      </c>
      <c r="Y204" s="225">
        <v>0.92010000000000003</v>
      </c>
      <c r="Z204" s="225">
        <f>1/1.0702</f>
        <v>0.93440478415249484</v>
      </c>
      <c r="AA204" s="225">
        <v>0.93310000000000004</v>
      </c>
      <c r="AB204" s="225">
        <f>M204</f>
        <v>0.96579999999999999</v>
      </c>
      <c r="AC204" s="225">
        <v>0.86819999999999997</v>
      </c>
      <c r="AD204" s="226">
        <f>N204</f>
        <v>0.85140000000000005</v>
      </c>
      <c r="AE204" s="5"/>
      <c r="AF204" s="225">
        <v>0.91759999999999997</v>
      </c>
      <c r="AG204" s="226">
        <f>F204</f>
        <v>0.89190000000000003</v>
      </c>
      <c r="AH204" s="225">
        <v>0.90639999999999998</v>
      </c>
      <c r="AI204" s="225">
        <v>0.89019999999999999</v>
      </c>
      <c r="AJ204" s="225">
        <v>0.85319999999999996</v>
      </c>
      <c r="AK204" s="226">
        <f>G204</f>
        <v>0.81859999999999999</v>
      </c>
      <c r="AL204" s="225">
        <v>0.85250000000000004</v>
      </c>
      <c r="AM204" s="225">
        <v>1.1855</v>
      </c>
      <c r="AN204" s="225">
        <v>0.86319999999999997</v>
      </c>
      <c r="AO204" s="226">
        <f>H204</f>
        <v>0.8796622097114708</v>
      </c>
      <c r="AP204" s="225">
        <v>0.86080000000000001</v>
      </c>
      <c r="AQ204" s="225">
        <v>0.95760000000000001</v>
      </c>
      <c r="AR204" s="225">
        <v>1.0169999999999999</v>
      </c>
      <c r="AS204" s="226">
        <f>I204</f>
        <v>0.93440478415249484</v>
      </c>
      <c r="AT204" s="225">
        <v>0.91700000000000004</v>
      </c>
      <c r="AU204" s="225">
        <v>0.92010000000000003</v>
      </c>
      <c r="AV204" s="225">
        <v>1.0569999999999999</v>
      </c>
      <c r="AW204" s="225">
        <f>K204</f>
        <v>0.90600000000000003</v>
      </c>
      <c r="AX204" s="225">
        <v>0.9264</v>
      </c>
      <c r="AY204" s="225">
        <v>0.93310000000000004</v>
      </c>
      <c r="AZ204" s="225">
        <v>0.89810000000000001</v>
      </c>
      <c r="BA204" s="225">
        <v>0.96579999999999999</v>
      </c>
      <c r="BB204" s="225">
        <v>0.92649999999999999</v>
      </c>
      <c r="BC204" s="225">
        <v>0.86819999999999997</v>
      </c>
      <c r="BD204" s="225">
        <v>0.85229999999999995</v>
      </c>
      <c r="BE204" s="225">
        <v>0.85140000000000005</v>
      </c>
      <c r="BF204" s="225">
        <f>1/1.1553</f>
        <v>0.86557604085518913</v>
      </c>
      <c r="BG204" s="313"/>
    </row>
    <row r="205" spans="2:59" ht="11.25" customHeight="1">
      <c r="B205" s="273" t="s">
        <v>163</v>
      </c>
      <c r="C205" s="226">
        <f t="shared" ref="C205:H205" si="1150">+C203</f>
        <v>0.90400000000000003</v>
      </c>
      <c r="D205" s="226">
        <f t="shared" si="1150"/>
        <v>0.88680000000000003</v>
      </c>
      <c r="E205" s="226">
        <f t="shared" si="1150"/>
        <v>0.84770000000000001</v>
      </c>
      <c r="F205" s="226">
        <f t="shared" si="1150"/>
        <v>0.89339999999999997</v>
      </c>
      <c r="G205" s="226">
        <f t="shared" si="1150"/>
        <v>0.877</v>
      </c>
      <c r="H205" s="226">
        <f t="shared" si="1150"/>
        <v>0.84559445290038893</v>
      </c>
      <c r="I205" s="226">
        <f>AS205</f>
        <v>0.93970066624261994</v>
      </c>
      <c r="J205" s="226">
        <f>AT205</f>
        <v>0.9486756662426199</v>
      </c>
      <c r="K205" s="226">
        <f>AW205</f>
        <v>0.94123125000000007</v>
      </c>
      <c r="L205" s="226">
        <f>L203</f>
        <v>0.92459999999999998</v>
      </c>
      <c r="M205" s="226">
        <f t="shared" ref="M205:O205" si="1151">M203</f>
        <v>0.92437499999999995</v>
      </c>
      <c r="N205" s="226">
        <f t="shared" si="1151"/>
        <v>0.89358749999999998</v>
      </c>
      <c r="O205" s="226">
        <f t="shared" si="1151"/>
        <v>0.87061569280710738</v>
      </c>
      <c r="P205" s="34"/>
      <c r="Q205" s="226">
        <f>+AVERAGE(Q203:Q203)</f>
        <v>0.88529999999999998</v>
      </c>
      <c r="R205" s="226">
        <f t="shared" ref="R205:AD205" si="1152">+AVERAGE(Q203:R203)</f>
        <v>0.89329999999999998</v>
      </c>
      <c r="S205" s="226">
        <f t="shared" si="1152"/>
        <v>0.89575000000000005</v>
      </c>
      <c r="T205" s="226">
        <f t="shared" si="1152"/>
        <v>1.0065999999999999</v>
      </c>
      <c r="U205" s="226">
        <f t="shared" si="1152"/>
        <v>0.97647219686281017</v>
      </c>
      <c r="V205" s="226">
        <f t="shared" si="1152"/>
        <v>0.84342121143007664</v>
      </c>
      <c r="W205" s="226">
        <f t="shared" si="1152"/>
        <v>0.88582186491486992</v>
      </c>
      <c r="X205" s="226">
        <f t="shared" si="1152"/>
        <v>0.94665751616617655</v>
      </c>
      <c r="Y205" s="226">
        <f t="shared" si="1152"/>
        <v>0.95183466581857323</v>
      </c>
      <c r="Z205" s="226">
        <f t="shared" si="1152"/>
        <v>0.95183466581857323</v>
      </c>
      <c r="AA205" s="226">
        <f>+AVERAGE(Y203:AA203)</f>
        <v>0.94278977721238222</v>
      </c>
      <c r="AB205" s="226">
        <f t="shared" si="1152"/>
        <v>0.92435</v>
      </c>
      <c r="AC205" s="226">
        <f>+AVERAGE(AB203:AC203)</f>
        <v>0.92686250000000003</v>
      </c>
      <c r="AD205" s="226">
        <f t="shared" si="1152"/>
        <v>0.89361250000000003</v>
      </c>
      <c r="AE205" s="5"/>
      <c r="AF205" s="226">
        <v>0.88670000000000004</v>
      </c>
      <c r="AG205" s="226">
        <f>F205</f>
        <v>0.89339999999999997</v>
      </c>
      <c r="AH205" s="226">
        <v>0.89990000000000003</v>
      </c>
      <c r="AI205" s="226">
        <v>0.90439999999999998</v>
      </c>
      <c r="AJ205" s="226">
        <v>0.89339999999999997</v>
      </c>
      <c r="AK205" s="226">
        <f>G205</f>
        <v>0.877</v>
      </c>
      <c r="AL205" s="226">
        <v>0.85809999999999997</v>
      </c>
      <c r="AM205" s="226">
        <v>1.0379</v>
      </c>
      <c r="AN205" s="226">
        <f>AVERAGE(AK204:AN204)</f>
        <v>0.92995000000000005</v>
      </c>
      <c r="AO205" s="226">
        <f>H205</f>
        <v>0.84559445290038893</v>
      </c>
      <c r="AP205" s="226">
        <f>AVERAGE(AM203:AP203)</f>
        <v>0.95073439468159548</v>
      </c>
      <c r="AQ205" s="226">
        <f>AVERAGE(AN203:AQ203)</f>
        <v>0.89013439468159561</v>
      </c>
      <c r="AR205" s="226">
        <f>AVERAGE(AO204:AR204)</f>
        <v>0.92876555242786762</v>
      </c>
      <c r="AS205" s="226">
        <f>AVERAGE(AP203:AS203)</f>
        <v>0.93970066624261994</v>
      </c>
      <c r="AT205" s="226">
        <f>AVERAGE(AQ203:AT203)</f>
        <v>0.9486756662426199</v>
      </c>
      <c r="AU205" s="226">
        <f>AVERAGE(AR203:AU203)</f>
        <v>0.94347566624261991</v>
      </c>
      <c r="AV205" s="226">
        <f>AVERAGE(AS204:AV204)</f>
        <v>0.95712619603812377</v>
      </c>
      <c r="AW205" s="226">
        <f t="shared" ref="AW205:BF205" si="1153">AVERAGE(AT203:AW203)</f>
        <v>0.94123125000000007</v>
      </c>
      <c r="AX205" s="226">
        <f t="shared" si="1153"/>
        <v>0.93845624999999999</v>
      </c>
      <c r="AY205" s="226">
        <f t="shared" si="1153"/>
        <v>0.94105625000000004</v>
      </c>
      <c r="AZ205" s="226">
        <f t="shared" si="1153"/>
        <v>0.92743125000000004</v>
      </c>
      <c r="BA205" s="226">
        <f t="shared" si="1153"/>
        <v>0.92437499999999995</v>
      </c>
      <c r="BB205" s="226">
        <f t="shared" si="1153"/>
        <v>0.93071250000000005</v>
      </c>
      <c r="BC205" s="226">
        <f>AVERAGE(AZ203:BC203)</f>
        <v>0.92686250000000003</v>
      </c>
      <c r="BD205" s="226">
        <f t="shared" si="1153"/>
        <v>0.91326249999999998</v>
      </c>
      <c r="BE205" s="226">
        <f t="shared" si="1153"/>
        <v>0.89358749999999998</v>
      </c>
      <c r="BF205" s="226">
        <f t="shared" si="1153"/>
        <v>0.87061569280710738</v>
      </c>
    </row>
    <row r="206" spans="2:59">
      <c r="B206" s="5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180"/>
      <c r="P206" s="34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  <c r="AA206" s="280"/>
      <c r="AB206" s="280"/>
      <c r="AC206" s="280"/>
      <c r="AD206" s="280"/>
      <c r="AE206" s="5"/>
      <c r="AF206" s="280"/>
      <c r="AG206" s="280"/>
      <c r="AH206" s="280"/>
      <c r="AI206" s="280"/>
      <c r="AJ206" s="280"/>
      <c r="AK206" s="280"/>
      <c r="AL206" s="280"/>
      <c r="AM206" s="280"/>
      <c r="AN206" s="280"/>
      <c r="AO206" s="280"/>
      <c r="AP206" s="280"/>
      <c r="AQ206" s="280"/>
      <c r="AR206" s="280"/>
      <c r="AS206" s="280"/>
      <c r="AT206" s="280"/>
      <c r="AU206" s="280"/>
      <c r="AV206" s="280"/>
      <c r="AW206" s="280"/>
      <c r="AX206" s="280"/>
      <c r="AY206" s="280"/>
      <c r="BA206" s="280"/>
      <c r="BB206" s="280"/>
      <c r="BE206" s="280"/>
      <c r="BF206" s="280"/>
    </row>
    <row r="207" spans="2:59">
      <c r="B207" s="6" t="s">
        <v>308</v>
      </c>
      <c r="C207" s="7">
        <f>C3</f>
        <v>42735</v>
      </c>
      <c r="D207" s="7">
        <f>D3</f>
        <v>43100</v>
      </c>
      <c r="E207" s="7">
        <f>E3</f>
        <v>43465</v>
      </c>
      <c r="F207" s="7">
        <f>F3</f>
        <v>43830</v>
      </c>
      <c r="G207" s="7">
        <f>G3</f>
        <v>44196</v>
      </c>
      <c r="H207" s="7">
        <f>H3</f>
        <v>44561</v>
      </c>
      <c r="I207" s="7">
        <f>I3</f>
        <v>44926</v>
      </c>
      <c r="J207" s="7">
        <f>J3</f>
        <v>44926</v>
      </c>
      <c r="K207" s="7">
        <f>K3</f>
        <v>45291</v>
      </c>
      <c r="L207" s="7">
        <f>L3</f>
        <v>45291</v>
      </c>
      <c r="M207" s="7">
        <f>M3</f>
        <v>45657</v>
      </c>
      <c r="N207" s="7">
        <f>N3</f>
        <v>46022</v>
      </c>
      <c r="O207" s="7">
        <f>O3</f>
        <v>46112</v>
      </c>
      <c r="P207" s="219"/>
      <c r="Q207" s="7">
        <f>Q3</f>
        <v>43646</v>
      </c>
      <c r="R207" s="7">
        <f>R3</f>
        <v>43830</v>
      </c>
      <c r="S207" s="7">
        <f>S3</f>
        <v>44012</v>
      </c>
      <c r="T207" s="7">
        <f>T3</f>
        <v>44196</v>
      </c>
      <c r="U207" s="7">
        <f>U3</f>
        <v>44377</v>
      </c>
      <c r="V207" s="7">
        <f>V3</f>
        <v>44561</v>
      </c>
      <c r="W207" s="7">
        <f>W3</f>
        <v>44742</v>
      </c>
      <c r="X207" s="7">
        <f>X3</f>
        <v>44926</v>
      </c>
      <c r="Y207" s="7">
        <f>Y3</f>
        <v>45107</v>
      </c>
      <c r="Z207" s="7">
        <f>Z3</f>
        <v>45291</v>
      </c>
      <c r="AA207" s="7">
        <f>AA3</f>
        <v>45473</v>
      </c>
      <c r="AB207" s="7">
        <f>AB3</f>
        <v>45657</v>
      </c>
      <c r="AC207" s="7">
        <f>AC3</f>
        <v>45838</v>
      </c>
      <c r="AD207" s="7">
        <f>AD3</f>
        <v>46022</v>
      </c>
      <c r="AE207" s="5"/>
      <c r="AF207" s="7">
        <f>AF3</f>
        <v>43738</v>
      </c>
      <c r="AG207" s="7">
        <f>AG3</f>
        <v>43830</v>
      </c>
      <c r="AH207" s="7">
        <f>AH3</f>
        <v>43920</v>
      </c>
      <c r="AI207" s="7">
        <f>AI3</f>
        <v>44012</v>
      </c>
      <c r="AJ207" s="7">
        <f>AJ3</f>
        <v>44104</v>
      </c>
      <c r="AK207" s="7">
        <f>AK3</f>
        <v>44196</v>
      </c>
      <c r="AL207" s="7">
        <f>AL3</f>
        <v>44285</v>
      </c>
      <c r="AM207" s="7">
        <f>AM3</f>
        <v>44377</v>
      </c>
      <c r="AN207" s="7">
        <f>AN3</f>
        <v>44469</v>
      </c>
      <c r="AO207" s="7">
        <f>AO3</f>
        <v>44561</v>
      </c>
      <c r="AP207" s="7">
        <f>AP3</f>
        <v>44651</v>
      </c>
      <c r="AQ207" s="7">
        <f>AQ3</f>
        <v>44742</v>
      </c>
      <c r="AR207" s="7">
        <f>AR3</f>
        <v>44834</v>
      </c>
      <c r="AS207" s="7">
        <f>AS3</f>
        <v>44926</v>
      </c>
      <c r="AT207" s="7">
        <f>AT3</f>
        <v>45016</v>
      </c>
      <c r="AU207" s="7">
        <f>AU3</f>
        <v>45107</v>
      </c>
      <c r="AV207" s="7">
        <f>AV3</f>
        <v>45199</v>
      </c>
      <c r="AW207" s="7">
        <f>AW3</f>
        <v>45291</v>
      </c>
      <c r="AX207" s="7">
        <f>AX3</f>
        <v>45382</v>
      </c>
      <c r="AY207" s="7">
        <f>AY3</f>
        <v>45473</v>
      </c>
      <c r="AZ207" s="7">
        <f>AZ3</f>
        <v>45565</v>
      </c>
      <c r="BA207" s="7">
        <f>BA3</f>
        <v>45657</v>
      </c>
      <c r="BB207" s="7">
        <f>BB3</f>
        <v>45747</v>
      </c>
      <c r="BC207" s="7">
        <f>BC3</f>
        <v>45838</v>
      </c>
      <c r="BD207" s="7">
        <f>BD3</f>
        <v>45930</v>
      </c>
      <c r="BE207" s="7">
        <f>BE3</f>
        <v>46022</v>
      </c>
      <c r="BF207" s="7">
        <f>BF3</f>
        <v>46112</v>
      </c>
    </row>
    <row r="208" spans="2:59">
      <c r="B208" s="6"/>
      <c r="C208" s="7" t="s">
        <v>167</v>
      </c>
      <c r="D208" s="7" t="s">
        <v>167</v>
      </c>
      <c r="E208" s="7" t="s">
        <v>167</v>
      </c>
      <c r="F208" s="7" t="s">
        <v>167</v>
      </c>
      <c r="G208" s="7" t="s">
        <v>167</v>
      </c>
      <c r="H208" s="7" t="s">
        <v>167</v>
      </c>
      <c r="I208" s="7" t="s">
        <v>167</v>
      </c>
      <c r="J208" s="7" t="s">
        <v>167</v>
      </c>
      <c r="K208" s="7" t="s">
        <v>167</v>
      </c>
      <c r="L208" s="7" t="s">
        <v>167</v>
      </c>
      <c r="M208" s="7" t="s">
        <v>167</v>
      </c>
      <c r="N208" s="7" t="s">
        <v>167</v>
      </c>
      <c r="O208" s="7" t="s">
        <v>167</v>
      </c>
      <c r="P208" s="219"/>
      <c r="Q208" s="7" t="s">
        <v>167</v>
      </c>
      <c r="R208" s="7" t="s">
        <v>167</v>
      </c>
      <c r="S208" s="7" t="s">
        <v>167</v>
      </c>
      <c r="T208" s="7" t="s">
        <v>167</v>
      </c>
      <c r="U208" s="7" t="s">
        <v>167</v>
      </c>
      <c r="V208" s="7" t="s">
        <v>167</v>
      </c>
      <c r="W208" s="7" t="s">
        <v>167</v>
      </c>
      <c r="X208" s="7" t="s">
        <v>167</v>
      </c>
      <c r="Y208" s="7" t="s">
        <v>167</v>
      </c>
      <c r="Z208" s="7" t="s">
        <v>167</v>
      </c>
      <c r="AA208" s="7" t="s">
        <v>167</v>
      </c>
      <c r="AB208" s="7" t="s">
        <v>167</v>
      </c>
      <c r="AC208" s="7" t="s">
        <v>167</v>
      </c>
      <c r="AD208" s="7" t="s">
        <v>167</v>
      </c>
      <c r="AF208" s="7" t="s">
        <v>167</v>
      </c>
      <c r="AG208" s="7" t="s">
        <v>167</v>
      </c>
      <c r="AH208" s="7" t="s">
        <v>167</v>
      </c>
      <c r="AI208" s="7" t="s">
        <v>167</v>
      </c>
      <c r="AJ208" s="7" t="s">
        <v>167</v>
      </c>
      <c r="AK208" s="7" t="s">
        <v>167</v>
      </c>
      <c r="AL208" s="7" t="s">
        <v>167</v>
      </c>
      <c r="AM208" s="7" t="s">
        <v>167</v>
      </c>
      <c r="AN208" s="7" t="s">
        <v>167</v>
      </c>
      <c r="AO208" s="7" t="s">
        <v>167</v>
      </c>
      <c r="AP208" s="7" t="s">
        <v>167</v>
      </c>
      <c r="AQ208" s="7" t="s">
        <v>167</v>
      </c>
      <c r="AR208" s="7" t="s">
        <v>167</v>
      </c>
      <c r="AS208" s="7" t="s">
        <v>167</v>
      </c>
      <c r="AT208" s="7" t="s">
        <v>167</v>
      </c>
      <c r="AU208" s="7" t="s">
        <v>167</v>
      </c>
      <c r="AV208" s="7" t="s">
        <v>167</v>
      </c>
      <c r="AW208" s="7" t="s">
        <v>167</v>
      </c>
      <c r="AX208" s="7" t="s">
        <v>167</v>
      </c>
      <c r="AY208" s="7" t="s">
        <v>167</v>
      </c>
      <c r="AZ208" s="7" t="s">
        <v>167</v>
      </c>
      <c r="BA208" s="7" t="s">
        <v>167</v>
      </c>
      <c r="BB208" s="7" t="s">
        <v>167</v>
      </c>
      <c r="BC208" s="7" t="s">
        <v>167</v>
      </c>
      <c r="BD208" s="7" t="s">
        <v>167</v>
      </c>
      <c r="BE208" s="7" t="s">
        <v>167</v>
      </c>
      <c r="BF208" s="7" t="s">
        <v>167</v>
      </c>
    </row>
    <row r="209" spans="2:58">
      <c r="B209" s="1" t="s">
        <v>298</v>
      </c>
      <c r="C209" s="19">
        <f t="shared" ref="C209:F210" si="1154">C151/C$203</f>
        <v>205.26106194690266</v>
      </c>
      <c r="D209" s="19">
        <f t="shared" si="1154"/>
        <v>243.01082543978347</v>
      </c>
      <c r="E209" s="19">
        <f t="shared" si="1154"/>
        <v>282.81467500294912</v>
      </c>
      <c r="F209" s="19">
        <f t="shared" si="1154"/>
        <v>275.47906872621451</v>
      </c>
      <c r="G209" s="19">
        <f t="shared" ref="G209:H209" si="1155">G151/G$203</f>
        <v>345.44013683010263</v>
      </c>
      <c r="H209" s="19">
        <f t="shared" si="1155"/>
        <v>394.5898638000001</v>
      </c>
      <c r="I209" s="19">
        <f t="shared" ref="I209:J209" si="1156">I151/I$203</f>
        <v>494.75010149664382</v>
      </c>
      <c r="J209" s="19">
        <f t="shared" si="1156"/>
        <v>490.130627932734</v>
      </c>
      <c r="K209" s="19">
        <f t="shared" ref="K209:M210" si="1157">K151/K$203</f>
        <v>599.17802292883414</v>
      </c>
      <c r="L209" s="19">
        <f t="shared" si="1157"/>
        <v>603.1797534068786</v>
      </c>
      <c r="M209" s="19">
        <f t="shared" si="1157"/>
        <v>737.57944557133203</v>
      </c>
      <c r="N209" s="19">
        <f t="shared" ref="N209" si="1158">N151/N$203</f>
        <v>872.10262005679351</v>
      </c>
      <c r="O209" s="19">
        <f>O151/O$203</f>
        <v>920.15341168160023</v>
      </c>
      <c r="P209" s="19"/>
      <c r="Q209" s="19"/>
      <c r="R209" s="19">
        <f t="shared" ref="R209:AB209" si="1159">R151/AVERAGE(R$205)</f>
        <v>275.50990708608532</v>
      </c>
      <c r="S209" s="19">
        <f t="shared" si="1159"/>
        <v>323.00976835054416</v>
      </c>
      <c r="T209" s="19">
        <f t="shared" si="1159"/>
        <v>300.96463341943178</v>
      </c>
      <c r="U209" s="19">
        <f t="shared" si="1159"/>
        <v>317.01977894972458</v>
      </c>
      <c r="V209" s="19">
        <f t="shared" si="1159"/>
        <v>395.60660258265528</v>
      </c>
      <c r="W209" s="19">
        <f t="shared" si="1159"/>
        <v>435.11457017042733</v>
      </c>
      <c r="X209" s="19">
        <f t="shared" si="1159"/>
        <v>491.11425416326421</v>
      </c>
      <c r="Y209" s="19">
        <f t="shared" si="1159"/>
        <v>547.21163107887776</v>
      </c>
      <c r="Z209" s="19">
        <f t="shared" si="1159"/>
        <v>582.03385513760702</v>
      </c>
      <c r="AA209" s="19">
        <f t="shared" si="1159"/>
        <v>640.43969779275824</v>
      </c>
      <c r="AB209" s="19">
        <f t="shared" si="1159"/>
        <v>737.59939416887539</v>
      </c>
      <c r="AC209" s="19">
        <f>AC151/AVERAGE(AC$205)</f>
        <v>786.52443053851016</v>
      </c>
      <c r="AD209" s="19">
        <f t="shared" ref="AD209" si="1160">AD151/AVERAGE(AD$205)</f>
        <v>872.07822182433654</v>
      </c>
      <c r="AF209" s="148"/>
      <c r="AG209" s="19">
        <f>AG151/AG203</f>
        <v>272.52020817185252</v>
      </c>
      <c r="AH209" s="148"/>
      <c r="AI209" s="19">
        <f t="shared" ref="AI209:BC209" si="1161">AI151/AI205</f>
        <v>319.92038920831493</v>
      </c>
      <c r="AJ209" s="19">
        <f t="shared" si="1161"/>
        <v>337.21849115737643</v>
      </c>
      <c r="AK209" s="19">
        <f t="shared" si="1161"/>
        <v>345.44013683010263</v>
      </c>
      <c r="AL209" s="19">
        <f t="shared" si="1161"/>
        <v>359.2401817969934</v>
      </c>
      <c r="AM209" s="19">
        <f t="shared" si="1161"/>
        <v>298.25705751999232</v>
      </c>
      <c r="AN209" s="19">
        <f t="shared" si="1161"/>
        <v>346.13688908005804</v>
      </c>
      <c r="AO209" s="19">
        <f t="shared" si="1161"/>
        <v>394.5898638000001</v>
      </c>
      <c r="AP209" s="19">
        <f t="shared" si="1161"/>
        <v>379.76852633055319</v>
      </c>
      <c r="AQ209" s="19">
        <f t="shared" si="1161"/>
        <v>433.0065238495489</v>
      </c>
      <c r="AR209" s="19">
        <f t="shared" si="1161"/>
        <v>456.86879631870823</v>
      </c>
      <c r="AS209" s="19">
        <f t="shared" si="1161"/>
        <v>494.75010149664382</v>
      </c>
      <c r="AT209" s="19">
        <f t="shared" si="1161"/>
        <v>513.60862024618257</v>
      </c>
      <c r="AU209" s="19">
        <f t="shared" si="1161"/>
        <v>552.05981313148061</v>
      </c>
      <c r="AV209" s="19">
        <f t="shared" si="1161"/>
        <v>563.84100888040496</v>
      </c>
      <c r="AW209" s="19">
        <f t="shared" si="1161"/>
        <v>588.59074217945908</v>
      </c>
      <c r="AX209" s="19">
        <f t="shared" si="1161"/>
        <v>618.27922186036915</v>
      </c>
      <c r="AY209" s="19">
        <f t="shared" si="1161"/>
        <v>647.46395340342303</v>
      </c>
      <c r="AZ209" s="19">
        <f t="shared" si="1161"/>
        <v>687.49031262425115</v>
      </c>
      <c r="BA209" s="19">
        <f t="shared" si="1161"/>
        <v>737.90398918187987</v>
      </c>
      <c r="BB209" s="19">
        <f t="shared" si="1161"/>
        <v>759.20329854815532</v>
      </c>
      <c r="BC209" s="19">
        <f t="shared" si="1161"/>
        <v>786.52443053851039</v>
      </c>
      <c r="BD209" s="19">
        <f>BD151/BD205</f>
        <v>830.86735741366817</v>
      </c>
      <c r="BE209" s="19">
        <f t="shared" ref="BE209:BF209" si="1162">BE151/BE205</f>
        <v>872.10262005679351</v>
      </c>
      <c r="BF209" s="19">
        <f t="shared" si="1162"/>
        <v>920.15341168160023</v>
      </c>
    </row>
    <row r="210" spans="2:58">
      <c r="B210" s="1" t="s">
        <v>299</v>
      </c>
      <c r="C210" s="19">
        <f t="shared" si="1154"/>
        <v>182.47787610619471</v>
      </c>
      <c r="D210" s="19">
        <f t="shared" si="1154"/>
        <v>209.72823635543529</v>
      </c>
      <c r="E210" s="19">
        <f t="shared" si="1154"/>
        <v>239.70744367111004</v>
      </c>
      <c r="F210" s="19">
        <f t="shared" si="1154"/>
        <v>240.09402283411686</v>
      </c>
      <c r="G210" s="19">
        <f t="shared" ref="G210:H210" si="1163">G152/G$203</f>
        <v>271.49372862029645</v>
      </c>
      <c r="H210" s="19">
        <f t="shared" si="1163"/>
        <v>336.66729839999999</v>
      </c>
      <c r="I210" s="19">
        <f t="shared" ref="I210:J210" si="1164">I152/I$203</f>
        <v>394.84275506962689</v>
      </c>
      <c r="J210" s="19">
        <f t="shared" si="1164"/>
        <v>380.50517457636778</v>
      </c>
      <c r="K210" s="19">
        <f t="shared" si="1157"/>
        <v>495.1330304996755</v>
      </c>
      <c r="L210" s="19">
        <f t="shared" si="1157"/>
        <v>511.24810728963877</v>
      </c>
      <c r="M210" s="19">
        <f t="shared" si="1157"/>
        <v>653.41446923597027</v>
      </c>
      <c r="N210" s="19">
        <f t="shared" ref="N210" si="1165">N152/N$203</f>
        <v>784.70211367101717</v>
      </c>
      <c r="O210" s="19">
        <f>O152/O$203</f>
        <v>825.16316433911095</v>
      </c>
      <c r="P210" s="19"/>
      <c r="Q210" s="19"/>
      <c r="R210" s="19">
        <f t="shared" ref="R210:AB210" si="1166">R152/AVERAGE(R$205)</f>
        <v>240.12090003358335</v>
      </c>
      <c r="S210" s="19">
        <f t="shared" si="1166"/>
        <v>268.82500697739323</v>
      </c>
      <c r="T210" s="19">
        <f t="shared" si="1166"/>
        <v>236.53884363202863</v>
      </c>
      <c r="U210" s="19">
        <f t="shared" si="1166"/>
        <v>274.33039144445331</v>
      </c>
      <c r="V210" s="19">
        <f t="shared" si="1166"/>
        <v>337.53478824334917</v>
      </c>
      <c r="W210" s="19">
        <f t="shared" si="1166"/>
        <v>341.05728472736922</v>
      </c>
      <c r="X210" s="19">
        <f t="shared" si="1166"/>
        <v>391.94111245493832</v>
      </c>
      <c r="Y210" s="19">
        <f t="shared" si="1166"/>
        <v>453.78259009777264</v>
      </c>
      <c r="Z210" s="19">
        <f t="shared" si="1166"/>
        <v>480.96588245847732</v>
      </c>
      <c r="AA210" s="19">
        <f t="shared" si="1166"/>
        <v>543.70551356172234</v>
      </c>
      <c r="AB210" s="19">
        <f t="shared" si="1166"/>
        <v>653.43214150484118</v>
      </c>
      <c r="AC210" s="19">
        <f>AC152/AVERAGE(AC$205)</f>
        <v>701.1827536446882</v>
      </c>
      <c r="AD210" s="19">
        <f t="shared" ref="AD210" si="1167">AD152/AVERAGE(AD$205)</f>
        <v>784.68016058414582</v>
      </c>
      <c r="AF210" s="148"/>
      <c r="AG210" s="19">
        <f t="shared" ref="AG210" si="1168">AG152/AG$203</f>
        <v>237.51522533495736</v>
      </c>
      <c r="AH210" s="148"/>
      <c r="AI210" s="19">
        <f t="shared" ref="AI210:BC210" si="1169">AI152/AI$205</f>
        <v>266.25386996904024</v>
      </c>
      <c r="AJ210" s="19">
        <f t="shared" si="1169"/>
        <v>271.1987911349899</v>
      </c>
      <c r="AK210" s="19">
        <f t="shared" si="1169"/>
        <v>271.49372862029645</v>
      </c>
      <c r="AL210" s="19">
        <f t="shared" si="1169"/>
        <v>285.29775084488983</v>
      </c>
      <c r="AM210" s="19">
        <f t="shared" si="1169"/>
        <v>258.09422873109162</v>
      </c>
      <c r="AN210" s="19">
        <f t="shared" si="1169"/>
        <v>300.94736276143874</v>
      </c>
      <c r="AO210" s="19">
        <f t="shared" si="1169"/>
        <v>336.66729839999999</v>
      </c>
      <c r="AP210" s="19">
        <f t="shared" si="1169"/>
        <v>308.62247294447235</v>
      </c>
      <c r="AQ210" s="19">
        <f t="shared" si="1169"/>
        <v>339.40492784583159</v>
      </c>
      <c r="AR210" s="19">
        <f t="shared" si="1169"/>
        <v>357.246238442687</v>
      </c>
      <c r="AS210" s="19">
        <f t="shared" si="1169"/>
        <v>394.84275506962689</v>
      </c>
      <c r="AT210" s="19">
        <f t="shared" si="1169"/>
        <v>412.29580763798015</v>
      </c>
      <c r="AU210" s="19">
        <f t="shared" si="1169"/>
        <v>457.80301014030374</v>
      </c>
      <c r="AV210" s="19">
        <f t="shared" si="1169"/>
        <v>468.64666525346411</v>
      </c>
      <c r="AW210" s="19">
        <f t="shared" si="1169"/>
        <v>486.38419092013777</v>
      </c>
      <c r="AX210" s="19">
        <f t="shared" si="1169"/>
        <v>525.63451945682061</v>
      </c>
      <c r="AY210" s="19">
        <f t="shared" si="1169"/>
        <v>548.21377574401083</v>
      </c>
      <c r="AZ210" s="19">
        <f t="shared" si="1169"/>
        <v>587.75246143582046</v>
      </c>
      <c r="BA210" s="19">
        <f t="shared" si="1169"/>
        <v>653.73901284651788</v>
      </c>
      <c r="BB210" s="19">
        <f t="shared" si="1169"/>
        <v>673.03275716185169</v>
      </c>
      <c r="BC210" s="19">
        <f t="shared" si="1169"/>
        <v>701.18275364468832</v>
      </c>
      <c r="BD210" s="19">
        <f>BD152/BD$205</f>
        <v>743.70731306716311</v>
      </c>
      <c r="BE210" s="19">
        <f t="shared" ref="BE210:BF210" si="1170">BE152/BE$205</f>
        <v>784.70211367101717</v>
      </c>
      <c r="BF210" s="19">
        <f t="shared" si="1170"/>
        <v>825.16316433911095</v>
      </c>
    </row>
    <row r="211" spans="2:58">
      <c r="B211" s="1" t="s">
        <v>300</v>
      </c>
      <c r="C211" s="33">
        <f t="shared" ref="C211:F211" si="1171">C210/C209</f>
        <v>0.88900385867339249</v>
      </c>
      <c r="D211" s="33">
        <f t="shared" si="1171"/>
        <v>0.86304071423931117</v>
      </c>
      <c r="E211" s="33">
        <f t="shared" si="1171"/>
        <v>0.84757781281544331</v>
      </c>
      <c r="F211" s="33">
        <f t="shared" si="1171"/>
        <v>0.87155087297298384</v>
      </c>
      <c r="G211" s="33">
        <f t="shared" ref="G211:H211" si="1172">G210/G209</f>
        <v>0.78593567936729036</v>
      </c>
      <c r="H211" s="33">
        <f t="shared" si="1172"/>
        <v>0.85320817711283514</v>
      </c>
      <c r="I211" s="33">
        <f t="shared" ref="I211:J211" si="1173">I210/I209</f>
        <v>0.7980650309625158</v>
      </c>
      <c r="J211" s="33">
        <f t="shared" si="1173"/>
        <v>0.77633421151674831</v>
      </c>
      <c r="K211" s="33">
        <f t="shared" ref="K211:M211" si="1174">K210/K209</f>
        <v>0.82635379061371828</v>
      </c>
      <c r="L211" s="33">
        <f t="shared" ref="L211" si="1175">L210/L209</f>
        <v>0.84758830912677074</v>
      </c>
      <c r="M211" s="33">
        <f t="shared" si="1174"/>
        <v>0.88589029040774414</v>
      </c>
      <c r="N211" s="33">
        <f t="shared" ref="N211" si="1176">N210/N209</f>
        <v>0.89978185551135648</v>
      </c>
      <c r="O211" s="33">
        <f t="shared" ref="O211" si="1177">O210/O209</f>
        <v>0.89676694545000646</v>
      </c>
      <c r="P211" s="33"/>
      <c r="Q211" s="33"/>
      <c r="R211" s="33">
        <f t="shared" ref="R211:S211" si="1178">R210/R209</f>
        <v>0.87155087297298395</v>
      </c>
      <c r="S211" s="33">
        <f t="shared" si="1178"/>
        <v>0.83225039400558531</v>
      </c>
      <c r="T211" s="33">
        <f t="shared" ref="T211:U211" si="1179">T210/T209</f>
        <v>0.78593567936729036</v>
      </c>
      <c r="U211" s="33">
        <f t="shared" si="1179"/>
        <v>0.86534156434434562</v>
      </c>
      <c r="V211" s="33">
        <f t="shared" ref="V211:W211" si="1180">V210/V209</f>
        <v>0.85320817711283525</v>
      </c>
      <c r="W211" s="33">
        <f t="shared" si="1180"/>
        <v>0.78383328922720885</v>
      </c>
      <c r="X211" s="33">
        <f t="shared" ref="X211:Y211" si="1181">X210/X209</f>
        <v>0.7980650309625158</v>
      </c>
      <c r="Y211" s="33">
        <f t="shared" si="1181"/>
        <v>0.82926342264161812</v>
      </c>
      <c r="Z211" s="33">
        <f t="shared" ref="Z211:AC211" si="1182">Z210/Z209</f>
        <v>0.82635379061371828</v>
      </c>
      <c r="AA211" s="33">
        <f t="shared" ref="AA211" si="1183">AA210/AA209</f>
        <v>0.84895660814839369</v>
      </c>
      <c r="AB211" s="33">
        <f t="shared" si="1182"/>
        <v>0.88589029040774414</v>
      </c>
      <c r="AC211" s="33">
        <f t="shared" si="1182"/>
        <v>0.8914951989026062</v>
      </c>
      <c r="AD211" s="33">
        <f t="shared" ref="AD211" si="1184">AD210/AD209</f>
        <v>0.89978185551135648</v>
      </c>
      <c r="AF211" s="149"/>
      <c r="AG211" s="33">
        <f t="shared" ref="AG211:AI211" si="1185">AG210/AG209</f>
        <v>0.87155087297298395</v>
      </c>
      <c r="AH211" s="149"/>
      <c r="AI211" s="33">
        <f t="shared" si="1185"/>
        <v>0.83225039400558509</v>
      </c>
      <c r="AJ211" s="33">
        <f t="shared" ref="AJ211:AL211" si="1186">AJ210/AJ209</f>
        <v>0.80422277617161919</v>
      </c>
      <c r="AK211" s="33">
        <f t="shared" si="1186"/>
        <v>0.78593567936729036</v>
      </c>
      <c r="AL211" s="33">
        <f t="shared" si="1186"/>
        <v>0.79416993226584986</v>
      </c>
      <c r="AM211" s="33">
        <f t="shared" ref="AM211:AP211" si="1187">AM210/AM209</f>
        <v>0.86534156434434562</v>
      </c>
      <c r="AN211" s="33">
        <f t="shared" si="1187"/>
        <v>0.86944608406598523</v>
      </c>
      <c r="AO211" s="33">
        <f t="shared" si="1187"/>
        <v>0.85320817711283514</v>
      </c>
      <c r="AP211" s="33">
        <f t="shared" si="1187"/>
        <v>0.812659426852675</v>
      </c>
      <c r="AQ211" s="33">
        <f t="shared" ref="AQ211:AT211" si="1188">AQ210/AQ209</f>
        <v>0.78383328922720841</v>
      </c>
      <c r="AR211" s="33">
        <f t="shared" si="1188"/>
        <v>0.78194492887510469</v>
      </c>
      <c r="AS211" s="33">
        <f t="shared" si="1188"/>
        <v>0.7980650309625158</v>
      </c>
      <c r="AT211" s="33">
        <f t="shared" si="1188"/>
        <v>0.80274316159327463</v>
      </c>
      <c r="AU211" s="33">
        <f t="shared" ref="AU211:AX211" si="1189">AU210/AU209</f>
        <v>0.82926342264161812</v>
      </c>
      <c r="AV211" s="33">
        <f t="shared" si="1189"/>
        <v>0.83116810922290985</v>
      </c>
      <c r="AW211" s="33">
        <f t="shared" si="1189"/>
        <v>0.82635379061371828</v>
      </c>
      <c r="AX211" s="33">
        <f t="shared" si="1189"/>
        <v>0.85015717959147075</v>
      </c>
      <c r="AY211" s="33">
        <f t="shared" ref="AY211:BB211" si="1190">AY210/AY209</f>
        <v>0.84670933858526143</v>
      </c>
      <c r="AZ211" s="33">
        <f t="shared" si="1190"/>
        <v>0.85492471769134215</v>
      </c>
      <c r="BA211" s="33">
        <f t="shared" si="1190"/>
        <v>0.88594047793578623</v>
      </c>
      <c r="BB211" s="33">
        <f t="shared" si="1190"/>
        <v>0.88649872629493331</v>
      </c>
      <c r="BC211" s="33">
        <f t="shared" ref="BC211:BF211" si="1191">BC210/BC209</f>
        <v>0.89149519890260609</v>
      </c>
      <c r="BD211" s="33">
        <f t="shared" si="1191"/>
        <v>0.89509752240379536</v>
      </c>
      <c r="BE211" s="33">
        <f t="shared" si="1191"/>
        <v>0.89978185551135648</v>
      </c>
      <c r="BF211" s="33">
        <f t="shared" si="1191"/>
        <v>0.89676694545000646</v>
      </c>
    </row>
    <row r="212" spans="2:58">
      <c r="B212" s="1" t="s">
        <v>18</v>
      </c>
      <c r="C212" s="19">
        <f t="shared" ref="C212:F214" si="1192">C154/C$204</f>
        <v>1821.5295602777194</v>
      </c>
      <c r="D212" s="19">
        <f t="shared" si="1192"/>
        <v>2430.545018007203</v>
      </c>
      <c r="E212" s="19">
        <f t="shared" si="1192"/>
        <v>2443.6390736069711</v>
      </c>
      <c r="F212" s="19">
        <f t="shared" si="1192"/>
        <v>3002.3690996748514</v>
      </c>
      <c r="G212" s="19">
        <f t="shared" ref="G212:H212" si="1193">G154/G$204</f>
        <v>4146.4182751038352</v>
      </c>
      <c r="H212" s="19">
        <f t="shared" si="1193"/>
        <v>5130.1669552000003</v>
      </c>
      <c r="I212" s="19">
        <f t="shared" ref="I212:J212" si="1194">I154/I$204</f>
        <v>6286.5784717999995</v>
      </c>
      <c r="J212" s="19">
        <f t="shared" si="1194"/>
        <v>6286.5784717999995</v>
      </c>
      <c r="K212" s="19">
        <f>K154/K$204</f>
        <v>7691.1699779249448</v>
      </c>
      <c r="L212" s="19">
        <f>L154/L$204</f>
        <v>7691.1699779249448</v>
      </c>
      <c r="M212" s="19">
        <f>M154/M$204</f>
        <v>8386.3118658107269</v>
      </c>
      <c r="N212" s="19">
        <f>N154/N$204</f>
        <v>10839.323467230442</v>
      </c>
      <c r="O212" s="19">
        <f>O154/O$204</f>
        <v>10833.710219999999</v>
      </c>
      <c r="P212" s="19"/>
      <c r="Q212" s="19"/>
      <c r="R212" s="19">
        <f t="shared" ref="R212:S214" si="1195">R154/R$204</f>
        <v>3002.3690996748514</v>
      </c>
      <c r="S212" s="19">
        <f t="shared" si="1195"/>
        <v>3096.6662994381404</v>
      </c>
      <c r="T212" s="19">
        <f t="shared" ref="T212:U212" si="1196">T154/T$204</f>
        <v>3022.7607088787959</v>
      </c>
      <c r="U212" s="19">
        <f t="shared" si="1196"/>
        <v>3634.0992735000004</v>
      </c>
      <c r="V212" s="19">
        <f t="shared" ref="V212:W212" si="1197">V154/V$204</f>
        <v>5130.1669552000003</v>
      </c>
      <c r="W212" s="19">
        <f t="shared" si="1197"/>
        <v>5515.4894937999998</v>
      </c>
      <c r="X212" s="19">
        <f t="shared" ref="X212:Y212" si="1198">X154/X$204</f>
        <v>6286.5784717999995</v>
      </c>
      <c r="Y212" s="19">
        <f t="shared" si="1198"/>
        <v>6951.9617432887726</v>
      </c>
      <c r="Z212" s="19">
        <f t="shared" ref="Z212:AC212" si="1199">Z154/Z$204</f>
        <v>7457.3676400000004</v>
      </c>
      <c r="AA212" s="19">
        <f t="shared" ref="AA212" si="1200">AA154/AA$204</f>
        <v>8500.4822634229986</v>
      </c>
      <c r="AB212" s="19">
        <f t="shared" si="1199"/>
        <v>8386.3118658107269</v>
      </c>
      <c r="AC212" s="19">
        <f t="shared" si="1199"/>
        <v>9830.6841741534208</v>
      </c>
      <c r="AD212" s="19">
        <f t="shared" ref="AD212" si="1201">AD154/AD$204</f>
        <v>10839.323467230442</v>
      </c>
      <c r="AF212" s="148"/>
      <c r="AG212" s="19">
        <f t="shared" ref="AG212:AI212" si="1202">AG154/AG$204</f>
        <v>3002.3690996748514</v>
      </c>
      <c r="AH212" s="148"/>
      <c r="AI212" s="19">
        <f t="shared" si="1202"/>
        <v>3157.5421253650866</v>
      </c>
      <c r="AJ212" s="19">
        <f t="shared" ref="AJ212:AL212" si="1203">AJ154/AJ$204</f>
        <v>3394.1479137365218</v>
      </c>
      <c r="AK212" s="19">
        <f t="shared" si="1203"/>
        <v>4146.4182751038352</v>
      </c>
      <c r="AL212" s="19">
        <f t="shared" si="1203"/>
        <v>4067.3829912023457</v>
      </c>
      <c r="AM212" s="19">
        <f t="shared" ref="AM212:AP212" si="1204">AM154/AM$204</f>
        <v>2585.7924926191481</v>
      </c>
      <c r="AN212" s="19">
        <f t="shared" si="1204"/>
        <v>5218.2669138090832</v>
      </c>
      <c r="AO212" s="19">
        <f t="shared" si="1204"/>
        <v>5130.1669552000003</v>
      </c>
      <c r="AP212" s="19">
        <f t="shared" si="1204"/>
        <v>6269.1205855018588</v>
      </c>
      <c r="AQ212" s="19">
        <f t="shared" ref="AQ212:AT212" si="1205">AQ154/AQ$204</f>
        <v>5517.4832915622383</v>
      </c>
      <c r="AR212" s="19">
        <f t="shared" si="1205"/>
        <v>5613.7227138643066</v>
      </c>
      <c r="AS212" s="19">
        <f t="shared" si="1205"/>
        <v>6286.5784717999995</v>
      </c>
      <c r="AT212" s="19">
        <f t="shared" si="1205"/>
        <v>6677.5877862595416</v>
      </c>
      <c r="AU212" s="19">
        <f t="shared" ref="AU212:AX212" si="1206">AU154/AU$204</f>
        <v>6951.9617432887726</v>
      </c>
      <c r="AV212" s="19">
        <f t="shared" si="1206"/>
        <v>6420.2459791863776</v>
      </c>
      <c r="AW212" s="19">
        <f t="shared" si="1206"/>
        <v>7691.1699779249448</v>
      </c>
      <c r="AX212" s="19">
        <f t="shared" si="1206"/>
        <v>8265.8678756476693</v>
      </c>
      <c r="AY212" s="19">
        <f t="shared" ref="AY212:BB212" si="1207">AY154/AY$204</f>
        <v>8500.4822634229986</v>
      </c>
      <c r="AZ212" s="19">
        <f t="shared" si="1207"/>
        <v>9059.3475114129833</v>
      </c>
      <c r="BA212" s="19">
        <f t="shared" si="1207"/>
        <v>8386.3118658107269</v>
      </c>
      <c r="BB212" s="19">
        <f t="shared" si="1207"/>
        <v>9980.2482460874271</v>
      </c>
      <c r="BC212" s="19">
        <f t="shared" ref="BC212:BF212" si="1208">BC154/BC$204</f>
        <v>9830.6841741534208</v>
      </c>
      <c r="BD212" s="19">
        <f t="shared" si="1208"/>
        <v>10603.074034964215</v>
      </c>
      <c r="BE212" s="19">
        <f t="shared" si="1208"/>
        <v>10839.323467230442</v>
      </c>
      <c r="BF212" s="19">
        <f t="shared" si="1208"/>
        <v>10833.710219999999</v>
      </c>
    </row>
    <row r="213" spans="2:58">
      <c r="B213" s="1" t="s">
        <v>301</v>
      </c>
      <c r="C213" s="19">
        <f t="shared" si="1192"/>
        <v>67.764569745423941</v>
      </c>
      <c r="D213" s="19">
        <f t="shared" si="1192"/>
        <v>30.594237695078032</v>
      </c>
      <c r="E213" s="19">
        <f t="shared" si="1192"/>
        <v>53.06581059390048</v>
      </c>
      <c r="F213" s="19">
        <f t="shared" si="1192"/>
        <v>71.556228276712631</v>
      </c>
      <c r="G213" s="19">
        <f t="shared" ref="G213:H213" si="1209">G155/G$204</f>
        <v>512.02174444172977</v>
      </c>
      <c r="H213" s="19">
        <f t="shared" si="1209"/>
        <v>1014.9532288</v>
      </c>
      <c r="I213" s="19">
        <f t="shared" ref="I213:J213" si="1210">I155/I$204</f>
        <v>707.00729620000004</v>
      </c>
      <c r="J213" s="19">
        <f t="shared" si="1210"/>
        <v>707.00729620000004</v>
      </c>
      <c r="K213" s="19">
        <f t="shared" ref="K213:M214" si="1211">K155/K$204</f>
        <v>762.25165562913912</v>
      </c>
      <c r="L213" s="19">
        <f t="shared" si="1211"/>
        <v>762.25165562913912</v>
      </c>
      <c r="M213" s="19">
        <f t="shared" si="1211"/>
        <v>885.6906191758128</v>
      </c>
      <c r="N213" s="19">
        <f t="shared" ref="N213" si="1212">N155/N$204</f>
        <v>832.04134366925052</v>
      </c>
      <c r="O213" s="19">
        <f t="shared" ref="O213" si="1213">O155/O$204</f>
        <v>731.30489999999998</v>
      </c>
      <c r="P213" s="19"/>
      <c r="Q213" s="19"/>
      <c r="R213" s="19">
        <f t="shared" si="1195"/>
        <v>71.556228276712631</v>
      </c>
      <c r="S213" s="19">
        <f t="shared" si="1195"/>
        <v>86.693841577613739</v>
      </c>
      <c r="T213" s="19">
        <f t="shared" ref="T213:U213" si="1214">T155/T$204</f>
        <v>373.26654198949149</v>
      </c>
      <c r="U213" s="19">
        <f t="shared" si="1214"/>
        <v>577.94429050000008</v>
      </c>
      <c r="V213" s="19">
        <f t="shared" ref="V213:W213" si="1215">V155/V$204</f>
        <v>1014.9532288</v>
      </c>
      <c r="W213" s="19">
        <f t="shared" si="1215"/>
        <v>668.36950179999997</v>
      </c>
      <c r="X213" s="19">
        <f t="shared" ref="X213:Y213" si="1216">X155/X$204</f>
        <v>707.00729620000004</v>
      </c>
      <c r="Y213" s="19">
        <f t="shared" si="1216"/>
        <v>747.31007499184875</v>
      </c>
      <c r="Z213" s="19">
        <f t="shared" ref="Z213:AC213" si="1217">Z155/Z$204</f>
        <v>739.08012000000008</v>
      </c>
      <c r="AA213" s="19">
        <f t="shared" ref="AA213" si="1218">AA155/AA$204</f>
        <v>1180.366520201479</v>
      </c>
      <c r="AB213" s="19">
        <f t="shared" si="1217"/>
        <v>885.6906191758128</v>
      </c>
      <c r="AC213" s="19">
        <f t="shared" si="1217"/>
        <v>977.194194885971</v>
      </c>
      <c r="AD213" s="19">
        <f t="shared" ref="AD213" si="1219">AD155/AD$204</f>
        <v>832.04134366925052</v>
      </c>
      <c r="AF213" s="148"/>
      <c r="AG213" s="19">
        <f t="shared" ref="AG213:AI213" si="1220">AG155/AG$204</f>
        <v>71.556228276712631</v>
      </c>
      <c r="AH213" s="148"/>
      <c r="AI213" s="19">
        <f t="shared" si="1220"/>
        <v>88.398112783644123</v>
      </c>
      <c r="AJ213" s="19">
        <f t="shared" ref="AJ213:AL213" si="1221">AJ155/AJ$204</f>
        <v>76.108766994842952</v>
      </c>
      <c r="AK213" s="19">
        <f t="shared" si="1221"/>
        <v>512.02174444172977</v>
      </c>
      <c r="AL213" s="19">
        <f t="shared" si="1221"/>
        <v>1346.6299120234603</v>
      </c>
      <c r="AM213" s="19">
        <f t="shared" ref="AM213:AP213" si="1222">AM155/AM$204</f>
        <v>411.22817376634333</v>
      </c>
      <c r="AN213" s="19">
        <f t="shared" si="1222"/>
        <v>1609.8980537534756</v>
      </c>
      <c r="AO213" s="19">
        <f t="shared" si="1222"/>
        <v>1014.9532288</v>
      </c>
      <c r="AP213" s="19">
        <f t="shared" si="1222"/>
        <v>1330.3647769516729</v>
      </c>
      <c r="AQ213" s="19">
        <f t="shared" ref="AQ213:AT213" si="1223">AQ155/AQ$204</f>
        <v>668.61111111111109</v>
      </c>
      <c r="AR213" s="19">
        <f t="shared" si="1223"/>
        <v>735.0324483775812</v>
      </c>
      <c r="AS213" s="19">
        <f t="shared" si="1223"/>
        <v>707.00729620000004</v>
      </c>
      <c r="AT213" s="19">
        <f t="shared" si="1223"/>
        <v>667.40458015267177</v>
      </c>
      <c r="AU213" s="19">
        <f t="shared" ref="AU213:AX213" si="1224">AU155/AU$204</f>
        <v>747.31007499184875</v>
      </c>
      <c r="AV213" s="19">
        <f t="shared" si="1224"/>
        <v>821.66508987701047</v>
      </c>
      <c r="AW213" s="19">
        <f t="shared" si="1224"/>
        <v>762.25165562913912</v>
      </c>
      <c r="AX213" s="19">
        <f t="shared" si="1224"/>
        <v>1330.0949913644215</v>
      </c>
      <c r="AY213" s="19">
        <f t="shared" ref="AY213:BB213" si="1225">AY155/AY$204</f>
        <v>1180.366520201479</v>
      </c>
      <c r="AZ213" s="19">
        <f t="shared" si="1225"/>
        <v>1431.2437367776417</v>
      </c>
      <c r="BA213" s="19">
        <f t="shared" si="1225"/>
        <v>885.6906191758128</v>
      </c>
      <c r="BB213" s="19">
        <f t="shared" si="1225"/>
        <v>1992.9843497031841</v>
      </c>
      <c r="BC213" s="19">
        <f t="shared" ref="BC213:BF213" si="1226">BC155/BC$204</f>
        <v>977.194194885971</v>
      </c>
      <c r="BD213" s="19">
        <f t="shared" si="1226"/>
        <v>1234.5418279948376</v>
      </c>
      <c r="BE213" s="19">
        <f t="shared" si="1226"/>
        <v>832.04134366925052</v>
      </c>
      <c r="BF213" s="19">
        <f t="shared" si="1226"/>
        <v>731.30489999999998</v>
      </c>
    </row>
    <row r="214" spans="2:58">
      <c r="B214" s="1" t="s">
        <v>14</v>
      </c>
      <c r="C214" s="19">
        <f t="shared" si="1192"/>
        <v>1753.7649905322955</v>
      </c>
      <c r="D214" s="19">
        <f t="shared" si="1192"/>
        <v>2399.9507803121251</v>
      </c>
      <c r="E214" s="19">
        <f t="shared" si="1192"/>
        <v>2390.5732630130706</v>
      </c>
      <c r="F214" s="19">
        <f t="shared" si="1192"/>
        <v>2930.8128713981391</v>
      </c>
      <c r="G214" s="19">
        <f t="shared" ref="G214:H214" si="1227">G156/G$204</f>
        <v>3634.3965306621058</v>
      </c>
      <c r="H214" s="19">
        <f t="shared" si="1227"/>
        <v>4115.2137264000003</v>
      </c>
      <c r="I214" s="19">
        <f t="shared" ref="I214:J214" si="1228">I156/I$204</f>
        <v>5579.5711756000001</v>
      </c>
      <c r="J214" s="19">
        <f t="shared" si="1228"/>
        <v>5579.5711756000001</v>
      </c>
      <c r="K214" s="19">
        <f t="shared" si="1211"/>
        <v>6928.9183222958045</v>
      </c>
      <c r="L214" s="19">
        <f t="shared" si="1211"/>
        <v>6928.9183222958045</v>
      </c>
      <c r="M214" s="19">
        <f t="shared" si="1211"/>
        <v>7500.6212466349143</v>
      </c>
      <c r="N214" s="19">
        <f t="shared" ref="N214" si="1229">N156/N$204</f>
        <v>10007.282123561192</v>
      </c>
      <c r="O214" s="19">
        <f t="shared" ref="O214" si="1230">O156/O$204</f>
        <v>10102.40532</v>
      </c>
      <c r="P214" s="19"/>
      <c r="Q214" s="19"/>
      <c r="R214" s="19">
        <f t="shared" si="1195"/>
        <v>2930.8128713981391</v>
      </c>
      <c r="S214" s="19">
        <f t="shared" si="1195"/>
        <v>3009.9724578605269</v>
      </c>
      <c r="T214" s="19">
        <f t="shared" ref="T214:U214" si="1231">T156/T$204</f>
        <v>2649.4941668893043</v>
      </c>
      <c r="U214" s="19">
        <f t="shared" si="1231"/>
        <v>3056.1549830000004</v>
      </c>
      <c r="V214" s="19">
        <f t="shared" ref="V214:W214" si="1232">V156/V$204</f>
        <v>4115.2137264000003</v>
      </c>
      <c r="W214" s="19">
        <f t="shared" si="1232"/>
        <v>4847.1199919999999</v>
      </c>
      <c r="X214" s="19">
        <f t="shared" ref="X214:Y214" si="1233">X156/X$204</f>
        <v>5579.5711756000001</v>
      </c>
      <c r="Y214" s="19">
        <f t="shared" si="1233"/>
        <v>6204.6516682969241</v>
      </c>
      <c r="Z214" s="19">
        <f t="shared" ref="Z214:AC214" si="1234">Z156/Z$204</f>
        <v>6718.2875199999999</v>
      </c>
      <c r="AA214" s="19">
        <f t="shared" ref="AA214" si="1235">AA156/AA$204</f>
        <v>7320.1157432215186</v>
      </c>
      <c r="AB214" s="19">
        <f t="shared" si="1234"/>
        <v>7500.6212466349143</v>
      </c>
      <c r="AC214" s="19">
        <f t="shared" si="1234"/>
        <v>8853.4899792674514</v>
      </c>
      <c r="AD214" s="19">
        <f t="shared" ref="AD214" si="1236">AD156/AD$204</f>
        <v>10007.282123561192</v>
      </c>
      <c r="AF214" s="148"/>
      <c r="AG214" s="19">
        <f t="shared" ref="AG214:AI214" si="1237">AG156/AG$204</f>
        <v>2930.8128713981391</v>
      </c>
      <c r="AH214" s="148"/>
      <c r="AI214" s="19">
        <f t="shared" si="1237"/>
        <v>3069.1440125814424</v>
      </c>
      <c r="AJ214" s="19">
        <f t="shared" ref="AJ214:AL214" si="1238">AJ156/AJ$204</f>
        <v>3318.0391467416785</v>
      </c>
      <c r="AK214" s="19">
        <f t="shared" si="1238"/>
        <v>3634.3965306621058</v>
      </c>
      <c r="AL214" s="19">
        <f t="shared" si="1238"/>
        <v>2720.7530791788854</v>
      </c>
      <c r="AM214" s="19">
        <f t="shared" ref="AM214:AP214" si="1239">AM156/AM$204</f>
        <v>2174.5643188528052</v>
      </c>
      <c r="AN214" s="19">
        <f t="shared" si="1239"/>
        <v>3608.3688600556079</v>
      </c>
      <c r="AO214" s="19">
        <f t="shared" si="1239"/>
        <v>4115.2137264000003</v>
      </c>
      <c r="AP214" s="19">
        <f t="shared" si="1239"/>
        <v>4938.755808550186</v>
      </c>
      <c r="AQ214" s="19">
        <f t="shared" ref="AQ214:AT214" si="1240">AQ156/AQ$204</f>
        <v>4848.8721804511279</v>
      </c>
      <c r="AR214" s="19">
        <f t="shared" si="1240"/>
        <v>4878.6902654867254</v>
      </c>
      <c r="AS214" s="19">
        <f t="shared" si="1240"/>
        <v>5579.5711756000001</v>
      </c>
      <c r="AT214" s="19">
        <f t="shared" si="1240"/>
        <v>6010.1832061068699</v>
      </c>
      <c r="AU214" s="19">
        <f t="shared" ref="AU214:AX214" si="1241">AU156/AU$204</f>
        <v>6204.6516682969241</v>
      </c>
      <c r="AV214" s="19">
        <f t="shared" si="1241"/>
        <v>5598.5808893093672</v>
      </c>
      <c r="AW214" s="19">
        <f t="shared" si="1241"/>
        <v>6928.9183222958045</v>
      </c>
      <c r="AX214" s="19">
        <f t="shared" si="1241"/>
        <v>6935.7728842832475</v>
      </c>
      <c r="AY214" s="19">
        <f t="shared" ref="AY214:BB214" si="1242">AY156/AY$204</f>
        <v>7320.1157432215186</v>
      </c>
      <c r="AZ214" s="19">
        <f t="shared" si="1242"/>
        <v>7628.1037746353404</v>
      </c>
      <c r="BA214" s="19">
        <f t="shared" si="1242"/>
        <v>7500.6212466349143</v>
      </c>
      <c r="BB214" s="19">
        <f t="shared" si="1242"/>
        <v>7987.2638963842428</v>
      </c>
      <c r="BC214" s="19">
        <f t="shared" ref="BC214:BF214" si="1243">BC156/BC$204</f>
        <v>8853.4899792674514</v>
      </c>
      <c r="BD214" s="19">
        <f t="shared" si="1243"/>
        <v>9368.5322069693775</v>
      </c>
      <c r="BE214" s="19">
        <f t="shared" si="1243"/>
        <v>10007.282123561192</v>
      </c>
      <c r="BF214" s="19">
        <f t="shared" si="1243"/>
        <v>10102.40532</v>
      </c>
    </row>
    <row r="215" spans="2:58">
      <c r="B215" s="1" t="s">
        <v>302</v>
      </c>
      <c r="C215" s="53">
        <f t="shared" ref="C215:D215" si="1244">C212/C210</f>
        <v>9.9821940015219326</v>
      </c>
      <c r="D215" s="53">
        <f t="shared" si="1244"/>
        <v>11.589021393800575</v>
      </c>
      <c r="E215" s="53">
        <f t="shared" ref="E215:I215" si="1245">E212/E210</f>
        <v>10.194256115633019</v>
      </c>
      <c r="F215" s="53">
        <f t="shared" si="1245"/>
        <v>12.504972278086305</v>
      </c>
      <c r="G215" s="53">
        <f t="shared" si="1245"/>
        <v>15.272611622285021</v>
      </c>
      <c r="H215" s="53">
        <f t="shared" si="1245"/>
        <v>15.238091075613658</v>
      </c>
      <c r="I215" s="53">
        <f t="shared" si="1245"/>
        <v>15.921726791444911</v>
      </c>
      <c r="J215" s="53">
        <f t="shared" ref="J215" si="1246">J212/J210</f>
        <v>16.521663545835107</v>
      </c>
      <c r="K215" s="53">
        <f t="shared" ref="K215:M215" si="1247">K212/K210</f>
        <v>15.533542511117091</v>
      </c>
      <c r="L215" s="53">
        <f t="shared" ref="L215" si="1248">L212/L210</f>
        <v>15.043908951955583</v>
      </c>
      <c r="M215" s="53">
        <f t="shared" si="1247"/>
        <v>12.83459773337548</v>
      </c>
      <c r="N215" s="53">
        <f t="shared" ref="N215" si="1249">N212/N210</f>
        <v>13.813297145997979</v>
      </c>
      <c r="O215" s="53">
        <f t="shared" ref="O215" si="1250">O212/O210</f>
        <v>13.129173341949802</v>
      </c>
      <c r="P215" s="53"/>
      <c r="Q215" s="53"/>
      <c r="R215" s="53">
        <f t="shared" ref="R215:S215" si="1251">R212/R210</f>
        <v>12.503572572212329</v>
      </c>
      <c r="S215" s="53">
        <f t="shared" si="1251"/>
        <v>11.519264276252967</v>
      </c>
      <c r="T215" s="53">
        <f t="shared" ref="T215:U215" si="1252">T212/T210</f>
        <v>12.77913032153463</v>
      </c>
      <c r="U215" s="53">
        <f t="shared" si="1252"/>
        <v>13.24716249761863</v>
      </c>
      <c r="V215" s="53">
        <f t="shared" ref="V215:W215" si="1253">V212/V210</f>
        <v>15.198928033164256</v>
      </c>
      <c r="W215" s="53">
        <f t="shared" si="1253"/>
        <v>16.171739296549298</v>
      </c>
      <c r="X215" s="53">
        <f t="shared" ref="X215:Y215" si="1254">X212/X210</f>
        <v>16.039599501118349</v>
      </c>
      <c r="Y215" s="53">
        <f t="shared" si="1254"/>
        <v>15.320027464673982</v>
      </c>
      <c r="Z215" s="53">
        <f t="shared" ref="Z215:AC215" si="1255">Z212/Z210</f>
        <v>15.504982602677247</v>
      </c>
      <c r="AA215" s="53">
        <f t="shared" ref="AA215" si="1256">AA212/AA210</f>
        <v>15.634349940168503</v>
      </c>
      <c r="AB215" s="53">
        <f t="shared" si="1255"/>
        <v>12.834250617818123</v>
      </c>
      <c r="AC215" s="53">
        <f t="shared" si="1255"/>
        <v>14.020145422936263</v>
      </c>
      <c r="AD215" s="53">
        <f t="shared" ref="AD215" si="1257">AD212/AD210</f>
        <v>13.813683602196896</v>
      </c>
      <c r="AF215" s="150"/>
      <c r="AG215" s="53">
        <f t="shared" ref="AG215:AI215" si="1258">AG212/AG210</f>
        <v>12.64074374786181</v>
      </c>
      <c r="AH215" s="150"/>
      <c r="AI215" s="53">
        <f t="shared" si="1258"/>
        <v>11.859140773173523</v>
      </c>
      <c r="AJ215" s="53">
        <f t="shared" ref="AJ215:AL215" si="1259">AJ212/AJ210</f>
        <v>12.515350453929848</v>
      </c>
      <c r="AK215" s="53">
        <f t="shared" si="1259"/>
        <v>15.272611622285021</v>
      </c>
      <c r="AL215" s="53">
        <f t="shared" si="1259"/>
        <v>14.256624803935777</v>
      </c>
      <c r="AM215" s="53">
        <f t="shared" ref="AM215:AP215" si="1260">AM212/AM210</f>
        <v>10.018792381883461</v>
      </c>
      <c r="AN215" s="53">
        <f t="shared" si="1260"/>
        <v>17.339467161058355</v>
      </c>
      <c r="AO215" s="53">
        <f t="shared" si="1260"/>
        <v>15.238091075613658</v>
      </c>
      <c r="AP215" s="53">
        <f t="shared" si="1260"/>
        <v>20.31323424276302</v>
      </c>
      <c r="AQ215" s="53">
        <f t="shared" ref="AQ215:AT215" si="1261">AQ212/AQ210</f>
        <v>16.256344086048312</v>
      </c>
      <c r="AR215" s="53">
        <f t="shared" si="1261"/>
        <v>15.713874940533254</v>
      </c>
      <c r="AS215" s="53">
        <f t="shared" si="1261"/>
        <v>15.921726791444911</v>
      </c>
      <c r="AT215" s="53">
        <f t="shared" si="1261"/>
        <v>16.196108867841932</v>
      </c>
      <c r="AU215" s="53">
        <f t="shared" ref="AU215:AX215" si="1262">AU212/AU210</f>
        <v>15.185487184014347</v>
      </c>
      <c r="AV215" s="53">
        <f t="shared" si="1262"/>
        <v>13.699544785438801</v>
      </c>
      <c r="AW215" s="53">
        <f t="shared" si="1262"/>
        <v>15.81295223303794</v>
      </c>
      <c r="AX215" s="53">
        <f t="shared" si="1262"/>
        <v>15.725504261381918</v>
      </c>
      <c r="AY215" s="53">
        <f t="shared" ref="AY215:BB215" si="1263">AY212/AY210</f>
        <v>15.505780116317819</v>
      </c>
      <c r="AZ215" s="53">
        <f t="shared" si="1263"/>
        <v>15.413542444861744</v>
      </c>
      <c r="BA215" s="53">
        <f t="shared" si="1263"/>
        <v>12.828226097896394</v>
      </c>
      <c r="BB215" s="53">
        <f t="shared" si="1263"/>
        <v>14.82877042742121</v>
      </c>
      <c r="BC215" s="53">
        <f t="shared" ref="BC215:BF215" si="1264">BC212/BC210</f>
        <v>14.020145422936261</v>
      </c>
      <c r="BD215" s="53">
        <f t="shared" si="1264"/>
        <v>14.25705226863443</v>
      </c>
      <c r="BE215" s="53">
        <f t="shared" si="1264"/>
        <v>13.813297145997979</v>
      </c>
      <c r="BF215" s="53">
        <f t="shared" si="1264"/>
        <v>13.129173341949802</v>
      </c>
    </row>
    <row r="216" spans="2:58">
      <c r="B216" s="1" t="s">
        <v>303</v>
      </c>
      <c r="C216" s="53">
        <f t="shared" ref="C216:D216" si="1265">C214/C210</f>
        <v>9.6108362720731986</v>
      </c>
      <c r="D216" s="53">
        <f t="shared" si="1265"/>
        <v>11.443145768149346</v>
      </c>
      <c r="E216" s="53">
        <f t="shared" ref="E216:K216" si="1266">E214/E210</f>
        <v>9.9728787158276582</v>
      </c>
      <c r="F216" s="53">
        <f t="shared" si="1266"/>
        <v>12.206938085347774</v>
      </c>
      <c r="G216" s="53">
        <f t="shared" si="1266"/>
        <v>13.386668447671848</v>
      </c>
      <c r="H216" s="53">
        <f t="shared" si="1266"/>
        <v>12.223384171725067</v>
      </c>
      <c r="I216" s="53">
        <f t="shared" si="1266"/>
        <v>14.131122083311606</v>
      </c>
      <c r="J216" s="53">
        <f t="shared" si="1266"/>
        <v>14.663588167524839</v>
      </c>
      <c r="K216" s="53">
        <f t="shared" si="1266"/>
        <v>13.994053911740282</v>
      </c>
      <c r="L216" s="53">
        <f t="shared" ref="L216" si="1267">L214/L210</f>
        <v>13.552946648603132</v>
      </c>
      <c r="M216" s="53">
        <f t="shared" ref="M216:N216" si="1268">M214/M210</f>
        <v>11.479117160361174</v>
      </c>
      <c r="N216" s="53">
        <f t="shared" si="1268"/>
        <v>12.752969501693862</v>
      </c>
      <c r="O216" s="53">
        <f t="shared" ref="O216" si="1269">O214/O210</f>
        <v>12.242918439156467</v>
      </c>
      <c r="P216" s="53"/>
      <c r="Q216" s="53"/>
      <c r="R216" s="53">
        <f t="shared" ref="R216:S216" si="1270">R214/R210</f>
        <v>12.205571739020781</v>
      </c>
      <c r="S216" s="53">
        <f t="shared" si="1270"/>
        <v>11.19677254621498</v>
      </c>
      <c r="T216" s="53">
        <f t="shared" ref="T216:U216" si="1271">T214/T210</f>
        <v>11.201095457332102</v>
      </c>
      <c r="U216" s="53">
        <f t="shared" si="1271"/>
        <v>11.140417096728466</v>
      </c>
      <c r="V216" s="53">
        <f t="shared" ref="V216:W216" si="1272">V214/V210</f>
        <v>12.191969153215386</v>
      </c>
      <c r="W216" s="53">
        <f t="shared" si="1272"/>
        <v>14.212040642599497</v>
      </c>
      <c r="X216" s="53">
        <f t="shared" ref="X216:Y216" si="1273">X214/X210</f>
        <v>14.235738477783411</v>
      </c>
      <c r="Y216" s="53">
        <f t="shared" si="1273"/>
        <v>13.673181394993716</v>
      </c>
      <c r="Z216" s="53">
        <f t="shared" ref="Z216:AC216" si="1274">Z214/Z210</f>
        <v>13.968324500813219</v>
      </c>
      <c r="AA216" s="53">
        <f t="shared" ref="AA216" si="1275">AA214/AA210</f>
        <v>13.463383321733644</v>
      </c>
      <c r="AB216" s="53">
        <f t="shared" si="1274"/>
        <v>11.478806704183748</v>
      </c>
      <c r="AC216" s="53">
        <f t="shared" si="1274"/>
        <v>12.626508471932267</v>
      </c>
      <c r="AD216" s="53">
        <f t="shared" ref="AD216" si="1276">AD214/AD210</f>
        <v>12.753326292984633</v>
      </c>
      <c r="AF216" s="150"/>
      <c r="AG216" s="53">
        <f t="shared" ref="AG216:AI216" si="1277">AG214/AG210</f>
        <v>12.339473679066012</v>
      </c>
      <c r="AH216" s="150"/>
      <c r="AI216" s="53">
        <f t="shared" si="1277"/>
        <v>11.527133907718675</v>
      </c>
      <c r="AJ216" s="53">
        <f t="shared" ref="AJ216:AL216" si="1278">AJ214/AJ210</f>
        <v>12.234712156552776</v>
      </c>
      <c r="AK216" s="53">
        <f t="shared" si="1278"/>
        <v>13.386668447671848</v>
      </c>
      <c r="AL216" s="53">
        <f t="shared" si="1278"/>
        <v>9.5365388304729386</v>
      </c>
      <c r="AM216" s="53">
        <f t="shared" ref="AM216:AP216" si="1279">AM214/AM210</f>
        <v>8.425466658219948</v>
      </c>
      <c r="AN216" s="53">
        <f t="shared" si="1279"/>
        <v>11.990033163759488</v>
      </c>
      <c r="AO216" s="53">
        <f t="shared" si="1279"/>
        <v>12.223384171725067</v>
      </c>
      <c r="AP216" s="53">
        <f t="shared" si="1279"/>
        <v>16.002579985284388</v>
      </c>
      <c r="AQ216" s="53">
        <f t="shared" ref="AQ216:AT216" si="1280">AQ214/AQ210</f>
        <v>14.286392985589291</v>
      </c>
      <c r="AR216" s="53">
        <f t="shared" si="1280"/>
        <v>13.656379663377235</v>
      </c>
      <c r="AS216" s="53">
        <f t="shared" si="1280"/>
        <v>14.131122083311606</v>
      </c>
      <c r="AT216" s="53">
        <f t="shared" si="1280"/>
        <v>14.577357069282069</v>
      </c>
      <c r="AU216" s="53">
        <f t="shared" ref="AU216:AX216" si="1281">AU214/AU210</f>
        <v>13.55310369496123</v>
      </c>
      <c r="AV216" s="53">
        <f t="shared" si="1281"/>
        <v>11.946272756003536</v>
      </c>
      <c r="AW216" s="53">
        <f t="shared" si="1281"/>
        <v>14.245772069992102</v>
      </c>
      <c r="AX216" s="53">
        <f t="shared" si="1281"/>
        <v>13.195048322645411</v>
      </c>
      <c r="AY216" s="53">
        <f t="shared" ref="AY216:BB216" si="1282">AY214/AY210</f>
        <v>13.352666545613506</v>
      </c>
      <c r="AZ216" s="53">
        <f t="shared" si="1282"/>
        <v>12.978429313593423</v>
      </c>
      <c r="BA216" s="53">
        <f t="shared" si="1282"/>
        <v>11.473418442591676</v>
      </c>
      <c r="BB216" s="53">
        <f t="shared" si="1282"/>
        <v>11.867570800069478</v>
      </c>
      <c r="BC216" s="53">
        <f t="shared" ref="BC216:BF216" si="1283">BC214/BC210</f>
        <v>12.626508471932265</v>
      </c>
      <c r="BD216" s="53">
        <f t="shared" si="1283"/>
        <v>12.597068823126282</v>
      </c>
      <c r="BE216" s="53">
        <f t="shared" si="1283"/>
        <v>12.752969501693862</v>
      </c>
      <c r="BF216" s="53">
        <f t="shared" si="1283"/>
        <v>12.242918439156467</v>
      </c>
    </row>
    <row r="217" spans="2:58">
      <c r="B217" s="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6"/>
      <c r="P217" s="180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BA217" s="55"/>
      <c r="BB217" s="55"/>
      <c r="BE217" s="55"/>
      <c r="BF217" s="55"/>
    </row>
    <row r="218" spans="2:58" s="5" customFormat="1" ht="21">
      <c r="B218" s="3" t="s">
        <v>304</v>
      </c>
      <c r="C218" s="7">
        <f>C207</f>
        <v>42735</v>
      </c>
      <c r="D218" s="7">
        <f t="shared" ref="D218:BE218" si="1284">D207</f>
        <v>43100</v>
      </c>
      <c r="E218" s="7">
        <f t="shared" si="1284"/>
        <v>43465</v>
      </c>
      <c r="F218" s="7">
        <f t="shared" si="1284"/>
        <v>43830</v>
      </c>
      <c r="G218" s="7">
        <f t="shared" si="1284"/>
        <v>44196</v>
      </c>
      <c r="H218" s="7">
        <f t="shared" si="1284"/>
        <v>44561</v>
      </c>
      <c r="I218" s="7">
        <f t="shared" si="1284"/>
        <v>44926</v>
      </c>
      <c r="J218" s="7">
        <f t="shared" si="1284"/>
        <v>44926</v>
      </c>
      <c r="K218" s="7">
        <f t="shared" si="1284"/>
        <v>45291</v>
      </c>
      <c r="L218" s="7">
        <f t="shared" si="1284"/>
        <v>45291</v>
      </c>
      <c r="M218" s="7">
        <f t="shared" si="1284"/>
        <v>45657</v>
      </c>
      <c r="N218" s="7">
        <f t="shared" si="1284"/>
        <v>46022</v>
      </c>
      <c r="O218" s="7">
        <f t="shared" si="1284"/>
        <v>46112</v>
      </c>
      <c r="P218" s="180"/>
      <c r="Q218" s="7">
        <f t="shared" si="1284"/>
        <v>43646</v>
      </c>
      <c r="R218" s="7">
        <f t="shared" si="1284"/>
        <v>43830</v>
      </c>
      <c r="S218" s="7">
        <f t="shared" si="1284"/>
        <v>44012</v>
      </c>
      <c r="T218" s="7">
        <f t="shared" si="1284"/>
        <v>44196</v>
      </c>
      <c r="U218" s="7">
        <f t="shared" si="1284"/>
        <v>44377</v>
      </c>
      <c r="V218" s="7">
        <f t="shared" si="1284"/>
        <v>44561</v>
      </c>
      <c r="W218" s="7">
        <f t="shared" si="1284"/>
        <v>44742</v>
      </c>
      <c r="X218" s="7">
        <f t="shared" si="1284"/>
        <v>44926</v>
      </c>
      <c r="Y218" s="7">
        <f t="shared" si="1284"/>
        <v>45107</v>
      </c>
      <c r="Z218" s="7">
        <f t="shared" si="1284"/>
        <v>45291</v>
      </c>
      <c r="AA218" s="7">
        <f t="shared" si="1284"/>
        <v>45473</v>
      </c>
      <c r="AB218" s="7">
        <f t="shared" si="1284"/>
        <v>45657</v>
      </c>
      <c r="AC218" s="7">
        <f t="shared" si="1284"/>
        <v>45838</v>
      </c>
      <c r="AD218" s="7">
        <f t="shared" si="1284"/>
        <v>46022</v>
      </c>
      <c r="AE218" s="1"/>
      <c r="AF218" s="7">
        <f t="shared" si="1284"/>
        <v>43738</v>
      </c>
      <c r="AG218" s="7">
        <f t="shared" si="1284"/>
        <v>43830</v>
      </c>
      <c r="AH218" s="7">
        <f t="shared" si="1284"/>
        <v>43920</v>
      </c>
      <c r="AI218" s="7">
        <f t="shared" si="1284"/>
        <v>44012</v>
      </c>
      <c r="AJ218" s="7">
        <f t="shared" si="1284"/>
        <v>44104</v>
      </c>
      <c r="AK218" s="7">
        <f t="shared" si="1284"/>
        <v>44196</v>
      </c>
      <c r="AL218" s="7">
        <f t="shared" si="1284"/>
        <v>44285</v>
      </c>
      <c r="AM218" s="7">
        <f t="shared" si="1284"/>
        <v>44377</v>
      </c>
      <c r="AN218" s="7">
        <f t="shared" si="1284"/>
        <v>44469</v>
      </c>
      <c r="AO218" s="7">
        <f t="shared" si="1284"/>
        <v>44561</v>
      </c>
      <c r="AP218" s="7">
        <f t="shared" si="1284"/>
        <v>44651</v>
      </c>
      <c r="AQ218" s="7">
        <f t="shared" si="1284"/>
        <v>44742</v>
      </c>
      <c r="AR218" s="7">
        <f t="shared" si="1284"/>
        <v>44834</v>
      </c>
      <c r="AS218" s="7">
        <f t="shared" si="1284"/>
        <v>44926</v>
      </c>
      <c r="AT218" s="7">
        <f t="shared" si="1284"/>
        <v>45016</v>
      </c>
      <c r="AU218" s="7">
        <f t="shared" si="1284"/>
        <v>45107</v>
      </c>
      <c r="AV218" s="7">
        <f t="shared" si="1284"/>
        <v>45199</v>
      </c>
      <c r="AW218" s="7">
        <f t="shared" si="1284"/>
        <v>45291</v>
      </c>
      <c r="AX218" s="7">
        <f t="shared" si="1284"/>
        <v>45382</v>
      </c>
      <c r="AY218" s="7">
        <f t="shared" si="1284"/>
        <v>45473</v>
      </c>
      <c r="AZ218" s="7">
        <f t="shared" si="1284"/>
        <v>45565</v>
      </c>
      <c r="BA218" s="7">
        <f t="shared" si="1284"/>
        <v>45657</v>
      </c>
      <c r="BB218" s="7">
        <f t="shared" si="1284"/>
        <v>45747</v>
      </c>
      <c r="BC218" s="7">
        <f t="shared" si="1284"/>
        <v>45838</v>
      </c>
      <c r="BD218" s="7">
        <f t="shared" si="1284"/>
        <v>45930</v>
      </c>
      <c r="BE218" s="7">
        <f t="shared" si="1284"/>
        <v>46022</v>
      </c>
      <c r="BF218" s="7">
        <f t="shared" ref="BF218" si="1285">BF207</f>
        <v>46112</v>
      </c>
    </row>
    <row r="219" spans="2:58" s="5" customFormat="1">
      <c r="B219" s="6" t="s">
        <v>309</v>
      </c>
      <c r="C219" s="7" t="str">
        <f>C208</f>
        <v>Act</v>
      </c>
      <c r="D219" s="7" t="str">
        <f t="shared" ref="D219:BE219" si="1286">D208</f>
        <v>Act</v>
      </c>
      <c r="E219" s="7" t="str">
        <f t="shared" si="1286"/>
        <v>Act</v>
      </c>
      <c r="F219" s="7" t="str">
        <f t="shared" si="1286"/>
        <v>Act</v>
      </c>
      <c r="G219" s="7" t="str">
        <f t="shared" si="1286"/>
        <v>Act</v>
      </c>
      <c r="H219" s="7" t="str">
        <f t="shared" si="1286"/>
        <v>Act</v>
      </c>
      <c r="I219" s="7" t="str">
        <f t="shared" si="1286"/>
        <v>Act</v>
      </c>
      <c r="J219" s="7" t="str">
        <f t="shared" si="1286"/>
        <v>Act</v>
      </c>
      <c r="K219" s="7" t="str">
        <f t="shared" si="1286"/>
        <v>Act</v>
      </c>
      <c r="L219" s="7" t="str">
        <f t="shared" si="1286"/>
        <v>Act</v>
      </c>
      <c r="M219" s="7" t="str">
        <f t="shared" si="1286"/>
        <v>Act</v>
      </c>
      <c r="N219" s="7" t="str">
        <f t="shared" si="1286"/>
        <v>Act</v>
      </c>
      <c r="O219" s="7" t="str">
        <f t="shared" si="1286"/>
        <v>Act</v>
      </c>
      <c r="P219" s="180"/>
      <c r="Q219" s="7" t="str">
        <f t="shared" si="1286"/>
        <v>Act</v>
      </c>
      <c r="R219" s="7" t="str">
        <f t="shared" si="1286"/>
        <v>Act</v>
      </c>
      <c r="S219" s="7" t="str">
        <f t="shared" si="1286"/>
        <v>Act</v>
      </c>
      <c r="T219" s="7" t="str">
        <f t="shared" si="1286"/>
        <v>Act</v>
      </c>
      <c r="U219" s="7" t="str">
        <f t="shared" si="1286"/>
        <v>Act</v>
      </c>
      <c r="V219" s="7" t="str">
        <f t="shared" si="1286"/>
        <v>Act</v>
      </c>
      <c r="W219" s="7" t="str">
        <f t="shared" si="1286"/>
        <v>Act</v>
      </c>
      <c r="X219" s="7" t="str">
        <f t="shared" si="1286"/>
        <v>Act</v>
      </c>
      <c r="Y219" s="7" t="str">
        <f t="shared" si="1286"/>
        <v>Act</v>
      </c>
      <c r="Z219" s="7" t="str">
        <f t="shared" si="1286"/>
        <v>Act</v>
      </c>
      <c r="AA219" s="7" t="str">
        <f t="shared" si="1286"/>
        <v>Act</v>
      </c>
      <c r="AB219" s="7" t="str">
        <f t="shared" si="1286"/>
        <v>Act</v>
      </c>
      <c r="AC219" s="7" t="str">
        <f t="shared" si="1286"/>
        <v>Act</v>
      </c>
      <c r="AD219" s="7" t="str">
        <f t="shared" si="1286"/>
        <v>Act</v>
      </c>
      <c r="AE219" s="1"/>
      <c r="AF219" s="7" t="str">
        <f t="shared" si="1286"/>
        <v>Act</v>
      </c>
      <c r="AG219" s="7" t="str">
        <f t="shared" si="1286"/>
        <v>Act</v>
      </c>
      <c r="AH219" s="7" t="str">
        <f t="shared" si="1286"/>
        <v>Act</v>
      </c>
      <c r="AI219" s="7" t="str">
        <f t="shared" si="1286"/>
        <v>Act</v>
      </c>
      <c r="AJ219" s="7" t="str">
        <f t="shared" si="1286"/>
        <v>Act</v>
      </c>
      <c r="AK219" s="7" t="str">
        <f t="shared" si="1286"/>
        <v>Act</v>
      </c>
      <c r="AL219" s="7" t="str">
        <f t="shared" si="1286"/>
        <v>Act</v>
      </c>
      <c r="AM219" s="7" t="str">
        <f t="shared" si="1286"/>
        <v>Act</v>
      </c>
      <c r="AN219" s="7" t="str">
        <f t="shared" si="1286"/>
        <v>Act</v>
      </c>
      <c r="AO219" s="7" t="str">
        <f t="shared" si="1286"/>
        <v>Act</v>
      </c>
      <c r="AP219" s="7" t="str">
        <f t="shared" si="1286"/>
        <v>Act</v>
      </c>
      <c r="AQ219" s="7" t="str">
        <f t="shared" si="1286"/>
        <v>Act</v>
      </c>
      <c r="AR219" s="7" t="str">
        <f t="shared" si="1286"/>
        <v>Act</v>
      </c>
      <c r="AS219" s="7" t="str">
        <f t="shared" si="1286"/>
        <v>Act</v>
      </c>
      <c r="AT219" s="7" t="str">
        <f t="shared" si="1286"/>
        <v>Act</v>
      </c>
      <c r="AU219" s="7" t="str">
        <f t="shared" si="1286"/>
        <v>Act</v>
      </c>
      <c r="AV219" s="7" t="str">
        <f t="shared" si="1286"/>
        <v>Act</v>
      </c>
      <c r="AW219" s="7" t="str">
        <f t="shared" si="1286"/>
        <v>Act</v>
      </c>
      <c r="AX219" s="7" t="str">
        <f t="shared" si="1286"/>
        <v>Act</v>
      </c>
      <c r="AY219" s="7" t="str">
        <f t="shared" si="1286"/>
        <v>Act</v>
      </c>
      <c r="AZ219" s="7" t="str">
        <f t="shared" si="1286"/>
        <v>Act</v>
      </c>
      <c r="BA219" s="7" t="str">
        <f t="shared" si="1286"/>
        <v>Act</v>
      </c>
      <c r="BB219" s="7" t="str">
        <f t="shared" si="1286"/>
        <v>Act</v>
      </c>
      <c r="BC219" s="7" t="str">
        <f t="shared" si="1286"/>
        <v>Act</v>
      </c>
      <c r="BD219" s="7" t="str">
        <f t="shared" si="1286"/>
        <v>Act</v>
      </c>
      <c r="BE219" s="7" t="str">
        <f t="shared" si="1286"/>
        <v>Act</v>
      </c>
      <c r="BF219" s="7" t="str">
        <f t="shared" ref="BF219" si="1287">BF208</f>
        <v>Act</v>
      </c>
    </row>
    <row r="220" spans="2:58" s="5" customFormat="1"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180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1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BA220" s="52"/>
      <c r="BB220" s="52"/>
      <c r="BE220" s="52"/>
      <c r="BF220" s="52"/>
    </row>
    <row r="221" spans="2:58" s="5" customFormat="1">
      <c r="B221" s="5" t="str">
        <f>B163</f>
        <v>Revenue</v>
      </c>
      <c r="C221" s="36">
        <f t="shared" ref="C221:G221" si="1288">C163/C$203</f>
        <v>205.26106194690266</v>
      </c>
      <c r="D221" s="36">
        <f t="shared" si="1288"/>
        <v>243.01082543978347</v>
      </c>
      <c r="E221" s="36">
        <f t="shared" si="1288"/>
        <v>282.81467500294912</v>
      </c>
      <c r="F221" s="36">
        <f t="shared" si="1288"/>
        <v>275.47906872621451</v>
      </c>
      <c r="G221" s="36">
        <f t="shared" si="1288"/>
        <v>345.44013683010263</v>
      </c>
      <c r="H221" s="36">
        <f t="shared" ref="H221:I221" si="1289">H163/H$203</f>
        <v>394.5898638000001</v>
      </c>
      <c r="I221" s="36">
        <f t="shared" si="1289"/>
        <v>494.75010149664382</v>
      </c>
      <c r="J221" s="36">
        <f t="shared" ref="J221" si="1290">J163/J$203</f>
        <v>490.130627932734</v>
      </c>
      <c r="K221" s="36">
        <f>K163/K$203</f>
        <v>599.17802292883414</v>
      </c>
      <c r="L221" s="36">
        <f>L163/L$203</f>
        <v>603.1797534068786</v>
      </c>
      <c r="M221" s="36">
        <f>M163/M$203</f>
        <v>737.57944557133203</v>
      </c>
      <c r="N221" s="36">
        <f>N163/N$203</f>
        <v>872.10262005679351</v>
      </c>
      <c r="O221" s="36">
        <f>O163/O$203</f>
        <v>920.15341168160023</v>
      </c>
      <c r="P221" s="180"/>
      <c r="Q221" s="36">
        <f t="shared" ref="Q221:V221" si="1291">Q163/Q$203</f>
        <v>131.99819270303851</v>
      </c>
      <c r="R221" s="36">
        <f t="shared" si="1291"/>
        <v>143.4095195828248</v>
      </c>
      <c r="S221" s="36">
        <f t="shared" si="1291"/>
        <v>179.82588182430911</v>
      </c>
      <c r="T221" s="36">
        <f t="shared" si="1291"/>
        <v>127.22172751558328</v>
      </c>
      <c r="U221" s="36">
        <f t="shared" si="1291"/>
        <v>200.84598590000002</v>
      </c>
      <c r="V221" s="36">
        <f t="shared" si="1291"/>
        <v>194.856324</v>
      </c>
      <c r="W221" s="36">
        <f>W163/W$203</f>
        <v>238.82265839999999</v>
      </c>
      <c r="X221" s="36">
        <f t="shared" ref="X221:Z221" si="1292">X163/X$203</f>
        <v>251.85236450000002</v>
      </c>
      <c r="Y221" s="36">
        <f>Y163/Y$203</f>
        <v>296.61658199113612</v>
      </c>
      <c r="Z221" s="36">
        <f t="shared" si="1292"/>
        <v>285.72324000000003</v>
      </c>
      <c r="AA221" s="36">
        <f>AA163/AA$203</f>
        <v>356.22364009949172</v>
      </c>
      <c r="AB221" s="36">
        <f t="shared" ref="AB221:AC221" si="1293">AB163/AB$203</f>
        <v>381.38528138528136</v>
      </c>
      <c r="AC221" s="36">
        <f t="shared" si="1293"/>
        <v>405.06601414396721</v>
      </c>
      <c r="AD221" s="36">
        <f t="shared" ref="AD221" si="1294">AD163/AD$203</f>
        <v>469.62099125364426</v>
      </c>
      <c r="AE221" s="1"/>
      <c r="AF221" s="36">
        <f t="shared" ref="AF221:AK221" si="1295">AF163/AF$203</f>
        <v>62.183435241801</v>
      </c>
      <c r="AG221" s="36">
        <f t="shared" si="1295"/>
        <v>81.188129775218712</v>
      </c>
      <c r="AH221" s="36">
        <f t="shared" si="1295"/>
        <v>85.031418807187762</v>
      </c>
      <c r="AI221" s="36">
        <f t="shared" si="1295"/>
        <v>91.323351315644587</v>
      </c>
      <c r="AJ221" s="36">
        <f t="shared" si="1295"/>
        <v>79.323281907433412</v>
      </c>
      <c r="AK221" s="36">
        <f t="shared" si="1295"/>
        <v>89.45729961832059</v>
      </c>
      <c r="AL221" s="36">
        <f>AL163/AL$203</f>
        <v>99.319359113359852</v>
      </c>
      <c r="AM221" s="36">
        <f>AM163/AM$203</f>
        <v>71.304274227676686</v>
      </c>
      <c r="AN221" s="36">
        <f t="shared" ref="AN221:AP221" si="1296">AN163/AN$203</f>
        <v>94.272951686846127</v>
      </c>
      <c r="AO221" s="36">
        <f t="shared" si="1296"/>
        <v>99.200036800000007</v>
      </c>
      <c r="AP221" s="36">
        <f t="shared" si="1296"/>
        <v>122.59040178571428</v>
      </c>
      <c r="AQ221" s="36">
        <f t="shared" ref="AQ221:AT221" si="1297">AQ163/AQ$203</f>
        <v>115.66499840272601</v>
      </c>
      <c r="AR221" s="36">
        <f t="shared" si="1297"/>
        <v>126.00126966212882</v>
      </c>
      <c r="AS221" s="36">
        <f t="shared" si="1297"/>
        <v>130.15633729999999</v>
      </c>
      <c r="AT221" s="36">
        <f t="shared" si="1297"/>
        <v>141.83066852666596</v>
      </c>
      <c r="AU221" s="36">
        <f t="shared" ref="AU221:AX221" si="1298">AU163/AU$203</f>
        <v>154.88184689099421</v>
      </c>
      <c r="AV221" s="36">
        <f t="shared" si="1298"/>
        <v>142.94599357313157</v>
      </c>
      <c r="AW221" s="36">
        <f t="shared" si="1298"/>
        <v>149.15396963237808</v>
      </c>
      <c r="AX221" s="36">
        <f t="shared" si="1298"/>
        <v>172.02432667245878</v>
      </c>
      <c r="AY221" s="36">
        <f t="shared" ref="AY221:BC221" si="1299">AY163/AY$203</f>
        <v>184.45138365457089</v>
      </c>
      <c r="AZ221" s="36">
        <f t="shared" si="1299"/>
        <v>182.5972313777192</v>
      </c>
      <c r="BA221" s="36">
        <f t="shared" si="1299"/>
        <v>198.54979739816596</v>
      </c>
      <c r="BB221" s="36">
        <f t="shared" si="1299"/>
        <v>193.309728901337</v>
      </c>
      <c r="BC221" s="36">
        <f t="shared" si="1299"/>
        <v>212.08803240994197</v>
      </c>
      <c r="BD221" s="36">
        <f>BD163/BD$203</f>
        <v>229.02547324141153</v>
      </c>
      <c r="BE221" s="36">
        <f t="shared" ref="BE221:BF221" si="1300">BE163/BE$203</f>
        <v>240.60062856477705</v>
      </c>
      <c r="BF221" s="36">
        <f t="shared" si="1300"/>
        <v>239.62182000000001</v>
      </c>
    </row>
    <row r="222" spans="2:58" s="15" customFormat="1">
      <c r="B222" s="37" t="str">
        <f>B164</f>
        <v xml:space="preserve">% growth </v>
      </c>
      <c r="C222" s="38"/>
      <c r="D222" s="38">
        <f t="shared" ref="D222:K222" si="1301">D221/C221-1</f>
        <v>0.18391098211625745</v>
      </c>
      <c r="E222" s="38">
        <f t="shared" si="1301"/>
        <v>0.16379455314853364</v>
      </c>
      <c r="F222" s="38">
        <f t="shared" si="1301"/>
        <v>-2.5937855865004633E-2</v>
      </c>
      <c r="G222" s="38">
        <f t="shared" si="1301"/>
        <v>0.25396146584704438</v>
      </c>
      <c r="H222" s="38">
        <f t="shared" si="1301"/>
        <v>0.14228145988163132</v>
      </c>
      <c r="I222" s="38">
        <f t="shared" si="1301"/>
        <v>0.25383378258142608</v>
      </c>
      <c r="J222" s="38">
        <f t="shared" si="1301"/>
        <v>-9.3369835598531292E-3</v>
      </c>
      <c r="K222" s="38">
        <f t="shared" si="1301"/>
        <v>0.22248639195644371</v>
      </c>
      <c r="L222" s="38">
        <f>L221/J221-1</f>
        <v>0.23065101226373375</v>
      </c>
      <c r="M222" s="38">
        <f>M221/L221-1</f>
        <v>0.22281863972611382</v>
      </c>
      <c r="N222" s="38">
        <f>N221/M221-1</f>
        <v>0.18238465739952847</v>
      </c>
      <c r="O222" s="25"/>
      <c r="P222" s="175"/>
      <c r="Q222" s="38"/>
      <c r="R222" s="38"/>
      <c r="S222" s="38">
        <f>+S221/Q221-1</f>
        <v>0.36233593916600371</v>
      </c>
      <c r="T222" s="38"/>
      <c r="U222" s="38">
        <f>+U221/S221-1</f>
        <v>0.11689142776581884</v>
      </c>
      <c r="V222" s="38"/>
      <c r="W222" s="38"/>
      <c r="X222" s="38"/>
      <c r="Y222" s="38"/>
      <c r="Z222" s="38"/>
      <c r="AA222" s="38"/>
      <c r="AB222" s="38"/>
      <c r="AC222" s="38"/>
      <c r="AD222" s="38"/>
      <c r="AF222" s="38"/>
      <c r="AG222" s="38"/>
      <c r="AH222" s="38"/>
      <c r="AI222" s="38"/>
      <c r="AJ222" s="38"/>
      <c r="AK222" s="38"/>
      <c r="AL222" s="38">
        <f t="shared" ref="AL222" si="1302">AL221/AH221-1</f>
        <v>0.16803130544687939</v>
      </c>
      <c r="AM222" s="38">
        <f t="shared" ref="AM222" si="1303">AM221/AI221-1</f>
        <v>-0.21921093345310072</v>
      </c>
      <c r="AN222" s="38">
        <f t="shared" ref="AN222" si="1304">AN221/AJ221-1</f>
        <v>0.18846509397907019</v>
      </c>
      <c r="AO222" s="38">
        <f t="shared" ref="AO222" si="1305">AO221/AK221-1</f>
        <v>0.10890935925014356</v>
      </c>
      <c r="AP222" s="38">
        <f t="shared" ref="AP222" si="1306">AP221/AL221-1</f>
        <v>0.23430520373972241</v>
      </c>
      <c r="AQ222" s="38">
        <f t="shared" ref="AQ222" si="1307">AQ221/AM221-1</f>
        <v>0.62213274948152764</v>
      </c>
      <c r="AR222" s="38">
        <f t="shared" ref="AR222" si="1308">AR221/AN221-1</f>
        <v>0.33655802016974223</v>
      </c>
      <c r="AS222" s="38">
        <f t="shared" ref="AS222:BF222" si="1309">AS221/AO221-1</f>
        <v>0.31205936508281606</v>
      </c>
      <c r="AT222" s="38">
        <f t="shared" si="1309"/>
        <v>0.15694757877197674</v>
      </c>
      <c r="AU222" s="38">
        <f t="shared" si="1309"/>
        <v>0.33905545350652888</v>
      </c>
      <c r="AV222" s="38">
        <f t="shared" si="1309"/>
        <v>0.13448058068335245</v>
      </c>
      <c r="AW222" s="38">
        <f t="shared" si="1309"/>
        <v>0.14596010249266667</v>
      </c>
      <c r="AX222" s="38">
        <f t="shared" si="1309"/>
        <v>0.21288525577326767</v>
      </c>
      <c r="AY222" s="38">
        <f t="shared" si="1309"/>
        <v>0.19091673657783614</v>
      </c>
      <c r="AZ222" s="38">
        <f t="shared" si="1309"/>
        <v>0.27738614293028041</v>
      </c>
      <c r="BA222" s="38">
        <f t="shared" si="1309"/>
        <v>0.33117340348054092</v>
      </c>
      <c r="BB222" s="38">
        <f t="shared" si="1309"/>
        <v>0.12373483820928688</v>
      </c>
      <c r="BC222" s="38">
        <f t="shared" si="1309"/>
        <v>0.14983161528962707</v>
      </c>
      <c r="BD222" s="38">
        <f t="shared" si="1309"/>
        <v>0.25426585887083486</v>
      </c>
      <c r="BE222" s="38">
        <f t="shared" si="1309"/>
        <v>0.21178984676717438</v>
      </c>
      <c r="BF222" s="38">
        <f t="shared" si="1309"/>
        <v>0.23957454889557139</v>
      </c>
    </row>
    <row r="223" spans="2:58" s="5" customFormat="1" ht="13.5" thickBot="1">
      <c r="B223" s="39" t="str">
        <f>B165</f>
        <v xml:space="preserve">Adjusted Normalised EBITDA </v>
      </c>
      <c r="C223" s="54">
        <f t="shared" ref="C223:G223" si="1310">C165/C$203</f>
        <v>182.47787610619471</v>
      </c>
      <c r="D223" s="54">
        <f t="shared" si="1310"/>
        <v>209.72823635543529</v>
      </c>
      <c r="E223" s="54">
        <f t="shared" si="1310"/>
        <v>239.70744367111004</v>
      </c>
      <c r="F223" s="54">
        <f t="shared" si="1310"/>
        <v>240.09402283411686</v>
      </c>
      <c r="G223" s="54">
        <f t="shared" si="1310"/>
        <v>271.49372862029645</v>
      </c>
      <c r="H223" s="54">
        <f t="shared" ref="H223:I223" si="1311">H165/H$203</f>
        <v>336.66729839999999</v>
      </c>
      <c r="I223" s="54">
        <f t="shared" si="1311"/>
        <v>394.84275506962689</v>
      </c>
      <c r="J223" s="54">
        <f t="shared" ref="J223" si="1312">J165/J$203</f>
        <v>380.50517457636778</v>
      </c>
      <c r="K223" s="54">
        <f>K165/K$203</f>
        <v>495.1330304996755</v>
      </c>
      <c r="L223" s="54">
        <f>L165/L$203</f>
        <v>511.24810728963877</v>
      </c>
      <c r="M223" s="54">
        <f>M165/M$203</f>
        <v>653.41446923597027</v>
      </c>
      <c r="N223" s="54">
        <f>N165/N$203</f>
        <v>784.70211367101717</v>
      </c>
      <c r="O223" s="54">
        <f t="shared" ref="O223" si="1313">O165/O$203</f>
        <v>825.16316433911095</v>
      </c>
      <c r="P223" s="36"/>
      <c r="Q223" s="54">
        <f t="shared" ref="Q223:V223" si="1314">Q165/Q$203</f>
        <v>105.04913588614029</v>
      </c>
      <c r="R223" s="54">
        <f t="shared" si="1314"/>
        <v>134.80528126040164</v>
      </c>
      <c r="S223" s="54">
        <f t="shared" si="1314"/>
        <v>134.01482812851046</v>
      </c>
      <c r="T223" s="54">
        <f t="shared" si="1314"/>
        <v>105.78806767586821</v>
      </c>
      <c r="U223" s="54">
        <f t="shared" si="1314"/>
        <v>179.62167239999997</v>
      </c>
      <c r="V223" s="54">
        <f t="shared" si="1314"/>
        <v>158.254536</v>
      </c>
      <c r="W223" s="54">
        <f t="shared" ref="W223:X223" si="1315">W165/W$203</f>
        <v>182.02654559999996</v>
      </c>
      <c r="X223" s="54">
        <f t="shared" si="1315"/>
        <v>209.00511940000001</v>
      </c>
      <c r="Y223" s="54">
        <f t="shared" ref="Y223:AA223" si="1316">Y165/Y$203</f>
        <v>245.81126364717332</v>
      </c>
      <c r="Z223" s="54">
        <f t="shared" si="1316"/>
        <v>235.44575999999992</v>
      </c>
      <c r="AA223" s="54">
        <f t="shared" si="1316"/>
        <v>308.4243538444901</v>
      </c>
      <c r="AB223" s="54">
        <f t="shared" ref="AB223:AC223" si="1317">AB165/AB$203</f>
        <v>345.02164502164504</v>
      </c>
      <c r="AC223" s="54">
        <f t="shared" si="1317"/>
        <v>356.12681169162914</v>
      </c>
      <c r="AD223" s="54">
        <f t="shared" ref="AD223" si="1318">AD165/AD$203</f>
        <v>431.60349854227417</v>
      </c>
      <c r="AF223" s="54">
        <f t="shared" ref="AF223:AK223" si="1319">AF165/AF$203</f>
        <v>60.601445247359642</v>
      </c>
      <c r="AG223" s="54">
        <f t="shared" si="1319"/>
        <v>74.176724615214269</v>
      </c>
      <c r="AH223" s="54">
        <f t="shared" si="1319"/>
        <v>73.824275162606114</v>
      </c>
      <c r="AI223" s="54">
        <f t="shared" si="1319"/>
        <v>57.617527248706359</v>
      </c>
      <c r="AJ223" s="54">
        <f t="shared" si="1319"/>
        <v>65.451145395044435</v>
      </c>
      <c r="AK223" s="54">
        <f t="shared" si="1319"/>
        <v>74.904580152671713</v>
      </c>
      <c r="AL223" s="54">
        <f>AL165/AL$203</f>
        <v>88.760390314419922</v>
      </c>
      <c r="AM223" s="54">
        <f>AM165/AM$203</f>
        <v>63.813796022005938</v>
      </c>
      <c r="AN223" s="54">
        <f t="shared" ref="AN223:AP223" si="1320">AN165/AN$203</f>
        <v>79.922416833196195</v>
      </c>
      <c r="AO223" s="54">
        <f t="shared" si="1320"/>
        <v>77.300897599999985</v>
      </c>
      <c r="AP223" s="54">
        <f t="shared" si="1320"/>
        <v>91.979910714285694</v>
      </c>
      <c r="AQ223" s="54">
        <f t="shared" ref="AQ223:AT223" si="1321">AQ165/AQ$203</f>
        <v>89.547439037376137</v>
      </c>
      <c r="AR223" s="54">
        <f t="shared" si="1321"/>
        <v>103.34203287014178</v>
      </c>
      <c r="AS223" s="54">
        <f t="shared" si="1321"/>
        <v>109.19410259999999</v>
      </c>
      <c r="AT223" s="54">
        <f t="shared" si="1321"/>
        <v>110.00643845906215</v>
      </c>
      <c r="AU223" s="54">
        <f t="shared" ref="AU223:AX223" si="1322">AU165/AU$203</f>
        <v>135.9958619187629</v>
      </c>
      <c r="AV223" s="54">
        <f t="shared" si="1322"/>
        <v>118.48242977091331</v>
      </c>
      <c r="AW223" s="54">
        <f t="shared" si="1322"/>
        <v>122.20731033393842</v>
      </c>
      <c r="AX223" s="54">
        <f t="shared" si="1322"/>
        <v>149.86967854039963</v>
      </c>
      <c r="AY223" s="54">
        <f t="shared" ref="AY223:BC223" si="1323">AY165/AY$203</f>
        <v>158.8241628082265</v>
      </c>
      <c r="AZ223" s="54">
        <f t="shared" si="1323"/>
        <v>157.65765765765767</v>
      </c>
      <c r="BA223" s="54">
        <f t="shared" si="1323"/>
        <v>186.9268500746428</v>
      </c>
      <c r="BB223" s="54">
        <f t="shared" si="1323"/>
        <v>169.21206996776411</v>
      </c>
      <c r="BC223" s="54">
        <f t="shared" si="1323"/>
        <v>187.23311069747064</v>
      </c>
      <c r="BD223" s="54">
        <f t="shared" ref="BD223:BF223" si="1324">BD165/BD$203</f>
        <v>201.91633559242814</v>
      </c>
      <c r="BE223" s="54">
        <f t="shared" si="1324"/>
        <v>229.65894540798524</v>
      </c>
      <c r="BF223" s="54">
        <f t="shared" si="1324"/>
        <v>207.54738</v>
      </c>
    </row>
    <row r="224" spans="2:58" s="15" customFormat="1" ht="13.5" thickTop="1">
      <c r="B224" s="37" t="str">
        <f>B166</f>
        <v xml:space="preserve">% growth </v>
      </c>
      <c r="C224" s="38"/>
      <c r="D224" s="38">
        <f t="shared" ref="D224:K224" si="1325">D223/C223-1</f>
        <v>0.14933514588575103</v>
      </c>
      <c r="E224" s="38">
        <f t="shared" si="1325"/>
        <v>0.1429431145592992</v>
      </c>
      <c r="F224" s="38">
        <f t="shared" si="1325"/>
        <v>1.6127123842561986E-3</v>
      </c>
      <c r="G224" s="38">
        <f t="shared" si="1325"/>
        <v>0.1307808724912487</v>
      </c>
      <c r="H224" s="38">
        <f t="shared" si="1325"/>
        <v>0.24005552581604372</v>
      </c>
      <c r="I224" s="38">
        <f t="shared" si="1325"/>
        <v>0.1727980619029641</v>
      </c>
      <c r="J224" s="38">
        <f t="shared" si="1325"/>
        <v>-3.6312127572736719E-2</v>
      </c>
      <c r="K224" s="38">
        <f t="shared" si="1325"/>
        <v>0.30125176628919093</v>
      </c>
      <c r="L224" s="38">
        <f>L223/J223-1</f>
        <v>0.34360356034272743</v>
      </c>
      <c r="M224" s="38">
        <f>M223/L223-1</f>
        <v>0.27807704306236114</v>
      </c>
      <c r="N224" s="38">
        <f>N223/M223-1</f>
        <v>0.20092552371630212</v>
      </c>
      <c r="O224" s="25"/>
      <c r="P224" s="175"/>
      <c r="Q224" s="38"/>
      <c r="R224" s="38"/>
      <c r="S224" s="38">
        <f>+S223/Q223-1</f>
        <v>0.27573470260398181</v>
      </c>
      <c r="T224" s="38"/>
      <c r="U224" s="38">
        <f>+U223/S223-1</f>
        <v>0.34031192598893512</v>
      </c>
      <c r="V224" s="38"/>
      <c r="W224" s="38"/>
      <c r="X224" s="38"/>
      <c r="Y224" s="38"/>
      <c r="Z224" s="38"/>
      <c r="AA224" s="38"/>
      <c r="AB224" s="38"/>
      <c r="AC224" s="38"/>
      <c r="AD224" s="38"/>
      <c r="AF224" s="38"/>
      <c r="AG224" s="38"/>
      <c r="AH224" s="38"/>
      <c r="AI224" s="38"/>
      <c r="AJ224" s="38">
        <f t="shared" ref="AJ224:AO224" si="1326">AJ223/AF223-1</f>
        <v>8.0026146701445144E-2</v>
      </c>
      <c r="AK224" s="38">
        <f t="shared" si="1326"/>
        <v>9.8124518335520605E-3</v>
      </c>
      <c r="AL224" s="38">
        <f t="shared" si="1326"/>
        <v>0.20231983475510407</v>
      </c>
      <c r="AM224" s="38">
        <f t="shared" si="1326"/>
        <v>0.10754138660885859</v>
      </c>
      <c r="AN224" s="38">
        <f t="shared" si="1326"/>
        <v>0.22110035433004716</v>
      </c>
      <c r="AO224" s="38">
        <f t="shared" si="1326"/>
        <v>3.1991601080255228E-2</v>
      </c>
      <c r="AP224" s="38">
        <f t="shared" ref="AP224:BF224" si="1327">AP223/AL223-1</f>
        <v>3.6272039684155599E-2</v>
      </c>
      <c r="AQ224" s="38">
        <f t="shared" si="1327"/>
        <v>0.40326143592047159</v>
      </c>
      <c r="AR224" s="38">
        <f t="shared" si="1327"/>
        <v>0.29302937730003831</v>
      </c>
      <c r="AS224" s="38">
        <f t="shared" si="1327"/>
        <v>0.41258518322819593</v>
      </c>
      <c r="AT224" s="38">
        <f t="shared" si="1327"/>
        <v>0.19598331423447113</v>
      </c>
      <c r="AU224" s="38">
        <f t="shared" si="1327"/>
        <v>0.51870185658798906</v>
      </c>
      <c r="AV224" s="38">
        <f t="shared" si="1327"/>
        <v>0.14650763566647429</v>
      </c>
      <c r="AW224" s="38">
        <f t="shared" si="1327"/>
        <v>0.11917500509719314</v>
      </c>
      <c r="AX224" s="38">
        <f t="shared" si="1327"/>
        <v>0.36237188149830168</v>
      </c>
      <c r="AY224" s="38">
        <f t="shared" si="1327"/>
        <v>0.16786026109456254</v>
      </c>
      <c r="AZ224" s="38">
        <f t="shared" si="1327"/>
        <v>0.33064166528733385</v>
      </c>
      <c r="BA224" s="38">
        <f t="shared" si="1327"/>
        <v>0.52958812008753453</v>
      </c>
      <c r="BB224" s="38">
        <f t="shared" si="1327"/>
        <v>0.12906140598780591</v>
      </c>
      <c r="BC224" s="38">
        <f t="shared" si="1327"/>
        <v>0.17887044003214259</v>
      </c>
      <c r="BD224" s="38">
        <f t="shared" si="1327"/>
        <v>0.28072647147197261</v>
      </c>
      <c r="BE224" s="38">
        <f t="shared" si="1327"/>
        <v>0.22860330292988329</v>
      </c>
      <c r="BF224" s="38">
        <f t="shared" si="1327"/>
        <v>0.22655186500312308</v>
      </c>
    </row>
    <row r="225" spans="2:58" s="15" customFormat="1">
      <c r="B225" s="37" t="str">
        <f>B167</f>
        <v>% margin</v>
      </c>
      <c r="C225" s="38">
        <f t="shared" ref="C225:R225" si="1328">+C223/C221</f>
        <v>0.88900385867339249</v>
      </c>
      <c r="D225" s="38">
        <f t="shared" si="1328"/>
        <v>0.86304071423931117</v>
      </c>
      <c r="E225" s="38">
        <f t="shared" si="1328"/>
        <v>0.84757781281544331</v>
      </c>
      <c r="F225" s="38">
        <f t="shared" si="1328"/>
        <v>0.87155087297298384</v>
      </c>
      <c r="G225" s="38">
        <f t="shared" ref="G225:H225" si="1329">+G223/G221</f>
        <v>0.78593567936729036</v>
      </c>
      <c r="H225" s="38">
        <f t="shared" si="1329"/>
        <v>0.85320817711283514</v>
      </c>
      <c r="I225" s="38">
        <f t="shared" ref="I225:J225" si="1330">+I223/I221</f>
        <v>0.7980650309625158</v>
      </c>
      <c r="J225" s="38">
        <f t="shared" si="1330"/>
        <v>0.77633421151674831</v>
      </c>
      <c r="K225" s="38">
        <f t="shared" ref="K225:M225" si="1331">+K223/K221</f>
        <v>0.82635379061371828</v>
      </c>
      <c r="L225" s="38">
        <f t="shared" ref="L225" si="1332">+L223/L221</f>
        <v>0.84758830912677074</v>
      </c>
      <c r="M225" s="38">
        <f t="shared" si="1331"/>
        <v>0.88589029040774414</v>
      </c>
      <c r="N225" s="38">
        <f t="shared" ref="N225" si="1333">+N223/N221</f>
        <v>0.89978185551135648</v>
      </c>
      <c r="O225" s="38">
        <f t="shared" ref="O225" si="1334">+O223/O221</f>
        <v>0.89676694545000646</v>
      </c>
      <c r="P225" s="179"/>
      <c r="Q225" s="38">
        <f t="shared" si="1328"/>
        <v>0.79583768334217597</v>
      </c>
      <c r="R225" s="38">
        <f t="shared" si="1328"/>
        <v>0.94000232099338521</v>
      </c>
      <c r="S225" s="38">
        <f t="shared" ref="S225:U225" si="1335">+S223/S221</f>
        <v>0.74524771834258929</v>
      </c>
      <c r="T225" s="38">
        <f t="shared" si="1335"/>
        <v>0.8315251627353536</v>
      </c>
      <c r="U225" s="38">
        <f t="shared" si="1335"/>
        <v>0.89432542848744057</v>
      </c>
      <c r="V225" s="38">
        <f t="shared" ref="V225:W225" si="1336">+V223/V221</f>
        <v>0.81216012265529547</v>
      </c>
      <c r="W225" s="38">
        <f t="shared" si="1336"/>
        <v>0.76218289679669682</v>
      </c>
      <c r="X225" s="38">
        <f t="shared" ref="X225:Y225" si="1337">+X223/X221</f>
        <v>0.82987157899007935</v>
      </c>
      <c r="Y225" s="38">
        <f t="shared" si="1337"/>
        <v>0.82871720116618086</v>
      </c>
      <c r="Z225" s="38">
        <f t="shared" ref="Z225:AC225" si="1338">+Z223/Z221</f>
        <v>0.82403433476394816</v>
      </c>
      <c r="AA225" s="38">
        <f t="shared" ref="AA225" si="1339">+AA223/AA221</f>
        <v>0.86581663630843964</v>
      </c>
      <c r="AB225" s="38">
        <f t="shared" si="1338"/>
        <v>0.90465380249716243</v>
      </c>
      <c r="AC225" s="38">
        <f t="shared" si="1338"/>
        <v>0.879182156133829</v>
      </c>
      <c r="AD225" s="38">
        <f t="shared" ref="AD225" si="1340">+AD223/AD221</f>
        <v>0.91904643655326579</v>
      </c>
      <c r="AF225" s="38">
        <f t="shared" ref="AF225:AK225" si="1341">+AF223/AF221</f>
        <v>0.97455930203454066</v>
      </c>
      <c r="AG225" s="38">
        <f t="shared" si="1341"/>
        <v>0.91364002127630539</v>
      </c>
      <c r="AH225" s="38">
        <f t="shared" si="1341"/>
        <v>0.86819996888450957</v>
      </c>
      <c r="AI225" s="38">
        <f t="shared" si="1341"/>
        <v>0.6309177928606734</v>
      </c>
      <c r="AJ225" s="38">
        <f t="shared" si="1341"/>
        <v>0.82511897920994848</v>
      </c>
      <c r="AK225" s="38">
        <f t="shared" si="1341"/>
        <v>0.83732216903774592</v>
      </c>
      <c r="AL225" s="38">
        <f t="shared" ref="AL225:AP225" si="1342">+AL223/AL221</f>
        <v>0.89368670022439156</v>
      </c>
      <c r="AM225" s="38">
        <f t="shared" si="1342"/>
        <v>0.89495050210099014</v>
      </c>
      <c r="AN225" s="38">
        <f t="shared" si="1342"/>
        <v>0.84777675253746976</v>
      </c>
      <c r="AO225" s="38">
        <f t="shared" si="1342"/>
        <v>0.77924263028095953</v>
      </c>
      <c r="AP225" s="38">
        <f t="shared" si="1342"/>
        <v>0.75030271028122453</v>
      </c>
      <c r="AQ225" s="38">
        <f t="shared" ref="AQ225:AT225" si="1343">+AQ223/AQ221</f>
        <v>0.77419651816867763</v>
      </c>
      <c r="AR225" s="38">
        <f t="shared" si="1343"/>
        <v>0.82016659948945303</v>
      </c>
      <c r="AS225" s="38">
        <f t="shared" si="1343"/>
        <v>0.83894572377460408</v>
      </c>
      <c r="AT225" s="38">
        <f t="shared" si="1343"/>
        <v>0.77561813394667567</v>
      </c>
      <c r="AU225" s="38">
        <f t="shared" ref="AU225:AX225" si="1344">+AU223/AU221</f>
        <v>0.87806198498185994</v>
      </c>
      <c r="AV225" s="38">
        <f t="shared" si="1344"/>
        <v>0.82886149383611352</v>
      </c>
      <c r="AW225" s="38">
        <f t="shared" si="1344"/>
        <v>0.81933662667607521</v>
      </c>
      <c r="AX225" s="38">
        <f t="shared" si="1344"/>
        <v>0.87121212121212088</v>
      </c>
      <c r="AY225" s="38">
        <f t="shared" ref="AY225:BC225" si="1345">+AY223/AY221</f>
        <v>0.86106246351430216</v>
      </c>
      <c r="AZ225" s="38">
        <f t="shared" si="1345"/>
        <v>0.86341756919374246</v>
      </c>
      <c r="BA225" s="38">
        <f t="shared" si="1345"/>
        <v>0.94146079484425338</v>
      </c>
      <c r="BB225" s="38">
        <f t="shared" si="1345"/>
        <v>0.87534171678512851</v>
      </c>
      <c r="BC225" s="38">
        <f t="shared" si="1345"/>
        <v>0.88280846670108382</v>
      </c>
      <c r="BD225" s="38">
        <f t="shared" ref="BD225:BF225" si="1346">+BD223/BD221</f>
        <v>0.88163265306122451</v>
      </c>
      <c r="BE225" s="38">
        <f t="shared" si="1346"/>
        <v>0.95452346395742693</v>
      </c>
      <c r="BF225" s="38">
        <f t="shared" si="1346"/>
        <v>0.86614557889594523</v>
      </c>
    </row>
    <row r="226" spans="2:58"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D226" s="40"/>
      <c r="BE226" s="40"/>
      <c r="BF226" s="40"/>
    </row>
    <row r="227" spans="2:58" s="5" customFormat="1">
      <c r="B227" s="5" t="str">
        <f t="shared" ref="B227:B244" si="1347">B169</f>
        <v xml:space="preserve">Adj EBITDA </v>
      </c>
      <c r="C227" s="36">
        <f t="shared" ref="C227:F243" si="1348">C169/C$203</f>
        <v>182.47787610619471</v>
      </c>
      <c r="D227" s="36">
        <f t="shared" si="1348"/>
        <v>209.72823635543529</v>
      </c>
      <c r="E227" s="36">
        <f t="shared" si="1348"/>
        <v>239.70744367111004</v>
      </c>
      <c r="F227" s="36">
        <f t="shared" si="1348"/>
        <v>240.09402283411686</v>
      </c>
      <c r="G227" s="36">
        <f t="shared" ref="G227:H227" si="1349">G169/G$203</f>
        <v>271.49372862029645</v>
      </c>
      <c r="H227" s="36">
        <f t="shared" si="1349"/>
        <v>336.66729839999999</v>
      </c>
      <c r="I227" s="36">
        <f t="shared" ref="I227:J227" si="1350">I169/I$203</f>
        <v>394.84275506962689</v>
      </c>
      <c r="J227" s="36">
        <f t="shared" si="1350"/>
        <v>380.50517457636778</v>
      </c>
      <c r="K227" s="36">
        <f t="shared" ref="K227:K243" si="1351">K169/K$203</f>
        <v>495.1330304996755</v>
      </c>
      <c r="L227" s="36">
        <f t="shared" ref="L227" si="1352">L169/L$203</f>
        <v>511.24810728963877</v>
      </c>
      <c r="M227" s="36">
        <f t="shared" ref="M227:N227" si="1353">M169/M$203</f>
        <v>653.41446923597027</v>
      </c>
      <c r="N227" s="36">
        <f t="shared" si="1353"/>
        <v>784.70211367101717</v>
      </c>
      <c r="O227" s="36">
        <f t="shared" ref="O227:O243" si="1354">O169/O$203</f>
        <v>825.16316433911095</v>
      </c>
      <c r="P227" s="36"/>
      <c r="Q227" s="36">
        <f t="shared" ref="Q227:S243" si="1355">Q169/Q$203</f>
        <v>105.04913588614029</v>
      </c>
      <c r="R227" s="36">
        <f t="shared" si="1355"/>
        <v>134.80528126040164</v>
      </c>
      <c r="S227" s="36">
        <f t="shared" si="1355"/>
        <v>134.01482812851046</v>
      </c>
      <c r="T227" s="36">
        <f t="shared" ref="T227:V227" si="1356">T169/T$203</f>
        <v>105.78806767586821</v>
      </c>
      <c r="U227" s="36">
        <f t="shared" ref="U227" si="1357">U169/U$203</f>
        <v>179.62167239999997</v>
      </c>
      <c r="V227" s="36">
        <f t="shared" si="1356"/>
        <v>158.254536</v>
      </c>
      <c r="W227" s="36">
        <f t="shared" ref="W227:X227" si="1358">W169/W$203</f>
        <v>182.02654559999996</v>
      </c>
      <c r="X227" s="36">
        <f t="shared" si="1358"/>
        <v>209.00511940000001</v>
      </c>
      <c r="Y227" s="36">
        <f t="shared" ref="Y227:AA227" si="1359">Y169/Y$203</f>
        <v>245.81126364717332</v>
      </c>
      <c r="Z227" s="36">
        <f t="shared" si="1359"/>
        <v>235.44575999999992</v>
      </c>
      <c r="AA227" s="36">
        <f t="shared" si="1359"/>
        <v>308.4243538444901</v>
      </c>
      <c r="AB227" s="36">
        <f t="shared" ref="AB227:AD227" si="1360">AB169/AB$203</f>
        <v>345.02164502164504</v>
      </c>
      <c r="AC227" s="36">
        <f t="shared" ref="AC227" si="1361">AC169/AC$203</f>
        <v>356.12681169162914</v>
      </c>
      <c r="AD227" s="36">
        <f t="shared" si="1360"/>
        <v>431.60349854227417</v>
      </c>
      <c r="AF227" s="142"/>
      <c r="AG227" s="142"/>
      <c r="AH227" s="142"/>
      <c r="AI227" s="142"/>
      <c r="AJ227" s="142"/>
      <c r="AK227" s="142"/>
      <c r="AL227" s="142"/>
      <c r="AM227" s="142"/>
      <c r="AN227" s="142"/>
      <c r="AO227" s="142"/>
      <c r="AP227" s="142"/>
      <c r="AQ227" s="142"/>
      <c r="AR227" s="142"/>
      <c r="AS227" s="142"/>
      <c r="AT227" s="36">
        <f t="shared" ref="AT227:AU227" si="1362">AT169/AT$203</f>
        <v>110.00643845906215</v>
      </c>
      <c r="AU227" s="36">
        <f t="shared" si="1362"/>
        <v>135.9958619187629</v>
      </c>
      <c r="AV227" s="36">
        <f t="shared" ref="AV227:AY227" si="1363">AV169/AV$203</f>
        <v>118.48242977091331</v>
      </c>
      <c r="AW227" s="36">
        <f t="shared" si="1363"/>
        <v>122.20731033393842</v>
      </c>
      <c r="AX227" s="36">
        <f t="shared" si="1363"/>
        <v>149.86967854039963</v>
      </c>
      <c r="AY227" s="36">
        <f t="shared" si="1363"/>
        <v>158.8241628082265</v>
      </c>
      <c r="AZ227" s="36">
        <f t="shared" ref="AZ227:BB227" si="1364">AZ169/AZ$203</f>
        <v>157.65765765765767</v>
      </c>
      <c r="BA227" s="36">
        <f t="shared" si="1364"/>
        <v>186.9268500746428</v>
      </c>
      <c r="BB227" s="36">
        <f t="shared" si="1364"/>
        <v>169.21206996776411</v>
      </c>
      <c r="BC227" s="36">
        <f t="shared" ref="BC227:BF227" si="1365">BC169/BC$203</f>
        <v>187.23311069747064</v>
      </c>
      <c r="BD227" s="36">
        <f t="shared" si="1365"/>
        <v>201.91633559242814</v>
      </c>
      <c r="BE227" s="36">
        <f t="shared" si="1365"/>
        <v>229.65894540798524</v>
      </c>
      <c r="BF227" s="36">
        <f t="shared" si="1365"/>
        <v>207.54738</v>
      </c>
    </row>
    <row r="228" spans="2:58">
      <c r="B228" s="1" t="str">
        <f t="shared" si="1347"/>
        <v>Working Capital</v>
      </c>
      <c r="C228" s="42">
        <f t="shared" si="1348"/>
        <v>-82.658185840707958</v>
      </c>
      <c r="D228" s="42">
        <f t="shared" si="1348"/>
        <v>49.860171402796574</v>
      </c>
      <c r="E228" s="42">
        <f t="shared" si="1348"/>
        <v>39.006724076914004</v>
      </c>
      <c r="F228" s="42">
        <f t="shared" si="1348"/>
        <v>-6.0364898141929704</v>
      </c>
      <c r="G228" s="42">
        <f t="shared" ref="G228:H228" si="1366">G170/G$203</f>
        <v>20.402508551881414</v>
      </c>
      <c r="H228" s="42">
        <f t="shared" si="1366"/>
        <v>-55.882580400000002</v>
      </c>
      <c r="I228" s="42">
        <f t="shared" ref="I228:J228" si="1367">I170/I$203</f>
        <v>36.400953227767964</v>
      </c>
      <c r="J228" s="42">
        <f t="shared" si="1367"/>
        <v>36.056579943151995</v>
      </c>
      <c r="K228" s="42">
        <f t="shared" si="1351"/>
        <v>11.248107289638764</v>
      </c>
      <c r="L228" s="42">
        <f t="shared" ref="L228" si="1368">L170/L$203</f>
        <v>11.248107289638764</v>
      </c>
      <c r="M228" s="42">
        <f t="shared" ref="M228:N228" si="1369">M170/M$203</f>
        <v>-35.699797160243406</v>
      </c>
      <c r="N228" s="42">
        <f t="shared" si="1369"/>
        <v>39.167960608222472</v>
      </c>
      <c r="O228" s="42">
        <f t="shared" si="1354"/>
        <v>-36.9853200051773</v>
      </c>
      <c r="P228" s="42"/>
      <c r="Q228" s="42">
        <f t="shared" si="1355"/>
        <v>-34.749802326894837</v>
      </c>
      <c r="R228" s="42">
        <f t="shared" si="1355"/>
        <v>28.149339842449795</v>
      </c>
      <c r="S228" s="42">
        <f t="shared" si="1355"/>
        <v>14.78319478768816</v>
      </c>
      <c r="T228" s="42">
        <f t="shared" ref="T228:V228" si="1370">T170/T$203</f>
        <v>4.2146037399821914</v>
      </c>
      <c r="U228" s="42">
        <f t="shared" ref="U228" si="1371">U170/U$203</f>
        <v>-72.477144800000005</v>
      </c>
      <c r="V228" s="42">
        <f t="shared" si="1370"/>
        <v>15.051966000000004</v>
      </c>
      <c r="W228" s="42">
        <f t="shared" ref="W228:X228" si="1372">W170/W$203</f>
        <v>22.561461600000001</v>
      </c>
      <c r="X228" s="42">
        <f t="shared" si="1372"/>
        <v>13.865139200000002</v>
      </c>
      <c r="Y228" s="42">
        <f t="shared" ref="Y228:AA228" si="1373">Y170/Y$203</f>
        <v>-58.480164306561456</v>
      </c>
      <c r="Z228" s="42">
        <f t="shared" si="1373"/>
        <v>65.91255000000001</v>
      </c>
      <c r="AA228" s="42">
        <f t="shared" si="1373"/>
        <v>9.6247431599437654</v>
      </c>
      <c r="AB228" s="42">
        <f t="shared" ref="AB228:AD228" si="1374">AB170/AB$203</f>
        <v>-45.34632034632034</v>
      </c>
      <c r="AC228" s="42">
        <f t="shared" ref="AC228" si="1375">AC170/AC$203</f>
        <v>8.8198123100916934</v>
      </c>
      <c r="AD228" s="42">
        <f t="shared" si="1374"/>
        <v>31.253644314868804</v>
      </c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42">
        <f t="shared" ref="AT228:AU228" si="1376">AT170/AT$203</f>
        <v>-78.54061594591694</v>
      </c>
      <c r="AU228" s="42">
        <f t="shared" si="1376"/>
        <v>20.790591310029392</v>
      </c>
      <c r="AV228" s="42">
        <f t="shared" ref="AV228:AY228" si="1377">AV170/AV$203</f>
        <v>63.543070384575522</v>
      </c>
      <c r="AW228" s="42">
        <f t="shared" si="1377"/>
        <v>3.3683324123049365</v>
      </c>
      <c r="AX228" s="42">
        <f t="shared" si="1377"/>
        <v>-31.820156385751524</v>
      </c>
      <c r="AY228" s="42">
        <f t="shared" si="1377"/>
        <v>41.132766232367828</v>
      </c>
      <c r="AZ228" s="42">
        <f t="shared" ref="AZ228:BB228" si="1378">AZ170/AZ$203</f>
        <v>-34.717644473742034</v>
      </c>
      <c r="BA228" s="42">
        <f t="shared" si="1378"/>
        <v>-10.983152058008104</v>
      </c>
      <c r="BB228" s="42">
        <f t="shared" si="1378"/>
        <v>-29.382233261110816</v>
      </c>
      <c r="BC228" s="42">
        <f t="shared" ref="BC228:BF228" si="1379">BC170/BC$203</f>
        <v>39.417496988941203</v>
      </c>
      <c r="BD228" s="42">
        <f t="shared" si="1379"/>
        <v>42.182752979668159</v>
      </c>
      <c r="BE228" s="42">
        <f t="shared" si="1379"/>
        <v>-10.825282272145278</v>
      </c>
      <c r="BF228" s="42">
        <f t="shared" si="1379"/>
        <v>-111.20700000000001</v>
      </c>
    </row>
    <row r="229" spans="2:58">
      <c r="B229" s="1" t="str">
        <f t="shared" si="1347"/>
        <v>Taxes</v>
      </c>
      <c r="C229" s="42">
        <f t="shared" si="1348"/>
        <v>-9.5973451327433619</v>
      </c>
      <c r="D229" s="42">
        <f t="shared" si="1348"/>
        <v>-12.543978349120433</v>
      </c>
      <c r="E229" s="42">
        <f t="shared" si="1348"/>
        <v>-43.371475757933226</v>
      </c>
      <c r="F229" s="42">
        <f t="shared" si="1348"/>
        <v>-13.518021043205732</v>
      </c>
      <c r="G229" s="42">
        <f t="shared" ref="G229:H229" si="1380">G171/G$203</f>
        <v>-9.9030786773090078</v>
      </c>
      <c r="H229" s="42">
        <f t="shared" si="1380"/>
        <v>-39.103851600000006</v>
      </c>
      <c r="I229" s="42">
        <f t="shared" ref="I229:J229" si="1381">I171/I$203</f>
        <v>-32.796613972010199</v>
      </c>
      <c r="J229" s="42">
        <f t="shared" si="1381"/>
        <v>-32.486339743553799</v>
      </c>
      <c r="K229" s="42">
        <f t="shared" si="1351"/>
        <v>-48.669695003244648</v>
      </c>
      <c r="L229" s="42">
        <f t="shared" ref="L229" si="1382">L171/L$203</f>
        <v>-48.669695003244648</v>
      </c>
      <c r="M229" s="42">
        <f t="shared" ref="M229:N229" si="1383">M171/M$203</f>
        <v>-48.573360378634213</v>
      </c>
      <c r="N229" s="42">
        <f t="shared" si="1383"/>
        <v>-82.812259571670381</v>
      </c>
      <c r="O229" s="42">
        <f t="shared" si="1354"/>
        <v>-82.814955663766554</v>
      </c>
      <c r="P229" s="42"/>
      <c r="Q229" s="42">
        <f t="shared" si="1355"/>
        <v>-11.719191234609736</v>
      </c>
      <c r="R229" s="42">
        <f t="shared" si="1355"/>
        <v>-1.8883834461333628</v>
      </c>
      <c r="S229" s="42">
        <f t="shared" si="1355"/>
        <v>-4.2990339249606828</v>
      </c>
      <c r="T229" s="42">
        <f t="shared" ref="T229:V229" si="1384">T171/T$203</f>
        <v>-4.3259127337488872</v>
      </c>
      <c r="U229" s="42">
        <f t="shared" ref="U229" si="1385">U171/U$203</f>
        <v>17.7060055</v>
      </c>
      <c r="V229" s="42">
        <f t="shared" si="1384"/>
        <v>-55.73708700000001</v>
      </c>
      <c r="W229" s="42">
        <f t="shared" ref="W229:X229" si="1386">W171/W$203</f>
        <v>-28.297481999999999</v>
      </c>
      <c r="X229" s="42">
        <f t="shared" si="1386"/>
        <v>-5.0420545999999975</v>
      </c>
      <c r="Y229" s="42">
        <f t="shared" ref="Y229:AA229" si="1387">Y171/Y$203</f>
        <v>-27.240298346124742</v>
      </c>
      <c r="Z229" s="42">
        <f t="shared" si="1387"/>
        <v>-20.233620000000002</v>
      </c>
      <c r="AA229" s="42">
        <f t="shared" si="1387"/>
        <v>-33.63252946901698</v>
      </c>
      <c r="AB229" s="42">
        <f t="shared" ref="AB229:AD229" si="1388">AB171/AB$203</f>
        <v>-14.935064935064931</v>
      </c>
      <c r="AC229" s="42">
        <f t="shared" ref="AC229" si="1389">AC171/AC$203</f>
        <v>-43.131033370082555</v>
      </c>
      <c r="AD229" s="42">
        <f t="shared" si="1388"/>
        <v>-39.533527696793001</v>
      </c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42">
        <f t="shared" ref="AT229:AU229" si="1390">AT171/AT$203</f>
        <v>-9.3475694817040456</v>
      </c>
      <c r="AU229" s="42">
        <f t="shared" si="1390"/>
        <v>-17.95600566263748</v>
      </c>
      <c r="AV229" s="42">
        <f t="shared" ref="AV229:AY229" si="1391">AV171/AV$203</f>
        <v>-14.201306105525033</v>
      </c>
      <c r="AW229" s="42">
        <f t="shared" si="1391"/>
        <v>-6.4208836609562994</v>
      </c>
      <c r="AX229" s="42">
        <f t="shared" si="1391"/>
        <v>-11.294526498696786</v>
      </c>
      <c r="AY229" s="42">
        <f t="shared" si="1391"/>
        <v>-22.289221492408746</v>
      </c>
      <c r="AZ229" s="42">
        <f t="shared" ref="AZ229:BB229" si="1392">AZ171/AZ$203</f>
        <v>-3.515710832783999</v>
      </c>
      <c r="BA229" s="42">
        <f t="shared" si="1392"/>
        <v>-11.303049690765624</v>
      </c>
      <c r="BB229" s="42">
        <f t="shared" si="1392"/>
        <v>-17.122020821222851</v>
      </c>
      <c r="BC229" s="42">
        <f t="shared" ref="BC229:BF229" si="1393">BC171/BC$203</f>
        <v>-26.1688382787693</v>
      </c>
      <c r="BD229" s="42">
        <f t="shared" si="1393"/>
        <v>-16.826361299369008</v>
      </c>
      <c r="BE229" s="42">
        <f t="shared" si="1393"/>
        <v>-22.698172506111046</v>
      </c>
      <c r="BF229" s="42">
        <f t="shared" si="1393"/>
        <v>-16.739580000000004</v>
      </c>
    </row>
    <row r="230" spans="2:58">
      <c r="B230" s="1" t="str">
        <f t="shared" si="1347"/>
        <v>Cash interest paid</v>
      </c>
      <c r="C230" s="42">
        <f t="shared" si="1348"/>
        <v>-46.420353982300881</v>
      </c>
      <c r="D230" s="42">
        <f t="shared" si="1348"/>
        <v>-53.760712674785744</v>
      </c>
      <c r="E230" s="42">
        <f t="shared" si="1348"/>
        <v>-64.545240061342454</v>
      </c>
      <c r="F230" s="42">
        <f t="shared" si="1348"/>
        <v>-61.095813745242893</v>
      </c>
      <c r="G230" s="42">
        <f t="shared" ref="G230:H230" si="1394">G172/G$203</f>
        <v>-71.005701254275934</v>
      </c>
      <c r="H230" s="42">
        <f t="shared" si="1394"/>
        <v>-53.412129</v>
      </c>
      <c r="I230" s="42">
        <f t="shared" ref="I230:J230" si="1395">I172/I$203</f>
        <v>-68.848519878878093</v>
      </c>
      <c r="J230" s="42">
        <f t="shared" si="1395"/>
        <v>-68.19717454780168</v>
      </c>
      <c r="K230" s="42">
        <f t="shared" si="1351"/>
        <v>-126.00043261951114</v>
      </c>
      <c r="L230" s="42">
        <f t="shared" ref="L230" si="1396">L172/L$203</f>
        <v>-126.00043261951114</v>
      </c>
      <c r="M230" s="42">
        <f t="shared" ref="M230:N230" si="1397">M172/M$203</f>
        <v>-223.93509127789048</v>
      </c>
      <c r="N230" s="42">
        <f t="shared" si="1397"/>
        <v>-271.04228740889954</v>
      </c>
      <c r="O230" s="42">
        <f t="shared" si="1354"/>
        <v>-321.037172094629</v>
      </c>
      <c r="P230" s="42"/>
      <c r="Q230" s="42">
        <f t="shared" si="1355"/>
        <v>-29.325652321247034</v>
      </c>
      <c r="R230" s="42">
        <f t="shared" si="1355"/>
        <v>-31.755242427604571</v>
      </c>
      <c r="S230" s="42">
        <f t="shared" si="1355"/>
        <v>-35.424623680071896</v>
      </c>
      <c r="T230" s="42">
        <f t="shared" ref="T230:V230" si="1398">T172/T$203</f>
        <v>-27.370436331255565</v>
      </c>
      <c r="U230" s="42">
        <f t="shared" ref="U230" si="1399">U172/U$203</f>
        <v>-26.046323300000001</v>
      </c>
      <c r="V230" s="42">
        <f t="shared" si="1398"/>
        <v>-27.480515999999998</v>
      </c>
      <c r="W230" s="42">
        <f t="shared" ref="W230:X230" si="1400">W172/W$203</f>
        <v>-30.527609999999999</v>
      </c>
      <c r="X230" s="42">
        <f t="shared" si="1400"/>
        <v>-37.577306800000009</v>
      </c>
      <c r="Y230" s="42">
        <f t="shared" ref="Y230:AA230" si="1401">Y172/Y$203</f>
        <v>-53.507728894173603</v>
      </c>
      <c r="Z230" s="42">
        <f t="shared" si="1401"/>
        <v>-68.467300000000009</v>
      </c>
      <c r="AA230" s="42">
        <f t="shared" si="1401"/>
        <v>-98.410295230885694</v>
      </c>
      <c r="AB230" s="42">
        <f t="shared" ref="AB230:AD230" si="1402">AB172/AB$203</f>
        <v>-125.54112554112554</v>
      </c>
      <c r="AC230" s="42">
        <f t="shared" ref="AC230" si="1403">AC172/AC$203</f>
        <v>-137.99779504692248</v>
      </c>
      <c r="AD230" s="42">
        <f t="shared" si="1402"/>
        <v>-132.8279883381924</v>
      </c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42">
        <f t="shared" ref="AT230:AU230" si="1404">AT172/AT$203</f>
        <v>-25.891190041849985</v>
      </c>
      <c r="AU230" s="42">
        <f t="shared" si="1404"/>
        <v>-27.62931503865839</v>
      </c>
      <c r="AV230" s="42">
        <f t="shared" ref="AV230:AY230" si="1405">AV172/AV$203</f>
        <v>-28.09163470508966</v>
      </c>
      <c r="AW230" s="42">
        <f t="shared" si="1405"/>
        <v>-41.998894765927218</v>
      </c>
      <c r="AX230" s="42">
        <f t="shared" si="1405"/>
        <v>-38.987836663770636</v>
      </c>
      <c r="AY230" s="42">
        <f t="shared" si="1405"/>
        <v>-59.330246581242598</v>
      </c>
      <c r="AZ230" s="42">
        <f t="shared" ref="AZ230:BB230" si="1406">AZ172/AZ$203</f>
        <v>-64.930784442979558</v>
      </c>
      <c r="BA230" s="42">
        <f t="shared" si="1406"/>
        <v>-60.673917679675846</v>
      </c>
      <c r="BB230" s="42">
        <f t="shared" si="1406"/>
        <v>-80.959678697880875</v>
      </c>
      <c r="BC230" s="42">
        <f t="shared" ref="BC230:BF230" si="1407">BC172/BC$203</f>
        <v>-56.607905398007247</v>
      </c>
      <c r="BD230" s="42">
        <f t="shared" si="1407"/>
        <v>-54.802523954194875</v>
      </c>
      <c r="BE230" s="42">
        <f t="shared" si="1407"/>
        <v>-77.988592713304627</v>
      </c>
      <c r="BF230" s="42">
        <f t="shared" si="1407"/>
        <v>-133.33134000000001</v>
      </c>
    </row>
    <row r="231" spans="2:58">
      <c r="B231" s="1" t="str">
        <f t="shared" si="1347"/>
        <v>Interest received</v>
      </c>
      <c r="C231" s="42">
        <f t="shared" si="1348"/>
        <v>3.2942477876106198</v>
      </c>
      <c r="D231" s="42">
        <f t="shared" si="1348"/>
        <v>3.0187189896256204</v>
      </c>
      <c r="E231" s="42">
        <f t="shared" si="1348"/>
        <v>2.3038810900082578</v>
      </c>
      <c r="F231" s="42">
        <f t="shared" si="1348"/>
        <v>0.65144392209536595</v>
      </c>
      <c r="G231" s="42">
        <f t="shared" ref="G231:H231" si="1408">G173/G$203</f>
        <v>0.42303306727480045</v>
      </c>
      <c r="H231" s="42">
        <f t="shared" si="1408"/>
        <v>0.2637198</v>
      </c>
      <c r="I231" s="42">
        <f t="shared" ref="I231:J231" si="1409">I173/I$203</f>
        <v>4.0278783829474873</v>
      </c>
      <c r="J231" s="42">
        <f t="shared" si="1409"/>
        <v>3.9897724108293953</v>
      </c>
      <c r="K231" s="42">
        <f t="shared" si="1351"/>
        <v>22.063595068137573</v>
      </c>
      <c r="L231" s="42">
        <f t="shared" ref="L231" si="1410">L173/L$203</f>
        <v>22.063595068137573</v>
      </c>
      <c r="M231" s="42">
        <f t="shared" ref="M231:N231" si="1411">M173/M$203</f>
        <v>54.847870182555788</v>
      </c>
      <c r="N231" s="42">
        <f t="shared" si="1411"/>
        <v>28.42474855568145</v>
      </c>
      <c r="O231" s="42">
        <f t="shared" si="1354"/>
        <v>23.431693419429092</v>
      </c>
      <c r="P231" s="42"/>
      <c r="Q231" s="42">
        <f t="shared" si="1355"/>
        <v>0.3366090590760194</v>
      </c>
      <c r="R231" s="42">
        <f t="shared" si="1355"/>
        <v>0.31510041051814042</v>
      </c>
      <c r="S231" s="42">
        <f t="shared" si="1355"/>
        <v>0.42911705234778702</v>
      </c>
      <c r="T231" s="42">
        <f t="shared" ref="T231:V231" si="1412">T173/T$203</f>
        <v>-9.7951914514692873E-3</v>
      </c>
      <c r="U231" s="42">
        <f t="shared" ref="U231" si="1413">U173/U$203</f>
        <v>0.26869270000000001</v>
      </c>
      <c r="V231" s="42">
        <f t="shared" si="1412"/>
        <v>0</v>
      </c>
      <c r="W231" s="42">
        <f t="shared" ref="W231:X231" si="1414">W173/W$203</f>
        <v>-0.33014639999999995</v>
      </c>
      <c r="X231" s="42">
        <f t="shared" si="1414"/>
        <v>4.1765052999999996</v>
      </c>
      <c r="Y231" s="42">
        <f t="shared" ref="Y231:AA231" si="1415">Y173/Y$203</f>
        <v>6.7019781645227541</v>
      </c>
      <c r="Z231" s="42">
        <f t="shared" si="1415"/>
        <v>14.51098</v>
      </c>
      <c r="AA231" s="42">
        <f t="shared" si="1415"/>
        <v>28.982372661403701</v>
      </c>
      <c r="AB231" s="42">
        <f t="shared" ref="AB231:AD231" si="1416">AB173/AB$203</f>
        <v>25.865800865800868</v>
      </c>
      <c r="AC231" s="42">
        <f t="shared" ref="AC231" si="1417">AC173/AC$203</f>
        <v>21.404178654978622</v>
      </c>
      <c r="AD231" s="42">
        <f t="shared" si="1416"/>
        <v>6.4139941690962097</v>
      </c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42">
        <f t="shared" ref="AT231:AU231" si="1418">AT173/AT$203</f>
        <v>2.7889258504131349</v>
      </c>
      <c r="AU231" s="42">
        <f t="shared" si="1418"/>
        <v>3.9213764564956985</v>
      </c>
      <c r="AV231" s="42">
        <f t="shared" ref="AV231:AY231" si="1419">AV173/AV$203</f>
        <v>-1.6585466984554789</v>
      </c>
      <c r="AW231" s="42">
        <f t="shared" si="1419"/>
        <v>16.631141285755636</v>
      </c>
      <c r="AX231" s="42">
        <f t="shared" si="1419"/>
        <v>13.249348392701998</v>
      </c>
      <c r="AY231" s="42">
        <f t="shared" si="1419"/>
        <v>15.72090018305158</v>
      </c>
      <c r="AZ231" s="42">
        <f t="shared" ref="AZ231:BB231" si="1420">AZ173/AZ$203</f>
        <v>11.975390024170514</v>
      </c>
      <c r="BA231" s="42">
        <f t="shared" si="1420"/>
        <v>13.862230752825759</v>
      </c>
      <c r="BB231" s="42">
        <f t="shared" si="1420"/>
        <v>7.7154785182053578</v>
      </c>
      <c r="BC231" s="42">
        <f t="shared" ref="BC231:BF231" si="1421">BC173/BC$203</f>
        <v>13.796123946129418</v>
      </c>
      <c r="BD231" s="42">
        <f t="shared" si="1421"/>
        <v>-1.9864454311755075</v>
      </c>
      <c r="BE231" s="42">
        <f t="shared" si="1421"/>
        <v>8.3808636945640789</v>
      </c>
      <c r="BF231" s="42">
        <f t="shared" si="1421"/>
        <v>2.69238</v>
      </c>
    </row>
    <row r="232" spans="2:58" s="5" customFormat="1" ht="13.5" thickBot="1">
      <c r="B232" s="39" t="str">
        <f t="shared" si="1347"/>
        <v xml:space="preserve">Net cash from operations </v>
      </c>
      <c r="C232" s="54">
        <f t="shared" si="1348"/>
        <v>43.801991150442518</v>
      </c>
      <c r="D232" s="54">
        <f t="shared" si="1348"/>
        <v>196.30243572395133</v>
      </c>
      <c r="E232" s="54">
        <f t="shared" si="1348"/>
        <v>173.10133301875663</v>
      </c>
      <c r="F232" s="54">
        <f t="shared" si="1348"/>
        <v>160.09514215357063</v>
      </c>
      <c r="G232" s="54">
        <f t="shared" ref="G232:H232" si="1422">G174/G$203</f>
        <v>211.41049030786775</v>
      </c>
      <c r="H232" s="54">
        <f t="shared" si="1422"/>
        <v>188.53245720000001</v>
      </c>
      <c r="I232" s="54">
        <f t="shared" ref="I232:J232" si="1423">I174/I$203</f>
        <v>333.62645282945408</v>
      </c>
      <c r="J232" s="54">
        <f t="shared" si="1423"/>
        <v>319.86801263899372</v>
      </c>
      <c r="K232" s="54">
        <f t="shared" si="1351"/>
        <v>353.77460523469597</v>
      </c>
      <c r="L232" s="54">
        <f t="shared" ref="L232" si="1424">L174/L$203</f>
        <v>369.88968202465924</v>
      </c>
      <c r="M232" s="54">
        <f t="shared" ref="M232:N232" si="1425">M174/M$203</f>
        <v>400.05409060175799</v>
      </c>
      <c r="N232" s="54">
        <f t="shared" si="1425"/>
        <v>498.44027585435117</v>
      </c>
      <c r="O232" s="54">
        <f t="shared" si="1354"/>
        <v>407.75740999496708</v>
      </c>
      <c r="P232" s="36"/>
      <c r="Q232" s="54">
        <f t="shared" si="1355"/>
        <v>29.591099062464703</v>
      </c>
      <c r="R232" s="54">
        <f t="shared" si="1355"/>
        <v>129.62609563963167</v>
      </c>
      <c r="S232" s="54">
        <f t="shared" si="1355"/>
        <v>109.50348236351384</v>
      </c>
      <c r="T232" s="54">
        <f t="shared" ref="T232:V232" si="1426">T174/T$203</f>
        <v>78.296527159394486</v>
      </c>
      <c r="U232" s="54">
        <f t="shared" ref="U232" si="1427">U174/U$203</f>
        <v>99.072902499999969</v>
      </c>
      <c r="V232" s="54">
        <f t="shared" si="1426"/>
        <v>90.088899000000012</v>
      </c>
      <c r="W232" s="54">
        <f t="shared" ref="W232:X232" si="1428">W174/W$203</f>
        <v>145.43276879999999</v>
      </c>
      <c r="X232" s="54">
        <f t="shared" si="1428"/>
        <v>184.42740250000003</v>
      </c>
      <c r="Y232" s="54">
        <f t="shared" ref="Y232:AA232" si="1429">Y174/Y$203</f>
        <v>113.28505026483629</v>
      </c>
      <c r="Z232" s="54">
        <f t="shared" si="1429"/>
        <v>227.1683699999999</v>
      </c>
      <c r="AA232" s="54">
        <f t="shared" si="1429"/>
        <v>214.98864496593487</v>
      </c>
      <c r="AB232" s="54">
        <f t="shared" ref="AB232:AD232" si="1430">AB174/AB$203</f>
        <v>185.0649350649351</v>
      </c>
      <c r="AC232" s="54">
        <f t="shared" ref="AC232" si="1431">AC174/AC$203</f>
        <v>205.22197423969439</v>
      </c>
      <c r="AD232" s="54">
        <f t="shared" si="1430"/>
        <v>296.90962099125386</v>
      </c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54">
        <f t="shared" ref="AT232:AU232" si="1432">AT174/AT$203</f>
        <v>-0.98401115999568278</v>
      </c>
      <c r="AU232" s="54">
        <f t="shared" si="1432"/>
        <v>115.12250898399209</v>
      </c>
      <c r="AV232" s="54">
        <f t="shared" ref="AV232:AY232" si="1433">AV174/AV$203</f>
        <v>138.07401264641868</v>
      </c>
      <c r="AW232" s="54">
        <f t="shared" si="1433"/>
        <v>93.787005605115482</v>
      </c>
      <c r="AX232" s="54">
        <f t="shared" si="1433"/>
        <v>81.016507384882672</v>
      </c>
      <c r="AY232" s="54">
        <f t="shared" si="1433"/>
        <v>134.05836114999457</v>
      </c>
      <c r="AZ232" s="54">
        <f t="shared" ref="AZ232:BB232" si="1434">AZ174/AZ$203</f>
        <v>66.468907932322594</v>
      </c>
      <c r="BA232" s="54">
        <f t="shared" si="1434"/>
        <v>117.82896139901898</v>
      </c>
      <c r="BB232" s="54">
        <f t="shared" si="1434"/>
        <v>49.463615705754911</v>
      </c>
      <c r="BC232" s="54">
        <f t="shared" ref="BC232:BF232" si="1435">BC174/BC$203</f>
        <v>157.66998795576473</v>
      </c>
      <c r="BD232" s="54">
        <f t="shared" si="1435"/>
        <v>170.48375788735694</v>
      </c>
      <c r="BE232" s="54">
        <f t="shared" si="1435"/>
        <v>126.52776161098838</v>
      </c>
      <c r="BF232" s="54">
        <f t="shared" si="1435"/>
        <v>-51.038160000000033</v>
      </c>
    </row>
    <row r="233" spans="2:58" ht="13.5" thickTop="1">
      <c r="B233" s="1" t="str">
        <f t="shared" si="1347"/>
        <v>Net Capex</v>
      </c>
      <c r="C233" s="42">
        <f t="shared" si="1348"/>
        <v>-211.02876106194691</v>
      </c>
      <c r="D233" s="42">
        <f t="shared" si="1348"/>
        <v>-507.56653134866934</v>
      </c>
      <c r="E233" s="42">
        <f t="shared" si="1348"/>
        <v>-447.4625457119264</v>
      </c>
      <c r="F233" s="42">
        <f t="shared" si="1348"/>
        <v>-405.05036937541979</v>
      </c>
      <c r="G233" s="42">
        <f t="shared" ref="G233:H233" si="1436">G175/G$203</f>
        <v>-475.04446978335233</v>
      </c>
      <c r="H233" s="42">
        <f t="shared" si="1436"/>
        <v>-1040.8547466000002</v>
      </c>
      <c r="I233" s="42">
        <f t="shared" ref="I233:J233" si="1437">I175/I$203</f>
        <v>-1211.2612461489134</v>
      </c>
      <c r="J233" s="42">
        <f t="shared" si="1437"/>
        <v>-1199.8020403623425</v>
      </c>
      <c r="K233" s="42">
        <f t="shared" si="1351"/>
        <v>-1222.4745836037205</v>
      </c>
      <c r="L233" s="42">
        <f t="shared" ref="L233" si="1438">L175/L$203</f>
        <v>-1222.4745836037205</v>
      </c>
      <c r="M233" s="42">
        <f t="shared" ref="M233:N233" si="1439">M175/M$203</f>
        <v>-1248.0865449628129</v>
      </c>
      <c r="N233" s="42">
        <f t="shared" si="1439"/>
        <v>-1337.3060836235959</v>
      </c>
      <c r="O233" s="42">
        <f t="shared" si="1354"/>
        <v>-1379.1389357210057</v>
      </c>
      <c r="P233" s="42"/>
      <c r="Q233" s="42">
        <f t="shared" si="1355"/>
        <v>-148.95289732294137</v>
      </c>
      <c r="R233" s="42">
        <f t="shared" si="1355"/>
        <v>-255.19139021413517</v>
      </c>
      <c r="S233" s="42">
        <f t="shared" si="1355"/>
        <v>-188.06560323522802</v>
      </c>
      <c r="T233" s="42">
        <f t="shared" ref="T233:V233" si="1440">T175/T$203</f>
        <v>-221.90382902938555</v>
      </c>
      <c r="U233" s="42">
        <f t="shared" ref="U233" si="1441">U175/U$203</f>
        <v>-417.21951810000002</v>
      </c>
      <c r="V233" s="42">
        <f t="shared" si="1440"/>
        <v>-623.02862400000015</v>
      </c>
      <c r="W233" s="42">
        <f t="shared" ref="W233:X233" si="1442">W175/W$203</f>
        <v>-529.27824599999997</v>
      </c>
      <c r="X233" s="42">
        <f t="shared" si="1442"/>
        <v>-668.39208919999999</v>
      </c>
      <c r="Y233" s="42">
        <f t="shared" ref="Y233:AA233" si="1443">Y175/Y$203</f>
        <v>-466.00367527834823</v>
      </c>
      <c r="Z233" s="42">
        <f t="shared" si="1443"/>
        <v>-714.5124800000001</v>
      </c>
      <c r="AA233" s="42">
        <f t="shared" si="1443"/>
        <v>-501.56807613279977</v>
      </c>
      <c r="AB233" s="42">
        <f t="shared" ref="AB233:AD233" si="1444">AB175/AB$203</f>
        <v>-746.64502164502176</v>
      </c>
      <c r="AC233" s="42">
        <f t="shared" ref="AC233" si="1445">AC175/AC$203</f>
        <v>-508.10723601064825</v>
      </c>
      <c r="AD233" s="42">
        <f t="shared" si="1444"/>
        <v>-842.68221574344022</v>
      </c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42">
        <f t="shared" ref="AT233:AU233" si="1446">AT175/AT$203</f>
        <v>-217.88174696855887</v>
      </c>
      <c r="AU233" s="42">
        <f t="shared" si="1446"/>
        <v>-248.34585647391916</v>
      </c>
      <c r="AV233" s="42">
        <f t="shared" ref="AV233:AY233" si="1447">AV175/AV$203</f>
        <v>-302.47745413081788</v>
      </c>
      <c r="AW233" s="42">
        <f t="shared" si="1447"/>
        <v>-428.83082024157255</v>
      </c>
      <c r="AX233" s="42">
        <f t="shared" si="1447"/>
        <v>-231.64639443961772</v>
      </c>
      <c r="AY233" s="42">
        <f t="shared" si="1447"/>
        <v>-269.73188327769998</v>
      </c>
      <c r="AZ233" s="42">
        <f t="shared" ref="AZ233:BB233" si="1448">AZ175/AZ$203</f>
        <v>-315.75477916941344</v>
      </c>
      <c r="BA233" s="42">
        <f t="shared" si="1448"/>
        <v>-429.19599061633613</v>
      </c>
      <c r="BB233" s="42">
        <f t="shared" si="1448"/>
        <v>-207.57807958568938</v>
      </c>
      <c r="BC233" s="42">
        <f t="shared" ref="BC233:BF233" si="1449">BC175/BC$203</f>
        <v>-302.2008102485492</v>
      </c>
      <c r="BD233" s="42">
        <f t="shared" si="1449"/>
        <v>-486.32858144426274</v>
      </c>
      <c r="BE233" s="42">
        <f t="shared" si="1449"/>
        <v>-356.65231055756021</v>
      </c>
      <c r="BF233" s="42">
        <f t="shared" si="1449"/>
        <v>-236.57826000000006</v>
      </c>
    </row>
    <row r="234" spans="2:58">
      <c r="B234" s="1" t="str">
        <f t="shared" si="1347"/>
        <v>Investment in subsidiaries, JVs</v>
      </c>
      <c r="C234" s="42">
        <f t="shared" si="1348"/>
        <v>-42.105088495575224</v>
      </c>
      <c r="D234" s="42">
        <f t="shared" si="1348"/>
        <v>-16.602390617952189</v>
      </c>
      <c r="E234" s="42">
        <f t="shared" si="1348"/>
        <v>-46.819629585938422</v>
      </c>
      <c r="F234" s="42">
        <f t="shared" si="1348"/>
        <v>-22.809491828967989</v>
      </c>
      <c r="G234" s="42">
        <f t="shared" ref="G234:H234" si="1450">G176/G$203</f>
        <v>-29.710376282782214</v>
      </c>
      <c r="H234" s="42">
        <f t="shared" si="1450"/>
        <v>-642.88264679999997</v>
      </c>
      <c r="I234" s="42">
        <f t="shared" ref="I234:J234" si="1451">I176/I$203</f>
        <v>-327.0882005745454</v>
      </c>
      <c r="J234" s="42">
        <f t="shared" si="1451"/>
        <v>-313.45275375066922</v>
      </c>
      <c r="K234" s="42">
        <f t="shared" si="1351"/>
        <v>-105.99178022928834</v>
      </c>
      <c r="L234" s="42">
        <f t="shared" ref="L234" si="1452">L176/L$203</f>
        <v>-105.99178022928834</v>
      </c>
      <c r="M234" s="42">
        <f t="shared" ref="M234:N234" si="1453">M176/M$203</f>
        <v>-188.23529411764707</v>
      </c>
      <c r="N234" s="42">
        <f t="shared" si="1453"/>
        <v>-370.52890735378463</v>
      </c>
      <c r="O234" s="42">
        <f t="shared" si="1354"/>
        <v>-372.03556365456296</v>
      </c>
      <c r="P234" s="42"/>
      <c r="Q234" s="42">
        <f t="shared" si="1355"/>
        <v>-14.93279114424489</v>
      </c>
      <c r="R234" s="42">
        <f t="shared" si="1355"/>
        <v>-7.9418617552424271</v>
      </c>
      <c r="S234" s="42">
        <f t="shared" si="1355"/>
        <v>-5.8492473601437878</v>
      </c>
      <c r="T234" s="42">
        <f t="shared" ref="T234:V234" si="1454">T176/T$203</f>
        <v>-18.565449688334816</v>
      </c>
      <c r="U234" s="42">
        <f t="shared" ref="U234" si="1455">U176/U$203</f>
        <v>-73.179601500000004</v>
      </c>
      <c r="V234" s="42">
        <f t="shared" si="1454"/>
        <v>-563.52446099999997</v>
      </c>
      <c r="W234" s="42">
        <f t="shared" ref="W234:X234" si="1456">W176/W$203</f>
        <v>-151.21688999999998</v>
      </c>
      <c r="X234" s="42">
        <f t="shared" si="1456"/>
        <v>-172.74197600000002</v>
      </c>
      <c r="Y234" s="42">
        <f t="shared" ref="Y234:AA234" si="1457">Y176/Y$203</f>
        <v>-71.235542103556355</v>
      </c>
      <c r="Z234" s="42">
        <f t="shared" si="1457"/>
        <v>-32.802990000000008</v>
      </c>
      <c r="AA234" s="42">
        <f t="shared" si="1457"/>
        <v>-170.54179733967771</v>
      </c>
      <c r="AB234" s="42">
        <f t="shared" ref="AB234:AD234" si="1458">AB176/AB$203</f>
        <v>-17.640692640692652</v>
      </c>
      <c r="AC234" s="42">
        <f t="shared" ref="AC234" si="1459">AC176/AC$203</f>
        <v>-87.660329667374754</v>
      </c>
      <c r="AD234" s="42">
        <f t="shared" si="1458"/>
        <v>-291.07871720116617</v>
      </c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42">
        <f t="shared" ref="AT234:AU234" si="1460">AT176/AT$203</f>
        <v>-74.75587509389419</v>
      </c>
      <c r="AU234" s="42">
        <f t="shared" si="1460"/>
        <v>4.099967330937603</v>
      </c>
      <c r="AV234" s="42">
        <f t="shared" ref="AV234:AY234" si="1461">AV176/AV$203</f>
        <v>0</v>
      </c>
      <c r="AW234" s="42">
        <f t="shared" si="1461"/>
        <v>-33.78858451093393</v>
      </c>
      <c r="AX234" s="42">
        <f t="shared" si="1461"/>
        <v>0</v>
      </c>
      <c r="AY234" s="42">
        <f t="shared" si="1461"/>
        <v>-169.80725745665984</v>
      </c>
      <c r="AZ234" s="42">
        <f t="shared" ref="AZ234:BB234" si="1462">AZ176/AZ$203</f>
        <v>0</v>
      </c>
      <c r="BA234" s="42">
        <f t="shared" si="1462"/>
        <v>-17.381104713158468</v>
      </c>
      <c r="BB234" s="42">
        <f t="shared" si="1462"/>
        <v>-7.6097870316545997</v>
      </c>
      <c r="BC234" s="42">
        <f t="shared" ref="BC234:BF234" si="1463">BC176/BC$203</f>
        <v>-81.353334063286979</v>
      </c>
      <c r="BD234" s="42">
        <f t="shared" si="1463"/>
        <v>0</v>
      </c>
      <c r="BE234" s="42">
        <f t="shared" si="1463"/>
        <v>-290.53660807822143</v>
      </c>
      <c r="BF234" s="42">
        <f t="shared" si="1463"/>
        <v>0</v>
      </c>
    </row>
    <row r="235" spans="2:58" ht="13.5" thickBot="1">
      <c r="B235" s="39" t="str">
        <f t="shared" si="1347"/>
        <v xml:space="preserve">Free cash flow </v>
      </c>
      <c r="C235" s="54">
        <f t="shared" si="1348"/>
        <v>-206.03761061946901</v>
      </c>
      <c r="D235" s="54">
        <f t="shared" si="1348"/>
        <v>-327.86648624267025</v>
      </c>
      <c r="E235" s="54">
        <f t="shared" si="1348"/>
        <v>-321.18084227910822</v>
      </c>
      <c r="F235" s="54">
        <f t="shared" si="1348"/>
        <v>-267.76471905081712</v>
      </c>
      <c r="G235" s="54">
        <f t="shared" ref="G235:H235" si="1464">G177/G$203</f>
        <v>-293.34435575826677</v>
      </c>
      <c r="H235" s="54">
        <f t="shared" si="1464"/>
        <v>-1495.2049362</v>
      </c>
      <c r="I235" s="54">
        <f t="shared" ref="I235:J235" si="1465">I177/I$203</f>
        <v>-1204.7229938940047</v>
      </c>
      <c r="J235" s="54">
        <f t="shared" si="1465"/>
        <v>-1193.3867814740179</v>
      </c>
      <c r="K235" s="54">
        <f t="shared" si="1351"/>
        <v>-974.69175859831284</v>
      </c>
      <c r="L235" s="54">
        <f t="shared" ref="L235" si="1466">L177/L$203</f>
        <v>-958.57668180834958</v>
      </c>
      <c r="M235" s="54">
        <f t="shared" ref="M235:N235" si="1467">M177/M$203</f>
        <v>-1036.2677484787021</v>
      </c>
      <c r="N235" s="54">
        <f t="shared" si="1467"/>
        <v>-1209.3947151230293</v>
      </c>
      <c r="O235" s="54">
        <f t="shared" si="1354"/>
        <v>-1343.4170893806013</v>
      </c>
      <c r="P235" s="36"/>
      <c r="Q235" s="54">
        <f t="shared" si="1355"/>
        <v>-134.29458940472156</v>
      </c>
      <c r="R235" s="54">
        <f t="shared" si="1355"/>
        <v>-133.50715632974592</v>
      </c>
      <c r="S235" s="54">
        <f t="shared" si="1355"/>
        <v>-84.411368231857978</v>
      </c>
      <c r="T235" s="54">
        <f t="shared" ref="T235:V235" si="1468">T177/T$203</f>
        <v>-162.17275155832587</v>
      </c>
      <c r="U235" s="54">
        <f t="shared" ref="U235" si="1469">U177/U$203</f>
        <v>-391.32621710000006</v>
      </c>
      <c r="V235" s="54">
        <f t="shared" si="1468"/>
        <v>-1096.4641860000002</v>
      </c>
      <c r="W235" s="54">
        <f t="shared" ref="W235:X235" si="1470">W177/W$203</f>
        <v>-535.06236719999993</v>
      </c>
      <c r="X235" s="54">
        <f t="shared" si="1470"/>
        <v>-656.70666270000004</v>
      </c>
      <c r="Y235" s="54">
        <f t="shared" ref="Y235:AA235" si="1471">Y177/Y$203</f>
        <v>-423.95416711706827</v>
      </c>
      <c r="Z235" s="54">
        <f t="shared" si="1471"/>
        <v>-520.14710000000025</v>
      </c>
      <c r="AA235" s="54">
        <f t="shared" si="1471"/>
        <v>-457.12122850654265</v>
      </c>
      <c r="AB235" s="54">
        <f t="shared" ref="AB235:AD235" si="1472">AB177/AB$203</f>
        <v>-579.22077922077926</v>
      </c>
      <c r="AC235" s="54">
        <f t="shared" ref="AC235" si="1473">AC177/AC$203</f>
        <v>-390.5455914383287</v>
      </c>
      <c r="AD235" s="54">
        <f t="shared" si="1472"/>
        <v>-836.85131195335259</v>
      </c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54">
        <f t="shared" ref="AT235:AU235" si="1474">AT177/AT$203</f>
        <v>-293.62163322244874</v>
      </c>
      <c r="AU235" s="54">
        <f t="shared" si="1474"/>
        <v>-129.12338015898945</v>
      </c>
      <c r="AV235" s="54">
        <f t="shared" ref="AV235:AY235" si="1475">AV177/AV$203</f>
        <v>-164.4034414843992</v>
      </c>
      <c r="AW235" s="54">
        <f t="shared" si="1475"/>
        <v>-368.83239914739102</v>
      </c>
      <c r="AX235" s="54">
        <f t="shared" si="1475"/>
        <v>-150.62988705473504</v>
      </c>
      <c r="AY235" s="54">
        <f t="shared" si="1475"/>
        <v>-305.48077958436528</v>
      </c>
      <c r="AZ235" s="54">
        <f t="shared" ref="AZ235:BB235" si="1476">AZ177/AZ$203</f>
        <v>-249.28587123709082</v>
      </c>
      <c r="BA235" s="54">
        <f t="shared" si="1476"/>
        <v>-328.7481339304756</v>
      </c>
      <c r="BB235" s="54">
        <f t="shared" si="1476"/>
        <v>-165.72425091158905</v>
      </c>
      <c r="BC235" s="54">
        <f t="shared" ref="BC235:BF235" si="1477">BC177/BC$203</f>
        <v>-225.88415635607146</v>
      </c>
      <c r="BD235" s="54">
        <f t="shared" si="1477"/>
        <v>-315.84482355690574</v>
      </c>
      <c r="BE235" s="54">
        <f t="shared" si="1477"/>
        <v>-520.66115702479328</v>
      </c>
      <c r="BF235" s="54">
        <f t="shared" si="1477"/>
        <v>-287.61642000000012</v>
      </c>
    </row>
    <row r="236" spans="2:58" ht="13.5" thickTop="1">
      <c r="B236" s="1" t="str">
        <f t="shared" si="1347"/>
        <v>Other investing activities</v>
      </c>
      <c r="C236" s="42">
        <f t="shared" si="1348"/>
        <v>0</v>
      </c>
      <c r="D236" s="42">
        <f t="shared" si="1348"/>
        <v>26.47834912043302</v>
      </c>
      <c r="E236" s="42">
        <f t="shared" si="1348"/>
        <v>469.69328771971215</v>
      </c>
      <c r="F236" s="42">
        <f t="shared" si="1348"/>
        <v>0</v>
      </c>
      <c r="G236" s="42">
        <f t="shared" ref="G236:H236" si="1478">G178/G$203</f>
        <v>-30.160775370581526</v>
      </c>
      <c r="H236" s="42">
        <f t="shared" si="1478"/>
        <v>-13.585708800000001</v>
      </c>
      <c r="I236" s="42">
        <f t="shared" ref="I236:J236" si="1479">I178/I$203</f>
        <v>85.976314482191114</v>
      </c>
      <c r="J236" s="42">
        <f t="shared" si="1479"/>
        <v>85.162930677867493</v>
      </c>
      <c r="K236" s="42">
        <f t="shared" si="1351"/>
        <v>55.807916937053861</v>
      </c>
      <c r="L236" s="42">
        <f t="shared" ref="L236" si="1480">L178/L$203</f>
        <v>55.807916937053861</v>
      </c>
      <c r="M236" s="42">
        <f t="shared" ref="M236:N236" si="1481">M178/M$203</f>
        <v>0.64908722109533468</v>
      </c>
      <c r="N236" s="42">
        <f t="shared" si="1481"/>
        <v>0</v>
      </c>
      <c r="O236" s="42">
        <f t="shared" si="1354"/>
        <v>0.91888993801682706</v>
      </c>
      <c r="P236" s="42"/>
      <c r="Q236" s="42">
        <f t="shared" si="1355"/>
        <v>0</v>
      </c>
      <c r="R236" s="42">
        <f t="shared" si="1355"/>
        <v>0</v>
      </c>
      <c r="S236" s="42">
        <f t="shared" si="1355"/>
        <v>0</v>
      </c>
      <c r="T236" s="42">
        <f t="shared" ref="T236:V236" si="1482">T178/T$203</f>
        <v>-23.553873552983077</v>
      </c>
      <c r="U236" s="42">
        <f t="shared" ref="U236" si="1483">U178/U$203</f>
        <v>0</v>
      </c>
      <c r="V236" s="42">
        <f t="shared" si="1482"/>
        <v>-13.406496000000001</v>
      </c>
      <c r="W236" s="42">
        <f t="shared" ref="W236:X236" si="1484">W178/W$203</f>
        <v>0</v>
      </c>
      <c r="X236" s="42">
        <f t="shared" si="1484"/>
        <v>82.561344800000001</v>
      </c>
      <c r="Y236" s="42">
        <f t="shared" ref="Y236:AA236" si="1485">Y178/Y$203</f>
        <v>8.647713760674522</v>
      </c>
      <c r="Z236" s="42">
        <f t="shared" si="1485"/>
        <v>44.554840000000006</v>
      </c>
      <c r="AA236" s="42">
        <f t="shared" si="1485"/>
        <v>0.64885908943441117</v>
      </c>
      <c r="AB236" s="42">
        <f t="shared" ref="AB236:AD236" si="1486">AB178/AB$203</f>
        <v>0</v>
      </c>
      <c r="AC236" s="42">
        <f t="shared" ref="AC236" si="1487">AC178/AC$203</f>
        <v>0</v>
      </c>
      <c r="AD236" s="42">
        <f t="shared" si="1486"/>
        <v>0</v>
      </c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42">
        <f t="shared" ref="AT236:AU236" si="1488">AT178/AT$203</f>
        <v>4.3244983367314092</v>
      </c>
      <c r="AU236" s="42">
        <f t="shared" si="1488"/>
        <v>4.3232059239899812</v>
      </c>
      <c r="AV236" s="42">
        <f t="shared" ref="AV236:AY236" si="1489">AV178/AV$203</f>
        <v>41.36000829273349</v>
      </c>
      <c r="AW236" s="42">
        <f t="shared" si="1489"/>
        <v>3.8946343517275892</v>
      </c>
      <c r="AX236" s="42">
        <f t="shared" si="1489"/>
        <v>0.21720243266724584</v>
      </c>
      <c r="AY236" s="42">
        <f t="shared" si="1489"/>
        <v>0.43070959405620762</v>
      </c>
      <c r="AZ236" s="42">
        <f t="shared" ref="AZ236:BB236" si="1490">AZ178/AZ$203</f>
        <v>0</v>
      </c>
      <c r="BA236" s="42">
        <f t="shared" si="1490"/>
        <v>0</v>
      </c>
      <c r="BB236" s="42">
        <f t="shared" si="1490"/>
        <v>-2.4309041906674413</v>
      </c>
      <c r="BC236" s="42">
        <f t="shared" ref="BC236:BF236" si="1491">BC178/BC$203</f>
        <v>2.5183400854045765</v>
      </c>
      <c r="BD236" s="42">
        <f t="shared" si="1491"/>
        <v>0</v>
      </c>
      <c r="BE236" s="42">
        <f t="shared" si="1491"/>
        <v>0</v>
      </c>
      <c r="BF236" s="42">
        <f t="shared" si="1491"/>
        <v>-1.7559000000000002</v>
      </c>
    </row>
    <row r="237" spans="2:58">
      <c r="B237" s="1" t="str">
        <f t="shared" si="1347"/>
        <v>Dividends / Equity movements</v>
      </c>
      <c r="C237" s="42">
        <f t="shared" si="1348"/>
        <v>0</v>
      </c>
      <c r="D237" s="42">
        <f t="shared" si="1348"/>
        <v>0</v>
      </c>
      <c r="E237" s="42">
        <f t="shared" si="1348"/>
        <v>-230.7490857614722</v>
      </c>
      <c r="F237" s="42">
        <f t="shared" si="1348"/>
        <v>0</v>
      </c>
      <c r="G237" s="42">
        <f t="shared" ref="G237:H237" si="1492">G179/G$203</f>
        <v>-14.025085518814139</v>
      </c>
      <c r="H237" s="42">
        <f t="shared" si="1492"/>
        <v>962.42471460000013</v>
      </c>
      <c r="I237" s="42">
        <f t="shared" ref="I237:J237" si="1493">I179/I$203</f>
        <v>-134.30553423425454</v>
      </c>
      <c r="J237" s="42">
        <f t="shared" si="1493"/>
        <v>-133.03492910265402</v>
      </c>
      <c r="K237" s="42">
        <f t="shared" si="1351"/>
        <v>-177.37399956738048</v>
      </c>
      <c r="L237" s="42">
        <f t="shared" ref="L237" si="1494">L179/L$203</f>
        <v>-177.37399956738048</v>
      </c>
      <c r="M237" s="42">
        <f t="shared" ref="M237:N237" si="1495">M179/M$203</f>
        <v>154.91548343475324</v>
      </c>
      <c r="N237" s="42">
        <f t="shared" si="1495"/>
        <v>-93.667380083092041</v>
      </c>
      <c r="O237" s="42">
        <f t="shared" si="1354"/>
        <v>-96.138859765010551</v>
      </c>
      <c r="P237" s="42"/>
      <c r="Q237" s="42">
        <f t="shared" si="1355"/>
        <v>0</v>
      </c>
      <c r="R237" s="42">
        <f t="shared" si="1355"/>
        <v>0</v>
      </c>
      <c r="S237" s="42">
        <f t="shared" si="1355"/>
        <v>-14.041788362165805</v>
      </c>
      <c r="T237" s="42">
        <f t="shared" ref="T237:V237" si="1496">T179/T$203</f>
        <v>0.17809439002671354</v>
      </c>
      <c r="U237" s="42">
        <f t="shared" ref="U237" si="1497">U179/U$203</f>
        <v>0</v>
      </c>
      <c r="V237" s="42">
        <f t="shared" si="1496"/>
        <v>949.72910700000011</v>
      </c>
      <c r="W237" s="42">
        <f t="shared" ref="W237:X237" si="1498">W179/W$203</f>
        <v>0</v>
      </c>
      <c r="X237" s="42">
        <f t="shared" si="1498"/>
        <v>-128.97093330000001</v>
      </c>
      <c r="Y237" s="42">
        <f t="shared" ref="Y237:AA237" si="1499">Y179/Y$203</f>
        <v>0</v>
      </c>
      <c r="Z237" s="42">
        <f t="shared" si="1499"/>
        <v>-167.5916</v>
      </c>
      <c r="AA237" s="42">
        <f t="shared" si="1499"/>
        <v>0</v>
      </c>
      <c r="AB237" s="42">
        <f t="shared" ref="AB237:AD237" si="1500">AB179/AB$203</f>
        <v>154.97835497835499</v>
      </c>
      <c r="AC237" s="42">
        <f t="shared" ref="AC237" si="1501">AC179/AC$203</f>
        <v>0</v>
      </c>
      <c r="AD237" s="42">
        <f t="shared" si="1500"/>
        <v>-97.609329446064137</v>
      </c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42">
        <f t="shared" ref="AT237:AU237" si="1502">AT179/AT$203</f>
        <v>0</v>
      </c>
      <c r="AU237" s="42">
        <f t="shared" si="1502"/>
        <v>0</v>
      </c>
      <c r="AV237" s="42">
        <f t="shared" ref="AV237:AY237" si="1503">AV179/AV$203</f>
        <v>0</v>
      </c>
      <c r="AW237" s="42">
        <f t="shared" si="1503"/>
        <v>-172.62703613062814</v>
      </c>
      <c r="AX237" s="42">
        <f t="shared" si="1503"/>
        <v>0</v>
      </c>
      <c r="AY237" s="42">
        <f t="shared" si="1503"/>
        <v>0</v>
      </c>
      <c r="AZ237" s="42">
        <f t="shared" ref="AZ237:BB237" si="1504">AZ179/AZ$203</f>
        <v>244.78136673258626</v>
      </c>
      <c r="BA237" s="42">
        <f t="shared" si="1504"/>
        <v>-84.879505224994659</v>
      </c>
      <c r="BB237" s="42">
        <f t="shared" si="1504"/>
        <v>0</v>
      </c>
      <c r="BC237" s="42">
        <f t="shared" ref="BC237:BF237" si="1505">BC179/BC$203</f>
        <v>0</v>
      </c>
      <c r="BD237" s="42">
        <f t="shared" si="1505"/>
        <v>-52.465529329282539</v>
      </c>
      <c r="BE237" s="42">
        <f t="shared" si="1505"/>
        <v>-45.163543242928654</v>
      </c>
      <c r="BF237" s="42">
        <f t="shared" si="1505"/>
        <v>0</v>
      </c>
    </row>
    <row r="238" spans="2:58">
      <c r="B238" s="1" t="str">
        <f t="shared" si="1347"/>
        <v>Change in debt</v>
      </c>
      <c r="C238" s="42">
        <f t="shared" si="1348"/>
        <v>191.18584070796459</v>
      </c>
      <c r="D238" s="42">
        <f t="shared" si="1348"/>
        <v>314.43504736129893</v>
      </c>
      <c r="E238" s="42">
        <f t="shared" si="1348"/>
        <v>96.465730800990954</v>
      </c>
      <c r="F238" s="42">
        <f t="shared" si="1348"/>
        <v>345.06603984777274</v>
      </c>
      <c r="G238" s="42">
        <f t="shared" ref="G238:H238" si="1506">G180/G$203</f>
        <v>770.36830102622571</v>
      </c>
      <c r="H238" s="42">
        <f t="shared" si="1506"/>
        <v>1183.9564421999999</v>
      </c>
      <c r="I238" s="42">
        <f t="shared" ref="I238:J238" si="1507">I180/I$203</f>
        <v>1033.4716520774066</v>
      </c>
      <c r="J238" s="42">
        <f t="shared" si="1507"/>
        <v>1023.694434839263</v>
      </c>
      <c r="K238" s="42">
        <f t="shared" si="1351"/>
        <v>1151.7412935323384</v>
      </c>
      <c r="L238" s="42">
        <f t="shared" ref="L238" si="1508">L180/L$203</f>
        <v>1151.7412935323384</v>
      </c>
      <c r="M238" s="42">
        <f t="shared" ref="M238:N238" si="1509">M180/M$203</f>
        <v>1136.1189993238677</v>
      </c>
      <c r="N238" s="42">
        <f t="shared" si="1509"/>
        <v>1240.0576328563236</v>
      </c>
      <c r="O238" s="42">
        <f t="shared" si="1354"/>
        <v>142.08335666585211</v>
      </c>
      <c r="P238" s="42"/>
      <c r="Q238" s="42">
        <f t="shared" si="1355"/>
        <v>176.65537106065719</v>
      </c>
      <c r="R238" s="42">
        <f t="shared" si="1355"/>
        <v>168.52213469433082</v>
      </c>
      <c r="S238" s="42">
        <f t="shared" si="1355"/>
        <v>90.766119973039764</v>
      </c>
      <c r="T238" s="42">
        <f t="shared" ref="T238:V238" si="1510">T180/T$203</f>
        <v>529.66429207479962</v>
      </c>
      <c r="U238" s="42">
        <f t="shared" ref="U238" si="1511">U180/U$203</f>
        <v>-476.43432860000001</v>
      </c>
      <c r="V238" s="42">
        <f t="shared" si="1510"/>
        <v>1629.7866869999998</v>
      </c>
      <c r="W238" s="42">
        <f t="shared" ref="W238:X238" si="1512">W180/W$203</f>
        <v>347.44301039999999</v>
      </c>
      <c r="X238" s="42">
        <f t="shared" si="1512"/>
        <v>667.63997080000001</v>
      </c>
      <c r="Y238" s="42">
        <f t="shared" ref="Y238:AA238" si="1513">Y180/Y$203</f>
        <v>533.23964976759271</v>
      </c>
      <c r="Z238" s="42">
        <f t="shared" si="1513"/>
        <v>584.11804000000018</v>
      </c>
      <c r="AA238" s="42">
        <f t="shared" si="1513"/>
        <v>969.39547961501023</v>
      </c>
      <c r="AB238" s="42">
        <f t="shared" ref="AB238:AD238" si="1514">AB180/AB$203</f>
        <v>166.45021645021652</v>
      </c>
      <c r="AC238" s="42">
        <f t="shared" ref="AC238" si="1515">AC180/AC$203</f>
        <v>469.17099142219485</v>
      </c>
      <c r="AD238" s="42">
        <f t="shared" si="1514"/>
        <v>783.55685131195344</v>
      </c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42">
        <f t="shared" ref="AT238:AU238" si="1516">AT180/AT$203</f>
        <v>238.5213005687306</v>
      </c>
      <c r="AU238" s="42">
        <f t="shared" si="1516"/>
        <v>295.13448764020472</v>
      </c>
      <c r="AV238" s="42">
        <f t="shared" ref="AV238:AY238" si="1517">AV180/AV$203</f>
        <v>404.16709857986945</v>
      </c>
      <c r="AW238" s="42">
        <f t="shared" si="1517"/>
        <v>191.25812478618988</v>
      </c>
      <c r="AX238" s="42">
        <f t="shared" si="1517"/>
        <v>751.84622067767157</v>
      </c>
      <c r="AY238" s="42">
        <f t="shared" si="1517"/>
        <v>219.76957036717997</v>
      </c>
      <c r="AZ238" s="42">
        <f t="shared" ref="AZ238:BB238" si="1518">AZ180/AZ$203</f>
        <v>214.56822676334878</v>
      </c>
      <c r="BA238" s="42">
        <f t="shared" si="1518"/>
        <v>-44.252505864789939</v>
      </c>
      <c r="BB238" s="42">
        <f t="shared" si="1518"/>
        <v>1233.2082650742482</v>
      </c>
      <c r="BC238" s="42">
        <f t="shared" ref="BC238:BF238" si="1519">BC180/BC$203</f>
        <v>-799.95620278112335</v>
      </c>
      <c r="BD238" s="42">
        <f t="shared" si="1519"/>
        <v>565.90324842252846</v>
      </c>
      <c r="BE238" s="42">
        <f t="shared" si="1519"/>
        <v>218.36805959725316</v>
      </c>
      <c r="BF238" s="42">
        <f t="shared" si="1519"/>
        <v>213.51743999999999</v>
      </c>
    </row>
    <row r="239" spans="2:58">
      <c r="B239" s="1" t="str">
        <f t="shared" si="1347"/>
        <v>Other financing activities</v>
      </c>
      <c r="C239" s="42">
        <f t="shared" si="1348"/>
        <v>0</v>
      </c>
      <c r="D239" s="42">
        <f t="shared" si="1348"/>
        <v>-12.403022101939559</v>
      </c>
      <c r="E239" s="42">
        <f t="shared" si="1348"/>
        <v>-3.5094962840627577</v>
      </c>
      <c r="F239" s="42">
        <f t="shared" si="1348"/>
        <v>-36.047683008730694</v>
      </c>
      <c r="G239" s="42">
        <f t="shared" ref="G239:H239" si="1520">G181/G$203</f>
        <v>-25.302166476624858</v>
      </c>
      <c r="H239" s="42">
        <f t="shared" si="1520"/>
        <v>-54.775666800000003</v>
      </c>
      <c r="I239" s="42">
        <f t="shared" ref="I239:J239" si="1521">I181/I$203</f>
        <v>-8.2622054861834311</v>
      </c>
      <c r="J239" s="42">
        <f t="shared" si="1521"/>
        <v>-8.1840404221081684</v>
      </c>
      <c r="K239" s="42">
        <f t="shared" si="1351"/>
        <v>-16.006921912178239</v>
      </c>
      <c r="L239" s="42">
        <f t="shared" ref="L239" si="1522">L181/L$203</f>
        <v>-16.006921912178239</v>
      </c>
      <c r="M239" s="42">
        <f t="shared" ref="M239:N239" si="1523">M181/M$203</f>
        <v>-42.83975659229209</v>
      </c>
      <c r="N239" s="42">
        <f t="shared" si="1523"/>
        <v>-36.258340677325947</v>
      </c>
      <c r="O239" s="42">
        <f t="shared" si="1354"/>
        <v>-34.228650191126818</v>
      </c>
      <c r="P239" s="42"/>
      <c r="Q239" s="42">
        <f t="shared" si="1355"/>
        <v>-67.571444708008599</v>
      </c>
      <c r="R239" s="42">
        <f t="shared" si="1355"/>
        <v>30.64018639742595</v>
      </c>
      <c r="S239" s="42">
        <f t="shared" si="1355"/>
        <v>-1.4592226465962705</v>
      </c>
      <c r="T239" s="42">
        <f t="shared" ref="T239:V239" si="1524">T181/T$203</f>
        <v>-18.602849510240429</v>
      </c>
      <c r="U239" s="42">
        <f t="shared" ref="U239" si="1525">U181/U$203</f>
        <v>984.02496140000005</v>
      </c>
      <c r="V239" s="42">
        <f t="shared" si="1524"/>
        <v>-1007.125668</v>
      </c>
      <c r="W239" s="42">
        <f t="shared" ref="W239:X239" si="1526">W181/W$203</f>
        <v>-73.971378000000001</v>
      </c>
      <c r="X239" s="42">
        <f t="shared" si="1526"/>
        <v>61.212831900000012</v>
      </c>
      <c r="Y239" s="42">
        <f t="shared" ref="Y239:AA239" si="1527">Y181/Y$203</f>
        <v>-89.395741000972862</v>
      </c>
      <c r="Z239" s="42">
        <f t="shared" si="1527"/>
        <v>69.387010000000004</v>
      </c>
      <c r="AA239" s="42">
        <f t="shared" si="1527"/>
        <v>-61.749756677841461</v>
      </c>
      <c r="AB239" s="42">
        <f t="shared" ref="AB239:AD239" si="1528">AB181/AB$203</f>
        <v>18.939393939393931</v>
      </c>
      <c r="AC239" s="42">
        <f t="shared" ref="AC239" si="1529">AC181/AC$203</f>
        <v>-61.523568797224989</v>
      </c>
      <c r="AD239" s="42">
        <f t="shared" si="1528"/>
        <v>28.921282798833822</v>
      </c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42">
        <f t="shared" ref="AT239:AU239" si="1530">AT181/AT$203</f>
        <v>-3.5722717029724222</v>
      </c>
      <c r="AU239" s="42">
        <f t="shared" si="1530"/>
        <v>-86.432538386148323</v>
      </c>
      <c r="AV239" s="42">
        <f t="shared" ref="AV239:AY239" si="1531">AV181/AV$203</f>
        <v>-93.811547631387981</v>
      </c>
      <c r="AW239" s="42">
        <f t="shared" si="1531"/>
        <v>166.73245440909446</v>
      </c>
      <c r="AX239" s="42">
        <f t="shared" si="1531"/>
        <v>-10.860121633362294</v>
      </c>
      <c r="AY239" s="42">
        <f t="shared" si="1531"/>
        <v>-50.716054700118441</v>
      </c>
      <c r="AZ239" s="42">
        <f t="shared" ref="AZ239:BB239" si="1532">AZ181/AZ$203</f>
        <v>-3.9551746868820135</v>
      </c>
      <c r="BA239" s="42">
        <f t="shared" si="1532"/>
        <v>22.499466837278739</v>
      </c>
      <c r="BB239" s="42">
        <f t="shared" si="1532"/>
        <v>-11.520372034032656</v>
      </c>
      <c r="BC239" s="42">
        <f t="shared" ref="BC239:BF239" si="1533">BC181/BC$203</f>
        <v>-50.695280849666048</v>
      </c>
      <c r="BD239" s="42">
        <f t="shared" si="1533"/>
        <v>35.171769104931059</v>
      </c>
      <c r="BE239" s="42">
        <f t="shared" si="1533"/>
        <v>-6.1692468862763326</v>
      </c>
      <c r="BF239" s="42">
        <f t="shared" si="1533"/>
        <v>-9.7159800000000018</v>
      </c>
    </row>
    <row r="240" spans="2:58" s="5" customFormat="1">
      <c r="B240" s="5" t="str">
        <f t="shared" si="1347"/>
        <v>Cash flow after financing activities</v>
      </c>
      <c r="C240" s="42">
        <f t="shared" si="1348"/>
        <v>-14.851769911504411</v>
      </c>
      <c r="D240" s="42">
        <f t="shared" si="1348"/>
        <v>0.64388813712210069</v>
      </c>
      <c r="E240" s="42">
        <f t="shared" si="1348"/>
        <v>10.719594196059907</v>
      </c>
      <c r="F240" s="42">
        <f t="shared" si="1348"/>
        <v>41.253637788224928</v>
      </c>
      <c r="G240" s="42">
        <f t="shared" ref="G240:H240" si="1534">G182/G$203</f>
        <v>407.53591790193838</v>
      </c>
      <c r="H240" s="42">
        <f t="shared" si="1534"/>
        <v>582.81484499999976</v>
      </c>
      <c r="I240" s="42">
        <f t="shared" ref="I240:J240" si="1535">I182/I$203</f>
        <v>-227.84276705484527</v>
      </c>
      <c r="J240" s="42">
        <f t="shared" si="1535"/>
        <v>-225.74838548164956</v>
      </c>
      <c r="K240" s="42">
        <f t="shared" si="1351"/>
        <v>39.476530391520733</v>
      </c>
      <c r="L240" s="42">
        <f t="shared" ref="L240" si="1536">L182/L$203</f>
        <v>55.591607181484065</v>
      </c>
      <c r="M240" s="42">
        <f t="shared" ref="M240:N240" si="1537">M182/M$203</f>
        <v>212.57606490872215</v>
      </c>
      <c r="N240" s="42">
        <f t="shared" si="1537"/>
        <v>-99.26280302712351</v>
      </c>
      <c r="O240" s="42">
        <f t="shared" si="1354"/>
        <v>-1330.7823527328696</v>
      </c>
      <c r="P240" s="42"/>
      <c r="Q240" s="42">
        <f t="shared" si="1355"/>
        <v>-25.210663052072963</v>
      </c>
      <c r="R240" s="42">
        <f t="shared" si="1355"/>
        <v>65.655164762010827</v>
      </c>
      <c r="S240" s="42">
        <f t="shared" si="1355"/>
        <v>-9.146259267580291</v>
      </c>
      <c r="T240" s="42">
        <f t="shared" ref="T240:V240" si="1538">T182/T$203</f>
        <v>325.51291184327692</v>
      </c>
      <c r="U240" s="42">
        <f t="shared" ref="U240" si="1539">U182/U$203</f>
        <v>116.26441570000007</v>
      </c>
      <c r="V240" s="42">
        <f t="shared" si="1538"/>
        <v>462.51944399999974</v>
      </c>
      <c r="W240" s="42">
        <f t="shared" ref="W240:X240" si="1540">W182/W$203</f>
        <v>-261.59073479999995</v>
      </c>
      <c r="X240" s="42">
        <f t="shared" si="1540"/>
        <v>25.736551500000004</v>
      </c>
      <c r="Y240" s="42">
        <f t="shared" ref="Y240:AA240" si="1541">Y182/Y$203</f>
        <v>28.537455410226066</v>
      </c>
      <c r="Z240" s="42">
        <f t="shared" si="1541"/>
        <v>10.321190000000053</v>
      </c>
      <c r="AA240" s="42">
        <f t="shared" si="1541"/>
        <v>451.17335352006063</v>
      </c>
      <c r="AB240" s="42">
        <f t="shared" ref="AB240:AD240" si="1542">AB182/AB$203</f>
        <v>-238.85281385281377</v>
      </c>
      <c r="AC240" s="42">
        <f t="shared" ref="AC240" si="1543">AC182/AC$203</f>
        <v>17.101831186641171</v>
      </c>
      <c r="AD240" s="42">
        <f t="shared" si="1542"/>
        <v>-121.98250728862956</v>
      </c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42">
        <f t="shared" ref="AT240:AU240" si="1544">AT182/AT$203</f>
        <v>-54.348106019959211</v>
      </c>
      <c r="AU240" s="42">
        <f t="shared" si="1544"/>
        <v>83.901775019057069</v>
      </c>
      <c r="AV240" s="42">
        <f t="shared" ref="AV240:AY240" si="1545">AV182/AV$203</f>
        <v>187.31211775681575</v>
      </c>
      <c r="AW240" s="42">
        <f t="shared" si="1545"/>
        <v>-179.57422173100721</v>
      </c>
      <c r="AX240" s="42">
        <f t="shared" si="1545"/>
        <v>590.57341442224151</v>
      </c>
      <c r="AY240" s="42">
        <f t="shared" si="1545"/>
        <v>-136.31958651878961</v>
      </c>
      <c r="AZ240" s="42">
        <f t="shared" ref="AZ240:BB240" si="1546">AZ182/AZ$203</f>
        <v>206.10854757196222</v>
      </c>
      <c r="BA240" s="42">
        <f t="shared" si="1546"/>
        <v>-435.3806781829814</v>
      </c>
      <c r="BB240" s="42">
        <f t="shared" si="1546"/>
        <v>1053.5327379379589</v>
      </c>
      <c r="BC240" s="42">
        <f t="shared" ref="BC240:BF240" si="1547">BC182/BC$203</f>
        <v>-1074.017299901456</v>
      </c>
      <c r="BD240" s="42">
        <f t="shared" si="1547"/>
        <v>232.76466464127128</v>
      </c>
      <c r="BE240" s="42">
        <f t="shared" si="1547"/>
        <v>-353.62588755674511</v>
      </c>
      <c r="BF240" s="42">
        <f t="shared" si="1547"/>
        <v>-85.570860000000081</v>
      </c>
    </row>
    <row r="241" spans="2:58">
      <c r="B241" s="1" t="str">
        <f t="shared" si="1347"/>
        <v xml:space="preserve">FX </v>
      </c>
      <c r="C241" s="42">
        <f t="shared" si="1348"/>
        <v>0</v>
      </c>
      <c r="D241" s="42">
        <f t="shared" si="1348"/>
        <v>0</v>
      </c>
      <c r="E241" s="42">
        <f t="shared" si="1348"/>
        <v>5.3568479414887342</v>
      </c>
      <c r="F241" s="42">
        <f t="shared" si="1348"/>
        <v>-0.27759122453548241</v>
      </c>
      <c r="G241" s="42">
        <f t="shared" ref="G241:H241" si="1548">G183/G$203</f>
        <v>-2.4082098061573549</v>
      </c>
      <c r="H241" s="42">
        <f t="shared" si="1548"/>
        <v>1.4356764</v>
      </c>
      <c r="I241" s="42">
        <f t="shared" ref="I241:J241" si="1549">I183/I$203</f>
        <v>-5.2005922476788289</v>
      </c>
      <c r="J241" s="42">
        <f t="shared" si="1549"/>
        <v>-5.1513917494645316</v>
      </c>
      <c r="K241" s="42">
        <f t="shared" si="1351"/>
        <v>2.3794073112697385</v>
      </c>
      <c r="L241" s="42">
        <f t="shared" ref="L241" si="1550">L183/L$203</f>
        <v>2.3794073112697385</v>
      </c>
      <c r="M241" s="42">
        <f t="shared" ref="M241:N241" si="1551">M183/M$203</f>
        <v>-2.0554428668018931</v>
      </c>
      <c r="N241" s="42">
        <f t="shared" si="1551"/>
        <v>4.9239721907479685</v>
      </c>
      <c r="O241" s="42">
        <f t="shared" si="1354"/>
        <v>2.4120860872941714</v>
      </c>
      <c r="P241" s="42"/>
      <c r="Q241" s="42">
        <f t="shared" si="1355"/>
        <v>0</v>
      </c>
      <c r="R241" s="42">
        <f t="shared" si="1355"/>
        <v>-0.27515810495950294</v>
      </c>
      <c r="S241" s="42">
        <f t="shared" si="1355"/>
        <v>0</v>
      </c>
      <c r="T241" s="42">
        <f t="shared" ref="T241:V241" si="1552">T183/T$203</f>
        <v>-1.8806767586821016</v>
      </c>
      <c r="U241" s="42">
        <f t="shared" ref="U241" si="1553">U183/U$203</f>
        <v>1.8784391</v>
      </c>
      <c r="V241" s="42">
        <f t="shared" si="1552"/>
        <v>-0.402615</v>
      </c>
      <c r="W241" s="42">
        <f t="shared" ref="W241:X241" si="1554">W183/W$203</f>
        <v>-5.9174916</v>
      </c>
      <c r="X241" s="42">
        <f t="shared" si="1554"/>
        <v>0.53751940000000076</v>
      </c>
      <c r="Y241" s="42">
        <f t="shared" ref="Y241:AA241" si="1555">Y183/Y$203</f>
        <v>4.4319533023456916</v>
      </c>
      <c r="Z241" s="42">
        <f t="shared" si="1555"/>
        <v>-1.9416099999999996</v>
      </c>
      <c r="AA241" s="42">
        <f t="shared" si="1555"/>
        <v>-1.4058613604412242</v>
      </c>
      <c r="AB241" s="42">
        <f t="shared" ref="AB241:AD241" si="1556">AB183/AB$203</f>
        <v>-0.64935064935064912</v>
      </c>
      <c r="AC241" s="42">
        <f t="shared" ref="AC241" si="1557">AC183/AC$203</f>
        <v>2.1511737341687058</v>
      </c>
      <c r="AD241" s="42">
        <f t="shared" si="1556"/>
        <v>2.7988338192419828</v>
      </c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42">
        <f t="shared" ref="AT241:AU241" si="1558">AT183/AT$203</f>
        <v>3.8276639124369574</v>
      </c>
      <c r="AU241" s="42">
        <f t="shared" si="1558"/>
        <v>0.58042034193618586</v>
      </c>
      <c r="AV241" s="42">
        <f t="shared" ref="AV241:AY241" si="1559">AV183/AV$203</f>
        <v>-4.0427075774852277</v>
      </c>
      <c r="AW241" s="42">
        <f t="shared" si="1559"/>
        <v>2.1052077576905872</v>
      </c>
      <c r="AX241" s="42">
        <f t="shared" si="1559"/>
        <v>-2.4978279756733275</v>
      </c>
      <c r="AY241" s="42">
        <f t="shared" si="1559"/>
        <v>1.0767739851405187</v>
      </c>
      <c r="AZ241" s="42">
        <f t="shared" ref="AZ241:BB241" si="1560">AZ183/AZ$203</f>
        <v>-0.54932981762250055</v>
      </c>
      <c r="BA241" s="42">
        <f t="shared" si="1560"/>
        <v>-0.10663254425250572</v>
      </c>
      <c r="BB241" s="42">
        <f t="shared" si="1560"/>
        <v>1.7967552713628916</v>
      </c>
      <c r="BC241" s="42">
        <f t="shared" ref="BC241:BF241" si="1561">BC183/BC$203</f>
        <v>0.32847914157451008</v>
      </c>
      <c r="BD241" s="42">
        <f t="shared" si="1561"/>
        <v>1.9864454311755084</v>
      </c>
      <c r="BE241" s="42">
        <f t="shared" si="1561"/>
        <v>0.81480619252706343</v>
      </c>
      <c r="BF241" s="42">
        <f t="shared" si="1561"/>
        <v>-0.7023600000000001</v>
      </c>
    </row>
    <row r="242" spans="2:58">
      <c r="B242" s="1" t="str">
        <f t="shared" si="1347"/>
        <v>Balancing figure</v>
      </c>
      <c r="C242" s="42">
        <f t="shared" si="1348"/>
        <v>38.203539823008832</v>
      </c>
      <c r="D242" s="42">
        <f t="shared" si="1348"/>
        <v>-0.74537663509233076</v>
      </c>
      <c r="E242" s="42">
        <f t="shared" si="1348"/>
        <v>8.4593606228618796</v>
      </c>
      <c r="F242" s="42">
        <f t="shared" si="1348"/>
        <v>-21.346541302888014</v>
      </c>
      <c r="G242" s="42">
        <f t="shared" ref="G242:H242" si="1562">G184/G$203</f>
        <v>2.6225769669420067E-2</v>
      </c>
      <c r="H242" s="42">
        <f t="shared" si="1562"/>
        <v>-24.08246639999977</v>
      </c>
      <c r="I242" s="42">
        <f t="shared" ref="I242:J242" si="1563">I184/I$203</f>
        <v>-14.040641316937522</v>
      </c>
      <c r="J242" s="42">
        <f t="shared" si="1563"/>
        <v>-13.846671172696476</v>
      </c>
      <c r="K242" s="42">
        <f t="shared" si="1351"/>
        <v>-9.4094743672940417</v>
      </c>
      <c r="L242" s="42">
        <f t="shared" ref="L242" si="1564">L184/L$203</f>
        <v>-25.524551157257367</v>
      </c>
      <c r="M242" s="42">
        <f t="shared" ref="M242:N242" si="1565">M184/M$203</f>
        <v>-32.237998647735004</v>
      </c>
      <c r="N242" s="42">
        <f t="shared" si="1565"/>
        <v>-70.166603718158854</v>
      </c>
      <c r="O242" s="42">
        <f t="shared" si="1354"/>
        <v>-65.241185599195134</v>
      </c>
      <c r="P242" s="42"/>
      <c r="Q242" s="42">
        <f t="shared" si="1355"/>
        <v>14.482096464475539</v>
      </c>
      <c r="R242" s="42">
        <f t="shared" si="1355"/>
        <v>-35.384444691002265</v>
      </c>
      <c r="S242" s="42">
        <f t="shared" si="1355"/>
        <v>25.851494046281708</v>
      </c>
      <c r="T242" s="42">
        <f t="shared" ref="T242:V242" si="1566">T184/T$203</f>
        <v>-20.471950133570701</v>
      </c>
      <c r="U242" s="42">
        <f t="shared" ref="U242" si="1567">U184/U$203</f>
        <v>-35.763841800000058</v>
      </c>
      <c r="V242" s="42">
        <f t="shared" si="1566"/>
        <v>10.87410600000028</v>
      </c>
      <c r="W242" s="42">
        <f t="shared" ref="W242:X242" si="1568">W184/W$203</f>
        <v>-8.5838064000000038</v>
      </c>
      <c r="X242" s="42">
        <f t="shared" si="1568"/>
        <v>-5.4589897999998396</v>
      </c>
      <c r="Y242" s="42">
        <f t="shared" ref="Y242:AA242" si="1569">Y184/Y$203</f>
        <v>-3.7833747702952492</v>
      </c>
      <c r="Z242" s="42">
        <f t="shared" si="1569"/>
        <v>-5.3138799999999344</v>
      </c>
      <c r="AA242" s="42">
        <f t="shared" si="1569"/>
        <v>-5.5153022601925192</v>
      </c>
      <c r="AB242" s="42">
        <f t="shared" ref="AB242:AD242" si="1570">AB184/AB$203</f>
        <v>-26.731601731601749</v>
      </c>
      <c r="AC242" s="42">
        <f t="shared" ref="AC242" si="1571">AC184/AC$203</f>
        <v>-26.782112990400346</v>
      </c>
      <c r="AD242" s="42">
        <f t="shared" si="1570"/>
        <v>-44.081632653061583</v>
      </c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42">
        <f t="shared" ref="AT242:AU242" si="1572">AT184/AT$203</f>
        <v>-1.6536109024573649</v>
      </c>
      <c r="AU242" s="42">
        <f t="shared" si="1572"/>
        <v>-2.1332897745835888</v>
      </c>
      <c r="AV242" s="42">
        <f t="shared" ref="AV242:AY242" si="1573">AV184/AV$203</f>
        <v>4.2500259147919879</v>
      </c>
      <c r="AW242" s="42">
        <f t="shared" si="1573"/>
        <v>-9.7892160732609916</v>
      </c>
      <c r="AX242" s="42">
        <f t="shared" si="1573"/>
        <v>0.10860121633364764</v>
      </c>
      <c r="AY242" s="42">
        <f t="shared" si="1573"/>
        <v>-5.5992247227307477</v>
      </c>
      <c r="AZ242" s="42">
        <f t="shared" ref="AZ242:BB242" si="1574">AZ184/AZ$203</f>
        <v>-3.4058448692595285</v>
      </c>
      <c r="BA242" s="42">
        <f t="shared" si="1574"/>
        <v>-23.032629558541263</v>
      </c>
      <c r="BB242" s="42">
        <f t="shared" si="1574"/>
        <v>-7.8211700047560928</v>
      </c>
      <c r="BC242" s="42">
        <f t="shared" ref="BC242:BF242" si="1575">BC184/BC$203</f>
        <v>-19.161283258513208</v>
      </c>
      <c r="BD242" s="42">
        <f t="shared" si="1575"/>
        <v>3.3886422061230324</v>
      </c>
      <c r="BE242" s="42">
        <f t="shared" si="1575"/>
        <v>-47.375160051216859</v>
      </c>
      <c r="BF242" s="42">
        <f t="shared" si="1575"/>
        <v>-1.755899999999917</v>
      </c>
    </row>
    <row r="243" spans="2:58" ht="13.5" thickBot="1">
      <c r="B243" s="39" t="str">
        <f t="shared" si="1347"/>
        <v xml:space="preserve">Net change in cash </v>
      </c>
      <c r="C243" s="54">
        <f t="shared" si="1348"/>
        <v>23.351769911504423</v>
      </c>
      <c r="D243" s="54">
        <f t="shared" si="1348"/>
        <v>-0.10148849797023</v>
      </c>
      <c r="E243" s="54">
        <f t="shared" si="1348"/>
        <v>24.535802760410522</v>
      </c>
      <c r="F243" s="54">
        <f t="shared" si="1348"/>
        <v>19.629505260801434</v>
      </c>
      <c r="G243" s="54">
        <f t="shared" ref="G243:H243" si="1576">G185/G$203</f>
        <v>405.15393386545037</v>
      </c>
      <c r="H243" s="54">
        <f t="shared" si="1576"/>
        <v>560.16805500000009</v>
      </c>
      <c r="I243" s="54">
        <f t="shared" ref="I243:J243" si="1577">I185/I$203</f>
        <v>-247.08400061946162</v>
      </c>
      <c r="J243" s="54">
        <f t="shared" si="1577"/>
        <v>-244.74644840381058</v>
      </c>
      <c r="K243" s="54">
        <f t="shared" si="1351"/>
        <v>32.446463335496432</v>
      </c>
      <c r="L243" s="54">
        <f t="shared" ref="L243" si="1578">L185/L$203</f>
        <v>32.446463335496432</v>
      </c>
      <c r="M243" s="54">
        <f t="shared" ref="M243:N243" si="1579">M185/M$203</f>
        <v>178.28262339418526</v>
      </c>
      <c r="N243" s="54">
        <f t="shared" si="1579"/>
        <v>-164.50543455453439</v>
      </c>
      <c r="O243" s="54">
        <f t="shared" si="1354"/>
        <v>-1393.6114522447708</v>
      </c>
      <c r="P243" s="36"/>
      <c r="Q243" s="54">
        <f t="shared" si="1355"/>
        <v>-10.728566587597424</v>
      </c>
      <c r="R243" s="54">
        <f t="shared" si="1355"/>
        <v>29.995561966049056</v>
      </c>
      <c r="S243" s="54">
        <f t="shared" si="1355"/>
        <v>16.705234778701417</v>
      </c>
      <c r="T243" s="54">
        <f t="shared" ref="T243:V243" si="1580">T185/T$203</f>
        <v>303.1602849510241</v>
      </c>
      <c r="U243" s="54">
        <f t="shared" ref="U243" si="1581">U185/U$203</f>
        <v>82.379013000000015</v>
      </c>
      <c r="V243" s="54">
        <f t="shared" si="1580"/>
        <v>472.99093499999998</v>
      </c>
      <c r="W243" s="54">
        <f t="shared" ref="W243:X243" si="1582">W185/W$203</f>
        <v>-276.09203279999997</v>
      </c>
      <c r="X243" s="54">
        <f t="shared" si="1582"/>
        <v>20.815081100000164</v>
      </c>
      <c r="Y243" s="54">
        <f t="shared" ref="Y243:AA243" si="1583">Y185/Y$203</f>
        <v>29.186033942276509</v>
      </c>
      <c r="Z243" s="54">
        <f t="shared" si="1583"/>
        <v>3.0657000000001191</v>
      </c>
      <c r="AA243" s="54">
        <f t="shared" si="1583"/>
        <v>444.25218989942687</v>
      </c>
      <c r="AB243" s="54">
        <f t="shared" ref="AB243:AD243" si="1584">AB185/AB$203</f>
        <v>-266.23376623376618</v>
      </c>
      <c r="AC243" s="54">
        <f t="shared" ref="AC243" si="1585">AC185/AC$203</f>
        <v>-7.5291080695904702</v>
      </c>
      <c r="AD243" s="54">
        <f t="shared" si="1584"/>
        <v>-163.26530612244915</v>
      </c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54">
        <f t="shared" ref="AT243:AU243" si="1586">AT185/AT$203</f>
        <v>-52.174053009979616</v>
      </c>
      <c r="AU243" s="54">
        <f t="shared" si="1586"/>
        <v>82.348905586409671</v>
      </c>
      <c r="AV243" s="54">
        <f t="shared" ref="AV243:AY243" si="1587">AV185/AV$203</f>
        <v>187.51943609412251</v>
      </c>
      <c r="AW243" s="54">
        <f t="shared" si="1587"/>
        <v>-187.25823004657764</v>
      </c>
      <c r="AX243" s="54">
        <f t="shared" si="1587"/>
        <v>588.18418766290188</v>
      </c>
      <c r="AY243" s="54">
        <f t="shared" si="1587"/>
        <v>-140.84203725637985</v>
      </c>
      <c r="AZ243" s="54">
        <f t="shared" ref="AZ243:BB243" si="1588">AZ185/AZ$203</f>
        <v>202.15337288508019</v>
      </c>
      <c r="BA243" s="54">
        <f t="shared" si="1588"/>
        <v>-458.51994028577525</v>
      </c>
      <c r="BB243" s="54">
        <f t="shared" si="1588"/>
        <v>1047.5083232045658</v>
      </c>
      <c r="BC243" s="54">
        <f t="shared" ref="BC243:BF243" si="1589">BC185/BC$203</f>
        <v>-1092.8501040183949</v>
      </c>
      <c r="BD243" s="54">
        <f t="shared" si="1589"/>
        <v>238.1397522785698</v>
      </c>
      <c r="BE243" s="54">
        <f t="shared" si="1589"/>
        <v>-400.18624141543489</v>
      </c>
      <c r="BF243" s="54">
        <f t="shared" si="1589"/>
        <v>-88.029119999999992</v>
      </c>
    </row>
    <row r="244" spans="2:58" ht="14.25" thickTop="1" thickBot="1">
      <c r="B244" s="39" t="str">
        <f t="shared" si="1347"/>
        <v>Cash and cash equivalents</v>
      </c>
      <c r="C244" s="54">
        <f t="shared" ref="C244:G244" si="1590">C186/C$204</f>
        <v>67.764569745423941</v>
      </c>
      <c r="D244" s="54">
        <f t="shared" si="1590"/>
        <v>30.594237695078032</v>
      </c>
      <c r="E244" s="54">
        <f t="shared" si="1590"/>
        <v>53.06581059390048</v>
      </c>
      <c r="F244" s="54">
        <f t="shared" si="1590"/>
        <v>71.556228276712631</v>
      </c>
      <c r="G244" s="54">
        <f t="shared" si="1590"/>
        <v>512.02174444172977</v>
      </c>
      <c r="H244" s="54">
        <f t="shared" ref="H244:I244" si="1591">H186/H$204</f>
        <v>1014.9532288</v>
      </c>
      <c r="I244" s="54">
        <f t="shared" si="1591"/>
        <v>707.00729620000016</v>
      </c>
      <c r="J244" s="54">
        <f t="shared" ref="J244" si="1592">J186/J$204</f>
        <v>707.00729620000016</v>
      </c>
      <c r="K244" s="54">
        <f>K186/K$204</f>
        <v>762.28587196467993</v>
      </c>
      <c r="L244" s="54">
        <f>L186/L$204</f>
        <v>762.28587196467993</v>
      </c>
      <c r="M244" s="54">
        <f>M186/M$204</f>
        <v>885.7227169186167</v>
      </c>
      <c r="N244" s="54">
        <f>N186/N$204</f>
        <v>832.07775428705656</v>
      </c>
      <c r="O244" s="54">
        <f>O186/O$204</f>
        <v>731.53595999999982</v>
      </c>
      <c r="P244" s="36"/>
      <c r="Q244" s="54">
        <f t="shared" ref="Q244:V244" si="1593">Q186/Q$204</f>
        <v>41.835551006482433</v>
      </c>
      <c r="R244" s="54">
        <f t="shared" si="1593"/>
        <v>71.556228276712645</v>
      </c>
      <c r="S244" s="54">
        <f t="shared" si="1593"/>
        <v>86.693841577613767</v>
      </c>
      <c r="T244" s="54">
        <f t="shared" si="1593"/>
        <v>373.26654198949154</v>
      </c>
      <c r="U244" s="54">
        <f t="shared" si="1593"/>
        <v>577.94429050000008</v>
      </c>
      <c r="V244" s="54">
        <f t="shared" si="1593"/>
        <v>1014.9532288</v>
      </c>
      <c r="W244" s="54">
        <f t="shared" ref="W244:X244" si="1594">W186/W$204</f>
        <v>668.36950180000008</v>
      </c>
      <c r="X244" s="54">
        <f t="shared" si="1594"/>
        <v>707.00729620000027</v>
      </c>
      <c r="Y244" s="54">
        <f t="shared" ref="Y244:AA244" si="1595">Y186/Y$204</f>
        <v>747.34376698184997</v>
      </c>
      <c r="Z244" s="54">
        <f t="shared" si="1595"/>
        <v>739.11329620000038</v>
      </c>
      <c r="AA244" s="54">
        <f t="shared" si="1595"/>
        <v>1180.3997427928414</v>
      </c>
      <c r="AB244" s="54">
        <f t="shared" ref="AB244:AD244" si="1596">AB186/AB$204</f>
        <v>885.72271691861692</v>
      </c>
      <c r="AC244" s="54">
        <f t="shared" ref="AC244" si="1597">AC186/AC$204</f>
        <v>977.22990094448323</v>
      </c>
      <c r="AD244" s="54">
        <f t="shared" si="1596"/>
        <v>832.07775428705679</v>
      </c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54">
        <f t="shared" ref="AT244:AU244" si="1598">AT186/AT$204</f>
        <v>667.40458015267177</v>
      </c>
      <c r="AU244" s="54">
        <f t="shared" si="1598"/>
        <v>747.34376698184974</v>
      </c>
      <c r="AV244" s="54">
        <f t="shared" ref="AV244:AY244" si="1599">AV186/AV$204</f>
        <v>821.69441816461688</v>
      </c>
      <c r="AW244" s="54">
        <f t="shared" si="1599"/>
        <v>762.28587196467993</v>
      </c>
      <c r="AX244" s="54">
        <f t="shared" si="1599"/>
        <v>1330.0949913644215</v>
      </c>
      <c r="AY244" s="54">
        <f t="shared" si="1599"/>
        <v>1180.366520201479</v>
      </c>
      <c r="AZ244" s="54">
        <f t="shared" ref="AZ244:BB244" si="1600">AZ186/AZ$204</f>
        <v>1431.2437367776417</v>
      </c>
      <c r="BA244" s="54">
        <f t="shared" si="1600"/>
        <v>885.69061917581291</v>
      </c>
      <c r="BB244" s="54">
        <f t="shared" si="1600"/>
        <v>1992.9843497031841</v>
      </c>
      <c r="BC244" s="54">
        <f t="shared" ref="BC244:BF244" si="1601">BC186/BC$204</f>
        <v>977.194194885971</v>
      </c>
      <c r="BD244" s="54">
        <f t="shared" si="1601"/>
        <v>1234.5418279948376</v>
      </c>
      <c r="BE244" s="54">
        <f t="shared" si="1601"/>
        <v>832.04134366925041</v>
      </c>
      <c r="BF244" s="54">
        <f t="shared" si="1601"/>
        <v>731.53595999999982</v>
      </c>
    </row>
    <row r="245" spans="2:58" ht="13.5" thickTop="1"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BA245" s="42"/>
      <c r="BB245" s="42"/>
      <c r="BE245" s="42"/>
      <c r="BF245" s="42"/>
    </row>
    <row r="246" spans="2:58">
      <c r="B246" s="1" t="s">
        <v>310</v>
      </c>
      <c r="C246" s="42">
        <f t="shared" ref="C246:F247" si="1602">C188/C$204</f>
        <v>1821.5295602777194</v>
      </c>
      <c r="D246" s="42">
        <f t="shared" si="1602"/>
        <v>2430.545018007203</v>
      </c>
      <c r="E246" s="42">
        <f t="shared" si="1602"/>
        <v>2443.6390736069711</v>
      </c>
      <c r="F246" s="42">
        <f t="shared" si="1602"/>
        <v>3002.3690996748514</v>
      </c>
      <c r="G246" s="42">
        <f t="shared" ref="G246:H246" si="1603">G188/G$204</f>
        <v>4146.4182751038352</v>
      </c>
      <c r="H246" s="42">
        <f t="shared" si="1603"/>
        <v>5130.1669552000003</v>
      </c>
      <c r="I246" s="42">
        <f t="shared" ref="I246:J246" si="1604">I188/I$204</f>
        <v>6286.5784717999995</v>
      </c>
      <c r="J246" s="42">
        <f t="shared" si="1604"/>
        <v>6286.5784717999995</v>
      </c>
      <c r="K246" s="42">
        <f t="shared" ref="K246:M247" si="1605">K188/K$204</f>
        <v>7691.1699779249448</v>
      </c>
      <c r="L246" s="42">
        <f t="shared" si="1605"/>
        <v>7691.1699779249448</v>
      </c>
      <c r="M246" s="42">
        <f t="shared" si="1605"/>
        <v>8386.3118658107269</v>
      </c>
      <c r="N246" s="42">
        <f t="shared" ref="N246" si="1606">N188/N$204</f>
        <v>10839.323467230442</v>
      </c>
      <c r="O246" s="42">
        <f t="shared" ref="O246" si="1607">O188/O$204</f>
        <v>10833.710219999999</v>
      </c>
      <c r="P246" s="42"/>
      <c r="Q246" s="42"/>
      <c r="R246" s="42">
        <f>R188/R$204</f>
        <v>3002.3690996748514</v>
      </c>
      <c r="S246" s="42">
        <f>S188/S$204</f>
        <v>3096.6662994381404</v>
      </c>
      <c r="T246" s="42">
        <f t="shared" ref="T246:V246" si="1608">T188/T$204</f>
        <v>3022.7607088787959</v>
      </c>
      <c r="U246" s="42">
        <f>U188/U$204</f>
        <v>3634.0992735000004</v>
      </c>
      <c r="V246" s="42">
        <f t="shared" si="1608"/>
        <v>5130.1669552000003</v>
      </c>
      <c r="W246" s="42">
        <f t="shared" ref="W246:X246" si="1609">W188/W$204</f>
        <v>5515.4894937999998</v>
      </c>
      <c r="X246" s="42">
        <f t="shared" si="1609"/>
        <v>6286.5784717999995</v>
      </c>
      <c r="Y246" s="42">
        <f t="shared" ref="Y246:AA246" si="1610">Y188/Y$204</f>
        <v>6951.9617432887726</v>
      </c>
      <c r="Z246" s="42">
        <f t="shared" si="1610"/>
        <v>7457.3676400000004</v>
      </c>
      <c r="AA246" s="42">
        <f t="shared" si="1610"/>
        <v>8500.4822634229986</v>
      </c>
      <c r="AB246" s="42">
        <f t="shared" ref="AB246:AC246" si="1611">AB188/AB$204</f>
        <v>8386.3118658107269</v>
      </c>
      <c r="AC246" s="42">
        <f t="shared" si="1611"/>
        <v>9830.6841741534208</v>
      </c>
      <c r="AD246" s="42">
        <f t="shared" ref="AD246" si="1612">AD188/AD$204</f>
        <v>10839.323467230442</v>
      </c>
      <c r="AF246" s="143"/>
      <c r="AG246" s="42">
        <f t="shared" ref="AG246:AK246" si="1613">AG188/AG$204</f>
        <v>3002.3690996748514</v>
      </c>
      <c r="AH246" s="143"/>
      <c r="AI246" s="42">
        <f t="shared" si="1613"/>
        <v>3157.5421253650866</v>
      </c>
      <c r="AJ246" s="42">
        <f t="shared" si="1613"/>
        <v>3394.1479137365218</v>
      </c>
      <c r="AK246" s="42">
        <f t="shared" si="1613"/>
        <v>4146.4182751038352</v>
      </c>
      <c r="AL246" s="42">
        <f>AL188/AL$204</f>
        <v>4067.3829912023457</v>
      </c>
      <c r="AM246" s="42">
        <f>AM188/AM$204</f>
        <v>2585.7924926191481</v>
      </c>
      <c r="AN246" s="42">
        <f t="shared" ref="AN246:AP246" si="1614">AN188/AN$204</f>
        <v>5218.2669138090832</v>
      </c>
      <c r="AO246" s="42">
        <f t="shared" si="1614"/>
        <v>5130.1669552000003</v>
      </c>
      <c r="AP246" s="42">
        <f t="shared" si="1614"/>
        <v>6269.1205855018588</v>
      </c>
      <c r="AQ246" s="42">
        <f t="shared" ref="AQ246:AT246" si="1615">AQ188/AQ$204</f>
        <v>5517.4832915622383</v>
      </c>
      <c r="AR246" s="42">
        <f t="shared" si="1615"/>
        <v>5613.7227138643066</v>
      </c>
      <c r="AS246" s="42">
        <f t="shared" si="1615"/>
        <v>6286.5784717999995</v>
      </c>
      <c r="AT246" s="42">
        <f t="shared" si="1615"/>
        <v>6677.5877862595416</v>
      </c>
      <c r="AU246" s="42">
        <f t="shared" ref="AU246:AX246" si="1616">AU188/AU$204</f>
        <v>6951.9617432887726</v>
      </c>
      <c r="AV246" s="42">
        <f t="shared" si="1616"/>
        <v>6420.2459791863776</v>
      </c>
      <c r="AW246" s="42">
        <f t="shared" si="1616"/>
        <v>7691.1699779249448</v>
      </c>
      <c r="AX246" s="42">
        <f t="shared" si="1616"/>
        <v>8265.8678756476693</v>
      </c>
      <c r="AY246" s="42">
        <f t="shared" ref="AY246:BB246" si="1617">AY188/AY$204</f>
        <v>8500.4822634229986</v>
      </c>
      <c r="AZ246" s="42">
        <f t="shared" si="1617"/>
        <v>9059.3475114129833</v>
      </c>
      <c r="BA246" s="42">
        <f t="shared" si="1617"/>
        <v>8386.3118658107269</v>
      </c>
      <c r="BB246" s="42">
        <f t="shared" si="1617"/>
        <v>9980.2482460874271</v>
      </c>
      <c r="BC246" s="42">
        <f t="shared" ref="BC246:BF246" si="1618">BC188/BC$204</f>
        <v>9830.6841741534208</v>
      </c>
      <c r="BD246" s="42">
        <f t="shared" si="1618"/>
        <v>10603.074034964215</v>
      </c>
      <c r="BE246" s="42">
        <f t="shared" si="1618"/>
        <v>10839.323467230442</v>
      </c>
      <c r="BF246" s="42">
        <f t="shared" si="1618"/>
        <v>10833.710219999999</v>
      </c>
    </row>
    <row r="247" spans="2:58" s="5" customFormat="1">
      <c r="B247" s="5" t="s">
        <v>311</v>
      </c>
      <c r="C247" s="36">
        <f t="shared" si="1602"/>
        <v>1753.7649905322955</v>
      </c>
      <c r="D247" s="36">
        <f t="shared" si="1602"/>
        <v>2399.9507803121251</v>
      </c>
      <c r="E247" s="36">
        <f t="shared" si="1602"/>
        <v>2390.5732630130706</v>
      </c>
      <c r="F247" s="36">
        <f t="shared" si="1602"/>
        <v>2930.8128713981391</v>
      </c>
      <c r="G247" s="36">
        <f t="shared" ref="G247:H247" si="1619">G189/G$204</f>
        <v>3634.3965306621058</v>
      </c>
      <c r="H247" s="36">
        <f t="shared" si="1619"/>
        <v>4115.2137264000003</v>
      </c>
      <c r="I247" s="36">
        <f t="shared" ref="I247:J247" si="1620">I189/I$204</f>
        <v>5579.5711756000001</v>
      </c>
      <c r="J247" s="36">
        <f t="shared" si="1620"/>
        <v>5579.5711756000001</v>
      </c>
      <c r="K247" s="36">
        <f t="shared" si="1605"/>
        <v>6928.9183222958045</v>
      </c>
      <c r="L247" s="36">
        <f t="shared" si="1605"/>
        <v>6928.9183222958045</v>
      </c>
      <c r="M247" s="36">
        <f t="shared" si="1605"/>
        <v>7500.6212466349143</v>
      </c>
      <c r="N247" s="36">
        <f t="shared" ref="N247" si="1621">N189/N$204</f>
        <v>10007.282123561192</v>
      </c>
      <c r="O247" s="36">
        <f t="shared" ref="O247" si="1622">O189/O$204</f>
        <v>10102.40532</v>
      </c>
      <c r="P247" s="36"/>
      <c r="Q247" s="36"/>
      <c r="R247" s="36">
        <f>R189/R$204</f>
        <v>2930.8128713981391</v>
      </c>
      <c r="S247" s="36">
        <f>S189/S$204</f>
        <v>3009.9724578605269</v>
      </c>
      <c r="T247" s="36">
        <f t="shared" ref="T247:V247" si="1623">T189/T$204</f>
        <v>2649.4941668893043</v>
      </c>
      <c r="U247" s="36">
        <f>U189/U$204</f>
        <v>3056.1549830000004</v>
      </c>
      <c r="V247" s="36">
        <f t="shared" si="1623"/>
        <v>4115.2137264000003</v>
      </c>
      <c r="W247" s="36">
        <f t="shared" ref="W247:X247" si="1624">W189/W$204</f>
        <v>4847.1199919999999</v>
      </c>
      <c r="X247" s="36">
        <f t="shared" si="1624"/>
        <v>5579.5711756000001</v>
      </c>
      <c r="Y247" s="36">
        <f t="shared" ref="Y247:AA247" si="1625">Y189/Y$204</f>
        <v>6204.6516682969241</v>
      </c>
      <c r="Z247" s="36">
        <f t="shared" si="1625"/>
        <v>6718.2875199999999</v>
      </c>
      <c r="AA247" s="36">
        <f t="shared" si="1625"/>
        <v>7320.1157432215186</v>
      </c>
      <c r="AB247" s="36">
        <f t="shared" ref="AB247:AC247" si="1626">AB189/AB$204</f>
        <v>7500.6212466349143</v>
      </c>
      <c r="AC247" s="36">
        <f t="shared" si="1626"/>
        <v>8853.4899792674514</v>
      </c>
      <c r="AD247" s="36">
        <f t="shared" ref="AD247" si="1627">AD189/AD$204</f>
        <v>10007.282123561192</v>
      </c>
      <c r="AF247" s="142"/>
      <c r="AG247" s="36">
        <f t="shared" ref="AG247:AK247" si="1628">AG189/AG$204</f>
        <v>2930.8128713981391</v>
      </c>
      <c r="AH247" s="142"/>
      <c r="AI247" s="36">
        <f t="shared" si="1628"/>
        <v>3069.1440125814424</v>
      </c>
      <c r="AJ247" s="36">
        <f t="shared" si="1628"/>
        <v>3318.0391467416785</v>
      </c>
      <c r="AK247" s="36">
        <f t="shared" si="1628"/>
        <v>3634.3965306621058</v>
      </c>
      <c r="AL247" s="36">
        <f>AL189/AL$204</f>
        <v>2720.7530791788854</v>
      </c>
      <c r="AM247" s="36">
        <f>AM189/AM$204</f>
        <v>2174.5643188528052</v>
      </c>
      <c r="AN247" s="36">
        <f t="shared" ref="AN247:AP247" si="1629">AN189/AN$204</f>
        <v>3608.3688600556079</v>
      </c>
      <c r="AO247" s="36">
        <f t="shared" si="1629"/>
        <v>4115.2137264000003</v>
      </c>
      <c r="AP247" s="36">
        <f t="shared" si="1629"/>
        <v>4938.755808550186</v>
      </c>
      <c r="AQ247" s="36">
        <f t="shared" ref="AQ247:AT247" si="1630">AQ189/AQ$204</f>
        <v>4848.8721804511279</v>
      </c>
      <c r="AR247" s="36">
        <f t="shared" si="1630"/>
        <v>4878.6902654867254</v>
      </c>
      <c r="AS247" s="36">
        <f t="shared" si="1630"/>
        <v>5579.5711756000001</v>
      </c>
      <c r="AT247" s="36">
        <f t="shared" si="1630"/>
        <v>6010.1832061068699</v>
      </c>
      <c r="AU247" s="36">
        <f t="shared" ref="AU247:AX247" si="1631">AU189/AU$204</f>
        <v>6204.6516682969241</v>
      </c>
      <c r="AV247" s="36">
        <f t="shared" si="1631"/>
        <v>5598.5808893093672</v>
      </c>
      <c r="AW247" s="36">
        <f t="shared" si="1631"/>
        <v>6928.9183222958045</v>
      </c>
      <c r="AX247" s="36">
        <f t="shared" si="1631"/>
        <v>6935.7728842832475</v>
      </c>
      <c r="AY247" s="36">
        <f t="shared" ref="AY247:BB247" si="1632">AY189/AY$204</f>
        <v>7320.1157432215186</v>
      </c>
      <c r="AZ247" s="36">
        <f t="shared" si="1632"/>
        <v>7628.1037746353404</v>
      </c>
      <c r="BA247" s="36">
        <f t="shared" si="1632"/>
        <v>7500.6212466349143</v>
      </c>
      <c r="BB247" s="36">
        <f t="shared" si="1632"/>
        <v>7987.2638963842428</v>
      </c>
      <c r="BC247" s="36">
        <f t="shared" ref="BC247:BF247" si="1633">BC189/BC$204</f>
        <v>8853.4899792674514</v>
      </c>
      <c r="BD247" s="36">
        <f t="shared" si="1633"/>
        <v>9368.5322069693775</v>
      </c>
      <c r="BE247" s="36">
        <f t="shared" si="1633"/>
        <v>10007.282123561192</v>
      </c>
      <c r="BF247" s="36">
        <f t="shared" si="1633"/>
        <v>10102.40532</v>
      </c>
    </row>
    <row r="248" spans="2:58" s="5" customFormat="1"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F248" s="142"/>
      <c r="AG248" s="36"/>
      <c r="AH248" s="142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</row>
    <row r="249" spans="2:58" s="5" customFormat="1">
      <c r="B249" s="1" t="s">
        <v>288</v>
      </c>
      <c r="C249" s="42">
        <f t="shared" ref="C249:O249" si="1634">C134/C$204</f>
        <v>1508.766042499474</v>
      </c>
      <c r="D249" s="42">
        <f t="shared" si="1634"/>
        <v>2074.406962785114</v>
      </c>
      <c r="E249" s="42">
        <f t="shared" si="1634"/>
        <v>1092.7298784682412</v>
      </c>
      <c r="F249" s="42">
        <f t="shared" si="1634"/>
        <v>2290.4451171656015</v>
      </c>
      <c r="G249" s="42">
        <f t="shared" si="1634"/>
        <v>2765.9821646713904</v>
      </c>
      <c r="H249" s="42">
        <f t="shared" si="1634"/>
        <v>4668.6443440000003</v>
      </c>
      <c r="I249" s="42">
        <f t="shared" si="1634"/>
        <v>5655.4900933999998</v>
      </c>
      <c r="J249" s="42">
        <f t="shared" si="1634"/>
        <v>5801.5542000000005</v>
      </c>
      <c r="K249" s="42">
        <f t="shared" si="1634"/>
        <v>6806.7328918322291</v>
      </c>
      <c r="L249" s="42">
        <f t="shared" si="1634"/>
        <v>6806.7328918322291</v>
      </c>
      <c r="M249" s="42">
        <f t="shared" si="1634"/>
        <v>7611.5137709670735</v>
      </c>
      <c r="N249" s="42">
        <f t="shared" si="1634"/>
        <v>9939.1590321822878</v>
      </c>
      <c r="O249" s="42">
        <f t="shared" si="1634"/>
        <v>10027.772939999999</v>
      </c>
      <c r="P249" s="34"/>
      <c r="Q249" s="42"/>
      <c r="R249" s="42">
        <f t="shared" ref="R249:AD249" si="1635">R134/R$204</f>
        <v>2290.4451171656015</v>
      </c>
      <c r="S249" s="42">
        <f t="shared" si="1635"/>
        <v>2323.6256472402779</v>
      </c>
      <c r="T249" s="42">
        <f t="shared" si="1635"/>
        <v>2016.4155312138214</v>
      </c>
      <c r="U249" s="42">
        <f t="shared" si="1635"/>
        <v>3879.4562810000002</v>
      </c>
      <c r="V249" s="42">
        <f t="shared" si="1635"/>
        <v>4668.6443440000003</v>
      </c>
      <c r="W249" s="42">
        <f t="shared" si="1635"/>
        <v>5152.3887129000004</v>
      </c>
      <c r="X249" s="42">
        <f t="shared" si="1635"/>
        <v>5655.4900933999998</v>
      </c>
      <c r="Y249" s="42">
        <f t="shared" si="1635"/>
        <v>6175.1983480056515</v>
      </c>
      <c r="Z249" s="42">
        <f t="shared" si="1635"/>
        <v>6599.8163800000002</v>
      </c>
      <c r="AA249" s="42">
        <f t="shared" si="1635"/>
        <v>7160.004286785982</v>
      </c>
      <c r="AB249" s="42">
        <f t="shared" si="1635"/>
        <v>7611.5137709670735</v>
      </c>
      <c r="AC249" s="42">
        <f t="shared" si="1635"/>
        <v>9201.7968210089839</v>
      </c>
      <c r="AD249" s="42">
        <f t="shared" si="1635"/>
        <v>9939.1590321822878</v>
      </c>
      <c r="AF249" s="42">
        <f t="shared" ref="AF249:BE249" si="1636">AF134/AF$204</f>
        <v>0</v>
      </c>
      <c r="AG249" s="42">
        <f t="shared" si="1636"/>
        <v>2290.4451171656015</v>
      </c>
      <c r="AH249" s="42">
        <f t="shared" si="1636"/>
        <v>0</v>
      </c>
      <c r="AI249" s="42">
        <f t="shared" si="1636"/>
        <v>2369.3046506403057</v>
      </c>
      <c r="AJ249" s="42">
        <f t="shared" si="1636"/>
        <v>2547.7273792780124</v>
      </c>
      <c r="AK249" s="42">
        <f t="shared" si="1636"/>
        <v>2765.9821646713904</v>
      </c>
      <c r="AL249" s="42">
        <f t="shared" si="1636"/>
        <v>3731.9519061583578</v>
      </c>
      <c r="AM249" s="42">
        <f t="shared" si="1636"/>
        <v>2760.3728384647829</v>
      </c>
      <c r="AN249" s="42">
        <f t="shared" si="1636"/>
        <v>3935.1691380908251</v>
      </c>
      <c r="AO249" s="42">
        <f t="shared" si="1636"/>
        <v>4668.6443440000003</v>
      </c>
      <c r="AP249" s="42">
        <f t="shared" si="1636"/>
        <v>5306.556691449814</v>
      </c>
      <c r="AQ249" s="42">
        <f t="shared" si="1636"/>
        <v>5154.2512531328321</v>
      </c>
      <c r="AR249" s="42">
        <f t="shared" si="1636"/>
        <v>5011.1878072763029</v>
      </c>
      <c r="AS249" s="42">
        <f t="shared" si="1636"/>
        <v>5655.4900933999998</v>
      </c>
      <c r="AT249" s="42">
        <f t="shared" si="1636"/>
        <v>6007.1941112322784</v>
      </c>
      <c r="AU249" s="42">
        <f t="shared" si="1636"/>
        <v>6175.1983480056515</v>
      </c>
      <c r="AV249" s="42">
        <f t="shared" si="1636"/>
        <v>5596.4995269631036</v>
      </c>
      <c r="AW249" s="42">
        <f t="shared" si="1636"/>
        <v>6806.7328918322291</v>
      </c>
      <c r="AX249" s="42">
        <f t="shared" si="1636"/>
        <v>6896.8048359240065</v>
      </c>
      <c r="AY249" s="42">
        <f t="shared" si="1636"/>
        <v>7160.004286785982</v>
      </c>
      <c r="AZ249" s="42">
        <f t="shared" si="1636"/>
        <v>7857.2542033181162</v>
      </c>
      <c r="BA249" s="42">
        <f t="shared" si="1636"/>
        <v>7611.5137709670735</v>
      </c>
      <c r="BB249" s="42">
        <f t="shared" si="1636"/>
        <v>8199.5682676740416</v>
      </c>
      <c r="BC249" s="42">
        <f t="shared" si="1636"/>
        <v>9201.7968210089839</v>
      </c>
      <c r="BD249" s="42">
        <f t="shared" si="1636"/>
        <v>9672.5331456060067</v>
      </c>
      <c r="BE249" s="42">
        <f t="shared" si="1636"/>
        <v>9939.1590321822878</v>
      </c>
      <c r="BF249" s="42">
        <f t="shared" ref="BF249" si="1637">BF134/BF$204</f>
        <v>10027.772939999999</v>
      </c>
    </row>
    <row r="250" spans="2:58"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</row>
    <row r="251" spans="2:58" s="5" customFormat="1">
      <c r="B251" s="5" t="str">
        <f>B191</f>
        <v>LTM Adjusted EBITDA</v>
      </c>
      <c r="C251" s="36">
        <f t="shared" ref="C251:G251" si="1638">C191/C$203</f>
        <v>182.47787610619471</v>
      </c>
      <c r="D251" s="36">
        <f t="shared" si="1638"/>
        <v>209.72823635543529</v>
      </c>
      <c r="E251" s="36">
        <f t="shared" si="1638"/>
        <v>239.70744367111004</v>
      </c>
      <c r="F251" s="36">
        <f t="shared" si="1638"/>
        <v>240.09402283411686</v>
      </c>
      <c r="G251" s="36">
        <f t="shared" si="1638"/>
        <v>271.49372862029645</v>
      </c>
      <c r="H251" s="36">
        <f t="shared" ref="H251:I251" si="1639">H191/H$203</f>
        <v>336.66729839999999</v>
      </c>
      <c r="I251" s="36">
        <f t="shared" si="1639"/>
        <v>394.84275506962689</v>
      </c>
      <c r="J251" s="36">
        <f t="shared" ref="J251" si="1640">J191/J$203</f>
        <v>380.50517457636778</v>
      </c>
      <c r="K251" s="36">
        <f>K191/K$203</f>
        <v>495.1330304996755</v>
      </c>
      <c r="L251" s="36">
        <f>L191/L$203</f>
        <v>511.24810728963877</v>
      </c>
      <c r="M251" s="36">
        <f>M210</f>
        <v>653.41446923597027</v>
      </c>
      <c r="N251" s="36">
        <f>N210</f>
        <v>784.70211367101717</v>
      </c>
      <c r="O251" s="36">
        <f>O210</f>
        <v>825.16316433911095</v>
      </c>
      <c r="P251" s="36"/>
      <c r="Q251" s="36"/>
      <c r="R251" s="36">
        <f t="shared" ref="R251:AD251" si="1641">R191/AVERAGE(Q$203:R$203)</f>
        <v>240.12090003358335</v>
      </c>
      <c r="S251" s="36">
        <f t="shared" si="1641"/>
        <v>268.82500697739323</v>
      </c>
      <c r="T251" s="36">
        <f t="shared" si="1641"/>
        <v>236.53884363202863</v>
      </c>
      <c r="U251" s="36">
        <f t="shared" si="1641"/>
        <v>274.33039144445331</v>
      </c>
      <c r="V251" s="36">
        <f t="shared" si="1641"/>
        <v>337.53478824334917</v>
      </c>
      <c r="W251" s="36">
        <f t="shared" si="1641"/>
        <v>341.05728472736922</v>
      </c>
      <c r="X251" s="36">
        <f t="shared" si="1641"/>
        <v>391.94111245493832</v>
      </c>
      <c r="Y251" s="36">
        <f t="shared" si="1641"/>
        <v>453.78259009777264</v>
      </c>
      <c r="Z251" s="36">
        <f t="shared" si="1641"/>
        <v>480.96588245847732</v>
      </c>
      <c r="AA251" s="36">
        <f>AA191/AVERAGE(Y$203:AA$203)</f>
        <v>543.70551356172234</v>
      </c>
      <c r="AB251" s="36">
        <f t="shared" si="1641"/>
        <v>653.43214150484118</v>
      </c>
      <c r="AC251" s="36">
        <f>AC191/AVERAGE(AB$203:AC$203)</f>
        <v>701.1827536446882</v>
      </c>
      <c r="AD251" s="36">
        <f t="shared" si="1641"/>
        <v>784.68016058414582</v>
      </c>
      <c r="AF251" s="142"/>
      <c r="AG251" s="142"/>
      <c r="AH251" s="142"/>
      <c r="AI251" s="36">
        <f t="shared" ref="AI251:AW251" si="1642">AI191/AVERAGE(AF$203:AI$203)</f>
        <v>266.22443338861251</v>
      </c>
      <c r="AJ251" s="36">
        <f t="shared" si="1642"/>
        <v>271.16085168294114</v>
      </c>
      <c r="AK251" s="36">
        <f t="shared" si="1642"/>
        <v>271.38542200946029</v>
      </c>
      <c r="AL251" s="36">
        <f t="shared" si="1642"/>
        <v>285.29775084488983</v>
      </c>
      <c r="AM251" s="36">
        <f t="shared" si="1642"/>
        <v>289.15803108808291</v>
      </c>
      <c r="AN251" s="36">
        <f t="shared" si="1642"/>
        <v>302.50060799308244</v>
      </c>
      <c r="AO251" s="36">
        <f t="shared" si="1642"/>
        <v>304.71622936906402</v>
      </c>
      <c r="AP251" s="36">
        <f t="shared" si="1642"/>
        <v>308.62247294447235</v>
      </c>
      <c r="AQ251" s="36">
        <f t="shared" si="1642"/>
        <v>339.40492784583159</v>
      </c>
      <c r="AR251" s="36">
        <f t="shared" si="1642"/>
        <v>363.11971611617457</v>
      </c>
      <c r="AS251" s="36">
        <f t="shared" si="1642"/>
        <v>394.84275506962689</v>
      </c>
      <c r="AT251" s="36">
        <f t="shared" si="1642"/>
        <v>412.29580763798015</v>
      </c>
      <c r="AU251" s="36">
        <f t="shared" si="1642"/>
        <v>457.80301014030374</v>
      </c>
      <c r="AV251" s="36">
        <f t="shared" si="1642"/>
        <v>472.97495857852914</v>
      </c>
      <c r="AW251" s="36">
        <f t="shared" si="1642"/>
        <v>486.38419092013777</v>
      </c>
      <c r="AX251" s="36">
        <f t="shared" ref="AX251:BF251" si="1643">SUM(AU223:AX223)</f>
        <v>526.55528056401431</v>
      </c>
      <c r="AY251" s="36">
        <f t="shared" si="1643"/>
        <v>549.38358145347797</v>
      </c>
      <c r="AZ251" s="36">
        <f t="shared" si="1643"/>
        <v>588.55880934022218</v>
      </c>
      <c r="BA251" s="36">
        <f t="shared" si="1643"/>
        <v>653.27834908092655</v>
      </c>
      <c r="BB251" s="36">
        <f t="shared" si="1643"/>
        <v>672.62074050829108</v>
      </c>
      <c r="BC251" s="36">
        <f t="shared" si="1643"/>
        <v>701.02968839753521</v>
      </c>
      <c r="BD251" s="36">
        <f>SUM(BA223:BD223)</f>
        <v>745.28836633230571</v>
      </c>
      <c r="BE251" s="36">
        <f t="shared" si="1643"/>
        <v>788.0204616656481</v>
      </c>
      <c r="BF251" s="36">
        <f t="shared" si="1643"/>
        <v>826.35577169788394</v>
      </c>
    </row>
    <row r="252" spans="2:58" s="5" customFormat="1"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</row>
    <row r="253" spans="2:58" s="5" customFormat="1">
      <c r="B253" s="5" t="str">
        <f>B193</f>
        <v>Total Net Leverage</v>
      </c>
      <c r="C253" s="34">
        <f t="shared" ref="C253:M253" si="1644">IF(C247&lt;0,"net cash",C247/C251)</f>
        <v>9.6108362720731986</v>
      </c>
      <c r="D253" s="34">
        <f t="shared" si="1644"/>
        <v>11.443145768149346</v>
      </c>
      <c r="E253" s="34">
        <f t="shared" si="1644"/>
        <v>9.9728787158276582</v>
      </c>
      <c r="F253" s="34">
        <f t="shared" si="1644"/>
        <v>12.206938085347774</v>
      </c>
      <c r="G253" s="34">
        <f t="shared" si="1644"/>
        <v>13.386668447671848</v>
      </c>
      <c r="H253" s="34">
        <f t="shared" si="1644"/>
        <v>12.223384171725067</v>
      </c>
      <c r="I253" s="34">
        <f t="shared" si="1644"/>
        <v>14.131122083311606</v>
      </c>
      <c r="J253" s="34">
        <f t="shared" si="1644"/>
        <v>14.663588167524839</v>
      </c>
      <c r="K253" s="34">
        <f t="shared" si="1644"/>
        <v>13.994053911740282</v>
      </c>
      <c r="L253" s="34">
        <f t="shared" si="1644"/>
        <v>13.552946648603132</v>
      </c>
      <c r="M253" s="34">
        <f t="shared" si="1644"/>
        <v>11.479117160361174</v>
      </c>
      <c r="N253" s="34">
        <f t="shared" ref="N253" si="1645">IF(N247&lt;0,"net cash",N247/N251)</f>
        <v>12.752969501693862</v>
      </c>
      <c r="O253" s="34">
        <f t="shared" ref="O253" si="1646">IF(O247&lt;0,"net cash",O247/O251)</f>
        <v>12.242918439156467</v>
      </c>
      <c r="P253" s="34"/>
      <c r="Q253" s="34"/>
      <c r="R253" s="34">
        <f t="shared" ref="R253" si="1647">IF(R247&lt;0,"net cash",R247/R251)</f>
        <v>12.205571739020781</v>
      </c>
      <c r="S253" s="34">
        <f t="shared" ref="S253:U253" si="1648">IF(S247&lt;0,"net cash",S247/S251)</f>
        <v>11.19677254621498</v>
      </c>
      <c r="T253" s="34">
        <f>IF(T247&lt;0,"net casG",T247/T251)</f>
        <v>11.201095457332102</v>
      </c>
      <c r="U253" s="34">
        <f t="shared" si="1648"/>
        <v>11.140417096728466</v>
      </c>
      <c r="V253" s="34">
        <f t="shared" ref="V253:AA253" si="1649">IF(V247&lt;0,"net casG",V247/V251)</f>
        <v>12.191969153215386</v>
      </c>
      <c r="W253" s="34">
        <f t="shared" si="1649"/>
        <v>14.212040642599497</v>
      </c>
      <c r="X253" s="34">
        <f t="shared" si="1649"/>
        <v>14.235738477783411</v>
      </c>
      <c r="Y253" s="34">
        <f t="shared" si="1649"/>
        <v>13.673181394993716</v>
      </c>
      <c r="Z253" s="34">
        <f t="shared" si="1649"/>
        <v>13.968324500813219</v>
      </c>
      <c r="AA253" s="34">
        <f t="shared" si="1649"/>
        <v>13.463383321733644</v>
      </c>
      <c r="AB253" s="34">
        <f t="shared" ref="AB253:AD253" si="1650">IF(AB247&lt;0,"net casG",AB247/AB251)</f>
        <v>11.478806704183748</v>
      </c>
      <c r="AC253" s="34">
        <f>IF(AC247&lt;0,"net casG",AC247/AC251)</f>
        <v>12.626508471932267</v>
      </c>
      <c r="AD253" s="34">
        <f t="shared" si="1650"/>
        <v>12.753326292984633</v>
      </c>
      <c r="AF253" s="146"/>
      <c r="AG253" s="143"/>
      <c r="AH253" s="146"/>
      <c r="AI253" s="34">
        <f t="shared" ref="AI253:AK253" si="1651">IF(AI247&lt;0,"net cash",AI247/AI251)</f>
        <v>11.528408469185692</v>
      </c>
      <c r="AJ253" s="34">
        <f t="shared" si="1651"/>
        <v>12.236423975468794</v>
      </c>
      <c r="AK253" s="34">
        <f t="shared" si="1651"/>
        <v>13.392010903722801</v>
      </c>
      <c r="AL253" s="34">
        <f t="shared" ref="AL253:AP253" si="1652">IF(AL247&lt;0,"net cash",AL247/AL251)</f>
        <v>9.5365388304729386</v>
      </c>
      <c r="AM253" s="34">
        <f t="shared" si="1652"/>
        <v>7.5203317392571138</v>
      </c>
      <c r="AN253" s="34">
        <f t="shared" si="1652"/>
        <v>11.928468124395055</v>
      </c>
      <c r="AO253" s="34">
        <f t="shared" si="1652"/>
        <v>13.505069076631836</v>
      </c>
      <c r="AP253" s="34">
        <f t="shared" si="1652"/>
        <v>16.002579985284388</v>
      </c>
      <c r="AQ253" s="34">
        <f t="shared" ref="AQ253:AT253" si="1653">IF(AQ247&lt;0,"net cash",AQ247/AQ251)</f>
        <v>14.286392985589291</v>
      </c>
      <c r="AR253" s="34">
        <f t="shared" si="1653"/>
        <v>13.435487110608621</v>
      </c>
      <c r="AS253" s="34">
        <f t="shared" si="1653"/>
        <v>14.131122083311606</v>
      </c>
      <c r="AT253" s="34">
        <f t="shared" si="1653"/>
        <v>14.577357069282069</v>
      </c>
      <c r="AU253" s="34">
        <f t="shared" ref="AU253:AX253" si="1654">IF(AU247&lt;0,"net cash",AU247/AU251)</f>
        <v>13.55310369496123</v>
      </c>
      <c r="AV253" s="34">
        <f t="shared" si="1654"/>
        <v>11.836949901396993</v>
      </c>
      <c r="AW253" s="34">
        <f t="shared" si="1654"/>
        <v>14.245772069992102</v>
      </c>
      <c r="AX253" s="34">
        <f t="shared" si="1654"/>
        <v>13.171974795987357</v>
      </c>
      <c r="AY253" s="34">
        <f t="shared" ref="AY253:BB253" si="1655">IF(AY247&lt;0,"net cash",AY247/AY251)</f>
        <v>13.324234633759962</v>
      </c>
      <c r="AZ253" s="34">
        <f t="shared" si="1655"/>
        <v>12.960648372906844</v>
      </c>
      <c r="BA253" s="34">
        <f t="shared" si="1655"/>
        <v>11.481509003301984</v>
      </c>
      <c r="BB253" s="34">
        <f t="shared" si="1655"/>
        <v>11.874840330300204</v>
      </c>
      <c r="BC253" s="34">
        <f t="shared" ref="BC253:BF253" si="1656">IF(BC247&lt;0,"net cash",BC247/BC251)</f>
        <v>12.629265387469403</v>
      </c>
      <c r="BD253" s="34">
        <f t="shared" si="1656"/>
        <v>12.570345426259049</v>
      </c>
      <c r="BE253" s="34">
        <f t="shared" si="1656"/>
        <v>12.699266846965727</v>
      </c>
      <c r="BF253" s="34">
        <f t="shared" si="1656"/>
        <v>12.225249300604442</v>
      </c>
    </row>
    <row r="254" spans="2:58">
      <c r="B254" s="1" t="str">
        <f>B194</f>
        <v>Total Gross Leverage</v>
      </c>
      <c r="C254" s="35">
        <f t="shared" ref="C254:M254" si="1657">C246/C251</f>
        <v>9.9821940015219326</v>
      </c>
      <c r="D254" s="35">
        <f t="shared" si="1657"/>
        <v>11.589021393800575</v>
      </c>
      <c r="E254" s="35">
        <f t="shared" si="1657"/>
        <v>10.194256115633019</v>
      </c>
      <c r="F254" s="35">
        <f t="shared" si="1657"/>
        <v>12.504972278086305</v>
      </c>
      <c r="G254" s="35">
        <f t="shared" si="1657"/>
        <v>15.272611622285021</v>
      </c>
      <c r="H254" s="35">
        <f t="shared" si="1657"/>
        <v>15.238091075613658</v>
      </c>
      <c r="I254" s="35">
        <f t="shared" si="1657"/>
        <v>15.921726791444911</v>
      </c>
      <c r="J254" s="35">
        <f t="shared" si="1657"/>
        <v>16.521663545835107</v>
      </c>
      <c r="K254" s="35">
        <f t="shared" si="1657"/>
        <v>15.533542511117091</v>
      </c>
      <c r="L254" s="35">
        <f t="shared" si="1657"/>
        <v>15.043908951955583</v>
      </c>
      <c r="M254" s="35">
        <f t="shared" si="1657"/>
        <v>12.83459773337548</v>
      </c>
      <c r="N254" s="35">
        <f t="shared" ref="N254" si="1658">N246/N251</f>
        <v>13.813297145997979</v>
      </c>
      <c r="O254" s="35">
        <f t="shared" ref="O254" si="1659">O246/O251</f>
        <v>13.129173341949802</v>
      </c>
      <c r="P254" s="35"/>
      <c r="Q254" s="35"/>
      <c r="R254" s="35">
        <f t="shared" ref="R254:T254" si="1660">R246/R251</f>
        <v>12.503572572212329</v>
      </c>
      <c r="S254" s="35">
        <f t="shared" ref="S254:V254" si="1661">S246/S251</f>
        <v>11.519264276252967</v>
      </c>
      <c r="T254" s="35">
        <f t="shared" si="1660"/>
        <v>12.77913032153463</v>
      </c>
      <c r="U254" s="35">
        <f t="shared" si="1661"/>
        <v>13.24716249761863</v>
      </c>
      <c r="V254" s="35">
        <f t="shared" si="1661"/>
        <v>15.198928033164256</v>
      </c>
      <c r="W254" s="35">
        <f t="shared" ref="W254:X254" si="1662">W246/W251</f>
        <v>16.171739296549298</v>
      </c>
      <c r="X254" s="35">
        <f t="shared" si="1662"/>
        <v>16.039599501118349</v>
      </c>
      <c r="Y254" s="35">
        <f t="shared" ref="Y254:AA254" si="1663">Y246/Y251</f>
        <v>15.320027464673982</v>
      </c>
      <c r="Z254" s="35">
        <f t="shared" si="1663"/>
        <v>15.504982602677247</v>
      </c>
      <c r="AA254" s="35">
        <f t="shared" si="1663"/>
        <v>15.634349940168503</v>
      </c>
      <c r="AB254" s="35">
        <f t="shared" ref="AB254:AC254" si="1664">AB246/AB251</f>
        <v>12.834250617818123</v>
      </c>
      <c r="AC254" s="35">
        <f t="shared" si="1664"/>
        <v>14.020145422936263</v>
      </c>
      <c r="AD254" s="35">
        <f t="shared" ref="AD254" si="1665">AD246/AD251</f>
        <v>13.813683602196896</v>
      </c>
      <c r="AF254" s="145"/>
      <c r="AG254" s="143"/>
      <c r="AH254" s="145"/>
      <c r="AI254" s="35">
        <f t="shared" ref="AI254:AK254" si="1666">AI246/AI251</f>
        <v>11.860452044820269</v>
      </c>
      <c r="AJ254" s="35">
        <f t="shared" si="1666"/>
        <v>12.51710153833408</v>
      </c>
      <c r="AK254" s="35">
        <f t="shared" si="1666"/>
        <v>15.278706735247166</v>
      </c>
      <c r="AL254" s="35">
        <f t="shared" ref="AL254:AP254" si="1667">AL246/AL251</f>
        <v>14.256624803935777</v>
      </c>
      <c r="AM254" s="35">
        <f t="shared" si="1667"/>
        <v>8.9424889320520649</v>
      </c>
      <c r="AN254" s="35">
        <f t="shared" si="1667"/>
        <v>17.250434465005817</v>
      </c>
      <c r="AO254" s="35">
        <f t="shared" si="1667"/>
        <v>16.835883555734345</v>
      </c>
      <c r="AP254" s="35">
        <f t="shared" si="1667"/>
        <v>20.31323424276302</v>
      </c>
      <c r="AQ254" s="35">
        <f t="shared" ref="AQ254:AT254" si="1668">AQ246/AQ251</f>
        <v>16.256344086048312</v>
      </c>
      <c r="AR254" s="35">
        <f t="shared" si="1668"/>
        <v>15.459702309494762</v>
      </c>
      <c r="AS254" s="35">
        <f t="shared" si="1668"/>
        <v>15.921726791444911</v>
      </c>
      <c r="AT254" s="35">
        <f t="shared" si="1668"/>
        <v>16.196108867841932</v>
      </c>
      <c r="AU254" s="35">
        <f t="shared" ref="AU254:AX254" si="1669">AU246/AU251</f>
        <v>15.185487184014347</v>
      </c>
      <c r="AV254" s="35">
        <f t="shared" si="1669"/>
        <v>13.57417736973153</v>
      </c>
      <c r="AW254" s="35">
        <f t="shared" si="1669"/>
        <v>15.81295223303794</v>
      </c>
      <c r="AX254" s="35">
        <f t="shared" si="1669"/>
        <v>15.698005851909356</v>
      </c>
      <c r="AY254" s="35">
        <f t="shared" ref="AY254:BB254" si="1670">AY246/AY251</f>
        <v>15.472763567003</v>
      </c>
      <c r="AZ254" s="35">
        <f t="shared" si="1670"/>
        <v>15.392425306773616</v>
      </c>
      <c r="BA254" s="35">
        <f t="shared" si="1670"/>
        <v>12.837272010635472</v>
      </c>
      <c r="BB254" s="35">
        <f t="shared" si="1670"/>
        <v>14.837853852894096</v>
      </c>
      <c r="BC254" s="35">
        <f t="shared" ref="BC254:BF254" si="1671">BC246/BC251</f>
        <v>14.023206629986122</v>
      </c>
      <c r="BD254" s="35">
        <f t="shared" si="1671"/>
        <v>14.226807386171604</v>
      </c>
      <c r="BE254" s="35">
        <f t="shared" si="1671"/>
        <v>13.755129459861026</v>
      </c>
      <c r="BF254" s="35">
        <f t="shared" si="1671"/>
        <v>13.110225148836751</v>
      </c>
    </row>
    <row r="255" spans="2:58" s="5" customFormat="1"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BA255" s="34"/>
      <c r="BB255" s="34"/>
      <c r="BE255" s="34"/>
      <c r="BF255" s="34"/>
    </row>
    <row r="256" spans="2:58" s="5" customFormat="1">
      <c r="B256" s="5" t="str">
        <f>B196</f>
        <v>EBITDA - Capex / Interest</v>
      </c>
      <c r="C256" s="34">
        <f t="shared" ref="C256:M256" si="1672">(C227+C233)/-C230</f>
        <v>-0.61505099609188796</v>
      </c>
      <c r="D256" s="34">
        <f t="shared" si="1672"/>
        <v>-5.5400734137388561</v>
      </c>
      <c r="E256" s="34">
        <f t="shared" si="1672"/>
        <v>-3.218751713424107</v>
      </c>
      <c r="F256" s="34">
        <f t="shared" si="1672"/>
        <v>-2.6999615264826051</v>
      </c>
      <c r="G256" s="34">
        <f t="shared" si="1672"/>
        <v>-2.8666816546762592</v>
      </c>
      <c r="H256" s="34">
        <f t="shared" si="1672"/>
        <v>-13.184036311303005</v>
      </c>
      <c r="I256" s="34">
        <f t="shared" si="1672"/>
        <v>-11.858185078133451</v>
      </c>
      <c r="J256" s="34">
        <f t="shared" si="1672"/>
        <v>-12.0136482371671</v>
      </c>
      <c r="K256" s="34">
        <f t="shared" si="1672"/>
        <v>-5.7725321888412022</v>
      </c>
      <c r="L256" s="34">
        <f t="shared" si="1672"/>
        <v>-5.6446351931330474</v>
      </c>
      <c r="M256" s="34">
        <f t="shared" si="1672"/>
        <v>-2.6555555555555563</v>
      </c>
      <c r="N256" s="34">
        <f t="shared" ref="N256" si="1673">(N227+N233)/-N230</f>
        <v>-2.0388109000825758</v>
      </c>
      <c r="O256" s="34">
        <f>(O227+O233)/-O230</f>
        <v>-1.7255813953488375</v>
      </c>
      <c r="P256" s="34"/>
      <c r="Q256" s="34"/>
      <c r="R256" s="34">
        <f>R196</f>
        <v>-2.6999615264826047</v>
      </c>
      <c r="S256" s="34">
        <f>S196</f>
        <v>-2.6035640667597582</v>
      </c>
      <c r="T256" s="34">
        <f t="shared" ref="T256:V256" si="1674">T196</f>
        <v>-2.8666816546762588</v>
      </c>
      <c r="U256" s="34">
        <f>U196</f>
        <v>-6.2572296290636817</v>
      </c>
      <c r="V256" s="34">
        <f t="shared" si="1674"/>
        <v>-13.184036311303002</v>
      </c>
      <c r="W256" s="34">
        <f t="shared" ref="W256:X256" si="1675">W196</f>
        <v>-13.908476288539624</v>
      </c>
      <c r="X256" s="34">
        <f t="shared" si="1675"/>
        <v>-11.858185078133452</v>
      </c>
      <c r="Y256" s="34">
        <f t="shared" ref="Y256:AA256" si="1676">Y196</f>
        <v>-7.5718889094955468</v>
      </c>
      <c r="Z256" s="34">
        <f t="shared" si="1676"/>
        <v>-5.7725321888412013</v>
      </c>
      <c r="AA256" s="34">
        <f t="shared" si="1676"/>
        <v>-2.7209964412811378</v>
      </c>
      <c r="AB256" s="34">
        <f t="shared" ref="AB256:AC256" si="1677">AB196</f>
        <v>-2.6555555555555559</v>
      </c>
      <c r="AC256" s="34">
        <f t="shared" si="1677"/>
        <v>-2.0974212034383966</v>
      </c>
      <c r="AD256" s="34">
        <f t="shared" ref="AD256" si="1678">AD196</f>
        <v>-2.0388109000825763</v>
      </c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  <c r="AW256" s="34">
        <f t="shared" ref="AW256" si="1679">(AW251+SUM(AT233:AW233))/-SUM(AT230:AW230)</f>
        <v>-5.7531408055508066</v>
      </c>
      <c r="AX256" s="34">
        <f t="shared" ref="AX256" si="1680">(AX251+SUM(AU233:AX233))/-SUM(AU230:AX230)</f>
        <v>-5.0088278789042748</v>
      </c>
      <c r="AY256" s="34">
        <f t="shared" ref="AY256:BF256" si="1681">(AY251+SUM(AV233:AY233))/-SUM(AV230:AY230)</f>
        <v>-4.0574110766437625</v>
      </c>
      <c r="AZ256" s="34">
        <f t="shared" si="1681"/>
        <v>-3.2029828726423992</v>
      </c>
      <c r="BA256" s="34">
        <f t="shared" si="1681"/>
        <v>-2.6484607068833332</v>
      </c>
      <c r="BB256" s="34">
        <f t="shared" si="1681"/>
        <v>-2.0671346296528097</v>
      </c>
      <c r="BC256" s="34">
        <f t="shared" si="1681"/>
        <v>-2.1039448308878899</v>
      </c>
      <c r="BD256" s="34">
        <f>(BD251+SUM(BA233:BD233))/-SUM(BA230:BD230)</f>
        <v>-2.6873390652137403</v>
      </c>
      <c r="BE256" s="34">
        <f t="shared" si="1681"/>
        <v>-2.088852027235705</v>
      </c>
      <c r="BF256" s="34">
        <f t="shared" si="1681"/>
        <v>-1.720954257287246</v>
      </c>
    </row>
    <row r="257" spans="2:58">
      <c r="B257" s="1" t="str">
        <f>B197</f>
        <v>EBITDA/Interest</v>
      </c>
      <c r="C257" s="35">
        <f t="shared" ref="C257:M257" si="1682">C227/-C230</f>
        <v>3.9309884663044521</v>
      </c>
      <c r="D257" s="35">
        <f t="shared" si="1682"/>
        <v>3.9011431567907713</v>
      </c>
      <c r="E257" s="35">
        <f t="shared" si="1682"/>
        <v>3.7137896372110024</v>
      </c>
      <c r="F257" s="35">
        <f t="shared" si="1682"/>
        <v>3.9297949911144494</v>
      </c>
      <c r="G257" s="35">
        <f t="shared" si="1682"/>
        <v>3.8235483042137721</v>
      </c>
      <c r="H257" s="35">
        <f t="shared" si="1682"/>
        <v>6.3031993800509243</v>
      </c>
      <c r="I257" s="35">
        <f t="shared" si="1682"/>
        <v>5.7349490702814654</v>
      </c>
      <c r="J257" s="35">
        <f t="shared" si="1682"/>
        <v>5.5794859112478186</v>
      </c>
      <c r="K257" s="35">
        <f t="shared" si="1682"/>
        <v>3.9296137339055788</v>
      </c>
      <c r="L257" s="35">
        <f t="shared" si="1682"/>
        <v>4.0575107296137336</v>
      </c>
      <c r="M257" s="35">
        <f t="shared" si="1682"/>
        <v>2.9178743961352658</v>
      </c>
      <c r="N257" s="35">
        <f t="shared" ref="N257" si="1683">N227/-N230</f>
        <v>2.8951279933938894</v>
      </c>
      <c r="O257" s="35">
        <f>O227/-O230</f>
        <v>2.5703041144901615</v>
      </c>
      <c r="P257" s="35"/>
      <c r="Q257" s="35"/>
      <c r="R257" s="35">
        <f>R197</f>
        <v>3.9297949911144499</v>
      </c>
      <c r="S257" s="35">
        <f>S197</f>
        <v>4.0029257264445777</v>
      </c>
      <c r="T257" s="35">
        <f t="shared" ref="T257:V257" si="1684">T197</f>
        <v>3.8235483042137717</v>
      </c>
      <c r="U257" s="35">
        <f>U197</f>
        <v>5.1166291018833325</v>
      </c>
      <c r="V257" s="35">
        <f t="shared" si="1684"/>
        <v>6.3031993800509234</v>
      </c>
      <c r="W257" s="35">
        <f t="shared" ref="W257:X257" si="1685">W197</f>
        <v>5.8694072620597204</v>
      </c>
      <c r="X257" s="35">
        <f t="shared" si="1685"/>
        <v>5.7349490702814654</v>
      </c>
      <c r="Y257" s="35">
        <f t="shared" ref="Y257:AA257" si="1686">Y197</f>
        <v>5.0065606454005938</v>
      </c>
      <c r="Z257" s="35">
        <f t="shared" si="1686"/>
        <v>3.9296137339055792</v>
      </c>
      <c r="AA257" s="35">
        <f t="shared" si="1686"/>
        <v>3.6483985765124558</v>
      </c>
      <c r="AB257" s="35">
        <f t="shared" ref="AB257:AC257" si="1687">AB197</f>
        <v>2.9178743961352658</v>
      </c>
      <c r="AC257" s="35">
        <f t="shared" si="1687"/>
        <v>2.6602537863282842</v>
      </c>
      <c r="AD257" s="35">
        <f t="shared" ref="AD257" si="1688">AD197</f>
        <v>2.8951279933938898</v>
      </c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  <c r="AP257" s="145"/>
      <c r="AQ257" s="145"/>
      <c r="AR257" s="145"/>
      <c r="AS257" s="145"/>
      <c r="AT257" s="145"/>
      <c r="AU257" s="145"/>
      <c r="AV257" s="145"/>
      <c r="AW257" s="35">
        <f t="shared" ref="AW257:BF257" si="1689">AW251/-SUM(AT230:AW230)</f>
        <v>3.9347958916838968</v>
      </c>
      <c r="AX257" s="35">
        <f t="shared" si="1689"/>
        <v>3.8516876011959771</v>
      </c>
      <c r="AY257" s="35">
        <f t="shared" si="1689"/>
        <v>3.2622059679325677</v>
      </c>
      <c r="AZ257" s="35">
        <f t="shared" si="1689"/>
        <v>2.8675528653929123</v>
      </c>
      <c r="BA257" s="35">
        <f t="shared" si="1689"/>
        <v>2.917426862158222</v>
      </c>
      <c r="BB257" s="35">
        <f t="shared" si="1689"/>
        <v>2.5296514904452381</v>
      </c>
      <c r="BC257" s="35">
        <f t="shared" si="1689"/>
        <v>2.6637671407975922</v>
      </c>
      <c r="BD257" s="35">
        <f>BD251/-SUM(BA230:BD230)</f>
        <v>2.9452912953900152</v>
      </c>
      <c r="BE257" s="35">
        <f t="shared" si="1689"/>
        <v>2.9147220320285063</v>
      </c>
      <c r="BF257" s="35">
        <f t="shared" si="1689"/>
        <v>2.5605145001205463</v>
      </c>
    </row>
    <row r="258" spans="2:58" s="5" customFormat="1"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BA258" s="34"/>
      <c r="BB258" s="34"/>
      <c r="BE258" s="34"/>
      <c r="BF258" s="34"/>
    </row>
    <row r="259" spans="2:58" s="5" customFormat="1">
      <c r="B259" s="5" t="str">
        <f>B199</f>
        <v xml:space="preserve">Gearing (Net debt / Equity) </v>
      </c>
      <c r="C259" s="120">
        <f t="shared" ref="C259:O259" si="1690">C247/C249</f>
        <v>1.1623836573276449</v>
      </c>
      <c r="D259" s="120">
        <f t="shared" si="1690"/>
        <v>1.1569334385042429</v>
      </c>
      <c r="E259" s="120">
        <f t="shared" si="1690"/>
        <v>2.1877074198466238</v>
      </c>
      <c r="F259" s="120">
        <f t="shared" si="1690"/>
        <v>1.2795822302980939</v>
      </c>
      <c r="G259" s="120">
        <f t="shared" si="1690"/>
        <v>1.3139623881464495</v>
      </c>
      <c r="H259" s="120">
        <f t="shared" si="1690"/>
        <v>0.8814579614934146</v>
      </c>
      <c r="I259" s="120">
        <f t="shared" si="1690"/>
        <v>0.98657606740597115</v>
      </c>
      <c r="J259" s="120">
        <f t="shared" si="1690"/>
        <v>0.96173731783803718</v>
      </c>
      <c r="K259" s="120">
        <f t="shared" si="1690"/>
        <v>1.0179506721367297</v>
      </c>
      <c r="L259" s="120">
        <f t="shared" si="1690"/>
        <v>1.0179506721367297</v>
      </c>
      <c r="M259" s="120">
        <f t="shared" si="1690"/>
        <v>0.98543095004897174</v>
      </c>
      <c r="N259" s="120">
        <f t="shared" si="1690"/>
        <v>1.0068540095956133</v>
      </c>
      <c r="O259" s="120">
        <f t="shared" si="1690"/>
        <v>1.0074425678011014</v>
      </c>
      <c r="P259" s="120"/>
      <c r="Q259" s="120"/>
      <c r="R259" s="120">
        <f t="shared" ref="R259:AD259" si="1691">R247/R249</f>
        <v>1.2795822302980939</v>
      </c>
      <c r="S259" s="120">
        <f t="shared" si="1691"/>
        <v>1.2953775327085966</v>
      </c>
      <c r="T259" s="120">
        <f t="shared" si="1691"/>
        <v>1.3139623881464495</v>
      </c>
      <c r="U259" s="120">
        <f t="shared" si="1691"/>
        <v>0.78777920451579908</v>
      </c>
      <c r="V259" s="120">
        <f t="shared" si="1691"/>
        <v>0.8814579614934146</v>
      </c>
      <c r="W259" s="120">
        <f t="shared" si="1691"/>
        <v>0.94075200107947965</v>
      </c>
      <c r="X259" s="120">
        <f t="shared" si="1691"/>
        <v>0.98657606740597115</v>
      </c>
      <c r="Y259" s="120">
        <f t="shared" si="1691"/>
        <v>1.0047696152627688</v>
      </c>
      <c r="Z259" s="120">
        <f t="shared" si="1691"/>
        <v>1.01795067213673</v>
      </c>
      <c r="AA259" s="120">
        <f t="shared" si="1691"/>
        <v>1.0223619218679838</v>
      </c>
      <c r="AB259" s="120">
        <f t="shared" si="1691"/>
        <v>0.98543095004897174</v>
      </c>
      <c r="AC259" s="120">
        <f t="shared" si="1691"/>
        <v>0.9621479534359747</v>
      </c>
      <c r="AD259" s="120">
        <f t="shared" si="1691"/>
        <v>1.0068540095956133</v>
      </c>
      <c r="AF259" s="151"/>
      <c r="AG259" s="120">
        <f>AG247/AG249</f>
        <v>1.2795822302980939</v>
      </c>
      <c r="AH259" s="151"/>
      <c r="AI259" s="120">
        <f t="shared" ref="AI259:BE259" si="1692">AI247/AI249</f>
        <v>1.2953775327085966</v>
      </c>
      <c r="AJ259" s="120">
        <f t="shared" si="1692"/>
        <v>1.3023525098207174</v>
      </c>
      <c r="AK259" s="120">
        <f t="shared" si="1692"/>
        <v>1.3139623881464495</v>
      </c>
      <c r="AL259" s="120">
        <f t="shared" si="1692"/>
        <v>0.72904291041081704</v>
      </c>
      <c r="AM259" s="120">
        <f t="shared" si="1692"/>
        <v>0.78777920451579908</v>
      </c>
      <c r="AN259" s="120">
        <f t="shared" si="1692"/>
        <v>0.91695394363817195</v>
      </c>
      <c r="AO259" s="120">
        <f t="shared" si="1692"/>
        <v>0.8814579614934146</v>
      </c>
      <c r="AP259" s="120">
        <f t="shared" si="1692"/>
        <v>0.93068935200631198</v>
      </c>
      <c r="AQ259" s="120">
        <f t="shared" si="1692"/>
        <v>0.94075200107947976</v>
      </c>
      <c r="AR259" s="120">
        <f t="shared" si="1692"/>
        <v>0.97355965354218221</v>
      </c>
      <c r="AS259" s="120">
        <f t="shared" si="1692"/>
        <v>0.98657606740597115</v>
      </c>
      <c r="AT259" s="120">
        <f t="shared" si="1692"/>
        <v>1.0004975858644225</v>
      </c>
      <c r="AU259" s="120">
        <f t="shared" si="1692"/>
        <v>1.0047696152627688</v>
      </c>
      <c r="AV259" s="120">
        <f t="shared" si="1692"/>
        <v>1.0003719043191617</v>
      </c>
      <c r="AW259" s="120">
        <f t="shared" si="1692"/>
        <v>1.0179506721367297</v>
      </c>
      <c r="AX259" s="120">
        <f t="shared" si="1692"/>
        <v>1.0056501596444001</v>
      </c>
      <c r="AY259" s="120">
        <f t="shared" si="1692"/>
        <v>1.0223619218679838</v>
      </c>
      <c r="AZ259" s="120">
        <f t="shared" si="1692"/>
        <v>0.9708358132811834</v>
      </c>
      <c r="BA259" s="120">
        <f t="shared" si="1692"/>
        <v>0.98543095004897174</v>
      </c>
      <c r="BB259" s="120">
        <f t="shared" si="1692"/>
        <v>0.97410785978491243</v>
      </c>
      <c r="BC259" s="120">
        <f t="shared" si="1692"/>
        <v>0.9621479534359747</v>
      </c>
      <c r="BD259" s="120">
        <f t="shared" si="1692"/>
        <v>0.96857070076056251</v>
      </c>
      <c r="BE259" s="120">
        <f t="shared" si="1692"/>
        <v>1.0068540095956133</v>
      </c>
      <c r="BF259" s="120">
        <f t="shared" ref="BF259" si="1693">BF247/BF249</f>
        <v>1.0074425678011014</v>
      </c>
    </row>
    <row r="260" spans="2:58" s="5" customFormat="1"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  <c r="AF260" s="151"/>
      <c r="AG260" s="120"/>
      <c r="AH260" s="151"/>
      <c r="AI260" s="120"/>
      <c r="AJ260" s="120"/>
      <c r="AK260" s="120"/>
      <c r="AL260" s="120"/>
      <c r="AM260" s="120"/>
      <c r="AN260" s="120"/>
      <c r="AO260" s="120"/>
      <c r="AP260" s="120"/>
      <c r="AQ260" s="120"/>
      <c r="AR260" s="120"/>
      <c r="AS260" s="120"/>
      <c r="AT260" s="120"/>
      <c r="AU260" s="120"/>
      <c r="AV260" s="120"/>
      <c r="AW260" s="120"/>
      <c r="AX260" s="120"/>
      <c r="AY260" s="120"/>
      <c r="AZ260" s="120"/>
      <c r="BA260" s="120"/>
      <c r="BB260" s="120"/>
      <c r="BC260" s="120"/>
      <c r="BD260" s="120"/>
      <c r="BE260" s="120"/>
      <c r="BF260" s="120"/>
    </row>
    <row r="261" spans="2:58" s="5" customFormat="1" ht="13.5" thickBot="1">
      <c r="B261" s="41" t="str">
        <f t="shared" ref="B261:M261" si="1694">B201</f>
        <v>Loan to value (LTV)</v>
      </c>
      <c r="C261" s="124">
        <f t="shared" si="1694"/>
        <v>0.51</v>
      </c>
      <c r="D261" s="124">
        <f t="shared" si="1694"/>
        <v>0.49</v>
      </c>
      <c r="E261" s="124">
        <f t="shared" si="1694"/>
        <v>0.48</v>
      </c>
      <c r="F261" s="124">
        <f t="shared" si="1694"/>
        <v>0.498</v>
      </c>
      <c r="G261" s="124">
        <f t="shared" si="1694"/>
        <v>0.51</v>
      </c>
      <c r="H261" s="124">
        <f t="shared" si="1694"/>
        <v>0.42799999999999999</v>
      </c>
      <c r="I261" s="124">
        <f t="shared" si="1694"/>
        <v>0.45</v>
      </c>
      <c r="J261" s="124">
        <f t="shared" si="1694"/>
        <v>0.45400000000000001</v>
      </c>
      <c r="K261" s="124">
        <f t="shared" si="1694"/>
        <v>0.46</v>
      </c>
      <c r="L261" s="124">
        <f t="shared" si="1694"/>
        <v>0.46</v>
      </c>
      <c r="M261" s="124">
        <f t="shared" si="1694"/>
        <v>0.45300000000000001</v>
      </c>
      <c r="N261" s="124">
        <f t="shared" ref="N261" si="1695">N201</f>
        <v>0.46100000000000002</v>
      </c>
      <c r="O261" s="124">
        <f t="shared" ref="O261" si="1696">O201</f>
        <v>0.46400000000000002</v>
      </c>
      <c r="P261" s="120"/>
      <c r="Q261" s="124"/>
      <c r="R261" s="124">
        <f t="shared" ref="R261:T261" si="1697">R201</f>
        <v>0.498</v>
      </c>
      <c r="S261" s="124">
        <f t="shared" ref="S261:V261" si="1698">S201</f>
        <v>0.496</v>
      </c>
      <c r="T261" s="124">
        <f t="shared" si="1697"/>
        <v>0.51</v>
      </c>
      <c r="U261" s="124">
        <f t="shared" si="1698"/>
        <v>0.40200000000000002</v>
      </c>
      <c r="V261" s="124">
        <f t="shared" si="1698"/>
        <v>0.42799999999999999</v>
      </c>
      <c r="W261" s="124">
        <f t="shared" ref="W261:X261" si="1699">W201</f>
        <v>0.439</v>
      </c>
      <c r="X261" s="124">
        <f t="shared" si="1699"/>
        <v>0.45</v>
      </c>
      <c r="Y261" s="124">
        <f t="shared" ref="Y261:AA261" si="1700">Y201</f>
        <v>0.45900000000000002</v>
      </c>
      <c r="Z261" s="124">
        <f t="shared" si="1700"/>
        <v>0.46</v>
      </c>
      <c r="AA261" s="124">
        <f t="shared" si="1700"/>
        <v>0.46200000000000002</v>
      </c>
      <c r="AB261" s="124">
        <f t="shared" ref="AB261:AC261" si="1701">AB201</f>
        <v>0.45300000000000001</v>
      </c>
      <c r="AC261" s="124">
        <f t="shared" si="1701"/>
        <v>0.44900000000000001</v>
      </c>
      <c r="AD261" s="124">
        <f t="shared" ref="AD261" si="1702">AD201</f>
        <v>0.46100000000000002</v>
      </c>
      <c r="AF261" s="152"/>
      <c r="AG261" s="124">
        <f t="shared" ref="AG261:AK261" si="1703">AG201</f>
        <v>0.498</v>
      </c>
      <c r="AH261" s="152"/>
      <c r="AI261" s="124">
        <f t="shared" si="1703"/>
        <v>0.496</v>
      </c>
      <c r="AJ261" s="124">
        <f t="shared" si="1703"/>
        <v>0.5</v>
      </c>
      <c r="AK261" s="124">
        <f t="shared" si="1703"/>
        <v>0.51</v>
      </c>
      <c r="AL261" s="124">
        <f t="shared" ref="AL261:AP261" si="1704">AL201</f>
        <v>0.38100000000000001</v>
      </c>
      <c r="AM261" s="124">
        <f t="shared" si="1704"/>
        <v>0.40200000000000002</v>
      </c>
      <c r="AN261" s="124">
        <f t="shared" si="1704"/>
        <v>0.437</v>
      </c>
      <c r="AO261" s="124">
        <f t="shared" si="1704"/>
        <v>0.42799999999999999</v>
      </c>
      <c r="AP261" s="124">
        <f t="shared" si="1704"/>
        <v>0.441</v>
      </c>
      <c r="AQ261" s="124">
        <f t="shared" ref="AQ261:AT261" si="1705">AQ201</f>
        <v>0.439</v>
      </c>
      <c r="AR261" s="124">
        <f t="shared" si="1705"/>
        <v>0.45</v>
      </c>
      <c r="AS261" s="124">
        <f t="shared" si="1705"/>
        <v>0.45</v>
      </c>
      <c r="AT261" s="124">
        <f t="shared" si="1705"/>
        <v>0.45900000000000002</v>
      </c>
      <c r="AU261" s="124">
        <f t="shared" ref="AU261:AX261" si="1706">AU201</f>
        <v>0.45900000000000002</v>
      </c>
      <c r="AV261" s="124">
        <f t="shared" si="1706"/>
        <v>0.45700000000000002</v>
      </c>
      <c r="AW261" s="124">
        <f t="shared" si="1706"/>
        <v>0.46</v>
      </c>
      <c r="AX261" s="124">
        <f t="shared" si="1706"/>
        <v>0.45900000000000002</v>
      </c>
      <c r="AY261" s="124">
        <f t="shared" ref="AY261:BB261" si="1707">AY201</f>
        <v>0.46200000000000002</v>
      </c>
      <c r="AZ261" s="124">
        <f t="shared" si="1707"/>
        <v>0.44900000000000001</v>
      </c>
      <c r="BA261" s="124">
        <f t="shared" si="1707"/>
        <v>0.45300000000000001</v>
      </c>
      <c r="BB261" s="124">
        <f t="shared" si="1707"/>
        <v>0.45300000000000001</v>
      </c>
      <c r="BC261" s="124">
        <f t="shared" ref="BC261:BF261" si="1708">BC201</f>
        <v>0.44900000000000001</v>
      </c>
      <c r="BD261" s="124">
        <f t="shared" si="1708"/>
        <v>0.45200000000000001</v>
      </c>
      <c r="BE261" s="124">
        <f t="shared" si="1708"/>
        <v>0.46100000000000002</v>
      </c>
      <c r="BF261" s="124">
        <f t="shared" si="1708"/>
        <v>0.46400000000000002</v>
      </c>
    </row>
    <row r="262" spans="2:58" s="5" customFormat="1" ht="13.5" thickTop="1"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</row>
  </sheetData>
  <phoneticPr fontId="26" type="noConversion"/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ignoredErrors>
    <ignoredError sqref="P145:P146" evalError="1"/>
    <ignoredError sqref="P222:P223 Q100 P165:S165 P174:S174 Q223:S223 P88:R96 Q222 S222 D222 E222:F223 C174:F174 E165:F165 Q14:R14 Q15:R15 Q10:R10 Q16:R16 AW107:AW112" formula="1"/>
    <ignoredError sqref="R251:S251 Q205:S205 Q203:R203 Q204:R204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D162"/>
  <sheetViews>
    <sheetView showGridLines="0" zoomScaleNormal="100" workbookViewId="0">
      <pane xSplit="2" ySplit="6" topLeftCell="J7" activePane="bottomRight" state="frozen"/>
      <selection pane="bottomRight" activeCell="N23" sqref="N23"/>
      <selection pane="bottomLeft" activeCell="H50" sqref="H50"/>
      <selection pane="topRight" activeCell="H50" sqref="H50"/>
    </sheetView>
  </sheetViews>
  <sheetFormatPr defaultRowHeight="12.75" outlineLevelRow="1" outlineLevelCol="1"/>
  <cols>
    <col min="1" max="1" width="2.7109375" style="285" customWidth="1"/>
    <col min="2" max="2" width="50.7109375" style="285" customWidth="1"/>
    <col min="3" max="9" width="12.7109375" style="285" hidden="1" customWidth="1" outlineLevel="1"/>
    <col min="10" max="10" width="12.7109375" style="285" customWidth="1" collapsed="1"/>
    <col min="11" max="14" width="12.7109375" style="285" customWidth="1"/>
    <col min="15" max="18" width="12.7109375" style="285" hidden="1" customWidth="1" outlineLevel="1"/>
    <col min="19" max="19" width="12.7109375" style="285" hidden="1" customWidth="1" outlineLevel="1" collapsed="1"/>
    <col min="20" max="24" width="12.7109375" style="285" hidden="1" customWidth="1" outlineLevel="1"/>
    <col min="25" max="25" width="12.7109375" style="285" customWidth="1" collapsed="1"/>
    <col min="26" max="29" width="12.7109375" style="285" customWidth="1"/>
    <col min="30" max="35" width="12.7109375" style="285" hidden="1" customWidth="1" outlineLevel="1"/>
    <col min="36" max="36" width="12.7109375" style="285" hidden="1" customWidth="1" outlineLevel="1" collapsed="1"/>
    <col min="37" max="50" width="12.7109375" style="285" hidden="1" customWidth="1" outlineLevel="1"/>
    <col min="51" max="51" width="12.7109375" style="285" customWidth="1" collapsed="1"/>
    <col min="52" max="56" width="12.7109375" style="285" customWidth="1"/>
    <col min="57" max="277" width="9.140625" style="285"/>
    <col min="278" max="278" width="2.140625" style="285" customWidth="1"/>
    <col min="279" max="279" width="35.5703125" style="285" customWidth="1"/>
    <col min="280" max="293" width="13.85546875" style="285" customWidth="1"/>
    <col min="294" max="533" width="9.140625" style="285"/>
    <col min="534" max="534" width="2.140625" style="285" customWidth="1"/>
    <col min="535" max="535" width="35.5703125" style="285" customWidth="1"/>
    <col min="536" max="549" width="13.85546875" style="285" customWidth="1"/>
    <col min="550" max="789" width="9.140625" style="285"/>
    <col min="790" max="790" width="2.140625" style="285" customWidth="1"/>
    <col min="791" max="791" width="35.5703125" style="285" customWidth="1"/>
    <col min="792" max="805" width="13.85546875" style="285" customWidth="1"/>
    <col min="806" max="1045" width="9.140625" style="285"/>
    <col min="1046" max="1046" width="2.140625" style="285" customWidth="1"/>
    <col min="1047" max="1047" width="35.5703125" style="285" customWidth="1"/>
    <col min="1048" max="1061" width="13.85546875" style="285" customWidth="1"/>
    <col min="1062" max="1301" width="9.140625" style="285"/>
    <col min="1302" max="1302" width="2.140625" style="285" customWidth="1"/>
    <col min="1303" max="1303" width="35.5703125" style="285" customWidth="1"/>
    <col min="1304" max="1317" width="13.85546875" style="285" customWidth="1"/>
    <col min="1318" max="1557" width="9.140625" style="285"/>
    <col min="1558" max="1558" width="2.140625" style="285" customWidth="1"/>
    <col min="1559" max="1559" width="35.5703125" style="285" customWidth="1"/>
    <col min="1560" max="1573" width="13.85546875" style="285" customWidth="1"/>
    <col min="1574" max="1813" width="9.140625" style="285"/>
    <col min="1814" max="1814" width="2.140625" style="285" customWidth="1"/>
    <col min="1815" max="1815" width="35.5703125" style="285" customWidth="1"/>
    <col min="1816" max="1829" width="13.85546875" style="285" customWidth="1"/>
    <col min="1830" max="2069" width="9.140625" style="285"/>
    <col min="2070" max="2070" width="2.140625" style="285" customWidth="1"/>
    <col min="2071" max="2071" width="35.5703125" style="285" customWidth="1"/>
    <col min="2072" max="2085" width="13.85546875" style="285" customWidth="1"/>
    <col min="2086" max="2325" width="9.140625" style="285"/>
    <col min="2326" max="2326" width="2.140625" style="285" customWidth="1"/>
    <col min="2327" max="2327" width="35.5703125" style="285" customWidth="1"/>
    <col min="2328" max="2341" width="13.85546875" style="285" customWidth="1"/>
    <col min="2342" max="2581" width="9.140625" style="285"/>
    <col min="2582" max="2582" width="2.140625" style="285" customWidth="1"/>
    <col min="2583" max="2583" width="35.5703125" style="285" customWidth="1"/>
    <col min="2584" max="2597" width="13.85546875" style="285" customWidth="1"/>
    <col min="2598" max="2837" width="9.140625" style="285"/>
    <col min="2838" max="2838" width="2.140625" style="285" customWidth="1"/>
    <col min="2839" max="2839" width="35.5703125" style="285" customWidth="1"/>
    <col min="2840" max="2853" width="13.85546875" style="285" customWidth="1"/>
    <col min="2854" max="3093" width="9.140625" style="285"/>
    <col min="3094" max="3094" width="2.140625" style="285" customWidth="1"/>
    <col min="3095" max="3095" width="35.5703125" style="285" customWidth="1"/>
    <col min="3096" max="3109" width="13.85546875" style="285" customWidth="1"/>
    <col min="3110" max="3349" width="9.140625" style="285"/>
    <col min="3350" max="3350" width="2.140625" style="285" customWidth="1"/>
    <col min="3351" max="3351" width="35.5703125" style="285" customWidth="1"/>
    <col min="3352" max="3365" width="13.85546875" style="285" customWidth="1"/>
    <col min="3366" max="3605" width="9.140625" style="285"/>
    <col min="3606" max="3606" width="2.140625" style="285" customWidth="1"/>
    <col min="3607" max="3607" width="35.5703125" style="285" customWidth="1"/>
    <col min="3608" max="3621" width="13.85546875" style="285" customWidth="1"/>
    <col min="3622" max="3861" width="9.140625" style="285"/>
    <col min="3862" max="3862" width="2.140625" style="285" customWidth="1"/>
    <col min="3863" max="3863" width="35.5703125" style="285" customWidth="1"/>
    <col min="3864" max="3877" width="13.85546875" style="285" customWidth="1"/>
    <col min="3878" max="4117" width="9.140625" style="285"/>
    <col min="4118" max="4118" width="2.140625" style="285" customWidth="1"/>
    <col min="4119" max="4119" width="35.5703125" style="285" customWidth="1"/>
    <col min="4120" max="4133" width="13.85546875" style="285" customWidth="1"/>
    <col min="4134" max="4373" width="9.140625" style="285"/>
    <col min="4374" max="4374" width="2.140625" style="285" customWidth="1"/>
    <col min="4375" max="4375" width="35.5703125" style="285" customWidth="1"/>
    <col min="4376" max="4389" width="13.85546875" style="285" customWidth="1"/>
    <col min="4390" max="4629" width="9.140625" style="285"/>
    <col min="4630" max="4630" width="2.140625" style="285" customWidth="1"/>
    <col min="4631" max="4631" width="35.5703125" style="285" customWidth="1"/>
    <col min="4632" max="4645" width="13.85546875" style="285" customWidth="1"/>
    <col min="4646" max="4885" width="9.140625" style="285"/>
    <col min="4886" max="4886" width="2.140625" style="285" customWidth="1"/>
    <col min="4887" max="4887" width="35.5703125" style="285" customWidth="1"/>
    <col min="4888" max="4901" width="13.85546875" style="285" customWidth="1"/>
    <col min="4902" max="5141" width="9.140625" style="285"/>
    <col min="5142" max="5142" width="2.140625" style="285" customWidth="1"/>
    <col min="5143" max="5143" width="35.5703125" style="285" customWidth="1"/>
    <col min="5144" max="5157" width="13.85546875" style="285" customWidth="1"/>
    <col min="5158" max="5397" width="9.140625" style="285"/>
    <col min="5398" max="5398" width="2.140625" style="285" customWidth="1"/>
    <col min="5399" max="5399" width="35.5703125" style="285" customWidth="1"/>
    <col min="5400" max="5413" width="13.85546875" style="285" customWidth="1"/>
    <col min="5414" max="5653" width="9.140625" style="285"/>
    <col min="5654" max="5654" width="2.140625" style="285" customWidth="1"/>
    <col min="5655" max="5655" width="35.5703125" style="285" customWidth="1"/>
    <col min="5656" max="5669" width="13.85546875" style="285" customWidth="1"/>
    <col min="5670" max="5909" width="9.140625" style="285"/>
    <col min="5910" max="5910" width="2.140625" style="285" customWidth="1"/>
    <col min="5911" max="5911" width="35.5703125" style="285" customWidth="1"/>
    <col min="5912" max="5925" width="13.85546875" style="285" customWidth="1"/>
    <col min="5926" max="6165" width="9.140625" style="285"/>
    <col min="6166" max="6166" width="2.140625" style="285" customWidth="1"/>
    <col min="6167" max="6167" width="35.5703125" style="285" customWidth="1"/>
    <col min="6168" max="6181" width="13.85546875" style="285" customWidth="1"/>
    <col min="6182" max="6421" width="9.140625" style="285"/>
    <col min="6422" max="6422" width="2.140625" style="285" customWidth="1"/>
    <col min="6423" max="6423" width="35.5703125" style="285" customWidth="1"/>
    <col min="6424" max="6437" width="13.85546875" style="285" customWidth="1"/>
    <col min="6438" max="6677" width="9.140625" style="285"/>
    <col min="6678" max="6678" width="2.140625" style="285" customWidth="1"/>
    <col min="6679" max="6679" width="35.5703125" style="285" customWidth="1"/>
    <col min="6680" max="6693" width="13.85546875" style="285" customWidth="1"/>
    <col min="6694" max="6933" width="9.140625" style="285"/>
    <col min="6934" max="6934" width="2.140625" style="285" customWidth="1"/>
    <col min="6935" max="6935" width="35.5703125" style="285" customWidth="1"/>
    <col min="6936" max="6949" width="13.85546875" style="285" customWidth="1"/>
    <col min="6950" max="7189" width="9.140625" style="285"/>
    <col min="7190" max="7190" width="2.140625" style="285" customWidth="1"/>
    <col min="7191" max="7191" width="35.5703125" style="285" customWidth="1"/>
    <col min="7192" max="7205" width="13.85546875" style="285" customWidth="1"/>
    <col min="7206" max="7445" width="9.140625" style="285"/>
    <col min="7446" max="7446" width="2.140625" style="285" customWidth="1"/>
    <col min="7447" max="7447" width="35.5703125" style="285" customWidth="1"/>
    <col min="7448" max="7461" width="13.85546875" style="285" customWidth="1"/>
    <col min="7462" max="7701" width="9.140625" style="285"/>
    <col min="7702" max="7702" width="2.140625" style="285" customWidth="1"/>
    <col min="7703" max="7703" width="35.5703125" style="285" customWidth="1"/>
    <col min="7704" max="7717" width="13.85546875" style="285" customWidth="1"/>
    <col min="7718" max="7957" width="9.140625" style="285"/>
    <col min="7958" max="7958" width="2.140625" style="285" customWidth="1"/>
    <col min="7959" max="7959" width="35.5703125" style="285" customWidth="1"/>
    <col min="7960" max="7973" width="13.85546875" style="285" customWidth="1"/>
    <col min="7974" max="8213" width="9.140625" style="285"/>
    <col min="8214" max="8214" width="2.140625" style="285" customWidth="1"/>
    <col min="8215" max="8215" width="35.5703125" style="285" customWidth="1"/>
    <col min="8216" max="8229" width="13.85546875" style="285" customWidth="1"/>
    <col min="8230" max="8469" width="9.140625" style="285"/>
    <col min="8470" max="8470" width="2.140625" style="285" customWidth="1"/>
    <col min="8471" max="8471" width="35.5703125" style="285" customWidth="1"/>
    <col min="8472" max="8485" width="13.85546875" style="285" customWidth="1"/>
    <col min="8486" max="8725" width="9.140625" style="285"/>
    <col min="8726" max="8726" width="2.140625" style="285" customWidth="1"/>
    <col min="8727" max="8727" width="35.5703125" style="285" customWidth="1"/>
    <col min="8728" max="8741" width="13.85546875" style="285" customWidth="1"/>
    <col min="8742" max="8981" width="9.140625" style="285"/>
    <col min="8982" max="8982" width="2.140625" style="285" customWidth="1"/>
    <col min="8983" max="8983" width="35.5703125" style="285" customWidth="1"/>
    <col min="8984" max="8997" width="13.85546875" style="285" customWidth="1"/>
    <col min="8998" max="9237" width="9.140625" style="285"/>
    <col min="9238" max="9238" width="2.140625" style="285" customWidth="1"/>
    <col min="9239" max="9239" width="35.5703125" style="285" customWidth="1"/>
    <col min="9240" max="9253" width="13.85546875" style="285" customWidth="1"/>
    <col min="9254" max="9493" width="9.140625" style="285"/>
    <col min="9494" max="9494" width="2.140625" style="285" customWidth="1"/>
    <col min="9495" max="9495" width="35.5703125" style="285" customWidth="1"/>
    <col min="9496" max="9509" width="13.85546875" style="285" customWidth="1"/>
    <col min="9510" max="9749" width="9.140625" style="285"/>
    <col min="9750" max="9750" width="2.140625" style="285" customWidth="1"/>
    <col min="9751" max="9751" width="35.5703125" style="285" customWidth="1"/>
    <col min="9752" max="9765" width="13.85546875" style="285" customWidth="1"/>
    <col min="9766" max="10005" width="9.140625" style="285"/>
    <col min="10006" max="10006" width="2.140625" style="285" customWidth="1"/>
    <col min="10007" max="10007" width="35.5703125" style="285" customWidth="1"/>
    <col min="10008" max="10021" width="13.85546875" style="285" customWidth="1"/>
    <col min="10022" max="10261" width="9.140625" style="285"/>
    <col min="10262" max="10262" width="2.140625" style="285" customWidth="1"/>
    <col min="10263" max="10263" width="35.5703125" style="285" customWidth="1"/>
    <col min="10264" max="10277" width="13.85546875" style="285" customWidth="1"/>
    <col min="10278" max="10517" width="9.140625" style="285"/>
    <col min="10518" max="10518" width="2.140625" style="285" customWidth="1"/>
    <col min="10519" max="10519" width="35.5703125" style="285" customWidth="1"/>
    <col min="10520" max="10533" width="13.85546875" style="285" customWidth="1"/>
    <col min="10534" max="10773" width="9.140625" style="285"/>
    <col min="10774" max="10774" width="2.140625" style="285" customWidth="1"/>
    <col min="10775" max="10775" width="35.5703125" style="285" customWidth="1"/>
    <col min="10776" max="10789" width="13.85546875" style="285" customWidth="1"/>
    <col min="10790" max="11029" width="9.140625" style="285"/>
    <col min="11030" max="11030" width="2.140625" style="285" customWidth="1"/>
    <col min="11031" max="11031" width="35.5703125" style="285" customWidth="1"/>
    <col min="11032" max="11045" width="13.85546875" style="285" customWidth="1"/>
    <col min="11046" max="11285" width="9.140625" style="285"/>
    <col min="11286" max="11286" width="2.140625" style="285" customWidth="1"/>
    <col min="11287" max="11287" width="35.5703125" style="285" customWidth="1"/>
    <col min="11288" max="11301" width="13.85546875" style="285" customWidth="1"/>
    <col min="11302" max="11541" width="9.140625" style="285"/>
    <col min="11542" max="11542" width="2.140625" style="285" customWidth="1"/>
    <col min="11543" max="11543" width="35.5703125" style="285" customWidth="1"/>
    <col min="11544" max="11557" width="13.85546875" style="285" customWidth="1"/>
    <col min="11558" max="11797" width="9.140625" style="285"/>
    <col min="11798" max="11798" width="2.140625" style="285" customWidth="1"/>
    <col min="11799" max="11799" width="35.5703125" style="285" customWidth="1"/>
    <col min="11800" max="11813" width="13.85546875" style="285" customWidth="1"/>
    <col min="11814" max="12053" width="9.140625" style="285"/>
    <col min="12054" max="12054" width="2.140625" style="285" customWidth="1"/>
    <col min="12055" max="12055" width="35.5703125" style="285" customWidth="1"/>
    <col min="12056" max="12069" width="13.85546875" style="285" customWidth="1"/>
    <col min="12070" max="12309" width="9.140625" style="285"/>
    <col min="12310" max="12310" width="2.140625" style="285" customWidth="1"/>
    <col min="12311" max="12311" width="35.5703125" style="285" customWidth="1"/>
    <col min="12312" max="12325" width="13.85546875" style="285" customWidth="1"/>
    <col min="12326" max="12565" width="9.140625" style="285"/>
    <col min="12566" max="12566" width="2.140625" style="285" customWidth="1"/>
    <col min="12567" max="12567" width="35.5703125" style="285" customWidth="1"/>
    <col min="12568" max="12581" width="13.85546875" style="285" customWidth="1"/>
    <col min="12582" max="12821" width="9.140625" style="285"/>
    <col min="12822" max="12822" width="2.140625" style="285" customWidth="1"/>
    <col min="12823" max="12823" width="35.5703125" style="285" customWidth="1"/>
    <col min="12824" max="12837" width="13.85546875" style="285" customWidth="1"/>
    <col min="12838" max="13077" width="9.140625" style="285"/>
    <col min="13078" max="13078" width="2.140625" style="285" customWidth="1"/>
    <col min="13079" max="13079" width="35.5703125" style="285" customWidth="1"/>
    <col min="13080" max="13093" width="13.85546875" style="285" customWidth="1"/>
    <col min="13094" max="13333" width="9.140625" style="285"/>
    <col min="13334" max="13334" width="2.140625" style="285" customWidth="1"/>
    <col min="13335" max="13335" width="35.5703125" style="285" customWidth="1"/>
    <col min="13336" max="13349" width="13.85546875" style="285" customWidth="1"/>
    <col min="13350" max="13589" width="9.140625" style="285"/>
    <col min="13590" max="13590" width="2.140625" style="285" customWidth="1"/>
    <col min="13591" max="13591" width="35.5703125" style="285" customWidth="1"/>
    <col min="13592" max="13605" width="13.85546875" style="285" customWidth="1"/>
    <col min="13606" max="13845" width="9.140625" style="285"/>
    <col min="13846" max="13846" width="2.140625" style="285" customWidth="1"/>
    <col min="13847" max="13847" width="35.5703125" style="285" customWidth="1"/>
    <col min="13848" max="13861" width="13.85546875" style="285" customWidth="1"/>
    <col min="13862" max="14101" width="9.140625" style="285"/>
    <col min="14102" max="14102" width="2.140625" style="285" customWidth="1"/>
    <col min="14103" max="14103" width="35.5703125" style="285" customWidth="1"/>
    <col min="14104" max="14117" width="13.85546875" style="285" customWidth="1"/>
    <col min="14118" max="14357" width="9.140625" style="285"/>
    <col min="14358" max="14358" width="2.140625" style="285" customWidth="1"/>
    <col min="14359" max="14359" width="35.5703125" style="285" customWidth="1"/>
    <col min="14360" max="14373" width="13.85546875" style="285" customWidth="1"/>
    <col min="14374" max="14613" width="9.140625" style="285"/>
    <col min="14614" max="14614" width="2.140625" style="285" customWidth="1"/>
    <col min="14615" max="14615" width="35.5703125" style="285" customWidth="1"/>
    <col min="14616" max="14629" width="13.85546875" style="285" customWidth="1"/>
    <col min="14630" max="14869" width="9.140625" style="285"/>
    <col min="14870" max="14870" width="2.140625" style="285" customWidth="1"/>
    <col min="14871" max="14871" width="35.5703125" style="285" customWidth="1"/>
    <col min="14872" max="14885" width="13.85546875" style="285" customWidth="1"/>
    <col min="14886" max="15125" width="9.140625" style="285"/>
    <col min="15126" max="15126" width="2.140625" style="285" customWidth="1"/>
    <col min="15127" max="15127" width="35.5703125" style="285" customWidth="1"/>
    <col min="15128" max="15141" width="13.85546875" style="285" customWidth="1"/>
    <col min="15142" max="15381" width="9.140625" style="285"/>
    <col min="15382" max="15382" width="2.140625" style="285" customWidth="1"/>
    <col min="15383" max="15383" width="35.5703125" style="285" customWidth="1"/>
    <col min="15384" max="15397" width="13.85546875" style="285" customWidth="1"/>
    <col min="15398" max="15637" width="9.140625" style="285"/>
    <col min="15638" max="15638" width="2.140625" style="285" customWidth="1"/>
    <col min="15639" max="15639" width="35.5703125" style="285" customWidth="1"/>
    <col min="15640" max="15653" width="13.85546875" style="285" customWidth="1"/>
    <col min="15654" max="15893" width="9.140625" style="285"/>
    <col min="15894" max="15894" width="2.140625" style="285" customWidth="1"/>
    <col min="15895" max="15895" width="35.5703125" style="285" customWidth="1"/>
    <col min="15896" max="15909" width="13.85546875" style="285" customWidth="1"/>
    <col min="15910" max="16149" width="9.140625" style="285"/>
    <col min="16150" max="16150" width="2.140625" style="285" customWidth="1"/>
    <col min="16151" max="16151" width="35.5703125" style="285" customWidth="1"/>
    <col min="16152" max="16165" width="13.85546875" style="285" customWidth="1"/>
    <col min="16166" max="16384" width="9.140625" style="285"/>
  </cols>
  <sheetData>
    <row r="2" spans="1:56" s="5" customFormat="1" ht="24.75" customHeight="1">
      <c r="A2" s="2"/>
      <c r="B2" s="3" t="s">
        <v>161</v>
      </c>
      <c r="C2" s="4" t="s">
        <v>162</v>
      </c>
      <c r="D2" s="4" t="s">
        <v>162</v>
      </c>
      <c r="E2" s="4" t="s">
        <v>162</v>
      </c>
      <c r="F2" s="4" t="s">
        <v>162</v>
      </c>
      <c r="G2" s="4" t="s">
        <v>162</v>
      </c>
      <c r="H2" s="4" t="s">
        <v>162</v>
      </c>
      <c r="I2" s="135" t="s">
        <v>162</v>
      </c>
      <c r="J2" s="135" t="s">
        <v>162</v>
      </c>
      <c r="K2" s="135" t="s">
        <v>162</v>
      </c>
      <c r="L2" s="135" t="s">
        <v>162</v>
      </c>
      <c r="M2" s="135" t="s">
        <v>163</v>
      </c>
      <c r="N2" s="219"/>
      <c r="O2" s="4" t="s">
        <v>312</v>
      </c>
      <c r="P2" s="4" t="s">
        <v>312</v>
      </c>
      <c r="Q2" s="135" t="s">
        <v>312</v>
      </c>
      <c r="R2" s="135" t="s">
        <v>312</v>
      </c>
      <c r="S2" s="4" t="s">
        <v>312</v>
      </c>
      <c r="T2" s="135" t="s">
        <v>312</v>
      </c>
      <c r="U2" s="4" t="s">
        <v>312</v>
      </c>
      <c r="V2" s="135" t="s">
        <v>312</v>
      </c>
      <c r="W2" s="4" t="s">
        <v>312</v>
      </c>
      <c r="X2" s="135" t="s">
        <v>312</v>
      </c>
      <c r="Y2" s="4" t="s">
        <v>312</v>
      </c>
      <c r="Z2" s="135" t="s">
        <v>312</v>
      </c>
      <c r="AA2" s="4" t="s">
        <v>312</v>
      </c>
      <c r="AB2" s="135" t="s">
        <v>312</v>
      </c>
      <c r="AD2" s="4" t="s">
        <v>313</v>
      </c>
      <c r="AE2" s="4" t="s">
        <v>313</v>
      </c>
      <c r="AF2" s="4" t="s">
        <v>313</v>
      </c>
      <c r="AG2" s="4" t="s">
        <v>313</v>
      </c>
      <c r="AH2" s="4" t="s">
        <v>313</v>
      </c>
      <c r="AI2" s="4" t="s">
        <v>313</v>
      </c>
      <c r="AJ2" s="4" t="s">
        <v>313</v>
      </c>
      <c r="AK2" s="4" t="s">
        <v>313</v>
      </c>
      <c r="AL2" s="4" t="s">
        <v>313</v>
      </c>
      <c r="AM2" s="4" t="s">
        <v>313</v>
      </c>
      <c r="AN2" s="4" t="s">
        <v>313</v>
      </c>
      <c r="AO2" s="4" t="s">
        <v>313</v>
      </c>
      <c r="AP2" s="4" t="s">
        <v>313</v>
      </c>
      <c r="AQ2" s="4" t="s">
        <v>313</v>
      </c>
      <c r="AR2" s="4" t="s">
        <v>313</v>
      </c>
      <c r="AS2" s="4" t="s">
        <v>313</v>
      </c>
      <c r="AT2" s="4" t="s">
        <v>313</v>
      </c>
      <c r="AU2" s="4" t="s">
        <v>313</v>
      </c>
      <c r="AV2" s="4" t="s">
        <v>313</v>
      </c>
      <c r="AW2" s="4" t="s">
        <v>313</v>
      </c>
      <c r="AX2" s="4" t="s">
        <v>313</v>
      </c>
      <c r="AY2" s="135" t="s">
        <v>313</v>
      </c>
      <c r="AZ2" s="4" t="s">
        <v>313</v>
      </c>
      <c r="BA2" s="4" t="s">
        <v>313</v>
      </c>
      <c r="BB2" s="4" t="s">
        <v>313</v>
      </c>
      <c r="BC2" s="135" t="s">
        <v>313</v>
      </c>
      <c r="BD2" s="4" t="s">
        <v>313</v>
      </c>
    </row>
    <row r="3" spans="1:56" s="5" customFormat="1" ht="13.5" customHeight="1">
      <c r="A3" s="2"/>
      <c r="B3" s="6" t="s">
        <v>166</v>
      </c>
      <c r="C3" s="65">
        <v>42735</v>
      </c>
      <c r="D3" s="65">
        <v>43100</v>
      </c>
      <c r="E3" s="65">
        <v>43465</v>
      </c>
      <c r="F3" s="65">
        <v>43830</v>
      </c>
      <c r="G3" s="65">
        <v>44196</v>
      </c>
      <c r="H3" s="65">
        <v>44561</v>
      </c>
      <c r="I3" s="7">
        <v>44926</v>
      </c>
      <c r="J3" s="7">
        <v>45291</v>
      </c>
      <c r="K3" s="7">
        <v>45657</v>
      </c>
      <c r="L3" s="7">
        <v>46022</v>
      </c>
      <c r="M3" s="7">
        <f>BD3</f>
        <v>46111</v>
      </c>
      <c r="N3" s="219"/>
      <c r="O3" s="65">
        <v>43646</v>
      </c>
      <c r="P3" s="65">
        <v>43829</v>
      </c>
      <c r="Q3" s="65">
        <v>44012</v>
      </c>
      <c r="R3" s="65">
        <v>44195</v>
      </c>
      <c r="S3" s="65">
        <v>44377</v>
      </c>
      <c r="T3" s="65">
        <v>44560</v>
      </c>
      <c r="U3" s="65">
        <v>44742</v>
      </c>
      <c r="V3" s="7">
        <v>44925</v>
      </c>
      <c r="W3" s="65">
        <v>45107</v>
      </c>
      <c r="X3" s="65">
        <v>45290</v>
      </c>
      <c r="Y3" s="65">
        <v>45473</v>
      </c>
      <c r="Z3" s="7">
        <v>45656</v>
      </c>
      <c r="AA3" s="65">
        <v>45838</v>
      </c>
      <c r="AB3" s="7">
        <v>46021</v>
      </c>
      <c r="AD3" s="7">
        <v>43738</v>
      </c>
      <c r="AE3" s="7">
        <v>43830</v>
      </c>
      <c r="AF3" s="7">
        <v>43920</v>
      </c>
      <c r="AG3" s="7">
        <v>44012</v>
      </c>
      <c r="AH3" s="7">
        <v>44104</v>
      </c>
      <c r="AI3" s="7">
        <v>44196</v>
      </c>
      <c r="AJ3" s="7">
        <v>44285</v>
      </c>
      <c r="AK3" s="7">
        <v>44377</v>
      </c>
      <c r="AL3" s="7">
        <v>44469</v>
      </c>
      <c r="AM3" s="7">
        <v>44561</v>
      </c>
      <c r="AN3" s="7">
        <v>44650</v>
      </c>
      <c r="AO3" s="7">
        <v>44742</v>
      </c>
      <c r="AP3" s="7">
        <v>44834</v>
      </c>
      <c r="AQ3" s="7">
        <v>44926</v>
      </c>
      <c r="AR3" s="7">
        <v>45015</v>
      </c>
      <c r="AS3" s="7">
        <v>45107</v>
      </c>
      <c r="AT3" s="7">
        <v>45199</v>
      </c>
      <c r="AU3" s="7">
        <v>45291</v>
      </c>
      <c r="AV3" s="7">
        <v>45381</v>
      </c>
      <c r="AW3" s="7">
        <v>45473</v>
      </c>
      <c r="AX3" s="7">
        <v>45565</v>
      </c>
      <c r="AY3" s="7">
        <v>45657</v>
      </c>
      <c r="AZ3" s="7">
        <v>45746</v>
      </c>
      <c r="BA3" s="7">
        <v>45838</v>
      </c>
      <c r="BB3" s="7">
        <v>45930</v>
      </c>
      <c r="BC3" s="7">
        <v>46022</v>
      </c>
      <c r="BD3" s="7">
        <v>46111</v>
      </c>
    </row>
    <row r="4" spans="1:56" s="5" customFormat="1" ht="13.5" customHeight="1">
      <c r="B4" s="6"/>
      <c r="C4" s="7" t="s">
        <v>167</v>
      </c>
      <c r="D4" s="7" t="s">
        <v>167</v>
      </c>
      <c r="E4" s="7" t="s">
        <v>167</v>
      </c>
      <c r="F4" s="7" t="s">
        <v>167</v>
      </c>
      <c r="G4" s="7" t="s">
        <v>167</v>
      </c>
      <c r="H4" s="7" t="s">
        <v>167</v>
      </c>
      <c r="I4" s="7" t="s">
        <v>167</v>
      </c>
      <c r="J4" s="7" t="s">
        <v>167</v>
      </c>
      <c r="K4" s="7" t="s">
        <v>167</v>
      </c>
      <c r="L4" s="7" t="s">
        <v>167</v>
      </c>
      <c r="M4" s="7" t="s">
        <v>167</v>
      </c>
      <c r="N4" s="219"/>
      <c r="O4" s="7" t="s">
        <v>167</v>
      </c>
      <c r="P4" s="7" t="s">
        <v>167</v>
      </c>
      <c r="Q4" s="7" t="s">
        <v>167</v>
      </c>
      <c r="R4" s="7" t="s">
        <v>167</v>
      </c>
      <c r="S4" s="7" t="s">
        <v>167</v>
      </c>
      <c r="T4" s="7" t="s">
        <v>167</v>
      </c>
      <c r="U4" s="7" t="s">
        <v>167</v>
      </c>
      <c r="V4" s="7" t="s">
        <v>167</v>
      </c>
      <c r="W4" s="7" t="s">
        <v>167</v>
      </c>
      <c r="X4" s="7" t="s">
        <v>167</v>
      </c>
      <c r="Y4" s="7" t="s">
        <v>167</v>
      </c>
      <c r="Z4" s="7" t="s">
        <v>167</v>
      </c>
      <c r="AA4" s="7" t="s">
        <v>167</v>
      </c>
      <c r="AB4" s="7" t="s">
        <v>167</v>
      </c>
      <c r="AD4" s="7" t="s">
        <v>167</v>
      </c>
      <c r="AE4" s="7" t="s">
        <v>167</v>
      </c>
      <c r="AF4" s="7" t="s">
        <v>167</v>
      </c>
      <c r="AG4" s="7" t="s">
        <v>167</v>
      </c>
      <c r="AH4" s="7" t="s">
        <v>167</v>
      </c>
      <c r="AI4" s="7" t="s">
        <v>167</v>
      </c>
      <c r="AJ4" s="7" t="s">
        <v>167</v>
      </c>
      <c r="AK4" s="7" t="s">
        <v>167</v>
      </c>
      <c r="AL4" s="7" t="s">
        <v>167</v>
      </c>
      <c r="AM4" s="7" t="s">
        <v>167</v>
      </c>
      <c r="AN4" s="7" t="s">
        <v>167</v>
      </c>
      <c r="AO4" s="7" t="s">
        <v>167</v>
      </c>
      <c r="AP4" s="7" t="s">
        <v>167</v>
      </c>
      <c r="AQ4" s="7" t="s">
        <v>167</v>
      </c>
      <c r="AR4" s="7" t="s">
        <v>167</v>
      </c>
      <c r="AS4" s="7" t="s">
        <v>167</v>
      </c>
      <c r="AT4" s="7" t="s">
        <v>167</v>
      </c>
      <c r="AU4" s="7" t="s">
        <v>167</v>
      </c>
      <c r="AV4" s="7" t="s">
        <v>167</v>
      </c>
      <c r="AW4" s="7" t="s">
        <v>167</v>
      </c>
      <c r="AX4" s="7" t="s">
        <v>167</v>
      </c>
      <c r="AY4" s="7" t="s">
        <v>167</v>
      </c>
      <c r="AZ4" s="7" t="s">
        <v>167</v>
      </c>
      <c r="BA4" s="7" t="s">
        <v>167</v>
      </c>
      <c r="BB4" s="7" t="s">
        <v>167</v>
      </c>
      <c r="BC4" s="7" t="s">
        <v>167</v>
      </c>
      <c r="BD4" s="7" t="s">
        <v>167</v>
      </c>
    </row>
    <row r="5" spans="1:56" s="5" customFormat="1" ht="13.5" customHeight="1">
      <c r="A5" s="8"/>
      <c r="B5" s="8"/>
      <c r="C5" s="66" t="s">
        <v>314</v>
      </c>
      <c r="D5" s="66" t="s">
        <v>314</v>
      </c>
      <c r="E5" s="66" t="s">
        <v>314</v>
      </c>
      <c r="F5" s="66" t="s">
        <v>314</v>
      </c>
      <c r="G5" s="66" t="s">
        <v>314</v>
      </c>
      <c r="H5" s="66" t="s">
        <v>314</v>
      </c>
      <c r="I5" s="66" t="s">
        <v>314</v>
      </c>
      <c r="J5" s="66" t="s">
        <v>314</v>
      </c>
      <c r="K5" s="66" t="s">
        <v>314</v>
      </c>
      <c r="L5" s="66" t="s">
        <v>314</v>
      </c>
      <c r="M5" s="113" t="s">
        <v>163</v>
      </c>
      <c r="N5" s="219"/>
      <c r="O5" s="66" t="s">
        <v>315</v>
      </c>
      <c r="P5" s="66" t="s">
        <v>316</v>
      </c>
      <c r="Q5" s="66" t="s">
        <v>149</v>
      </c>
      <c r="R5" s="66" t="s">
        <v>317</v>
      </c>
      <c r="S5" s="66" t="s">
        <v>318</v>
      </c>
      <c r="T5" s="66" t="s">
        <v>319</v>
      </c>
      <c r="U5" s="66" t="s">
        <v>185</v>
      </c>
      <c r="V5" s="66" t="s">
        <v>320</v>
      </c>
      <c r="W5" s="66" t="s">
        <v>187</v>
      </c>
      <c r="X5" s="66" t="s">
        <v>321</v>
      </c>
      <c r="Y5" s="66" t="s">
        <v>188</v>
      </c>
      <c r="Z5" s="113" t="s">
        <v>322</v>
      </c>
      <c r="AA5" s="66" t="s">
        <v>323</v>
      </c>
      <c r="AB5" s="113" t="s">
        <v>324</v>
      </c>
      <c r="AD5" s="9" t="s">
        <v>192</v>
      </c>
      <c r="AE5" s="9" t="s">
        <v>193</v>
      </c>
      <c r="AF5" s="9" t="s">
        <v>194</v>
      </c>
      <c r="AG5" s="9" t="s">
        <v>195</v>
      </c>
      <c r="AH5" s="9" t="s">
        <v>196</v>
      </c>
      <c r="AI5" s="9" t="s">
        <v>197</v>
      </c>
      <c r="AJ5" s="9" t="s">
        <v>144</v>
      </c>
      <c r="AK5" s="9" t="s">
        <v>110</v>
      </c>
      <c r="AL5" s="9" t="s">
        <v>135</v>
      </c>
      <c r="AM5" s="9" t="s">
        <v>129</v>
      </c>
      <c r="AN5" s="9" t="s">
        <v>123</v>
      </c>
      <c r="AO5" s="9" t="s">
        <v>118</v>
      </c>
      <c r="AP5" s="9" t="s">
        <v>111</v>
      </c>
      <c r="AQ5" s="9" t="s">
        <v>105</v>
      </c>
      <c r="AR5" s="9" t="s">
        <v>100</v>
      </c>
      <c r="AS5" s="9" t="s">
        <v>87</v>
      </c>
      <c r="AT5" s="9" t="s">
        <v>82</v>
      </c>
      <c r="AU5" s="9" t="s">
        <v>198</v>
      </c>
      <c r="AV5" s="9" t="s">
        <v>72</v>
      </c>
      <c r="AW5" s="9" t="s">
        <v>87</v>
      </c>
      <c r="AX5" s="9" t="s">
        <v>59</v>
      </c>
      <c r="AY5" s="9" t="s">
        <v>199</v>
      </c>
      <c r="AZ5" s="9" t="s">
        <v>47</v>
      </c>
      <c r="BA5" s="9" t="s">
        <v>66</v>
      </c>
      <c r="BB5" s="9" t="s">
        <v>34</v>
      </c>
      <c r="BC5" s="9" t="s">
        <v>200</v>
      </c>
      <c r="BD5" s="9" t="s">
        <v>0</v>
      </c>
    </row>
    <row r="6" spans="1:56" s="5" customFormat="1" ht="13.5" customHeight="1">
      <c r="A6" s="8"/>
      <c r="B6" s="227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19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</row>
    <row r="7" spans="1:56" s="5" customFormat="1" ht="13.5" customHeight="1">
      <c r="A7" s="8"/>
      <c r="B7" s="8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219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D7" s="285"/>
      <c r="AE7" s="285"/>
      <c r="AF7" s="285"/>
      <c r="AG7" s="285"/>
      <c r="AH7" s="285"/>
      <c r="AI7" s="285"/>
      <c r="AJ7" s="285"/>
      <c r="AK7" s="285"/>
      <c r="AL7" s="285"/>
      <c r="AM7" s="285"/>
      <c r="AN7" s="285"/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</row>
    <row r="8" spans="1:56" s="5" customFormat="1" ht="13.5" customHeight="1">
      <c r="A8" s="8"/>
      <c r="B8" s="283" t="s">
        <v>325</v>
      </c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2"/>
      <c r="N8" s="66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D8" s="281"/>
      <c r="AE8" s="281"/>
      <c r="AF8" s="281"/>
      <c r="AG8" s="281"/>
      <c r="AH8" s="281"/>
      <c r="AI8" s="281"/>
      <c r="AJ8" s="281"/>
      <c r="AK8" s="281"/>
      <c r="AL8" s="281"/>
      <c r="AM8" s="281"/>
      <c r="AN8" s="281"/>
      <c r="AO8" s="281"/>
      <c r="AP8" s="281"/>
      <c r="AQ8" s="281"/>
      <c r="AR8" s="281"/>
      <c r="AS8" s="281"/>
      <c r="AT8" s="281"/>
      <c r="AU8" s="281"/>
      <c r="AV8" s="281"/>
      <c r="AW8" s="281"/>
      <c r="AX8" s="281"/>
      <c r="AY8" s="281"/>
      <c r="AZ8" s="281"/>
      <c r="BA8" s="281"/>
      <c r="BB8" s="281"/>
      <c r="BC8" s="281"/>
      <c r="BD8" s="281"/>
    </row>
    <row r="9" spans="1:56" s="1" customFormat="1" ht="13.5" customHeight="1">
      <c r="A9" s="288"/>
      <c r="B9" s="1" t="s">
        <v>95</v>
      </c>
      <c r="C9" s="112"/>
      <c r="D9" s="112"/>
      <c r="E9" s="112">
        <v>170.029</v>
      </c>
      <c r="F9" s="112">
        <v>164.654</v>
      </c>
      <c r="G9" s="112">
        <v>183.35599999999999</v>
      </c>
      <c r="H9" s="112">
        <v>199.47300000000001</v>
      </c>
      <c r="I9" s="112">
        <v>215.536</v>
      </c>
      <c r="J9" s="112">
        <v>247.1</v>
      </c>
      <c r="K9" s="112">
        <v>273.3</v>
      </c>
      <c r="L9" s="112">
        <v>288.5</v>
      </c>
      <c r="M9" s="232"/>
      <c r="N9" s="112"/>
      <c r="O9" s="112">
        <v>78.897999999999996</v>
      </c>
      <c r="P9" s="114">
        <f>+F9-O9</f>
        <v>85.756</v>
      </c>
      <c r="Q9" s="112">
        <v>89.906000000000006</v>
      </c>
      <c r="R9" s="114">
        <f>+G9-Q9</f>
        <v>93.449999999999989</v>
      </c>
      <c r="S9" s="112">
        <v>100.465</v>
      </c>
      <c r="T9" s="114">
        <f t="shared" ref="T9:T14" si="0">+H9-S9</f>
        <v>99.00800000000001</v>
      </c>
      <c r="U9" s="112">
        <v>102.726</v>
      </c>
      <c r="V9" s="114">
        <f>+I9-U9</f>
        <v>112.81</v>
      </c>
      <c r="W9" s="112">
        <v>133.9</v>
      </c>
      <c r="X9" s="114">
        <f>+J9-W9</f>
        <v>113.19999999999999</v>
      </c>
      <c r="Y9" s="112">
        <v>136.19999999999999</v>
      </c>
      <c r="Z9" s="114">
        <f>+K9-Y9</f>
        <v>137.10000000000002</v>
      </c>
      <c r="AA9" s="112">
        <v>142.5</v>
      </c>
      <c r="AB9" s="114">
        <f>+L9-AA9</f>
        <v>146</v>
      </c>
      <c r="AD9" s="153"/>
      <c r="AE9" s="153"/>
      <c r="AF9" s="112">
        <f>0.68*66.814</f>
        <v>45.433520000000001</v>
      </c>
      <c r="AG9" s="154">
        <f>Q9-AF9</f>
        <v>44.472480000000004</v>
      </c>
      <c r="AH9" s="153"/>
      <c r="AI9" s="153"/>
      <c r="AJ9" s="112">
        <f>0.64*78.087</f>
        <v>49.975680000000004</v>
      </c>
      <c r="AK9" s="154">
        <f t="shared" ref="AK9:AK14" si="1">S9-AJ9</f>
        <v>50.489319999999999</v>
      </c>
      <c r="AL9" s="112">
        <f>(0.61*239.869)-S9</f>
        <v>45.85508999999999</v>
      </c>
      <c r="AM9" s="154">
        <f t="shared" ref="AM9:AM14" si="2">H9-AL9-AK9-AJ9</f>
        <v>53.152910000000027</v>
      </c>
      <c r="AN9" s="168"/>
      <c r="AO9" s="168"/>
      <c r="AP9" s="168"/>
      <c r="AQ9" s="168"/>
      <c r="AR9" s="168"/>
      <c r="AS9" s="168"/>
      <c r="AT9" s="168"/>
      <c r="AU9" s="168"/>
      <c r="AV9" s="229"/>
      <c r="AW9" s="229"/>
      <c r="AX9" s="229"/>
      <c r="AY9" s="229"/>
      <c r="AZ9" s="229"/>
      <c r="BA9" s="229"/>
      <c r="BB9" s="229"/>
      <c r="BC9" s="229"/>
      <c r="BD9" s="229"/>
    </row>
    <row r="10" spans="1:56" s="1" customFormat="1" ht="13.5" customHeight="1">
      <c r="A10" s="288"/>
      <c r="B10" s="1" t="s">
        <v>96</v>
      </c>
      <c r="C10" s="112"/>
      <c r="D10" s="112"/>
      <c r="E10" s="112">
        <v>33.31</v>
      </c>
      <c r="F10" s="112">
        <v>36.415999999999997</v>
      </c>
      <c r="G10" s="112">
        <v>47.338000000000001</v>
      </c>
      <c r="H10" s="112">
        <v>61.768999999999998</v>
      </c>
      <c r="I10" s="112">
        <v>85.73</v>
      </c>
      <c r="J10" s="112">
        <v>101.1</v>
      </c>
      <c r="K10" s="112">
        <v>121.7</v>
      </c>
      <c r="L10" s="112">
        <v>142.69999999999999</v>
      </c>
      <c r="M10" s="232"/>
      <c r="N10" s="112"/>
      <c r="O10" s="112">
        <v>16.231000000000002</v>
      </c>
      <c r="P10" s="114">
        <f>+F10-O10</f>
        <v>20.184999999999995</v>
      </c>
      <c r="Q10" s="112">
        <v>23.512</v>
      </c>
      <c r="R10" s="114">
        <f>+G10-Q10</f>
        <v>23.826000000000001</v>
      </c>
      <c r="S10" s="112">
        <v>30.481999999999999</v>
      </c>
      <c r="T10" s="114">
        <f t="shared" si="0"/>
        <v>31.286999999999999</v>
      </c>
      <c r="U10" s="112">
        <v>40.488</v>
      </c>
      <c r="V10" s="114">
        <f>+I10-U10</f>
        <v>45.242000000000004</v>
      </c>
      <c r="W10" s="112">
        <v>48.5</v>
      </c>
      <c r="X10" s="114">
        <f t="shared" ref="X10:X14" si="3">+J10-W10</f>
        <v>52.599999999999994</v>
      </c>
      <c r="Y10" s="112">
        <v>58.1</v>
      </c>
      <c r="Z10" s="114">
        <f t="shared" ref="Z10:Z14" si="4">+K10-Y10</f>
        <v>63.6</v>
      </c>
      <c r="AA10" s="112">
        <v>69.3</v>
      </c>
      <c r="AB10" s="114">
        <f t="shared" ref="AB10:AB14" si="5">+L10-AA10</f>
        <v>73.399999999999991</v>
      </c>
      <c r="AD10" s="153"/>
      <c r="AE10" s="153"/>
      <c r="AF10" s="112">
        <f>0.16*66.814</f>
        <v>10.690239999999999</v>
      </c>
      <c r="AG10" s="154">
        <f>Q10-AF10</f>
        <v>12.821760000000001</v>
      </c>
      <c r="AH10" s="153"/>
      <c r="AI10" s="153"/>
      <c r="AJ10" s="112">
        <f>0.19*78.087</f>
        <v>14.836530000000002</v>
      </c>
      <c r="AK10" s="154">
        <f t="shared" si="1"/>
        <v>15.645469999999998</v>
      </c>
      <c r="AL10" s="112">
        <f>(0.19*239.869)-S10</f>
        <v>15.093110000000003</v>
      </c>
      <c r="AM10" s="154">
        <f t="shared" si="2"/>
        <v>16.193889999999996</v>
      </c>
      <c r="AN10" s="168"/>
      <c r="AO10" s="168"/>
      <c r="AP10" s="168"/>
      <c r="AQ10" s="168"/>
      <c r="AR10" s="168"/>
      <c r="AS10" s="168"/>
      <c r="AT10" s="168"/>
      <c r="AU10" s="168"/>
      <c r="AV10" s="229"/>
      <c r="AW10" s="229"/>
      <c r="AX10" s="229"/>
      <c r="AY10" s="229"/>
      <c r="AZ10" s="229"/>
      <c r="BA10" s="229"/>
      <c r="BB10" s="229"/>
      <c r="BC10" s="229"/>
      <c r="BD10" s="229"/>
    </row>
    <row r="11" spans="1:56" s="1" customFormat="1" ht="13.5" customHeight="1">
      <c r="A11" s="288"/>
      <c r="B11" s="1" t="s">
        <v>97</v>
      </c>
      <c r="C11" s="112"/>
      <c r="D11" s="112"/>
      <c r="E11" s="112">
        <v>7.3070000000000004</v>
      </c>
      <c r="F11" s="112">
        <v>17.93</v>
      </c>
      <c r="G11" s="112">
        <v>22.292000000000002</v>
      </c>
      <c r="H11" s="112">
        <v>29.042999999999999</v>
      </c>
      <c r="I11" s="112">
        <v>48.228000000000002</v>
      </c>
      <c r="J11" s="112">
        <v>56.7</v>
      </c>
      <c r="K11" s="112">
        <v>61.8</v>
      </c>
      <c r="L11" s="112">
        <v>78.099999999999994</v>
      </c>
      <c r="M11" s="232"/>
      <c r="N11" s="112"/>
      <c r="O11" s="112">
        <v>7.4020000000000001</v>
      </c>
      <c r="P11" s="114">
        <f>+F11-O11</f>
        <v>10.527999999999999</v>
      </c>
      <c r="Q11" s="112">
        <v>9.766</v>
      </c>
      <c r="R11" s="114">
        <f>+G11-Q11</f>
        <v>12.526000000000002</v>
      </c>
      <c r="S11" s="112">
        <v>11.782</v>
      </c>
      <c r="T11" s="114">
        <f t="shared" si="0"/>
        <v>17.260999999999999</v>
      </c>
      <c r="U11" s="112">
        <v>22.824999999999999</v>
      </c>
      <c r="V11" s="114">
        <f>+I11-U11</f>
        <v>25.403000000000002</v>
      </c>
      <c r="W11" s="112">
        <v>29</v>
      </c>
      <c r="X11" s="114">
        <f t="shared" si="3"/>
        <v>27.700000000000003</v>
      </c>
      <c r="Y11" s="112">
        <v>30.8</v>
      </c>
      <c r="Z11" s="114">
        <f t="shared" si="4"/>
        <v>30.999999999999996</v>
      </c>
      <c r="AA11" s="112">
        <v>39</v>
      </c>
      <c r="AB11" s="114">
        <f t="shared" si="5"/>
        <v>39.099999999999994</v>
      </c>
      <c r="AD11" s="153"/>
      <c r="AE11" s="153"/>
      <c r="AF11" s="112">
        <f>0.06*66.814</f>
        <v>4.0088399999999993</v>
      </c>
      <c r="AG11" s="154">
        <f>Q11-AF11</f>
        <v>5.7571600000000007</v>
      </c>
      <c r="AH11" s="153"/>
      <c r="AI11" s="153"/>
      <c r="AJ11" s="112">
        <f>0.07*78.087</f>
        <v>5.4660900000000003</v>
      </c>
      <c r="AK11" s="154">
        <f t="shared" si="1"/>
        <v>6.3159099999999997</v>
      </c>
      <c r="AL11" s="112">
        <f>(0.09*239.869)-S11</f>
        <v>9.8062100000000001</v>
      </c>
      <c r="AM11" s="154">
        <f t="shared" si="2"/>
        <v>7.45479</v>
      </c>
      <c r="AN11" s="168"/>
      <c r="AO11" s="168"/>
      <c r="AP11" s="168"/>
      <c r="AQ11" s="168"/>
      <c r="AR11" s="168"/>
      <c r="AS11" s="168"/>
      <c r="AT11" s="168"/>
      <c r="AU11" s="168"/>
      <c r="AV11" s="229"/>
      <c r="AW11" s="229"/>
      <c r="AX11" s="229"/>
      <c r="AY11" s="229"/>
      <c r="AZ11" s="229"/>
      <c r="BA11" s="229"/>
      <c r="BB11" s="229"/>
      <c r="BC11" s="229"/>
      <c r="BD11" s="229"/>
    </row>
    <row r="12" spans="1:56" s="1" customFormat="1" ht="13.5" customHeight="1">
      <c r="A12" s="288"/>
      <c r="B12" s="1" t="s">
        <v>326</v>
      </c>
      <c r="C12" s="112"/>
      <c r="D12" s="112"/>
      <c r="E12" s="112"/>
      <c r="F12" s="112"/>
      <c r="G12" s="112"/>
      <c r="H12" s="112">
        <v>24.382999999999999</v>
      </c>
      <c r="I12" s="112">
        <v>36.350999999999999</v>
      </c>
      <c r="J12" s="112">
        <v>42.5</v>
      </c>
      <c r="K12" s="112">
        <v>53.5</v>
      </c>
      <c r="L12" s="112">
        <v>66.400000000000006</v>
      </c>
      <c r="M12" s="232"/>
      <c r="N12" s="112"/>
      <c r="O12" s="112"/>
      <c r="P12" s="114"/>
      <c r="Q12" s="112"/>
      <c r="R12" s="114"/>
      <c r="S12" s="112">
        <v>12.763999999999999</v>
      </c>
      <c r="T12" s="114">
        <f t="shared" si="0"/>
        <v>11.619</v>
      </c>
      <c r="U12" s="112">
        <v>17.216000000000001</v>
      </c>
      <c r="V12" s="114">
        <f>+I12-U12</f>
        <v>19.134999999999998</v>
      </c>
      <c r="W12" s="112">
        <v>20.399999999999999</v>
      </c>
      <c r="X12" s="114">
        <f t="shared" si="3"/>
        <v>22.1</v>
      </c>
      <c r="Y12" s="112">
        <v>25.7</v>
      </c>
      <c r="Z12" s="114">
        <f t="shared" si="4"/>
        <v>27.8</v>
      </c>
      <c r="AA12" s="112">
        <v>32.5</v>
      </c>
      <c r="AB12" s="114">
        <f t="shared" si="5"/>
        <v>33.900000000000006</v>
      </c>
      <c r="AD12" s="153"/>
      <c r="AE12" s="153"/>
      <c r="AF12" s="112"/>
      <c r="AG12" s="154"/>
      <c r="AH12" s="153"/>
      <c r="AI12" s="153"/>
      <c r="AJ12" s="112"/>
      <c r="AK12" s="154">
        <f t="shared" si="1"/>
        <v>12.763999999999999</v>
      </c>
      <c r="AL12" s="112">
        <f>(0.08*239.869)-S12</f>
        <v>6.4255200000000023</v>
      </c>
      <c r="AM12" s="154">
        <f t="shared" si="2"/>
        <v>5.1934799999999974</v>
      </c>
      <c r="AN12" s="168"/>
      <c r="AO12" s="168"/>
      <c r="AP12" s="168"/>
      <c r="AQ12" s="168"/>
      <c r="AR12" s="168"/>
      <c r="AS12" s="168"/>
      <c r="AT12" s="168"/>
      <c r="AU12" s="168"/>
      <c r="AV12" s="229"/>
      <c r="AW12" s="229"/>
      <c r="AX12" s="229"/>
      <c r="AY12" s="229"/>
      <c r="AZ12" s="229"/>
      <c r="BA12" s="229"/>
      <c r="BB12" s="229"/>
      <c r="BC12" s="229"/>
      <c r="BD12" s="229"/>
    </row>
    <row r="13" spans="1:56" s="1" customFormat="1" ht="13.5" customHeight="1">
      <c r="A13" s="288"/>
      <c r="B13" s="1" t="s">
        <v>327</v>
      </c>
      <c r="C13" s="112"/>
      <c r="D13" s="112"/>
      <c r="E13" s="112">
        <v>21.504999999999999</v>
      </c>
      <c r="F13" s="112">
        <v>20.79</v>
      </c>
      <c r="G13" s="112">
        <f>21.376+6.644-0.337</f>
        <v>27.683000000000003</v>
      </c>
      <c r="H13" s="112">
        <f>11.84+0.659-0.115</f>
        <v>12.384</v>
      </c>
      <c r="I13" s="112">
        <f>22.041+41.919+2.761</f>
        <v>66.720999999999989</v>
      </c>
      <c r="J13" s="112">
        <f>32.2+6.5+57.9</f>
        <v>96.6</v>
      </c>
      <c r="K13" s="112">
        <f>7.7+70.7+11.6</f>
        <v>90</v>
      </c>
      <c r="L13" s="112">
        <f>8.8+60.3+31.7</f>
        <v>100.8</v>
      </c>
      <c r="M13" s="232"/>
      <c r="N13" s="112"/>
      <c r="O13" s="112">
        <v>10.032</v>
      </c>
      <c r="P13" s="114">
        <f>+F13-O13</f>
        <v>10.757999999999999</v>
      </c>
      <c r="Q13" s="112">
        <v>13.305999999999999</v>
      </c>
      <c r="R13" s="114">
        <f>+G13-Q13</f>
        <v>14.377000000000004</v>
      </c>
      <c r="S13" s="112">
        <v>4.91</v>
      </c>
      <c r="T13" s="114">
        <f t="shared" si="0"/>
        <v>7.4740000000000002</v>
      </c>
      <c r="U13" s="112">
        <f>7.307+1.035+20.102</f>
        <v>28.444000000000003</v>
      </c>
      <c r="V13" s="114">
        <f t="shared" ref="V13:V14" si="6">+I13-U13</f>
        <v>38.276999999999987</v>
      </c>
      <c r="W13" s="112">
        <f>3.7+28.1+14.2-9.5</f>
        <v>36.5</v>
      </c>
      <c r="X13" s="114">
        <f t="shared" si="3"/>
        <v>60.099999999999994</v>
      </c>
      <c r="Y13" s="112">
        <f>4+34.2+3.5+21.4</f>
        <v>63.1</v>
      </c>
      <c r="Z13" s="114">
        <f t="shared" si="4"/>
        <v>26.9</v>
      </c>
      <c r="AA13" s="112">
        <f>4.2+29.7+13.1+30</f>
        <v>77</v>
      </c>
      <c r="AB13" s="114">
        <f t="shared" si="5"/>
        <v>23.799999999999997</v>
      </c>
      <c r="AD13" s="153"/>
      <c r="AE13" s="153"/>
      <c r="AF13" s="112">
        <f>0.1*66.814</f>
        <v>6.6814</v>
      </c>
      <c r="AG13" s="154">
        <f>Q13-AF13</f>
        <v>6.6245999999999992</v>
      </c>
      <c r="AH13" s="153"/>
      <c r="AI13" s="153"/>
      <c r="AJ13" s="112">
        <f>0.1*78.087</f>
        <v>7.8087000000000009</v>
      </c>
      <c r="AK13" s="154">
        <f t="shared" si="1"/>
        <v>-2.8987000000000007</v>
      </c>
      <c r="AL13" s="112">
        <f>(0.03*239.869)-S13</f>
        <v>2.2860699999999996</v>
      </c>
      <c r="AM13" s="154">
        <f t="shared" si="2"/>
        <v>5.1879300000000024</v>
      </c>
      <c r="AN13" s="168"/>
      <c r="AO13" s="168"/>
      <c r="AP13" s="168"/>
      <c r="AQ13" s="168"/>
      <c r="AR13" s="168"/>
      <c r="AS13" s="168"/>
      <c r="AT13" s="168"/>
      <c r="AU13" s="168"/>
      <c r="AV13" s="229"/>
      <c r="AW13" s="229"/>
      <c r="AX13" s="229"/>
      <c r="AY13" s="229"/>
      <c r="AZ13" s="229"/>
      <c r="BA13" s="229"/>
      <c r="BB13" s="229"/>
      <c r="BC13" s="229"/>
      <c r="BD13" s="229"/>
    </row>
    <row r="14" spans="1:56" s="1" customFormat="1" ht="13.5" customHeight="1">
      <c r="A14" s="288"/>
      <c r="B14" s="1" t="s">
        <v>328</v>
      </c>
      <c r="C14" s="112"/>
      <c r="D14" s="112"/>
      <c r="E14" s="112"/>
      <c r="F14" s="112"/>
      <c r="G14" s="112"/>
      <c r="H14" s="112">
        <v>-0.19900000000000001</v>
      </c>
      <c r="I14" s="112">
        <v>-0.432</v>
      </c>
      <c r="J14" s="112">
        <v>-0.8</v>
      </c>
      <c r="K14" s="112">
        <v>46.6</v>
      </c>
      <c r="L14" s="112">
        <v>61.4</v>
      </c>
      <c r="M14" s="232"/>
      <c r="N14" s="112"/>
      <c r="O14" s="112"/>
      <c r="P14" s="114"/>
      <c r="Q14" s="112"/>
      <c r="R14" s="114"/>
      <c r="S14" s="112">
        <v>-9.6000000000000002E-2</v>
      </c>
      <c r="T14" s="114">
        <f t="shared" si="0"/>
        <v>-0.10300000000000001</v>
      </c>
      <c r="U14" s="112">
        <v>-0.19400000000000001</v>
      </c>
      <c r="V14" s="114">
        <f t="shared" si="6"/>
        <v>-0.23799999999999999</v>
      </c>
      <c r="W14" s="112">
        <v>2.6</v>
      </c>
      <c r="X14" s="114">
        <f t="shared" si="3"/>
        <v>-3.4000000000000004</v>
      </c>
      <c r="Y14" s="112">
        <v>5.2</v>
      </c>
      <c r="Z14" s="114">
        <f t="shared" si="4"/>
        <v>41.4</v>
      </c>
      <c r="AA14" s="112">
        <v>0</v>
      </c>
      <c r="AB14" s="114">
        <f t="shared" si="5"/>
        <v>61.4</v>
      </c>
      <c r="AD14" s="153"/>
      <c r="AE14" s="153"/>
      <c r="AF14" s="112"/>
      <c r="AG14" s="154"/>
      <c r="AH14" s="153"/>
      <c r="AI14" s="153"/>
      <c r="AJ14" s="112"/>
      <c r="AK14" s="154">
        <f t="shared" si="1"/>
        <v>-9.6000000000000002E-2</v>
      </c>
      <c r="AL14" s="112"/>
      <c r="AM14" s="154">
        <f t="shared" si="2"/>
        <v>-0.10300000000000001</v>
      </c>
      <c r="AN14" s="168"/>
      <c r="AO14" s="168"/>
      <c r="AP14" s="168"/>
      <c r="AQ14" s="168"/>
      <c r="AR14" s="168"/>
      <c r="AS14" s="168"/>
      <c r="AT14" s="168"/>
      <c r="AU14" s="168"/>
      <c r="AV14" s="229"/>
      <c r="AW14" s="229"/>
      <c r="AX14" s="229"/>
      <c r="AY14" s="229"/>
      <c r="AZ14" s="229"/>
      <c r="BA14" s="229"/>
      <c r="BB14" s="229"/>
      <c r="BC14" s="229"/>
      <c r="BD14" s="229"/>
    </row>
    <row r="15" spans="1:56" s="5" customFormat="1" ht="13.5" customHeight="1">
      <c r="B15" s="5" t="s">
        <v>329</v>
      </c>
      <c r="C15" s="113">
        <f>+SUM(C9:C13)</f>
        <v>0</v>
      </c>
      <c r="D15" s="113">
        <f>+SUM(D9:D13)</f>
        <v>0</v>
      </c>
      <c r="E15" s="113">
        <f>+SUM(E9:E13)</f>
        <v>232.15099999999998</v>
      </c>
      <c r="F15" s="113">
        <f>+SUM(F9:F13)</f>
        <v>239.79</v>
      </c>
      <c r="G15" s="113">
        <f>+SUM(G9:G13)</f>
        <v>280.66899999999998</v>
      </c>
      <c r="H15" s="174">
        <f t="shared" ref="H15:M15" si="7">+SUM(H9:H14)</f>
        <v>326.85300000000001</v>
      </c>
      <c r="I15" s="113">
        <f t="shared" si="7"/>
        <v>452.13400000000001</v>
      </c>
      <c r="J15" s="113">
        <f t="shared" si="7"/>
        <v>543.20000000000005</v>
      </c>
      <c r="K15" s="113">
        <f t="shared" si="7"/>
        <v>646.9</v>
      </c>
      <c r="L15" s="113">
        <f t="shared" si="7"/>
        <v>737.89999999999986</v>
      </c>
      <c r="M15" s="232"/>
      <c r="N15" s="113"/>
      <c r="O15" s="113">
        <f>+SUM(O9:O13)</f>
        <v>112.56299999999999</v>
      </c>
      <c r="P15" s="113">
        <f>+SUM(P9:P13)</f>
        <v>127.22699999999999</v>
      </c>
      <c r="Q15" s="113">
        <f>+SUM(Q9:Q13)</f>
        <v>136.49</v>
      </c>
      <c r="R15" s="113">
        <f>+SUM(R9:R13)</f>
        <v>144.179</v>
      </c>
      <c r="S15" s="113">
        <f t="shared" ref="S15:AA15" si="8">+SUM(S9:S14)</f>
        <v>160.30700000000002</v>
      </c>
      <c r="T15" s="113">
        <f t="shared" si="8"/>
        <v>166.54599999999999</v>
      </c>
      <c r="U15" s="113">
        <f t="shared" si="8"/>
        <v>211.50500000000002</v>
      </c>
      <c r="V15" s="113">
        <f t="shared" si="8"/>
        <v>240.62899999999999</v>
      </c>
      <c r="W15" s="113">
        <f t="shared" si="8"/>
        <v>270.90000000000003</v>
      </c>
      <c r="X15" s="113">
        <f t="shared" si="8"/>
        <v>272.3</v>
      </c>
      <c r="Y15" s="113">
        <f t="shared" si="8"/>
        <v>319.09999999999997</v>
      </c>
      <c r="Z15" s="113">
        <f t="shared" si="8"/>
        <v>327.79999999999995</v>
      </c>
      <c r="AA15" s="113">
        <f t="shared" si="8"/>
        <v>360.3</v>
      </c>
      <c r="AB15" s="113">
        <f t="shared" ref="AB15" si="9">+SUM(AB9:AB14)</f>
        <v>377.59999999999997</v>
      </c>
      <c r="AD15" s="153"/>
      <c r="AE15" s="153"/>
      <c r="AF15" s="113">
        <f>+SUM(AF9:AF13)</f>
        <v>66.814000000000007</v>
      </c>
      <c r="AG15" s="113">
        <f>+SUM(AG9:AG13)</f>
        <v>69.676000000000002</v>
      </c>
      <c r="AH15" s="153"/>
      <c r="AI15" s="153"/>
      <c r="AJ15" s="113">
        <f>+SUM(AJ9:AJ13)</f>
        <v>78.087000000000003</v>
      </c>
      <c r="AK15" s="113">
        <f>+SUM(AK9:AK13)</f>
        <v>82.315999999999988</v>
      </c>
      <c r="AL15" s="113">
        <f>+SUM(AL9:AL13)</f>
        <v>79.465999999999994</v>
      </c>
      <c r="AM15" s="113">
        <f>SUM(AM9:AM14)</f>
        <v>87.080000000000041</v>
      </c>
      <c r="AN15" s="169"/>
      <c r="AO15" s="169"/>
      <c r="AP15" s="169"/>
      <c r="AQ15" s="169"/>
      <c r="AR15" s="169"/>
      <c r="AS15" s="169"/>
      <c r="AT15" s="169"/>
      <c r="AU15" s="169"/>
      <c r="AV15" s="230"/>
      <c r="AW15" s="230"/>
      <c r="AX15" s="230"/>
      <c r="AY15" s="230"/>
      <c r="AZ15" s="230"/>
      <c r="BA15" s="230"/>
      <c r="BB15" s="230"/>
      <c r="BC15" s="230"/>
      <c r="BD15" s="230"/>
    </row>
    <row r="16" spans="1:56" s="278" customFormat="1" ht="13.5" customHeight="1">
      <c r="B16" s="278" t="s">
        <v>330</v>
      </c>
      <c r="C16" s="289"/>
      <c r="D16" s="289"/>
      <c r="E16" s="289">
        <f>+E15-Model!E10</f>
        <v>0</v>
      </c>
      <c r="F16" s="289">
        <f>+F15-Model!F10</f>
        <v>0</v>
      </c>
      <c r="G16" s="289">
        <f>+G15-Model!G10</f>
        <v>0</v>
      </c>
      <c r="H16" s="289">
        <f>+H15-Model!H10</f>
        <v>0</v>
      </c>
      <c r="I16" s="289">
        <f>+I15-Model!J10</f>
        <v>0</v>
      </c>
      <c r="J16" s="289">
        <f>+J15-Model!K10</f>
        <v>0</v>
      </c>
      <c r="K16" s="290">
        <f>+K15-Model!M10</f>
        <v>0.10000000000002274</v>
      </c>
      <c r="L16" s="290">
        <f>+L15-Model!N10</f>
        <v>-0.10000000000002274</v>
      </c>
      <c r="M16" s="290">
        <f>+M15-Model!O10</f>
        <v>-758.3</v>
      </c>
      <c r="N16" s="289"/>
      <c r="O16" s="289">
        <f>+O15-Model!Q10</f>
        <v>0</v>
      </c>
      <c r="P16" s="289">
        <f>+P15-Model!R10</f>
        <v>0</v>
      </c>
      <c r="Q16" s="289">
        <f>+Q15-Model!S10</f>
        <v>0</v>
      </c>
      <c r="R16" s="289">
        <f>+R15-Model!T10</f>
        <v>0</v>
      </c>
      <c r="S16" s="289">
        <f>+S15-Model!U10</f>
        <v>0</v>
      </c>
      <c r="T16" s="289">
        <f>+T15-Model!V10</f>
        <v>0</v>
      </c>
      <c r="U16" s="289">
        <f>+U15-Model!W10</f>
        <v>0</v>
      </c>
      <c r="V16" s="289">
        <f>+V15-Model!X10</f>
        <v>0</v>
      </c>
      <c r="W16" s="289">
        <f>+W15-Model!Y10</f>
        <v>1.1000000000000227</v>
      </c>
      <c r="X16" s="289"/>
      <c r="Y16" s="289">
        <f>+Y15-Model!AA10</f>
        <v>3.4000000000000341</v>
      </c>
      <c r="Z16" s="289">
        <f>+Z15-Model!AB10</f>
        <v>-3.3000000000000682</v>
      </c>
      <c r="AA16" s="289">
        <f>+AA15-Model!AC10</f>
        <v>-9.9999999999965894E-2</v>
      </c>
      <c r="AB16" s="289">
        <f>+AB15-Model!AD10</f>
        <v>0</v>
      </c>
      <c r="AD16" s="289"/>
      <c r="AE16" s="289"/>
      <c r="AF16" s="290">
        <f>+AF15-Model!AH10</f>
        <v>-1.0000000000047748E-3</v>
      </c>
      <c r="AG16" s="290">
        <f>+AG15-Model!AI10</f>
        <v>1.0000000000189857E-3</v>
      </c>
      <c r="AH16" s="289"/>
      <c r="AI16" s="289"/>
      <c r="AJ16" s="290">
        <f>+AJ15-Model!AL10</f>
        <v>-1.0000000000047748E-3</v>
      </c>
      <c r="AK16" s="290">
        <f>+AK15-Model!AM10</f>
        <v>9.6999999999994202E-2</v>
      </c>
      <c r="AL16" s="290">
        <f>+AL15-Model!AN10</f>
        <v>-9.6000000000003638E-2</v>
      </c>
      <c r="AM16" s="290">
        <f>+AM15-Model!AO10</f>
        <v>9.6000000000017849E-2</v>
      </c>
      <c r="AN16" s="290"/>
      <c r="AO16" s="290"/>
      <c r="AP16" s="290"/>
      <c r="AQ16" s="290"/>
      <c r="AR16" s="290"/>
      <c r="AS16" s="290"/>
      <c r="AT16" s="290"/>
      <c r="AU16" s="290"/>
      <c r="AV16" s="290"/>
      <c r="AW16" s="290"/>
      <c r="AY16" s="290"/>
      <c r="AZ16" s="290"/>
      <c r="BA16" s="290"/>
      <c r="BC16" s="290"/>
      <c r="BD16" s="290"/>
    </row>
    <row r="17" spans="1:56" s="5" customFormat="1" ht="13.5" customHeight="1"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</row>
    <row r="18" spans="1:56" s="5" customFormat="1" ht="13.5" customHeight="1">
      <c r="B18" s="5" t="s">
        <v>331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</row>
    <row r="19" spans="1:56" s="1" customFormat="1" ht="13.5" customHeight="1">
      <c r="A19" s="288"/>
      <c r="B19" s="1" t="s">
        <v>95</v>
      </c>
      <c r="C19" s="117"/>
      <c r="D19" s="117"/>
      <c r="E19" s="117">
        <f t="shared" ref="E19:M19" si="10">+E9/E$15</f>
        <v>0.73240692480325309</v>
      </c>
      <c r="F19" s="117">
        <f t="shared" si="10"/>
        <v>0.68665916009841943</v>
      </c>
      <c r="G19" s="117">
        <f t="shared" si="10"/>
        <v>0.65328197984102276</v>
      </c>
      <c r="H19" s="117">
        <f t="shared" si="10"/>
        <v>0.6102835219502345</v>
      </c>
      <c r="I19" s="117">
        <f t="shared" si="10"/>
        <v>0.47670823251513933</v>
      </c>
      <c r="J19" s="117">
        <f t="shared" si="10"/>
        <v>0.45489690721649478</v>
      </c>
      <c r="K19" s="117">
        <f t="shared" si="10"/>
        <v>0.42247642603184421</v>
      </c>
      <c r="L19" s="117">
        <f t="shared" si="10"/>
        <v>0.39097438677327556</v>
      </c>
      <c r="M19" s="117" t="e">
        <f t="shared" si="10"/>
        <v>#DIV/0!</v>
      </c>
      <c r="N19" s="118"/>
      <c r="O19" s="117">
        <f t="shared" ref="O19:AB19" si="11">+O9/O$15</f>
        <v>0.70092303865390937</v>
      </c>
      <c r="P19" s="117">
        <f t="shared" si="11"/>
        <v>0.67403931555408847</v>
      </c>
      <c r="Q19" s="117">
        <f t="shared" si="11"/>
        <v>0.65870027108213058</v>
      </c>
      <c r="R19" s="117">
        <f t="shared" si="11"/>
        <v>0.64815264358887203</v>
      </c>
      <c r="S19" s="117">
        <f t="shared" si="11"/>
        <v>0.62670376215636248</v>
      </c>
      <c r="T19" s="117">
        <f t="shared" si="11"/>
        <v>0.59447840236331118</v>
      </c>
      <c r="U19" s="117">
        <f t="shared" si="11"/>
        <v>0.48569064561121483</v>
      </c>
      <c r="V19" s="117">
        <f t="shared" si="11"/>
        <v>0.46881298596594762</v>
      </c>
      <c r="W19" s="117">
        <f t="shared" si="11"/>
        <v>0.49427833148763378</v>
      </c>
      <c r="X19" s="117">
        <f t="shared" si="11"/>
        <v>0.41571795813441054</v>
      </c>
      <c r="Y19" s="117">
        <f t="shared" si="11"/>
        <v>0.42682544656847382</v>
      </c>
      <c r="Z19" s="117">
        <f t="shared" si="11"/>
        <v>0.41824283099450899</v>
      </c>
      <c r="AA19" s="117">
        <f t="shared" si="11"/>
        <v>0.39550374687760198</v>
      </c>
      <c r="AB19" s="117">
        <f t="shared" si="11"/>
        <v>0.38665254237288138</v>
      </c>
      <c r="AD19" s="153"/>
      <c r="AE19" s="153"/>
      <c r="AF19" s="117">
        <f t="shared" ref="AF19:AG21" si="12">+AF9/AF$15</f>
        <v>0.67999999999999994</v>
      </c>
      <c r="AG19" s="117">
        <f t="shared" si="12"/>
        <v>0.63827544635168498</v>
      </c>
      <c r="AH19" s="153"/>
      <c r="AI19" s="153"/>
      <c r="AJ19" s="117">
        <f t="shared" ref="AJ19:AM21" si="13">+AJ9/AJ$15</f>
        <v>0.64</v>
      </c>
      <c r="AK19" s="117">
        <f t="shared" si="13"/>
        <v>0.61335973565285007</v>
      </c>
      <c r="AL19" s="117">
        <f t="shared" si="13"/>
        <v>0.57704036946618675</v>
      </c>
      <c r="AM19" s="117">
        <f t="shared" si="13"/>
        <v>0.61039170877354154</v>
      </c>
      <c r="AN19" s="166"/>
      <c r="AO19" s="166"/>
      <c r="AP19" s="166"/>
      <c r="AQ19" s="166"/>
      <c r="AR19" s="166"/>
      <c r="AS19" s="166"/>
      <c r="AT19" s="166"/>
      <c r="AU19" s="166"/>
      <c r="AV19" s="231"/>
      <c r="AW19" s="231"/>
      <c r="AX19" s="231"/>
      <c r="AY19" s="231"/>
      <c r="AZ19" s="231"/>
      <c r="BA19" s="231"/>
      <c r="BB19" s="231"/>
      <c r="BC19" s="231"/>
      <c r="BD19" s="231"/>
    </row>
    <row r="20" spans="1:56" s="1" customFormat="1" ht="13.5" customHeight="1">
      <c r="A20" s="288"/>
      <c r="B20" s="1" t="s">
        <v>96</v>
      </c>
      <c r="C20" s="117"/>
      <c r="D20" s="117"/>
      <c r="E20" s="117">
        <f t="shared" ref="E20:M20" si="14">+E10/E$15</f>
        <v>0.14348419778506233</v>
      </c>
      <c r="F20" s="117">
        <f t="shared" si="14"/>
        <v>0.15186621627257182</v>
      </c>
      <c r="G20" s="117">
        <f t="shared" si="14"/>
        <v>0.16866130566610493</v>
      </c>
      <c r="H20" s="117">
        <f t="shared" si="14"/>
        <v>0.18898097921695683</v>
      </c>
      <c r="I20" s="117">
        <f t="shared" si="14"/>
        <v>0.18961192920682807</v>
      </c>
      <c r="J20" s="117">
        <f t="shared" si="14"/>
        <v>0.18611929307805594</v>
      </c>
      <c r="K20" s="117">
        <f t="shared" si="14"/>
        <v>0.18812799505333128</v>
      </c>
      <c r="L20" s="117">
        <f t="shared" si="14"/>
        <v>0.19338663775579348</v>
      </c>
      <c r="M20" s="117" t="e">
        <f t="shared" si="14"/>
        <v>#DIV/0!</v>
      </c>
      <c r="N20" s="118"/>
      <c r="O20" s="117">
        <f t="shared" ref="O20:AB20" si="15">+O10/O$15</f>
        <v>0.14419480646393579</v>
      </c>
      <c r="P20" s="117">
        <f t="shared" si="15"/>
        <v>0.15865343048252334</v>
      </c>
      <c r="Q20" s="117">
        <f t="shared" si="15"/>
        <v>0.17226170415415049</v>
      </c>
      <c r="R20" s="117">
        <f t="shared" si="15"/>
        <v>0.16525291477954487</v>
      </c>
      <c r="S20" s="117">
        <f t="shared" si="15"/>
        <v>0.19014765418852575</v>
      </c>
      <c r="T20" s="117">
        <f t="shared" si="15"/>
        <v>0.18785800919865983</v>
      </c>
      <c r="U20" s="117">
        <f t="shared" si="15"/>
        <v>0.19142809862651</v>
      </c>
      <c r="V20" s="117">
        <f t="shared" si="15"/>
        <v>0.188015575844973</v>
      </c>
      <c r="W20" s="117">
        <f t="shared" si="15"/>
        <v>0.17903285345145808</v>
      </c>
      <c r="X20" s="117">
        <f t="shared" si="15"/>
        <v>0.19316929856775611</v>
      </c>
      <c r="Y20" s="117">
        <f t="shared" si="15"/>
        <v>0.1820745847696647</v>
      </c>
      <c r="Z20" s="117">
        <f t="shared" si="15"/>
        <v>0.19402074435631486</v>
      </c>
      <c r="AA20" s="117">
        <f t="shared" si="15"/>
        <v>0.19233971690258117</v>
      </c>
      <c r="AB20" s="117">
        <f t="shared" si="15"/>
        <v>0.19438559322033896</v>
      </c>
      <c r="AD20" s="153"/>
      <c r="AE20" s="153"/>
      <c r="AF20" s="117">
        <f t="shared" si="12"/>
        <v>0.15999999999999998</v>
      </c>
      <c r="AG20" s="117">
        <f t="shared" si="12"/>
        <v>0.18401974855043346</v>
      </c>
      <c r="AH20" s="153"/>
      <c r="AI20" s="153"/>
      <c r="AJ20" s="117">
        <f t="shared" si="13"/>
        <v>0.19</v>
      </c>
      <c r="AK20" s="117">
        <f t="shared" si="13"/>
        <v>0.19006596530443656</v>
      </c>
      <c r="AL20" s="117">
        <f t="shared" si="13"/>
        <v>0.18993166888983973</v>
      </c>
      <c r="AM20" s="117">
        <f t="shared" si="13"/>
        <v>0.18596566375746426</v>
      </c>
      <c r="AN20" s="166"/>
      <c r="AO20" s="166"/>
      <c r="AP20" s="166"/>
      <c r="AQ20" s="166"/>
      <c r="AR20" s="166"/>
      <c r="AS20" s="166"/>
      <c r="AT20" s="166"/>
      <c r="AU20" s="166"/>
      <c r="AV20" s="231"/>
      <c r="AW20" s="231"/>
      <c r="AX20" s="231"/>
      <c r="AY20" s="231"/>
      <c r="AZ20" s="231"/>
      <c r="BA20" s="231"/>
      <c r="BB20" s="231"/>
      <c r="BC20" s="231"/>
      <c r="BD20" s="231"/>
    </row>
    <row r="21" spans="1:56" s="1" customFormat="1" ht="13.5" customHeight="1">
      <c r="A21" s="288"/>
      <c r="B21" s="1" t="s">
        <v>97</v>
      </c>
      <c r="C21" s="117"/>
      <c r="D21" s="117"/>
      <c r="E21" s="117">
        <f t="shared" ref="E21:M21" si="16">+E11/E$15</f>
        <v>3.1475203639010824E-2</v>
      </c>
      <c r="F21" s="117">
        <f t="shared" si="16"/>
        <v>7.4773760373660292E-2</v>
      </c>
      <c r="G21" s="117">
        <f t="shared" si="16"/>
        <v>7.9424517848426454E-2</v>
      </c>
      <c r="H21" s="117">
        <f t="shared" si="16"/>
        <v>8.8856458407908137E-2</v>
      </c>
      <c r="I21" s="117">
        <f t="shared" si="16"/>
        <v>0.10666749238057743</v>
      </c>
      <c r="J21" s="117">
        <f t="shared" si="16"/>
        <v>0.10438144329896906</v>
      </c>
      <c r="K21" s="117">
        <f t="shared" si="16"/>
        <v>9.5532539805224914E-2</v>
      </c>
      <c r="L21" s="117">
        <f t="shared" si="16"/>
        <v>0.10584089985092832</v>
      </c>
      <c r="M21" s="117" t="e">
        <f t="shared" si="16"/>
        <v>#DIV/0!</v>
      </c>
      <c r="N21" s="118"/>
      <c r="O21" s="117">
        <f t="shared" ref="O21:AB21" si="17">+O11/O$15</f>
        <v>6.5758730666382395E-2</v>
      </c>
      <c r="P21" s="117">
        <f t="shared" si="17"/>
        <v>8.274973079613604E-2</v>
      </c>
      <c r="Q21" s="117">
        <f t="shared" si="17"/>
        <v>7.1551029379441716E-2</v>
      </c>
      <c r="R21" s="117">
        <f t="shared" si="17"/>
        <v>8.6878116785384846E-2</v>
      </c>
      <c r="S21" s="117">
        <f t="shared" si="17"/>
        <v>7.3496478631625561E-2</v>
      </c>
      <c r="T21" s="117">
        <f t="shared" si="17"/>
        <v>0.10364103611014375</v>
      </c>
      <c r="U21" s="117">
        <f t="shared" si="17"/>
        <v>0.10791707051842744</v>
      </c>
      <c r="V21" s="117">
        <f t="shared" si="17"/>
        <v>0.10556915417509945</v>
      </c>
      <c r="W21" s="117">
        <f t="shared" si="17"/>
        <v>0.10705057216685122</v>
      </c>
      <c r="X21" s="117">
        <f t="shared" si="17"/>
        <v>0.10172603745868528</v>
      </c>
      <c r="Y21" s="117">
        <f t="shared" si="17"/>
        <v>9.6521466624882493E-2</v>
      </c>
      <c r="Z21" s="117">
        <f t="shared" si="17"/>
        <v>9.4569859670530818E-2</v>
      </c>
      <c r="AA21" s="117">
        <f t="shared" si="17"/>
        <v>0.10824313072439633</v>
      </c>
      <c r="AB21" s="117">
        <f t="shared" si="17"/>
        <v>0.10354872881355931</v>
      </c>
      <c r="AD21" s="153"/>
      <c r="AE21" s="153"/>
      <c r="AF21" s="117">
        <f t="shared" si="12"/>
        <v>5.9999999999999984E-2</v>
      </c>
      <c r="AG21" s="117">
        <f t="shared" si="12"/>
        <v>8.2627590562029979E-2</v>
      </c>
      <c r="AH21" s="153"/>
      <c r="AI21" s="153"/>
      <c r="AJ21" s="117">
        <f t="shared" si="13"/>
        <v>7.0000000000000007E-2</v>
      </c>
      <c r="AK21" s="117">
        <f t="shared" si="13"/>
        <v>7.6727610671072463E-2</v>
      </c>
      <c r="AL21" s="117">
        <f t="shared" si="13"/>
        <v>0.12340132887020866</v>
      </c>
      <c r="AM21" s="117">
        <f t="shared" si="13"/>
        <v>8.5608520900321505E-2</v>
      </c>
      <c r="AN21" s="166"/>
      <c r="AO21" s="166"/>
      <c r="AP21" s="166"/>
      <c r="AQ21" s="166"/>
      <c r="AR21" s="166"/>
      <c r="AS21" s="166"/>
      <c r="AT21" s="166"/>
      <c r="AU21" s="166"/>
      <c r="AV21" s="231"/>
      <c r="AW21" s="231"/>
      <c r="AX21" s="231"/>
      <c r="AY21" s="231"/>
      <c r="AZ21" s="231"/>
      <c r="BA21" s="231"/>
      <c r="BB21" s="231"/>
      <c r="BC21" s="231"/>
      <c r="BD21" s="231"/>
    </row>
    <row r="22" spans="1:56" s="1" customFormat="1" ht="13.5" customHeight="1">
      <c r="A22" s="288"/>
      <c r="B22" s="1" t="s">
        <v>326</v>
      </c>
      <c r="C22" s="117"/>
      <c r="D22" s="117"/>
      <c r="E22" s="117"/>
      <c r="F22" s="117"/>
      <c r="G22" s="117"/>
      <c r="H22" s="117">
        <f t="shared" ref="H22:M24" si="18">+H12/H$15</f>
        <v>7.4599284693730811E-2</v>
      </c>
      <c r="I22" s="117">
        <f t="shared" si="18"/>
        <v>8.0398731349555663E-2</v>
      </c>
      <c r="J22" s="117">
        <f t="shared" si="18"/>
        <v>7.8240058910162003E-2</v>
      </c>
      <c r="K22" s="117">
        <f t="shared" si="18"/>
        <v>8.2702117792549087E-2</v>
      </c>
      <c r="L22" s="117">
        <f t="shared" si="18"/>
        <v>8.9985092831006933E-2</v>
      </c>
      <c r="M22" s="117" t="e">
        <f t="shared" si="18"/>
        <v>#DIV/0!</v>
      </c>
      <c r="N22" s="118"/>
      <c r="O22" s="117"/>
      <c r="P22" s="117"/>
      <c r="Q22" s="117"/>
      <c r="R22" s="117"/>
      <c r="S22" s="117">
        <f t="shared" ref="S22:AB22" si="19">+S12/S$15</f>
        <v>7.9622224856057425E-2</v>
      </c>
      <c r="T22" s="117">
        <f t="shared" si="19"/>
        <v>6.9764509504881542E-2</v>
      </c>
      <c r="U22" s="117">
        <f t="shared" si="19"/>
        <v>8.139760289354861E-2</v>
      </c>
      <c r="V22" s="117">
        <f t="shared" si="19"/>
        <v>7.9520756018601244E-2</v>
      </c>
      <c r="W22" s="117">
        <f t="shared" si="19"/>
        <v>7.530454042081948E-2</v>
      </c>
      <c r="X22" s="117">
        <f t="shared" si="19"/>
        <v>8.1160484759456489E-2</v>
      </c>
      <c r="Y22" s="117">
        <f t="shared" si="19"/>
        <v>8.0539015982450654E-2</v>
      </c>
      <c r="Z22" s="117">
        <f t="shared" si="19"/>
        <v>8.480780964002442E-2</v>
      </c>
      <c r="AA22" s="117">
        <f t="shared" si="19"/>
        <v>9.0202608936996942E-2</v>
      </c>
      <c r="AB22" s="117">
        <f t="shared" si="19"/>
        <v>8.977754237288138E-2</v>
      </c>
      <c r="AD22" s="153"/>
      <c r="AE22" s="153"/>
      <c r="AF22" s="117"/>
      <c r="AG22" s="117"/>
      <c r="AH22" s="153"/>
      <c r="AI22" s="153"/>
      <c r="AJ22" s="117"/>
      <c r="AK22" s="117">
        <f t="shared" ref="AK22:AM24" si="20">+AK12/AK$15</f>
        <v>0.15506098449876088</v>
      </c>
      <c r="AL22" s="117">
        <f t="shared" si="20"/>
        <v>8.0858732036342626E-2</v>
      </c>
      <c r="AM22" s="117">
        <f t="shared" si="20"/>
        <v>5.9640330730362824E-2</v>
      </c>
      <c r="AN22" s="166"/>
      <c r="AO22" s="166"/>
      <c r="AP22" s="166"/>
      <c r="AQ22" s="166"/>
      <c r="AR22" s="166"/>
      <c r="AS22" s="166"/>
      <c r="AT22" s="166"/>
      <c r="AU22" s="166"/>
      <c r="AV22" s="231"/>
      <c r="AW22" s="231"/>
      <c r="AX22" s="231"/>
      <c r="AY22" s="231"/>
      <c r="AZ22" s="231"/>
      <c r="BA22" s="231"/>
      <c r="BB22" s="231"/>
      <c r="BC22" s="231"/>
      <c r="BD22" s="231"/>
    </row>
    <row r="23" spans="1:56" s="1" customFormat="1" ht="13.5" customHeight="1">
      <c r="A23" s="288"/>
      <c r="B23" s="1" t="s">
        <v>327</v>
      </c>
      <c r="C23" s="117"/>
      <c r="D23" s="117"/>
      <c r="E23" s="117">
        <f>+E13/E$15</f>
        <v>9.2633673772673827E-2</v>
      </c>
      <c r="F23" s="117">
        <f>+F13/F$15</f>
        <v>8.6700863255348426E-2</v>
      </c>
      <c r="G23" s="117">
        <f>+G13/G$15</f>
        <v>9.863219664444596E-2</v>
      </c>
      <c r="H23" s="117">
        <f t="shared" si="18"/>
        <v>3.7888592119393119E-2</v>
      </c>
      <c r="I23" s="117">
        <f t="shared" si="18"/>
        <v>0.14756908350179368</v>
      </c>
      <c r="J23" s="117">
        <f t="shared" si="18"/>
        <v>0.17783505154639173</v>
      </c>
      <c r="K23" s="117">
        <f t="shared" si="18"/>
        <v>0.13912505796877417</v>
      </c>
      <c r="L23" s="117">
        <f t="shared" si="18"/>
        <v>0.13660387586393821</v>
      </c>
      <c r="M23" s="117" t="e">
        <f t="shared" si="18"/>
        <v>#DIV/0!</v>
      </c>
      <c r="N23" s="118"/>
      <c r="O23" s="117">
        <f>+O13/O$15</f>
        <v>8.9123424215772504E-2</v>
      </c>
      <c r="P23" s="117">
        <f>+P13/P$15</f>
        <v>8.4557523167252235E-2</v>
      </c>
      <c r="Q23" s="117">
        <f>+Q13/Q$15</f>
        <v>9.7486995384277228E-2</v>
      </c>
      <c r="R23" s="117">
        <f>+R13/R$15</f>
        <v>9.9716324846198162E-2</v>
      </c>
      <c r="S23" s="117">
        <f t="shared" ref="S23:AB23" si="21">+S13/S$15</f>
        <v>3.0628731122159355E-2</v>
      </c>
      <c r="T23" s="117">
        <f t="shared" si="21"/>
        <v>4.4876490579179328E-2</v>
      </c>
      <c r="U23" s="117">
        <f t="shared" si="21"/>
        <v>0.134483818349448</v>
      </c>
      <c r="V23" s="117">
        <f t="shared" si="21"/>
        <v>0.15907060246271226</v>
      </c>
      <c r="W23" s="117">
        <f t="shared" si="21"/>
        <v>0.13473606496862309</v>
      </c>
      <c r="X23" s="117">
        <f t="shared" si="21"/>
        <v>0.22071244950422325</v>
      </c>
      <c r="Y23" s="117">
        <f t="shared" si="21"/>
        <v>0.19774365402695082</v>
      </c>
      <c r="Z23" s="117">
        <f t="shared" si="21"/>
        <v>8.2062233068944487E-2</v>
      </c>
      <c r="AA23" s="117">
        <f t="shared" si="21"/>
        <v>0.21371079655842354</v>
      </c>
      <c r="AB23" s="117">
        <f t="shared" si="21"/>
        <v>6.3029661016949151E-2</v>
      </c>
      <c r="AD23" s="153"/>
      <c r="AE23" s="153"/>
      <c r="AF23" s="117">
        <f>+AF13/AF$15</f>
        <v>9.9999999999999992E-2</v>
      </c>
      <c r="AG23" s="117">
        <f>+AG13/AG$15</f>
        <v>9.5077214535851648E-2</v>
      </c>
      <c r="AH23" s="153"/>
      <c r="AI23" s="153"/>
      <c r="AJ23" s="117">
        <f>+AJ13/AJ$15</f>
        <v>0.1</v>
      </c>
      <c r="AK23" s="117">
        <f t="shared" si="20"/>
        <v>-3.521429612711989E-2</v>
      </c>
      <c r="AL23" s="117">
        <f t="shared" si="20"/>
        <v>2.8767900737422292E-2</v>
      </c>
      <c r="AM23" s="117">
        <f t="shared" si="20"/>
        <v>5.9576596233348642E-2</v>
      </c>
      <c r="AN23" s="166"/>
      <c r="AO23" s="166"/>
      <c r="AP23" s="166"/>
      <c r="AQ23" s="166"/>
      <c r="AR23" s="166"/>
      <c r="AS23" s="166"/>
      <c r="AT23" s="166"/>
      <c r="AU23" s="166"/>
      <c r="AV23" s="231"/>
      <c r="AW23" s="231"/>
      <c r="AX23" s="231"/>
      <c r="AY23" s="231"/>
      <c r="AZ23" s="231"/>
      <c r="BA23" s="231"/>
      <c r="BB23" s="231"/>
      <c r="BC23" s="231"/>
      <c r="BD23" s="231"/>
    </row>
    <row r="24" spans="1:56" s="1" customFormat="1" ht="13.5" customHeight="1">
      <c r="A24" s="288"/>
      <c r="B24" s="1" t="s">
        <v>328</v>
      </c>
      <c r="C24" s="117"/>
      <c r="D24" s="117"/>
      <c r="E24" s="117"/>
      <c r="F24" s="117"/>
      <c r="G24" s="117"/>
      <c r="H24" s="117">
        <f t="shared" si="18"/>
        <v>-6.0883638822345216E-4</v>
      </c>
      <c r="I24" s="117">
        <f t="shared" si="18"/>
        <v>-9.5546895389419942E-4</v>
      </c>
      <c r="J24" s="117">
        <f t="shared" si="18"/>
        <v>-1.4727540500736377E-3</v>
      </c>
      <c r="K24" s="117">
        <f t="shared" si="18"/>
        <v>7.2035863348276399E-2</v>
      </c>
      <c r="L24" s="117">
        <f t="shared" si="18"/>
        <v>8.3209106925057605E-2</v>
      </c>
      <c r="M24" s="117" t="e">
        <f t="shared" si="18"/>
        <v>#DIV/0!</v>
      </c>
      <c r="N24" s="118"/>
      <c r="O24" s="117"/>
      <c r="P24" s="117"/>
      <c r="Q24" s="117"/>
      <c r="R24" s="117"/>
      <c r="S24" s="117">
        <f t="shared" ref="S24:AB24" si="22">+S14/S$15</f>
        <v>-5.988509547306106E-4</v>
      </c>
      <c r="T24" s="117">
        <f t="shared" si="22"/>
        <v>-6.1844775617547114E-4</v>
      </c>
      <c r="U24" s="117">
        <f t="shared" si="22"/>
        <v>-9.1723599914895625E-4</v>
      </c>
      <c r="V24" s="117">
        <f t="shared" si="22"/>
        <v>-9.8907446733353011E-4</v>
      </c>
      <c r="W24" s="117">
        <f t="shared" si="22"/>
        <v>9.5976375046142471E-3</v>
      </c>
      <c r="X24" s="117">
        <f t="shared" si="22"/>
        <v>-1.2486228424531768E-2</v>
      </c>
      <c r="Y24" s="117">
        <f t="shared" si="22"/>
        <v>1.6295832027577565E-2</v>
      </c>
      <c r="Z24" s="117">
        <f t="shared" si="22"/>
        <v>0.12629652226967664</v>
      </c>
      <c r="AA24" s="117">
        <f t="shared" si="22"/>
        <v>0</v>
      </c>
      <c r="AB24" s="117">
        <f t="shared" si="22"/>
        <v>0.16260593220338984</v>
      </c>
      <c r="AD24" s="153"/>
      <c r="AE24" s="153"/>
      <c r="AF24" s="117"/>
      <c r="AG24" s="117"/>
      <c r="AH24" s="153"/>
      <c r="AI24" s="153"/>
      <c r="AJ24" s="117"/>
      <c r="AK24" s="117">
        <f t="shared" si="20"/>
        <v>-1.1662374265027458E-3</v>
      </c>
      <c r="AL24" s="117">
        <f t="shared" si="20"/>
        <v>0</v>
      </c>
      <c r="AM24" s="117">
        <f t="shared" si="20"/>
        <v>-1.182820395039044E-3</v>
      </c>
      <c r="AN24" s="166"/>
      <c r="AO24" s="166"/>
      <c r="AP24" s="166"/>
      <c r="AQ24" s="166"/>
      <c r="AR24" s="166"/>
      <c r="AS24" s="166"/>
      <c r="AT24" s="166"/>
      <c r="AU24" s="166"/>
      <c r="AV24" s="231"/>
      <c r="AW24" s="231"/>
      <c r="AX24" s="231"/>
      <c r="AY24" s="231"/>
      <c r="AZ24" s="231"/>
      <c r="BA24" s="231"/>
      <c r="BB24" s="231"/>
      <c r="BC24" s="231"/>
      <c r="BD24" s="231"/>
    </row>
    <row r="25" spans="1:56" s="5" customFormat="1" ht="13.5" customHeight="1">
      <c r="A25" s="8"/>
      <c r="B25" s="5" t="s">
        <v>329</v>
      </c>
      <c r="C25" s="120"/>
      <c r="D25" s="120"/>
      <c r="E25" s="120">
        <f t="shared" ref="E25:F25" si="23">+SUM(E19:E23)</f>
        <v>1</v>
      </c>
      <c r="F25" s="120">
        <f t="shared" si="23"/>
        <v>0.99999999999999989</v>
      </c>
      <c r="G25" s="120">
        <f t="shared" ref="G25" si="24">+SUM(G19:G23)</f>
        <v>1</v>
      </c>
      <c r="H25" s="120">
        <f t="shared" ref="H25:M25" si="25">+SUM(H19:H24)</f>
        <v>0.99999999999999989</v>
      </c>
      <c r="I25" s="120">
        <f t="shared" si="25"/>
        <v>1</v>
      </c>
      <c r="J25" s="120">
        <f t="shared" si="25"/>
        <v>1</v>
      </c>
      <c r="K25" s="120">
        <f t="shared" si="25"/>
        <v>1.0000000000000002</v>
      </c>
      <c r="L25" s="120">
        <f t="shared" si="25"/>
        <v>1</v>
      </c>
      <c r="M25" s="120" t="e">
        <f t="shared" si="25"/>
        <v>#DIV/0!</v>
      </c>
      <c r="N25" s="119"/>
      <c r="O25" s="120">
        <f>+SUM(O19:O23)</f>
        <v>1</v>
      </c>
      <c r="P25" s="120">
        <f>+SUM(P19:P23)</f>
        <v>1</v>
      </c>
      <c r="Q25" s="120">
        <f>+SUM(Q19:Q23)</f>
        <v>1</v>
      </c>
      <c r="R25" s="120">
        <f>+SUM(R19:R23)</f>
        <v>0.99999999999999989</v>
      </c>
      <c r="S25" s="120">
        <f t="shared" ref="S25:AA25" si="26">+SUM(S19:S24)</f>
        <v>1</v>
      </c>
      <c r="T25" s="120">
        <f t="shared" si="26"/>
        <v>1.0000000000000002</v>
      </c>
      <c r="U25" s="120">
        <f t="shared" si="26"/>
        <v>1</v>
      </c>
      <c r="V25" s="120">
        <f t="shared" si="26"/>
        <v>1</v>
      </c>
      <c r="W25" s="120">
        <f t="shared" si="26"/>
        <v>0.99999999999999989</v>
      </c>
      <c r="X25" s="120">
        <f t="shared" si="26"/>
        <v>0.99999999999999978</v>
      </c>
      <c r="Y25" s="120">
        <f t="shared" si="26"/>
        <v>1</v>
      </c>
      <c r="Z25" s="120">
        <f t="shared" si="26"/>
        <v>1.0000000000000002</v>
      </c>
      <c r="AA25" s="120">
        <f t="shared" si="26"/>
        <v>0.99999999999999989</v>
      </c>
      <c r="AB25" s="120">
        <f t="shared" ref="AB25" si="27">+SUM(AB19:AB24)</f>
        <v>1</v>
      </c>
      <c r="AD25" s="153"/>
      <c r="AE25" s="153"/>
      <c r="AF25" s="120">
        <f t="shared" ref="AF25:AG25" si="28">+SUM(AF19:AF23)</f>
        <v>0.99999999999999978</v>
      </c>
      <c r="AG25" s="120">
        <f t="shared" si="28"/>
        <v>1</v>
      </c>
      <c r="AH25" s="153"/>
      <c r="AI25" s="153"/>
      <c r="AJ25" s="120">
        <f t="shared" ref="AJ25" si="29">+SUM(AJ19:AJ23)</f>
        <v>1.0000000000000002</v>
      </c>
      <c r="AK25" s="120">
        <f>+SUM(AK19:AK24)</f>
        <v>0.99883376257349743</v>
      </c>
      <c r="AL25" s="120">
        <f>+SUM(AL19:AL24)</f>
        <v>1</v>
      </c>
      <c r="AM25" s="120">
        <f>+SUM(AM19:AM24)</f>
        <v>0.99999999999999956</v>
      </c>
      <c r="AN25" s="151"/>
      <c r="AO25" s="151"/>
      <c r="AP25" s="151"/>
      <c r="AQ25" s="151"/>
      <c r="AR25" s="151"/>
      <c r="AS25" s="151"/>
      <c r="AT25" s="151"/>
      <c r="AU25" s="151"/>
      <c r="AV25" s="232"/>
      <c r="AW25" s="232"/>
      <c r="AX25" s="232"/>
      <c r="AY25" s="232"/>
      <c r="AZ25" s="232"/>
      <c r="BA25" s="232"/>
      <c r="BB25" s="232"/>
      <c r="BC25" s="232"/>
      <c r="BD25" s="232"/>
    </row>
    <row r="26" spans="1:56" s="5" customFormat="1" ht="13.5" customHeight="1">
      <c r="A26" s="8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19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D26" s="153"/>
      <c r="AE26" s="153"/>
      <c r="AF26" s="120"/>
      <c r="AG26" s="120"/>
      <c r="AH26" s="153"/>
      <c r="AI26" s="153"/>
      <c r="AJ26" s="120"/>
      <c r="AK26" s="120"/>
      <c r="AL26" s="120"/>
      <c r="AM26" s="120"/>
      <c r="AN26" s="151"/>
      <c r="AO26" s="151"/>
      <c r="AP26" s="151"/>
      <c r="AQ26" s="151"/>
      <c r="AR26" s="151"/>
      <c r="AS26" s="151"/>
      <c r="AT26" s="151"/>
      <c r="AU26" s="151"/>
      <c r="AV26" s="232"/>
      <c r="AW26" s="232"/>
      <c r="AX26" s="232"/>
      <c r="AY26" s="232"/>
      <c r="AZ26" s="232"/>
      <c r="BA26" s="232"/>
      <c r="BB26" s="232"/>
      <c r="BC26" s="232"/>
      <c r="BD26" s="232"/>
    </row>
    <row r="27" spans="1:56" s="5" customFormat="1" ht="13.5" customHeight="1">
      <c r="A27" s="8"/>
      <c r="B27" s="5" t="s">
        <v>332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19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D27" s="153"/>
      <c r="AE27" s="153"/>
      <c r="AF27" s="120"/>
      <c r="AG27" s="120"/>
      <c r="AH27" s="153"/>
      <c r="AI27" s="153"/>
      <c r="AJ27" s="120"/>
      <c r="AK27" s="120"/>
      <c r="AL27" s="120"/>
      <c r="AM27" s="120"/>
      <c r="AN27" s="151"/>
      <c r="AO27" s="151"/>
      <c r="AP27" s="151"/>
      <c r="AQ27" s="151"/>
      <c r="AR27" s="151"/>
      <c r="AS27" s="151"/>
      <c r="AT27" s="151"/>
      <c r="AU27" s="151"/>
      <c r="AV27" s="232"/>
      <c r="AW27" s="232"/>
      <c r="AX27" s="232"/>
      <c r="AY27" s="232"/>
      <c r="AZ27" s="232"/>
      <c r="BA27" s="232"/>
      <c r="BB27" s="232"/>
      <c r="BC27" s="232"/>
      <c r="BD27" s="232"/>
    </row>
    <row r="28" spans="1:56" s="5" customFormat="1" ht="13.5" customHeight="1">
      <c r="A28" s="8"/>
      <c r="B28" s="1" t="s">
        <v>95</v>
      </c>
      <c r="C28" s="120"/>
      <c r="D28" s="120"/>
      <c r="E28" s="232"/>
      <c r="F28" s="117">
        <f>F9/E9-1</f>
        <v>-3.1612254380135152E-2</v>
      </c>
      <c r="G28" s="117">
        <f t="shared" ref="G28:L28" si="30">G9/F9-1</f>
        <v>0.11358363598819343</v>
      </c>
      <c r="H28" s="117">
        <f t="shared" si="30"/>
        <v>8.7900041449420874E-2</v>
      </c>
      <c r="I28" s="117">
        <f t="shared" si="30"/>
        <v>8.0527189143392741E-2</v>
      </c>
      <c r="J28" s="117">
        <f t="shared" si="30"/>
        <v>0.14644421349565739</v>
      </c>
      <c r="K28" s="117">
        <f t="shared" si="30"/>
        <v>0.10602994738972082</v>
      </c>
      <c r="L28" s="117">
        <f t="shared" si="30"/>
        <v>5.561653860226845E-2</v>
      </c>
      <c r="M28" s="232"/>
      <c r="N28" s="119"/>
      <c r="O28" s="232"/>
      <c r="P28" s="232"/>
      <c r="Q28" s="117">
        <f>Q9/O9-1</f>
        <v>0.13952191437045314</v>
      </c>
      <c r="R28" s="117">
        <f t="shared" ref="R28:AB34" si="31">R9/P9-1</f>
        <v>8.9719669760716325E-2</v>
      </c>
      <c r="S28" s="117">
        <f t="shared" si="31"/>
        <v>0.11744488688185428</v>
      </c>
      <c r="T28" s="117">
        <f t="shared" si="31"/>
        <v>5.9475655430711871E-2</v>
      </c>
      <c r="U28" s="117">
        <f t="shared" si="31"/>
        <v>2.2505350121932999E-2</v>
      </c>
      <c r="V28" s="117">
        <f t="shared" si="31"/>
        <v>0.13940287653522931</v>
      </c>
      <c r="W28" s="117">
        <f t="shared" si="31"/>
        <v>0.3034674765882055</v>
      </c>
      <c r="X28" s="117">
        <f t="shared" si="31"/>
        <v>3.4571403244392229E-3</v>
      </c>
      <c r="Y28" s="117">
        <f t="shared" si="31"/>
        <v>1.7176997759521972E-2</v>
      </c>
      <c r="Z28" s="117">
        <f t="shared" si="31"/>
        <v>0.21113074204947035</v>
      </c>
      <c r="AA28" s="117">
        <f t="shared" si="31"/>
        <v>4.6255506607929542E-2</v>
      </c>
      <c r="AB28" s="117">
        <f t="shared" si="31"/>
        <v>6.4916119620714641E-2</v>
      </c>
      <c r="AD28" s="153"/>
      <c r="AE28" s="153"/>
      <c r="AF28" s="120"/>
      <c r="AG28" s="120"/>
      <c r="AH28" s="153"/>
      <c r="AI28" s="153"/>
      <c r="AJ28" s="120"/>
      <c r="AK28" s="120"/>
      <c r="AL28" s="120"/>
      <c r="AM28" s="120"/>
      <c r="AN28" s="151"/>
      <c r="AO28" s="151"/>
      <c r="AP28" s="151"/>
      <c r="AQ28" s="151"/>
      <c r="AR28" s="151"/>
      <c r="AS28" s="151"/>
      <c r="AT28" s="151"/>
      <c r="AU28" s="151"/>
      <c r="AV28" s="232"/>
      <c r="AW28" s="232"/>
      <c r="AX28" s="232"/>
      <c r="AY28" s="232"/>
      <c r="AZ28" s="232"/>
      <c r="BA28" s="232"/>
      <c r="BB28" s="232"/>
      <c r="BC28" s="232"/>
      <c r="BD28" s="232"/>
    </row>
    <row r="29" spans="1:56" s="5" customFormat="1" ht="13.5" customHeight="1">
      <c r="A29" s="8"/>
      <c r="B29" s="1" t="s">
        <v>96</v>
      </c>
      <c r="C29" s="120"/>
      <c r="D29" s="120"/>
      <c r="E29" s="232"/>
      <c r="F29" s="117">
        <f t="shared" ref="F29:L34" si="32">F10/E10-1</f>
        <v>9.324527169018304E-2</v>
      </c>
      <c r="G29" s="117">
        <f t="shared" si="32"/>
        <v>0.29992311072056244</v>
      </c>
      <c r="H29" s="117">
        <f t="shared" si="32"/>
        <v>0.30485022603405287</v>
      </c>
      <c r="I29" s="117">
        <f t="shared" si="32"/>
        <v>0.38791303080833428</v>
      </c>
      <c r="J29" s="117">
        <f t="shared" si="32"/>
        <v>0.17928379797037208</v>
      </c>
      <c r="K29" s="117">
        <f t="shared" si="32"/>
        <v>0.20375865479723054</v>
      </c>
      <c r="L29" s="117">
        <f t="shared" si="32"/>
        <v>0.17255546425636803</v>
      </c>
      <c r="M29" s="232"/>
      <c r="N29" s="119"/>
      <c r="O29" s="232"/>
      <c r="P29" s="232"/>
      <c r="Q29" s="117">
        <f t="shared" ref="Q29:Q34" si="33">Q10/O10-1</f>
        <v>0.44858603906105587</v>
      </c>
      <c r="R29" s="117">
        <f t="shared" si="31"/>
        <v>0.18038147138964611</v>
      </c>
      <c r="S29" s="117">
        <f t="shared" si="31"/>
        <v>0.29644436883293634</v>
      </c>
      <c r="T29" s="117">
        <f t="shared" si="31"/>
        <v>0.31314530345001246</v>
      </c>
      <c r="U29" s="117">
        <f t="shared" si="31"/>
        <v>0.32825930057082875</v>
      </c>
      <c r="V29" s="117">
        <f t="shared" si="31"/>
        <v>0.4460318982324929</v>
      </c>
      <c r="W29" s="117">
        <f t="shared" si="31"/>
        <v>0.19788579332147793</v>
      </c>
      <c r="X29" s="117">
        <f t="shared" si="31"/>
        <v>0.1626364882189113</v>
      </c>
      <c r="Y29" s="117">
        <f t="shared" si="31"/>
        <v>0.19793814432989687</v>
      </c>
      <c r="Z29" s="117">
        <f t="shared" si="31"/>
        <v>0.20912547528517123</v>
      </c>
      <c r="AA29" s="117">
        <f t="shared" si="31"/>
        <v>0.19277108433734935</v>
      </c>
      <c r="AB29" s="117">
        <f t="shared" si="31"/>
        <v>0.15408805031446526</v>
      </c>
      <c r="AD29" s="153"/>
      <c r="AE29" s="153"/>
      <c r="AF29" s="120"/>
      <c r="AG29" s="120"/>
      <c r="AH29" s="153"/>
      <c r="AI29" s="153"/>
      <c r="AJ29" s="120"/>
      <c r="AK29" s="120"/>
      <c r="AL29" s="120"/>
      <c r="AM29" s="120"/>
      <c r="AN29" s="151"/>
      <c r="AO29" s="151"/>
      <c r="AP29" s="151"/>
      <c r="AQ29" s="151"/>
      <c r="AR29" s="151"/>
      <c r="AS29" s="151"/>
      <c r="AT29" s="151"/>
      <c r="AU29" s="151"/>
      <c r="AV29" s="232"/>
      <c r="AW29" s="232"/>
      <c r="AX29" s="232"/>
      <c r="AY29" s="232"/>
      <c r="AZ29" s="232"/>
      <c r="BA29" s="232"/>
      <c r="BB29" s="232"/>
      <c r="BC29" s="232"/>
      <c r="BD29" s="232"/>
    </row>
    <row r="30" spans="1:56" s="5" customFormat="1" ht="13.5" customHeight="1">
      <c r="A30" s="8"/>
      <c r="B30" s="1" t="s">
        <v>97</v>
      </c>
      <c r="C30" s="120"/>
      <c r="D30" s="120"/>
      <c r="E30" s="232"/>
      <c r="F30" s="117">
        <f t="shared" si="32"/>
        <v>1.4538114137128777</v>
      </c>
      <c r="G30" s="117">
        <f t="shared" si="32"/>
        <v>0.24327941996653668</v>
      </c>
      <c r="H30" s="117">
        <f t="shared" si="32"/>
        <v>0.30284406962138877</v>
      </c>
      <c r="I30" s="117">
        <f t="shared" si="32"/>
        <v>0.66057225493234184</v>
      </c>
      <c r="J30" s="117">
        <f t="shared" si="32"/>
        <v>0.17566558845483948</v>
      </c>
      <c r="K30" s="117">
        <f t="shared" si="32"/>
        <v>8.9947089947089776E-2</v>
      </c>
      <c r="L30" s="117">
        <f t="shared" si="32"/>
        <v>0.2637540453074434</v>
      </c>
      <c r="M30" s="232"/>
      <c r="N30" s="119"/>
      <c r="O30" s="232"/>
      <c r="P30" s="232"/>
      <c r="Q30" s="117">
        <f t="shared" si="33"/>
        <v>0.31937314239394765</v>
      </c>
      <c r="R30" s="117">
        <f t="shared" si="31"/>
        <v>0.18977963525835895</v>
      </c>
      <c r="S30" s="117">
        <f t="shared" si="31"/>
        <v>0.20643047306983409</v>
      </c>
      <c r="T30" s="117">
        <f t="shared" si="31"/>
        <v>0.37801373143860739</v>
      </c>
      <c r="U30" s="117">
        <f t="shared" si="31"/>
        <v>0.93727720251230684</v>
      </c>
      <c r="V30" s="117">
        <f t="shared" si="31"/>
        <v>0.47169920630322704</v>
      </c>
      <c r="W30" s="117">
        <f t="shared" si="31"/>
        <v>0.27053669222343935</v>
      </c>
      <c r="X30" s="117">
        <f t="shared" si="31"/>
        <v>9.0422391056174556E-2</v>
      </c>
      <c r="Y30" s="117">
        <f t="shared" si="31"/>
        <v>6.2068965517241503E-2</v>
      </c>
      <c r="Z30" s="117">
        <f t="shared" si="31"/>
        <v>0.11913357400721991</v>
      </c>
      <c r="AA30" s="117">
        <f t="shared" si="31"/>
        <v>0.26623376623376616</v>
      </c>
      <c r="AB30" s="117">
        <f t="shared" si="31"/>
        <v>0.26129032258064511</v>
      </c>
      <c r="AD30" s="153"/>
      <c r="AE30" s="153"/>
      <c r="AF30" s="120"/>
      <c r="AG30" s="120"/>
      <c r="AH30" s="153"/>
      <c r="AI30" s="153"/>
      <c r="AJ30" s="120"/>
      <c r="AK30" s="120"/>
      <c r="AL30" s="120"/>
      <c r="AM30" s="120"/>
      <c r="AN30" s="151"/>
      <c r="AO30" s="151"/>
      <c r="AP30" s="151"/>
      <c r="AQ30" s="151"/>
      <c r="AR30" s="151"/>
      <c r="AS30" s="151"/>
      <c r="AT30" s="151"/>
      <c r="AU30" s="151"/>
      <c r="AV30" s="232"/>
      <c r="AW30" s="232"/>
      <c r="AX30" s="232"/>
      <c r="AY30" s="232"/>
      <c r="AZ30" s="232"/>
      <c r="BA30" s="232"/>
      <c r="BB30" s="232"/>
      <c r="BC30" s="232"/>
      <c r="BD30" s="232"/>
    </row>
    <row r="31" spans="1:56" s="5" customFormat="1" ht="13.5" customHeight="1">
      <c r="A31" s="8"/>
      <c r="B31" s="1" t="s">
        <v>326</v>
      </c>
      <c r="C31" s="120"/>
      <c r="D31" s="120"/>
      <c r="E31" s="232"/>
      <c r="F31" s="117" t="e">
        <f t="shared" si="32"/>
        <v>#DIV/0!</v>
      </c>
      <c r="G31" s="117" t="e">
        <f t="shared" si="32"/>
        <v>#DIV/0!</v>
      </c>
      <c r="H31" s="117" t="e">
        <f t="shared" si="32"/>
        <v>#DIV/0!</v>
      </c>
      <c r="I31" s="117">
        <f t="shared" si="32"/>
        <v>0.49083377763195668</v>
      </c>
      <c r="J31" s="117">
        <f t="shared" si="32"/>
        <v>0.16915628180792819</v>
      </c>
      <c r="K31" s="117">
        <f t="shared" si="32"/>
        <v>0.25882352941176467</v>
      </c>
      <c r="L31" s="117">
        <f t="shared" si="32"/>
        <v>0.24112149532710281</v>
      </c>
      <c r="M31" s="232"/>
      <c r="N31" s="119"/>
      <c r="O31" s="232"/>
      <c r="P31" s="232"/>
      <c r="Q31" s="117" t="e">
        <f t="shared" si="33"/>
        <v>#DIV/0!</v>
      </c>
      <c r="R31" s="117" t="e">
        <f t="shared" si="31"/>
        <v>#DIV/0!</v>
      </c>
      <c r="S31" s="117" t="e">
        <f t="shared" si="31"/>
        <v>#DIV/0!</v>
      </c>
      <c r="T31" s="117" t="e">
        <f t="shared" si="31"/>
        <v>#DIV/0!</v>
      </c>
      <c r="U31" s="117">
        <f t="shared" si="31"/>
        <v>0.34879348166718915</v>
      </c>
      <c r="V31" s="117">
        <f t="shared" si="31"/>
        <v>0.64687150357173584</v>
      </c>
      <c r="W31" s="117">
        <f t="shared" si="31"/>
        <v>0.18494423791821535</v>
      </c>
      <c r="X31" s="117">
        <f t="shared" si="31"/>
        <v>0.15495165926313059</v>
      </c>
      <c r="Y31" s="117">
        <f t="shared" si="31"/>
        <v>0.25980392156862742</v>
      </c>
      <c r="Z31" s="117">
        <f t="shared" si="31"/>
        <v>0.25791855203619907</v>
      </c>
      <c r="AA31" s="117">
        <f t="shared" si="31"/>
        <v>0.2645914396887159</v>
      </c>
      <c r="AB31" s="117">
        <f t="shared" si="31"/>
        <v>0.21942446043165487</v>
      </c>
      <c r="AD31" s="153"/>
      <c r="AE31" s="153"/>
      <c r="AF31" s="120"/>
      <c r="AG31" s="120"/>
      <c r="AH31" s="153"/>
      <c r="AI31" s="153"/>
      <c r="AJ31" s="120"/>
      <c r="AK31" s="120"/>
      <c r="AL31" s="120"/>
      <c r="AM31" s="120"/>
      <c r="AN31" s="151"/>
      <c r="AO31" s="151"/>
      <c r="AP31" s="151"/>
      <c r="AQ31" s="151"/>
      <c r="AR31" s="151"/>
      <c r="AS31" s="151"/>
      <c r="AT31" s="151"/>
      <c r="AU31" s="151"/>
      <c r="AV31" s="232"/>
      <c r="AW31" s="232"/>
      <c r="AX31" s="232"/>
      <c r="AY31" s="232"/>
      <c r="AZ31" s="232"/>
      <c r="BA31" s="232"/>
      <c r="BB31" s="232"/>
      <c r="BC31" s="232"/>
      <c r="BD31" s="232"/>
    </row>
    <row r="32" spans="1:56" s="5" customFormat="1" ht="13.5" customHeight="1">
      <c r="A32" s="8"/>
      <c r="B32" s="1" t="s">
        <v>327</v>
      </c>
      <c r="C32" s="120"/>
      <c r="D32" s="120"/>
      <c r="E32" s="232"/>
      <c r="F32" s="117">
        <f t="shared" si="32"/>
        <v>-3.3248081841432242E-2</v>
      </c>
      <c r="G32" s="117">
        <f t="shared" si="32"/>
        <v>0.33155363155363182</v>
      </c>
      <c r="H32" s="117">
        <f t="shared" si="32"/>
        <v>-0.5526496405736373</v>
      </c>
      <c r="I32" s="117">
        <f t="shared" si="32"/>
        <v>4.3876776485788103</v>
      </c>
      <c r="J32" s="117">
        <f t="shared" si="32"/>
        <v>0.44782002667825727</v>
      </c>
      <c r="K32" s="117">
        <f t="shared" si="32"/>
        <v>-6.8322981366459534E-2</v>
      </c>
      <c r="L32" s="117">
        <f t="shared" si="32"/>
        <v>0.11999999999999988</v>
      </c>
      <c r="M32" s="232"/>
      <c r="N32" s="119"/>
      <c r="O32" s="232"/>
      <c r="P32" s="232"/>
      <c r="Q32" s="117">
        <f t="shared" si="33"/>
        <v>0.32635566188197762</v>
      </c>
      <c r="R32" s="117">
        <f t="shared" si="31"/>
        <v>0.33640081799591059</v>
      </c>
      <c r="S32" s="117">
        <f t="shared" si="31"/>
        <v>-0.63099353675033809</v>
      </c>
      <c r="T32" s="117">
        <f t="shared" si="31"/>
        <v>-0.48014189330180168</v>
      </c>
      <c r="U32" s="117">
        <f t="shared" si="31"/>
        <v>4.7930753564154793</v>
      </c>
      <c r="V32" s="117">
        <f t="shared" si="31"/>
        <v>4.1213540272946192</v>
      </c>
      <c r="W32" s="117">
        <f t="shared" si="31"/>
        <v>0.28322317536211483</v>
      </c>
      <c r="X32" s="117">
        <f t="shared" si="31"/>
        <v>0.5701335005355701</v>
      </c>
      <c r="Y32" s="117">
        <f t="shared" si="31"/>
        <v>0.72876712328767135</v>
      </c>
      <c r="Z32" s="117">
        <f t="shared" si="31"/>
        <v>-0.55241264559068215</v>
      </c>
      <c r="AA32" s="117">
        <f t="shared" si="31"/>
        <v>0.22028526148969885</v>
      </c>
      <c r="AB32" s="117">
        <f t="shared" si="31"/>
        <v>-0.11524163568773238</v>
      </c>
      <c r="AD32" s="153"/>
      <c r="AE32" s="153"/>
      <c r="AF32" s="120"/>
      <c r="AG32" s="120"/>
      <c r="AH32" s="153"/>
      <c r="AI32" s="153"/>
      <c r="AJ32" s="120"/>
      <c r="AK32" s="120"/>
      <c r="AL32" s="120"/>
      <c r="AM32" s="120"/>
      <c r="AN32" s="151"/>
      <c r="AO32" s="151"/>
      <c r="AP32" s="151"/>
      <c r="AQ32" s="151"/>
      <c r="AR32" s="151"/>
      <c r="AS32" s="151"/>
      <c r="AT32" s="151"/>
      <c r="AU32" s="151"/>
      <c r="AV32" s="232"/>
      <c r="AW32" s="232"/>
      <c r="AX32" s="232"/>
      <c r="AY32" s="232"/>
      <c r="AZ32" s="232"/>
      <c r="BA32" s="232"/>
      <c r="BB32" s="232"/>
      <c r="BC32" s="232"/>
      <c r="BD32" s="232"/>
    </row>
    <row r="33" spans="1:56" s="5" customFormat="1" ht="13.5" customHeight="1">
      <c r="A33" s="8"/>
      <c r="B33" s="1" t="s">
        <v>328</v>
      </c>
      <c r="C33" s="120"/>
      <c r="D33" s="120"/>
      <c r="E33" s="232"/>
      <c r="F33" s="117" t="e">
        <f t="shared" si="32"/>
        <v>#DIV/0!</v>
      </c>
      <c r="G33" s="117" t="e">
        <f t="shared" si="32"/>
        <v>#DIV/0!</v>
      </c>
      <c r="H33" s="117" t="e">
        <f t="shared" si="32"/>
        <v>#DIV/0!</v>
      </c>
      <c r="I33" s="117">
        <f t="shared" si="32"/>
        <v>1.170854271356784</v>
      </c>
      <c r="J33" s="117">
        <f t="shared" si="32"/>
        <v>0.85185185185185208</v>
      </c>
      <c r="K33" s="117">
        <f t="shared" si="32"/>
        <v>-59.25</v>
      </c>
      <c r="L33" s="117">
        <f t="shared" si="32"/>
        <v>0.31759656652360513</v>
      </c>
      <c r="M33" s="232"/>
      <c r="N33" s="119"/>
      <c r="O33" s="232"/>
      <c r="P33" s="232"/>
      <c r="Q33" s="117" t="e">
        <f t="shared" si="33"/>
        <v>#DIV/0!</v>
      </c>
      <c r="R33" s="117" t="e">
        <f t="shared" si="31"/>
        <v>#DIV/0!</v>
      </c>
      <c r="S33" s="117" t="e">
        <f t="shared" si="31"/>
        <v>#DIV/0!</v>
      </c>
      <c r="T33" s="117" t="e">
        <f t="shared" si="31"/>
        <v>#DIV/0!</v>
      </c>
      <c r="U33" s="117">
        <f t="shared" si="31"/>
        <v>1.0208333333333335</v>
      </c>
      <c r="V33" s="117">
        <f t="shared" si="31"/>
        <v>1.3106796116504853</v>
      </c>
      <c r="W33" s="117">
        <f t="shared" si="31"/>
        <v>-14.402061855670103</v>
      </c>
      <c r="X33" s="117">
        <f t="shared" si="31"/>
        <v>13.285714285714288</v>
      </c>
      <c r="Y33" s="117">
        <f t="shared" si="31"/>
        <v>1</v>
      </c>
      <c r="Z33" s="117">
        <f t="shared" si="31"/>
        <v>-13.176470588235292</v>
      </c>
      <c r="AA33" s="117">
        <f t="shared" si="31"/>
        <v>-1</v>
      </c>
      <c r="AB33" s="117">
        <f t="shared" si="31"/>
        <v>0.48309178743961345</v>
      </c>
      <c r="AD33" s="153"/>
      <c r="AE33" s="153"/>
      <c r="AF33" s="120"/>
      <c r="AG33" s="120"/>
      <c r="AH33" s="153"/>
      <c r="AI33" s="153"/>
      <c r="AJ33" s="120"/>
      <c r="AK33" s="120"/>
      <c r="AL33" s="120"/>
      <c r="AM33" s="120"/>
      <c r="AN33" s="151"/>
      <c r="AO33" s="151"/>
      <c r="AP33" s="151"/>
      <c r="AQ33" s="151"/>
      <c r="AR33" s="151"/>
      <c r="AS33" s="151"/>
      <c r="AT33" s="151"/>
      <c r="AU33" s="151"/>
      <c r="AV33" s="232"/>
      <c r="AW33" s="232"/>
      <c r="AX33" s="232"/>
      <c r="AY33" s="232"/>
      <c r="AZ33" s="232"/>
      <c r="BA33" s="232"/>
      <c r="BB33" s="232"/>
      <c r="BC33" s="232"/>
      <c r="BD33" s="232"/>
    </row>
    <row r="34" spans="1:56" s="5" customFormat="1" ht="13.5" customHeight="1">
      <c r="A34" s="8"/>
      <c r="B34" s="5" t="s">
        <v>329</v>
      </c>
      <c r="C34" s="120"/>
      <c r="D34" s="120"/>
      <c r="E34" s="232"/>
      <c r="F34" s="120">
        <f t="shared" si="32"/>
        <v>3.2905307321527744E-2</v>
      </c>
      <c r="G34" s="120">
        <f t="shared" si="32"/>
        <v>0.17047833520997546</v>
      </c>
      <c r="H34" s="120">
        <f t="shared" si="32"/>
        <v>0.16454970089322307</v>
      </c>
      <c r="I34" s="120">
        <f t="shared" si="32"/>
        <v>0.38329463091971006</v>
      </c>
      <c r="J34" s="120">
        <f t="shared" si="32"/>
        <v>0.20141374017437319</v>
      </c>
      <c r="K34" s="120">
        <f t="shared" si="32"/>
        <v>0.19090574374079505</v>
      </c>
      <c r="L34" s="120">
        <f t="shared" si="32"/>
        <v>0.14067089194620475</v>
      </c>
      <c r="M34" s="232"/>
      <c r="N34" s="119"/>
      <c r="O34" s="232"/>
      <c r="P34" s="232"/>
      <c r="Q34" s="120">
        <f t="shared" si="33"/>
        <v>0.2125654078160677</v>
      </c>
      <c r="R34" s="120">
        <f t="shared" si="31"/>
        <v>0.13324215771809444</v>
      </c>
      <c r="S34" s="120">
        <f t="shared" si="31"/>
        <v>0.17449630009524508</v>
      </c>
      <c r="T34" s="120">
        <f t="shared" si="31"/>
        <v>0.15513354926861744</v>
      </c>
      <c r="U34" s="120">
        <f t="shared" si="31"/>
        <v>0.31937469979476885</v>
      </c>
      <c r="V34" s="120">
        <f t="shared" si="31"/>
        <v>0.44482004971599443</v>
      </c>
      <c r="W34" s="120">
        <f t="shared" si="31"/>
        <v>0.2808207843786199</v>
      </c>
      <c r="X34" s="120">
        <f t="shared" si="31"/>
        <v>0.13161755233159766</v>
      </c>
      <c r="Y34" s="120">
        <f t="shared" si="31"/>
        <v>0.17792543373938696</v>
      </c>
      <c r="Z34" s="120">
        <f t="shared" si="31"/>
        <v>0.20381931692985655</v>
      </c>
      <c r="AA34" s="120">
        <f t="shared" si="31"/>
        <v>0.12911313068003771</v>
      </c>
      <c r="AB34" s="120">
        <f t="shared" si="31"/>
        <v>0.1519219035997561</v>
      </c>
      <c r="AD34" s="153"/>
      <c r="AE34" s="153"/>
      <c r="AF34" s="120"/>
      <c r="AG34" s="120"/>
      <c r="AH34" s="153"/>
      <c r="AI34" s="153"/>
      <c r="AJ34" s="120"/>
      <c r="AK34" s="120"/>
      <c r="AL34" s="120"/>
      <c r="AM34" s="120"/>
      <c r="AN34" s="151"/>
      <c r="AO34" s="151"/>
      <c r="AP34" s="151"/>
      <c r="AQ34" s="151"/>
      <c r="AR34" s="151"/>
      <c r="AS34" s="151"/>
      <c r="AT34" s="151"/>
      <c r="AU34" s="151"/>
      <c r="AV34" s="232"/>
      <c r="AW34" s="232"/>
      <c r="AX34" s="232"/>
      <c r="AY34" s="232"/>
      <c r="AZ34" s="232"/>
      <c r="BA34" s="232"/>
      <c r="BB34" s="232"/>
      <c r="BC34" s="232"/>
      <c r="BD34" s="232"/>
    </row>
    <row r="35" spans="1:56" s="5" customFormat="1" ht="13.5" customHeight="1">
      <c r="A35" s="8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19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D35" s="153"/>
      <c r="AE35" s="153"/>
      <c r="AF35" s="120"/>
      <c r="AG35" s="120"/>
      <c r="AH35" s="153"/>
      <c r="AI35" s="153"/>
      <c r="AJ35" s="120"/>
      <c r="AK35" s="120"/>
      <c r="AL35" s="120"/>
      <c r="AM35" s="120"/>
      <c r="AN35" s="151"/>
      <c r="AO35" s="151"/>
      <c r="AP35" s="151"/>
      <c r="AQ35" s="151"/>
      <c r="AR35" s="151"/>
      <c r="AS35" s="151"/>
      <c r="AT35" s="151"/>
      <c r="AU35" s="151"/>
      <c r="AV35" s="232"/>
      <c r="AW35" s="232"/>
      <c r="AX35" s="232"/>
      <c r="AY35" s="232"/>
      <c r="AZ35" s="232"/>
      <c r="BA35" s="232"/>
      <c r="BB35" s="232"/>
      <c r="BC35" s="232"/>
      <c r="BD35" s="232"/>
    </row>
    <row r="36" spans="1:56" s="5" customFormat="1" ht="13.5" customHeight="1"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</row>
    <row r="37" spans="1:56" s="5" customFormat="1" ht="13.5" customHeight="1">
      <c r="A37" s="8"/>
      <c r="B37" s="283" t="s">
        <v>333</v>
      </c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2"/>
      <c r="N37" s="66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  <c r="AD37" s="281"/>
      <c r="AE37" s="281"/>
      <c r="AF37" s="281"/>
      <c r="AG37" s="281"/>
      <c r="AH37" s="281"/>
      <c r="AI37" s="281"/>
      <c r="AJ37" s="281"/>
      <c r="AK37" s="281"/>
      <c r="AL37" s="281"/>
      <c r="AM37" s="281"/>
      <c r="AN37" s="281"/>
      <c r="AO37" s="281"/>
      <c r="AP37" s="281"/>
      <c r="AQ37" s="281"/>
      <c r="AR37" s="281"/>
      <c r="AS37" s="281"/>
      <c r="AT37" s="281"/>
      <c r="AU37" s="281"/>
      <c r="AV37" s="281"/>
      <c r="AW37" s="281"/>
      <c r="AX37" s="281"/>
      <c r="AY37" s="281"/>
      <c r="AZ37" s="281"/>
      <c r="BA37" s="281"/>
      <c r="BB37" s="281"/>
      <c r="BC37" s="281"/>
      <c r="BD37" s="281"/>
    </row>
    <row r="38" spans="1:56" s="1" customFormat="1" ht="13.5" customHeight="1">
      <c r="A38" s="288"/>
      <c r="B38" s="1" t="s">
        <v>95</v>
      </c>
      <c r="C38" s="112"/>
      <c r="D38" s="112"/>
      <c r="E38" s="112">
        <v>153.38200000000001</v>
      </c>
      <c r="F38" s="112">
        <v>257.983</v>
      </c>
      <c r="G38" s="112">
        <v>62.576999999999998</v>
      </c>
      <c r="H38" s="112">
        <v>733.94299999999998</v>
      </c>
      <c r="I38" s="112">
        <v>394.37200000000001</v>
      </c>
      <c r="J38" s="112">
        <v>260.2</v>
      </c>
      <c r="K38" s="112">
        <v>340.7</v>
      </c>
      <c r="L38" s="112">
        <v>297.60000000000002</v>
      </c>
      <c r="M38" s="154"/>
      <c r="N38" s="112"/>
      <c r="O38" s="112">
        <v>69.838999999999999</v>
      </c>
      <c r="P38" s="114">
        <f>+F38-O38</f>
        <v>188.14400000000001</v>
      </c>
      <c r="Q38" s="112">
        <v>-6.35</v>
      </c>
      <c r="R38" s="114">
        <f>+G38-Q38</f>
        <v>68.926999999999992</v>
      </c>
      <c r="S38" s="112">
        <v>74.963999999999999</v>
      </c>
      <c r="T38" s="114">
        <f t="shared" ref="T38:T43" si="34">+H38-S38</f>
        <v>658.97900000000004</v>
      </c>
      <c r="U38" s="112">
        <v>341.86799999999999</v>
      </c>
      <c r="V38" s="114">
        <f>+I38-U38</f>
        <v>52.504000000000019</v>
      </c>
      <c r="W38" s="112">
        <v>120.5</v>
      </c>
      <c r="X38" s="114">
        <f>+J38-W38</f>
        <v>139.69999999999999</v>
      </c>
      <c r="Y38" s="112">
        <v>224.8</v>
      </c>
      <c r="Z38" s="114">
        <f t="shared" ref="Z38:Z43" si="35">+K38-Y38</f>
        <v>115.89999999999998</v>
      </c>
      <c r="AA38" s="112">
        <v>166.8</v>
      </c>
      <c r="AB38" s="114">
        <f t="shared" ref="AB38:AB43" si="36">+L38-AA38</f>
        <v>130.80000000000001</v>
      </c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233"/>
      <c r="AW38" s="233"/>
      <c r="AX38" s="233"/>
      <c r="AY38" s="233"/>
      <c r="AZ38" s="233"/>
      <c r="BA38" s="233"/>
      <c r="BB38" s="233"/>
      <c r="BC38" s="233"/>
      <c r="BD38" s="233"/>
    </row>
    <row r="39" spans="1:56" s="1" customFormat="1" ht="13.5" customHeight="1">
      <c r="A39" s="288"/>
      <c r="B39" s="1" t="s">
        <v>96</v>
      </c>
      <c r="C39" s="112"/>
      <c r="D39" s="112"/>
      <c r="E39" s="112">
        <v>40.409999999999997</v>
      </c>
      <c r="F39" s="112">
        <v>67.063999999999993</v>
      </c>
      <c r="G39" s="112">
        <v>22.681000000000001</v>
      </c>
      <c r="H39" s="112">
        <v>110.458</v>
      </c>
      <c r="I39" s="112">
        <v>67.238</v>
      </c>
      <c r="J39" s="112">
        <v>149.6</v>
      </c>
      <c r="K39" s="112">
        <v>207.8</v>
      </c>
      <c r="L39" s="112">
        <v>226.3</v>
      </c>
      <c r="M39" s="154"/>
      <c r="N39" s="112"/>
      <c r="O39" s="112">
        <v>46.686999999999998</v>
      </c>
      <c r="P39" s="114">
        <f>+F39-O39</f>
        <v>20.376999999999995</v>
      </c>
      <c r="Q39" s="112">
        <v>20.721</v>
      </c>
      <c r="R39" s="114">
        <f>+G39-Q39</f>
        <v>1.9600000000000009</v>
      </c>
      <c r="S39" s="112">
        <v>13.324</v>
      </c>
      <c r="T39" s="114">
        <f t="shared" si="34"/>
        <v>97.134</v>
      </c>
      <c r="U39" s="112">
        <v>44.768000000000001</v>
      </c>
      <c r="V39" s="114">
        <f t="shared" ref="V39:V43" si="37">+I39-U39</f>
        <v>22.47</v>
      </c>
      <c r="W39" s="112">
        <v>106.5</v>
      </c>
      <c r="X39" s="114">
        <f t="shared" ref="X39:X43" si="38">+J39-W39</f>
        <v>43.099999999999994</v>
      </c>
      <c r="Y39" s="112">
        <v>99.8</v>
      </c>
      <c r="Z39" s="114">
        <f t="shared" si="35"/>
        <v>108.00000000000001</v>
      </c>
      <c r="AA39" s="112">
        <v>68.900000000000006</v>
      </c>
      <c r="AB39" s="114">
        <f t="shared" si="36"/>
        <v>157.4</v>
      </c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233"/>
      <c r="AW39" s="233"/>
      <c r="AX39" s="233"/>
      <c r="AY39" s="233"/>
      <c r="AZ39" s="233"/>
      <c r="BA39" s="233"/>
      <c r="BB39" s="233"/>
      <c r="BC39" s="233"/>
      <c r="BD39" s="233"/>
    </row>
    <row r="40" spans="1:56" s="1" customFormat="1" ht="13.5" customHeight="1">
      <c r="A40" s="288"/>
      <c r="B40" s="1" t="s">
        <v>97</v>
      </c>
      <c r="C40" s="112"/>
      <c r="D40" s="112"/>
      <c r="E40" s="112">
        <v>20.498000000000001</v>
      </c>
      <c r="F40" s="112">
        <v>48.524999999999999</v>
      </c>
      <c r="G40" s="112">
        <v>53.091999999999999</v>
      </c>
      <c r="H40" s="112">
        <v>123.31</v>
      </c>
      <c r="I40" s="112">
        <v>46.433999999999997</v>
      </c>
      <c r="J40" s="112">
        <v>3.4</v>
      </c>
      <c r="K40" s="112">
        <v>69.900000000000006</v>
      </c>
      <c r="L40" s="112">
        <v>53.6</v>
      </c>
      <c r="M40" s="154"/>
      <c r="N40" s="112"/>
      <c r="O40" s="112">
        <v>22.414999999999999</v>
      </c>
      <c r="P40" s="114">
        <f>+F40-O40</f>
        <v>26.11</v>
      </c>
      <c r="Q40" s="112">
        <v>19.417000000000002</v>
      </c>
      <c r="R40" s="114">
        <f>+G40-Q40</f>
        <v>33.674999999999997</v>
      </c>
      <c r="S40" s="112">
        <v>41.654000000000003</v>
      </c>
      <c r="T40" s="114">
        <f t="shared" si="34"/>
        <v>81.656000000000006</v>
      </c>
      <c r="U40" s="112">
        <v>33.284999999999997</v>
      </c>
      <c r="V40" s="114">
        <f t="shared" si="37"/>
        <v>13.149000000000001</v>
      </c>
      <c r="W40" s="112">
        <v>18.600000000000001</v>
      </c>
      <c r="X40" s="114">
        <f t="shared" si="38"/>
        <v>-15.200000000000001</v>
      </c>
      <c r="Y40" s="112">
        <v>4.7</v>
      </c>
      <c r="Z40" s="114">
        <f t="shared" si="35"/>
        <v>65.2</v>
      </c>
      <c r="AA40" s="112">
        <v>30.5</v>
      </c>
      <c r="AB40" s="114">
        <f t="shared" si="36"/>
        <v>23.1</v>
      </c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233"/>
      <c r="AW40" s="233"/>
      <c r="AX40" s="233"/>
      <c r="AY40" s="233"/>
      <c r="AZ40" s="233"/>
      <c r="BA40" s="233"/>
      <c r="BB40" s="233"/>
      <c r="BC40" s="233"/>
      <c r="BD40" s="233"/>
    </row>
    <row r="41" spans="1:56" s="1" customFormat="1" ht="13.5" customHeight="1">
      <c r="A41" s="288"/>
      <c r="B41" s="1" t="s">
        <v>326</v>
      </c>
      <c r="C41" s="112"/>
      <c r="D41" s="112"/>
      <c r="E41" s="112"/>
      <c r="F41" s="112"/>
      <c r="G41" s="112"/>
      <c r="H41" s="112">
        <v>100.271</v>
      </c>
      <c r="I41" s="112">
        <v>18.411999999999999</v>
      </c>
      <c r="J41" s="112">
        <v>105.3</v>
      </c>
      <c r="K41" s="112">
        <v>116.8</v>
      </c>
      <c r="L41" s="112">
        <v>124.6</v>
      </c>
      <c r="M41" s="154"/>
      <c r="N41" s="112"/>
      <c r="O41" s="112"/>
      <c r="P41" s="114"/>
      <c r="Q41" s="112"/>
      <c r="R41" s="114"/>
      <c r="S41" s="112">
        <v>11.622</v>
      </c>
      <c r="T41" s="114">
        <f t="shared" si="34"/>
        <v>88.649000000000001</v>
      </c>
      <c r="U41" s="112">
        <v>43.335999999999999</v>
      </c>
      <c r="V41" s="114">
        <f t="shared" si="37"/>
        <v>-24.923999999999999</v>
      </c>
      <c r="W41" s="112">
        <v>44.9</v>
      </c>
      <c r="X41" s="114">
        <f t="shared" si="38"/>
        <v>60.4</v>
      </c>
      <c r="Y41" s="112">
        <v>13.5</v>
      </c>
      <c r="Z41" s="114">
        <f t="shared" si="35"/>
        <v>103.3</v>
      </c>
      <c r="AA41" s="112">
        <v>54.3</v>
      </c>
      <c r="AB41" s="114">
        <f t="shared" si="36"/>
        <v>70.3</v>
      </c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233"/>
      <c r="AW41" s="233"/>
      <c r="AX41" s="233"/>
      <c r="AY41" s="233"/>
      <c r="AZ41" s="233"/>
      <c r="BA41" s="233"/>
      <c r="BB41" s="233"/>
      <c r="BC41" s="233"/>
      <c r="BD41" s="233"/>
    </row>
    <row r="42" spans="1:56" s="1" customFormat="1" ht="13.5" customHeight="1">
      <c r="A42" s="288"/>
      <c r="B42" s="1" t="s">
        <v>327</v>
      </c>
      <c r="C42" s="112"/>
      <c r="D42" s="112"/>
      <c r="E42" s="112">
        <v>23.728000000000002</v>
      </c>
      <c r="F42" s="112">
        <f>27.106+6.097</f>
        <v>33.203000000000003</v>
      </c>
      <c r="G42" s="112">
        <f>5.037+8.775</f>
        <v>13.812000000000001</v>
      </c>
      <c r="H42" s="112">
        <f>43.835-8.36-2.886</f>
        <v>32.588999999999999</v>
      </c>
      <c r="I42" s="112">
        <f>186.05+14.761-29.97</f>
        <v>170.84100000000001</v>
      </c>
      <c r="J42" s="112">
        <f>17.8+123.4+219</f>
        <v>360.20000000000005</v>
      </c>
      <c r="K42" s="112">
        <f>-4+121.8+57.3+31.2</f>
        <v>206.29999999999998</v>
      </c>
      <c r="L42" s="112">
        <f>-0.9+242.8+92.8+103.1</f>
        <v>437.79999999999995</v>
      </c>
      <c r="M42" s="154"/>
      <c r="N42" s="112"/>
      <c r="O42" s="112">
        <v>6.3019999999999996</v>
      </c>
      <c r="P42" s="114">
        <f>+F42-O42</f>
        <v>26.901000000000003</v>
      </c>
      <c r="Q42" s="112">
        <v>-3.8279999999999998</v>
      </c>
      <c r="R42" s="114">
        <f>+G42-Q42</f>
        <v>17.64</v>
      </c>
      <c r="S42" s="112">
        <v>4.1790000000000003</v>
      </c>
      <c r="T42" s="114">
        <f t="shared" si="34"/>
        <v>28.409999999999997</v>
      </c>
      <c r="U42" s="112">
        <f>22.09-39.269+52.938</f>
        <v>35.759</v>
      </c>
      <c r="V42" s="114">
        <f t="shared" si="37"/>
        <v>135.08199999999999</v>
      </c>
      <c r="W42" s="112">
        <f>9.7+22.2+94.8</f>
        <v>126.69999999999999</v>
      </c>
      <c r="X42" s="114">
        <f t="shared" si="38"/>
        <v>233.50000000000006</v>
      </c>
      <c r="Y42" s="112">
        <f>-6.6+37.1+55.4+7.9</f>
        <v>93.800000000000011</v>
      </c>
      <c r="Z42" s="114">
        <f t="shared" si="35"/>
        <v>112.49999999999997</v>
      </c>
      <c r="AA42" s="112">
        <f>-3.2+182+42.1+56.6</f>
        <v>277.5</v>
      </c>
      <c r="AB42" s="114">
        <f t="shared" si="36"/>
        <v>160.29999999999995</v>
      </c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233"/>
      <c r="AW42" s="233"/>
      <c r="AX42" s="233"/>
      <c r="AY42" s="233"/>
      <c r="AZ42" s="233"/>
      <c r="BA42" s="233"/>
      <c r="BB42" s="233"/>
      <c r="BC42" s="233"/>
      <c r="BD42" s="233"/>
    </row>
    <row r="43" spans="1:56" s="1" customFormat="1" ht="13.5" customHeight="1">
      <c r="A43" s="288"/>
      <c r="B43" s="1" t="s">
        <v>328</v>
      </c>
      <c r="C43" s="112"/>
      <c r="D43" s="112"/>
      <c r="E43" s="112"/>
      <c r="F43" s="112"/>
      <c r="G43" s="112"/>
      <c r="H43" s="112">
        <v>0</v>
      </c>
      <c r="I43" s="112">
        <v>0</v>
      </c>
      <c r="J43" s="112">
        <v>0</v>
      </c>
      <c r="K43" s="112">
        <v>0</v>
      </c>
      <c r="L43" s="112">
        <v>0</v>
      </c>
      <c r="M43" s="154"/>
      <c r="N43" s="112"/>
      <c r="O43" s="112"/>
      <c r="P43" s="114"/>
      <c r="Q43" s="112"/>
      <c r="R43" s="114"/>
      <c r="S43" s="112">
        <v>0</v>
      </c>
      <c r="T43" s="114">
        <f t="shared" si="34"/>
        <v>0</v>
      </c>
      <c r="U43" s="112">
        <v>0</v>
      </c>
      <c r="V43" s="114">
        <f t="shared" si="37"/>
        <v>0</v>
      </c>
      <c r="W43" s="112"/>
      <c r="X43" s="114">
        <f t="shared" si="38"/>
        <v>0</v>
      </c>
      <c r="Y43" s="114"/>
      <c r="Z43" s="114">
        <f t="shared" si="35"/>
        <v>0</v>
      </c>
      <c r="AA43" s="114"/>
      <c r="AB43" s="114">
        <f t="shared" si="36"/>
        <v>0</v>
      </c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233"/>
      <c r="AW43" s="233"/>
      <c r="AX43" s="233"/>
      <c r="AY43" s="233"/>
      <c r="AZ43" s="233"/>
      <c r="BA43" s="233"/>
      <c r="BB43" s="233"/>
      <c r="BC43" s="233"/>
      <c r="BD43" s="233"/>
    </row>
    <row r="44" spans="1:56" s="5" customFormat="1" ht="13.5" customHeight="1">
      <c r="B44" s="5" t="s">
        <v>329</v>
      </c>
      <c r="C44" s="113">
        <f>+SUM(C38:C42)</f>
        <v>0</v>
      </c>
      <c r="D44" s="113">
        <f>+SUM(D38:D42)</f>
        <v>0</v>
      </c>
      <c r="E44" s="113">
        <f>+SUM(E38:E42)</f>
        <v>238.018</v>
      </c>
      <c r="F44" s="113">
        <f>+SUM(F38:F42)</f>
        <v>406.77499999999998</v>
      </c>
      <c r="G44" s="113">
        <f>+SUM(G38:G42)</f>
        <v>152.16200000000001</v>
      </c>
      <c r="H44" s="113">
        <f t="shared" ref="H44:M44" si="39">+SUM(H38:H43)</f>
        <v>1100.5709999999999</v>
      </c>
      <c r="I44" s="113">
        <f t="shared" si="39"/>
        <v>697.29700000000003</v>
      </c>
      <c r="J44" s="113">
        <f t="shared" si="39"/>
        <v>878.69999999999993</v>
      </c>
      <c r="K44" s="113">
        <f t="shared" si="39"/>
        <v>941.49999999999989</v>
      </c>
      <c r="L44" s="113">
        <f t="shared" si="39"/>
        <v>1139.9000000000001</v>
      </c>
      <c r="M44" s="113">
        <f t="shared" si="39"/>
        <v>0</v>
      </c>
      <c r="N44" s="113"/>
      <c r="O44" s="113">
        <f>+SUM(O38:O42)</f>
        <v>145.24299999999999</v>
      </c>
      <c r="P44" s="113">
        <f>+SUM(P38:P42)</f>
        <v>261.53200000000004</v>
      </c>
      <c r="Q44" s="113">
        <f>+SUM(Q38:Q42)</f>
        <v>29.960000000000004</v>
      </c>
      <c r="R44" s="113">
        <f>+SUM(R38:R42)</f>
        <v>122.202</v>
      </c>
      <c r="S44" s="113">
        <f t="shared" ref="S44:AA44" si="40">+SUM(S38:S43)</f>
        <v>145.74300000000002</v>
      </c>
      <c r="T44" s="113">
        <f t="shared" si="40"/>
        <v>954.82799999999997</v>
      </c>
      <c r="U44" s="113">
        <f t="shared" si="40"/>
        <v>499.01599999999996</v>
      </c>
      <c r="V44" s="113">
        <f t="shared" si="40"/>
        <v>198.28100000000001</v>
      </c>
      <c r="W44" s="113">
        <f t="shared" si="40"/>
        <v>417.2</v>
      </c>
      <c r="X44" s="113">
        <f t="shared" si="40"/>
        <v>461.50000000000006</v>
      </c>
      <c r="Y44" s="113">
        <f t="shared" si="40"/>
        <v>436.6</v>
      </c>
      <c r="Z44" s="113">
        <f t="shared" si="40"/>
        <v>504.9</v>
      </c>
      <c r="AA44" s="113">
        <f t="shared" si="40"/>
        <v>598</v>
      </c>
      <c r="AB44" s="113">
        <f t="shared" ref="AB44" si="41">+SUM(AB38:AB43)</f>
        <v>541.90000000000009</v>
      </c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233"/>
      <c r="AW44" s="233"/>
      <c r="AX44" s="233"/>
      <c r="AY44" s="233"/>
      <c r="AZ44" s="233"/>
      <c r="BA44" s="233"/>
      <c r="BB44" s="233"/>
      <c r="BC44" s="233"/>
      <c r="BD44" s="233"/>
    </row>
    <row r="45" spans="1:56" s="278" customFormat="1" ht="13.5" customHeight="1">
      <c r="B45" s="278" t="s">
        <v>330</v>
      </c>
      <c r="C45" s="289"/>
      <c r="D45" s="289"/>
      <c r="E45" s="290">
        <f>+E44-Model!E22</f>
        <v>1.0000000000047748E-3</v>
      </c>
      <c r="F45" s="290">
        <f>+F44-Model!F22</f>
        <v>0</v>
      </c>
      <c r="G45" s="290">
        <f>+G44-Model!G22</f>
        <v>0</v>
      </c>
      <c r="H45" s="290">
        <f>+H44-Model!H22</f>
        <v>0</v>
      </c>
      <c r="I45" s="290">
        <f>+I44-Model!J22</f>
        <v>-2.9999999999290594E-3</v>
      </c>
      <c r="J45" s="289">
        <f>+J44-Model!K22</f>
        <v>0</v>
      </c>
      <c r="K45" s="289">
        <f>+K44-Model!M22</f>
        <v>0</v>
      </c>
      <c r="L45" s="289">
        <f>+L44-Model!N22</f>
        <v>0</v>
      </c>
      <c r="M45" s="289">
        <f>+M44-Model!O22</f>
        <v>-1147.8000000000002</v>
      </c>
      <c r="N45" s="289"/>
      <c r="O45" s="289">
        <f>+O44-Model!Q22</f>
        <v>0</v>
      </c>
      <c r="P45" s="289">
        <f>+P44-Model!R22</f>
        <v>0</v>
      </c>
      <c r="Q45" s="289">
        <f>+Q44-Model!S22</f>
        <v>0</v>
      </c>
      <c r="R45" s="289">
        <f>+R44-Model!T22</f>
        <v>0</v>
      </c>
      <c r="S45" s="289">
        <f>+S44-Model!U22</f>
        <v>0</v>
      </c>
      <c r="T45" s="289">
        <f>+T44-Model!V22</f>
        <v>0</v>
      </c>
      <c r="U45" s="289">
        <f>+U44-Model!W22</f>
        <v>0</v>
      </c>
      <c r="V45" s="289">
        <f>+V44-Model!X22</f>
        <v>-26.283000000000015</v>
      </c>
      <c r="W45" s="289">
        <f>+W44-Model!Y22</f>
        <v>0</v>
      </c>
      <c r="X45" s="289">
        <f>+X44-Model!Z22</f>
        <v>0</v>
      </c>
      <c r="Y45" s="289">
        <f>+Y44-Model!AA22</f>
        <v>-9.9999999999965894E-2</v>
      </c>
      <c r="Z45" s="289">
        <f>+Z44-Model!AB22</f>
        <v>9.9999999999965894E-2</v>
      </c>
      <c r="AA45" s="289">
        <f>+AA44-Model!AC22</f>
        <v>0.10000000000002274</v>
      </c>
      <c r="AB45" s="289">
        <f>+AB44-Model!AD22</f>
        <v>-0.10000000000002274</v>
      </c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Y45" s="289"/>
      <c r="AZ45" s="289"/>
      <c r="BA45" s="289"/>
      <c r="BC45" s="289"/>
      <c r="BD45" s="289"/>
    </row>
    <row r="46" spans="1:56" s="5" customFormat="1" ht="13.5" customHeight="1"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H46" s="113"/>
      <c r="AJ46" s="113"/>
      <c r="AK46" s="113"/>
      <c r="AL46" s="113"/>
      <c r="AO46" s="113"/>
      <c r="AP46" s="113"/>
      <c r="AS46" s="113"/>
      <c r="AT46" s="113"/>
      <c r="AW46" s="113"/>
      <c r="BA46" s="113"/>
    </row>
    <row r="47" spans="1:56" s="5" customFormat="1" ht="13.5" customHeight="1">
      <c r="B47" s="5" t="s">
        <v>334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H47" s="113"/>
      <c r="AJ47" s="113"/>
      <c r="AK47" s="113"/>
      <c r="AL47" s="113"/>
      <c r="AO47" s="113"/>
      <c r="AP47" s="113"/>
      <c r="AS47" s="113"/>
      <c r="AT47" s="113"/>
      <c r="AW47" s="113"/>
      <c r="BA47" s="113"/>
    </row>
    <row r="48" spans="1:56" s="1" customFormat="1" ht="13.5" customHeight="1">
      <c r="A48" s="288"/>
      <c r="B48" s="1" t="s">
        <v>95</v>
      </c>
      <c r="C48" s="117"/>
      <c r="D48" s="117"/>
      <c r="E48" s="117">
        <f t="shared" ref="E48:M48" si="42">+E38/E$44</f>
        <v>0.64441344772244114</v>
      </c>
      <c r="F48" s="117">
        <f t="shared" si="42"/>
        <v>0.63421547538565548</v>
      </c>
      <c r="G48" s="117">
        <f t="shared" si="42"/>
        <v>0.41125248090850536</v>
      </c>
      <c r="H48" s="117">
        <f t="shared" si="42"/>
        <v>0.66687474047562589</v>
      </c>
      <c r="I48" s="117">
        <f t="shared" si="42"/>
        <v>0.56557248919757286</v>
      </c>
      <c r="J48" s="117">
        <f t="shared" si="42"/>
        <v>0.29611926709912373</v>
      </c>
      <c r="K48" s="117">
        <f t="shared" si="42"/>
        <v>0.36186935740839088</v>
      </c>
      <c r="L48" s="117">
        <f t="shared" si="42"/>
        <v>0.26107553294148611</v>
      </c>
      <c r="M48" s="117" t="e">
        <f t="shared" si="42"/>
        <v>#DIV/0!</v>
      </c>
      <c r="N48" s="118"/>
      <c r="O48" s="117">
        <f t="shared" ref="O48:AB48" si="43">+O38/O$44</f>
        <v>0.4808424502385657</v>
      </c>
      <c r="P48" s="117">
        <f t="shared" si="43"/>
        <v>0.71939189085847999</v>
      </c>
      <c r="Q48" s="117">
        <f t="shared" si="43"/>
        <v>-0.2119492656875834</v>
      </c>
      <c r="R48" s="117">
        <f t="shared" si="43"/>
        <v>0.56404150504901718</v>
      </c>
      <c r="S48" s="117">
        <f t="shared" si="43"/>
        <v>0.51435746485251421</v>
      </c>
      <c r="T48" s="117">
        <f t="shared" si="43"/>
        <v>0.69015466659963898</v>
      </c>
      <c r="U48" s="117">
        <f t="shared" si="43"/>
        <v>0.68508424579572602</v>
      </c>
      <c r="V48" s="117">
        <f t="shared" si="43"/>
        <v>0.26479592094048354</v>
      </c>
      <c r="W48" s="117">
        <f t="shared" si="43"/>
        <v>0.288830297219559</v>
      </c>
      <c r="X48" s="117">
        <f t="shared" si="43"/>
        <v>0.30270855904658717</v>
      </c>
      <c r="Y48" s="117">
        <f t="shared" si="43"/>
        <v>0.51488776912505729</v>
      </c>
      <c r="Z48" s="117">
        <f t="shared" si="43"/>
        <v>0.22955040602099422</v>
      </c>
      <c r="AA48" s="117">
        <f t="shared" si="43"/>
        <v>0.27892976588628765</v>
      </c>
      <c r="AB48" s="117">
        <f t="shared" si="43"/>
        <v>0.24137294703819892</v>
      </c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233"/>
      <c r="AW48" s="233"/>
      <c r="AX48" s="233"/>
      <c r="AY48" s="233"/>
      <c r="AZ48" s="233"/>
      <c r="BA48" s="233"/>
      <c r="BB48" s="233"/>
      <c r="BC48" s="233"/>
      <c r="BD48" s="233"/>
    </row>
    <row r="49" spans="1:56" s="1" customFormat="1" ht="13.5" customHeight="1">
      <c r="A49" s="288"/>
      <c r="B49" s="1" t="s">
        <v>96</v>
      </c>
      <c r="C49" s="117"/>
      <c r="D49" s="117"/>
      <c r="E49" s="117">
        <f t="shared" ref="E49:M49" si="44">+E39/E$44</f>
        <v>0.16977707568335165</v>
      </c>
      <c r="F49" s="117">
        <f t="shared" si="44"/>
        <v>0.16486755577407658</v>
      </c>
      <c r="G49" s="117">
        <f t="shared" si="44"/>
        <v>0.14905824055940378</v>
      </c>
      <c r="H49" s="117">
        <f t="shared" si="44"/>
        <v>0.10036426545856651</v>
      </c>
      <c r="I49" s="117">
        <f t="shared" si="44"/>
        <v>9.6426630259416002E-2</v>
      </c>
      <c r="J49" s="117">
        <f t="shared" si="44"/>
        <v>0.17025150790941163</v>
      </c>
      <c r="K49" s="117">
        <f t="shared" si="44"/>
        <v>0.22071163037705793</v>
      </c>
      <c r="L49" s="117">
        <f t="shared" si="44"/>
        <v>0.19852618650758838</v>
      </c>
      <c r="M49" s="117" t="e">
        <f t="shared" si="44"/>
        <v>#DIV/0!</v>
      </c>
      <c r="N49" s="118"/>
      <c r="O49" s="117">
        <f t="shared" ref="O49:AB49" si="45">+O39/O$44</f>
        <v>0.32144062020200631</v>
      </c>
      <c r="P49" s="117">
        <f t="shared" si="45"/>
        <v>7.7913983757245744E-2</v>
      </c>
      <c r="Q49" s="117">
        <f t="shared" si="45"/>
        <v>0.69162216288384504</v>
      </c>
      <c r="R49" s="117">
        <f t="shared" si="45"/>
        <v>1.6039017364691256E-2</v>
      </c>
      <c r="S49" s="117">
        <f t="shared" si="45"/>
        <v>9.1421200332091404E-2</v>
      </c>
      <c r="T49" s="117">
        <f t="shared" si="45"/>
        <v>0.10172931669368725</v>
      </c>
      <c r="U49" s="117">
        <f t="shared" si="45"/>
        <v>8.9712554306875941E-2</v>
      </c>
      <c r="V49" s="117">
        <f t="shared" si="45"/>
        <v>0.11332401995148299</v>
      </c>
      <c r="W49" s="117">
        <f t="shared" si="45"/>
        <v>0.25527325023969322</v>
      </c>
      <c r="X49" s="117">
        <f t="shared" si="45"/>
        <v>9.3391115926327165E-2</v>
      </c>
      <c r="Y49" s="117">
        <f t="shared" si="45"/>
        <v>0.22858451672010993</v>
      </c>
      <c r="Z49" s="117">
        <f t="shared" si="45"/>
        <v>0.21390374331550807</v>
      </c>
      <c r="AA49" s="117">
        <f t="shared" si="45"/>
        <v>0.11521739130434784</v>
      </c>
      <c r="AB49" s="117">
        <f t="shared" si="45"/>
        <v>0.29045949437165525</v>
      </c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233"/>
      <c r="AW49" s="233"/>
      <c r="AX49" s="233"/>
      <c r="AY49" s="233"/>
      <c r="AZ49" s="233"/>
      <c r="BA49" s="233"/>
      <c r="BB49" s="233"/>
      <c r="BC49" s="233"/>
      <c r="BD49" s="233"/>
    </row>
    <row r="50" spans="1:56" s="1" customFormat="1" ht="13.5" customHeight="1">
      <c r="A50" s="288"/>
      <c r="B50" s="1" t="s">
        <v>97</v>
      </c>
      <c r="C50" s="117"/>
      <c r="D50" s="117"/>
      <c r="E50" s="117">
        <f t="shared" ref="E50:M50" si="46">+E40/E$44</f>
        <v>8.61195371778605E-2</v>
      </c>
      <c r="F50" s="117">
        <f t="shared" si="46"/>
        <v>0.11929199188740705</v>
      </c>
      <c r="G50" s="117">
        <f t="shared" si="46"/>
        <v>0.34891760097790508</v>
      </c>
      <c r="H50" s="117">
        <f t="shared" si="46"/>
        <v>0.11204184009936662</v>
      </c>
      <c r="I50" s="117">
        <f t="shared" si="46"/>
        <v>6.6591423740529496E-2</v>
      </c>
      <c r="J50" s="117">
        <f t="shared" si="46"/>
        <v>3.869352452486628E-3</v>
      </c>
      <c r="K50" s="117">
        <f t="shared" si="46"/>
        <v>7.4243228890069055E-2</v>
      </c>
      <c r="L50" s="117">
        <f t="shared" si="46"/>
        <v>4.7021668567418191E-2</v>
      </c>
      <c r="M50" s="117" t="e">
        <f t="shared" si="46"/>
        <v>#DIV/0!</v>
      </c>
      <c r="N50" s="118"/>
      <c r="O50" s="117">
        <f t="shared" ref="O50:AB50" si="47">+O40/O$44</f>
        <v>0.15432757516713369</v>
      </c>
      <c r="P50" s="117">
        <f t="shared" si="47"/>
        <v>9.983481944848048E-2</v>
      </c>
      <c r="Q50" s="117">
        <f t="shared" si="47"/>
        <v>0.64809746328437912</v>
      </c>
      <c r="R50" s="117">
        <f t="shared" si="47"/>
        <v>0.27556832130407027</v>
      </c>
      <c r="S50" s="117">
        <f t="shared" si="47"/>
        <v>0.28580446402228576</v>
      </c>
      <c r="T50" s="117">
        <f t="shared" si="47"/>
        <v>8.5519067308457652E-2</v>
      </c>
      <c r="U50" s="117">
        <f t="shared" si="47"/>
        <v>6.6701268095612165E-2</v>
      </c>
      <c r="V50" s="117">
        <f t="shared" si="47"/>
        <v>6.6314977229285713E-2</v>
      </c>
      <c r="W50" s="117">
        <f t="shared" si="47"/>
        <v>4.4582933844678818E-2</v>
      </c>
      <c r="X50" s="117">
        <f t="shared" si="47"/>
        <v>-3.2936078006500537E-2</v>
      </c>
      <c r="Y50" s="117">
        <f t="shared" si="47"/>
        <v>1.0765002290426019E-2</v>
      </c>
      <c r="Z50" s="117">
        <f t="shared" si="47"/>
        <v>0.12913448207565856</v>
      </c>
      <c r="AA50" s="117">
        <f t="shared" si="47"/>
        <v>5.1003344481605352E-2</v>
      </c>
      <c r="AB50" s="117">
        <f t="shared" si="47"/>
        <v>4.2627791105369989E-2</v>
      </c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233"/>
      <c r="AW50" s="233"/>
      <c r="AX50" s="233"/>
      <c r="AY50" s="233"/>
      <c r="AZ50" s="233"/>
      <c r="BA50" s="233"/>
      <c r="BB50" s="233"/>
      <c r="BC50" s="233"/>
      <c r="BD50" s="233"/>
    </row>
    <row r="51" spans="1:56" s="1" customFormat="1" ht="13.5" customHeight="1">
      <c r="A51" s="288"/>
      <c r="B51" s="1" t="s">
        <v>326</v>
      </c>
      <c r="C51" s="117"/>
      <c r="D51" s="117"/>
      <c r="E51" s="117"/>
      <c r="F51" s="117"/>
      <c r="G51" s="117"/>
      <c r="H51" s="117">
        <f t="shared" ref="H51:M53" si="48">+H41/H$44</f>
        <v>9.1108161127269396E-2</v>
      </c>
      <c r="I51" s="117">
        <f t="shared" si="48"/>
        <v>2.6404817459418296E-2</v>
      </c>
      <c r="J51" s="117">
        <f t="shared" si="48"/>
        <v>0.1198361215431888</v>
      </c>
      <c r="K51" s="117">
        <f t="shared" si="48"/>
        <v>0.1240573552841211</v>
      </c>
      <c r="L51" s="117">
        <f t="shared" si="48"/>
        <v>0.1093078340205281</v>
      </c>
      <c r="M51" s="117" t="e">
        <f t="shared" si="48"/>
        <v>#DIV/0!</v>
      </c>
      <c r="N51" s="118"/>
      <c r="O51" s="117"/>
      <c r="P51" s="117"/>
      <c r="Q51" s="117"/>
      <c r="R51" s="117"/>
      <c r="S51" s="117">
        <f t="shared" ref="S51:AB51" si="49">+S41/S$44</f>
        <v>7.9743109446079735E-2</v>
      </c>
      <c r="T51" s="117">
        <f t="shared" si="49"/>
        <v>9.2842899454142536E-2</v>
      </c>
      <c r="U51" s="117">
        <f t="shared" si="49"/>
        <v>8.6842906840662426E-2</v>
      </c>
      <c r="V51" s="117">
        <f t="shared" si="49"/>
        <v>-0.12570039489411491</v>
      </c>
      <c r="W51" s="117">
        <f t="shared" si="49"/>
        <v>0.1076222435282838</v>
      </c>
      <c r="X51" s="117">
        <f t="shared" si="49"/>
        <v>0.13087757313109424</v>
      </c>
      <c r="Y51" s="117">
        <f t="shared" si="49"/>
        <v>3.092075125973431E-2</v>
      </c>
      <c r="Z51" s="117">
        <f t="shared" si="49"/>
        <v>0.20459496930085166</v>
      </c>
      <c r="AA51" s="117">
        <f t="shared" si="49"/>
        <v>9.0802675585284279E-2</v>
      </c>
      <c r="AB51" s="117">
        <f t="shared" si="49"/>
        <v>0.12972873223842035</v>
      </c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233"/>
      <c r="AW51" s="233"/>
      <c r="AX51" s="233"/>
      <c r="AY51" s="233"/>
      <c r="AZ51" s="233"/>
      <c r="BA51" s="233"/>
      <c r="BB51" s="233"/>
      <c r="BC51" s="233"/>
      <c r="BD51" s="233"/>
    </row>
    <row r="52" spans="1:56" s="1" customFormat="1" ht="13.5" customHeight="1">
      <c r="A52" s="288"/>
      <c r="B52" s="1" t="s">
        <v>327</v>
      </c>
      <c r="C52" s="117"/>
      <c r="D52" s="117"/>
      <c r="E52" s="117">
        <f>+E42/E$44</f>
        <v>9.9689939416346671E-2</v>
      </c>
      <c r="F52" s="117">
        <f>+F42/F$44</f>
        <v>8.1624976952860931E-2</v>
      </c>
      <c r="G52" s="117">
        <f>+G42/G$44</f>
        <v>9.0771677554185679E-2</v>
      </c>
      <c r="H52" s="117">
        <f t="shared" si="48"/>
        <v>2.9610992839171669E-2</v>
      </c>
      <c r="I52" s="117">
        <f t="shared" si="48"/>
        <v>0.2450046393430633</v>
      </c>
      <c r="J52" s="117">
        <f t="shared" si="48"/>
        <v>0.40992375099578932</v>
      </c>
      <c r="K52" s="117">
        <f t="shared" si="48"/>
        <v>0.21911842804036114</v>
      </c>
      <c r="L52" s="117">
        <f t="shared" si="48"/>
        <v>0.38406877796297911</v>
      </c>
      <c r="M52" s="117" t="e">
        <f t="shared" si="48"/>
        <v>#DIV/0!</v>
      </c>
      <c r="N52" s="118"/>
      <c r="O52" s="117">
        <f>+O42/O$44</f>
        <v>4.3389354392294292E-2</v>
      </c>
      <c r="P52" s="117">
        <f>+P42/P$44</f>
        <v>0.1028593059357937</v>
      </c>
      <c r="Q52" s="117">
        <f>+Q42/Q$44</f>
        <v>-0.12777036048064083</v>
      </c>
      <c r="R52" s="117">
        <f>+R42/R$44</f>
        <v>0.14435115628222125</v>
      </c>
      <c r="S52" s="117">
        <f t="shared" ref="S52:AB52" si="50">+S42/S$44</f>
        <v>2.8673761347028672E-2</v>
      </c>
      <c r="T52" s="117">
        <f t="shared" si="50"/>
        <v>2.9754049944073695E-2</v>
      </c>
      <c r="U52" s="117">
        <f t="shared" si="50"/>
        <v>7.1659024961123502E-2</v>
      </c>
      <c r="V52" s="117">
        <f t="shared" si="50"/>
        <v>0.68126547677286275</v>
      </c>
      <c r="W52" s="117">
        <f t="shared" si="50"/>
        <v>0.30369127516778521</v>
      </c>
      <c r="X52" s="117">
        <f t="shared" si="50"/>
        <v>0.50595882990249197</v>
      </c>
      <c r="Y52" s="117">
        <f t="shared" si="50"/>
        <v>0.21484196060467248</v>
      </c>
      <c r="Z52" s="117">
        <f t="shared" si="50"/>
        <v>0.22281639928698749</v>
      </c>
      <c r="AA52" s="117">
        <f t="shared" si="50"/>
        <v>0.46404682274247494</v>
      </c>
      <c r="AB52" s="117">
        <f t="shared" si="50"/>
        <v>0.29581103524635527</v>
      </c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233"/>
      <c r="AW52" s="233"/>
      <c r="AX52" s="233"/>
      <c r="AY52" s="233"/>
      <c r="AZ52" s="233"/>
      <c r="BA52" s="233"/>
      <c r="BB52" s="233"/>
      <c r="BC52" s="233"/>
      <c r="BD52" s="233"/>
    </row>
    <row r="53" spans="1:56" s="1" customFormat="1" ht="13.5" customHeight="1">
      <c r="A53" s="288"/>
      <c r="B53" s="1" t="s">
        <v>328</v>
      </c>
      <c r="C53" s="117"/>
      <c r="D53" s="117"/>
      <c r="E53" s="117"/>
      <c r="F53" s="117"/>
      <c r="G53" s="117"/>
      <c r="H53" s="117">
        <f t="shared" si="48"/>
        <v>0</v>
      </c>
      <c r="I53" s="117">
        <f t="shared" si="48"/>
        <v>0</v>
      </c>
      <c r="J53" s="117">
        <f t="shared" si="48"/>
        <v>0</v>
      </c>
      <c r="K53" s="117">
        <f t="shared" si="48"/>
        <v>0</v>
      </c>
      <c r="L53" s="117">
        <f t="shared" si="48"/>
        <v>0</v>
      </c>
      <c r="M53" s="117" t="e">
        <f t="shared" si="48"/>
        <v>#DIV/0!</v>
      </c>
      <c r="N53" s="118"/>
      <c r="O53" s="117"/>
      <c r="P53" s="117"/>
      <c r="Q53" s="117"/>
      <c r="R53" s="117"/>
      <c r="S53" s="117">
        <f t="shared" ref="S53:AB53" si="51">+S43/S$44</f>
        <v>0</v>
      </c>
      <c r="T53" s="117">
        <f t="shared" si="51"/>
        <v>0</v>
      </c>
      <c r="U53" s="117">
        <f t="shared" si="51"/>
        <v>0</v>
      </c>
      <c r="V53" s="117">
        <f t="shared" si="51"/>
        <v>0</v>
      </c>
      <c r="W53" s="117">
        <f t="shared" si="51"/>
        <v>0</v>
      </c>
      <c r="X53" s="117">
        <f t="shared" si="51"/>
        <v>0</v>
      </c>
      <c r="Y53" s="117">
        <f t="shared" si="51"/>
        <v>0</v>
      </c>
      <c r="Z53" s="117">
        <f t="shared" si="51"/>
        <v>0</v>
      </c>
      <c r="AA53" s="117">
        <f t="shared" si="51"/>
        <v>0</v>
      </c>
      <c r="AB53" s="117">
        <f t="shared" si="51"/>
        <v>0</v>
      </c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233"/>
      <c r="AW53" s="233"/>
      <c r="AX53" s="233"/>
      <c r="AY53" s="233"/>
      <c r="AZ53" s="233"/>
      <c r="BA53" s="233"/>
      <c r="BB53" s="233"/>
      <c r="BC53" s="233"/>
      <c r="BD53" s="233"/>
    </row>
    <row r="54" spans="1:56" s="5" customFormat="1" ht="13.5" customHeight="1">
      <c r="A54" s="8"/>
      <c r="B54" s="5" t="s">
        <v>329</v>
      </c>
      <c r="C54" s="120"/>
      <c r="D54" s="120"/>
      <c r="E54" s="120">
        <f>+SUM(E48:E52)</f>
        <v>0.99999999999999989</v>
      </c>
      <c r="F54" s="120">
        <f>+SUM(F48:F52)</f>
        <v>1</v>
      </c>
      <c r="G54" s="120">
        <f>+SUM(G48:G52)</f>
        <v>0.99999999999999989</v>
      </c>
      <c r="H54" s="120">
        <f t="shared" ref="H54:M54" si="52">+SUM(H48:H53)</f>
        <v>1</v>
      </c>
      <c r="I54" s="120">
        <f t="shared" si="52"/>
        <v>0.99999999999999989</v>
      </c>
      <c r="J54" s="120">
        <f t="shared" si="52"/>
        <v>1.0000000000000002</v>
      </c>
      <c r="K54" s="120">
        <f t="shared" si="52"/>
        <v>1.0000000000000002</v>
      </c>
      <c r="L54" s="120">
        <f t="shared" si="52"/>
        <v>0.99999999999999989</v>
      </c>
      <c r="M54" s="120" t="e">
        <f t="shared" si="52"/>
        <v>#DIV/0!</v>
      </c>
      <c r="N54" s="119"/>
      <c r="O54" s="120">
        <f>+SUM(O48:O52)</f>
        <v>1</v>
      </c>
      <c r="P54" s="120">
        <f>+SUM(P48:P52)</f>
        <v>1</v>
      </c>
      <c r="Q54" s="120">
        <f>+SUM(Q48:Q52)</f>
        <v>1</v>
      </c>
      <c r="R54" s="120">
        <f>+SUM(R48:R52)</f>
        <v>1</v>
      </c>
      <c r="S54" s="120">
        <f t="shared" ref="S54:AA54" si="53">+SUM(S48:S53)</f>
        <v>0.99999999999999989</v>
      </c>
      <c r="T54" s="120">
        <f t="shared" si="53"/>
        <v>1</v>
      </c>
      <c r="U54" s="120">
        <f t="shared" si="53"/>
        <v>1</v>
      </c>
      <c r="V54" s="120">
        <f t="shared" si="53"/>
        <v>1</v>
      </c>
      <c r="W54" s="120">
        <f t="shared" si="53"/>
        <v>1</v>
      </c>
      <c r="X54" s="120">
        <f t="shared" si="53"/>
        <v>1</v>
      </c>
      <c r="Y54" s="120">
        <f t="shared" si="53"/>
        <v>1</v>
      </c>
      <c r="Z54" s="120">
        <f t="shared" si="53"/>
        <v>1</v>
      </c>
      <c r="AA54" s="120">
        <f t="shared" si="53"/>
        <v>1</v>
      </c>
      <c r="AB54" s="120">
        <f t="shared" ref="AB54" si="54">+SUM(AB48:AB53)</f>
        <v>0.99999999999999978</v>
      </c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233"/>
      <c r="AW54" s="233"/>
      <c r="AX54" s="233"/>
      <c r="AY54" s="233"/>
      <c r="AZ54" s="233"/>
      <c r="BA54" s="233"/>
      <c r="BB54" s="233"/>
      <c r="BC54" s="233"/>
      <c r="BD54" s="233"/>
    </row>
    <row r="55" spans="1:56" s="5" customFormat="1" ht="13.5" customHeight="1">
      <c r="A55" s="8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19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233"/>
      <c r="AW55" s="233"/>
      <c r="AX55" s="233"/>
      <c r="AY55" s="233"/>
      <c r="AZ55" s="233"/>
      <c r="BA55" s="233"/>
      <c r="BB55" s="233"/>
      <c r="BC55" s="233"/>
      <c r="BD55" s="233"/>
    </row>
    <row r="56" spans="1:56" s="5" customFormat="1" ht="13.5" customHeight="1">
      <c r="A56" s="8"/>
      <c r="B56" s="5" t="s">
        <v>335</v>
      </c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19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233"/>
      <c r="AW56" s="233"/>
      <c r="AX56" s="233"/>
      <c r="AY56" s="233"/>
      <c r="AZ56" s="233"/>
      <c r="BA56" s="233"/>
      <c r="BB56" s="233"/>
      <c r="BC56" s="233"/>
      <c r="BD56" s="233"/>
    </row>
    <row r="57" spans="1:56" s="5" customFormat="1" ht="13.5" customHeight="1">
      <c r="A57" s="8"/>
      <c r="B57" s="1" t="s">
        <v>95</v>
      </c>
      <c r="C57" s="120"/>
      <c r="D57" s="120"/>
      <c r="E57" s="229"/>
      <c r="F57" s="117">
        <f>F38/E38-1</f>
        <v>0.68196398534378222</v>
      </c>
      <c r="G57" s="117">
        <f t="shared" ref="G57:L57" si="55">G38/F38-1</f>
        <v>-0.75743750557207257</v>
      </c>
      <c r="H57" s="117">
        <f t="shared" si="55"/>
        <v>10.728638317592726</v>
      </c>
      <c r="I57" s="117">
        <f t="shared" si="55"/>
        <v>-0.46266671935014025</v>
      </c>
      <c r="J57" s="117">
        <f t="shared" si="55"/>
        <v>-0.3402168510949054</v>
      </c>
      <c r="K57" s="117">
        <f t="shared" si="55"/>
        <v>0.30937740199846275</v>
      </c>
      <c r="L57" s="117">
        <f t="shared" si="55"/>
        <v>-0.12650425594364534</v>
      </c>
      <c r="M57" s="229"/>
      <c r="N57" s="119"/>
      <c r="O57" s="229"/>
      <c r="P57" s="229"/>
      <c r="Q57" s="117">
        <f>Q38/O38-1</f>
        <v>-1.0909234095562652</v>
      </c>
      <c r="R57" s="117">
        <f t="shared" ref="R57:AB63" si="56">R38/P38-1</f>
        <v>-0.63364763160132664</v>
      </c>
      <c r="S57" s="117">
        <f t="shared" si="56"/>
        <v>-12.805354330708662</v>
      </c>
      <c r="T57" s="117">
        <f t="shared" si="56"/>
        <v>8.560535058830359</v>
      </c>
      <c r="U57" s="117">
        <f t="shared" si="56"/>
        <v>3.5604290059228427</v>
      </c>
      <c r="V57" s="117">
        <f t="shared" si="56"/>
        <v>-0.9203252303942917</v>
      </c>
      <c r="W57" s="117">
        <f t="shared" si="56"/>
        <v>-0.6475247756444007</v>
      </c>
      <c r="X57" s="117">
        <f t="shared" si="56"/>
        <v>1.6607496571689766</v>
      </c>
      <c r="Y57" s="117">
        <f t="shared" si="56"/>
        <v>0.86556016597510377</v>
      </c>
      <c r="Z57" s="117">
        <f t="shared" si="56"/>
        <v>-0.17036506800286333</v>
      </c>
      <c r="AA57" s="117">
        <f t="shared" si="56"/>
        <v>-0.25800711743772242</v>
      </c>
      <c r="AB57" s="117">
        <f t="shared" si="56"/>
        <v>0.12855910267471993</v>
      </c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233"/>
      <c r="AW57" s="233"/>
      <c r="AX57" s="233"/>
      <c r="AY57" s="233"/>
      <c r="AZ57" s="233"/>
      <c r="BA57" s="233"/>
      <c r="BB57" s="233"/>
      <c r="BC57" s="233"/>
      <c r="BD57" s="233"/>
    </row>
    <row r="58" spans="1:56" s="5" customFormat="1" ht="13.5" customHeight="1">
      <c r="A58" s="8"/>
      <c r="B58" s="1" t="s">
        <v>96</v>
      </c>
      <c r="C58" s="120"/>
      <c r="D58" s="120"/>
      <c r="E58" s="229"/>
      <c r="F58" s="117">
        <f t="shared" ref="F58:L63" si="57">F39/E39-1</f>
        <v>0.65958921059143782</v>
      </c>
      <c r="G58" s="117">
        <f t="shared" si="57"/>
        <v>-0.66180066801860904</v>
      </c>
      <c r="H58" s="117">
        <f t="shared" si="57"/>
        <v>3.8700674573431506</v>
      </c>
      <c r="I58" s="117">
        <f t="shared" si="57"/>
        <v>-0.39127994350793971</v>
      </c>
      <c r="J58" s="117">
        <f t="shared" si="57"/>
        <v>1.2249323299324786</v>
      </c>
      <c r="K58" s="117">
        <f t="shared" si="57"/>
        <v>0.38903743315508033</v>
      </c>
      <c r="L58" s="117">
        <f t="shared" si="57"/>
        <v>8.9027911453320563E-2</v>
      </c>
      <c r="M58" s="229"/>
      <c r="N58" s="119"/>
      <c r="O58" s="229"/>
      <c r="P58" s="229"/>
      <c r="Q58" s="117">
        <f t="shared" ref="Q58:Q63" si="58">Q39/O39-1</f>
        <v>-0.55617195364876726</v>
      </c>
      <c r="R58" s="117">
        <f t="shared" si="56"/>
        <v>-0.90381312263826863</v>
      </c>
      <c r="S58" s="117">
        <f t="shared" si="56"/>
        <v>-0.35698084069301672</v>
      </c>
      <c r="T58" s="117">
        <f t="shared" si="56"/>
        <v>48.558163265306099</v>
      </c>
      <c r="U58" s="117">
        <f t="shared" si="56"/>
        <v>2.3599519663764634</v>
      </c>
      <c r="V58" s="117">
        <f t="shared" si="56"/>
        <v>-0.7686700846253629</v>
      </c>
      <c r="W58" s="117">
        <f t="shared" si="56"/>
        <v>1.3789313795568261</v>
      </c>
      <c r="X58" s="117">
        <f t="shared" si="56"/>
        <v>0.91811303960836654</v>
      </c>
      <c r="Y58" s="117">
        <f t="shared" si="56"/>
        <v>-6.2910798122065792E-2</v>
      </c>
      <c r="Z58" s="117">
        <f t="shared" si="56"/>
        <v>1.5058004640371236</v>
      </c>
      <c r="AA58" s="117">
        <f t="shared" si="56"/>
        <v>-0.30961923847695383</v>
      </c>
      <c r="AB58" s="117">
        <f t="shared" si="56"/>
        <v>0.45740740740740726</v>
      </c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233"/>
      <c r="AW58" s="233"/>
      <c r="AX58" s="233"/>
      <c r="AY58" s="233"/>
      <c r="AZ58" s="233"/>
      <c r="BA58" s="233"/>
      <c r="BB58" s="233"/>
      <c r="BC58" s="233"/>
      <c r="BD58" s="233"/>
    </row>
    <row r="59" spans="1:56" s="5" customFormat="1" ht="13.5" customHeight="1">
      <c r="A59" s="8"/>
      <c r="B59" s="1" t="s">
        <v>97</v>
      </c>
      <c r="C59" s="120"/>
      <c r="D59" s="120"/>
      <c r="E59" s="229"/>
      <c r="F59" s="117">
        <f t="shared" si="57"/>
        <v>1.3673041272319248</v>
      </c>
      <c r="G59" s="117">
        <f t="shared" si="57"/>
        <v>9.4116434827408613E-2</v>
      </c>
      <c r="H59" s="117">
        <f t="shared" si="57"/>
        <v>1.3225721389286522</v>
      </c>
      <c r="I59" s="117">
        <f t="shared" si="57"/>
        <v>-0.62343686643419027</v>
      </c>
      <c r="J59" s="117">
        <f t="shared" si="57"/>
        <v>-0.9267777921350735</v>
      </c>
      <c r="K59" s="117">
        <f t="shared" si="57"/>
        <v>19.558823529411768</v>
      </c>
      <c r="L59" s="117">
        <f t="shared" si="57"/>
        <v>-0.23319027181688134</v>
      </c>
      <c r="M59" s="229"/>
      <c r="N59" s="119"/>
      <c r="O59" s="229"/>
      <c r="P59" s="229"/>
      <c r="Q59" s="117">
        <f t="shared" si="58"/>
        <v>-0.13374972116886008</v>
      </c>
      <c r="R59" s="117">
        <f t="shared" si="56"/>
        <v>0.28973573343546533</v>
      </c>
      <c r="S59" s="117">
        <f t="shared" si="56"/>
        <v>1.1452335582221767</v>
      </c>
      <c r="T59" s="117">
        <f t="shared" si="56"/>
        <v>1.4248255382331112</v>
      </c>
      <c r="U59" s="117">
        <f t="shared" si="56"/>
        <v>-0.20091707879195286</v>
      </c>
      <c r="V59" s="117">
        <f t="shared" si="56"/>
        <v>-0.83897080434995597</v>
      </c>
      <c r="W59" s="117">
        <f t="shared" si="56"/>
        <v>-0.44118972510139698</v>
      </c>
      <c r="X59" s="117">
        <f t="shared" si="56"/>
        <v>-2.1559814434557758</v>
      </c>
      <c r="Y59" s="117">
        <f t="shared" si="56"/>
        <v>-0.74731182795698925</v>
      </c>
      <c r="Z59" s="117">
        <f t="shared" si="56"/>
        <v>-5.2894736842105265</v>
      </c>
      <c r="AA59" s="117">
        <f t="shared" si="56"/>
        <v>5.4893617021276597</v>
      </c>
      <c r="AB59" s="117">
        <f t="shared" si="56"/>
        <v>-0.64570552147239257</v>
      </c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233"/>
      <c r="AW59" s="233"/>
      <c r="AX59" s="233"/>
      <c r="AY59" s="233"/>
      <c r="AZ59" s="233"/>
      <c r="BA59" s="233"/>
      <c r="BB59" s="233"/>
      <c r="BC59" s="233"/>
      <c r="BD59" s="233"/>
    </row>
    <row r="60" spans="1:56" s="5" customFormat="1" ht="13.5" customHeight="1">
      <c r="A60" s="8"/>
      <c r="B60" s="1" t="s">
        <v>326</v>
      </c>
      <c r="C60" s="120"/>
      <c r="D60" s="120"/>
      <c r="E60" s="229"/>
      <c r="F60" s="117" t="e">
        <f t="shared" si="57"/>
        <v>#DIV/0!</v>
      </c>
      <c r="G60" s="117" t="e">
        <f t="shared" si="57"/>
        <v>#DIV/0!</v>
      </c>
      <c r="H60" s="117" t="e">
        <f t="shared" si="57"/>
        <v>#DIV/0!</v>
      </c>
      <c r="I60" s="117">
        <f t="shared" si="57"/>
        <v>-0.81637761665885455</v>
      </c>
      <c r="J60" s="117">
        <f t="shared" si="57"/>
        <v>4.7190962415815774</v>
      </c>
      <c r="K60" s="117">
        <f t="shared" si="57"/>
        <v>0.10921177587844255</v>
      </c>
      <c r="L60" s="117">
        <f t="shared" si="57"/>
        <v>6.6780821917808098E-2</v>
      </c>
      <c r="M60" s="229"/>
      <c r="N60" s="119"/>
      <c r="O60" s="229"/>
      <c r="P60" s="229"/>
      <c r="Q60" s="117" t="e">
        <f t="shared" si="58"/>
        <v>#DIV/0!</v>
      </c>
      <c r="R60" s="117" t="e">
        <f t="shared" si="56"/>
        <v>#DIV/0!</v>
      </c>
      <c r="S60" s="117" t="e">
        <f t="shared" si="56"/>
        <v>#DIV/0!</v>
      </c>
      <c r="T60" s="117" t="e">
        <f t="shared" si="56"/>
        <v>#DIV/0!</v>
      </c>
      <c r="U60" s="117">
        <f t="shared" si="56"/>
        <v>2.7287902254345204</v>
      </c>
      <c r="V60" s="117">
        <f t="shared" si="56"/>
        <v>-1.2811537637198389</v>
      </c>
      <c r="W60" s="117">
        <f t="shared" si="56"/>
        <v>3.609008676389136E-2</v>
      </c>
      <c r="X60" s="117">
        <f t="shared" si="56"/>
        <v>-3.423367035788798</v>
      </c>
      <c r="Y60" s="117">
        <f t="shared" si="56"/>
        <v>-0.69933184855233854</v>
      </c>
      <c r="Z60" s="117">
        <f t="shared" si="56"/>
        <v>0.71026490066225167</v>
      </c>
      <c r="AA60" s="117">
        <f t="shared" si="56"/>
        <v>3.0222222222222221</v>
      </c>
      <c r="AB60" s="117">
        <f t="shared" si="56"/>
        <v>-0.31945788964181998</v>
      </c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233"/>
      <c r="AW60" s="233"/>
      <c r="AX60" s="233"/>
      <c r="AY60" s="233"/>
      <c r="AZ60" s="233"/>
      <c r="BA60" s="233"/>
      <c r="BB60" s="233"/>
      <c r="BC60" s="233"/>
      <c r="BD60" s="233"/>
    </row>
    <row r="61" spans="1:56" s="5" customFormat="1" ht="13.5" customHeight="1">
      <c r="A61" s="8"/>
      <c r="B61" s="1" t="s">
        <v>326</v>
      </c>
      <c r="C61" s="120"/>
      <c r="D61" s="120"/>
      <c r="E61" s="229"/>
      <c r="F61" s="117">
        <f t="shared" si="57"/>
        <v>0.39931726230613629</v>
      </c>
      <c r="G61" s="117">
        <f t="shared" si="57"/>
        <v>-0.58401349275667869</v>
      </c>
      <c r="H61" s="117">
        <f t="shared" si="57"/>
        <v>1.3594700260642916</v>
      </c>
      <c r="I61" s="117">
        <f t="shared" si="57"/>
        <v>4.2422903433673946</v>
      </c>
      <c r="J61" s="117">
        <f t="shared" si="57"/>
        <v>1.1083931843058754</v>
      </c>
      <c r="K61" s="117">
        <f t="shared" si="57"/>
        <v>-0.42726263187118274</v>
      </c>
      <c r="L61" s="117">
        <f t="shared" si="57"/>
        <v>1.122152205525933</v>
      </c>
      <c r="M61" s="229"/>
      <c r="N61" s="119"/>
      <c r="O61" s="229"/>
      <c r="P61" s="229"/>
      <c r="Q61" s="117">
        <f t="shared" si="58"/>
        <v>-1.6074262139003492</v>
      </c>
      <c r="R61" s="117">
        <f t="shared" si="56"/>
        <v>-0.34426229508196726</v>
      </c>
      <c r="S61" s="117">
        <f t="shared" si="56"/>
        <v>-2.0916927899686524</v>
      </c>
      <c r="T61" s="117">
        <f t="shared" si="56"/>
        <v>0.61054421768707456</v>
      </c>
      <c r="U61" s="117">
        <f t="shared" si="56"/>
        <v>7.5568317779373047</v>
      </c>
      <c r="V61" s="117">
        <f t="shared" si="56"/>
        <v>3.7547342485040485</v>
      </c>
      <c r="W61" s="117">
        <f t="shared" si="56"/>
        <v>2.5431639587236776</v>
      </c>
      <c r="X61" s="117">
        <f t="shared" si="56"/>
        <v>0.72857967752920505</v>
      </c>
      <c r="Y61" s="117">
        <f t="shared" si="56"/>
        <v>-0.25966850828729271</v>
      </c>
      <c r="Z61" s="117">
        <f t="shared" si="56"/>
        <v>-0.51820128479657412</v>
      </c>
      <c r="AA61" s="117">
        <f t="shared" si="56"/>
        <v>1.9584221748400847</v>
      </c>
      <c r="AB61" s="117">
        <f t="shared" si="56"/>
        <v>0.42488888888888887</v>
      </c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233"/>
      <c r="AW61" s="233"/>
      <c r="AX61" s="233"/>
      <c r="AY61" s="233"/>
      <c r="AZ61" s="233"/>
      <c r="BA61" s="233"/>
      <c r="BB61" s="233"/>
      <c r="BC61" s="233"/>
      <c r="BD61" s="233"/>
    </row>
    <row r="62" spans="1:56" s="5" customFormat="1" ht="13.5" customHeight="1">
      <c r="A62" s="8"/>
      <c r="B62" s="1" t="s">
        <v>328</v>
      </c>
      <c r="C62" s="120"/>
      <c r="D62" s="120"/>
      <c r="E62" s="229"/>
      <c r="F62" s="117" t="e">
        <f t="shared" si="57"/>
        <v>#DIV/0!</v>
      </c>
      <c r="G62" s="117" t="e">
        <f t="shared" si="57"/>
        <v>#DIV/0!</v>
      </c>
      <c r="H62" s="117" t="e">
        <f t="shared" si="57"/>
        <v>#DIV/0!</v>
      </c>
      <c r="I62" s="117" t="e">
        <f t="shared" si="57"/>
        <v>#DIV/0!</v>
      </c>
      <c r="J62" s="117" t="e">
        <f t="shared" si="57"/>
        <v>#DIV/0!</v>
      </c>
      <c r="K62" s="117" t="e">
        <f t="shared" si="57"/>
        <v>#DIV/0!</v>
      </c>
      <c r="L62" s="117" t="e">
        <f t="shared" si="57"/>
        <v>#DIV/0!</v>
      </c>
      <c r="M62" s="229"/>
      <c r="N62" s="119"/>
      <c r="O62" s="229"/>
      <c r="P62" s="229"/>
      <c r="Q62" s="117" t="e">
        <f t="shared" si="58"/>
        <v>#DIV/0!</v>
      </c>
      <c r="R62" s="117" t="e">
        <f t="shared" si="56"/>
        <v>#DIV/0!</v>
      </c>
      <c r="S62" s="117" t="e">
        <f t="shared" si="56"/>
        <v>#DIV/0!</v>
      </c>
      <c r="T62" s="117" t="e">
        <f t="shared" si="56"/>
        <v>#DIV/0!</v>
      </c>
      <c r="U62" s="117" t="e">
        <f t="shared" si="56"/>
        <v>#DIV/0!</v>
      </c>
      <c r="V62" s="117" t="e">
        <f t="shared" si="56"/>
        <v>#DIV/0!</v>
      </c>
      <c r="W62" s="117" t="e">
        <f t="shared" si="56"/>
        <v>#DIV/0!</v>
      </c>
      <c r="X62" s="117" t="e">
        <f t="shared" si="56"/>
        <v>#DIV/0!</v>
      </c>
      <c r="Y62" s="117" t="e">
        <f t="shared" si="56"/>
        <v>#DIV/0!</v>
      </c>
      <c r="Z62" s="117" t="e">
        <f t="shared" si="56"/>
        <v>#DIV/0!</v>
      </c>
      <c r="AA62" s="117" t="e">
        <f t="shared" si="56"/>
        <v>#DIV/0!</v>
      </c>
      <c r="AB62" s="117" t="e">
        <f t="shared" si="56"/>
        <v>#DIV/0!</v>
      </c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233"/>
      <c r="AW62" s="233"/>
      <c r="AX62" s="233"/>
      <c r="AY62" s="233"/>
      <c r="AZ62" s="233"/>
      <c r="BA62" s="233"/>
      <c r="BB62" s="233"/>
      <c r="BC62" s="233"/>
      <c r="BD62" s="233"/>
    </row>
    <row r="63" spans="1:56" s="5" customFormat="1" ht="13.5" customHeight="1">
      <c r="A63" s="8"/>
      <c r="B63" s="5" t="s">
        <v>329</v>
      </c>
      <c r="C63" s="120"/>
      <c r="D63" s="120"/>
      <c r="E63" s="229"/>
      <c r="F63" s="120">
        <f t="shared" si="57"/>
        <v>0.70900940265021961</v>
      </c>
      <c r="G63" s="120">
        <f t="shared" si="57"/>
        <v>-0.62593079712371702</v>
      </c>
      <c r="H63" s="120">
        <f t="shared" si="57"/>
        <v>6.2328899462415048</v>
      </c>
      <c r="I63" s="120">
        <f t="shared" si="57"/>
        <v>-0.36642252067335945</v>
      </c>
      <c r="J63" s="120">
        <f t="shared" si="57"/>
        <v>0.26015170006467825</v>
      </c>
      <c r="K63" s="120">
        <f t="shared" si="57"/>
        <v>7.1469215887105975E-2</v>
      </c>
      <c r="L63" s="120">
        <f t="shared" si="57"/>
        <v>0.21072756240042501</v>
      </c>
      <c r="M63" s="229"/>
      <c r="N63" s="119"/>
      <c r="O63" s="229"/>
      <c r="P63" s="229"/>
      <c r="Q63" s="120">
        <f t="shared" si="58"/>
        <v>-0.79372499879512259</v>
      </c>
      <c r="R63" s="120">
        <f t="shared" si="56"/>
        <v>-0.53274551488919153</v>
      </c>
      <c r="S63" s="120">
        <f t="shared" si="56"/>
        <v>3.86458611481976</v>
      </c>
      <c r="T63" s="120">
        <f t="shared" si="56"/>
        <v>6.8135218736190897</v>
      </c>
      <c r="U63" s="120">
        <f t="shared" si="56"/>
        <v>2.4239448892914233</v>
      </c>
      <c r="V63" s="120">
        <f t="shared" si="56"/>
        <v>-0.79233851541848377</v>
      </c>
      <c r="W63" s="120">
        <f t="shared" si="56"/>
        <v>-0.16395466277634385</v>
      </c>
      <c r="X63" s="120">
        <f t="shared" si="56"/>
        <v>1.3275049046555143</v>
      </c>
      <c r="Y63" s="120">
        <f t="shared" si="56"/>
        <v>4.6500479386385463E-2</v>
      </c>
      <c r="Z63" s="120">
        <f t="shared" si="56"/>
        <v>9.4041170097507898E-2</v>
      </c>
      <c r="AA63" s="120">
        <f t="shared" si="56"/>
        <v>0.36967475950526785</v>
      </c>
      <c r="AB63" s="120">
        <f t="shared" si="56"/>
        <v>7.3281837987720477E-2</v>
      </c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233"/>
      <c r="AW63" s="233"/>
      <c r="AX63" s="233"/>
      <c r="AY63" s="233"/>
      <c r="AZ63" s="233"/>
      <c r="BA63" s="233"/>
      <c r="BB63" s="233"/>
      <c r="BC63" s="233"/>
      <c r="BD63" s="233"/>
    </row>
    <row r="64" spans="1:56" s="5" customFormat="1" ht="13.5" customHeight="1">
      <c r="A64" s="8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233"/>
      <c r="AW64" s="233"/>
      <c r="AX64" s="233"/>
      <c r="AY64" s="233"/>
      <c r="AZ64" s="233"/>
      <c r="BA64" s="233"/>
      <c r="BB64" s="233"/>
      <c r="BC64" s="233"/>
      <c r="BD64" s="233"/>
    </row>
    <row r="65" spans="1:56" s="5" customFormat="1" ht="13.5" customHeight="1"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Y65" s="113"/>
      <c r="AZ65" s="113"/>
      <c r="BA65" s="113"/>
      <c r="BC65" s="113"/>
      <c r="BD65" s="113"/>
    </row>
    <row r="66" spans="1:56" s="5" customFormat="1" ht="13.5" hidden="1" customHeight="1" outlineLevel="1">
      <c r="A66" s="8"/>
      <c r="B66" s="286" t="s">
        <v>336</v>
      </c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81"/>
      <c r="N66" s="6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</row>
    <row r="67" spans="1:56" s="1" customFormat="1" ht="13.5" hidden="1" customHeight="1" outlineLevel="1">
      <c r="A67" s="288"/>
      <c r="B67" s="1" t="s">
        <v>95</v>
      </c>
      <c r="C67" s="112"/>
      <c r="D67" s="112"/>
      <c r="E67" s="112">
        <v>280.46600000000001</v>
      </c>
      <c r="F67" s="112">
        <v>318.45499999999998</v>
      </c>
      <c r="G67" s="112">
        <v>171.40700000000001</v>
      </c>
      <c r="H67" s="112">
        <v>858.81799999999998</v>
      </c>
      <c r="I67" s="112">
        <v>574.85699999999997</v>
      </c>
      <c r="J67" s="233"/>
      <c r="K67" s="233"/>
      <c r="L67" s="233"/>
      <c r="M67" s="229"/>
      <c r="N67" s="112"/>
      <c r="O67" s="112">
        <v>82.531999999999996</v>
      </c>
      <c r="P67" s="114">
        <f>+F67-O67</f>
        <v>235.923</v>
      </c>
      <c r="Q67" s="112">
        <v>56.837000000000003</v>
      </c>
      <c r="R67" s="114">
        <f>+G67-Q67</f>
        <v>114.57000000000001</v>
      </c>
      <c r="S67" s="112">
        <v>129.167</v>
      </c>
      <c r="T67" s="114">
        <f t="shared" ref="T67:T72" si="59">+H67-S67</f>
        <v>729.65099999999995</v>
      </c>
      <c r="U67" s="112">
        <v>413.40899999999999</v>
      </c>
      <c r="V67" s="114">
        <f>+I67-U67</f>
        <v>161.44799999999998</v>
      </c>
      <c r="W67" s="112">
        <v>203.8</v>
      </c>
      <c r="X67" s="218"/>
      <c r="Y67" s="234"/>
      <c r="Z67" s="234"/>
      <c r="AA67" s="234"/>
      <c r="AB67" s="234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233"/>
      <c r="AW67" s="233"/>
      <c r="AX67" s="233"/>
      <c r="AY67" s="233"/>
      <c r="AZ67" s="233"/>
      <c r="BA67" s="233"/>
      <c r="BB67" s="233"/>
      <c r="BC67" s="233"/>
      <c r="BD67" s="233"/>
    </row>
    <row r="68" spans="1:56" s="1" customFormat="1" ht="13.5" hidden="1" customHeight="1" outlineLevel="1">
      <c r="A68" s="288"/>
      <c r="B68" s="1" t="s">
        <v>96</v>
      </c>
      <c r="C68" s="112"/>
      <c r="D68" s="112"/>
      <c r="E68" s="112">
        <v>61.536999999999999</v>
      </c>
      <c r="F68" s="112">
        <v>80.152000000000001</v>
      </c>
      <c r="G68" s="112">
        <v>42.906999999999996</v>
      </c>
      <c r="H68" s="112">
        <v>132.95500000000001</v>
      </c>
      <c r="I68" s="112">
        <v>109.504</v>
      </c>
      <c r="J68" s="233"/>
      <c r="K68" s="233"/>
      <c r="L68" s="233"/>
      <c r="M68" s="229"/>
      <c r="N68" s="112"/>
      <c r="O68" s="112">
        <v>53.935000000000002</v>
      </c>
      <c r="P68" s="114">
        <f>+F68-O68</f>
        <v>26.216999999999999</v>
      </c>
      <c r="Q68" s="112">
        <v>42.732999999999997</v>
      </c>
      <c r="R68" s="114">
        <f>+G68-Q68</f>
        <v>0.17399999999999949</v>
      </c>
      <c r="S68" s="112">
        <v>24.431000000000001</v>
      </c>
      <c r="T68" s="114">
        <f t="shared" si="59"/>
        <v>108.52400000000002</v>
      </c>
      <c r="U68" s="112">
        <v>65.075999999999993</v>
      </c>
      <c r="V68" s="114">
        <f t="shared" ref="V68:V73" si="60">+I68-U68</f>
        <v>44.428000000000011</v>
      </c>
      <c r="W68" s="112">
        <v>129.80000000000001</v>
      </c>
      <c r="X68" s="218"/>
      <c r="Y68" s="234"/>
      <c r="Z68" s="234"/>
      <c r="AA68" s="234"/>
      <c r="AB68" s="234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233"/>
      <c r="AW68" s="233"/>
      <c r="AX68" s="233"/>
      <c r="AY68" s="233"/>
      <c r="AZ68" s="233"/>
      <c r="BA68" s="233"/>
      <c r="BB68" s="233"/>
      <c r="BC68" s="233"/>
      <c r="BD68" s="233"/>
    </row>
    <row r="69" spans="1:56" s="1" customFormat="1" ht="13.5" hidden="1" customHeight="1" outlineLevel="1">
      <c r="A69" s="288"/>
      <c r="B69" s="1" t="s">
        <v>97</v>
      </c>
      <c r="C69" s="112"/>
      <c r="D69" s="112"/>
      <c r="E69" s="112">
        <v>22.536999999999999</v>
      </c>
      <c r="F69" s="112">
        <v>52.264000000000003</v>
      </c>
      <c r="G69" s="112">
        <v>60.762999999999998</v>
      </c>
      <c r="H69" s="112">
        <v>147.048</v>
      </c>
      <c r="I69" s="112">
        <v>112.36499999999999</v>
      </c>
      <c r="J69" s="233"/>
      <c r="K69" s="233"/>
      <c r="L69" s="233"/>
      <c r="M69" s="229"/>
      <c r="N69" s="112"/>
      <c r="O69" s="112">
        <v>24.956</v>
      </c>
      <c r="P69" s="114">
        <f>+F69-O69</f>
        <v>27.308000000000003</v>
      </c>
      <c r="Q69" s="112">
        <v>21.088000000000001</v>
      </c>
      <c r="R69" s="114">
        <f>+G69-Q69</f>
        <v>39.674999999999997</v>
      </c>
      <c r="S69" s="112">
        <v>42.170999999999999</v>
      </c>
      <c r="T69" s="114">
        <f t="shared" si="59"/>
        <v>104.87700000000001</v>
      </c>
      <c r="U69" s="112">
        <v>81.837999999999994</v>
      </c>
      <c r="V69" s="114">
        <f t="shared" si="60"/>
        <v>30.527000000000001</v>
      </c>
      <c r="W69" s="112">
        <v>-4.8</v>
      </c>
      <c r="X69" s="218"/>
      <c r="Y69" s="234"/>
      <c r="Z69" s="234"/>
      <c r="AA69" s="234"/>
      <c r="AB69" s="234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233"/>
      <c r="AW69" s="233"/>
      <c r="AX69" s="233"/>
      <c r="AY69" s="233"/>
      <c r="AZ69" s="233"/>
      <c r="BA69" s="233"/>
      <c r="BB69" s="233"/>
      <c r="BC69" s="233"/>
      <c r="BD69" s="233"/>
    </row>
    <row r="70" spans="1:56" s="1" customFormat="1" ht="13.5" hidden="1" customHeight="1" outlineLevel="1">
      <c r="A70" s="288"/>
      <c r="B70" s="1" t="s">
        <v>326</v>
      </c>
      <c r="C70" s="112"/>
      <c r="D70" s="112"/>
      <c r="E70" s="112"/>
      <c r="F70" s="112"/>
      <c r="G70" s="112"/>
      <c r="H70" s="112">
        <v>115.419</v>
      </c>
      <c r="I70" s="112">
        <v>42.295000000000002</v>
      </c>
      <c r="J70" s="233"/>
      <c r="K70" s="233"/>
      <c r="L70" s="233"/>
      <c r="M70" s="229"/>
      <c r="N70" s="112"/>
      <c r="O70" s="112"/>
      <c r="P70" s="114"/>
      <c r="Q70" s="112"/>
      <c r="R70" s="114"/>
      <c r="S70" s="112">
        <v>20.170999999999999</v>
      </c>
      <c r="T70" s="114">
        <f t="shared" si="59"/>
        <v>95.24799999999999</v>
      </c>
      <c r="U70" s="112">
        <v>54.179000000000002</v>
      </c>
      <c r="V70" s="114">
        <f t="shared" si="60"/>
        <v>-11.884</v>
      </c>
      <c r="W70" s="112">
        <v>58.6</v>
      </c>
      <c r="X70" s="218"/>
      <c r="Y70" s="234"/>
      <c r="Z70" s="234"/>
      <c r="AA70" s="234"/>
      <c r="AB70" s="234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233"/>
      <c r="AW70" s="233"/>
      <c r="AX70" s="233"/>
      <c r="AY70" s="233"/>
      <c r="AZ70" s="233"/>
      <c r="BA70" s="233"/>
      <c r="BB70" s="233"/>
      <c r="BC70" s="233"/>
      <c r="BD70" s="233"/>
    </row>
    <row r="71" spans="1:56" s="1" customFormat="1" ht="13.5" hidden="1" customHeight="1" outlineLevel="1">
      <c r="A71" s="288"/>
      <c r="B71" s="1" t="s">
        <v>99</v>
      </c>
      <c r="C71" s="112"/>
      <c r="D71" s="112"/>
      <c r="E71" s="112">
        <v>59.335000000000001</v>
      </c>
      <c r="F71" s="112">
        <f>37.268+10.352+2.218</f>
        <v>49.838000000000008</v>
      </c>
      <c r="G71" s="112">
        <f>18.537+4.874-8.063</f>
        <v>15.347999999999997</v>
      </c>
      <c r="H71" s="112">
        <f>-12.847+38.646</f>
        <v>25.798999999999999</v>
      </c>
      <c r="I71" s="112">
        <f>176.979+15.174-13.315</f>
        <v>178.83800000000002</v>
      </c>
      <c r="J71" s="233"/>
      <c r="K71" s="233"/>
      <c r="L71" s="233"/>
      <c r="M71" s="229"/>
      <c r="N71" s="112"/>
      <c r="O71" s="112">
        <v>12.624000000000001</v>
      </c>
      <c r="P71" s="114">
        <f>+F71-O71</f>
        <v>37.214000000000006</v>
      </c>
      <c r="Q71" s="112">
        <v>6.2839999999999998</v>
      </c>
      <c r="R71" s="114">
        <f>+G71-Q71</f>
        <v>9.0639999999999965</v>
      </c>
      <c r="S71" s="112">
        <v>18.277000000000001</v>
      </c>
      <c r="T71" s="114">
        <f t="shared" si="59"/>
        <v>7.5219999999999985</v>
      </c>
      <c r="U71" s="112">
        <f>-18.958-36.008+50.467</f>
        <v>-4.4990000000000023</v>
      </c>
      <c r="V71" s="114">
        <f t="shared" si="60"/>
        <v>183.33700000000002</v>
      </c>
      <c r="W71" s="112">
        <f>68.1+40.5+86.1</f>
        <v>194.7</v>
      </c>
      <c r="X71" s="218"/>
      <c r="Y71" s="234"/>
      <c r="Z71" s="234"/>
      <c r="AA71" s="234"/>
      <c r="AB71" s="234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233"/>
      <c r="AW71" s="233"/>
      <c r="AX71" s="233"/>
      <c r="AY71" s="233"/>
      <c r="AZ71" s="233"/>
      <c r="BA71" s="233"/>
      <c r="BB71" s="233"/>
      <c r="BC71" s="233"/>
      <c r="BD71" s="233"/>
    </row>
    <row r="72" spans="1:56" s="1" customFormat="1" ht="13.5" hidden="1" customHeight="1" outlineLevel="1">
      <c r="A72" s="288"/>
      <c r="B72" s="1" t="s">
        <v>337</v>
      </c>
      <c r="C72" s="112"/>
      <c r="D72" s="112"/>
      <c r="E72" s="112"/>
      <c r="F72" s="112"/>
      <c r="G72" s="112"/>
      <c r="H72" s="112">
        <v>-3.3490000000000002</v>
      </c>
      <c r="I72" s="112">
        <v>2.351</v>
      </c>
      <c r="J72" s="233"/>
      <c r="K72" s="233"/>
      <c r="L72" s="233"/>
      <c r="M72" s="229"/>
      <c r="N72" s="112"/>
      <c r="O72" s="112"/>
      <c r="P72" s="114"/>
      <c r="Q72" s="112"/>
      <c r="R72" s="114"/>
      <c r="S72" s="112">
        <v>-1.0029999999999999</v>
      </c>
      <c r="T72" s="114">
        <f t="shared" si="59"/>
        <v>-2.3460000000000001</v>
      </c>
      <c r="U72" s="112">
        <v>3.9E-2</v>
      </c>
      <c r="V72" s="114">
        <f t="shared" si="60"/>
        <v>2.3119999999999998</v>
      </c>
      <c r="W72" s="112"/>
      <c r="X72" s="218"/>
      <c r="Y72" s="234"/>
      <c r="Z72" s="234"/>
      <c r="AA72" s="234"/>
      <c r="AB72" s="234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233"/>
      <c r="AW72" s="233"/>
      <c r="AX72" s="233"/>
      <c r="AY72" s="233"/>
      <c r="AZ72" s="233"/>
      <c r="BA72" s="233"/>
      <c r="BB72" s="233"/>
      <c r="BC72" s="233"/>
      <c r="BD72" s="233"/>
    </row>
    <row r="73" spans="1:56" s="1" customFormat="1" ht="13.5" hidden="1" customHeight="1" outlineLevel="1">
      <c r="A73" s="288"/>
      <c r="B73" s="1" t="s">
        <v>338</v>
      </c>
      <c r="C73" s="112"/>
      <c r="D73" s="112"/>
      <c r="E73" s="112"/>
      <c r="F73" s="112"/>
      <c r="G73" s="112"/>
      <c r="H73" s="112"/>
      <c r="I73" s="112">
        <v>-32.942</v>
      </c>
      <c r="J73" s="233"/>
      <c r="K73" s="233"/>
      <c r="L73" s="233"/>
      <c r="M73" s="229"/>
      <c r="N73" s="112"/>
      <c r="O73" s="112"/>
      <c r="P73" s="114"/>
      <c r="Q73" s="112"/>
      <c r="R73" s="114"/>
      <c r="S73" s="112"/>
      <c r="T73" s="114"/>
      <c r="U73" s="112"/>
      <c r="V73" s="114">
        <f t="shared" si="60"/>
        <v>-32.942</v>
      </c>
      <c r="W73" s="114"/>
      <c r="X73" s="218"/>
      <c r="Y73" s="234"/>
      <c r="Z73" s="234"/>
      <c r="AA73" s="234"/>
      <c r="AB73" s="234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233"/>
      <c r="AW73" s="233"/>
      <c r="AX73" s="233"/>
      <c r="AY73" s="233"/>
      <c r="AZ73" s="233"/>
      <c r="BA73" s="233"/>
      <c r="BB73" s="233"/>
      <c r="BC73" s="233"/>
      <c r="BD73" s="233"/>
    </row>
    <row r="74" spans="1:56" s="5" customFormat="1" ht="13.5" hidden="1" customHeight="1" outlineLevel="1">
      <c r="B74" s="5" t="s">
        <v>329</v>
      </c>
      <c r="C74" s="113">
        <f t="shared" ref="C74:G74" si="61">+SUM(C67:C71)</f>
        <v>0</v>
      </c>
      <c r="D74" s="113">
        <f t="shared" si="61"/>
        <v>0</v>
      </c>
      <c r="E74" s="113">
        <f t="shared" si="61"/>
        <v>423.87499999999994</v>
      </c>
      <c r="F74" s="113">
        <f t="shared" si="61"/>
        <v>500.709</v>
      </c>
      <c r="G74" s="113">
        <f t="shared" si="61"/>
        <v>290.42500000000001</v>
      </c>
      <c r="H74" s="113">
        <f>+SUM(H67:H72)</f>
        <v>1276.69</v>
      </c>
      <c r="I74" s="113">
        <f>+SUM(I67:I73)</f>
        <v>987.26799999999992</v>
      </c>
      <c r="J74" s="233"/>
      <c r="K74" s="233"/>
      <c r="L74" s="233"/>
      <c r="M74" s="229"/>
      <c r="N74" s="113"/>
      <c r="O74" s="113">
        <f>+SUM(O67:O71)</f>
        <v>174.04699999999997</v>
      </c>
      <c r="P74" s="113">
        <f>+SUM(P67:P71)</f>
        <v>326.66199999999998</v>
      </c>
      <c r="Q74" s="113">
        <f>+SUM(Q67:Q71)</f>
        <v>126.94199999999999</v>
      </c>
      <c r="R74" s="113">
        <f>+SUM(R67:R71)</f>
        <v>163.48299999999998</v>
      </c>
      <c r="S74" s="113">
        <f>+SUM(S67:S72)</f>
        <v>233.214</v>
      </c>
      <c r="T74" s="113">
        <f>+SUM(T67:T72)</f>
        <v>1043.4759999999999</v>
      </c>
      <c r="U74" s="113">
        <f>+SUM(U67:U72)</f>
        <v>610.04199999999992</v>
      </c>
      <c r="V74" s="113">
        <f>+SUM(V67:V73)</f>
        <v>377.226</v>
      </c>
      <c r="W74" s="113">
        <f>+SUM(W67:W72)</f>
        <v>582.1</v>
      </c>
      <c r="X74" s="169"/>
      <c r="Y74" s="230"/>
      <c r="Z74" s="230"/>
      <c r="AA74" s="230"/>
      <c r="AB74" s="230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233"/>
      <c r="AW74" s="233"/>
      <c r="AX74" s="233"/>
      <c r="AY74" s="233"/>
      <c r="AZ74" s="233"/>
      <c r="BA74" s="233"/>
      <c r="BB74" s="233"/>
      <c r="BC74" s="233"/>
      <c r="BD74" s="233"/>
    </row>
    <row r="75" spans="1:56" s="5" customFormat="1" ht="13.5" hidden="1" customHeight="1" outlineLevel="1"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  <c r="AW75" s="113"/>
      <c r="AY75" s="113"/>
      <c r="AZ75" s="113"/>
      <c r="BA75" s="113"/>
      <c r="BC75" s="113"/>
      <c r="BD75" s="113"/>
    </row>
    <row r="76" spans="1:56" s="115" customFormat="1" ht="13.5" hidden="1" customHeight="1" outlineLevel="1">
      <c r="B76" s="115" t="s">
        <v>330</v>
      </c>
      <c r="C76" s="116"/>
      <c r="D76" s="116"/>
      <c r="E76" s="116">
        <f>ROUND(E74-Model!E40,-1)</f>
        <v>0</v>
      </c>
      <c r="F76" s="116">
        <f>ROUND(F74-Model!F40,-1)</f>
        <v>0</v>
      </c>
      <c r="G76" s="116">
        <f>ROUND(G74-Model!G40,-1)</f>
        <v>0</v>
      </c>
      <c r="H76" s="116">
        <f>ROUND(H74-Model!H40,-1)</f>
        <v>0</v>
      </c>
      <c r="I76" s="116">
        <f>ROUND(I74-Model!J40,-1)</f>
        <v>40</v>
      </c>
      <c r="J76" s="116"/>
      <c r="K76" s="116"/>
      <c r="L76" s="116"/>
      <c r="M76" s="114"/>
      <c r="N76" s="116"/>
      <c r="O76" s="116">
        <f>ROUND(O74-Model!Q40,-1)</f>
        <v>0</v>
      </c>
      <c r="P76" s="116">
        <f>ROUND(P74-Model!R40,-1)</f>
        <v>0</v>
      </c>
      <c r="Q76" s="116">
        <f>ROUND(Q74-Model!S40,-1)</f>
        <v>0</v>
      </c>
      <c r="R76" s="116">
        <f>ROUND(R74-Model!T40,-1)</f>
        <v>0</v>
      </c>
      <c r="S76" s="116">
        <f>ROUND(S74-Model!U40,-1)</f>
        <v>0</v>
      </c>
      <c r="T76" s="116">
        <f>ROUND(T74-Model!V40,-1)</f>
        <v>0</v>
      </c>
      <c r="U76" s="116">
        <f>ROUND(U74-Model!W40,-1)</f>
        <v>0</v>
      </c>
      <c r="V76" s="116">
        <f>ROUND(V74-Model!X40,-1)</f>
        <v>0</v>
      </c>
      <c r="W76" s="116">
        <f>ROUND(W74-Model!Y40,-1)</f>
        <v>0</v>
      </c>
      <c r="X76" s="116"/>
      <c r="Y76" s="116"/>
      <c r="Z76" s="116"/>
      <c r="AA76" s="116"/>
      <c r="AB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Y76" s="116"/>
      <c r="AZ76" s="116"/>
      <c r="BA76" s="116"/>
      <c r="BC76" s="116"/>
      <c r="BD76" s="116"/>
    </row>
    <row r="77" spans="1:56" s="5" customFormat="1" ht="13.5" hidden="1" customHeight="1" outlineLevel="1"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J77" s="113"/>
      <c r="AK77" s="113"/>
      <c r="AO77" s="113"/>
      <c r="AP77" s="113"/>
      <c r="AS77" s="113"/>
      <c r="AT77" s="113"/>
      <c r="AW77" s="113"/>
      <c r="BA77" s="113"/>
    </row>
    <row r="78" spans="1:56" s="5" customFormat="1" ht="13.5" hidden="1" customHeight="1" outlineLevel="1">
      <c r="B78" s="5" t="s">
        <v>339</v>
      </c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J78" s="113"/>
      <c r="AK78" s="113"/>
      <c r="AO78" s="113"/>
      <c r="AP78" s="113"/>
      <c r="AS78" s="113"/>
      <c r="AT78" s="113"/>
      <c r="AW78" s="113"/>
      <c r="BA78" s="113"/>
    </row>
    <row r="79" spans="1:56" s="1" customFormat="1" ht="13.5" hidden="1" customHeight="1" outlineLevel="1">
      <c r="A79" s="288"/>
      <c r="B79" s="1" t="s">
        <v>95</v>
      </c>
      <c r="C79" s="117"/>
      <c r="D79" s="117"/>
      <c r="E79" s="117">
        <f t="shared" ref="E79:F81" si="62">+E67/E$74</f>
        <v>0.66167148333824843</v>
      </c>
      <c r="F79" s="117">
        <f t="shared" si="62"/>
        <v>0.63600814045683218</v>
      </c>
      <c r="G79" s="117">
        <f t="shared" ref="G79" si="63">+G67/G$74</f>
        <v>0.59019368167340969</v>
      </c>
      <c r="H79" s="117">
        <f t="shared" ref="H79:I84" si="64">+H67/H$74</f>
        <v>0.67269109964047646</v>
      </c>
      <c r="I79" s="117">
        <f t="shared" si="64"/>
        <v>0.58227046759339918</v>
      </c>
      <c r="J79" s="233"/>
      <c r="K79" s="233"/>
      <c r="L79" s="233"/>
      <c r="M79" s="233"/>
      <c r="N79" s="118"/>
      <c r="O79" s="117">
        <f t="shared" ref="O79:Q81" si="65">+O67/O$74</f>
        <v>0.47419375226232002</v>
      </c>
      <c r="P79" s="117">
        <f t="shared" si="65"/>
        <v>0.72222358278587662</v>
      </c>
      <c r="Q79" s="117">
        <f t="shared" si="65"/>
        <v>0.44773991271604358</v>
      </c>
      <c r="R79" s="117">
        <f t="shared" ref="R79:T79" si="66">+R67/R$74</f>
        <v>0.70080681171742643</v>
      </c>
      <c r="S79" s="117">
        <f t="shared" ref="S79:S84" si="67">+S67/S$74</f>
        <v>0.5538561149845207</v>
      </c>
      <c r="T79" s="117">
        <f t="shared" si="66"/>
        <v>0.69925039004251177</v>
      </c>
      <c r="U79" s="117">
        <f t="shared" ref="U79:V79" si="68">+U67/U$74</f>
        <v>0.67767301267781566</v>
      </c>
      <c r="V79" s="117">
        <f t="shared" si="68"/>
        <v>0.42798746639945279</v>
      </c>
      <c r="W79" s="117">
        <f t="shared" ref="W79" si="69">+W67/W$74</f>
        <v>0.35011166466242916</v>
      </c>
      <c r="X79" s="166"/>
      <c r="Y79" s="231"/>
      <c r="Z79" s="231"/>
      <c r="AA79" s="231"/>
      <c r="AB79" s="231"/>
      <c r="AC79" s="5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/>
      <c r="AV79" s="233"/>
      <c r="AW79" s="233"/>
      <c r="AX79" s="233"/>
      <c r="AY79" s="233"/>
      <c r="AZ79" s="233"/>
      <c r="BA79" s="233"/>
      <c r="BB79" s="233"/>
      <c r="BC79" s="233"/>
      <c r="BD79" s="233"/>
    </row>
    <row r="80" spans="1:56" s="1" customFormat="1" ht="13.5" hidden="1" customHeight="1" outlineLevel="1">
      <c r="A80" s="288"/>
      <c r="B80" s="1" t="s">
        <v>96</v>
      </c>
      <c r="C80" s="117"/>
      <c r="D80" s="117"/>
      <c r="E80" s="117">
        <f t="shared" si="62"/>
        <v>0.14517723385432027</v>
      </c>
      <c r="F80" s="117">
        <f t="shared" si="62"/>
        <v>0.16007701079868747</v>
      </c>
      <c r="G80" s="117">
        <f t="shared" ref="G80" si="70">+G68/G$74</f>
        <v>0.14773865886201254</v>
      </c>
      <c r="H80" s="117">
        <f t="shared" si="64"/>
        <v>0.10414039430088745</v>
      </c>
      <c r="I80" s="117">
        <f t="shared" si="64"/>
        <v>0.11091618486571024</v>
      </c>
      <c r="J80" s="233"/>
      <c r="K80" s="233"/>
      <c r="L80" s="233"/>
      <c r="M80" s="233"/>
      <c r="N80" s="118"/>
      <c r="O80" s="117">
        <f t="shared" si="65"/>
        <v>0.30988755910759747</v>
      </c>
      <c r="P80" s="117">
        <f t="shared" si="65"/>
        <v>8.0257268981393612E-2</v>
      </c>
      <c r="Q80" s="117">
        <f t="shared" si="65"/>
        <v>0.33663405334719793</v>
      </c>
      <c r="R80" s="117">
        <f t="shared" ref="R80:T80" si="71">+R68/R$74</f>
        <v>1.0643308478557373E-3</v>
      </c>
      <c r="S80" s="117">
        <f t="shared" si="67"/>
        <v>0.10475786187793186</v>
      </c>
      <c r="T80" s="117">
        <f t="shared" si="71"/>
        <v>0.1040023920051827</v>
      </c>
      <c r="U80" s="117">
        <f t="shared" ref="U80:V80" si="72">+U68/U$74</f>
        <v>0.10667462240304766</v>
      </c>
      <c r="V80" s="117">
        <f t="shared" si="72"/>
        <v>0.11777555099595471</v>
      </c>
      <c r="W80" s="117">
        <f t="shared" ref="W80" si="73">+W68/W$74</f>
        <v>0.22298574128156676</v>
      </c>
      <c r="X80" s="166"/>
      <c r="Y80" s="231"/>
      <c r="Z80" s="231"/>
      <c r="AA80" s="231"/>
      <c r="AB80" s="231"/>
      <c r="AC80" s="5"/>
      <c r="AD80" s="153"/>
      <c r="AE80" s="153"/>
      <c r="AF80" s="153"/>
      <c r="AG80" s="153"/>
      <c r="AH80" s="153"/>
      <c r="AI80" s="153"/>
      <c r="AJ80" s="153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233"/>
      <c r="AW80" s="233"/>
      <c r="AX80" s="233"/>
      <c r="AY80" s="233"/>
      <c r="AZ80" s="233"/>
      <c r="BA80" s="233"/>
      <c r="BB80" s="233"/>
      <c r="BC80" s="233"/>
      <c r="BD80" s="233"/>
    </row>
    <row r="81" spans="1:56" s="1" customFormat="1" ht="13.5" hidden="1" customHeight="1" outlineLevel="1">
      <c r="A81" s="288"/>
      <c r="B81" s="1" t="s">
        <v>97</v>
      </c>
      <c r="C81" s="117"/>
      <c r="D81" s="117"/>
      <c r="E81" s="117">
        <f t="shared" si="62"/>
        <v>5.3168976703037454E-2</v>
      </c>
      <c r="F81" s="117">
        <f t="shared" si="62"/>
        <v>0.10437998917534937</v>
      </c>
      <c r="G81" s="117">
        <f t="shared" ref="G81" si="74">+G69/G$74</f>
        <v>0.20922096926917447</v>
      </c>
      <c r="H81" s="117">
        <f t="shared" si="64"/>
        <v>0.11517909594341617</v>
      </c>
      <c r="I81" s="117">
        <f t="shared" si="64"/>
        <v>0.11381408087773533</v>
      </c>
      <c r="J81" s="233"/>
      <c r="K81" s="233"/>
      <c r="L81" s="233"/>
      <c r="M81" s="233"/>
      <c r="N81" s="118"/>
      <c r="O81" s="117">
        <f t="shared" si="65"/>
        <v>0.14338655650485216</v>
      </c>
      <c r="P81" s="117">
        <f t="shared" si="65"/>
        <v>8.3597112611812838E-2</v>
      </c>
      <c r="Q81" s="117">
        <f t="shared" si="65"/>
        <v>0.1661231113421878</v>
      </c>
      <c r="R81" s="117">
        <f>+R69/R$74</f>
        <v>0.24268578384296841</v>
      </c>
      <c r="S81" s="117">
        <f t="shared" si="67"/>
        <v>0.18082533638632328</v>
      </c>
      <c r="T81" s="117">
        <f>+T69/T$74</f>
        <v>0.10050734276590935</v>
      </c>
      <c r="U81" s="117">
        <f t="shared" ref="U81:V81" si="75">+U69/U$74</f>
        <v>0.13415141908262054</v>
      </c>
      <c r="V81" s="117">
        <f t="shared" si="75"/>
        <v>8.0924962754423083E-2</v>
      </c>
      <c r="W81" s="117">
        <f t="shared" ref="W81" si="76">+W69/W$74</f>
        <v>-8.2460058409208042E-3</v>
      </c>
      <c r="X81" s="166"/>
      <c r="Y81" s="231"/>
      <c r="Z81" s="231"/>
      <c r="AA81" s="231"/>
      <c r="AB81" s="231"/>
      <c r="AC81" s="5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233"/>
      <c r="AW81" s="233"/>
      <c r="AX81" s="233"/>
      <c r="AY81" s="233"/>
      <c r="AZ81" s="233"/>
      <c r="BA81" s="233"/>
      <c r="BB81" s="233"/>
      <c r="BC81" s="233"/>
      <c r="BD81" s="233"/>
    </row>
    <row r="82" spans="1:56" s="1" customFormat="1" ht="13.5" hidden="1" customHeight="1" outlineLevel="1">
      <c r="A82" s="288"/>
      <c r="B82" s="1" t="s">
        <v>326</v>
      </c>
      <c r="C82" s="117"/>
      <c r="D82" s="117"/>
      <c r="E82" s="117"/>
      <c r="F82" s="117"/>
      <c r="G82" s="117"/>
      <c r="H82" s="117">
        <f t="shared" si="64"/>
        <v>9.040487510672128E-2</v>
      </c>
      <c r="I82" s="117">
        <f t="shared" si="64"/>
        <v>4.2840444539881783E-2</v>
      </c>
      <c r="J82" s="233"/>
      <c r="K82" s="233"/>
      <c r="L82" s="233"/>
      <c r="M82" s="233"/>
      <c r="N82" s="118"/>
      <c r="O82" s="117"/>
      <c r="P82" s="117"/>
      <c r="Q82" s="117"/>
      <c r="R82" s="117"/>
      <c r="S82" s="117">
        <f t="shared" si="67"/>
        <v>8.6491377018532337E-2</v>
      </c>
      <c r="T82" s="117">
        <f>+T70/T$74</f>
        <v>9.1279531105650735E-2</v>
      </c>
      <c r="U82" s="117">
        <f t="shared" ref="U82:V82" si="77">+U70/U$74</f>
        <v>8.8811917867950091E-2</v>
      </c>
      <c r="V82" s="117">
        <f t="shared" si="77"/>
        <v>-3.1503660935354401E-2</v>
      </c>
      <c r="W82" s="117">
        <f t="shared" ref="W82" si="78">+W70/W$74</f>
        <v>0.10066998797457481</v>
      </c>
      <c r="X82" s="166"/>
      <c r="Y82" s="231"/>
      <c r="Z82" s="231"/>
      <c r="AA82" s="231"/>
      <c r="AB82" s="231"/>
      <c r="AC82" s="5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233"/>
      <c r="AW82" s="233"/>
      <c r="AX82" s="233"/>
      <c r="AY82" s="233"/>
      <c r="AZ82" s="233"/>
      <c r="BA82" s="233"/>
      <c r="BB82" s="233"/>
      <c r="BC82" s="233"/>
      <c r="BD82" s="233"/>
    </row>
    <row r="83" spans="1:56" s="1" customFormat="1" ht="13.5" hidden="1" customHeight="1" outlineLevel="1">
      <c r="A83" s="288"/>
      <c r="B83" s="1" t="s">
        <v>99</v>
      </c>
      <c r="C83" s="117"/>
      <c r="D83" s="117"/>
      <c r="E83" s="117">
        <f>+E71/E$74</f>
        <v>0.13998230610439399</v>
      </c>
      <c r="F83" s="117">
        <f>+F71/F$74</f>
        <v>9.9534859569130982E-2</v>
      </c>
      <c r="G83" s="117">
        <f t="shared" ref="G83" si="79">+G71/G$74</f>
        <v>5.2846690195403279E-2</v>
      </c>
      <c r="H83" s="117">
        <f t="shared" si="64"/>
        <v>2.0207724662995714E-2</v>
      </c>
      <c r="I83" s="117">
        <f t="shared" si="64"/>
        <v>0.18114432960452484</v>
      </c>
      <c r="J83" s="233"/>
      <c r="K83" s="233"/>
      <c r="L83" s="233"/>
      <c r="M83" s="233"/>
      <c r="N83" s="118"/>
      <c r="O83" s="117">
        <f>+O71/O$74</f>
        <v>7.2532132125230561E-2</v>
      </c>
      <c r="P83" s="117">
        <f>+P71/P$74</f>
        <v>0.11392203562091706</v>
      </c>
      <c r="Q83" s="117">
        <f>+Q71/Q$74</f>
        <v>4.9502922594570752E-2</v>
      </c>
      <c r="R83" s="117">
        <f>+R71/R$74</f>
        <v>5.5443073591749589E-2</v>
      </c>
      <c r="S83" s="117">
        <f t="shared" si="67"/>
        <v>7.8370080698414335E-2</v>
      </c>
      <c r="T83" s="117">
        <f>+T71/T$74</f>
        <v>7.2085989519643954E-3</v>
      </c>
      <c r="U83" s="117">
        <f t="shared" ref="U83:W84" si="80">+U71/U$74</f>
        <v>-7.3749020559240232E-3</v>
      </c>
      <c r="V83" s="117">
        <f t="shared" si="80"/>
        <v>0.48601368940635059</v>
      </c>
      <c r="W83" s="117">
        <f t="shared" si="80"/>
        <v>0.33447861192235007</v>
      </c>
      <c r="X83" s="166"/>
      <c r="Y83" s="231"/>
      <c r="Z83" s="231"/>
      <c r="AA83" s="231"/>
      <c r="AB83" s="231"/>
      <c r="AC83" s="5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233"/>
      <c r="AW83" s="233"/>
      <c r="AX83" s="233"/>
      <c r="AY83" s="233"/>
      <c r="AZ83" s="233"/>
      <c r="BA83" s="233"/>
      <c r="BB83" s="233"/>
      <c r="BC83" s="233"/>
      <c r="BD83" s="233"/>
    </row>
    <row r="84" spans="1:56" s="1" customFormat="1" ht="13.5" hidden="1" customHeight="1" outlineLevel="1">
      <c r="A84" s="288"/>
      <c r="B84" s="1" t="s">
        <v>337</v>
      </c>
      <c r="C84" s="117"/>
      <c r="D84" s="117"/>
      <c r="E84" s="117"/>
      <c r="F84" s="117"/>
      <c r="G84" s="117"/>
      <c r="H84" s="117">
        <f t="shared" si="64"/>
        <v>-2.6231896544971762E-3</v>
      </c>
      <c r="I84" s="117">
        <f t="shared" si="64"/>
        <v>2.3813189529084304E-3</v>
      </c>
      <c r="J84" s="233"/>
      <c r="K84" s="233"/>
      <c r="L84" s="233"/>
      <c r="M84" s="233"/>
      <c r="N84" s="118"/>
      <c r="O84" s="117"/>
      <c r="P84" s="117"/>
      <c r="Q84" s="117"/>
      <c r="R84" s="117"/>
      <c r="S84" s="117">
        <f t="shared" si="67"/>
        <v>-4.3007709657224688E-3</v>
      </c>
      <c r="T84" s="117">
        <f>+T72/T$74</f>
        <v>-2.2482548712188881E-3</v>
      </c>
      <c r="U84" s="117">
        <f t="shared" si="80"/>
        <v>6.393002449011708E-5</v>
      </c>
      <c r="V84" s="117">
        <f t="shared" si="80"/>
        <v>6.1289518750033134E-3</v>
      </c>
      <c r="W84" s="117">
        <f t="shared" si="80"/>
        <v>0</v>
      </c>
      <c r="X84" s="166"/>
      <c r="Y84" s="231"/>
      <c r="Z84" s="231"/>
      <c r="AA84" s="231"/>
      <c r="AB84" s="231"/>
      <c r="AC84" s="5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233"/>
      <c r="AW84" s="233"/>
      <c r="AX84" s="233"/>
      <c r="AY84" s="233"/>
      <c r="AZ84" s="233"/>
      <c r="BA84" s="233"/>
      <c r="BB84" s="233"/>
      <c r="BC84" s="233"/>
      <c r="BD84" s="233"/>
    </row>
    <row r="85" spans="1:56" s="5" customFormat="1" ht="13.5" hidden="1" customHeight="1" outlineLevel="1">
      <c r="A85" s="8"/>
      <c r="B85" s="5" t="s">
        <v>329</v>
      </c>
      <c r="C85" s="120"/>
      <c r="D85" s="120"/>
      <c r="E85" s="120">
        <f t="shared" ref="E85:F85" si="81">+SUM(E79:E83)</f>
        <v>1</v>
      </c>
      <c r="F85" s="120">
        <f t="shared" si="81"/>
        <v>1</v>
      </c>
      <c r="G85" s="120">
        <f t="shared" ref="G85" si="82">+SUM(G79:G83)</f>
        <v>1</v>
      </c>
      <c r="H85" s="120">
        <f>+SUM(H79:H84)</f>
        <v>0.99999999999999989</v>
      </c>
      <c r="I85" s="120">
        <f>+SUM(I79:I84)</f>
        <v>1.0333668264341598</v>
      </c>
      <c r="J85" s="233"/>
      <c r="K85" s="233"/>
      <c r="L85" s="233"/>
      <c r="M85" s="233"/>
      <c r="N85" s="119"/>
      <c r="O85" s="120">
        <f t="shared" ref="O85:P85" si="83">+SUM(O79:O83)</f>
        <v>1.0000000000000002</v>
      </c>
      <c r="P85" s="120">
        <f t="shared" si="83"/>
        <v>1</v>
      </c>
      <c r="Q85" s="120">
        <f>+SUM(Q79:Q83)</f>
        <v>1</v>
      </c>
      <c r="R85" s="120">
        <f t="shared" ref="R85" si="84">+SUM(R79:R83)</f>
        <v>1</v>
      </c>
      <c r="S85" s="120">
        <f>+SUM(S79:S84)</f>
        <v>1</v>
      </c>
      <c r="T85" s="120">
        <f>+SUM(T79:T84)</f>
        <v>0.99999999999999989</v>
      </c>
      <c r="U85" s="120">
        <f>+SUM(U79:U84)</f>
        <v>1</v>
      </c>
      <c r="V85" s="120">
        <f>+SUM(V79:V84)</f>
        <v>1.0873269604958302</v>
      </c>
      <c r="W85" s="120">
        <f>+SUM(W79:W84)</f>
        <v>1</v>
      </c>
      <c r="X85" s="151"/>
      <c r="Y85" s="232"/>
      <c r="Z85" s="232"/>
      <c r="AA85" s="232"/>
      <c r="AB85" s="232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233"/>
      <c r="AW85" s="233"/>
      <c r="AX85" s="233"/>
      <c r="AY85" s="233"/>
      <c r="AZ85" s="233"/>
      <c r="BA85" s="233"/>
      <c r="BB85" s="233"/>
      <c r="BC85" s="233"/>
      <c r="BD85" s="233"/>
    </row>
    <row r="86" spans="1:56" s="5" customFormat="1" ht="13.5" hidden="1" customHeight="1" outlineLevel="1"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Y86" s="113"/>
      <c r="AZ86" s="113"/>
      <c r="BA86" s="113"/>
      <c r="BC86" s="113"/>
      <c r="BD86" s="113"/>
    </row>
    <row r="87" spans="1:56" s="5" customFormat="1" ht="13.5" customHeight="1" collapsed="1">
      <c r="A87" s="8"/>
      <c r="B87" s="283" t="s">
        <v>340</v>
      </c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2"/>
      <c r="N87" s="66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  <c r="AD87" s="281"/>
      <c r="AE87" s="281"/>
      <c r="AF87" s="281"/>
      <c r="AG87" s="281"/>
      <c r="AH87" s="281"/>
      <c r="AI87" s="281"/>
      <c r="AJ87" s="281"/>
      <c r="AK87" s="281"/>
      <c r="AL87" s="281"/>
      <c r="AM87" s="281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81"/>
      <c r="AY87" s="281"/>
      <c r="AZ87" s="281"/>
      <c r="BA87" s="281"/>
      <c r="BB87" s="281"/>
      <c r="BC87" s="281"/>
      <c r="BD87" s="281"/>
    </row>
    <row r="88" spans="1:56" s="1" customFormat="1" ht="13.5" customHeight="1">
      <c r="A88" s="288"/>
      <c r="B88" s="1" t="s">
        <v>341</v>
      </c>
      <c r="C88" s="112">
        <f>83.203+72.767</f>
        <v>155.97</v>
      </c>
      <c r="D88" s="112">
        <f>95.97+85.114</f>
        <v>181.084</v>
      </c>
      <c r="E88" s="112">
        <v>203.441</v>
      </c>
      <c r="F88" s="112">
        <v>216.404</v>
      </c>
      <c r="G88" s="112">
        <v>240.905</v>
      </c>
      <c r="H88" s="112">
        <v>287.32799999999997</v>
      </c>
      <c r="I88" s="112">
        <v>424.72699999999998</v>
      </c>
      <c r="J88" s="112">
        <v>504.6</v>
      </c>
      <c r="K88" s="112">
        <v>590.29999999999995</v>
      </c>
      <c r="L88" s="233"/>
      <c r="M88" s="233"/>
      <c r="N88" s="112"/>
      <c r="O88" s="112">
        <v>102.843</v>
      </c>
      <c r="P88" s="114">
        <f>+F88-O88</f>
        <v>113.56099999999999</v>
      </c>
      <c r="Q88" s="112">
        <v>118.218</v>
      </c>
      <c r="R88" s="114">
        <f>+G88-Q88</f>
        <v>122.687</v>
      </c>
      <c r="S88" s="112">
        <v>135.596</v>
      </c>
      <c r="T88" s="114">
        <f>+H88-S88</f>
        <v>151.73199999999997</v>
      </c>
      <c r="U88" s="112">
        <v>204.119</v>
      </c>
      <c r="V88" s="114">
        <f>+I88-U88</f>
        <v>220.60799999999998</v>
      </c>
      <c r="W88" s="112">
        <v>245.1</v>
      </c>
      <c r="X88" s="114">
        <f>+J88-W88</f>
        <v>259.5</v>
      </c>
      <c r="Y88" s="112">
        <v>285.39999999999998</v>
      </c>
      <c r="Z88" s="114">
        <f t="shared" ref="Z88:Z92" si="85">+K88-Y88</f>
        <v>304.89999999999998</v>
      </c>
      <c r="AA88" s="112">
        <v>333.5</v>
      </c>
      <c r="AB88" s="23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233"/>
      <c r="AW88" s="233"/>
      <c r="AX88" s="233"/>
      <c r="AY88" s="233"/>
      <c r="AZ88" s="233"/>
      <c r="BA88" s="233"/>
      <c r="BB88" s="233"/>
      <c r="BC88" s="233"/>
      <c r="BD88" s="233"/>
    </row>
    <row r="89" spans="1:56" s="1" customFormat="1" ht="13.5" customHeight="1">
      <c r="A89" s="288"/>
      <c r="B89" s="1" t="s">
        <v>342</v>
      </c>
      <c r="C89" s="112">
        <v>23.305</v>
      </c>
      <c r="D89" s="112">
        <v>24.879000000000001</v>
      </c>
      <c r="E89" s="112">
        <v>26.673999999999999</v>
      </c>
      <c r="F89" s="112">
        <v>26.202000000000002</v>
      </c>
      <c r="G89" s="112">
        <v>31.061</v>
      </c>
      <c r="H89" s="112">
        <v>32.530999999999999</v>
      </c>
      <c r="I89" s="112">
        <v>32.923000000000002</v>
      </c>
      <c r="J89" s="112">
        <v>30.7</v>
      </c>
      <c r="K89" s="233"/>
      <c r="L89" s="233"/>
      <c r="M89" s="233"/>
      <c r="N89" s="112"/>
      <c r="O89" s="112">
        <v>12.977</v>
      </c>
      <c r="P89" s="114">
        <f>+F89-O89</f>
        <v>13.225000000000001</v>
      </c>
      <c r="Q89" s="112">
        <v>15.603999999999999</v>
      </c>
      <c r="R89" s="114">
        <f>+G89-Q89</f>
        <v>15.457000000000001</v>
      </c>
      <c r="S89" s="112">
        <v>16.146999999999998</v>
      </c>
      <c r="T89" s="114">
        <f>+H89-S89</f>
        <v>16.384</v>
      </c>
      <c r="U89" s="112">
        <v>16.119</v>
      </c>
      <c r="V89" s="114">
        <f t="shared" ref="V89:V91" si="86">+I89-U89</f>
        <v>16.804000000000002</v>
      </c>
      <c r="W89" s="112">
        <v>15.9</v>
      </c>
      <c r="X89" s="114">
        <f t="shared" ref="X89:X92" si="87">+J89-W89</f>
        <v>14.799999999999999</v>
      </c>
      <c r="Y89" s="112"/>
      <c r="Z89" s="114">
        <f t="shared" si="85"/>
        <v>0</v>
      </c>
      <c r="AA89" s="112"/>
      <c r="AB89" s="23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233"/>
      <c r="AW89" s="233"/>
      <c r="AX89" s="233"/>
      <c r="AY89" s="233"/>
      <c r="AZ89" s="233"/>
      <c r="BA89" s="233"/>
      <c r="BB89" s="233"/>
      <c r="BC89" s="233"/>
      <c r="BD89" s="233"/>
    </row>
    <row r="90" spans="1:56" s="1" customFormat="1" ht="13.5" customHeight="1">
      <c r="A90" s="288"/>
      <c r="B90" s="1" t="s">
        <v>343</v>
      </c>
      <c r="C90" s="112">
        <v>3.1309999999999998</v>
      </c>
      <c r="D90" s="112">
        <v>2.2189999999999999</v>
      </c>
      <c r="E90" s="112">
        <v>0.78600000000000003</v>
      </c>
      <c r="F90" s="112">
        <v>1.0169999999999999</v>
      </c>
      <c r="G90" s="112">
        <v>0.82499999999999996</v>
      </c>
      <c r="H90" s="112">
        <v>0.56799999999999995</v>
      </c>
      <c r="I90" s="112">
        <v>1.0620000000000001</v>
      </c>
      <c r="J90" s="112">
        <v>1.2</v>
      </c>
      <c r="K90" s="233"/>
      <c r="L90" s="233"/>
      <c r="M90" s="233"/>
      <c r="N90" s="112"/>
      <c r="O90" s="112">
        <v>0.504</v>
      </c>
      <c r="P90" s="114">
        <f>+F90-O90</f>
        <v>0.5129999999999999</v>
      </c>
      <c r="Q90" s="112">
        <v>0.432</v>
      </c>
      <c r="R90" s="114">
        <f>+G90-Q90</f>
        <v>0.39299999999999996</v>
      </c>
      <c r="S90" s="112">
        <v>0.39900000000000002</v>
      </c>
      <c r="T90" s="114">
        <f>+H90-S90</f>
        <v>0.16899999999999993</v>
      </c>
      <c r="U90" s="112">
        <v>0.44700000000000001</v>
      </c>
      <c r="V90" s="114">
        <f t="shared" si="86"/>
        <v>0.61499999999999999</v>
      </c>
      <c r="W90" s="112">
        <v>0.6</v>
      </c>
      <c r="X90" s="114">
        <f t="shared" si="87"/>
        <v>0.6</v>
      </c>
      <c r="Y90" s="112"/>
      <c r="Z90" s="114">
        <f t="shared" si="85"/>
        <v>0</v>
      </c>
      <c r="AA90" s="112"/>
      <c r="AB90" s="23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233"/>
      <c r="AW90" s="233"/>
      <c r="AX90" s="233"/>
      <c r="AY90" s="233"/>
      <c r="AZ90" s="233"/>
      <c r="BA90" s="233"/>
      <c r="BB90" s="233"/>
      <c r="BC90" s="233"/>
      <c r="BD90" s="233"/>
    </row>
    <row r="91" spans="1:56" s="1" customFormat="1" ht="13.5" customHeight="1">
      <c r="A91" s="288"/>
      <c r="B91" s="1" t="s">
        <v>99</v>
      </c>
      <c r="C91" s="112">
        <v>0.29899999999999999</v>
      </c>
      <c r="D91" s="112">
        <v>7.8E-2</v>
      </c>
      <c r="E91" s="112">
        <v>11.058999999999999</v>
      </c>
      <c r="F91" s="112">
        <v>14.363</v>
      </c>
      <c r="G91" s="112">
        <v>19.143999999999998</v>
      </c>
      <c r="H91" s="112">
        <v>14.224</v>
      </c>
      <c r="I91" s="112">
        <v>26.305</v>
      </c>
      <c r="J91" s="112">
        <v>35.4</v>
      </c>
      <c r="K91" s="112">
        <v>43.5</v>
      </c>
      <c r="L91" s="233"/>
      <c r="M91" s="233"/>
      <c r="N91" s="112"/>
      <c r="O91" s="112">
        <v>6.577</v>
      </c>
      <c r="P91" s="114">
        <f>+F91-O91</f>
        <v>7.7859999999999996</v>
      </c>
      <c r="Q91" s="112">
        <v>6.3330000000000002</v>
      </c>
      <c r="R91" s="114">
        <f>+G91-Q91</f>
        <v>12.810999999999998</v>
      </c>
      <c r="S91" s="112">
        <v>7.6660000000000004</v>
      </c>
      <c r="T91" s="114">
        <f>+H91-S91</f>
        <v>6.5579999999999998</v>
      </c>
      <c r="U91" s="112">
        <v>9.8149999999999995</v>
      </c>
      <c r="V91" s="114">
        <f t="shared" si="86"/>
        <v>16.490000000000002</v>
      </c>
      <c r="W91" s="112">
        <v>18.8</v>
      </c>
      <c r="X91" s="114">
        <f t="shared" si="87"/>
        <v>16.599999999999998</v>
      </c>
      <c r="Y91" s="112">
        <v>20.100000000000001</v>
      </c>
      <c r="Z91" s="114">
        <f t="shared" si="85"/>
        <v>23.4</v>
      </c>
      <c r="AA91" s="112">
        <v>19.100000000000001</v>
      </c>
      <c r="AB91" s="23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233"/>
      <c r="AW91" s="233"/>
      <c r="AX91" s="233"/>
      <c r="AY91" s="233"/>
      <c r="AZ91" s="233"/>
      <c r="BA91" s="233"/>
      <c r="BB91" s="233"/>
      <c r="BC91" s="233"/>
      <c r="BD91" s="233"/>
    </row>
    <row r="92" spans="1:56" s="1" customFormat="1" ht="13.5" customHeight="1">
      <c r="A92" s="288"/>
      <c r="B92" s="1" t="s">
        <v>344</v>
      </c>
      <c r="C92" s="153"/>
      <c r="D92" s="153"/>
      <c r="E92" s="153"/>
      <c r="F92" s="153"/>
      <c r="G92" s="153"/>
      <c r="H92" s="153"/>
      <c r="I92" s="153"/>
      <c r="J92" s="233"/>
      <c r="K92" s="112">
        <v>30.3</v>
      </c>
      <c r="L92" s="233"/>
      <c r="M92" s="233"/>
      <c r="N92" s="112"/>
      <c r="O92" s="112"/>
      <c r="P92" s="114"/>
      <c r="Q92" s="112"/>
      <c r="R92" s="114"/>
      <c r="S92" s="112"/>
      <c r="T92" s="114"/>
      <c r="U92" s="112"/>
      <c r="V92" s="114"/>
      <c r="W92" s="114"/>
      <c r="X92" s="114">
        <f t="shared" si="87"/>
        <v>0</v>
      </c>
      <c r="Y92" s="112">
        <v>15.4</v>
      </c>
      <c r="Z92" s="114">
        <f t="shared" si="85"/>
        <v>14.9</v>
      </c>
      <c r="AA92" s="112">
        <v>14.6</v>
      </c>
      <c r="AB92" s="23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233"/>
      <c r="AW92" s="233"/>
      <c r="AX92" s="233"/>
      <c r="AY92" s="233"/>
      <c r="AZ92" s="233"/>
      <c r="BA92" s="233"/>
      <c r="BB92" s="233"/>
      <c r="BC92" s="233"/>
      <c r="BD92" s="233"/>
    </row>
    <row r="93" spans="1:56" s="5" customFormat="1" ht="13.5" customHeight="1">
      <c r="B93" s="5" t="s">
        <v>329</v>
      </c>
      <c r="C93" s="113">
        <f t="shared" ref="C93:J93" si="88">+SUM(C88:C92)</f>
        <v>182.70500000000001</v>
      </c>
      <c r="D93" s="113">
        <f t="shared" si="88"/>
        <v>208.26</v>
      </c>
      <c r="E93" s="113">
        <f t="shared" si="88"/>
        <v>241.96</v>
      </c>
      <c r="F93" s="113">
        <f t="shared" si="88"/>
        <v>257.98599999999999</v>
      </c>
      <c r="G93" s="113">
        <f t="shared" si="88"/>
        <v>291.935</v>
      </c>
      <c r="H93" s="113">
        <f t="shared" si="88"/>
        <v>334.65099999999995</v>
      </c>
      <c r="I93" s="113">
        <f t="shared" si="88"/>
        <v>485.017</v>
      </c>
      <c r="J93" s="113">
        <f t="shared" si="88"/>
        <v>571.90000000000009</v>
      </c>
      <c r="K93" s="113">
        <f>+SUM(K88:K92)</f>
        <v>664.09999999999991</v>
      </c>
      <c r="L93" s="113">
        <v>759.8</v>
      </c>
      <c r="M93" s="308">
        <f t="shared" ref="M93" si="89">SUM(AA93:AB93)</f>
        <v>759.8</v>
      </c>
      <c r="N93" s="113"/>
      <c r="O93" s="113">
        <f t="shared" ref="O93:X93" si="90">+SUM(O88:O91)</f>
        <v>122.90100000000001</v>
      </c>
      <c r="P93" s="113">
        <f t="shared" si="90"/>
        <v>135.08500000000001</v>
      </c>
      <c r="Q93" s="113">
        <f t="shared" si="90"/>
        <v>140.58699999999999</v>
      </c>
      <c r="R93" s="113">
        <f t="shared" si="90"/>
        <v>151.34800000000001</v>
      </c>
      <c r="S93" s="113">
        <f t="shared" si="90"/>
        <v>159.80799999999999</v>
      </c>
      <c r="T93" s="113">
        <f t="shared" si="90"/>
        <v>174.84299999999999</v>
      </c>
      <c r="U93" s="113">
        <f t="shared" si="90"/>
        <v>230.5</v>
      </c>
      <c r="V93" s="113">
        <f t="shared" ref="V93" si="91">+SUM(V88:V91)</f>
        <v>254.517</v>
      </c>
      <c r="W93" s="113">
        <f t="shared" si="90"/>
        <v>280.40000000000003</v>
      </c>
      <c r="X93" s="113">
        <f t="shared" si="90"/>
        <v>291.50000000000006</v>
      </c>
      <c r="Y93" s="113">
        <f>+SUM(Y88:Y92)</f>
        <v>320.89999999999998</v>
      </c>
      <c r="Z93" s="113">
        <f>+SUM(Z88:Z92)</f>
        <v>343.19999999999993</v>
      </c>
      <c r="AA93" s="113">
        <f>+SUM(AA88:AA92)</f>
        <v>367.20000000000005</v>
      </c>
      <c r="AB93" s="113">
        <f>L93-AA93</f>
        <v>392.59999999999991</v>
      </c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233"/>
      <c r="AW93" s="233"/>
      <c r="AX93" s="233"/>
      <c r="AY93" s="233"/>
      <c r="AZ93" s="233"/>
      <c r="BA93" s="233"/>
      <c r="BB93" s="233"/>
      <c r="BC93" s="233"/>
      <c r="BD93" s="233"/>
    </row>
    <row r="94" spans="1:56" s="278" customFormat="1" ht="13.5" customHeight="1">
      <c r="B94" s="278" t="s">
        <v>330</v>
      </c>
      <c r="C94" s="289"/>
      <c r="D94" s="289">
        <f>+D93-Model!D7</f>
        <v>0</v>
      </c>
      <c r="E94" s="289">
        <f>+E93-Model!E7</f>
        <v>0</v>
      </c>
      <c r="F94" s="289">
        <f>+F93-Model!F7</f>
        <v>0</v>
      </c>
      <c r="G94" s="289">
        <f>+G93-Model!G7</f>
        <v>0</v>
      </c>
      <c r="H94" s="291">
        <f>+H93-Model!H7</f>
        <v>0</v>
      </c>
      <c r="I94" s="291">
        <f>+I93-Model!J7</f>
        <v>0</v>
      </c>
      <c r="J94" s="291">
        <f>+J93-Model!K7</f>
        <v>0</v>
      </c>
      <c r="K94" s="291">
        <f>+K93-Model!M7</f>
        <v>0</v>
      </c>
      <c r="L94" s="291">
        <f>+L93-Model!N7</f>
        <v>0</v>
      </c>
      <c r="M94" s="291">
        <f>+M93-Model!O7</f>
        <v>-22.600000000000023</v>
      </c>
      <c r="N94" s="289"/>
      <c r="O94" s="289">
        <f>+O93-Model!Q7</f>
        <v>0</v>
      </c>
      <c r="P94" s="289">
        <f>+P93-Model!R7</f>
        <v>0</v>
      </c>
      <c r="Q94" s="289">
        <f>+Q93-Model!S7</f>
        <v>0</v>
      </c>
      <c r="R94" s="289">
        <f>+R93-Model!T7</f>
        <v>0</v>
      </c>
      <c r="S94" s="289">
        <f>+S93-Model!U7</f>
        <v>0</v>
      </c>
      <c r="T94" s="289">
        <f>+T93-Model!V7</f>
        <v>0</v>
      </c>
      <c r="U94" s="289"/>
      <c r="V94" s="289">
        <f>+V93-Model!X7</f>
        <v>0</v>
      </c>
      <c r="W94" s="289">
        <f>+W93-Model!Y7</f>
        <v>0</v>
      </c>
      <c r="X94" s="289"/>
      <c r="Y94" s="289">
        <f>+Y93-Model!AA7</f>
        <v>0</v>
      </c>
      <c r="Z94" s="289">
        <f>+Z93-Model!AB7</f>
        <v>0</v>
      </c>
      <c r="AA94" s="289">
        <f>+AA93-Model!AC7</f>
        <v>0</v>
      </c>
      <c r="AB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Y94" s="289"/>
      <c r="AZ94" s="289"/>
      <c r="BA94" s="289"/>
      <c r="BC94" s="289"/>
      <c r="BD94" s="289"/>
    </row>
    <row r="95" spans="1:56" s="5" customFormat="1" ht="13.5" customHeight="1"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H95" s="113"/>
      <c r="AJ95" s="113"/>
      <c r="AK95" s="113"/>
      <c r="AL95" s="113"/>
      <c r="AO95" s="113"/>
      <c r="AP95" s="113"/>
      <c r="AS95" s="113"/>
      <c r="AT95" s="113"/>
      <c r="AW95" s="113"/>
      <c r="BA95" s="113"/>
    </row>
    <row r="96" spans="1:56" s="5" customFormat="1" ht="13.5" customHeight="1">
      <c r="B96" s="5" t="s">
        <v>345</v>
      </c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H96" s="113"/>
      <c r="AJ96" s="113"/>
      <c r="AK96" s="113"/>
      <c r="AL96" s="113"/>
      <c r="AO96" s="113"/>
      <c r="AP96" s="113"/>
      <c r="AS96" s="113"/>
      <c r="AT96" s="113"/>
      <c r="AW96" s="113"/>
      <c r="BA96" s="113"/>
    </row>
    <row r="97" spans="1:56" s="1" customFormat="1" ht="13.5" customHeight="1">
      <c r="A97" s="288"/>
      <c r="B97" s="1" t="s">
        <v>341</v>
      </c>
      <c r="C97" s="117">
        <f t="shared" ref="C97:K97" si="92">+C88/C$93</f>
        <v>0.8536712186311266</v>
      </c>
      <c r="D97" s="117">
        <f t="shared" si="92"/>
        <v>0.86950926726207634</v>
      </c>
      <c r="E97" s="117">
        <f t="shared" si="92"/>
        <v>0.84080426516779627</v>
      </c>
      <c r="F97" s="117">
        <f t="shared" si="92"/>
        <v>0.83882071120138302</v>
      </c>
      <c r="G97" s="117">
        <f t="shared" si="92"/>
        <v>0.82520081524997002</v>
      </c>
      <c r="H97" s="117">
        <f t="shared" si="92"/>
        <v>0.85858999375468781</v>
      </c>
      <c r="I97" s="117">
        <f t="shared" si="92"/>
        <v>0.87569507872919916</v>
      </c>
      <c r="J97" s="117">
        <f t="shared" si="92"/>
        <v>0.88232208428046854</v>
      </c>
      <c r="K97" s="117">
        <f t="shared" si="92"/>
        <v>0.88887215780755913</v>
      </c>
      <c r="L97" s="233"/>
      <c r="M97" s="233"/>
      <c r="N97" s="118"/>
      <c r="O97" s="117">
        <f t="shared" ref="O97:AA97" si="93">+O88/O$93</f>
        <v>0.83679546952425121</v>
      </c>
      <c r="P97" s="117">
        <f t="shared" si="93"/>
        <v>0.84066328607913521</v>
      </c>
      <c r="Q97" s="117">
        <f t="shared" si="93"/>
        <v>0.84088856010868729</v>
      </c>
      <c r="R97" s="117">
        <f t="shared" si="93"/>
        <v>0.81062848534503251</v>
      </c>
      <c r="S97" s="117">
        <f t="shared" si="93"/>
        <v>0.84849319183019634</v>
      </c>
      <c r="T97" s="117">
        <f t="shared" si="93"/>
        <v>0.86781855721990575</v>
      </c>
      <c r="U97" s="117">
        <f t="shared" si="93"/>
        <v>0.88554880694143168</v>
      </c>
      <c r="V97" s="117">
        <f t="shared" si="93"/>
        <v>0.86677117834957973</v>
      </c>
      <c r="W97" s="117">
        <f t="shared" si="93"/>
        <v>0.8741084165477887</v>
      </c>
      <c r="X97" s="117">
        <f t="shared" si="93"/>
        <v>0.89022298456260707</v>
      </c>
      <c r="Y97" s="117">
        <f t="shared" si="93"/>
        <v>0.88937363664693048</v>
      </c>
      <c r="Z97" s="117">
        <f t="shared" si="93"/>
        <v>0.88840326340326348</v>
      </c>
      <c r="AA97" s="117">
        <f t="shared" si="93"/>
        <v>0.90822440087145961</v>
      </c>
      <c r="AB97" s="23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233"/>
      <c r="AW97" s="233"/>
      <c r="AX97" s="233"/>
      <c r="AY97" s="233"/>
      <c r="AZ97" s="233"/>
      <c r="BA97" s="233"/>
      <c r="BB97" s="233"/>
      <c r="BC97" s="233"/>
      <c r="BD97" s="233"/>
    </row>
    <row r="98" spans="1:56" s="1" customFormat="1" ht="13.5" customHeight="1">
      <c r="A98" s="288"/>
      <c r="B98" s="1" t="s">
        <v>342</v>
      </c>
      <c r="C98" s="117">
        <f t="shared" ref="C98:J100" si="94">+C89/C$93</f>
        <v>0.12755534878629485</v>
      </c>
      <c r="D98" s="117">
        <f t="shared" si="94"/>
        <v>0.11946125036012678</v>
      </c>
      <c r="E98" s="117">
        <f t="shared" si="94"/>
        <v>0.11024136220862953</v>
      </c>
      <c r="F98" s="117">
        <f t="shared" si="94"/>
        <v>0.10156365074073788</v>
      </c>
      <c r="G98" s="117">
        <f t="shared" si="94"/>
        <v>0.10639697192868275</v>
      </c>
      <c r="H98" s="117">
        <f t="shared" si="94"/>
        <v>9.7208733874992168E-2</v>
      </c>
      <c r="I98" s="117">
        <f t="shared" si="94"/>
        <v>6.7880094924507806E-2</v>
      </c>
      <c r="J98" s="117">
        <f t="shared" si="94"/>
        <v>5.3680713411435557E-2</v>
      </c>
      <c r="K98" s="233"/>
      <c r="L98" s="233"/>
      <c r="M98" s="233"/>
      <c r="N98" s="118"/>
      <c r="O98" s="117">
        <f t="shared" ref="O98:AA98" si="95">+O89/O$93</f>
        <v>0.10558905135027379</v>
      </c>
      <c r="P98" s="117">
        <f t="shared" si="95"/>
        <v>9.7901321390235788E-2</v>
      </c>
      <c r="Q98" s="117">
        <f t="shared" si="95"/>
        <v>0.11099177022057516</v>
      </c>
      <c r="R98" s="117">
        <f t="shared" si="95"/>
        <v>0.102128868567804</v>
      </c>
      <c r="S98" s="117">
        <f t="shared" si="95"/>
        <v>0.10103999799759711</v>
      </c>
      <c r="T98" s="117">
        <f t="shared" si="95"/>
        <v>9.370692564186156E-2</v>
      </c>
      <c r="U98" s="117">
        <f t="shared" si="95"/>
        <v>6.9930585683297172E-2</v>
      </c>
      <c r="V98" s="117">
        <f t="shared" si="95"/>
        <v>6.6023094724517423E-2</v>
      </c>
      <c r="W98" s="117">
        <f t="shared" si="95"/>
        <v>5.6704707560627669E-2</v>
      </c>
      <c r="X98" s="117">
        <f t="shared" si="95"/>
        <v>5.0771869639794152E-2</v>
      </c>
      <c r="Y98" s="117">
        <f t="shared" si="95"/>
        <v>0</v>
      </c>
      <c r="Z98" s="117">
        <f t="shared" si="95"/>
        <v>0</v>
      </c>
      <c r="AA98" s="117">
        <f t="shared" si="95"/>
        <v>0</v>
      </c>
      <c r="AB98" s="23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233"/>
      <c r="AW98" s="233"/>
      <c r="AX98" s="233"/>
      <c r="AY98" s="233"/>
      <c r="AZ98" s="233"/>
      <c r="BA98" s="233"/>
      <c r="BB98" s="233"/>
      <c r="BC98" s="233"/>
      <c r="BD98" s="233"/>
    </row>
    <row r="99" spans="1:56" s="1" customFormat="1" ht="13.5" customHeight="1">
      <c r="A99" s="288"/>
      <c r="B99" s="1" t="s">
        <v>343</v>
      </c>
      <c r="C99" s="117">
        <f t="shared" si="94"/>
        <v>1.7136914698557781E-2</v>
      </c>
      <c r="D99" s="117">
        <f t="shared" si="94"/>
        <v>1.0654950542590991E-2</v>
      </c>
      <c r="E99" s="117">
        <f t="shared" si="94"/>
        <v>3.2484708216234089E-3</v>
      </c>
      <c r="F99" s="117">
        <f t="shared" si="94"/>
        <v>3.9420743761289373E-3</v>
      </c>
      <c r="G99" s="117">
        <f t="shared" si="94"/>
        <v>2.8259715347594499E-3</v>
      </c>
      <c r="H99" s="117">
        <f t="shared" si="94"/>
        <v>1.6972906102178092E-3</v>
      </c>
      <c r="I99" s="117">
        <f t="shared" si="94"/>
        <v>2.1896139722937546E-3</v>
      </c>
      <c r="J99" s="117">
        <f t="shared" si="94"/>
        <v>2.098268928134289E-3</v>
      </c>
      <c r="K99" s="233"/>
      <c r="L99" s="233"/>
      <c r="M99" s="233"/>
      <c r="N99" s="118"/>
      <c r="O99" s="117">
        <f t="shared" ref="O99:AA99" si="96">+O90/O$93</f>
        <v>4.1008616691483382E-3</v>
      </c>
      <c r="P99" s="117">
        <f t="shared" si="96"/>
        <v>3.7976089129066874E-3</v>
      </c>
      <c r="Q99" s="117">
        <f t="shared" si="96"/>
        <v>3.0728303470448906E-3</v>
      </c>
      <c r="R99" s="117">
        <f t="shared" si="96"/>
        <v>2.5966646404313233E-3</v>
      </c>
      <c r="S99" s="117">
        <f t="shared" si="96"/>
        <v>2.4967460953143777E-3</v>
      </c>
      <c r="T99" s="117">
        <f t="shared" si="96"/>
        <v>9.6658144735562725E-4</v>
      </c>
      <c r="U99" s="117">
        <f t="shared" si="96"/>
        <v>1.9392624728850325E-3</v>
      </c>
      <c r="V99" s="117">
        <f t="shared" si="96"/>
        <v>2.4163415410365517E-3</v>
      </c>
      <c r="W99" s="117">
        <f t="shared" si="96"/>
        <v>2.1398002853067043E-3</v>
      </c>
      <c r="X99" s="117">
        <f t="shared" si="96"/>
        <v>2.0583190394511145E-3</v>
      </c>
      <c r="Y99" s="117">
        <f t="shared" si="96"/>
        <v>0</v>
      </c>
      <c r="Z99" s="117">
        <f t="shared" si="96"/>
        <v>0</v>
      </c>
      <c r="AA99" s="117">
        <f t="shared" si="96"/>
        <v>0</v>
      </c>
      <c r="AB99" s="23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233"/>
      <c r="AW99" s="233"/>
      <c r="AX99" s="233"/>
      <c r="AY99" s="233"/>
      <c r="AZ99" s="233"/>
      <c r="BA99" s="233"/>
      <c r="BB99" s="233"/>
      <c r="BC99" s="233"/>
      <c r="BD99" s="233"/>
    </row>
    <row r="100" spans="1:56" s="1" customFormat="1" ht="13.5" customHeight="1">
      <c r="A100" s="288"/>
      <c r="B100" s="1" t="s">
        <v>99</v>
      </c>
      <c r="C100" s="117">
        <f t="shared" si="94"/>
        <v>1.636517884020689E-3</v>
      </c>
      <c r="D100" s="117">
        <f t="shared" si="94"/>
        <v>3.7453183520599252E-4</v>
      </c>
      <c r="E100" s="117">
        <f t="shared" si="94"/>
        <v>4.5705901801950728E-2</v>
      </c>
      <c r="F100" s="117">
        <f t="shared" si="94"/>
        <v>5.5673563681750173E-2</v>
      </c>
      <c r="G100" s="117">
        <f t="shared" si="94"/>
        <v>6.5576241286587761E-2</v>
      </c>
      <c r="H100" s="117">
        <f t="shared" si="94"/>
        <v>4.2503981760102325E-2</v>
      </c>
      <c r="I100" s="117">
        <f t="shared" si="94"/>
        <v>5.423521237399926E-2</v>
      </c>
      <c r="J100" s="117">
        <f t="shared" si="94"/>
        <v>6.1898933379961517E-2</v>
      </c>
      <c r="K100" s="117">
        <f>+K91/K$93</f>
        <v>6.5502183406113551E-2</v>
      </c>
      <c r="L100" s="233"/>
      <c r="M100" s="233"/>
      <c r="N100" s="118"/>
      <c r="O100" s="117">
        <f t="shared" ref="O100:AA100" si="97">+O91/O$93</f>
        <v>5.351461745632663E-2</v>
      </c>
      <c r="P100" s="117">
        <f t="shared" si="97"/>
        <v>5.763778361772217E-2</v>
      </c>
      <c r="Q100" s="117">
        <f t="shared" si="97"/>
        <v>4.5046839323692807E-2</v>
      </c>
      <c r="R100" s="117">
        <f t="shared" si="97"/>
        <v>8.4645981446732022E-2</v>
      </c>
      <c r="S100" s="117">
        <f t="shared" si="97"/>
        <v>4.7970064076892277E-2</v>
      </c>
      <c r="T100" s="117">
        <f t="shared" si="97"/>
        <v>3.7507935690876959E-2</v>
      </c>
      <c r="U100" s="117">
        <f t="shared" si="97"/>
        <v>4.2581344902386117E-2</v>
      </c>
      <c r="V100" s="117">
        <f t="shared" si="97"/>
        <v>6.4789385384866241E-2</v>
      </c>
      <c r="W100" s="117">
        <f t="shared" si="97"/>
        <v>6.7047075606276749E-2</v>
      </c>
      <c r="X100" s="117">
        <f t="shared" si="97"/>
        <v>5.6946826758147495E-2</v>
      </c>
      <c r="Y100" s="117">
        <f t="shared" si="97"/>
        <v>6.2636335306949217E-2</v>
      </c>
      <c r="Z100" s="117">
        <f t="shared" si="97"/>
        <v>6.8181818181818191E-2</v>
      </c>
      <c r="AA100" s="117">
        <f t="shared" si="97"/>
        <v>5.2015250544662307E-2</v>
      </c>
      <c r="AB100" s="23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233"/>
      <c r="AW100" s="233"/>
      <c r="AX100" s="233"/>
      <c r="AY100" s="233"/>
      <c r="AZ100" s="233"/>
      <c r="BA100" s="233"/>
      <c r="BB100" s="233"/>
      <c r="BC100" s="233"/>
      <c r="BD100" s="233"/>
    </row>
    <row r="101" spans="1:56" s="1" customFormat="1" ht="13.5" customHeight="1">
      <c r="A101" s="288"/>
      <c r="B101" s="1" t="s">
        <v>344</v>
      </c>
      <c r="C101" s="153"/>
      <c r="D101" s="153"/>
      <c r="E101" s="153"/>
      <c r="F101" s="153"/>
      <c r="G101" s="153"/>
      <c r="H101" s="153"/>
      <c r="I101" s="153"/>
      <c r="J101" s="233"/>
      <c r="K101" s="117">
        <f>K92/$K$93</f>
        <v>4.5625658786327371E-2</v>
      </c>
      <c r="L101" s="233"/>
      <c r="M101" s="233"/>
      <c r="N101" s="118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23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233"/>
      <c r="AW101" s="233"/>
      <c r="AX101" s="233"/>
      <c r="AY101" s="233"/>
      <c r="AZ101" s="233"/>
      <c r="BA101" s="233"/>
      <c r="BB101" s="233"/>
      <c r="BC101" s="233"/>
      <c r="BD101" s="233"/>
    </row>
    <row r="102" spans="1:56" s="5" customFormat="1" ht="13.5" customHeight="1">
      <c r="A102" s="8"/>
      <c r="B102" s="5" t="s">
        <v>329</v>
      </c>
      <c r="C102" s="120">
        <f t="shared" ref="C102:J102" si="98">+SUM(C97:C101)</f>
        <v>0.99999999999999989</v>
      </c>
      <c r="D102" s="120">
        <f t="shared" si="98"/>
        <v>1.0000000000000002</v>
      </c>
      <c r="E102" s="120">
        <f t="shared" si="98"/>
        <v>1</v>
      </c>
      <c r="F102" s="120">
        <f t="shared" si="98"/>
        <v>1</v>
      </c>
      <c r="G102" s="120">
        <f t="shared" si="98"/>
        <v>1</v>
      </c>
      <c r="H102" s="120">
        <f t="shared" si="98"/>
        <v>1.0000000000000002</v>
      </c>
      <c r="I102" s="120">
        <f t="shared" si="98"/>
        <v>1</v>
      </c>
      <c r="J102" s="120">
        <f t="shared" si="98"/>
        <v>0.99999999999999989</v>
      </c>
      <c r="K102" s="120">
        <f>+SUM(K97:K101)</f>
        <v>1</v>
      </c>
      <c r="L102" s="233"/>
      <c r="M102" s="233"/>
      <c r="N102" s="119"/>
      <c r="O102" s="120">
        <f t="shared" ref="O102:P102" si="99">+SUM(O97:O100)</f>
        <v>1</v>
      </c>
      <c r="P102" s="120">
        <f t="shared" si="99"/>
        <v>0.99999999999999989</v>
      </c>
      <c r="Q102" s="120">
        <f>+SUM(Q97:Q100)</f>
        <v>1.0000000000000002</v>
      </c>
      <c r="R102" s="120">
        <f t="shared" ref="R102:T102" si="100">+SUM(R97:R100)</f>
        <v>0.99999999999999978</v>
      </c>
      <c r="S102" s="120">
        <f>+SUM(S97:S100)</f>
        <v>1</v>
      </c>
      <c r="T102" s="120">
        <f t="shared" si="100"/>
        <v>0.99999999999999989</v>
      </c>
      <c r="U102" s="120">
        <f t="shared" ref="U102:Y102" si="101">+SUM(U97:U100)</f>
        <v>0.99999999999999989</v>
      </c>
      <c r="V102" s="120">
        <f t="shared" si="101"/>
        <v>0.99999999999999989</v>
      </c>
      <c r="W102" s="120">
        <f t="shared" si="101"/>
        <v>0.99999999999999978</v>
      </c>
      <c r="X102" s="120">
        <f t="shared" ref="X102" si="102">+SUM(X97:X100)</f>
        <v>0.99999999999999978</v>
      </c>
      <c r="Y102" s="120">
        <f t="shared" si="101"/>
        <v>0.95200997195387971</v>
      </c>
      <c r="Z102" s="120">
        <f t="shared" ref="Z102" si="103">+SUM(Z97:Z100)</f>
        <v>0.95658508158508171</v>
      </c>
      <c r="AA102" s="120">
        <f t="shared" ref="AA102" si="104">+SUM(AA97:AA100)</f>
        <v>0.96023965141612189</v>
      </c>
      <c r="AB102" s="23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/>
      <c r="AS102" s="153"/>
      <c r="AT102" s="153"/>
      <c r="AU102" s="153"/>
      <c r="AV102" s="233"/>
      <c r="AW102" s="233"/>
      <c r="AX102" s="233"/>
      <c r="AY102" s="233"/>
      <c r="AZ102" s="233"/>
      <c r="BA102" s="233"/>
      <c r="BB102" s="233"/>
      <c r="BC102" s="233"/>
      <c r="BD102" s="233"/>
    </row>
    <row r="103" spans="1:56" s="5" customFormat="1" ht="13.5" customHeight="1"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J103" s="113"/>
      <c r="AK103" s="113"/>
      <c r="AO103" s="113"/>
      <c r="AP103" s="113"/>
      <c r="AS103" s="113"/>
      <c r="AT103" s="113"/>
      <c r="AW103" s="113"/>
      <c r="BA103" s="113"/>
    </row>
    <row r="104" spans="1:56" s="5" customFormat="1" ht="13.5" customHeight="1">
      <c r="A104" s="8"/>
      <c r="B104" s="283" t="s">
        <v>346</v>
      </c>
      <c r="C104" s="281"/>
      <c r="D104" s="281"/>
      <c r="E104" s="281"/>
      <c r="F104" s="281"/>
      <c r="G104" s="281"/>
      <c r="H104" s="281"/>
      <c r="I104" s="281"/>
      <c r="J104" s="281"/>
      <c r="K104" s="281"/>
      <c r="L104" s="281"/>
      <c r="M104" s="282"/>
      <c r="N104" s="66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1"/>
      <c r="AD104" s="281"/>
      <c r="AE104" s="281"/>
      <c r="AF104" s="281"/>
      <c r="AG104" s="281"/>
      <c r="AH104" s="281"/>
      <c r="AI104" s="281"/>
      <c r="AJ104" s="281"/>
      <c r="AK104" s="281"/>
      <c r="AL104" s="281"/>
      <c r="AM104" s="281"/>
      <c r="AN104" s="281"/>
      <c r="AO104" s="281"/>
      <c r="AP104" s="281"/>
      <c r="AQ104" s="281"/>
      <c r="AR104" s="281"/>
      <c r="AS104" s="281"/>
      <c r="AT104" s="281"/>
      <c r="AU104" s="281"/>
      <c r="AV104" s="281"/>
      <c r="AW104" s="281"/>
      <c r="AX104" s="281"/>
      <c r="AY104" s="281"/>
      <c r="AZ104" s="281"/>
      <c r="BA104" s="281"/>
      <c r="BB104" s="281"/>
      <c r="BC104" s="281"/>
      <c r="BD104" s="281"/>
    </row>
    <row r="105" spans="1:56" s="1" customFormat="1" ht="13.5" customHeight="1">
      <c r="A105" s="288"/>
      <c r="B105" s="1" t="s">
        <v>95</v>
      </c>
      <c r="C105" s="112">
        <v>159.32300000000001</v>
      </c>
      <c r="D105" s="112">
        <v>165.90100000000001</v>
      </c>
      <c r="E105" s="112">
        <v>188.25899999999999</v>
      </c>
      <c r="F105" s="112">
        <v>185.89099999999999</v>
      </c>
      <c r="G105" s="112">
        <v>201.20099999999999</v>
      </c>
      <c r="H105" s="112">
        <v>220.036</v>
      </c>
      <c r="I105" s="112">
        <v>248.11699999999999</v>
      </c>
      <c r="J105" s="112">
        <v>276</v>
      </c>
      <c r="K105" s="112">
        <v>297.8</v>
      </c>
      <c r="L105" s="127">
        <v>315.60000000000002</v>
      </c>
      <c r="M105" s="154"/>
      <c r="N105" s="112"/>
      <c r="O105" s="112">
        <v>88.814999999999998</v>
      </c>
      <c r="P105" s="114">
        <f t="shared" ref="P105:P112" si="105">+F105-O105</f>
        <v>97.075999999999993</v>
      </c>
      <c r="Q105" s="112">
        <v>97.495999999999995</v>
      </c>
      <c r="R105" s="114">
        <f t="shared" ref="R105:R115" si="106">+G105-Q105</f>
        <v>103.705</v>
      </c>
      <c r="S105" s="112">
        <v>108</v>
      </c>
      <c r="T105" s="114">
        <f t="shared" ref="T105:T115" si="107">+H105-S105</f>
        <v>112.036</v>
      </c>
      <c r="U105" s="112">
        <v>121.211</v>
      </c>
      <c r="V105" s="114">
        <f>+I105-U105</f>
        <v>126.90599999999999</v>
      </c>
      <c r="W105" s="112">
        <v>136.4</v>
      </c>
      <c r="X105" s="114">
        <f>+J105-W105</f>
        <v>139.6</v>
      </c>
      <c r="Y105" s="112">
        <v>144.6</v>
      </c>
      <c r="Z105" s="114">
        <f t="shared" ref="Z105:Z115" si="108">+K105-Y105</f>
        <v>153.20000000000002</v>
      </c>
      <c r="AA105" s="112">
        <v>153.1</v>
      </c>
      <c r="AB105" s="114">
        <f>+L105-AA105</f>
        <v>162.50000000000003</v>
      </c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/>
      <c r="AS105" s="153"/>
      <c r="AT105" s="153"/>
      <c r="AU105" s="153"/>
      <c r="AV105" s="233"/>
      <c r="AW105" s="233"/>
      <c r="AX105" s="233"/>
      <c r="AY105" s="233"/>
      <c r="AZ105" s="233"/>
      <c r="BA105" s="233"/>
      <c r="BB105" s="233"/>
      <c r="BC105" s="233"/>
      <c r="BD105" s="233"/>
    </row>
    <row r="106" spans="1:56" s="1" customFormat="1" ht="13.5" customHeight="1">
      <c r="A106" s="288"/>
      <c r="B106" s="1" t="s">
        <v>96</v>
      </c>
      <c r="C106" s="112">
        <v>17.434000000000001</v>
      </c>
      <c r="D106" s="112">
        <v>25.678000000000001</v>
      </c>
      <c r="E106" s="112">
        <v>38.618000000000002</v>
      </c>
      <c r="F106" s="112">
        <v>45.703000000000003</v>
      </c>
      <c r="G106" s="112">
        <v>55.280999999999999</v>
      </c>
      <c r="H106" s="112">
        <v>68.447999999999993</v>
      </c>
      <c r="I106" s="112">
        <v>94.76</v>
      </c>
      <c r="J106" s="112">
        <v>113.7</v>
      </c>
      <c r="K106" s="112">
        <v>136.5</v>
      </c>
      <c r="L106" s="127">
        <v>160.19999999999999</v>
      </c>
      <c r="M106" s="154"/>
      <c r="N106" s="112"/>
      <c r="O106" s="112">
        <v>22.483000000000001</v>
      </c>
      <c r="P106" s="114">
        <f t="shared" si="105"/>
        <v>23.220000000000002</v>
      </c>
      <c r="Q106" s="112">
        <v>26.814</v>
      </c>
      <c r="R106" s="114">
        <f t="shared" si="106"/>
        <v>28.466999999999999</v>
      </c>
      <c r="S106" s="112">
        <v>33.168999999999997</v>
      </c>
      <c r="T106" s="114">
        <f t="shared" si="107"/>
        <v>35.278999999999996</v>
      </c>
      <c r="U106" s="112">
        <v>44.86</v>
      </c>
      <c r="V106" s="114">
        <f t="shared" ref="V106:V114" si="109">+I106-U106</f>
        <v>49.900000000000006</v>
      </c>
      <c r="W106" s="112">
        <v>54.5</v>
      </c>
      <c r="X106" s="114">
        <f t="shared" ref="X106:X115" si="110">+J106-W106</f>
        <v>59.2</v>
      </c>
      <c r="Y106" s="112">
        <v>64.400000000000006</v>
      </c>
      <c r="Z106" s="114">
        <f t="shared" si="108"/>
        <v>72.099999999999994</v>
      </c>
      <c r="AA106" s="112">
        <v>77.599999999999994</v>
      </c>
      <c r="AB106" s="114">
        <f t="shared" ref="AB106:AB115" si="111">+L106-AA106</f>
        <v>82.6</v>
      </c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233"/>
      <c r="AW106" s="233"/>
      <c r="AX106" s="233"/>
      <c r="AY106" s="233"/>
      <c r="AZ106" s="233"/>
      <c r="BA106" s="233"/>
      <c r="BB106" s="233"/>
      <c r="BC106" s="233"/>
      <c r="BD106" s="233"/>
    </row>
    <row r="107" spans="1:56" s="1" customFormat="1" ht="13.5" customHeight="1">
      <c r="A107" s="288"/>
      <c r="B107" s="1" t="s">
        <v>97</v>
      </c>
      <c r="C107" s="112">
        <v>3.5139999999999998</v>
      </c>
      <c r="D107" s="112">
        <v>11.718999999999999</v>
      </c>
      <c r="E107" s="112">
        <v>12.224</v>
      </c>
      <c r="F107" s="112">
        <v>24.306999999999999</v>
      </c>
      <c r="G107" s="112">
        <v>28.849</v>
      </c>
      <c r="H107" s="112">
        <v>34.997999999999998</v>
      </c>
      <c r="I107" s="112">
        <v>55.378</v>
      </c>
      <c r="J107" s="112">
        <v>65.3</v>
      </c>
      <c r="K107" s="112">
        <v>60.3</v>
      </c>
      <c r="L107" s="127">
        <v>89.1</v>
      </c>
      <c r="M107" s="154"/>
      <c r="N107" s="112"/>
      <c r="O107" s="112">
        <v>10.928000000000001</v>
      </c>
      <c r="P107" s="114">
        <f t="shared" si="105"/>
        <v>13.378999999999998</v>
      </c>
      <c r="Q107" s="112">
        <v>12.686</v>
      </c>
      <c r="R107" s="114">
        <f t="shared" si="106"/>
        <v>16.163</v>
      </c>
      <c r="S107" s="112">
        <v>14.068</v>
      </c>
      <c r="T107" s="114">
        <f t="shared" si="107"/>
        <v>20.93</v>
      </c>
      <c r="U107" s="112">
        <v>26.632000000000001</v>
      </c>
      <c r="V107" s="114">
        <f t="shared" si="109"/>
        <v>28.745999999999999</v>
      </c>
      <c r="W107" s="112">
        <v>32.799999999999997</v>
      </c>
      <c r="X107" s="114">
        <f t="shared" si="110"/>
        <v>32.5</v>
      </c>
      <c r="Y107" s="112">
        <v>34.9</v>
      </c>
      <c r="Z107" s="114">
        <f t="shared" si="108"/>
        <v>25.4</v>
      </c>
      <c r="AA107" s="112">
        <v>43.9</v>
      </c>
      <c r="AB107" s="114">
        <f t="shared" si="111"/>
        <v>45.199999999999996</v>
      </c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233"/>
      <c r="AW107" s="233"/>
      <c r="AX107" s="233"/>
      <c r="AY107" s="233"/>
      <c r="AZ107" s="233"/>
      <c r="BA107" s="233"/>
      <c r="BB107" s="233"/>
      <c r="BC107" s="233"/>
      <c r="BD107" s="233"/>
    </row>
    <row r="108" spans="1:56" s="1" customFormat="1" ht="13.5" customHeight="1">
      <c r="A108" s="288"/>
      <c r="B108" s="1" t="s">
        <v>326</v>
      </c>
      <c r="C108" s="112">
        <v>10.920999999999999</v>
      </c>
      <c r="D108" s="112">
        <v>15.112</v>
      </c>
      <c r="E108" s="112">
        <v>18.614000000000001</v>
      </c>
      <c r="F108" s="112">
        <v>20.236999999999998</v>
      </c>
      <c r="G108" s="112">
        <v>25.361000000000001</v>
      </c>
      <c r="H108" s="112">
        <v>28.623000000000001</v>
      </c>
      <c r="I108" s="112">
        <v>41.524999999999999</v>
      </c>
      <c r="J108" s="112">
        <v>48.8</v>
      </c>
      <c r="K108" s="112">
        <v>71</v>
      </c>
      <c r="L108" s="127">
        <v>73.3</v>
      </c>
      <c r="M108" s="154"/>
      <c r="N108" s="112"/>
      <c r="O108" s="112">
        <v>9.5289999999999999</v>
      </c>
      <c r="P108" s="114">
        <f t="shared" si="105"/>
        <v>10.707999999999998</v>
      </c>
      <c r="Q108" s="112">
        <v>12.427</v>
      </c>
      <c r="R108" s="114">
        <f t="shared" si="106"/>
        <v>12.934000000000001</v>
      </c>
      <c r="S108" s="112">
        <v>13.946999999999999</v>
      </c>
      <c r="T108" s="114">
        <f t="shared" si="107"/>
        <v>14.676000000000002</v>
      </c>
      <c r="U108" s="112">
        <v>20.048999999999999</v>
      </c>
      <c r="V108" s="114">
        <f t="shared" si="109"/>
        <v>21.475999999999999</v>
      </c>
      <c r="W108" s="112">
        <v>22.9</v>
      </c>
      <c r="X108" s="114">
        <f t="shared" si="110"/>
        <v>25.9</v>
      </c>
      <c r="Y108" s="112">
        <v>28.2</v>
      </c>
      <c r="Z108" s="114">
        <f t="shared" si="108"/>
        <v>42.8</v>
      </c>
      <c r="AA108" s="112">
        <v>36</v>
      </c>
      <c r="AB108" s="114">
        <f t="shared" si="111"/>
        <v>37.299999999999997</v>
      </c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/>
      <c r="AV108" s="233"/>
      <c r="AW108" s="233"/>
      <c r="AX108" s="233"/>
      <c r="AY108" s="233"/>
      <c r="AZ108" s="233"/>
      <c r="BA108" s="233"/>
      <c r="BB108" s="233"/>
      <c r="BC108" s="233"/>
      <c r="BD108" s="233"/>
    </row>
    <row r="109" spans="1:56" s="1" customFormat="1" ht="13.5" customHeight="1">
      <c r="A109" s="288"/>
      <c r="B109" s="1" t="s">
        <v>347</v>
      </c>
      <c r="C109" s="112">
        <v>2.4020000000000001</v>
      </c>
      <c r="D109" s="112">
        <v>2.1859999999999999</v>
      </c>
      <c r="E109" s="112">
        <v>2.4969999999999999</v>
      </c>
      <c r="F109" s="112">
        <v>1.786</v>
      </c>
      <c r="G109" s="112">
        <v>1.9179999999999999</v>
      </c>
      <c r="H109" s="112">
        <v>0.70799999999999996</v>
      </c>
      <c r="I109" s="112">
        <v>69.632999999999996</v>
      </c>
      <c r="J109" s="112">
        <v>81.5</v>
      </c>
      <c r="K109" s="112">
        <v>91.5</v>
      </c>
      <c r="L109" s="127">
        <v>90</v>
      </c>
      <c r="M109" s="154"/>
      <c r="N109" s="112"/>
      <c r="O109" s="112">
        <v>0.67900000000000005</v>
      </c>
      <c r="P109" s="114">
        <f t="shared" si="105"/>
        <v>1.107</v>
      </c>
      <c r="Q109" s="112">
        <v>0.75700000000000001</v>
      </c>
      <c r="R109" s="114">
        <f t="shared" si="106"/>
        <v>1.161</v>
      </c>
      <c r="S109" s="112">
        <v>0.33300000000000002</v>
      </c>
      <c r="T109" s="114">
        <f t="shared" si="107"/>
        <v>0.37499999999999994</v>
      </c>
      <c r="U109" s="112">
        <v>31.63</v>
      </c>
      <c r="V109" s="114">
        <f t="shared" si="109"/>
        <v>38.003</v>
      </c>
      <c r="W109" s="112">
        <v>40.9</v>
      </c>
      <c r="X109" s="114">
        <f t="shared" si="110"/>
        <v>40.6</v>
      </c>
      <c r="Y109" s="112">
        <v>45.2</v>
      </c>
      <c r="Z109" s="114">
        <f t="shared" si="108"/>
        <v>46.3</v>
      </c>
      <c r="AA109" s="112">
        <v>43.4</v>
      </c>
      <c r="AB109" s="114">
        <f t="shared" si="111"/>
        <v>46.6</v>
      </c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/>
      <c r="AQ109" s="153"/>
      <c r="AR109" s="153"/>
      <c r="AS109" s="153"/>
      <c r="AT109" s="153"/>
      <c r="AU109" s="153"/>
      <c r="AV109" s="233"/>
      <c r="AW109" s="233"/>
      <c r="AX109" s="233"/>
      <c r="AY109" s="233"/>
      <c r="AZ109" s="233"/>
      <c r="BA109" s="233"/>
      <c r="BB109" s="233"/>
      <c r="BC109" s="233"/>
      <c r="BD109" s="233"/>
    </row>
    <row r="110" spans="1:56" s="1" customFormat="1" ht="13.5" customHeight="1">
      <c r="A110" s="288"/>
      <c r="B110" s="1" t="s">
        <v>348</v>
      </c>
      <c r="C110" s="112">
        <v>1.256</v>
      </c>
      <c r="D110" s="112">
        <v>1.5449999999999999</v>
      </c>
      <c r="E110" s="112">
        <v>1.542</v>
      </c>
      <c r="F110" s="112">
        <v>1.476</v>
      </c>
      <c r="G110" s="112">
        <v>1.506</v>
      </c>
      <c r="H110" s="112">
        <v>2.5099999999999998</v>
      </c>
      <c r="I110" s="112">
        <v>4.1219999999999999</v>
      </c>
      <c r="J110" s="112">
        <v>8.4</v>
      </c>
      <c r="K110" s="112">
        <v>23.8</v>
      </c>
      <c r="L110" s="127">
        <v>48.2</v>
      </c>
      <c r="M110" s="154"/>
      <c r="N110" s="112"/>
      <c r="O110" s="112">
        <v>0.95699999999999996</v>
      </c>
      <c r="P110" s="114">
        <f t="shared" si="105"/>
        <v>0.51900000000000002</v>
      </c>
      <c r="Q110" s="112">
        <v>1.0189999999999999</v>
      </c>
      <c r="R110" s="114">
        <f t="shared" si="106"/>
        <v>0.4870000000000001</v>
      </c>
      <c r="S110" s="112">
        <v>0.92100000000000004</v>
      </c>
      <c r="T110" s="114">
        <f t="shared" si="107"/>
        <v>1.5889999999999997</v>
      </c>
      <c r="U110" s="112">
        <v>1.4930000000000001</v>
      </c>
      <c r="V110" s="114">
        <f t="shared" si="109"/>
        <v>2.6289999999999996</v>
      </c>
      <c r="W110" s="112">
        <v>4.2</v>
      </c>
      <c r="X110" s="114">
        <f t="shared" si="110"/>
        <v>4.2</v>
      </c>
      <c r="Y110" s="112">
        <v>9.4</v>
      </c>
      <c r="Z110" s="114">
        <f t="shared" si="108"/>
        <v>14.4</v>
      </c>
      <c r="AA110" s="112">
        <v>21.2</v>
      </c>
      <c r="AB110" s="114">
        <f t="shared" si="111"/>
        <v>27.000000000000004</v>
      </c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233"/>
      <c r="AW110" s="233"/>
      <c r="AX110" s="233"/>
      <c r="AY110" s="233"/>
      <c r="AZ110" s="233"/>
      <c r="BA110" s="233"/>
      <c r="BB110" s="233"/>
      <c r="BC110" s="233"/>
      <c r="BD110" s="233"/>
    </row>
    <row r="111" spans="1:56" s="1" customFormat="1" ht="13.5" customHeight="1">
      <c r="A111" s="288"/>
      <c r="B111" s="1" t="s">
        <v>349</v>
      </c>
      <c r="C111" s="112">
        <v>0</v>
      </c>
      <c r="D111" s="112">
        <v>0</v>
      </c>
      <c r="E111" s="112">
        <v>2.5999999999999999E-2</v>
      </c>
      <c r="F111" s="112">
        <v>0.79300000000000004</v>
      </c>
      <c r="G111" s="112">
        <v>3.5390000000000001</v>
      </c>
      <c r="H111" s="112">
        <v>8.56</v>
      </c>
      <c r="I111" s="112">
        <v>13.064</v>
      </c>
      <c r="J111" s="112">
        <v>18.5</v>
      </c>
      <c r="K111" s="112">
        <v>31.6</v>
      </c>
      <c r="L111" s="127">
        <v>39.799999999999997</v>
      </c>
      <c r="M111" s="154"/>
      <c r="N111" s="112"/>
      <c r="O111" s="112">
        <v>0.34200000000000003</v>
      </c>
      <c r="P111" s="114">
        <f t="shared" si="105"/>
        <v>0.45100000000000001</v>
      </c>
      <c r="Q111" s="112">
        <v>1.4610000000000001</v>
      </c>
      <c r="R111" s="114">
        <f t="shared" si="106"/>
        <v>2.0780000000000003</v>
      </c>
      <c r="S111" s="112">
        <v>3.6419999999999999</v>
      </c>
      <c r="T111" s="114">
        <f t="shared" si="107"/>
        <v>4.918000000000001</v>
      </c>
      <c r="U111" s="112">
        <v>5.6280000000000001</v>
      </c>
      <c r="V111" s="114">
        <f t="shared" si="109"/>
        <v>7.4359999999999999</v>
      </c>
      <c r="W111" s="112">
        <v>8.6</v>
      </c>
      <c r="X111" s="114">
        <f t="shared" si="110"/>
        <v>9.9</v>
      </c>
      <c r="Y111" s="112">
        <v>14.6</v>
      </c>
      <c r="Z111" s="114">
        <f t="shared" si="108"/>
        <v>17</v>
      </c>
      <c r="AA111" s="112">
        <v>19</v>
      </c>
      <c r="AB111" s="114">
        <f t="shared" si="111"/>
        <v>20.799999999999997</v>
      </c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233"/>
      <c r="AW111" s="233"/>
      <c r="AX111" s="233"/>
      <c r="AY111" s="233"/>
      <c r="AZ111" s="233"/>
      <c r="BA111" s="233"/>
      <c r="BB111" s="233"/>
      <c r="BC111" s="233"/>
      <c r="BD111" s="233"/>
    </row>
    <row r="112" spans="1:56" s="1" customFormat="1" ht="13.5" customHeight="1">
      <c r="A112" s="288"/>
      <c r="B112" s="1" t="s">
        <v>350</v>
      </c>
      <c r="C112" s="112">
        <v>0.18</v>
      </c>
      <c r="D112" s="112">
        <v>0.16800000000000001</v>
      </c>
      <c r="E112" s="112">
        <v>0.17</v>
      </c>
      <c r="F112" s="112">
        <v>0.17199999999999999</v>
      </c>
      <c r="G112" s="112">
        <v>0.13500000000000001</v>
      </c>
      <c r="H112" s="112">
        <v>0.151</v>
      </c>
      <c r="I112" s="112">
        <v>0.152</v>
      </c>
      <c r="J112" s="112">
        <v>1</v>
      </c>
      <c r="K112" s="112">
        <v>2.7</v>
      </c>
      <c r="L112" s="127">
        <v>7.3</v>
      </c>
      <c r="M112" s="154"/>
      <c r="N112" s="112"/>
      <c r="O112" s="112">
        <v>8.4000000000000005E-2</v>
      </c>
      <c r="P112" s="114">
        <f t="shared" si="105"/>
        <v>8.7999999999999981E-2</v>
      </c>
      <c r="Q112" s="112">
        <v>8.5999999999999993E-2</v>
      </c>
      <c r="R112" s="114">
        <f t="shared" si="106"/>
        <v>4.9000000000000016E-2</v>
      </c>
      <c r="S112" s="112">
        <v>9.1999999999999998E-2</v>
      </c>
      <c r="T112" s="114">
        <f t="shared" si="107"/>
        <v>5.8999999999999997E-2</v>
      </c>
      <c r="U112" s="112">
        <v>6.5000000000000002E-2</v>
      </c>
      <c r="V112" s="114">
        <f t="shared" si="109"/>
        <v>8.6999999999999994E-2</v>
      </c>
      <c r="W112" s="112">
        <v>0.3</v>
      </c>
      <c r="X112" s="114">
        <f t="shared" si="110"/>
        <v>0.7</v>
      </c>
      <c r="Y112" s="112">
        <v>1.1000000000000001</v>
      </c>
      <c r="Z112" s="114">
        <f t="shared" si="108"/>
        <v>1.6</v>
      </c>
      <c r="AA112" s="112">
        <v>4.0999999999999996</v>
      </c>
      <c r="AB112" s="114">
        <f t="shared" si="111"/>
        <v>3.2</v>
      </c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/>
      <c r="AQ112" s="153"/>
      <c r="AR112" s="153"/>
      <c r="AS112" s="153"/>
      <c r="AT112" s="153"/>
      <c r="AU112" s="153"/>
      <c r="AV112" s="233"/>
      <c r="AW112" s="233"/>
      <c r="AX112" s="233"/>
      <c r="AY112" s="233"/>
      <c r="AZ112" s="233"/>
      <c r="BA112" s="233"/>
      <c r="BB112" s="233"/>
      <c r="BC112" s="233"/>
      <c r="BD112" s="233"/>
    </row>
    <row r="113" spans="1:56" s="1" customFormat="1" ht="13.5" customHeight="1">
      <c r="A113" s="288"/>
      <c r="B113" s="1" t="s">
        <v>351</v>
      </c>
      <c r="C113" s="112"/>
      <c r="D113" s="112"/>
      <c r="E113" s="112"/>
      <c r="F113" s="153"/>
      <c r="G113" s="153"/>
      <c r="H113" s="153"/>
      <c r="I113" s="112">
        <v>3.4000000000000002E-2</v>
      </c>
      <c r="J113" s="112">
        <v>0</v>
      </c>
      <c r="K113" s="112"/>
      <c r="L113" s="127"/>
      <c r="M113" s="154"/>
      <c r="N113" s="112"/>
      <c r="O113" s="153">
        <v>0</v>
      </c>
      <c r="P113" s="153">
        <v>0</v>
      </c>
      <c r="Q113" s="153">
        <v>0</v>
      </c>
      <c r="R113" s="153">
        <v>0</v>
      </c>
      <c r="S113" s="153">
        <v>0</v>
      </c>
      <c r="T113" s="153">
        <v>0</v>
      </c>
      <c r="U113" s="112">
        <v>1.0640000000000001</v>
      </c>
      <c r="V113" s="114">
        <f t="shared" si="109"/>
        <v>-1.03</v>
      </c>
      <c r="W113" s="153">
        <v>0</v>
      </c>
      <c r="X113" s="218">
        <f t="shared" si="110"/>
        <v>0</v>
      </c>
      <c r="Y113" s="233"/>
      <c r="Z113" s="233"/>
      <c r="AA113" s="233"/>
      <c r="AB113" s="114">
        <f t="shared" si="111"/>
        <v>0</v>
      </c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/>
      <c r="AP113" s="153"/>
      <c r="AQ113" s="153"/>
      <c r="AR113" s="153"/>
      <c r="AS113" s="153"/>
      <c r="AT113" s="153"/>
      <c r="AU113" s="153"/>
      <c r="AV113" s="233"/>
      <c r="AW113" s="233"/>
      <c r="AX113" s="233"/>
      <c r="AY113" s="233"/>
      <c r="AZ113" s="233"/>
      <c r="BA113" s="233"/>
      <c r="BB113" s="233"/>
      <c r="BC113" s="233"/>
      <c r="BD113" s="233"/>
    </row>
    <row r="114" spans="1:56" s="1" customFormat="1" ht="13.5" customHeight="1">
      <c r="A114" s="288"/>
      <c r="B114" s="1" t="s">
        <v>98</v>
      </c>
      <c r="C114" s="112"/>
      <c r="D114" s="112"/>
      <c r="E114" s="112"/>
      <c r="F114" s="153"/>
      <c r="G114" s="153"/>
      <c r="H114" s="153"/>
      <c r="I114" s="112">
        <v>2.99</v>
      </c>
      <c r="J114" s="112">
        <v>7.2</v>
      </c>
      <c r="K114" s="112">
        <v>9.4</v>
      </c>
      <c r="L114" s="127">
        <v>10.9</v>
      </c>
      <c r="M114" s="154"/>
      <c r="N114" s="112"/>
      <c r="O114" s="153">
        <v>0</v>
      </c>
      <c r="P114" s="153">
        <v>0</v>
      </c>
      <c r="Q114" s="153">
        <v>0</v>
      </c>
      <c r="R114" s="153">
        <v>0</v>
      </c>
      <c r="S114" s="153">
        <v>0</v>
      </c>
      <c r="T114" s="153">
        <v>0</v>
      </c>
      <c r="U114" s="112">
        <v>1.9E-2</v>
      </c>
      <c r="V114" s="114">
        <f t="shared" si="109"/>
        <v>2.9710000000000001</v>
      </c>
      <c r="W114" s="112">
        <v>3.2</v>
      </c>
      <c r="X114" s="114">
        <f t="shared" si="110"/>
        <v>4</v>
      </c>
      <c r="Y114" s="112">
        <v>4.5999999999999996</v>
      </c>
      <c r="Z114" s="114">
        <f t="shared" si="108"/>
        <v>4.8000000000000007</v>
      </c>
      <c r="AA114" s="112">
        <v>5.0999999999999996</v>
      </c>
      <c r="AB114" s="114">
        <f t="shared" si="111"/>
        <v>5.8000000000000007</v>
      </c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/>
      <c r="AP114" s="153"/>
      <c r="AQ114" s="153"/>
      <c r="AR114" s="153"/>
      <c r="AS114" s="153"/>
      <c r="AT114" s="153"/>
      <c r="AU114" s="153"/>
      <c r="AV114" s="233"/>
      <c r="AW114" s="233"/>
      <c r="AX114" s="233"/>
      <c r="AY114" s="233"/>
      <c r="AZ114" s="233"/>
      <c r="BA114" s="233"/>
      <c r="BB114" s="233"/>
      <c r="BC114" s="233"/>
      <c r="BD114" s="233"/>
    </row>
    <row r="115" spans="1:56" s="1" customFormat="1" ht="13.5" customHeight="1">
      <c r="A115" s="288"/>
      <c r="B115" s="1" t="s">
        <v>352</v>
      </c>
      <c r="C115" s="112"/>
      <c r="D115" s="112"/>
      <c r="E115" s="112"/>
      <c r="F115" s="112"/>
      <c r="G115" s="112">
        <v>2.7E-2</v>
      </c>
      <c r="H115" s="112">
        <v>1.7290000000000001</v>
      </c>
      <c r="I115" s="112">
        <v>7.117</v>
      </c>
      <c r="J115" s="112">
        <v>12.2</v>
      </c>
      <c r="K115" s="112">
        <v>15.4</v>
      </c>
      <c r="L115" s="127">
        <v>17.600000000000001</v>
      </c>
      <c r="M115" s="154"/>
      <c r="N115" s="112"/>
      <c r="O115" s="112"/>
      <c r="P115" s="114"/>
      <c r="Q115" s="112"/>
      <c r="R115" s="114">
        <f t="shared" si="106"/>
        <v>2.7E-2</v>
      </c>
      <c r="S115" s="112">
        <v>0.34</v>
      </c>
      <c r="T115" s="114">
        <f t="shared" si="107"/>
        <v>1.389</v>
      </c>
      <c r="U115" s="112">
        <v>1.7150000000000001</v>
      </c>
      <c r="V115" s="114">
        <f>+I115-U115</f>
        <v>5.4020000000000001</v>
      </c>
      <c r="W115" s="112">
        <v>5.7</v>
      </c>
      <c r="X115" s="114">
        <f t="shared" si="110"/>
        <v>6.4999999999999991</v>
      </c>
      <c r="Y115" s="112">
        <v>7.1</v>
      </c>
      <c r="Z115" s="114">
        <f t="shared" si="108"/>
        <v>8.3000000000000007</v>
      </c>
      <c r="AA115" s="112">
        <v>8.5</v>
      </c>
      <c r="AB115" s="114">
        <f t="shared" si="111"/>
        <v>9.1000000000000014</v>
      </c>
      <c r="AD115" s="153"/>
      <c r="AE115" s="153"/>
      <c r="AF115" s="153"/>
      <c r="AG115" s="153"/>
      <c r="AH115" s="153"/>
      <c r="AI115" s="153"/>
      <c r="AJ115" s="153"/>
      <c r="AK115" s="153"/>
      <c r="AL115" s="153"/>
      <c r="AM115" s="153"/>
      <c r="AN115" s="153"/>
      <c r="AO115" s="153"/>
      <c r="AP115" s="153"/>
      <c r="AQ115" s="153"/>
      <c r="AR115" s="153"/>
      <c r="AS115" s="153"/>
      <c r="AT115" s="153"/>
      <c r="AU115" s="153"/>
      <c r="AV115" s="233"/>
      <c r="AW115" s="233"/>
      <c r="AX115" s="233"/>
      <c r="AY115" s="233"/>
      <c r="AZ115" s="233"/>
      <c r="BA115" s="233"/>
      <c r="BB115" s="233"/>
      <c r="BC115" s="233"/>
      <c r="BD115" s="233"/>
    </row>
    <row r="116" spans="1:56" s="1" customFormat="1" ht="13.5" customHeight="1">
      <c r="A116" s="288"/>
      <c r="B116" s="1" t="s">
        <v>353</v>
      </c>
      <c r="C116" s="112"/>
      <c r="D116" s="112"/>
      <c r="E116" s="112"/>
      <c r="F116" s="112"/>
      <c r="G116" s="112"/>
      <c r="H116" s="112"/>
      <c r="I116" s="112"/>
      <c r="J116" s="112"/>
      <c r="K116" s="112"/>
      <c r="L116" s="127">
        <v>0.2</v>
      </c>
      <c r="M116" s="154"/>
      <c r="N116" s="112"/>
      <c r="O116" s="112"/>
      <c r="P116" s="114"/>
      <c r="Q116" s="112"/>
      <c r="R116" s="114"/>
      <c r="S116" s="112"/>
      <c r="T116" s="114"/>
      <c r="U116" s="112"/>
      <c r="V116" s="114"/>
      <c r="W116" s="112"/>
      <c r="X116" s="114"/>
      <c r="Y116" s="112"/>
      <c r="Z116" s="114"/>
      <c r="AA116" s="112"/>
      <c r="AB116" s="114"/>
      <c r="AD116" s="153"/>
      <c r="AE116" s="153"/>
      <c r="AF116" s="153"/>
      <c r="AG116" s="153"/>
      <c r="AH116" s="153"/>
      <c r="AI116" s="153"/>
      <c r="AJ116" s="153"/>
      <c r="AK116" s="153"/>
      <c r="AL116" s="153"/>
      <c r="AM116" s="153"/>
      <c r="AN116" s="153"/>
      <c r="AO116" s="153"/>
      <c r="AP116" s="153"/>
      <c r="AQ116" s="153"/>
      <c r="AR116" s="153"/>
      <c r="AS116" s="153"/>
      <c r="AT116" s="153"/>
      <c r="AU116" s="153"/>
      <c r="AV116" s="233"/>
      <c r="AW116" s="233"/>
      <c r="AX116" s="233"/>
      <c r="AY116" s="233"/>
      <c r="AZ116" s="233"/>
      <c r="BA116" s="233"/>
      <c r="BB116" s="233"/>
      <c r="BC116" s="233"/>
      <c r="BD116" s="233"/>
    </row>
    <row r="117" spans="1:56" s="5" customFormat="1" ht="13.5" customHeight="1">
      <c r="B117" s="5" t="s">
        <v>329</v>
      </c>
      <c r="C117" s="113">
        <f t="shared" ref="C117:F117" si="112">+SUM(C105:C112)</f>
        <v>195.03</v>
      </c>
      <c r="D117" s="113">
        <f t="shared" si="112"/>
        <v>222.309</v>
      </c>
      <c r="E117" s="113">
        <f t="shared" si="112"/>
        <v>261.95</v>
      </c>
      <c r="F117" s="113">
        <f t="shared" si="112"/>
        <v>280.36500000000001</v>
      </c>
      <c r="G117" s="113">
        <f t="shared" ref="G117:K117" si="113">+SUM(G105:G115)</f>
        <v>317.81699999999989</v>
      </c>
      <c r="H117" s="113">
        <f t="shared" si="113"/>
        <v>365.76299999999998</v>
      </c>
      <c r="I117" s="113">
        <f t="shared" si="113"/>
        <v>536.89199999999994</v>
      </c>
      <c r="J117" s="113">
        <f t="shared" si="113"/>
        <v>632.6</v>
      </c>
      <c r="K117" s="113">
        <f t="shared" si="113"/>
        <v>740</v>
      </c>
      <c r="L117" s="265">
        <f>+SUM(L105:L116)</f>
        <v>852.19999999999993</v>
      </c>
      <c r="M117" s="265">
        <f>+SUM(M105:M116)</f>
        <v>0</v>
      </c>
      <c r="N117" s="113"/>
      <c r="O117" s="113">
        <f>+SUM(O105:O112)</f>
        <v>133.81700000000001</v>
      </c>
      <c r="P117" s="113">
        <f>+SUM(P105:P112)</f>
        <v>146.54799999999997</v>
      </c>
      <c r="Q117" s="113">
        <f>+SUM(Q105:Q112)</f>
        <v>152.74600000000004</v>
      </c>
      <c r="R117" s="113">
        <f t="shared" ref="R117:Z117" si="114">+SUM(R105:R115)</f>
        <v>165.071</v>
      </c>
      <c r="S117" s="113">
        <f t="shared" si="114"/>
        <v>174.512</v>
      </c>
      <c r="T117" s="113">
        <f t="shared" si="114"/>
        <v>191.251</v>
      </c>
      <c r="U117" s="113">
        <f t="shared" si="114"/>
        <v>254.36599999999999</v>
      </c>
      <c r="V117" s="113">
        <f t="shared" si="114"/>
        <v>282.52600000000001</v>
      </c>
      <c r="W117" s="113">
        <f t="shared" si="114"/>
        <v>309.5</v>
      </c>
      <c r="X117" s="113">
        <f t="shared" si="114"/>
        <v>323.09999999999997</v>
      </c>
      <c r="Y117" s="113">
        <f t="shared" si="114"/>
        <v>354.10000000000008</v>
      </c>
      <c r="Z117" s="113">
        <f t="shared" si="114"/>
        <v>385.90000000000003</v>
      </c>
      <c r="AA117" s="113">
        <f>+SUM(AA105:AA115)</f>
        <v>411.9</v>
      </c>
      <c r="AB117" s="113">
        <f t="shared" ref="AB117" si="115">+SUM(AB105:AB115)</f>
        <v>440.10000000000008</v>
      </c>
      <c r="AD117" s="153"/>
      <c r="AE117" s="153"/>
      <c r="AF117" s="153"/>
      <c r="AG117" s="153"/>
      <c r="AH117" s="153"/>
      <c r="AI117" s="153"/>
      <c r="AJ117" s="153"/>
      <c r="AK117" s="153"/>
      <c r="AL117" s="153"/>
      <c r="AM117" s="153"/>
      <c r="AN117" s="153"/>
      <c r="AO117" s="153"/>
      <c r="AP117" s="153"/>
      <c r="AQ117" s="153"/>
      <c r="AR117" s="153"/>
      <c r="AS117" s="153"/>
      <c r="AT117" s="153"/>
      <c r="AU117" s="153"/>
      <c r="AV117" s="233"/>
      <c r="AW117" s="233"/>
      <c r="AX117" s="233"/>
      <c r="AY117" s="233"/>
      <c r="AZ117" s="233"/>
      <c r="BA117" s="233"/>
      <c r="BB117" s="233"/>
      <c r="BC117" s="233"/>
      <c r="BD117" s="233"/>
    </row>
    <row r="118" spans="1:56" s="278" customFormat="1" ht="13.5" customHeight="1">
      <c r="B118" s="278" t="s">
        <v>330</v>
      </c>
      <c r="C118" s="289"/>
      <c r="D118" s="289">
        <f>+D117-(Model!D7+Model!D8)</f>
        <v>0</v>
      </c>
      <c r="E118" s="289">
        <f>+E117-(Model!E7+Model!E8)</f>
        <v>0</v>
      </c>
      <c r="F118" s="289">
        <f>+F117-(Model!F7+Model!F8)</f>
        <v>0</v>
      </c>
      <c r="G118" s="289">
        <f>+G117-(Model!G7+Model!G8)</f>
        <v>0</v>
      </c>
      <c r="H118" s="289">
        <f>+H117-(Model!H7+Model!H8)</f>
        <v>0</v>
      </c>
      <c r="I118" s="289">
        <f>+I117-(Model!J7+Model!J8)</f>
        <v>0</v>
      </c>
      <c r="J118" s="289">
        <f>+J117-(Model!K7+Model!K8)</f>
        <v>0</v>
      </c>
      <c r="K118" s="289">
        <f>+K117-(Model!M7+Model!M8)</f>
        <v>0</v>
      </c>
      <c r="L118" s="290">
        <f>+L117-(Model!N7+Model!N8)</f>
        <v>0.10000000000002274</v>
      </c>
      <c r="M118" s="290">
        <f>+M117-(Model!O7+Model!O8)</f>
        <v>-878.4</v>
      </c>
      <c r="N118" s="289"/>
      <c r="O118" s="289">
        <f>+O117-(Model!Q7+Model!Q8)</f>
        <v>0</v>
      </c>
      <c r="P118" s="289">
        <f>+P117-(Model!R7+Model!R8)</f>
        <v>0</v>
      </c>
      <c r="Q118" s="289">
        <f>+Q117-(Model!S7+Model!S8)</f>
        <v>0</v>
      </c>
      <c r="R118" s="289">
        <f>+R117-(Model!T7+Model!T8)</f>
        <v>0</v>
      </c>
      <c r="S118" s="289">
        <f>+S117-(Model!U7+Model!U8)</f>
        <v>0</v>
      </c>
      <c r="T118" s="289">
        <f>+T117-(Model!V7+Model!V8)</f>
        <v>0</v>
      </c>
      <c r="U118" s="289">
        <f>+U117-(Model!W7+Model!W8)</f>
        <v>0</v>
      </c>
      <c r="V118" s="289">
        <f>+V117-(Model!X7+Model!X8)</f>
        <v>0</v>
      </c>
      <c r="W118" s="289">
        <f>+W117-(Model!Y7+Model!Y8)</f>
        <v>0</v>
      </c>
      <c r="X118" s="289">
        <f>+X117-(Model!Z7+Model!Z8)</f>
        <v>0</v>
      </c>
      <c r="Y118" s="290">
        <f>+Y117-(Model!AA7+Model!AA8)</f>
        <v>-2.1999999999998749</v>
      </c>
      <c r="Z118" s="290">
        <f>+Z117-(Model!AB7+Model!AB8)</f>
        <v>2.1999999999999886</v>
      </c>
      <c r="AA118" s="290">
        <f>+AA117-(Model!AC7+Model!AC8)</f>
        <v>-0.10000000000002274</v>
      </c>
      <c r="AB118" s="289">
        <f>+AB117-(Model!AD7+Model!AD8)</f>
        <v>0</v>
      </c>
      <c r="AD118" s="289"/>
      <c r="AE118" s="289"/>
      <c r="AF118" s="289"/>
      <c r="AG118" s="289"/>
      <c r="AH118" s="289"/>
      <c r="AI118" s="289"/>
      <c r="AJ118" s="289"/>
      <c r="AK118" s="289"/>
      <c r="AL118" s="289"/>
      <c r="AM118" s="289"/>
      <c r="AN118" s="289"/>
      <c r="AO118" s="289"/>
      <c r="AP118" s="289"/>
      <c r="AQ118" s="289"/>
      <c r="AR118" s="289"/>
      <c r="AS118" s="289"/>
      <c r="AT118" s="289"/>
      <c r="AU118" s="289"/>
      <c r="AV118" s="289"/>
      <c r="AW118" s="289"/>
      <c r="AY118" s="289"/>
      <c r="AZ118" s="289"/>
      <c r="BA118" s="289"/>
      <c r="BC118" s="289"/>
      <c r="BD118" s="289"/>
    </row>
    <row r="119" spans="1:56" s="5" customFormat="1" ht="13.5" customHeight="1"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  <c r="AU119" s="113"/>
      <c r="AV119" s="113"/>
      <c r="AW119" s="113"/>
      <c r="AY119" s="113"/>
      <c r="AZ119" s="113"/>
      <c r="BA119" s="113"/>
      <c r="BC119" s="113"/>
      <c r="BD119" s="113"/>
    </row>
    <row r="120" spans="1:56" s="5" customFormat="1" ht="13.5" customHeight="1">
      <c r="B120" s="5" t="s">
        <v>354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  <c r="AV120" s="113"/>
      <c r="AW120" s="113"/>
      <c r="AY120" s="113"/>
      <c r="AZ120" s="113"/>
      <c r="BA120" s="113"/>
      <c r="BC120" s="113"/>
      <c r="BD120" s="113"/>
    </row>
    <row r="121" spans="1:56" s="1" customFormat="1" ht="13.5" customHeight="1">
      <c r="A121" s="288"/>
      <c r="B121" s="1" t="s">
        <v>95</v>
      </c>
      <c r="C121" s="117">
        <f t="shared" ref="C121:M121" si="116">+C105/C$117</f>
        <v>0.81691534635697072</v>
      </c>
      <c r="D121" s="117">
        <f t="shared" si="116"/>
        <v>0.74626308426559429</v>
      </c>
      <c r="E121" s="117">
        <f t="shared" si="116"/>
        <v>0.71868295476235922</v>
      </c>
      <c r="F121" s="117">
        <f t="shared" si="116"/>
        <v>0.66303211884507685</v>
      </c>
      <c r="G121" s="117">
        <f t="shared" si="116"/>
        <v>0.63307186210932731</v>
      </c>
      <c r="H121" s="117">
        <f t="shared" si="116"/>
        <v>0.60158080505682643</v>
      </c>
      <c r="I121" s="117">
        <f t="shared" si="116"/>
        <v>0.46213577404766698</v>
      </c>
      <c r="J121" s="117">
        <f t="shared" si="116"/>
        <v>0.43629465697122982</v>
      </c>
      <c r="K121" s="117">
        <f t="shared" si="116"/>
        <v>0.40243243243243243</v>
      </c>
      <c r="L121" s="117">
        <f t="shared" si="116"/>
        <v>0.37033560197136828</v>
      </c>
      <c r="M121" s="117" t="e">
        <f t="shared" si="116"/>
        <v>#DIV/0!</v>
      </c>
      <c r="N121" s="118"/>
      <c r="O121" s="117">
        <f t="shared" ref="O121:AB121" si="117">+O105/O$117</f>
        <v>0.66370491043738833</v>
      </c>
      <c r="P121" s="117">
        <f t="shared" si="117"/>
        <v>0.66241777438109029</v>
      </c>
      <c r="Q121" s="117">
        <f t="shared" si="117"/>
        <v>0.63828840035090917</v>
      </c>
      <c r="R121" s="117">
        <f t="shared" si="117"/>
        <v>0.62824481586711167</v>
      </c>
      <c r="S121" s="117">
        <f t="shared" si="117"/>
        <v>0.61886861648482627</v>
      </c>
      <c r="T121" s="117">
        <f t="shared" si="117"/>
        <v>0.58580608728843242</v>
      </c>
      <c r="U121" s="117">
        <f t="shared" si="117"/>
        <v>0.47652201945228528</v>
      </c>
      <c r="V121" s="117">
        <f t="shared" si="117"/>
        <v>0.44918343798446864</v>
      </c>
      <c r="W121" s="117">
        <f t="shared" si="117"/>
        <v>0.44071082390953153</v>
      </c>
      <c r="X121" s="117">
        <f t="shared" si="117"/>
        <v>0.43206437635406997</v>
      </c>
      <c r="Y121" s="117">
        <f t="shared" si="117"/>
        <v>0.40835922055916396</v>
      </c>
      <c r="Z121" s="117">
        <f t="shared" si="117"/>
        <v>0.39699403990671162</v>
      </c>
      <c r="AA121" s="117">
        <f t="shared" si="117"/>
        <v>0.37169215829084729</v>
      </c>
      <c r="AB121" s="117">
        <f t="shared" si="117"/>
        <v>0.36923426493978639</v>
      </c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233"/>
      <c r="AW121" s="233"/>
      <c r="AX121" s="233"/>
      <c r="AY121" s="233"/>
      <c r="AZ121" s="233"/>
      <c r="BA121" s="233"/>
      <c r="BB121" s="233"/>
      <c r="BC121" s="233"/>
      <c r="BD121" s="233"/>
    </row>
    <row r="122" spans="1:56" s="1" customFormat="1" ht="13.5" customHeight="1">
      <c r="A122" s="288"/>
      <c r="B122" s="1" t="s">
        <v>96</v>
      </c>
      <c r="C122" s="117">
        <f t="shared" ref="C122:M122" si="118">+C106/C$117</f>
        <v>8.9391375685791932E-2</v>
      </c>
      <c r="D122" s="117">
        <f t="shared" si="118"/>
        <v>0.1155058949480228</v>
      </c>
      <c r="E122" s="117">
        <f t="shared" si="118"/>
        <v>0.14742508112235161</v>
      </c>
      <c r="F122" s="117">
        <f t="shared" si="118"/>
        <v>0.16301250156046582</v>
      </c>
      <c r="G122" s="117">
        <f t="shared" si="118"/>
        <v>0.17393972002756308</v>
      </c>
      <c r="H122" s="117">
        <f t="shared" si="118"/>
        <v>0.1871375726905127</v>
      </c>
      <c r="I122" s="117">
        <f t="shared" si="118"/>
        <v>0.17649732162148071</v>
      </c>
      <c r="J122" s="117">
        <f t="shared" si="118"/>
        <v>0.17973442933923489</v>
      </c>
      <c r="K122" s="117">
        <f t="shared" si="118"/>
        <v>0.18445945945945946</v>
      </c>
      <c r="L122" s="117">
        <f t="shared" si="118"/>
        <v>0.18798404130485802</v>
      </c>
      <c r="M122" s="117" t="e">
        <f t="shared" si="118"/>
        <v>#DIV/0!</v>
      </c>
      <c r="N122" s="118"/>
      <c r="O122" s="117">
        <f t="shared" ref="O122:AB122" si="119">+O106/O$117</f>
        <v>0.16801303272379442</v>
      </c>
      <c r="P122" s="117">
        <f t="shared" si="119"/>
        <v>0.1584463793432869</v>
      </c>
      <c r="Q122" s="117">
        <f t="shared" si="119"/>
        <v>0.17554633181883644</v>
      </c>
      <c r="R122" s="117">
        <f t="shared" si="119"/>
        <v>0.17245306565053825</v>
      </c>
      <c r="S122" s="117">
        <f t="shared" si="119"/>
        <v>0.19006715870541852</v>
      </c>
      <c r="T122" s="117">
        <f t="shared" si="119"/>
        <v>0.18446439495741196</v>
      </c>
      <c r="U122" s="117">
        <f t="shared" si="119"/>
        <v>0.17636004811963865</v>
      </c>
      <c r="V122" s="117">
        <f t="shared" si="119"/>
        <v>0.17662091276555081</v>
      </c>
      <c r="W122" s="117">
        <f t="shared" si="119"/>
        <v>0.17609046849757673</v>
      </c>
      <c r="X122" s="117">
        <f t="shared" si="119"/>
        <v>0.18322500773754258</v>
      </c>
      <c r="Y122" s="117">
        <f t="shared" si="119"/>
        <v>0.18186952838181303</v>
      </c>
      <c r="Z122" s="117">
        <f t="shared" si="119"/>
        <v>0.18683596786732312</v>
      </c>
      <c r="AA122" s="117">
        <f t="shared" si="119"/>
        <v>0.18839524156348628</v>
      </c>
      <c r="AB122" s="117">
        <f t="shared" si="119"/>
        <v>0.18768461713246984</v>
      </c>
      <c r="AD122" s="153"/>
      <c r="AE122" s="153"/>
      <c r="AF122" s="153"/>
      <c r="AG122" s="153"/>
      <c r="AH122" s="153"/>
      <c r="AI122" s="153"/>
      <c r="AJ122" s="153"/>
      <c r="AK122" s="153"/>
      <c r="AL122" s="153"/>
      <c r="AM122" s="153"/>
      <c r="AN122" s="153"/>
      <c r="AO122" s="153"/>
      <c r="AP122" s="153"/>
      <c r="AQ122" s="153"/>
      <c r="AR122" s="153"/>
      <c r="AS122" s="153"/>
      <c r="AT122" s="153"/>
      <c r="AU122" s="153"/>
      <c r="AV122" s="233"/>
      <c r="AW122" s="233"/>
      <c r="AX122" s="233"/>
      <c r="AY122" s="233"/>
      <c r="AZ122" s="233"/>
      <c r="BA122" s="233"/>
      <c r="BB122" s="233"/>
      <c r="BC122" s="233"/>
      <c r="BD122" s="233"/>
    </row>
    <row r="123" spans="1:56" s="1" customFormat="1" ht="13.5" customHeight="1">
      <c r="A123" s="288"/>
      <c r="B123" s="1" t="s">
        <v>97</v>
      </c>
      <c r="C123" s="117">
        <f t="shared" ref="C123:M123" si="120">+C107/C$117</f>
        <v>1.8017740860380452E-2</v>
      </c>
      <c r="D123" s="117">
        <f t="shared" si="120"/>
        <v>5.2714914825760538E-2</v>
      </c>
      <c r="E123" s="117">
        <f t="shared" si="120"/>
        <v>4.6665394159190687E-2</v>
      </c>
      <c r="F123" s="117">
        <f t="shared" si="120"/>
        <v>8.6697697644142452E-2</v>
      </c>
      <c r="G123" s="117">
        <f t="shared" si="120"/>
        <v>9.077236271187511E-2</v>
      </c>
      <c r="H123" s="117">
        <f t="shared" si="120"/>
        <v>9.5684910720876634E-2</v>
      </c>
      <c r="I123" s="117">
        <f t="shared" si="120"/>
        <v>0.10314551157402235</v>
      </c>
      <c r="J123" s="117">
        <f t="shared" si="120"/>
        <v>0.10322478659500474</v>
      </c>
      <c r="K123" s="117">
        <f t="shared" si="120"/>
        <v>8.1486486486486487E-2</v>
      </c>
      <c r="L123" s="117">
        <f t="shared" si="120"/>
        <v>0.10455292184933114</v>
      </c>
      <c r="M123" s="117" t="e">
        <f t="shared" si="120"/>
        <v>#DIV/0!</v>
      </c>
      <c r="N123" s="118"/>
      <c r="O123" s="117">
        <f t="shared" ref="O123:AB123" si="121">+O107/O$117</f>
        <v>8.1663764693574059E-2</v>
      </c>
      <c r="P123" s="117">
        <f t="shared" si="121"/>
        <v>9.1294319949777547E-2</v>
      </c>
      <c r="Q123" s="117">
        <f t="shared" si="121"/>
        <v>8.3052911369201135E-2</v>
      </c>
      <c r="R123" s="117">
        <f t="shared" si="121"/>
        <v>9.7915442445977788E-2</v>
      </c>
      <c r="S123" s="117">
        <f t="shared" si="121"/>
        <v>8.0613367562116067E-2</v>
      </c>
      <c r="T123" s="117">
        <f t="shared" si="121"/>
        <v>0.10943733627536588</v>
      </c>
      <c r="U123" s="117">
        <f t="shared" si="121"/>
        <v>0.10469952745256836</v>
      </c>
      <c r="V123" s="117">
        <f t="shared" si="121"/>
        <v>0.10174638794305656</v>
      </c>
      <c r="W123" s="117">
        <f t="shared" si="121"/>
        <v>0.10597738287560581</v>
      </c>
      <c r="X123" s="117">
        <f t="shared" si="121"/>
        <v>0.1005880532342928</v>
      </c>
      <c r="Y123" s="117">
        <f t="shared" si="121"/>
        <v>9.8559728890143999E-2</v>
      </c>
      <c r="Z123" s="117">
        <f t="shared" si="121"/>
        <v>6.5820160663384281E-2</v>
      </c>
      <c r="AA123" s="117">
        <f t="shared" si="121"/>
        <v>0.1065792668123331</v>
      </c>
      <c r="AB123" s="117">
        <f t="shared" si="121"/>
        <v>0.1027039309247898</v>
      </c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233"/>
      <c r="AW123" s="233"/>
      <c r="AX123" s="233"/>
      <c r="AY123" s="233"/>
      <c r="AZ123" s="233"/>
      <c r="BA123" s="233"/>
      <c r="BB123" s="233"/>
      <c r="BC123" s="233"/>
      <c r="BD123" s="233"/>
    </row>
    <row r="124" spans="1:56" s="1" customFormat="1" ht="13.5" customHeight="1">
      <c r="A124" s="288"/>
      <c r="B124" s="1" t="s">
        <v>326</v>
      </c>
      <c r="C124" s="117">
        <f t="shared" ref="C124:M124" si="122">+C108/C$117</f>
        <v>5.5996513356919443E-2</v>
      </c>
      <c r="D124" s="117">
        <f t="shared" si="122"/>
        <v>6.7977454803899079E-2</v>
      </c>
      <c r="E124" s="117">
        <f t="shared" si="122"/>
        <v>7.1059362473754537E-2</v>
      </c>
      <c r="F124" s="117">
        <f t="shared" si="122"/>
        <v>7.2180907031904828E-2</v>
      </c>
      <c r="G124" s="117">
        <f t="shared" si="122"/>
        <v>7.9797493526148719E-2</v>
      </c>
      <c r="H124" s="117">
        <f t="shared" si="122"/>
        <v>7.8255591735632096E-2</v>
      </c>
      <c r="I124" s="117">
        <f t="shared" si="122"/>
        <v>7.734330181861529E-2</v>
      </c>
      <c r="J124" s="117">
        <f t="shared" si="122"/>
        <v>7.7141953841289912E-2</v>
      </c>
      <c r="K124" s="117">
        <f t="shared" si="122"/>
        <v>9.5945945945945951E-2</v>
      </c>
      <c r="L124" s="117">
        <f t="shared" si="122"/>
        <v>8.6012673081436286E-2</v>
      </c>
      <c r="M124" s="117" t="e">
        <f t="shared" si="122"/>
        <v>#DIV/0!</v>
      </c>
      <c r="N124" s="118"/>
      <c r="O124" s="117">
        <f t="shared" ref="O124:AB124" si="123">+O108/O$117</f>
        <v>7.1209188668106438E-2</v>
      </c>
      <c r="P124" s="117">
        <f t="shared" si="123"/>
        <v>7.3068209733329698E-2</v>
      </c>
      <c r="Q124" s="117">
        <f t="shared" si="123"/>
        <v>8.1357285951841593E-2</v>
      </c>
      <c r="R124" s="117">
        <f t="shared" si="123"/>
        <v>7.8354162754208798E-2</v>
      </c>
      <c r="S124" s="117">
        <f t="shared" si="123"/>
        <v>7.9920005501054367E-2</v>
      </c>
      <c r="T124" s="117">
        <f t="shared" si="123"/>
        <v>7.6736853663510268E-2</v>
      </c>
      <c r="U124" s="117">
        <f t="shared" si="123"/>
        <v>7.8819496316331589E-2</v>
      </c>
      <c r="V124" s="117">
        <f t="shared" si="123"/>
        <v>7.6014242936933235E-2</v>
      </c>
      <c r="W124" s="117">
        <f t="shared" si="123"/>
        <v>7.3990306946688206E-2</v>
      </c>
      <c r="X124" s="117">
        <f t="shared" si="123"/>
        <v>8.0160940885174878E-2</v>
      </c>
      <c r="Y124" s="117">
        <f t="shared" si="123"/>
        <v>7.9638520192036127E-2</v>
      </c>
      <c r="Z124" s="117">
        <f t="shared" si="123"/>
        <v>0.11090956206271053</v>
      </c>
      <c r="AA124" s="117">
        <f t="shared" si="123"/>
        <v>8.739985433357611E-2</v>
      </c>
      <c r="AB124" s="117">
        <f t="shared" si="123"/>
        <v>8.475346512156326E-2</v>
      </c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  <c r="AU124" s="153"/>
      <c r="AV124" s="233"/>
      <c r="AW124" s="233"/>
      <c r="AX124" s="233"/>
      <c r="AY124" s="233"/>
      <c r="AZ124" s="233"/>
      <c r="BA124" s="233"/>
      <c r="BB124" s="233"/>
      <c r="BC124" s="233"/>
      <c r="BD124" s="233"/>
    </row>
    <row r="125" spans="1:56" s="1" customFormat="1" ht="13.5" customHeight="1">
      <c r="A125" s="288"/>
      <c r="B125" s="1" t="s">
        <v>347</v>
      </c>
      <c r="C125" s="117">
        <f t="shared" ref="C125:M125" si="124">+C109/C$117</f>
        <v>1.2316053940419423E-2</v>
      </c>
      <c r="D125" s="117">
        <f t="shared" si="124"/>
        <v>9.8331601509610497E-3</v>
      </c>
      <c r="E125" s="117">
        <f t="shared" si="124"/>
        <v>9.5323535025768277E-3</v>
      </c>
      <c r="F125" s="117">
        <f t="shared" si="124"/>
        <v>6.3702673300875647E-3</v>
      </c>
      <c r="G125" s="117">
        <f t="shared" si="124"/>
        <v>6.0349194662337145E-3</v>
      </c>
      <c r="H125" s="117">
        <f t="shared" si="124"/>
        <v>1.9356796614200999E-3</v>
      </c>
      <c r="I125" s="117">
        <f t="shared" si="124"/>
        <v>0.12969647526876915</v>
      </c>
      <c r="J125" s="117">
        <f t="shared" si="124"/>
        <v>0.12883338602592476</v>
      </c>
      <c r="K125" s="117">
        <f t="shared" si="124"/>
        <v>0.12364864864864865</v>
      </c>
      <c r="L125" s="117">
        <f t="shared" si="124"/>
        <v>0.10560901196902137</v>
      </c>
      <c r="M125" s="117" t="e">
        <f t="shared" si="124"/>
        <v>#DIV/0!</v>
      </c>
      <c r="N125" s="118"/>
      <c r="O125" s="117">
        <f t="shared" ref="O125:AB125" si="125">+O109/O$117</f>
        <v>5.074093725012517E-3</v>
      </c>
      <c r="P125" s="117">
        <f t="shared" si="125"/>
        <v>7.5538390152032108E-3</v>
      </c>
      <c r="Q125" s="117">
        <f t="shared" si="125"/>
        <v>4.9559399264137837E-3</v>
      </c>
      <c r="R125" s="117">
        <f t="shared" si="125"/>
        <v>7.0333371700662143E-3</v>
      </c>
      <c r="S125" s="117">
        <f t="shared" si="125"/>
        <v>1.9081782341615477E-3</v>
      </c>
      <c r="T125" s="117">
        <f t="shared" si="125"/>
        <v>1.9607740613120975E-3</v>
      </c>
      <c r="U125" s="117">
        <f t="shared" si="125"/>
        <v>0.12434837989353924</v>
      </c>
      <c r="V125" s="117">
        <f t="shared" si="125"/>
        <v>0.13451151398455363</v>
      </c>
      <c r="W125" s="117">
        <f t="shared" si="125"/>
        <v>0.13214862681744749</v>
      </c>
      <c r="X125" s="117">
        <f t="shared" si="125"/>
        <v>0.12565769111730116</v>
      </c>
      <c r="Y125" s="117">
        <f t="shared" si="125"/>
        <v>0.12764755718723522</v>
      </c>
      <c r="Z125" s="117">
        <f t="shared" si="125"/>
        <v>0.11997926924073593</v>
      </c>
      <c r="AA125" s="117">
        <f t="shared" si="125"/>
        <v>0.10536537994658898</v>
      </c>
      <c r="AB125" s="117">
        <f t="shared" si="125"/>
        <v>0.10588502613042489</v>
      </c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/>
      <c r="AQ125" s="153"/>
      <c r="AR125" s="153"/>
      <c r="AS125" s="153"/>
      <c r="AT125" s="153"/>
      <c r="AU125" s="153"/>
      <c r="AV125" s="233"/>
      <c r="AW125" s="233"/>
      <c r="AX125" s="233"/>
      <c r="AY125" s="233"/>
      <c r="AZ125" s="233"/>
      <c r="BA125" s="233"/>
      <c r="BB125" s="233"/>
      <c r="BC125" s="233"/>
      <c r="BD125" s="233"/>
    </row>
    <row r="126" spans="1:56" s="1" customFormat="1" ht="13.5" customHeight="1">
      <c r="A126" s="288"/>
      <c r="B126" s="1" t="s">
        <v>348</v>
      </c>
      <c r="C126" s="117">
        <f t="shared" ref="C126:M126" si="126">+C110/C$117</f>
        <v>6.4400348664308054E-3</v>
      </c>
      <c r="D126" s="117">
        <f t="shared" si="126"/>
        <v>6.949786108524621E-3</v>
      </c>
      <c r="E126" s="117">
        <f t="shared" si="126"/>
        <v>5.8866195838900561E-3</v>
      </c>
      <c r="F126" s="117">
        <f t="shared" si="126"/>
        <v>5.2645658338237649E-3</v>
      </c>
      <c r="G126" s="117">
        <f t="shared" si="126"/>
        <v>4.7385759729655762E-3</v>
      </c>
      <c r="H126" s="117">
        <f t="shared" si="126"/>
        <v>6.8623671612492243E-3</v>
      </c>
      <c r="I126" s="117">
        <f t="shared" si="126"/>
        <v>7.677521736215105E-3</v>
      </c>
      <c r="J126" s="117">
        <f t="shared" si="126"/>
        <v>1.3278533038254822E-2</v>
      </c>
      <c r="K126" s="117">
        <f t="shared" si="126"/>
        <v>3.216216216216216E-2</v>
      </c>
      <c r="L126" s="117">
        <f t="shared" si="126"/>
        <v>5.6559493076742559E-2</v>
      </c>
      <c r="M126" s="117" t="e">
        <f t="shared" si="126"/>
        <v>#DIV/0!</v>
      </c>
      <c r="N126" s="118"/>
      <c r="O126" s="117">
        <f t="shared" ref="O126:AB126" si="127">+O110/O$117</f>
        <v>7.1515577243549018E-3</v>
      </c>
      <c r="P126" s="117">
        <f t="shared" si="127"/>
        <v>3.5415017605153268E-3</v>
      </c>
      <c r="Q126" s="117">
        <f t="shared" si="127"/>
        <v>6.6712057926230448E-3</v>
      </c>
      <c r="R126" s="117">
        <f t="shared" si="127"/>
        <v>2.9502456518710135E-3</v>
      </c>
      <c r="S126" s="117">
        <f t="shared" si="127"/>
        <v>5.2775740350233793E-3</v>
      </c>
      <c r="T126" s="117">
        <f t="shared" si="127"/>
        <v>8.3084532891331275E-3</v>
      </c>
      <c r="U126" s="117">
        <f t="shared" si="127"/>
        <v>5.8694951369286782E-3</v>
      </c>
      <c r="V126" s="117">
        <f t="shared" si="127"/>
        <v>9.3053382697521631E-3</v>
      </c>
      <c r="W126" s="117">
        <f t="shared" si="127"/>
        <v>1.3570274636510501E-2</v>
      </c>
      <c r="X126" s="117">
        <f t="shared" si="127"/>
        <v>1.2999071494893225E-2</v>
      </c>
      <c r="Y126" s="117">
        <f t="shared" si="127"/>
        <v>2.6546173397345378E-2</v>
      </c>
      <c r="Z126" s="117">
        <f t="shared" si="127"/>
        <v>3.7315366675304482E-2</v>
      </c>
      <c r="AA126" s="117">
        <f t="shared" si="127"/>
        <v>5.1468803107550379E-2</v>
      </c>
      <c r="AB126" s="117">
        <f t="shared" si="127"/>
        <v>6.1349693251533742E-2</v>
      </c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3"/>
      <c r="AS126" s="153"/>
      <c r="AT126" s="153"/>
      <c r="AU126" s="153"/>
      <c r="AV126" s="233"/>
      <c r="AW126" s="233"/>
      <c r="AX126" s="233"/>
      <c r="AY126" s="233"/>
      <c r="AZ126" s="233"/>
      <c r="BA126" s="233"/>
      <c r="BB126" s="233"/>
      <c r="BC126" s="233"/>
      <c r="BD126" s="233"/>
    </row>
    <row r="127" spans="1:56" s="1" customFormat="1" ht="13.5" customHeight="1">
      <c r="A127" s="288"/>
      <c r="B127" s="1" t="s">
        <v>349</v>
      </c>
      <c r="C127" s="117">
        <f t="shared" ref="C127:M127" si="128">+C111/C$117</f>
        <v>0</v>
      </c>
      <c r="D127" s="117">
        <f t="shared" si="128"/>
        <v>0</v>
      </c>
      <c r="E127" s="117">
        <f t="shared" si="128"/>
        <v>9.9255583126550868E-5</v>
      </c>
      <c r="F127" s="117">
        <f t="shared" si="128"/>
        <v>2.828455763023202E-3</v>
      </c>
      <c r="G127" s="117">
        <f t="shared" si="128"/>
        <v>1.1135338889990156E-2</v>
      </c>
      <c r="H127" s="117">
        <f t="shared" si="128"/>
        <v>2.3403132629598949E-2</v>
      </c>
      <c r="I127" s="117">
        <f t="shared" si="128"/>
        <v>2.4332640456553648E-2</v>
      </c>
      <c r="J127" s="117">
        <f t="shared" si="128"/>
        <v>2.9244388239013593E-2</v>
      </c>
      <c r="K127" s="117">
        <f t="shared" si="128"/>
        <v>4.2702702702702704E-2</v>
      </c>
      <c r="L127" s="117">
        <f t="shared" si="128"/>
        <v>4.6702651959633891E-2</v>
      </c>
      <c r="M127" s="117" t="e">
        <f t="shared" si="128"/>
        <v>#DIV/0!</v>
      </c>
      <c r="N127" s="118"/>
      <c r="O127" s="117">
        <f t="shared" ref="O127:AB127" si="129">+O111/O$117</f>
        <v>2.5557290927161721E-3</v>
      </c>
      <c r="P127" s="117">
        <f t="shared" si="129"/>
        <v>3.0774899691568638E-3</v>
      </c>
      <c r="Q127" s="117">
        <f t="shared" si="129"/>
        <v>9.5648985898157714E-3</v>
      </c>
      <c r="R127" s="117">
        <f t="shared" si="129"/>
        <v>1.2588522514554345E-2</v>
      </c>
      <c r="S127" s="117">
        <f t="shared" si="129"/>
        <v>2.086962501146053E-2</v>
      </c>
      <c r="T127" s="117">
        <f t="shared" si="129"/>
        <v>2.5714898222754395E-2</v>
      </c>
      <c r="U127" s="117">
        <f t="shared" si="129"/>
        <v>2.2125598546975621E-2</v>
      </c>
      <c r="V127" s="117">
        <f t="shared" si="129"/>
        <v>2.6319701549591894E-2</v>
      </c>
      <c r="W127" s="117">
        <f t="shared" si="129"/>
        <v>2.7786752827140548E-2</v>
      </c>
      <c r="X127" s="117">
        <f t="shared" si="129"/>
        <v>3.0640668523676886E-2</v>
      </c>
      <c r="Y127" s="117">
        <f t="shared" si="129"/>
        <v>4.1231290595876859E-2</v>
      </c>
      <c r="Z127" s="117">
        <f t="shared" si="129"/>
        <v>4.4052863436123343E-2</v>
      </c>
      <c r="AA127" s="117">
        <f t="shared" si="129"/>
        <v>4.612770089827628E-2</v>
      </c>
      <c r="AB127" s="117">
        <f t="shared" si="129"/>
        <v>4.7261985912292644E-2</v>
      </c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  <c r="AO127" s="153"/>
      <c r="AP127" s="153"/>
      <c r="AQ127" s="153"/>
      <c r="AR127" s="153"/>
      <c r="AS127" s="153"/>
      <c r="AT127" s="153"/>
      <c r="AU127" s="153"/>
      <c r="AV127" s="233"/>
      <c r="AW127" s="233"/>
      <c r="AX127" s="233"/>
      <c r="AY127" s="233"/>
      <c r="AZ127" s="233"/>
      <c r="BA127" s="233"/>
      <c r="BB127" s="233"/>
      <c r="BC127" s="233"/>
      <c r="BD127" s="233"/>
    </row>
    <row r="128" spans="1:56" s="1" customFormat="1" ht="13.5" customHeight="1">
      <c r="A128" s="288"/>
      <c r="B128" s="1" t="s">
        <v>350</v>
      </c>
      <c r="C128" s="117">
        <f t="shared" ref="C128:M128" si="130">+C112/C$117</f>
        <v>9.2293493308721734E-4</v>
      </c>
      <c r="D128" s="117">
        <f t="shared" si="130"/>
        <v>7.5570489723762876E-4</v>
      </c>
      <c r="E128" s="117">
        <f t="shared" si="130"/>
        <v>6.4897881275052501E-4</v>
      </c>
      <c r="F128" s="117">
        <f t="shared" si="130"/>
        <v>6.1348599147539808E-4</v>
      </c>
      <c r="G128" s="117">
        <f t="shared" si="130"/>
        <v>4.2477274658057955E-4</v>
      </c>
      <c r="H128" s="117">
        <f t="shared" si="130"/>
        <v>4.1283563400343939E-4</v>
      </c>
      <c r="I128" s="117">
        <f t="shared" si="130"/>
        <v>2.8311094223791751E-4</v>
      </c>
      <c r="J128" s="117">
        <f t="shared" si="130"/>
        <v>1.5807777426493834E-3</v>
      </c>
      <c r="K128" s="117">
        <f t="shared" si="130"/>
        <v>3.6486486486486487E-3</v>
      </c>
      <c r="L128" s="117">
        <f t="shared" si="130"/>
        <v>8.5660643041539555E-3</v>
      </c>
      <c r="M128" s="117" t="e">
        <f t="shared" si="130"/>
        <v>#DIV/0!</v>
      </c>
      <c r="N128" s="118"/>
      <c r="O128" s="117">
        <f t="shared" ref="O128:AB128" si="131">+O112/O$117</f>
        <v>6.2772293505309489E-4</v>
      </c>
      <c r="P128" s="117">
        <f t="shared" si="131"/>
        <v>6.0048584764036349E-4</v>
      </c>
      <c r="Q128" s="117">
        <f t="shared" si="131"/>
        <v>5.6302620035876539E-4</v>
      </c>
      <c r="R128" s="117">
        <f t="shared" si="131"/>
        <v>2.9684196497264823E-4</v>
      </c>
      <c r="S128" s="117">
        <f t="shared" si="131"/>
        <v>5.2718437700559275E-4</v>
      </c>
      <c r="T128" s="117">
        <f t="shared" si="131"/>
        <v>3.0849511897977004E-4</v>
      </c>
      <c r="U128" s="117">
        <f t="shared" si="131"/>
        <v>2.5553729665128206E-4</v>
      </c>
      <c r="V128" s="117">
        <f t="shared" si="131"/>
        <v>3.079362607335254E-4</v>
      </c>
      <c r="W128" s="117">
        <f t="shared" si="131"/>
        <v>9.6930533117932144E-4</v>
      </c>
      <c r="X128" s="117">
        <f t="shared" si="131"/>
        <v>2.166511915815537E-3</v>
      </c>
      <c r="Y128" s="117">
        <f t="shared" si="131"/>
        <v>3.106467099689353E-3</v>
      </c>
      <c r="Z128" s="117">
        <f t="shared" si="131"/>
        <v>4.1461518528116094E-3</v>
      </c>
      <c r="AA128" s="117">
        <f t="shared" si="131"/>
        <v>9.9538722991017233E-3</v>
      </c>
      <c r="AB128" s="117">
        <f t="shared" si="131"/>
        <v>7.2710747557373319E-3</v>
      </c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53"/>
      <c r="AP128" s="153"/>
      <c r="AQ128" s="153"/>
      <c r="AR128" s="153"/>
      <c r="AS128" s="153"/>
      <c r="AT128" s="153"/>
      <c r="AU128" s="153"/>
      <c r="AV128" s="233"/>
      <c r="AW128" s="233"/>
      <c r="AX128" s="233"/>
      <c r="AY128" s="233"/>
      <c r="AZ128" s="233"/>
      <c r="BA128" s="233"/>
      <c r="BB128" s="233"/>
      <c r="BC128" s="233"/>
      <c r="BD128" s="233"/>
    </row>
    <row r="129" spans="1:56" s="1" customFormat="1" ht="13.5" customHeight="1">
      <c r="A129" s="288"/>
      <c r="B129" s="1" t="s">
        <v>351</v>
      </c>
      <c r="C129" s="117"/>
      <c r="D129" s="117"/>
      <c r="E129" s="117"/>
      <c r="F129" s="166"/>
      <c r="G129" s="166"/>
      <c r="H129" s="166"/>
      <c r="I129" s="117">
        <f t="shared" ref="I129:M131" si="132">+I113/I$117</f>
        <v>6.332744760584998E-5</v>
      </c>
      <c r="J129" s="117">
        <f t="shared" si="132"/>
        <v>0</v>
      </c>
      <c r="K129" s="117">
        <f t="shared" si="132"/>
        <v>0</v>
      </c>
      <c r="L129" s="117">
        <f t="shared" si="132"/>
        <v>0</v>
      </c>
      <c r="M129" s="117" t="e">
        <f t="shared" si="132"/>
        <v>#DIV/0!</v>
      </c>
      <c r="N129" s="118"/>
      <c r="O129" s="166"/>
      <c r="P129" s="166"/>
      <c r="Q129" s="166"/>
      <c r="R129" s="166"/>
      <c r="S129" s="166"/>
      <c r="T129" s="166"/>
      <c r="U129" s="117">
        <f>+U113/U$117</f>
        <v>4.1829489790302168E-3</v>
      </c>
      <c r="V129" s="166"/>
      <c r="W129" s="117"/>
      <c r="X129" s="117"/>
      <c r="Y129" s="117"/>
      <c r="Z129" s="117"/>
      <c r="AA129" s="117"/>
      <c r="AB129" s="117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  <c r="AU129" s="153"/>
      <c r="AV129" s="233"/>
      <c r="AW129" s="233"/>
      <c r="AX129" s="233"/>
      <c r="AY129" s="233"/>
      <c r="AZ129" s="233"/>
      <c r="BA129" s="233"/>
      <c r="BB129" s="233"/>
      <c r="BC129" s="233"/>
      <c r="BD129" s="233"/>
    </row>
    <row r="130" spans="1:56" s="1" customFormat="1" ht="13.5" customHeight="1">
      <c r="A130" s="288"/>
      <c r="B130" s="1" t="s">
        <v>98</v>
      </c>
      <c r="C130" s="117"/>
      <c r="D130" s="117"/>
      <c r="E130" s="117"/>
      <c r="F130" s="166"/>
      <c r="G130" s="166"/>
      <c r="H130" s="166"/>
      <c r="I130" s="117">
        <f t="shared" si="132"/>
        <v>5.5690902453379831E-3</v>
      </c>
      <c r="J130" s="117">
        <f t="shared" si="132"/>
        <v>1.138159974707556E-2</v>
      </c>
      <c r="K130" s="117">
        <f t="shared" si="132"/>
        <v>1.2702702702702703E-2</v>
      </c>
      <c r="L130" s="117">
        <f t="shared" si="132"/>
        <v>1.2790424782914811E-2</v>
      </c>
      <c r="M130" s="117" t="e">
        <f t="shared" si="132"/>
        <v>#DIV/0!</v>
      </c>
      <c r="N130" s="118"/>
      <c r="O130" s="166"/>
      <c r="P130" s="166"/>
      <c r="Q130" s="166"/>
      <c r="R130" s="166"/>
      <c r="S130" s="166"/>
      <c r="T130" s="166"/>
      <c r="U130" s="117">
        <f>+U114/U$117</f>
        <v>7.469551748268244E-5</v>
      </c>
      <c r="V130" s="166"/>
      <c r="W130" s="117">
        <f t="shared" ref="W130:AB131" si="133">+W114/W$117</f>
        <v>1.0339256865912763E-2</v>
      </c>
      <c r="X130" s="117">
        <f t="shared" si="133"/>
        <v>1.2380068090374499E-2</v>
      </c>
      <c r="Y130" s="117">
        <f t="shared" si="133"/>
        <v>1.2990680598700928E-2</v>
      </c>
      <c r="Z130" s="117">
        <f t="shared" si="133"/>
        <v>1.2438455558434829E-2</v>
      </c>
      <c r="AA130" s="117">
        <f t="shared" si="133"/>
        <v>1.2381646030589949E-2</v>
      </c>
      <c r="AB130" s="117">
        <f t="shared" si="133"/>
        <v>1.3178822994773914E-2</v>
      </c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  <c r="AO130" s="153"/>
      <c r="AP130" s="153"/>
      <c r="AQ130" s="153"/>
      <c r="AR130" s="153"/>
      <c r="AS130" s="153"/>
      <c r="AT130" s="153"/>
      <c r="AU130" s="153"/>
      <c r="AV130" s="233"/>
      <c r="AW130" s="233"/>
      <c r="AX130" s="233"/>
      <c r="AY130" s="233"/>
      <c r="AZ130" s="233"/>
      <c r="BA130" s="233"/>
      <c r="BB130" s="233"/>
      <c r="BC130" s="233"/>
      <c r="BD130" s="233"/>
    </row>
    <row r="131" spans="1:56" s="1" customFormat="1" ht="13.5" customHeight="1">
      <c r="A131" s="288"/>
      <c r="B131" s="1" t="s">
        <v>352</v>
      </c>
      <c r="C131" s="117"/>
      <c r="D131" s="117"/>
      <c r="E131" s="117"/>
      <c r="F131" s="117"/>
      <c r="G131" s="117"/>
      <c r="H131" s="117">
        <f>+H115/H$117</f>
        <v>4.727104709880442E-3</v>
      </c>
      <c r="I131" s="117">
        <f t="shared" si="132"/>
        <v>1.3255924841495126E-2</v>
      </c>
      <c r="J131" s="117">
        <f t="shared" si="132"/>
        <v>1.9285488460322478E-2</v>
      </c>
      <c r="K131" s="117">
        <f t="shared" si="132"/>
        <v>2.081081081081081E-2</v>
      </c>
      <c r="L131" s="117">
        <f t="shared" si="132"/>
        <v>2.0652429007275291E-2</v>
      </c>
      <c r="M131" s="117" t="e">
        <f t="shared" si="132"/>
        <v>#DIV/0!</v>
      </c>
      <c r="N131" s="118"/>
      <c r="O131" s="117"/>
      <c r="P131" s="117"/>
      <c r="Q131" s="117"/>
      <c r="R131" s="117"/>
      <c r="S131" s="117">
        <f>+S115/S$117</f>
        <v>1.9482900889337125E-3</v>
      </c>
      <c r="T131" s="117">
        <f>+T115/T$117</f>
        <v>7.2627071231000095E-3</v>
      </c>
      <c r="U131" s="117">
        <f>+U115/U$117</f>
        <v>6.7422532885684418E-3</v>
      </c>
      <c r="V131" s="117">
        <f>+V115/V$117</f>
        <v>1.9120364143477061E-2</v>
      </c>
      <c r="W131" s="117">
        <f t="shared" si="133"/>
        <v>1.8416801292407109E-2</v>
      </c>
      <c r="X131" s="117">
        <f t="shared" si="133"/>
        <v>2.0117610646858557E-2</v>
      </c>
      <c r="Y131" s="117">
        <f t="shared" si="133"/>
        <v>2.0050833097994911E-2</v>
      </c>
      <c r="Z131" s="117">
        <f t="shared" si="133"/>
        <v>2.1508162736460223E-2</v>
      </c>
      <c r="AA131" s="117">
        <f t="shared" si="133"/>
        <v>2.0636076717649915E-2</v>
      </c>
      <c r="AB131" s="117">
        <f t="shared" si="133"/>
        <v>2.0677118836628039E-2</v>
      </c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  <c r="AO131" s="153"/>
      <c r="AP131" s="153"/>
      <c r="AQ131" s="153"/>
      <c r="AR131" s="153"/>
      <c r="AS131" s="153"/>
      <c r="AT131" s="153"/>
      <c r="AU131" s="153"/>
      <c r="AV131" s="233"/>
      <c r="AW131" s="233"/>
      <c r="AX131" s="233"/>
      <c r="AY131" s="233"/>
      <c r="AZ131" s="233"/>
      <c r="BA131" s="233"/>
      <c r="BB131" s="233"/>
      <c r="BC131" s="233"/>
      <c r="BD131" s="233"/>
    </row>
    <row r="132" spans="1:56" s="1" customFormat="1" ht="13.5" customHeight="1">
      <c r="A132" s="288"/>
      <c r="B132" s="1" t="s">
        <v>353</v>
      </c>
      <c r="C132" s="117"/>
      <c r="D132" s="117"/>
      <c r="E132" s="117"/>
      <c r="F132" s="117"/>
      <c r="G132" s="117"/>
      <c r="H132" s="117"/>
      <c r="I132" s="117"/>
      <c r="J132" s="117"/>
      <c r="K132" s="117"/>
      <c r="L132" s="117">
        <f>+L116/L$117</f>
        <v>2.3468669326449194E-4</v>
      </c>
      <c r="M132" s="117" t="e">
        <f>+M116/M$117</f>
        <v>#DIV/0!</v>
      </c>
      <c r="N132" s="118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/>
      <c r="AP132" s="153"/>
      <c r="AQ132" s="153"/>
      <c r="AR132" s="153"/>
      <c r="AS132" s="153"/>
      <c r="AT132" s="153"/>
      <c r="AU132" s="153"/>
      <c r="AV132" s="233"/>
      <c r="AW132" s="233"/>
      <c r="AX132" s="233"/>
      <c r="AY132" s="233"/>
      <c r="AZ132" s="233"/>
      <c r="BA132" s="233"/>
      <c r="BB132" s="233"/>
      <c r="BC132" s="233"/>
      <c r="BD132" s="233"/>
    </row>
    <row r="133" spans="1:56" s="5" customFormat="1" ht="13.5" customHeight="1">
      <c r="A133" s="8"/>
      <c r="B133" s="5" t="s">
        <v>329</v>
      </c>
      <c r="C133" s="120">
        <f t="shared" ref="C133" si="134">+SUM(C121:C128)</f>
        <v>1</v>
      </c>
      <c r="D133" s="120">
        <f t="shared" ref="D133:E133" si="135">+SUM(D121:D128)</f>
        <v>0.99999999999999989</v>
      </c>
      <c r="E133" s="120">
        <f t="shared" si="135"/>
        <v>1</v>
      </c>
      <c r="F133" s="120">
        <f t="shared" ref="F133" si="136">+SUM(F121:F128)</f>
        <v>0.99999999999999989</v>
      </c>
      <c r="G133" s="120">
        <f t="shared" ref="G133" si="137">+SUM(G121:G128)</f>
        <v>0.99991504545068421</v>
      </c>
      <c r="H133" s="120">
        <f t="shared" ref="H133:M133" si="138">+SUM(H121:H131)</f>
        <v>0.99999999999999989</v>
      </c>
      <c r="I133" s="120">
        <f t="shared" si="138"/>
        <v>1</v>
      </c>
      <c r="J133" s="120">
        <f t="shared" si="138"/>
        <v>1</v>
      </c>
      <c r="K133" s="120">
        <f t="shared" si="138"/>
        <v>1</v>
      </c>
      <c r="L133" s="120">
        <f t="shared" si="138"/>
        <v>0.99976531330673557</v>
      </c>
      <c r="M133" s="120" t="e">
        <f t="shared" si="138"/>
        <v>#DIV/0!</v>
      </c>
      <c r="N133" s="119"/>
      <c r="O133" s="120">
        <f t="shared" ref="O133:P133" si="139">+SUM(O121:O128)</f>
        <v>1</v>
      </c>
      <c r="P133" s="120">
        <f t="shared" si="139"/>
        <v>1.0000000000000002</v>
      </c>
      <c r="Q133" s="120">
        <f>+SUM(Q121:Q128)</f>
        <v>0.99999999999999967</v>
      </c>
      <c r="R133" s="120">
        <f t="shared" ref="R133" si="140">+SUM(R121:R128)</f>
        <v>0.99983643401930078</v>
      </c>
      <c r="S133" s="120">
        <f t="shared" ref="S133:AA133" si="141">+SUM(S121:S131)</f>
        <v>1</v>
      </c>
      <c r="T133" s="120">
        <f t="shared" si="141"/>
        <v>1</v>
      </c>
      <c r="U133" s="120">
        <f t="shared" si="141"/>
        <v>1</v>
      </c>
      <c r="V133" s="120">
        <f t="shared" si="141"/>
        <v>0.99312983583811765</v>
      </c>
      <c r="W133" s="120">
        <f t="shared" si="141"/>
        <v>0.99999999999999978</v>
      </c>
      <c r="X133" s="120">
        <f t="shared" si="141"/>
        <v>1</v>
      </c>
      <c r="Y133" s="120">
        <f t="shared" si="141"/>
        <v>0.99999999999999956</v>
      </c>
      <c r="Z133" s="120">
        <f t="shared" si="141"/>
        <v>1</v>
      </c>
      <c r="AA133" s="120">
        <f t="shared" si="141"/>
        <v>1.0000000000000002</v>
      </c>
      <c r="AB133" s="120">
        <f t="shared" ref="AB133" si="142">+SUM(AB121:AB131)</f>
        <v>0.99999999999999978</v>
      </c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233"/>
      <c r="AW133" s="233"/>
      <c r="AX133" s="233"/>
      <c r="AY133" s="233"/>
      <c r="AZ133" s="233"/>
      <c r="BA133" s="233"/>
      <c r="BB133" s="233"/>
      <c r="BC133" s="233"/>
      <c r="BD133" s="233"/>
    </row>
    <row r="134" spans="1:56" s="5" customFormat="1" ht="13.5" customHeight="1">
      <c r="A134" s="8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12"/>
      <c r="N134" s="119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</row>
    <row r="135" spans="1:56" s="5" customFormat="1" ht="13.5" customHeight="1">
      <c r="A135" s="8"/>
      <c r="B135" s="5" t="s">
        <v>355</v>
      </c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12"/>
      <c r="N135" s="119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</row>
    <row r="136" spans="1:56" s="5" customFormat="1" ht="13.5" customHeight="1">
      <c r="A136" s="8"/>
      <c r="B136" s="1" t="s">
        <v>95</v>
      </c>
      <c r="C136" s="232"/>
      <c r="D136" s="117">
        <f>D105/C105-1</f>
        <v>4.1287196449979024E-2</v>
      </c>
      <c r="E136" s="117">
        <f t="shared" ref="E136:L136" si="143">E105/D105-1</f>
        <v>0.13476712014996872</v>
      </c>
      <c r="F136" s="117">
        <f t="shared" si="143"/>
        <v>-1.257841590574682E-2</v>
      </c>
      <c r="G136" s="117">
        <f t="shared" si="143"/>
        <v>8.2360092742521207E-2</v>
      </c>
      <c r="H136" s="117">
        <f t="shared" si="143"/>
        <v>9.3612854806884638E-2</v>
      </c>
      <c r="I136" s="117">
        <f t="shared" si="143"/>
        <v>0.1276200258139577</v>
      </c>
      <c r="J136" s="117">
        <f t="shared" si="143"/>
        <v>0.11237843436765727</v>
      </c>
      <c r="K136" s="117">
        <f t="shared" si="143"/>
        <v>7.8985507246376763E-2</v>
      </c>
      <c r="L136" s="117">
        <f t="shared" si="143"/>
        <v>5.9771658831430541E-2</v>
      </c>
      <c r="M136" s="232"/>
      <c r="N136" s="119"/>
      <c r="O136" s="232"/>
      <c r="P136" s="232"/>
      <c r="Q136" s="117">
        <f>Q105/O105-1</f>
        <v>9.7742498451838022E-2</v>
      </c>
      <c r="R136" s="117">
        <f t="shared" ref="R136:AB148" si="144">R105/P105-1</f>
        <v>6.8286703201615229E-2</v>
      </c>
      <c r="S136" s="117">
        <f t="shared" si="144"/>
        <v>0.10773775334372693</v>
      </c>
      <c r="T136" s="117">
        <f t="shared" si="144"/>
        <v>8.0333638686659326E-2</v>
      </c>
      <c r="U136" s="117">
        <f t="shared" si="144"/>
        <v>0.12232407407407409</v>
      </c>
      <c r="V136" s="117">
        <f t="shared" si="144"/>
        <v>0.13272519547288364</v>
      </c>
      <c r="W136" s="117">
        <f t="shared" si="144"/>
        <v>0.12531040912128444</v>
      </c>
      <c r="X136" s="117">
        <f t="shared" si="144"/>
        <v>0.10002679148346028</v>
      </c>
      <c r="Y136" s="117">
        <f t="shared" si="144"/>
        <v>6.011730205278587E-2</v>
      </c>
      <c r="Z136" s="117">
        <f t="shared" si="144"/>
        <v>9.7421203438395665E-2</v>
      </c>
      <c r="AA136" s="117">
        <f t="shared" si="144"/>
        <v>5.8782849239280788E-2</v>
      </c>
      <c r="AB136" s="117">
        <f t="shared" si="144"/>
        <v>6.0704960835509247E-2</v>
      </c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233"/>
      <c r="AW136" s="233"/>
      <c r="AX136" s="233"/>
      <c r="AY136" s="233"/>
      <c r="AZ136" s="233"/>
      <c r="BA136" s="233"/>
      <c r="BB136" s="233"/>
      <c r="BC136" s="233"/>
      <c r="BD136" s="233"/>
    </row>
    <row r="137" spans="1:56" s="5" customFormat="1" ht="13.5" customHeight="1">
      <c r="A137" s="8"/>
      <c r="B137" s="1" t="s">
        <v>96</v>
      </c>
      <c r="C137" s="232"/>
      <c r="D137" s="117">
        <f t="shared" ref="D137:L148" si="145">D106/C106-1</f>
        <v>0.47286910634392565</v>
      </c>
      <c r="E137" s="117">
        <f t="shared" si="145"/>
        <v>0.50393332814082092</v>
      </c>
      <c r="F137" s="117">
        <f t="shared" si="145"/>
        <v>0.18346366979128903</v>
      </c>
      <c r="G137" s="117">
        <f t="shared" si="145"/>
        <v>0.20957048771415443</v>
      </c>
      <c r="H137" s="117">
        <f t="shared" si="145"/>
        <v>0.2381831008845714</v>
      </c>
      <c r="I137" s="117">
        <f t="shared" si="145"/>
        <v>0.38440860215053774</v>
      </c>
      <c r="J137" s="117">
        <f t="shared" si="145"/>
        <v>0.19987336428872937</v>
      </c>
      <c r="K137" s="117">
        <f t="shared" si="145"/>
        <v>0.20052770448548807</v>
      </c>
      <c r="L137" s="117">
        <f t="shared" si="145"/>
        <v>0.17362637362637345</v>
      </c>
      <c r="M137" s="232"/>
      <c r="N137" s="119"/>
      <c r="O137" s="232"/>
      <c r="P137" s="232"/>
      <c r="Q137" s="117">
        <f t="shared" ref="Q137:Q148" si="146">Q106/O106-1</f>
        <v>0.19263443490637377</v>
      </c>
      <c r="R137" s="117">
        <f t="shared" si="144"/>
        <v>0.22596899224806188</v>
      </c>
      <c r="S137" s="117">
        <f t="shared" si="144"/>
        <v>0.23700305810397548</v>
      </c>
      <c r="T137" s="117">
        <f t="shared" si="144"/>
        <v>0.23929462184283556</v>
      </c>
      <c r="U137" s="117">
        <f t="shared" si="144"/>
        <v>0.35246766559136544</v>
      </c>
      <c r="V137" s="117">
        <f t="shared" si="144"/>
        <v>0.41443918478414954</v>
      </c>
      <c r="W137" s="117">
        <f t="shared" si="144"/>
        <v>0.21489077128845291</v>
      </c>
      <c r="X137" s="117">
        <f t="shared" si="144"/>
        <v>0.18637274549098182</v>
      </c>
      <c r="Y137" s="117">
        <f t="shared" si="144"/>
        <v>0.18165137614678906</v>
      </c>
      <c r="Z137" s="117">
        <f t="shared" si="144"/>
        <v>0.21790540540540526</v>
      </c>
      <c r="AA137" s="117">
        <f t="shared" si="144"/>
        <v>0.20496894409937871</v>
      </c>
      <c r="AB137" s="117">
        <f t="shared" si="144"/>
        <v>0.14563106796116498</v>
      </c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233"/>
      <c r="AW137" s="233"/>
      <c r="AX137" s="233"/>
      <c r="AY137" s="233"/>
      <c r="AZ137" s="233"/>
      <c r="BA137" s="233"/>
      <c r="BB137" s="233"/>
      <c r="BC137" s="233"/>
      <c r="BD137" s="233"/>
    </row>
    <row r="138" spans="1:56" s="5" customFormat="1" ht="13.5" customHeight="1">
      <c r="A138" s="8"/>
      <c r="B138" s="1" t="s">
        <v>97</v>
      </c>
      <c r="C138" s="232"/>
      <c r="D138" s="117">
        <f t="shared" si="145"/>
        <v>2.3349459305634603</v>
      </c>
      <c r="E138" s="117">
        <f t="shared" si="145"/>
        <v>4.3092414028500725E-2</v>
      </c>
      <c r="F138" s="117">
        <f t="shared" si="145"/>
        <v>0.98846531413612548</v>
      </c>
      <c r="G138" s="117">
        <f t="shared" si="145"/>
        <v>0.18685975233471841</v>
      </c>
      <c r="H138" s="117">
        <f t="shared" si="145"/>
        <v>0.21314430309542787</v>
      </c>
      <c r="I138" s="117">
        <f t="shared" si="145"/>
        <v>0.58231898965655193</v>
      </c>
      <c r="J138" s="117">
        <f t="shared" si="145"/>
        <v>0.1791686229188485</v>
      </c>
      <c r="K138" s="117">
        <f t="shared" si="145"/>
        <v>-7.6569678407350739E-2</v>
      </c>
      <c r="L138" s="117">
        <f t="shared" si="145"/>
        <v>0.47761194029850751</v>
      </c>
      <c r="M138" s="232"/>
      <c r="N138" s="119"/>
      <c r="O138" s="232"/>
      <c r="P138" s="232"/>
      <c r="Q138" s="117">
        <f t="shared" si="146"/>
        <v>0.1608711566617862</v>
      </c>
      <c r="R138" s="117">
        <f t="shared" si="144"/>
        <v>0.20808730099409534</v>
      </c>
      <c r="S138" s="117">
        <f t="shared" si="144"/>
        <v>0.10893898786063372</v>
      </c>
      <c r="T138" s="117">
        <f t="shared" si="144"/>
        <v>0.29493287137288871</v>
      </c>
      <c r="U138" s="117">
        <f t="shared" si="144"/>
        <v>0.89309070230309939</v>
      </c>
      <c r="V138" s="117">
        <f t="shared" si="144"/>
        <v>0.3734352603917821</v>
      </c>
      <c r="W138" s="117">
        <f t="shared" si="144"/>
        <v>0.23160108140582736</v>
      </c>
      <c r="X138" s="117">
        <f t="shared" si="144"/>
        <v>0.13059208237667863</v>
      </c>
      <c r="Y138" s="117">
        <f t="shared" si="144"/>
        <v>6.4024390243902385E-2</v>
      </c>
      <c r="Z138" s="117">
        <f t="shared" si="144"/>
        <v>-0.21846153846153848</v>
      </c>
      <c r="AA138" s="117">
        <f t="shared" si="144"/>
        <v>0.25787965616045838</v>
      </c>
      <c r="AB138" s="117">
        <f t="shared" si="144"/>
        <v>0.77952755905511806</v>
      </c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233"/>
      <c r="AW138" s="233"/>
      <c r="AX138" s="233"/>
      <c r="AY138" s="233"/>
      <c r="AZ138" s="233"/>
      <c r="BA138" s="233"/>
      <c r="BB138" s="233"/>
      <c r="BC138" s="233"/>
      <c r="BD138" s="233"/>
    </row>
    <row r="139" spans="1:56" s="5" customFormat="1" ht="13.5" customHeight="1">
      <c r="A139" s="8"/>
      <c r="B139" s="1" t="s">
        <v>326</v>
      </c>
      <c r="C139" s="232"/>
      <c r="D139" s="117">
        <f t="shared" si="145"/>
        <v>0.38375606629429537</v>
      </c>
      <c r="E139" s="117">
        <f t="shared" si="145"/>
        <v>0.23173636844891488</v>
      </c>
      <c r="F139" s="117">
        <f t="shared" si="145"/>
        <v>8.7192435801009882E-2</v>
      </c>
      <c r="G139" s="117">
        <f t="shared" si="145"/>
        <v>0.25319958491871342</v>
      </c>
      <c r="H139" s="117">
        <f t="shared" si="145"/>
        <v>0.12862268837979585</v>
      </c>
      <c r="I139" s="117">
        <f t="shared" si="145"/>
        <v>0.45075638472557022</v>
      </c>
      <c r="J139" s="117">
        <f t="shared" si="145"/>
        <v>0.17519566526189045</v>
      </c>
      <c r="K139" s="117">
        <f t="shared" si="145"/>
        <v>0.45491803278688536</v>
      </c>
      <c r="L139" s="117">
        <f t="shared" si="145"/>
        <v>3.2394366197183055E-2</v>
      </c>
      <c r="M139" s="232"/>
      <c r="N139" s="119"/>
      <c r="O139" s="232"/>
      <c r="P139" s="232"/>
      <c r="Q139" s="117">
        <f t="shared" si="146"/>
        <v>0.30412425228250606</v>
      </c>
      <c r="R139" s="117">
        <f t="shared" si="144"/>
        <v>0.20788195741501703</v>
      </c>
      <c r="S139" s="117">
        <f t="shared" si="144"/>
        <v>0.12231431560312211</v>
      </c>
      <c r="T139" s="117">
        <f t="shared" si="144"/>
        <v>0.13468377918663998</v>
      </c>
      <c r="U139" s="117">
        <f t="shared" si="144"/>
        <v>0.43751344375134438</v>
      </c>
      <c r="V139" s="117">
        <f t="shared" si="144"/>
        <v>0.46334150994821455</v>
      </c>
      <c r="W139" s="117">
        <f t="shared" si="144"/>
        <v>0.14220160606514032</v>
      </c>
      <c r="X139" s="117">
        <f t="shared" si="144"/>
        <v>0.20599739243807047</v>
      </c>
      <c r="Y139" s="117">
        <f t="shared" si="144"/>
        <v>0.23144104803493448</v>
      </c>
      <c r="Z139" s="117">
        <f t="shared" si="144"/>
        <v>0.65250965250965254</v>
      </c>
      <c r="AA139" s="117">
        <f t="shared" si="144"/>
        <v>0.27659574468085113</v>
      </c>
      <c r="AB139" s="117">
        <f t="shared" si="144"/>
        <v>-0.12850467289719625</v>
      </c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233"/>
      <c r="AW139" s="233"/>
      <c r="AX139" s="233"/>
      <c r="AY139" s="233"/>
      <c r="AZ139" s="233"/>
      <c r="BA139" s="233"/>
      <c r="BB139" s="233"/>
      <c r="BC139" s="233"/>
      <c r="BD139" s="233"/>
    </row>
    <row r="140" spans="1:56" s="5" customFormat="1" ht="13.5" customHeight="1">
      <c r="A140" s="8"/>
      <c r="B140" s="1" t="s">
        <v>347</v>
      </c>
      <c r="C140" s="232"/>
      <c r="D140" s="117">
        <f t="shared" si="145"/>
        <v>-8.9925062447960058E-2</v>
      </c>
      <c r="E140" s="117">
        <f t="shared" si="145"/>
        <v>0.14226898444647751</v>
      </c>
      <c r="F140" s="117">
        <f t="shared" si="145"/>
        <v>-0.28474169002803362</v>
      </c>
      <c r="G140" s="117">
        <f t="shared" si="145"/>
        <v>7.3908174692049133E-2</v>
      </c>
      <c r="H140" s="117">
        <f t="shared" si="145"/>
        <v>-0.63086548488008343</v>
      </c>
      <c r="I140" s="117">
        <f t="shared" si="145"/>
        <v>97.351694915254242</v>
      </c>
      <c r="J140" s="117">
        <f t="shared" si="145"/>
        <v>0.1704220699955481</v>
      </c>
      <c r="K140" s="117">
        <f t="shared" si="145"/>
        <v>0.12269938650306744</v>
      </c>
      <c r="L140" s="117">
        <f t="shared" si="145"/>
        <v>-1.6393442622950838E-2</v>
      </c>
      <c r="M140" s="232"/>
      <c r="N140" s="119"/>
      <c r="O140" s="232"/>
      <c r="P140" s="232"/>
      <c r="Q140" s="117">
        <f t="shared" si="146"/>
        <v>0.11487481590574378</v>
      </c>
      <c r="R140" s="117">
        <f t="shared" si="144"/>
        <v>4.8780487804878092E-2</v>
      </c>
      <c r="S140" s="117">
        <f t="shared" si="144"/>
        <v>-0.560105680317041</v>
      </c>
      <c r="T140" s="117">
        <f t="shared" si="144"/>
        <v>-0.67700258397932822</v>
      </c>
      <c r="U140" s="117">
        <f t="shared" si="144"/>
        <v>93.984984984984976</v>
      </c>
      <c r="V140" s="117">
        <f t="shared" si="144"/>
        <v>100.34133333333335</v>
      </c>
      <c r="W140" s="117">
        <f t="shared" si="144"/>
        <v>0.29307619348719571</v>
      </c>
      <c r="X140" s="117">
        <f t="shared" si="144"/>
        <v>6.8336710259716327E-2</v>
      </c>
      <c r="Y140" s="117">
        <f t="shared" si="144"/>
        <v>0.10513447432762857</v>
      </c>
      <c r="Z140" s="117">
        <f t="shared" si="144"/>
        <v>0.14039408866995062</v>
      </c>
      <c r="AA140" s="117">
        <f t="shared" si="144"/>
        <v>-3.9823008849557584E-2</v>
      </c>
      <c r="AB140" s="117">
        <f t="shared" si="144"/>
        <v>6.4794816414688317E-3</v>
      </c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233"/>
      <c r="AW140" s="233"/>
      <c r="AX140" s="233"/>
      <c r="AY140" s="233"/>
      <c r="AZ140" s="233"/>
      <c r="BA140" s="233"/>
      <c r="BB140" s="233"/>
      <c r="BC140" s="233"/>
      <c r="BD140" s="233"/>
    </row>
    <row r="141" spans="1:56" s="5" customFormat="1" ht="13.5" customHeight="1">
      <c r="A141" s="8"/>
      <c r="B141" s="1" t="s">
        <v>348</v>
      </c>
      <c r="C141" s="232"/>
      <c r="D141" s="117">
        <f t="shared" si="145"/>
        <v>0.23009554140127375</v>
      </c>
      <c r="E141" s="117">
        <f t="shared" si="145"/>
        <v>-1.9417475728155109E-3</v>
      </c>
      <c r="F141" s="117">
        <f t="shared" si="145"/>
        <v>-4.2801556420233533E-2</v>
      </c>
      <c r="G141" s="117">
        <f t="shared" si="145"/>
        <v>2.0325203252032464E-2</v>
      </c>
      <c r="H141" s="117">
        <f t="shared" si="145"/>
        <v>0.66666666666666652</v>
      </c>
      <c r="I141" s="117">
        <f t="shared" si="145"/>
        <v>0.64223107569721116</v>
      </c>
      <c r="J141" s="117">
        <f t="shared" si="145"/>
        <v>1.0378457059679769</v>
      </c>
      <c r="K141" s="117">
        <f t="shared" si="145"/>
        <v>1.8333333333333335</v>
      </c>
      <c r="L141" s="117">
        <f t="shared" si="145"/>
        <v>1.0252100840336134</v>
      </c>
      <c r="M141" s="232"/>
      <c r="N141" s="119"/>
      <c r="O141" s="232"/>
      <c r="P141" s="232"/>
      <c r="Q141" s="117">
        <f t="shared" si="146"/>
        <v>6.478578892372E-2</v>
      </c>
      <c r="R141" s="117">
        <f t="shared" si="144"/>
        <v>-6.1657032755298435E-2</v>
      </c>
      <c r="S141" s="117">
        <f t="shared" si="144"/>
        <v>-9.6172718351324682E-2</v>
      </c>
      <c r="T141" s="117">
        <f t="shared" si="144"/>
        <v>2.2628336755646807</v>
      </c>
      <c r="U141" s="117">
        <f t="shared" si="144"/>
        <v>0.62106406080347454</v>
      </c>
      <c r="V141" s="117">
        <f t="shared" si="144"/>
        <v>0.65449968533668978</v>
      </c>
      <c r="W141" s="117">
        <f t="shared" si="144"/>
        <v>1.8131279303415941</v>
      </c>
      <c r="X141" s="117">
        <f t="shared" si="144"/>
        <v>0.59756561430201627</v>
      </c>
      <c r="Y141" s="117">
        <f t="shared" si="144"/>
        <v>1.2380952380952381</v>
      </c>
      <c r="Z141" s="117">
        <f t="shared" si="144"/>
        <v>2.4285714285714284</v>
      </c>
      <c r="AA141" s="117">
        <f t="shared" si="144"/>
        <v>1.2553191489361701</v>
      </c>
      <c r="AB141" s="117">
        <f t="shared" si="144"/>
        <v>0.87500000000000022</v>
      </c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233"/>
      <c r="AW141" s="233"/>
      <c r="AX141" s="233"/>
      <c r="AY141" s="233"/>
      <c r="AZ141" s="233"/>
      <c r="BA141" s="233"/>
      <c r="BB141" s="233"/>
      <c r="BC141" s="233"/>
      <c r="BD141" s="233"/>
    </row>
    <row r="142" spans="1:56" s="5" customFormat="1" ht="13.5" customHeight="1">
      <c r="A142" s="8"/>
      <c r="B142" s="1" t="s">
        <v>349</v>
      </c>
      <c r="C142" s="232"/>
      <c r="D142" s="117" t="e">
        <f t="shared" si="145"/>
        <v>#DIV/0!</v>
      </c>
      <c r="E142" s="117" t="e">
        <f t="shared" si="145"/>
        <v>#DIV/0!</v>
      </c>
      <c r="F142" s="117">
        <f t="shared" si="145"/>
        <v>29.500000000000004</v>
      </c>
      <c r="G142" s="117">
        <f t="shared" si="145"/>
        <v>3.4627994955863812</v>
      </c>
      <c r="H142" s="117">
        <f t="shared" si="145"/>
        <v>1.4187623622492231</v>
      </c>
      <c r="I142" s="117">
        <f t="shared" si="145"/>
        <v>0.52616822429906529</v>
      </c>
      <c r="J142" s="117">
        <f t="shared" si="145"/>
        <v>0.41610532761788122</v>
      </c>
      <c r="K142" s="117">
        <f t="shared" si="145"/>
        <v>0.7081081081081082</v>
      </c>
      <c r="L142" s="117">
        <f t="shared" si="145"/>
        <v>0.25949367088607578</v>
      </c>
      <c r="M142" s="232"/>
      <c r="N142" s="119"/>
      <c r="O142" s="232"/>
      <c r="P142" s="232"/>
      <c r="Q142" s="117">
        <f t="shared" si="146"/>
        <v>3.2719298245614032</v>
      </c>
      <c r="R142" s="117">
        <f t="shared" si="144"/>
        <v>3.6075388026607547</v>
      </c>
      <c r="S142" s="117">
        <f t="shared" si="144"/>
        <v>1.492813141683778</v>
      </c>
      <c r="T142" s="117">
        <f t="shared" si="144"/>
        <v>1.3666987487969204</v>
      </c>
      <c r="U142" s="117">
        <f t="shared" si="144"/>
        <v>0.54530477759472817</v>
      </c>
      <c r="V142" s="117">
        <f t="shared" si="144"/>
        <v>0.5119967466449773</v>
      </c>
      <c r="W142" s="117">
        <f t="shared" si="144"/>
        <v>0.52807391613361743</v>
      </c>
      <c r="X142" s="117">
        <f t="shared" si="144"/>
        <v>0.33136094674556227</v>
      </c>
      <c r="Y142" s="117">
        <f t="shared" si="144"/>
        <v>0.69767441860465129</v>
      </c>
      <c r="Z142" s="117">
        <f t="shared" si="144"/>
        <v>0.71717171717171713</v>
      </c>
      <c r="AA142" s="117">
        <f t="shared" si="144"/>
        <v>0.30136986301369872</v>
      </c>
      <c r="AB142" s="117">
        <f t="shared" si="144"/>
        <v>0.22352941176470575</v>
      </c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233"/>
      <c r="AW142" s="233"/>
      <c r="AX142" s="233"/>
      <c r="AY142" s="233"/>
      <c r="AZ142" s="233"/>
      <c r="BA142" s="233"/>
      <c r="BB142" s="233"/>
      <c r="BC142" s="233"/>
      <c r="BD142" s="233"/>
    </row>
    <row r="143" spans="1:56" s="5" customFormat="1" ht="13.5" customHeight="1">
      <c r="A143" s="8"/>
      <c r="B143" s="1" t="s">
        <v>350</v>
      </c>
      <c r="C143" s="232"/>
      <c r="D143" s="117">
        <f t="shared" si="145"/>
        <v>-6.6666666666666541E-2</v>
      </c>
      <c r="E143" s="117">
        <f t="shared" si="145"/>
        <v>1.1904761904761862E-2</v>
      </c>
      <c r="F143" s="117">
        <f t="shared" si="145"/>
        <v>1.1764705882352677E-2</v>
      </c>
      <c r="G143" s="117">
        <f t="shared" si="145"/>
        <v>-0.21511627906976738</v>
      </c>
      <c r="H143" s="117">
        <f t="shared" si="145"/>
        <v>0.11851851851851847</v>
      </c>
      <c r="I143" s="117">
        <f t="shared" si="145"/>
        <v>6.6225165562914245E-3</v>
      </c>
      <c r="J143" s="117">
        <f t="shared" si="145"/>
        <v>5.5789473684210531</v>
      </c>
      <c r="K143" s="117">
        <f t="shared" si="145"/>
        <v>1.7000000000000002</v>
      </c>
      <c r="L143" s="117">
        <f t="shared" si="145"/>
        <v>1.7037037037037033</v>
      </c>
      <c r="M143" s="232"/>
      <c r="N143" s="119"/>
      <c r="O143" s="232"/>
      <c r="P143" s="232"/>
      <c r="Q143" s="117">
        <f t="shared" si="146"/>
        <v>2.3809523809523725E-2</v>
      </c>
      <c r="R143" s="117">
        <f t="shared" si="144"/>
        <v>-0.4431818181818179</v>
      </c>
      <c r="S143" s="117">
        <f t="shared" si="144"/>
        <v>6.976744186046524E-2</v>
      </c>
      <c r="T143" s="117">
        <f t="shared" si="144"/>
        <v>0.20408163265306078</v>
      </c>
      <c r="U143" s="117">
        <f t="shared" si="144"/>
        <v>-0.29347826086956519</v>
      </c>
      <c r="V143" s="117">
        <f t="shared" si="144"/>
        <v>0.47457627118644075</v>
      </c>
      <c r="W143" s="117">
        <f t="shared" si="144"/>
        <v>3.615384615384615</v>
      </c>
      <c r="X143" s="117">
        <f t="shared" si="144"/>
        <v>7.0459770114942533</v>
      </c>
      <c r="Y143" s="117">
        <f t="shared" si="144"/>
        <v>2.666666666666667</v>
      </c>
      <c r="Z143" s="117">
        <f t="shared" si="144"/>
        <v>1.285714285714286</v>
      </c>
      <c r="AA143" s="117">
        <f t="shared" si="144"/>
        <v>2.7272727272727266</v>
      </c>
      <c r="AB143" s="117">
        <f t="shared" si="144"/>
        <v>1</v>
      </c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233"/>
      <c r="AW143" s="233"/>
      <c r="AX143" s="233"/>
      <c r="AY143" s="233"/>
      <c r="AZ143" s="233"/>
      <c r="BA143" s="233"/>
      <c r="BB143" s="233"/>
      <c r="BC143" s="233"/>
      <c r="BD143" s="233"/>
    </row>
    <row r="144" spans="1:56" s="5" customFormat="1" ht="13.5" customHeight="1">
      <c r="A144" s="8"/>
      <c r="B144" s="1" t="s">
        <v>351</v>
      </c>
      <c r="C144" s="232"/>
      <c r="D144" s="117" t="e">
        <f t="shared" si="145"/>
        <v>#DIV/0!</v>
      </c>
      <c r="E144" s="117" t="e">
        <f t="shared" si="145"/>
        <v>#DIV/0!</v>
      </c>
      <c r="F144" s="117" t="e">
        <f t="shared" si="145"/>
        <v>#DIV/0!</v>
      </c>
      <c r="G144" s="117" t="e">
        <f t="shared" si="145"/>
        <v>#DIV/0!</v>
      </c>
      <c r="H144" s="117" t="e">
        <f t="shared" si="145"/>
        <v>#DIV/0!</v>
      </c>
      <c r="I144" s="117" t="e">
        <f t="shared" si="145"/>
        <v>#DIV/0!</v>
      </c>
      <c r="J144" s="117">
        <f t="shared" si="145"/>
        <v>-1</v>
      </c>
      <c r="K144" s="117" t="e">
        <f t="shared" si="145"/>
        <v>#DIV/0!</v>
      </c>
      <c r="L144" s="117" t="e">
        <f t="shared" si="145"/>
        <v>#DIV/0!</v>
      </c>
      <c r="M144" s="232"/>
      <c r="N144" s="119"/>
      <c r="O144" s="232"/>
      <c r="P144" s="232"/>
      <c r="Q144" s="117" t="e">
        <f t="shared" si="146"/>
        <v>#DIV/0!</v>
      </c>
      <c r="R144" s="117" t="e">
        <f t="shared" si="144"/>
        <v>#DIV/0!</v>
      </c>
      <c r="S144" s="117" t="e">
        <f t="shared" si="144"/>
        <v>#DIV/0!</v>
      </c>
      <c r="T144" s="117" t="e">
        <f t="shared" si="144"/>
        <v>#DIV/0!</v>
      </c>
      <c r="U144" s="117" t="e">
        <f t="shared" si="144"/>
        <v>#DIV/0!</v>
      </c>
      <c r="V144" s="117" t="e">
        <f t="shared" si="144"/>
        <v>#DIV/0!</v>
      </c>
      <c r="W144" s="117">
        <f t="shared" si="144"/>
        <v>-1</v>
      </c>
      <c r="X144" s="117">
        <f t="shared" si="144"/>
        <v>-1</v>
      </c>
      <c r="Y144" s="117" t="e">
        <f t="shared" si="144"/>
        <v>#DIV/0!</v>
      </c>
      <c r="Z144" s="117" t="e">
        <f t="shared" si="144"/>
        <v>#DIV/0!</v>
      </c>
      <c r="AA144" s="117" t="e">
        <f t="shared" si="144"/>
        <v>#DIV/0!</v>
      </c>
      <c r="AB144" s="117" t="e">
        <f t="shared" si="144"/>
        <v>#DIV/0!</v>
      </c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233"/>
      <c r="AW144" s="233"/>
      <c r="AX144" s="233"/>
      <c r="AY144" s="233"/>
      <c r="AZ144" s="233"/>
      <c r="BA144" s="233"/>
      <c r="BB144" s="233"/>
      <c r="BC144" s="233"/>
      <c r="BD144" s="233"/>
    </row>
    <row r="145" spans="1:56" s="5" customFormat="1" ht="13.5" customHeight="1">
      <c r="A145" s="8"/>
      <c r="B145" s="1" t="s">
        <v>98</v>
      </c>
      <c r="C145" s="232"/>
      <c r="D145" s="117" t="e">
        <f t="shared" si="145"/>
        <v>#DIV/0!</v>
      </c>
      <c r="E145" s="117" t="e">
        <f t="shared" si="145"/>
        <v>#DIV/0!</v>
      </c>
      <c r="F145" s="117" t="e">
        <f t="shared" si="145"/>
        <v>#DIV/0!</v>
      </c>
      <c r="G145" s="117" t="e">
        <f t="shared" si="145"/>
        <v>#DIV/0!</v>
      </c>
      <c r="H145" s="117" t="e">
        <f t="shared" si="145"/>
        <v>#DIV/0!</v>
      </c>
      <c r="I145" s="117" t="e">
        <f t="shared" si="145"/>
        <v>#DIV/0!</v>
      </c>
      <c r="J145" s="117">
        <f t="shared" si="145"/>
        <v>1.4080267558528425</v>
      </c>
      <c r="K145" s="117">
        <f t="shared" si="145"/>
        <v>0.30555555555555558</v>
      </c>
      <c r="L145" s="117">
        <f t="shared" si="145"/>
        <v>0.15957446808510634</v>
      </c>
      <c r="M145" s="232"/>
      <c r="N145" s="119"/>
      <c r="O145" s="232"/>
      <c r="P145" s="232"/>
      <c r="Q145" s="117" t="e">
        <f t="shared" si="146"/>
        <v>#DIV/0!</v>
      </c>
      <c r="R145" s="117" t="e">
        <f t="shared" si="144"/>
        <v>#DIV/0!</v>
      </c>
      <c r="S145" s="117" t="e">
        <f t="shared" si="144"/>
        <v>#DIV/0!</v>
      </c>
      <c r="T145" s="117" t="e">
        <f t="shared" si="144"/>
        <v>#DIV/0!</v>
      </c>
      <c r="U145" s="117" t="e">
        <f t="shared" si="144"/>
        <v>#DIV/0!</v>
      </c>
      <c r="V145" s="117" t="e">
        <f t="shared" si="144"/>
        <v>#DIV/0!</v>
      </c>
      <c r="W145" s="117">
        <f t="shared" si="144"/>
        <v>167.42105263157896</v>
      </c>
      <c r="X145" s="117">
        <f t="shared" si="144"/>
        <v>0.34634803096600475</v>
      </c>
      <c r="Y145" s="117">
        <f t="shared" si="144"/>
        <v>0.43749999999999978</v>
      </c>
      <c r="Z145" s="117">
        <f t="shared" si="144"/>
        <v>0.20000000000000018</v>
      </c>
      <c r="AA145" s="117">
        <f t="shared" si="144"/>
        <v>0.10869565217391308</v>
      </c>
      <c r="AB145" s="117">
        <f t="shared" si="144"/>
        <v>0.20833333333333326</v>
      </c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233"/>
      <c r="AW145" s="233"/>
      <c r="AX145" s="233"/>
      <c r="AY145" s="233"/>
      <c r="AZ145" s="233"/>
      <c r="BA145" s="233"/>
      <c r="BB145" s="233"/>
      <c r="BC145" s="233"/>
      <c r="BD145" s="233"/>
    </row>
    <row r="146" spans="1:56" s="5" customFormat="1" ht="13.5" customHeight="1">
      <c r="A146" s="8"/>
      <c r="B146" s="1" t="s">
        <v>352</v>
      </c>
      <c r="C146" s="232"/>
      <c r="D146" s="117" t="e">
        <f t="shared" si="145"/>
        <v>#DIV/0!</v>
      </c>
      <c r="E146" s="117" t="e">
        <f t="shared" si="145"/>
        <v>#DIV/0!</v>
      </c>
      <c r="F146" s="117" t="e">
        <f t="shared" si="145"/>
        <v>#DIV/0!</v>
      </c>
      <c r="G146" s="117" t="e">
        <f t="shared" si="145"/>
        <v>#DIV/0!</v>
      </c>
      <c r="H146" s="117">
        <f t="shared" si="145"/>
        <v>63.037037037037038</v>
      </c>
      <c r="I146" s="117">
        <f t="shared" si="145"/>
        <v>3.1162521688837472</v>
      </c>
      <c r="J146" s="117">
        <f t="shared" si="145"/>
        <v>0.71420542363355333</v>
      </c>
      <c r="K146" s="117">
        <f t="shared" si="145"/>
        <v>0.26229508196721318</v>
      </c>
      <c r="L146" s="117">
        <f t="shared" si="145"/>
        <v>0.14285714285714302</v>
      </c>
      <c r="M146" s="232"/>
      <c r="N146" s="119"/>
      <c r="O146" s="232"/>
      <c r="P146" s="232"/>
      <c r="Q146" s="117" t="e">
        <f t="shared" si="146"/>
        <v>#DIV/0!</v>
      </c>
      <c r="R146" s="117" t="e">
        <f t="shared" si="144"/>
        <v>#DIV/0!</v>
      </c>
      <c r="S146" s="117" t="e">
        <f t="shared" si="144"/>
        <v>#DIV/0!</v>
      </c>
      <c r="T146" s="117">
        <f t="shared" si="144"/>
        <v>50.444444444444443</v>
      </c>
      <c r="U146" s="117">
        <f t="shared" si="144"/>
        <v>4.0441176470588234</v>
      </c>
      <c r="V146" s="117">
        <f t="shared" si="144"/>
        <v>2.8891288696904249</v>
      </c>
      <c r="W146" s="117">
        <f t="shared" si="144"/>
        <v>2.323615160349854</v>
      </c>
      <c r="X146" s="117">
        <f t="shared" si="144"/>
        <v>0.20325805257312091</v>
      </c>
      <c r="Y146" s="117">
        <f t="shared" si="144"/>
        <v>0.24561403508771917</v>
      </c>
      <c r="Z146" s="117">
        <f t="shared" si="144"/>
        <v>0.27692307692307727</v>
      </c>
      <c r="AA146" s="117">
        <f t="shared" si="144"/>
        <v>0.19718309859154926</v>
      </c>
      <c r="AB146" s="117">
        <f t="shared" si="144"/>
        <v>9.6385542168674787E-2</v>
      </c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233"/>
      <c r="AW146" s="233"/>
      <c r="AX146" s="233"/>
      <c r="AY146" s="233"/>
      <c r="AZ146" s="233"/>
      <c r="BA146" s="233"/>
      <c r="BB146" s="233"/>
      <c r="BC146" s="233"/>
      <c r="BD146" s="233"/>
    </row>
    <row r="147" spans="1:56" s="5" customFormat="1" ht="13.5" customHeight="1">
      <c r="A147" s="8"/>
      <c r="B147" s="1" t="s">
        <v>353</v>
      </c>
      <c r="C147" s="232"/>
      <c r="D147" s="117" t="e">
        <f t="shared" si="145"/>
        <v>#DIV/0!</v>
      </c>
      <c r="E147" s="117" t="e">
        <f t="shared" si="145"/>
        <v>#DIV/0!</v>
      </c>
      <c r="F147" s="117" t="e">
        <f t="shared" si="145"/>
        <v>#DIV/0!</v>
      </c>
      <c r="G147" s="117" t="e">
        <f t="shared" si="145"/>
        <v>#DIV/0!</v>
      </c>
      <c r="H147" s="117" t="e">
        <f t="shared" si="145"/>
        <v>#DIV/0!</v>
      </c>
      <c r="I147" s="117" t="e">
        <f t="shared" si="145"/>
        <v>#DIV/0!</v>
      </c>
      <c r="J147" s="117" t="e">
        <f t="shared" si="145"/>
        <v>#DIV/0!</v>
      </c>
      <c r="K147" s="117" t="e">
        <f t="shared" si="145"/>
        <v>#DIV/0!</v>
      </c>
      <c r="L147" s="117" t="e">
        <f t="shared" si="145"/>
        <v>#DIV/0!</v>
      </c>
      <c r="M147" s="232"/>
      <c r="N147" s="119"/>
      <c r="O147" s="232"/>
      <c r="P147" s="232"/>
      <c r="Q147" s="117" t="e">
        <f t="shared" si="146"/>
        <v>#DIV/0!</v>
      </c>
      <c r="R147" s="117" t="e">
        <f t="shared" si="144"/>
        <v>#DIV/0!</v>
      </c>
      <c r="S147" s="117" t="e">
        <f t="shared" si="144"/>
        <v>#DIV/0!</v>
      </c>
      <c r="T147" s="117" t="e">
        <f t="shared" si="144"/>
        <v>#DIV/0!</v>
      </c>
      <c r="U147" s="117" t="e">
        <f t="shared" si="144"/>
        <v>#DIV/0!</v>
      </c>
      <c r="V147" s="117" t="e">
        <f t="shared" si="144"/>
        <v>#DIV/0!</v>
      </c>
      <c r="W147" s="117" t="e">
        <f t="shared" si="144"/>
        <v>#DIV/0!</v>
      </c>
      <c r="X147" s="117" t="e">
        <f t="shared" si="144"/>
        <v>#DIV/0!</v>
      </c>
      <c r="Y147" s="117" t="e">
        <f t="shared" si="144"/>
        <v>#DIV/0!</v>
      </c>
      <c r="Z147" s="117" t="e">
        <f t="shared" si="144"/>
        <v>#DIV/0!</v>
      </c>
      <c r="AA147" s="117" t="e">
        <f t="shared" si="144"/>
        <v>#DIV/0!</v>
      </c>
      <c r="AB147" s="117" t="e">
        <f t="shared" si="144"/>
        <v>#DIV/0!</v>
      </c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233"/>
      <c r="AW147" s="233"/>
      <c r="AX147" s="233"/>
      <c r="AY147" s="233"/>
      <c r="AZ147" s="233"/>
      <c r="BA147" s="233"/>
      <c r="BB147" s="233"/>
      <c r="BC147" s="233"/>
      <c r="BD147" s="233"/>
    </row>
    <row r="148" spans="1:56" s="5" customFormat="1" ht="13.5" customHeight="1">
      <c r="A148" s="8"/>
      <c r="B148" s="5" t="s">
        <v>329</v>
      </c>
      <c r="C148" s="232"/>
      <c r="D148" s="120">
        <f t="shared" si="145"/>
        <v>0.13987078910936779</v>
      </c>
      <c r="E148" s="120">
        <f t="shared" si="145"/>
        <v>0.17831486804402874</v>
      </c>
      <c r="F148" s="120">
        <f t="shared" si="145"/>
        <v>7.0299675510593795E-2</v>
      </c>
      <c r="G148" s="120">
        <f t="shared" si="145"/>
        <v>0.13358300786474731</v>
      </c>
      <c r="H148" s="120">
        <f t="shared" si="145"/>
        <v>0.15086040079668517</v>
      </c>
      <c r="I148" s="120">
        <f t="shared" si="145"/>
        <v>0.46786853782367266</v>
      </c>
      <c r="J148" s="120">
        <f t="shared" si="145"/>
        <v>0.17826303986649106</v>
      </c>
      <c r="K148" s="120">
        <f t="shared" si="145"/>
        <v>0.16977552956054365</v>
      </c>
      <c r="L148" s="120">
        <f t="shared" si="145"/>
        <v>0.15162162162162152</v>
      </c>
      <c r="M148" s="232"/>
      <c r="N148" s="119"/>
      <c r="O148" s="232"/>
      <c r="P148" s="232"/>
      <c r="Q148" s="120">
        <f t="shared" si="146"/>
        <v>0.1414543742573815</v>
      </c>
      <c r="R148" s="120">
        <f t="shared" si="144"/>
        <v>0.12639544722548268</v>
      </c>
      <c r="S148" s="120">
        <f t="shared" si="144"/>
        <v>0.14249800322103323</v>
      </c>
      <c r="T148" s="120">
        <f t="shared" si="144"/>
        <v>0.15859842128538637</v>
      </c>
      <c r="U148" s="120">
        <f t="shared" si="144"/>
        <v>0.4575845787109194</v>
      </c>
      <c r="V148" s="120">
        <f t="shared" si="144"/>
        <v>0.47725240652336454</v>
      </c>
      <c r="W148" s="120">
        <f t="shared" si="144"/>
        <v>0.21675066636264284</v>
      </c>
      <c r="X148" s="120">
        <f t="shared" si="144"/>
        <v>0.1436115614138167</v>
      </c>
      <c r="Y148" s="120">
        <f t="shared" si="144"/>
        <v>0.14410339256865945</v>
      </c>
      <c r="Z148" s="120">
        <f t="shared" si="144"/>
        <v>0.1943670690188799</v>
      </c>
      <c r="AA148" s="120">
        <f t="shared" si="144"/>
        <v>0.1632307257836767</v>
      </c>
      <c r="AB148" s="120">
        <f t="shared" si="144"/>
        <v>0.14045089401399347</v>
      </c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233"/>
      <c r="AW148" s="233"/>
      <c r="AX148" s="233"/>
      <c r="AY148" s="233"/>
      <c r="AZ148" s="233"/>
      <c r="BA148" s="233"/>
      <c r="BB148" s="233"/>
      <c r="BC148" s="233"/>
      <c r="BD148" s="233"/>
    </row>
    <row r="149" spans="1:56" s="5" customFormat="1" ht="13.5" customHeight="1">
      <c r="A149" s="8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12"/>
      <c r="N149" s="119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</row>
    <row r="150" spans="1:56" s="5" customFormat="1" ht="13.5" customHeight="1"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J150" s="113"/>
      <c r="AK150" s="113"/>
      <c r="AO150" s="113"/>
      <c r="AP150" s="113"/>
      <c r="AS150" s="113"/>
      <c r="AT150" s="113"/>
      <c r="AW150" s="113"/>
      <c r="BA150" s="113"/>
    </row>
    <row r="151" spans="1:56" s="5" customFormat="1" ht="13.5" customHeight="1">
      <c r="A151" s="8"/>
      <c r="B151" s="287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2"/>
      <c r="N151" s="66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  <c r="AD151" s="281"/>
      <c r="AE151" s="281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  <c r="AP151" s="281"/>
      <c r="AQ151" s="281"/>
      <c r="AR151" s="281"/>
      <c r="AS151" s="281"/>
      <c r="AT151" s="281"/>
      <c r="AU151" s="281"/>
      <c r="AV151" s="281"/>
      <c r="AW151" s="281"/>
      <c r="AX151" s="281"/>
      <c r="AY151" s="281"/>
      <c r="AZ151" s="281"/>
      <c r="BA151" s="281"/>
      <c r="BB151" s="281"/>
      <c r="BC151" s="281"/>
      <c r="BD151" s="281"/>
    </row>
    <row r="152" spans="1:56" s="1" customFormat="1" ht="13.5" customHeight="1">
      <c r="A152" s="288"/>
      <c r="B152" s="1" t="s">
        <v>356</v>
      </c>
      <c r="C152" s="127">
        <v>3.8</v>
      </c>
      <c r="D152" s="127">
        <v>4.5</v>
      </c>
      <c r="E152" s="127">
        <v>5</v>
      </c>
      <c r="F152" s="127">
        <v>5.5</v>
      </c>
      <c r="G152" s="127">
        <v>6.3</v>
      </c>
      <c r="H152" s="127">
        <v>7.6</v>
      </c>
      <c r="I152" s="127">
        <v>7.6</v>
      </c>
      <c r="J152" s="127">
        <v>11.8</v>
      </c>
      <c r="K152" s="127">
        <v>13.1</v>
      </c>
      <c r="L152" s="127">
        <v>14.6</v>
      </c>
      <c r="M152" s="233"/>
      <c r="N152" s="127"/>
      <c r="O152" s="127"/>
      <c r="P152" s="130"/>
      <c r="Q152" s="127">
        <v>5.8</v>
      </c>
      <c r="R152" s="130"/>
      <c r="S152" s="155"/>
      <c r="T152" s="130"/>
      <c r="U152" s="167">
        <v>9.5</v>
      </c>
      <c r="V152" s="167"/>
      <c r="W152" s="167">
        <v>11</v>
      </c>
      <c r="Y152" s="167">
        <v>12.4</v>
      </c>
      <c r="Z152" s="233"/>
      <c r="AA152" s="167">
        <v>13.5</v>
      </c>
      <c r="AB152" s="233"/>
      <c r="AD152" s="155"/>
      <c r="AE152" s="156">
        <f>F152</f>
        <v>5.5</v>
      </c>
      <c r="AF152" s="155"/>
      <c r="AG152" s="130">
        <f>Q152</f>
        <v>5.8</v>
      </c>
      <c r="AH152" s="127">
        <v>5.6</v>
      </c>
      <c r="AI152" s="156">
        <f>G152</f>
        <v>6.3</v>
      </c>
      <c r="AJ152" s="127">
        <f>5.9+0.39+0.047+0.034</f>
        <v>6.3709999999999996</v>
      </c>
      <c r="AK152" s="127">
        <f>S152</f>
        <v>0</v>
      </c>
      <c r="AL152" s="127">
        <v>7.1</v>
      </c>
      <c r="AM152" s="156">
        <f>H152</f>
        <v>7.6</v>
      </c>
      <c r="AN152" s="170"/>
      <c r="AO152" s="171"/>
      <c r="AP152" s="171"/>
      <c r="AQ152" s="171"/>
      <c r="AR152" s="127">
        <v>10.9</v>
      </c>
      <c r="AS152" s="127">
        <v>11</v>
      </c>
      <c r="AT152" s="127">
        <v>11.2</v>
      </c>
      <c r="AU152" s="190">
        <f>J152</f>
        <v>11.8</v>
      </c>
      <c r="AV152" s="127">
        <v>12</v>
      </c>
      <c r="AW152" s="127">
        <v>12.4</v>
      </c>
      <c r="AX152" s="127">
        <v>12.6</v>
      </c>
      <c r="AY152" s="190">
        <f>K152</f>
        <v>13.1</v>
      </c>
      <c r="AZ152" s="127">
        <v>13.4</v>
      </c>
      <c r="BA152" s="127">
        <v>13.5</v>
      </c>
      <c r="BB152" s="127">
        <v>13.8</v>
      </c>
      <c r="BC152" s="190">
        <f>L152</f>
        <v>14.6</v>
      </c>
      <c r="BD152" s="127">
        <v>14.7</v>
      </c>
    </row>
    <row r="153" spans="1:56" s="1" customFormat="1" ht="13.5" customHeight="1">
      <c r="A153" s="288"/>
      <c r="B153" s="1" t="s">
        <v>357</v>
      </c>
      <c r="C153" s="131">
        <v>0.95</v>
      </c>
      <c r="D153" s="131">
        <v>0.98</v>
      </c>
      <c r="E153" s="131">
        <v>0.95</v>
      </c>
      <c r="F153" s="131">
        <v>0.95</v>
      </c>
      <c r="G153" s="131">
        <v>0.94</v>
      </c>
      <c r="H153" s="131">
        <v>0.95</v>
      </c>
      <c r="I153" s="131">
        <v>0.94</v>
      </c>
      <c r="J153" s="131">
        <v>0.94</v>
      </c>
      <c r="K153" s="131">
        <v>0.93</v>
      </c>
      <c r="L153" s="131">
        <v>0.93</v>
      </c>
      <c r="M153" s="233"/>
      <c r="N153" s="112"/>
      <c r="O153" s="112"/>
      <c r="P153" s="114"/>
      <c r="Q153" s="131">
        <v>0.94</v>
      </c>
      <c r="R153" s="114"/>
      <c r="S153" s="131">
        <v>0.95</v>
      </c>
      <c r="T153" s="114"/>
      <c r="U153" s="131">
        <v>0.94</v>
      </c>
      <c r="V153" s="131"/>
      <c r="W153" s="131">
        <v>0.93</v>
      </c>
      <c r="Y153" s="131">
        <v>0.93</v>
      </c>
      <c r="Z153" s="233"/>
      <c r="AA153" s="131">
        <v>0.93</v>
      </c>
      <c r="AB153" s="233"/>
      <c r="AD153" s="155"/>
      <c r="AE153" s="133">
        <f>F153</f>
        <v>0.95</v>
      </c>
      <c r="AF153" s="155"/>
      <c r="AG153" s="133">
        <f t="shared" ref="AG153:AG156" si="147">Q153</f>
        <v>0.94</v>
      </c>
      <c r="AH153" s="131">
        <v>0.95</v>
      </c>
      <c r="AI153" s="133">
        <f>G153</f>
        <v>0.94</v>
      </c>
      <c r="AJ153" s="131">
        <v>0.94</v>
      </c>
      <c r="AK153" s="131">
        <f>S153</f>
        <v>0.95</v>
      </c>
      <c r="AL153" s="131">
        <v>0.95</v>
      </c>
      <c r="AM153" s="133">
        <f>H153</f>
        <v>0.95</v>
      </c>
      <c r="AN153" s="172"/>
      <c r="AO153" s="155"/>
      <c r="AP153" s="155"/>
      <c r="AQ153" s="155"/>
      <c r="AR153" s="131">
        <v>0.94</v>
      </c>
      <c r="AS153" s="131">
        <v>0.93</v>
      </c>
      <c r="AT153" s="131">
        <v>0.93</v>
      </c>
      <c r="AU153" s="191">
        <f t="shared" ref="AU153:AU155" si="148">J153</f>
        <v>0.94</v>
      </c>
      <c r="AV153" s="131">
        <v>0.93</v>
      </c>
      <c r="AW153" s="131">
        <v>0.93</v>
      </c>
      <c r="AX153" s="131">
        <v>0.93</v>
      </c>
      <c r="AY153" s="133">
        <f>K153</f>
        <v>0.93</v>
      </c>
      <c r="AZ153" s="131">
        <v>0.93</v>
      </c>
      <c r="BA153" s="131">
        <v>0.93</v>
      </c>
      <c r="BB153" s="131">
        <v>0.93</v>
      </c>
      <c r="BC153" s="133">
        <f t="shared" ref="BC153:BC155" si="149">L153</f>
        <v>0.93</v>
      </c>
      <c r="BD153" s="131">
        <v>0.93</v>
      </c>
    </row>
    <row r="154" spans="1:56" s="1" customFormat="1" ht="13.5" customHeight="1">
      <c r="A154" s="288"/>
      <c r="B154" s="1" t="s">
        <v>358</v>
      </c>
      <c r="C154" s="131">
        <v>0.87</v>
      </c>
      <c r="D154" s="131">
        <v>0.84</v>
      </c>
      <c r="E154" s="131">
        <v>0.8</v>
      </c>
      <c r="F154" s="131">
        <v>0.83</v>
      </c>
      <c r="G154" s="131">
        <v>0.92</v>
      </c>
      <c r="H154" s="131">
        <v>0.92</v>
      </c>
      <c r="I154" s="131">
        <v>0.92</v>
      </c>
      <c r="J154" s="131">
        <v>0.9</v>
      </c>
      <c r="K154" s="131">
        <v>0.87</v>
      </c>
      <c r="L154" s="131">
        <v>0.81</v>
      </c>
      <c r="M154" s="233"/>
      <c r="N154" s="112"/>
      <c r="O154" s="112"/>
      <c r="P154" s="114"/>
      <c r="Q154" s="131">
        <v>0.79</v>
      </c>
      <c r="R154" s="114"/>
      <c r="S154" s="131">
        <v>0.94</v>
      </c>
      <c r="T154" s="114"/>
      <c r="U154" s="131">
        <v>0.91</v>
      </c>
      <c r="V154" s="131"/>
      <c r="W154" s="131">
        <v>0.92</v>
      </c>
      <c r="Y154" s="131">
        <v>0.95</v>
      </c>
      <c r="Z154" s="233"/>
      <c r="AA154" s="131">
        <v>0.85</v>
      </c>
      <c r="AB154" s="233"/>
      <c r="AD154" s="155"/>
      <c r="AE154" s="133">
        <f>F154</f>
        <v>0.83</v>
      </c>
      <c r="AF154" s="155"/>
      <c r="AG154" s="133">
        <f t="shared" si="147"/>
        <v>0.79</v>
      </c>
      <c r="AH154" s="155"/>
      <c r="AI154" s="133">
        <f>G154</f>
        <v>0.92</v>
      </c>
      <c r="AJ154" s="131">
        <v>0.99</v>
      </c>
      <c r="AK154" s="131">
        <f>S154</f>
        <v>0.94</v>
      </c>
      <c r="AL154" s="131">
        <v>0.94</v>
      </c>
      <c r="AM154" s="133">
        <f>H154</f>
        <v>0.92</v>
      </c>
      <c r="AN154" s="131">
        <v>0.95</v>
      </c>
      <c r="AO154" s="155"/>
      <c r="AP154" s="155"/>
      <c r="AQ154" s="155"/>
      <c r="AR154" s="131">
        <v>0.95</v>
      </c>
      <c r="AS154" s="131">
        <v>0.92</v>
      </c>
      <c r="AT154" s="131">
        <v>0.92</v>
      </c>
      <c r="AU154" s="191">
        <f t="shared" si="148"/>
        <v>0.9</v>
      </c>
      <c r="AV154" s="131">
        <v>0.94</v>
      </c>
      <c r="AW154" s="131">
        <v>0.95</v>
      </c>
      <c r="AX154" s="131">
        <v>0.91</v>
      </c>
      <c r="AY154" s="133">
        <f>K154</f>
        <v>0.87</v>
      </c>
      <c r="AZ154" s="131">
        <v>0.86</v>
      </c>
      <c r="BA154" s="131">
        <v>0.95</v>
      </c>
      <c r="BB154" s="131">
        <v>0.82</v>
      </c>
      <c r="BC154" s="133">
        <f t="shared" si="149"/>
        <v>0.81</v>
      </c>
      <c r="BD154" s="131">
        <v>0.95</v>
      </c>
    </row>
    <row r="155" spans="1:56" s="1" customFormat="1" ht="13.5" customHeight="1">
      <c r="A155" s="288"/>
      <c r="B155" s="1" t="s">
        <v>359</v>
      </c>
      <c r="C155" s="127">
        <v>5.4</v>
      </c>
      <c r="D155" s="127">
        <v>5.4</v>
      </c>
      <c r="E155" s="127">
        <v>5.4</v>
      </c>
      <c r="F155" s="127">
        <v>5.4</v>
      </c>
      <c r="G155" s="127">
        <v>6</v>
      </c>
      <c r="H155" s="127">
        <v>6.7</v>
      </c>
      <c r="I155" s="127">
        <v>6.7</v>
      </c>
      <c r="J155" s="127">
        <v>6.6</v>
      </c>
      <c r="K155" s="127">
        <v>6.4</v>
      </c>
      <c r="L155" s="127">
        <v>6.1</v>
      </c>
      <c r="M155" s="233"/>
      <c r="N155" s="127"/>
      <c r="O155" s="127"/>
      <c r="P155" s="130"/>
      <c r="Q155" s="127">
        <v>5.7</v>
      </c>
      <c r="R155" s="130"/>
      <c r="S155" s="127">
        <v>6.5</v>
      </c>
      <c r="T155" s="130"/>
      <c r="U155" s="127">
        <v>6.4</v>
      </c>
      <c r="V155" s="127"/>
      <c r="W155" s="127">
        <v>6.5</v>
      </c>
      <c r="Y155" s="127">
        <v>6.5</v>
      </c>
      <c r="Z155" s="233"/>
      <c r="AA155" s="127">
        <v>6.2</v>
      </c>
      <c r="AB155" s="233"/>
      <c r="AD155" s="155"/>
      <c r="AE155" s="156">
        <f>F155</f>
        <v>5.4</v>
      </c>
      <c r="AF155" s="155"/>
      <c r="AG155" s="130">
        <f t="shared" si="147"/>
        <v>5.7</v>
      </c>
      <c r="AH155" s="127">
        <v>5.9</v>
      </c>
      <c r="AI155" s="156">
        <f>G155</f>
        <v>6</v>
      </c>
      <c r="AJ155" s="127">
        <v>6.4</v>
      </c>
      <c r="AK155" s="127">
        <f>S155</f>
        <v>6.5</v>
      </c>
      <c r="AL155" s="127">
        <v>6.4000000000000001E-2</v>
      </c>
      <c r="AM155" s="156">
        <f>H155</f>
        <v>6.7</v>
      </c>
      <c r="AN155" s="127">
        <v>6.3</v>
      </c>
      <c r="AO155" s="171"/>
      <c r="AP155" s="171"/>
      <c r="AQ155" s="171"/>
      <c r="AR155" s="127">
        <v>6.5</v>
      </c>
      <c r="AS155" s="127">
        <v>6.5</v>
      </c>
      <c r="AT155" s="127">
        <v>6.6</v>
      </c>
      <c r="AU155" s="190">
        <f t="shared" si="148"/>
        <v>6.6</v>
      </c>
      <c r="AV155" s="127">
        <v>6.6</v>
      </c>
      <c r="AW155" s="127">
        <v>6.5</v>
      </c>
      <c r="AX155" s="127">
        <v>6.5</v>
      </c>
      <c r="AY155" s="190">
        <f>K155</f>
        <v>6.4</v>
      </c>
      <c r="AZ155" s="127">
        <v>6.5</v>
      </c>
      <c r="BA155" s="127">
        <v>6.5</v>
      </c>
      <c r="BB155" s="127">
        <v>6.1</v>
      </c>
      <c r="BC155" s="190">
        <f t="shared" si="149"/>
        <v>6.1</v>
      </c>
      <c r="BD155" s="127">
        <v>6.1</v>
      </c>
    </row>
    <row r="156" spans="1:56" s="1" customFormat="1" ht="13.5" customHeight="1">
      <c r="A156" s="288"/>
      <c r="B156" s="1" t="s">
        <v>360</v>
      </c>
      <c r="C156" s="112"/>
      <c r="D156" s="112"/>
      <c r="E156" s="128">
        <v>91</v>
      </c>
      <c r="F156" s="128">
        <v>97</v>
      </c>
      <c r="G156" s="128">
        <v>100</v>
      </c>
      <c r="H156" s="128">
        <v>125</v>
      </c>
      <c r="I156" s="128">
        <v>125</v>
      </c>
      <c r="J156" s="233"/>
      <c r="K156" s="233"/>
      <c r="L156" s="233"/>
      <c r="M156" s="233"/>
      <c r="N156" s="112"/>
      <c r="O156" s="112"/>
      <c r="P156" s="114"/>
      <c r="Q156" s="128">
        <v>100</v>
      </c>
      <c r="R156" s="114"/>
      <c r="S156" s="155"/>
      <c r="T156" s="114"/>
      <c r="U156" s="155"/>
      <c r="V156" s="155"/>
      <c r="W156" s="155"/>
      <c r="X156" s="155"/>
      <c r="Y156" s="233"/>
      <c r="Z156" s="233"/>
      <c r="AA156" s="233"/>
      <c r="AB156" s="233"/>
      <c r="AD156" s="155"/>
      <c r="AE156" s="157">
        <f>F156</f>
        <v>97</v>
      </c>
      <c r="AF156" s="155"/>
      <c r="AG156" s="134">
        <f t="shared" si="147"/>
        <v>100</v>
      </c>
      <c r="AH156" s="128">
        <f>AG156</f>
        <v>100</v>
      </c>
      <c r="AI156" s="157">
        <f>G156</f>
        <v>100</v>
      </c>
      <c r="AJ156" s="128">
        <v>100</v>
      </c>
      <c r="AK156" s="127">
        <f t="shared" ref="AK156" si="150">S156</f>
        <v>0</v>
      </c>
      <c r="AL156" s="155"/>
      <c r="AM156" s="157">
        <f>H156</f>
        <v>125</v>
      </c>
      <c r="AN156" s="173"/>
      <c r="AO156" s="171"/>
      <c r="AP156" s="171"/>
      <c r="AQ156" s="171"/>
      <c r="AR156" s="173"/>
      <c r="AS156" s="173"/>
      <c r="AT156" s="171"/>
      <c r="AU156" s="171"/>
      <c r="AV156" s="233"/>
      <c r="AW156" s="233"/>
      <c r="AX156" s="233"/>
      <c r="AY156" s="233"/>
      <c r="AZ156" s="233"/>
      <c r="BA156" s="233"/>
      <c r="BB156" s="233"/>
      <c r="BC156" s="233"/>
      <c r="BD156" s="233"/>
    </row>
    <row r="157" spans="1:56" s="1" customFormat="1" ht="13.5" customHeight="1">
      <c r="A157" s="288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4"/>
      <c r="N157" s="112"/>
      <c r="O157" s="112"/>
      <c r="P157" s="114"/>
      <c r="Q157" s="128"/>
      <c r="R157" s="114"/>
      <c r="S157" s="128"/>
      <c r="T157" s="114"/>
      <c r="U157" s="128"/>
      <c r="V157" s="128"/>
      <c r="W157" s="128"/>
      <c r="X157" s="128"/>
      <c r="Y157" s="128"/>
      <c r="Z157" s="128"/>
      <c r="AA157" s="128"/>
      <c r="AB157" s="128"/>
      <c r="AL157" s="1" t="s">
        <v>361</v>
      </c>
    </row>
    <row r="158" spans="1:56" s="1" customFormat="1" ht="13.5" customHeight="1">
      <c r="A158" s="288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4"/>
      <c r="Q158" s="128"/>
      <c r="R158" s="114"/>
      <c r="S158" s="128"/>
      <c r="T158" s="114"/>
      <c r="U158" s="128"/>
      <c r="V158" s="128"/>
      <c r="W158" s="128"/>
      <c r="X158" s="128"/>
      <c r="Y158" s="128"/>
      <c r="Z158" s="128"/>
      <c r="AA158" s="128"/>
      <c r="AB158" s="128"/>
    </row>
    <row r="159" spans="1:56" s="5" customFormat="1" ht="13.5" customHeight="1"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29"/>
      <c r="R159" s="113"/>
      <c r="S159" s="129"/>
      <c r="T159" s="113"/>
      <c r="U159" s="129"/>
      <c r="V159" s="129"/>
      <c r="W159" s="129"/>
      <c r="X159" s="129"/>
      <c r="Y159" s="129"/>
      <c r="Z159" s="129"/>
      <c r="AA159" s="129"/>
      <c r="AB159" s="129"/>
    </row>
    <row r="160" spans="1:56" s="5" customFormat="1" ht="13.5" customHeight="1"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</row>
    <row r="161" spans="2:28" s="5" customFormat="1" ht="13.5" customHeight="1"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</row>
    <row r="162" spans="2:28">
      <c r="B162" s="1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9"/>
      <c r="Q162" s="18"/>
      <c r="R162" s="19"/>
      <c r="S162" s="18"/>
      <c r="T162" s="19"/>
      <c r="U162" s="18"/>
      <c r="V162" s="18"/>
      <c r="W162" s="18"/>
      <c r="X162" s="18"/>
      <c r="Y162" s="18"/>
      <c r="Z162" s="18"/>
      <c r="AA162" s="18"/>
      <c r="AB162" s="18"/>
    </row>
  </sheetData>
  <phoneticPr fontId="26" type="noConversion"/>
  <pageMargins left="0.7" right="0.7" top="0.75" bottom="0.75" header="0.3" footer="0.3"/>
  <pageSetup orientation="portrait" horizontalDpi="90" verticalDpi="90" r:id="rId1"/>
  <headerFooter>
    <oddFooter>&amp;C_x000D_&amp;1#&amp;"Aptos"&amp;10&amp;K000000 Barings-Corporate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acheModel xmlns:xsi="http://www.w3.org/2001/XMLSchema-instance" xmlns:xsd="http://www.w3.org/2001/XMLSchema" xmlns="TagniFiModelState">
  <SerializedJson>[]</SerializedJson>
</CacheModel>
</file>

<file path=customXml/itemProps1.xml><?xml version="1.0" encoding="utf-8"?>
<ds:datastoreItem xmlns:ds="http://schemas.openxmlformats.org/officeDocument/2006/customXml" ds:itemID="{23C300E0-3743-4523-9490-161504EF058E}"/>
</file>

<file path=customXml/itemProps2.xml><?xml version="1.0" encoding="utf-8"?>
<ds:datastoreItem xmlns:ds="http://schemas.openxmlformats.org/officeDocument/2006/customXml" ds:itemID="{B63B9457-742A-41FB-9437-C3942AD00E4C}"/>
</file>

<file path=customXml/itemProps3.xml><?xml version="1.0" encoding="utf-8"?>
<ds:datastoreItem xmlns:ds="http://schemas.openxmlformats.org/officeDocument/2006/customXml" ds:itemID="{40CC0608-9345-4890-9F18-6BD0A273C931}"/>
</file>

<file path=customXml/itemProps4.xml><?xml version="1.0" encoding="utf-8"?>
<ds:datastoreItem xmlns:ds="http://schemas.openxmlformats.org/officeDocument/2006/customXml" ds:itemID="{56BCF658-FC3D-4949-85F0-7513BE628F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Roshni Arunkumar</dc:creator>
  <cp:keywords/>
  <dc:description/>
  <cp:lastModifiedBy/>
  <cp:revision/>
  <dcterms:created xsi:type="dcterms:W3CDTF">2020-07-20T11:20:12Z</dcterms:created>
  <dcterms:modified xsi:type="dcterms:W3CDTF">2026-10-14T12:27:42Z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838a7627-776b-422a-94e5-4325b9bfe71d</vt:lpwstr>
  </property>
  <property fmtid="{D5CDD505-2E9C-101B-9397-08002B2CF9AE}" pid="3" name="{A44787D4-0540-4523-9961-78E4036D8C6D}">
    <vt:lpwstr>{E798F2A8-D44A-4145-BA77-FF14C5407252}</vt:lpwstr>
  </property>
  <property fmtid="{D5CDD505-2E9C-101B-9397-08002B2CF9AE}" pid="4" name="MSIP_Label_8c63c790-1b4f-473b-b88f-a693ca173b52_Enabled">
    <vt:lpwstr>true</vt:lpwstr>
  </property>
  <property fmtid="{D5CDD505-2E9C-101B-9397-08002B2CF9AE}" pid="5" name="MSIP_Label_8c63c790-1b4f-473b-b88f-a693ca173b52_SetDate">
    <vt:lpwstr>2024-08-12T11:38:36Z</vt:lpwstr>
  </property>
  <property fmtid="{D5CDD505-2E9C-101B-9397-08002B2CF9AE}" pid="6" name="MSIP_Label_8c63c790-1b4f-473b-b88f-a693ca173b52_Method">
    <vt:lpwstr>Privileged</vt:lpwstr>
  </property>
  <property fmtid="{D5CDD505-2E9C-101B-9397-08002B2CF9AE}" pid="7" name="MSIP_Label_8c63c790-1b4f-473b-b88f-a693ca173b52_Name">
    <vt:lpwstr>Internal</vt:lpwstr>
  </property>
  <property fmtid="{D5CDD505-2E9C-101B-9397-08002B2CF9AE}" pid="8" name="MSIP_Label_8c63c790-1b4f-473b-b88f-a693ca173b52_SiteId">
    <vt:lpwstr>4d8b04bf-7a7c-48a0-b6e3-38da5008297e</vt:lpwstr>
  </property>
  <property fmtid="{D5CDD505-2E9C-101B-9397-08002B2CF9AE}" pid="9" name="MSIP_Label_8c63c790-1b4f-473b-b88f-a693ca173b52_ActionId">
    <vt:lpwstr>5d441940-996a-4a29-97be-6ee6fa0e09fb</vt:lpwstr>
  </property>
  <property fmtid="{D5CDD505-2E9C-101B-9397-08002B2CF9AE}" pid="10" name="MSIP_Label_8c63c790-1b4f-473b-b88f-a693ca173b52_ContentBits">
    <vt:lpwstr>0</vt:lpwstr>
  </property>
  <property fmtid="{D5CDD505-2E9C-101B-9397-08002B2CF9AE}" pid="11" name="ContentTypeId">
    <vt:lpwstr>0x0101003A00EECCAA3DB94895FACE15614ECBE0</vt:lpwstr>
  </property>
  <property fmtid="{D5CDD505-2E9C-101B-9397-08002B2CF9AE}" pid="12" name="MSIP_Label_e23aaa83-1940-48a9-a4d6-4a193a1929ec_Enabled">
    <vt:lpwstr>true</vt:lpwstr>
  </property>
  <property fmtid="{D5CDD505-2E9C-101B-9397-08002B2CF9AE}" pid="13" name="MSIP_Label_e23aaa83-1940-48a9-a4d6-4a193a1929ec_SetDate">
    <vt:lpwstr>2026-08-28T15:02:27Z</vt:lpwstr>
  </property>
  <property fmtid="{D5CDD505-2E9C-101B-9397-08002B2CF9AE}" pid="14" name="MSIP_Label_e23aaa83-1940-48a9-a4d6-4a193a1929ec_Method">
    <vt:lpwstr>Standard</vt:lpwstr>
  </property>
  <property fmtid="{D5CDD505-2E9C-101B-9397-08002B2CF9AE}" pid="15" name="MSIP_Label_e23aaa83-1940-48a9-a4d6-4a193a1929ec_Name">
    <vt:lpwstr>Corporate</vt:lpwstr>
  </property>
  <property fmtid="{D5CDD505-2E9C-101B-9397-08002B2CF9AE}" pid="16" name="MSIP_Label_e23aaa83-1940-48a9-a4d6-4a193a1929ec_SiteId">
    <vt:lpwstr>ce78e7b0-e32a-4428-9390-1c2ec8a59c47</vt:lpwstr>
  </property>
  <property fmtid="{D5CDD505-2E9C-101B-9397-08002B2CF9AE}" pid="17" name="MSIP_Label_e23aaa83-1940-48a9-a4d6-4a193a1929ec_ActionId">
    <vt:lpwstr>95db8433-911b-4fe4-8d41-92425d6977ac</vt:lpwstr>
  </property>
  <property fmtid="{D5CDD505-2E9C-101B-9397-08002B2CF9AE}" pid="18" name="MSIP_Label_e23aaa83-1940-48a9-a4d6-4a193a1929ec_ContentBits">
    <vt:lpwstr>2</vt:lpwstr>
  </property>
  <property fmtid="{D5CDD505-2E9C-101B-9397-08002B2CF9AE}" pid="19" name="MSIP_Label_e23aaa83-1940-48a9-a4d6-4a193a1929ec_Tag">
    <vt:lpwstr>10, 3, 0, 2</vt:lpwstr>
  </property>
</Properties>
</file>