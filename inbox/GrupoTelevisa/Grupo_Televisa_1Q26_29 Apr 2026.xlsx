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codeName="ThisWorkbook"/>
  <mc:AlternateContent xmlns:mc="http://schemas.openxmlformats.org/markup-compatibility/2006">
    <mc:Choice Requires="x15">
      <x15ac:absPath xmlns:x15ac="http://schemas.microsoft.com/office/spreadsheetml/2010/11/ac" url="D:\working\waccache\AM4PEPF0002D5B2\EXCELCNV\a8983073-d3eb-4e40-b9b2-91afc217d8fb\"/>
    </mc:Choice>
  </mc:AlternateContent>
  <xr:revisionPtr revIDLastSave="0" documentId="8_{F885A5A0-0EA2-4BC0-B247-AAE316D4A1B8}" xr6:coauthVersionLast="47" xr6:coauthVersionMax="47" xr10:uidLastSave="{00000000-0000-0000-0000-000000000000}"/>
  <bookViews>
    <workbookView xWindow="-60" yWindow="-60" windowWidth="15480" windowHeight="11640" xr2:uid="{F1A44739-B40B-495A-937B-5B2D452713F3}"/>
  </bookViews>
  <sheets>
    <sheet name="Capitalisation" sheetId="17" r:id="rId1"/>
    <sheet name="Model" sheetId="15" r:id="rId2"/>
    <sheet name="KPIS" sheetId="20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\A">#REF!</definedName>
    <definedName name="\B">#REF!</definedName>
    <definedName name="\C">#REF!</definedName>
    <definedName name="\L">#REF!</definedName>
    <definedName name="\M">#REF!</definedName>
    <definedName name="\P">#REF!</definedName>
    <definedName name="\Y">#REF!</definedName>
    <definedName name="__FDS_HYPERLINK_TOGGLE_STATE__" hidden="1">"ON"</definedName>
    <definedName name="_01_30_04" localSheetId="0">MonthlyOpStats</definedName>
    <definedName name="_01_30_04" localSheetId="2">MonthlyOpStats</definedName>
    <definedName name="_01_30_04" localSheetId="1">MonthlyOpStats</definedName>
    <definedName name="_01_30_04">MonthlyOpStats</definedName>
    <definedName name="_1_30_01" localSheetId="0">MonthlyOpStats</definedName>
    <definedName name="_1_30_01" localSheetId="2">MonthlyOpStats</definedName>
    <definedName name="_1_30_01" localSheetId="1">MonthlyOpStats</definedName>
    <definedName name="_1_30_01">MonthlyOpStats</definedName>
    <definedName name="_1_30_02" localSheetId="0">MonthlyOpStats</definedName>
    <definedName name="_1_30_02" localSheetId="2">MonthlyOpStats</definedName>
    <definedName name="_1_30_02" localSheetId="1">MonthlyOpStats</definedName>
    <definedName name="_1_30_02">MonthlyOpStats</definedName>
    <definedName name="_1_31_01" localSheetId="0">MonthlyOpStats</definedName>
    <definedName name="_1_31_01" localSheetId="2">MonthlyOpStats</definedName>
    <definedName name="_1_31_01" localSheetId="1">MonthlyOpStats</definedName>
    <definedName name="_1_31_01">MonthlyOpStats</definedName>
    <definedName name="_1_31_02" localSheetId="0">MonthlyOpStats</definedName>
    <definedName name="_1_31_02" localSheetId="2">MonthlyOpStats</definedName>
    <definedName name="_1_31_02" localSheetId="1">MonthlyOpStats</definedName>
    <definedName name="_1_31_02">MonthlyOpStats</definedName>
    <definedName name="_12_31_05" localSheetId="0">MonthlyOpStats</definedName>
    <definedName name="_12_31_05" localSheetId="2">MonthlyOpStats</definedName>
    <definedName name="_12_31_05" localSheetId="1">MonthlyOpStats</definedName>
    <definedName name="_12_31_05">MonthlyOpStats</definedName>
    <definedName name="_A">#REF!</definedName>
    <definedName name="_A___0">#REF!</definedName>
    <definedName name="_B">#REF!</definedName>
    <definedName name="_B___0">#REF!</definedName>
    <definedName name="_C">#REF!</definedName>
    <definedName name="_C___0">#REF!</definedName>
    <definedName name="_ent1">[1]Inputs!$J$17</definedName>
    <definedName name="_ent10">[1]Inputs!$J$476</definedName>
    <definedName name="_ent11">[1]Inputs!$J$527</definedName>
    <definedName name="_ent12">[1]Inputs!$J$578</definedName>
    <definedName name="_ent13">[1]Inputs!$J$629</definedName>
    <definedName name="_ent14">[1]Inputs!$J$680</definedName>
    <definedName name="_ent15">[1]Inputs!$J$731</definedName>
    <definedName name="_ent2">[1]Inputs!$J$68</definedName>
    <definedName name="_ent3">[1]Inputs!$J$119</definedName>
    <definedName name="_ent4">[1]Inputs!$J$170</definedName>
    <definedName name="_ent5">[1]Inputs!$J$221</definedName>
    <definedName name="_ent6">[1]Inputs!$J$272</definedName>
    <definedName name="_ent7">[1]Inputs!$J$323</definedName>
    <definedName name="_ent8">[1]Inputs!$J$374</definedName>
    <definedName name="_ent9">[1]Inputs!$J$425</definedName>
    <definedName name="_eps1">[1]Inputs!$P$42</definedName>
    <definedName name="_eps10">[1]Inputs!$P$501</definedName>
    <definedName name="_eps11">[1]Inputs!$P$552</definedName>
    <definedName name="_eps12">[1]Inputs!$P$603</definedName>
    <definedName name="_eps13">[1]Inputs!$P$654</definedName>
    <definedName name="_eps14">[1]Inputs!$P$705</definedName>
    <definedName name="_eps15">[1]Inputs!$P$756</definedName>
    <definedName name="_eps2">[1]Inputs!$P$93</definedName>
    <definedName name="_eps3">[1]Inputs!$P$144</definedName>
    <definedName name="_eps4">[1]Inputs!$P$195</definedName>
    <definedName name="_eps5">[1]Inputs!$P$246</definedName>
    <definedName name="_eps6">[1]Inputs!$P$297</definedName>
    <definedName name="_eps7">[1]Inputs!$P$348</definedName>
    <definedName name="_eps8">[1]Inputs!$P$399</definedName>
    <definedName name="_eps9">[1]Inputs!$P$450</definedName>
    <definedName name="_Fill" localSheetId="1" hidden="1">[2]FxdChg!#REF!</definedName>
    <definedName name="_Fill" hidden="1">[2]FxdChg!#REF!</definedName>
    <definedName name="_xlnm._FilterDatabase" localSheetId="1" hidden="1">Model!#REF!</definedName>
    <definedName name="_fye1">[1]Inputs!$E$12</definedName>
    <definedName name="_fye10">[1]Inputs!$E$471</definedName>
    <definedName name="_fye11">[1]Inputs!$E$522</definedName>
    <definedName name="_fye12">[1]Inputs!$E$573</definedName>
    <definedName name="_fye13">[1]Inputs!$E$624</definedName>
    <definedName name="_fye14">[1]Inputs!$E$675</definedName>
    <definedName name="_fye15">[1]Inputs!$E$726</definedName>
    <definedName name="_fye2">[1]Inputs!$E$63</definedName>
    <definedName name="_fye3">[1]Inputs!$E$114</definedName>
    <definedName name="_fye4">[1]Inputs!$E$165</definedName>
    <definedName name="_fye5">[1]Inputs!$E$216</definedName>
    <definedName name="_fye6">[1]Inputs!$E$267</definedName>
    <definedName name="_fye7">[1]Inputs!$E$318</definedName>
    <definedName name="_fye8">[1]Inputs!$E$369</definedName>
    <definedName name="_fye9">[1]Inputs!$E$420</definedName>
    <definedName name="_GEI_Returns" localSheetId="1">[3]Model!#REF!</definedName>
    <definedName name="_GEI_Returns">[3]Model!#REF!</definedName>
    <definedName name="_L">#REF!</definedName>
    <definedName name="_L___0">#REF!</definedName>
    <definedName name="_mv1">[1]Inputs!$J$16</definedName>
    <definedName name="_mv10">[1]Inputs!$J$475</definedName>
    <definedName name="_mv11">[1]Inputs!$J$526</definedName>
    <definedName name="_mv12">[1]Inputs!$J$577</definedName>
    <definedName name="_mv13">[1]Inputs!$J$628</definedName>
    <definedName name="_mv14">[1]Inputs!$J$679</definedName>
    <definedName name="_mv15">[1]Inputs!$J$730</definedName>
    <definedName name="_mv2">[1]Inputs!$J$67</definedName>
    <definedName name="_mv3">[1]Inputs!$J$118</definedName>
    <definedName name="_mv4">[1]Inputs!$J$169</definedName>
    <definedName name="_mv5">[1]Inputs!$J$220</definedName>
    <definedName name="_mv6">[1]Inputs!$J$271</definedName>
    <definedName name="_mv7">[1]Inputs!$J$322</definedName>
    <definedName name="_mv8">[1]Inputs!$J$373</definedName>
    <definedName name="_mv9">[1]Inputs!$J$424</definedName>
    <definedName name="_Order1" hidden="1">0</definedName>
    <definedName name="_Order2" hidden="1">0</definedName>
    <definedName name="_P">#REF!</definedName>
    <definedName name="_P___0">#REF!</definedName>
    <definedName name="_Table2_Out" hidden="1">#REF!</definedName>
    <definedName name="_Y">#REF!</definedName>
    <definedName name="_Y___0">#REF!</definedName>
    <definedName name="Aa_Recovery">#REF!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ccrued_Comp_Sales" localSheetId="1">'[4]Tanning Assumptions'!#REF!</definedName>
    <definedName name="Accrued_Comp_Sales">'[4]Tanning Assumptions'!#REF!</definedName>
    <definedName name="acq">#REF!</definedName>
    <definedName name="acquiror">#REF!</definedName>
    <definedName name="AdSalesCash">#REF!</definedName>
    <definedName name="AdSalesTrade">#REF!</definedName>
    <definedName name="AdSalesWebsite">#REF!</definedName>
    <definedName name="AICORR" localSheetId="1">#REF!</definedName>
    <definedName name="AICORR">#REF!</definedName>
    <definedName name="AllBH">#REF!</definedName>
    <definedName name="allProjects">#REF!</definedName>
    <definedName name="amort" localSheetId="1">[5]Inputs!#REF!</definedName>
    <definedName name="amort">[5]Inputs!#REF!</definedName>
    <definedName name="AP_Sales" localSheetId="1">'[4]Tanning Assumptions'!#REF!</definedName>
    <definedName name="AP_Sales">'[4]Tanning Assumptions'!#REF!</definedName>
    <definedName name="AR_Other_Sales" localSheetId="1">'[4]Tanning Assumptions'!#REF!</definedName>
    <definedName name="AR_Other_Sales">'[4]Tanning Assumptions'!#REF!</definedName>
    <definedName name="AR_Trade_Sales" localSheetId="1">'[4]Tanning Assumptions'!#REF!</definedName>
    <definedName name="AR_Trade_Sales">'[4]Tanning Assumptions'!#REF!</definedName>
    <definedName name="As_Of_Date">[6]Selections!$C$2</definedName>
    <definedName name="asdfa">#REF!</definedName>
    <definedName name="AsOfDate">'[7]AUM YTD 2000'!$W$1</definedName>
    <definedName name="ASSUMPTIONS">#REF!</definedName>
    <definedName name="B_S" localSheetId="1">#REF!</definedName>
    <definedName name="B_S">#REF!</definedName>
    <definedName name="Baa_Recovery">#REF!</definedName>
    <definedName name="bal">#REF!</definedName>
    <definedName name="banner2">[8]CONTROL!$D$10</definedName>
    <definedName name="banner2___0">[8]CONTROL!$D$10</definedName>
    <definedName name="Base_Case">#REF!</definedName>
    <definedName name="Billable">#REF!</definedName>
    <definedName name="BillableHeadcount">#REF!</definedName>
    <definedName name="body">#REF!</definedName>
    <definedName name="BREAK_EVEN">#REF!</definedName>
    <definedName name="BREAK_EVEN___0">#REF!</definedName>
    <definedName name="Broadwing__Inc__Cincinnati_Bell">#REF!</definedName>
    <definedName name="brob">#REF!</definedName>
    <definedName name="bs" localSheetId="1">[5]Inputs!#REF!</definedName>
    <definedName name="bs">[5]Inputs!#REF!</definedName>
    <definedName name="case">#REF!</definedName>
    <definedName name="case1">[9]CONTROL!$A$12</definedName>
    <definedName name="case2">[9]CONTROL!$A$13</definedName>
    <definedName name="case3">[9]CONTROL!$A$14</definedName>
    <definedName name="CASH_FLOW" localSheetId="1">#REF!</definedName>
    <definedName name="CASH_FLOW">#REF!</definedName>
    <definedName name="Cash_Sales" localSheetId="1">'[4]Tanning Assumptions'!#REF!</definedName>
    <definedName name="Cash_Sales">'[4]Tanning Assumptions'!#REF!</definedName>
    <definedName name="CASHBUDGET" localSheetId="1">#REF!</definedName>
    <definedName name="CASHBUDGET">#REF!</definedName>
    <definedName name="CASHBUDGET___0" localSheetId="1">#REF!</definedName>
    <definedName name="CASHBUDGET___0">#REF!</definedName>
    <definedName name="CASHFLOWS_MONTH">#REF!</definedName>
    <definedName name="CASHFLOWS_MONTH___0">#REF!</definedName>
    <definedName name="CASHFLOWS_YEARS">#REF!</definedName>
    <definedName name="CASHFLOWS_YEARS___0">#REF!</definedName>
    <definedName name="cashint" localSheetId="1">#REF!</definedName>
    <definedName name="cashint">#REF!</definedName>
    <definedName name="cashint___0" localSheetId="1">#REF!</definedName>
    <definedName name="cashint___0">#REF!</definedName>
    <definedName name="CBHC">#REF!</definedName>
    <definedName name="cfl">#REF!</definedName>
    <definedName name="ChartDataRange">#REF!</definedName>
    <definedName name="CINC" localSheetId="1">#REF!</definedName>
    <definedName name="CINC">#REF!</definedName>
    <definedName name="CIQWBGuid" hidden="1">"306ff12a-dc48-4662-846f-7c1bfb4d8bf5"</definedName>
    <definedName name="circ" localSheetId="1">[5]Inputs!#REF!</definedName>
    <definedName name="circ">[5]Inputs!#REF!</definedName>
    <definedName name="CircRev">#REF!</definedName>
    <definedName name="Class_3_Agg_Cash" localSheetId="1">[10]Revolver!#REF!</definedName>
    <definedName name="Class_3_Agg_Cash">[10]Revolver!#REF!</definedName>
    <definedName name="Class_3_Amt_BET" localSheetId="1">[10]Revolver!#REF!</definedName>
    <definedName name="Class_3_Amt_BET">[10]Revolver!#REF!</definedName>
    <definedName name="Class_A_Interest">#REF!</definedName>
    <definedName name="Class_A_Principal">#REF!</definedName>
    <definedName name="Class_B_Interest">#REF!</definedName>
    <definedName name="Class_B_Principal">#REF!</definedName>
    <definedName name="Class_C_Payment">#REF!</definedName>
    <definedName name="ClassABC">'[6]Debt Structure'!$AN$7</definedName>
    <definedName name="ClassABCD">'[6]Debt Structure'!$AN$8</definedName>
    <definedName name="ClassABCDE">'[6]Debt Structure'!$AN$9</definedName>
    <definedName name="Clients" localSheetId="1">#REF!</definedName>
    <definedName name="Clients">#REF!</definedName>
    <definedName name="closing_date">#REF!</definedName>
    <definedName name="closingttmrevenue">#REF!</definedName>
    <definedName name="CMBSIG" localSheetId="1">#REF!</definedName>
    <definedName name="CMBSIG">#REF!</definedName>
    <definedName name="Column_Lookup">'[11]MASTER DRIVER'!$C$5:$D$29</definedName>
    <definedName name="COMBINED_J_W__3_111403_JUP_IND_PROFORMA_List">#REF!</definedName>
    <definedName name="company">[12]CONTROL!$D$7</definedName>
    <definedName name="company___0">[8]CONTROL!$D$7</definedName>
    <definedName name="cons">#REF!</definedName>
    <definedName name="consultants">#REF!</definedName>
    <definedName name="contrib2" localSheetId="0" hidden="1">{"page1",#N/A,FALSE,"Temp";"page2",#N/A,FALSE,"Temp";"page3",#N/A,FALSE,"Temp";"page4",#N/A,FALSE,"Temp";"page5",#N/A,FALSE,"Temp";"page6",#N/A,FALSE,"Temp"}</definedName>
    <definedName name="contrib2" localSheetId="2" hidden="1">{"page1",#N/A,FALSE,"Temp";"page2",#N/A,FALSE,"Temp";"page3",#N/A,FALSE,"Temp";"page4",#N/A,FALSE,"Temp";"page5",#N/A,FALSE,"Temp";"page6",#N/A,FALSE,"Temp"}</definedName>
    <definedName name="contrib2" hidden="1">{"page1",#N/A,FALSE,"Temp";"page2",#N/A,FALSE,"Temp";"page3",#N/A,FALSE,"Temp";"page4",#N/A,FALSE,"Temp";"page5",#N/A,FALSE,"Temp";"page6",#N/A,FALSE,"Temp"}</definedName>
    <definedName name="contrib3" localSheetId="0" hidden="1">{"page1",#N/A,FALSE,"Temp";"page2",#N/A,FALSE,"Temp";"page3",#N/A,FALSE,"Temp";"page4",#N/A,FALSE,"Temp";"page5",#N/A,FALSE,"Temp";"page6",#N/A,FALSE,"Temp"}</definedName>
    <definedName name="contrib3" localSheetId="2" hidden="1">{"page1",#N/A,FALSE,"Temp";"page2",#N/A,FALSE,"Temp";"page3",#N/A,FALSE,"Temp";"page4",#N/A,FALSE,"Temp";"page5",#N/A,FALSE,"Temp";"page6",#N/A,FALSE,"Temp"}</definedName>
    <definedName name="contrib3" hidden="1">{"page1",#N/A,FALSE,"Temp";"page2",#N/A,FALSE,"Temp";"page3",#N/A,FALSE,"Temp";"page4",#N/A,FALSE,"Temp";"page5",#N/A,FALSE,"Temp";"page6",#N/A,FALSE,"Temp"}</definedName>
    <definedName name="convertamt">#REF!</definedName>
    <definedName name="convertamt___0">#REF!</definedName>
    <definedName name="convertper">#REF!</definedName>
    <definedName name="convertper___0">#REF!</definedName>
    <definedName name="CorpName">'[13]MASTER DRIVERS'!$A$1</definedName>
    <definedName name="COSTREPORT">#REF!</definedName>
    <definedName name="COSTREPORT___0">#REF!</definedName>
    <definedName name="counter" localSheetId="1">'[14]Portfolio Input'!#REF!</definedName>
    <definedName name="counter">'[14]Portfolio Input'!#REF!</definedName>
    <definedName name="counter2" localSheetId="1">'[14]Portfolio Input'!#REF!</definedName>
    <definedName name="counter2">'[14]Portfolio Input'!#REF!</definedName>
    <definedName name="Coupon">[15]Inputs!$J$30</definedName>
    <definedName name="CSEnd">#REF!</definedName>
    <definedName name="CSHO" localSheetId="1">#REF!</definedName>
    <definedName name="CSHO">#REF!</definedName>
    <definedName name="CSHPRI" localSheetId="1">#REF!</definedName>
    <definedName name="CSHPRI">#REF!</definedName>
    <definedName name="current1">[1]Inputs!$E$21</definedName>
    <definedName name="current10">[1]Inputs!$E$480</definedName>
    <definedName name="current11">[1]Inputs!$E$531</definedName>
    <definedName name="current12">[1]Inputs!$E$582</definedName>
    <definedName name="current13">[1]Inputs!$E$633</definedName>
    <definedName name="current14">[1]Inputs!$E$684</definedName>
    <definedName name="current15">[1]Inputs!$E$735</definedName>
    <definedName name="current2">[1]Inputs!$E$72</definedName>
    <definedName name="current3">[1]Inputs!$E$123</definedName>
    <definedName name="current4">[1]Inputs!$E$174</definedName>
    <definedName name="current5">[1]Inputs!$E$225</definedName>
    <definedName name="current6">[1]Inputs!$E$276</definedName>
    <definedName name="current7">[1]Inputs!$E$327</definedName>
    <definedName name="current8">[1]Inputs!$E$378</definedName>
    <definedName name="current9">[1]Inputs!$E$429</definedName>
    <definedName name="CustomPubSales">#REF!</definedName>
    <definedName name="Date" localSheetId="1">[16]Comps!#REF!</definedName>
    <definedName name="Date">[16]Comps!#REF!</definedName>
    <definedName name="Date_OC1">OFFSET([6]OCTrends!$B$2,0,0,COUNTA([6]OCTrends!$B$1:$B$65536)-1)</definedName>
    <definedName name="Date_OC2">OFFSET([6]OCTrends!$G$2,0,0,COUNTA([6]OCTrends!$G$1:$G$65536)-1)</definedName>
    <definedName name="Date_OC3">OFFSET([6]OCTrends!$L$2,0,0,COUNTA([6]OCTrends!$L$1:$L$65536)-1)</definedName>
    <definedName name="debtsched" localSheetId="1">[5]Inputs!#REF!</definedName>
    <definedName name="debtsched">[5]Inputs!#REF!</definedName>
    <definedName name="decconsultants">#REF!</definedName>
    <definedName name="decemberemployees">#REF!</definedName>
    <definedName name="decemployees">#REF!</definedName>
    <definedName name="default">#REF!</definedName>
    <definedName name="Default_Scenario">#REF!</definedName>
    <definedName name="Default_Table" localSheetId="1">#REF!</definedName>
    <definedName name="Default_Table">#REF!</definedName>
    <definedName name="Default_Timing">#REF!</definedName>
    <definedName name="depsched" localSheetId="1">[5]Inputs!#REF!</definedName>
    <definedName name="depsched">[5]Inputs!#REF!</definedName>
    <definedName name="DivActual">OFFSET([6]DivTrends!$C$2,0,0,COUNTA([6]DivTrends!$C$1:$C$65536)-1)</definedName>
    <definedName name="DivCovenant">OFFSET([6]DivTrends!$D$2,0,0,COUNTA([6]DivTrends!$D$1:$D$65536)-1)</definedName>
    <definedName name="DivDate">OFFSET([6]DivTrends!$B$2,0,0,COUNTA([6]DivTrends!$B$1:$B$65536)-1)</definedName>
    <definedName name="Diversity">'[7]Actual vs Covenant'!$P$41:$Q$48</definedName>
    <definedName name="DiversityScore">#REF!</definedName>
    <definedName name="earnout">#REF!</definedName>
    <definedName name="earnout___0">#REF!</definedName>
    <definedName name="EBIT" localSheetId="2">[17]Model!#REF!</definedName>
    <definedName name="EBIT">Model!#REF!</definedName>
    <definedName name="EBITDA">#REF!</definedName>
    <definedName name="ebitda1">[1]Inputs!$P$46</definedName>
    <definedName name="ebitda10">[1]Inputs!$P$505</definedName>
    <definedName name="ebitda11">[1]Inputs!$P$556</definedName>
    <definedName name="ebitda12">[1]Inputs!$P$607</definedName>
    <definedName name="ebitda13">[1]Inputs!$P$658</definedName>
    <definedName name="ebitda14">[1]Inputs!$P$709</definedName>
    <definedName name="ebitda15">[1]Inputs!$P$760</definedName>
    <definedName name="ebitda2">[1]Inputs!$P$97</definedName>
    <definedName name="ebitda3">[1]Inputs!$P$148</definedName>
    <definedName name="ebitda4">[1]Inputs!$P$199</definedName>
    <definedName name="ebitda5">[1]Inputs!$P$250</definedName>
    <definedName name="ebitda6">[1]Inputs!$P$301</definedName>
    <definedName name="ebitda7">[1]Inputs!$P$352</definedName>
    <definedName name="ebitda8">[1]Inputs!$P$403</definedName>
    <definedName name="ebitda9">[1]Inputs!$P$454</definedName>
    <definedName name="effective_date">#REF!</definedName>
    <definedName name="ELC1_Top3">[7]TOP10!$D$3</definedName>
    <definedName name="ELC1_Top4">[7]TOP10!$D$8</definedName>
    <definedName name="ELC1FitchRatingChartData">[7]ELC1!$G$2:$H$11</definedName>
    <definedName name="ELC1FitchRatingChartSerial1">[7]ELC1!$H$2:$H$11</definedName>
    <definedName name="ELC1FitchRatingChartXScale">[7]ELC1!$G$2:$G$11</definedName>
    <definedName name="ELC1MoodyRatingChartData">[7]ELC1!$A$2:$B$14</definedName>
    <definedName name="ELC1MoodyRatingChartSerial1">[7]ELC1!$B$2:$B$14</definedName>
    <definedName name="ELC1MoodyRatingChartXScale">[7]ELC1!$A$2:$A$14</definedName>
    <definedName name="ELC1SPRatingChartData">[7]ELC1!$D$2:$E$14</definedName>
    <definedName name="ELC1SPRatingChartSerial1">[7]ELC1!$E$2:$E$14</definedName>
    <definedName name="ELC1SPRatingChartXScale">[7]ELC1!$D$2:$D$14</definedName>
    <definedName name="ELC2_Top3">[7]TOP10!$G$3</definedName>
    <definedName name="ELC2_Top4">[7]TOP10!$G$8</definedName>
    <definedName name="ELC2FitchRatingChartData">[7]ELC2!$G$2:$H$12</definedName>
    <definedName name="ELC2FitchRatingChartSerial1">[7]ELC2!$H$2:$H$12</definedName>
    <definedName name="ELC2FitchRatingChartXScale">[7]ELC2!$G$2:$G$12</definedName>
    <definedName name="ELC2MoodyRatingChartData">[7]ELC2!$A$2:$B$15</definedName>
    <definedName name="ELC2MoodyRatingChartSerial1">[7]ELC2!$B$2:$B$15</definedName>
    <definedName name="ELC2MoodyRatingChartXScale">[7]ELC2!$A$2:$A$15</definedName>
    <definedName name="ELC2SPRatingChartData">[7]ELC2!$D$2:$E$15</definedName>
    <definedName name="ELC2SPRatingChartSerial1">[7]ELC2!$E$2:$E$15</definedName>
    <definedName name="ELC2SPRatingChartXScale">[7]ELC2!$D$2:$D$15</definedName>
    <definedName name="ELC3_Top3">[7]TOP10!$J$3</definedName>
    <definedName name="ELC3_Top4">[7]TOP10!$J$8</definedName>
    <definedName name="ELC3FitchRatingChartData">[7]ELC3!$G$2:$H$14</definedName>
    <definedName name="ELC3FitchRatingChartSerial1">[7]ELC3!$H$2:$H$14</definedName>
    <definedName name="ELC3FitchRatingChartXScale">[7]ELC3!$G$2:$G$14</definedName>
    <definedName name="ELC3MoodyRatingChartData">[7]ELC3!$A$2:$B$15</definedName>
    <definedName name="ELC3MoodyRatingChartSerial1">[7]ELC3!$B$2:$B$15</definedName>
    <definedName name="ELC3MoodyRatingChartXScale">[7]ELC3!$A$2:$A$15</definedName>
    <definedName name="ELC3SPRatingChartData">[7]ELC3!$D$2:$E$16</definedName>
    <definedName name="ELC3SPRatingChartSerial1">[7]ELC3!$E$2:$E$16</definedName>
    <definedName name="ELC3SPRatingChartXScale">[7]ELC3!$D$2:$D$16</definedName>
    <definedName name="ELC4_Top3">[7]TOP10!$M$3</definedName>
    <definedName name="ELC4_Top4">[7]TOP10!$M$8</definedName>
    <definedName name="ELC4FitchRatingChartData">[7]ELC4!$G$2:$H$8</definedName>
    <definedName name="ELC4FitchRatingChartSerial1">[7]ELC4!$H$2:$H$8</definedName>
    <definedName name="ELC4FitchRatingChartXScale">[7]ELC4!$G$2:$G$8</definedName>
    <definedName name="ELC4MoodyRatingChartData">[7]ELC4!$A$2:$B$13</definedName>
    <definedName name="ELC4MoodyRatingChartSerial1">[7]ELC4!$B$2:$B$13</definedName>
    <definedName name="ELC4MoodyRatingChartXScale">[7]ELC4!$A$2:$A$13</definedName>
    <definedName name="ELC4SPRatingChartData">[7]ELC4!$D$2:$E$14</definedName>
    <definedName name="ELC4SPRatingChartSerial1">[7]ELC4!$E$2:$E$14</definedName>
    <definedName name="ELC4SPRatingChartXScale">[7]ELC4!$D$2:$D$14</definedName>
    <definedName name="ELC5_Top3">[7]TOP10!$P$3</definedName>
    <definedName name="ELC5_Top4">[7]TOP10!$P$8</definedName>
    <definedName name="ELC5FitchRatingChartData">[7]ELC5!$G$2:$H$9</definedName>
    <definedName name="ELC5FitchRatingChartSerial1">[7]ELC5!$H$2:$H$9</definedName>
    <definedName name="ELC5FitchRatingChartXScale">[7]ELC5!$G$2:$G$9</definedName>
    <definedName name="ELC5MoodyRatingChartData">[7]ELC5!$A$2:$B$14</definedName>
    <definedName name="ELC5MoodyRatingChartSerial1">[7]ELC5!$B$2:$B$14</definedName>
    <definedName name="ELC5MoodyRatingChartXScale">[7]ELC5!$A$2:$A$14</definedName>
    <definedName name="ELC5SPRatingChartData">[7]ELC5!$D$2:$E$14</definedName>
    <definedName name="ELC5SPRatingChartSerial1">[7]ELC5!$E$2:$E$14</definedName>
    <definedName name="ELC5SPRatingChartXScale">[7]ELC5!$D$2:$D$14</definedName>
    <definedName name="employees">#REF!</definedName>
    <definedName name="EndDay">[6]Selections!$R$3</definedName>
    <definedName name="EndMonth">[6]Selections!$R$2</definedName>
    <definedName name="EndYear">[6]Selections!$R$1</definedName>
    <definedName name="ePrint" localSheetId="1">[18]Consolidated!#REF!</definedName>
    <definedName name="ePrint">[18]Consolidated!#REF!</definedName>
    <definedName name="EQUITY">'[9]S&amp;U'!$E$12</definedName>
    <definedName name="equityamt">#REF!</definedName>
    <definedName name="equityamt___0">#REF!</definedName>
    <definedName name="equityper">#REF!</definedName>
    <definedName name="equityper___0">#REF!</definedName>
    <definedName name="ev.Calculation" hidden="1">-4105</definedName>
    <definedName name="ev.Initialized" hidden="1">FALSE</definedName>
    <definedName name="exe">#REF!</definedName>
    <definedName name="fianal">[19]Preliminary!$A$1:$D$65</definedName>
    <definedName name="filename">[6]Selections!$U$2</definedName>
    <definedName name="Final_Number">#REF!</definedName>
    <definedName name="FinanceRev">#REF!</definedName>
    <definedName name="FinanceRev2">#REF!</definedName>
    <definedName name="firstHourDate">#REF!</definedName>
    <definedName name="firstProject">#REF!</definedName>
    <definedName name="Flat_Swap">#REF!</definedName>
    <definedName name="FSoPacific" localSheetId="0" hidden="1">{"BS",#N/A,FALSE,"USA"}</definedName>
    <definedName name="FSoPacific" localSheetId="2" hidden="1">{"BS",#N/A,FALSE,"USA"}</definedName>
    <definedName name="FSoPacific" hidden="1">{"BS",#N/A,FALSE,"USA"}</definedName>
    <definedName name="Fund">[6]Selections!$A$1</definedName>
    <definedName name="Fwd_Curve">#REF!</definedName>
    <definedName name="FYEMarker">#REF!</definedName>
    <definedName name="FYEMonth">#REF!</definedName>
    <definedName name="G_A_SUMMARY">#REF!</definedName>
    <definedName name="group_quarterly">#REF!</definedName>
    <definedName name="Header1">[20]_01_05_v_Wicks_xls__01_05_v_Wic!$N$1</definedName>
    <definedName name="high1">[1]Inputs!$E$23</definedName>
    <definedName name="high10">[1]Inputs!$E$482</definedName>
    <definedName name="high11">[1]Inputs!$E$533</definedName>
    <definedName name="high12">[1]Inputs!$E$584</definedName>
    <definedName name="high13">[1]Inputs!$E$635</definedName>
    <definedName name="high14">[1]Inputs!$E$686</definedName>
    <definedName name="high15">[1]Inputs!$E$737</definedName>
    <definedName name="high2">[1]Inputs!$E$74</definedName>
    <definedName name="high3">[1]Inputs!$E$125</definedName>
    <definedName name="high4">[1]Inputs!$E$176</definedName>
    <definedName name="high5">[1]Inputs!$E$227</definedName>
    <definedName name="high6">[1]Inputs!$E$278</definedName>
    <definedName name="high7">[1]Inputs!$E$329</definedName>
    <definedName name="high8">[1]Inputs!$E$380</definedName>
    <definedName name="high9">[1]Inputs!$E$431</definedName>
    <definedName name="hl" localSheetId="1">'[21]LBO Summary'!#REF!</definedName>
    <definedName name="hl">'[21]LBO Summary'!#REF!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IC1Actual">OFFSET([6]ICTrends!$C$2,0,0,COUNTA([6]ICTrends!$C$1:$C$65536)-1)</definedName>
    <definedName name="IC1ChartTitle">[6]ICTrends!$W$1</definedName>
    <definedName name="IC1Covenant">OFFSET([6]ICTrends!$D$2,0,0,COUNTA([6]ICTrends!$D$1:$D$65536)-1)</definedName>
    <definedName name="IC1Date">OFFSET([6]ICTrends!$B$2,0,0,COUNTA([6]ICTrends!$B$1:$B$65536)-1)</definedName>
    <definedName name="IC2Actual">OFFSET([6]ICTrends!$H$2,0,0,COUNTA([6]ICTrends!$H$1:$H$65536)-1)</definedName>
    <definedName name="IC2Covenant">OFFSET([6]ICTrends!$I$2,0,0,COUNTA([6]ICTrends!$I$1:$I$65536)-1)</definedName>
    <definedName name="IC2Date">OFFSET([6]ICTrends!$G$2,0,0,COUNTA([6]ICTrends!$G$1:$G$65536)-1)</definedName>
    <definedName name="IC3Actual">OFFSET([6]ICTrends!$M$2,0,0,COUNTA([6]ICTrends!$M$1:$M$65536)-1)</definedName>
    <definedName name="IC3Covenant">OFFSET([6]ICTrends!$N$2,0,0,COUNTA([6]ICTrends!$N$1:$N$65536)-1)</definedName>
    <definedName name="IC3Date">OFFSET([6]ICTrends!$L$2,0,0,COUNTA([6]ICTrends!$L$1:$L$65536)-1)</definedName>
    <definedName name="IC4Actual">OFFSET([6]ICTrends!$R$2,0,0,COUNTA([6]ICTrends!$R$1:$R$65536)-1)</definedName>
    <definedName name="IC4Covenant">OFFSET([6]ICTrends!$S$2,0,0,COUNTA([6]ICTrends!$S$1:$S$65536)-1)</definedName>
    <definedName name="IC4Date">OFFSET([6]ICTrends!$Q$2,0,0,COUNTA([6]ICTrends!$Q$1:$Q$65536)-1)</definedName>
    <definedName name="inc">#REF!</definedName>
    <definedName name="incsyntog">#REF!</definedName>
    <definedName name="incsyntog___0">#REF!</definedName>
    <definedName name="inputs">#REF!</definedName>
    <definedName name="IQ_AE_BR" hidden="1">"c10"</definedName>
    <definedName name="IQ_AP_BR" hidden="1">"c34"</definedName>
    <definedName name="IQ_AR_BR" hidden="1">"c41"</definedName>
    <definedName name="IQ_ASSET_WRITEDOWN_BR" hidden="1">"c50"</definedName>
    <definedName name="IQ_ASSET_WRITEDOWN_CF_BR" hidden="1">"c53"</definedName>
    <definedName name="IQ_AVG_PRICE_TARGET" hidden="1">"c82"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CAPEX_BR" hidden="1">"c111"</definedName>
    <definedName name="IQ_CH">110000</definedName>
    <definedName name="IQ_CHANGE_AP_BR" hidden="1">"c135"</definedName>
    <definedName name="IQ_CHANGE_AR_BR" hidden="1">"c142"</definedName>
    <definedName name="IQ_CHANGE_OTHER_NET_OPER_ASSETS_BR" hidden="1">"c3595"</definedName>
    <definedName name="IQ_CHANGE_OTHER_WORK_CAP_BR" hidden="1">"c154"</definedName>
    <definedName name="IQ_COMMERCIAL_DOM" hidden="1">"c177"</definedName>
    <definedName name="IQ_COMMERCIAL_MORT" hidden="1">"c179"</definedName>
    <definedName name="IQ_COMMON_APIC_BR" hidden="1">"c185"</definedName>
    <definedName name="IQ_COMMON_ISSUED_BR" hidden="1">"c199"</definedName>
    <definedName name="IQ_COMMON_REP_BR" hidden="1">"c208"</definedName>
    <definedName name="IQ_CONV_RATE" hidden="1">"c2192"</definedName>
    <definedName name="IQ_CQ">5000</definedName>
    <definedName name="IQ_CURRENCY_GAIN_BR" hidden="1">"c236"</definedName>
    <definedName name="IQ_CURRENT_PORT_DEBT_BR" hidden="1">"c1567"</definedName>
    <definedName name="IQ_CY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NTM" hidden="1">700000</definedName>
    <definedName name="IQ_EBIT_10K" hidden="1">"IQ_EBIT_10K"</definedName>
    <definedName name="IQ_EBIT_10Q" hidden="1">"IQ_EBIT_10Q"</definedName>
    <definedName name="IQ_EBIT_10Q1" hidden="1">"IQ_EBIT_10Q1"</definedName>
    <definedName name="IQ_EBIT_GROWTH_1" hidden="1">"IQ_EBIT_GROWTH_1"</definedName>
    <definedName name="IQ_EBIT_GROWTH_2" hidden="1">"IQ_EBIT_GROWTH_2"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GROWTH_1" hidden="1">"IQ_EBITDA_GROWTH_1"</definedName>
    <definedName name="IQ_EBITDA_GROWTH_2" hidden="1">"IQ_EBITDA_GROWTH_2"</definedName>
    <definedName name="IQ_EBT_BR" hidden="1">"c378"</definedName>
    <definedName name="IQ_EBT_EXCL_BR" hidden="1">"c381"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EST_1" hidden="1">"IQ_EPS_EST_1"</definedName>
    <definedName name="IQ_EST_EPS_SURPRISE" hidden="1">"c1635"</definedName>
    <definedName name="IQ_EV_OVER_REVENUE_EST" hidden="1">"IQ_EV_OVER_REVENUE_EST"</definedName>
    <definedName name="IQ_EV_OVER_REVENUE_EST_1" hidden="1">"IQ_EV_OVER_REVENUE_EST_1"</definedName>
    <definedName name="IQ_EXTRA_ACC_ITEMS_BR" hidden="1">"c412"</definedName>
    <definedName name="IQ_FH">100000</definedName>
    <definedName name="IQ_FQ">500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1" hidden="1">"LTM"</definedName>
    <definedName name="IQ_FY">1000</definedName>
    <definedName name="IQ_FY_DATE" hidden="1">"IQ_FY_DATE"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W_AMORT_BR" hidden="1">"c532"</definedName>
    <definedName name="IQ_GW_INTAN_AMORT_BR" hidden="1">"c1470"</definedName>
    <definedName name="IQ_GW_INTAN_AMORT_CF_BR" hidden="1">"c1473"</definedName>
    <definedName name="IQ_INC_EQUITY_BR" hidden="1">"c550"</definedName>
    <definedName name="IQ_INS_SETTLE_BR" hidden="1">"c572"</definedName>
    <definedName name="IQ_INT_EXP_BR" hidden="1">"c586"</definedName>
    <definedName name="IQ_INT_INC_BR" hidden="1">"c593"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VEST_LOANS_CF_BR" hidden="1">"c630"</definedName>
    <definedName name="IQ_INVEST_SECURITY_CF_BR" hidden="1">"c639"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GAL_SETTLE_BR" hidden="1">"c649"</definedName>
    <definedName name="IQ_LOANS_CF_BR" hidden="1">"c661"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>2000</definedName>
    <definedName name="IQ_LTM_DATE" hidden="1">"IQ_LTM_DATE"</definedName>
    <definedName name="IQ_LTMMONTH" hidden="1">120000</definedName>
    <definedName name="IQ_MERGER_BR" hidden="1">"c715"</definedName>
    <definedName name="IQ_MERGER_RESTRUCTURE_BR" hidden="1">"c721"</definedName>
    <definedName name="IQ_MINORITY_INTEREST_BR" hidden="1">"c729"</definedName>
    <definedName name="IQ_MONTH">15000</definedName>
    <definedName name="IQ_MTD" hidden="1">800000</definedName>
    <definedName name="IQ_NAMES_REVISION_DATE_" hidden="1">44229.1709606481</definedName>
    <definedName name="IQ_NET_DEBT_ISSUED_BR" hidden="1">"c753"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GROWTH_1" hidden="1">"IQ_NET_INC_GROWTH_1"</definedName>
    <definedName name="IQ_NET_INC_GROWTH_2" hidden="1">"IQ_NET_INC_GROWTH_2"</definedName>
    <definedName name="IQ_NET_INT_INC_BR" hidden="1">"c765"</definedName>
    <definedName name="IQ_NTM">6000</definedName>
    <definedName name="IQ_OG_TOTAL_OIL_PRODUCTON" hidden="1">"c2059"</definedName>
    <definedName name="IQ_OPER_INC_BR" hidden="1">"c850"</definedName>
    <definedName name="IQ_OTHER_ASSETS_BR" hidden="1">"c862"</definedName>
    <definedName name="IQ_OTHER_CA_SUPPL_BR" hidden="1">"c871"</definedName>
    <definedName name="IQ_OTHER_CL_SUPPL_BR" hidden="1">"c880"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TAN_BR" hidden="1">"c909"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T_ASSETS_BR" hidden="1">"c948"</definedName>
    <definedName name="IQ_OTHER_NON_OPER_EXP_BR" hidden="1">"c957"</definedName>
    <definedName name="IQ_OTHER_NON_OPER_EXP_SUPPL_BR" hidden="1">"c962"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V_BR" hidden="1">"c1011"</definedName>
    <definedName name="IQ_OTHER_REV_SUPPL_BR" hidden="1">"c1016"</definedName>
    <definedName name="IQ_OTHER_UNUSUAL_BR" hidden="1">"c1561"</definedName>
    <definedName name="IQ_OTHER_UNUSUAL_SUPPL_BR" hidden="1">"c1496"</definedName>
    <definedName name="IQ_PC_WRITTEN" hidden="1">"c1027"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REF_ISSUED_BR" hidden="1">"c1047"</definedName>
    <definedName name="IQ_PREF_OTHER_BR" hidden="1">"c1055"</definedName>
    <definedName name="IQ_PREF_REP_BR" hidden="1">"c1062"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ICE_OVER_EPS_EST" hidden="1">"IQ_PRICE_OVER_EPS_EST"</definedName>
    <definedName name="IQ_PRICE_OVER_EPS_EST_1" hidden="1">"IQ_PRICE_OVER_EPS_EST_1"</definedName>
    <definedName name="IQ_PRICEDATETIME" hidden="1">"IQ_PRICEDATETIME"</definedName>
    <definedName name="IQ_QTD" hidden="1">750000</definedName>
    <definedName name="IQ_RESIDENTIAL_LOANS" hidden="1">"c1102"</definedName>
    <definedName name="IQ_RESTRUCTURE_BR" hidden="1">"c1106"</definedName>
    <definedName name="IQ_RETURN_ASSETS_BROK" hidden="1">"c1115"</definedName>
    <definedName name="IQ_RETURN_EQUITY_BROK" hidden="1">"c1120"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_1" hidden="1">"IQ_REVENUE_EST_1"</definedName>
    <definedName name="IQ_REVENUE_GROWTH_1" hidden="1">"IQ_REVENUE_GROWTH_1"</definedName>
    <definedName name="IQ_REVENUE_GROWTH_2" hidden="1">"IQ_REVENUE_GROWTH_2"</definedName>
    <definedName name="IQ_SALE_INTAN_CF_BR" hidden="1">"c1133"</definedName>
    <definedName name="IQ_SALE_PPE_CF_BR" hidden="1">"c1139"</definedName>
    <definedName name="IQ_SALE_REAL_ESTATE_CF_BR" hidden="1">"c1145"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TODAY" hidden="1">0</definedName>
    <definedName name="IQ_TOTAL_AR_BR" hidden="1">"c1231"</definedName>
    <definedName name="IQ_TOTAL_DEBT_ISSUED_BR" hidden="1">"c1253"</definedName>
    <definedName name="IQ_TOTAL_DEBT_REPAID_BR" hidden="1">"c1260"</definedName>
    <definedName name="IQ_TOTAL_LIAB_BR" hidden="1">"c1278"</definedName>
    <definedName name="IQ_TOTAL_OPER_EXP_BR" hidden="1">"c1284"</definedName>
    <definedName name="IQ_TOTAL_PENSION_OBLIGATION" hidden="1">"c1292"</definedName>
    <definedName name="IQ_TOTAL_REV_BR" hidden="1">"c1303"</definedName>
    <definedName name="IQ_TREASURY_OTHER_EQUITY_BR" hidden="1">"c1314"</definedName>
    <definedName name="IQ_UNEARN_REV_CURRENT_BR" hidden="1">"c1324"</definedName>
    <definedName name="IQ_WEEK">50000</definedName>
    <definedName name="IQ_YTD">3000</definedName>
    <definedName name="IQ_YTDMONTH" hidden="1">130000</definedName>
    <definedName name="IsColHidden" hidden="1">FALSE</definedName>
    <definedName name="IsLTMColHidden" hidden="1">FALSE</definedName>
    <definedName name="Item">#REF!</definedName>
    <definedName name="K2_WBEVMODE" hidden="1">-1</definedName>
    <definedName name="lastCol">#REF!</definedName>
    <definedName name="latest1">[1]Inputs!$E$13</definedName>
    <definedName name="latest10">[1]Inputs!$E$472</definedName>
    <definedName name="latest11">[1]Inputs!$E$523</definedName>
    <definedName name="latest12">[1]Inputs!$E$574</definedName>
    <definedName name="latest13">[1]Inputs!$E$625</definedName>
    <definedName name="latest14">[1]Inputs!$E$676</definedName>
    <definedName name="latest15">[1]Inputs!$E$727</definedName>
    <definedName name="latest2">[1]Inputs!$E$64</definedName>
    <definedName name="latest3">[1]Inputs!$E$115</definedName>
    <definedName name="latest4">[1]Inputs!$E$166</definedName>
    <definedName name="latest5">[1]Inputs!$E$217</definedName>
    <definedName name="latest6">[1]Inputs!$E$268</definedName>
    <definedName name="latest7">[1]Inputs!$E$319</definedName>
    <definedName name="latest8">[1]Inputs!$E$370</definedName>
    <definedName name="latest9">[1]Inputs!$E$421</definedName>
    <definedName name="LBO" localSheetId="1">'[9]S&amp;U'!#REF!</definedName>
    <definedName name="LBO">'[9]S&amp;U'!#REF!</definedName>
    <definedName name="left">#REF!</definedName>
    <definedName name="lett" localSheetId="1">#REF!</definedName>
    <definedName name="lett">#REF!</definedName>
    <definedName name="LIBOR">[22]Portfolio!$E$2</definedName>
    <definedName name="Libor_Assumptions">#REF!</definedName>
    <definedName name="Libor_Curve">#REF!</definedName>
    <definedName name="Libor_Down">#REF!</definedName>
    <definedName name="Libor_Down_Up">#REF!</definedName>
    <definedName name="LIBOR_Minus_1SD" localSheetId="1">[10]Revolver!#REF!</definedName>
    <definedName name="LIBOR_Minus_1SD">[10]Revolver!#REF!</definedName>
    <definedName name="Libor_Minus_2SD" localSheetId="1">[10]Revolver!#REF!</definedName>
    <definedName name="Libor_Minus_2SD">[10]Revolver!#REF!</definedName>
    <definedName name="Libor_Plus_0SD" localSheetId="1">[10]Revolver!#REF!</definedName>
    <definedName name="Libor_Plus_0SD">[10]Revolver!#REF!</definedName>
    <definedName name="Libor_Plus_1SD" localSheetId="1">[10]Revolver!#REF!</definedName>
    <definedName name="Libor_Plus_1SD">[10]Revolver!#REF!</definedName>
    <definedName name="Libor_Plus_2SD" localSheetId="1">[10]Revolver!#REF!</definedName>
    <definedName name="Libor_Plus_2SD">[10]Revolver!#REF!</definedName>
    <definedName name="Libor_Scenario">#REF!</definedName>
    <definedName name="Libor_Up">#REF!</definedName>
    <definedName name="longterm" localSheetId="1">[5]Inputs!#REF!</definedName>
    <definedName name="longterm">[5]Inputs!#REF!</definedName>
    <definedName name="LTM_DATE">#REF!</definedName>
    <definedName name="Marketable_securities" localSheetId="1">'[23]Fly-by-night - problem 5'!#REF!</definedName>
    <definedName name="Marketable_securities">'[23]Fly-by-night - problem 5'!#REF!</definedName>
    <definedName name="MaxMarkDate">[7]SaleData!$M$3</definedName>
    <definedName name="mcs03g.ReqArray" localSheetId="0">{"Price","ICTG","TS131","D","0","0","H"}</definedName>
    <definedName name="mcs03g.ReqArray" localSheetId="2">{"Price","ICTG","TS131","D","0","0","H"}</definedName>
    <definedName name="mcs03g.ReqArray">{"Price","ICTG","TS131","D","0","0","H"}</definedName>
    <definedName name="mcs03g.ReqArray___0">#N/A</definedName>
    <definedName name="mcs03g.ReqArray___12">#N/A</definedName>
    <definedName name="mcs03g.ReqArray___2">#N/A</definedName>
    <definedName name="MKVALM" localSheetId="1">#REF!</definedName>
    <definedName name="MKVALM">#REF!</definedName>
    <definedName name="MONTHLYSALES" localSheetId="1">#REF!</definedName>
    <definedName name="MONTHLYSALES">#REF!</definedName>
    <definedName name="MONTHLYSALES___0" localSheetId="1">#REF!</definedName>
    <definedName name="MONTHLYSALES___0">#REF!</definedName>
    <definedName name="moodys">#REF!</definedName>
    <definedName name="mu">'[24]LBO Summary'!$G$130</definedName>
    <definedName name="Name">[5]Info!$C$8</definedName>
    <definedName name="name1">[1]Inputs!$E$10</definedName>
    <definedName name="name10">[1]Inputs!$E$469</definedName>
    <definedName name="name11">[1]Inputs!$E$520</definedName>
    <definedName name="name12">[1]Inputs!$E$571</definedName>
    <definedName name="name13">[1]Inputs!$E$622</definedName>
    <definedName name="name14">[1]Inputs!$E$673</definedName>
    <definedName name="name15">[1]Inputs!$E$724</definedName>
    <definedName name="name2">[1]Inputs!$E$61</definedName>
    <definedName name="name3">[1]Inputs!$E$112</definedName>
    <definedName name="name4">[1]Inputs!$E$163</definedName>
    <definedName name="name5">[1]Inputs!$E$214</definedName>
    <definedName name="name6">[1]Inputs!$E$265</definedName>
    <definedName name="name7">[1]Inputs!$E$316</definedName>
    <definedName name="name8">[1]Inputs!$E$367</definedName>
    <definedName name="name9">[1]Inputs!$E$418</definedName>
    <definedName name="NDY" localSheetId="1">#REF!</definedName>
    <definedName name="NDY">#REF!</definedName>
    <definedName name="NDYWGT" localSheetId="1">#REF!</definedName>
    <definedName name="NDYWGT">#REF!</definedName>
    <definedName name="OC1Actual">OFFSET([6]OCTrends!$C$2,0,0,COUNTA([6]OCTrends!$C$1:$C$65536)-1)</definedName>
    <definedName name="OC1ChartTitle">[6]OCTrends!$W$1</definedName>
    <definedName name="OC1Covenant">OFFSET([6]OCTrends!$D$2,0,0,COUNTA([6]OCTrends!$D$1:$D$65536)-1)</definedName>
    <definedName name="OC1Date">OFFSET([6]OCTrends!$B$2,0,0,COUNTA([6]OCTrends!$B$1:$B$65536)-1)</definedName>
    <definedName name="OC2Actual">OFFSET([6]OCTrends!$H$2,0,0,COUNTA([6]OCTrends!$H$1:$H$65536)-1)</definedName>
    <definedName name="OC2Covenant">OFFSET([6]OCTrends!$I$2,0,0,COUNTA([6]OCTrends!$I$1:$I$65536)-1)</definedName>
    <definedName name="OC2Date">OFFSET([6]OCTrends!$G$2,0,0,COUNTA([6]OCTrends!$G$1:$G$65536)-1)</definedName>
    <definedName name="OC3Actual">OFFSET([6]OCTrends!$M$2,0,0,COUNTA([6]OCTrends!$M$1:$M$65536)-1)</definedName>
    <definedName name="OC3Covenant">OFFSET([6]OCTrends!$N$2,0,0,COUNTA([6]OCTrends!$N$1:$N$65536)-1)</definedName>
    <definedName name="OC3Date">OFFSET([6]OCTrends!$L$2,0,0,COUNTA([6]OCTrends!$L$1:$L$65536)-1)</definedName>
    <definedName name="OC4Actual">OFFSET([6]OCTrends!$R$2,0,0,COUNTA([6]OCTrends!$R$1:$R$65536)-1)</definedName>
    <definedName name="OC4Covenant">OFFSET([6]OCTrends!$S$2,0,0,COUNTA([6]OCTrends!$S$1:$S$65536)-1)</definedName>
    <definedName name="OC4Date">OFFSET([6]OCTrends!$Q$2,0,0,COUNTA([6]OCTrends!$Q$1:$Q$65536)-1)</definedName>
    <definedName name="Order">#REF!</definedName>
    <definedName name="Other_assets" localSheetId="1">'[23]Fly-by-night - problem 5'!#REF!</definedName>
    <definedName name="Other_assets">'[23]Fly-by-night - problem 5'!#REF!</definedName>
    <definedName name="Other_current_liabilities_Sales" localSheetId="1">'[4]Tanning Assumptions'!#REF!</definedName>
    <definedName name="Other_current_liabilities_Sales">'[4]Tanning Assumptions'!#REF!</definedName>
    <definedName name="Other_long_term_liabilities" localSheetId="1">'[4]Tanning Assumptions'!#REF!</definedName>
    <definedName name="Other_long_term_liabilities">'[4]Tanning Assumptions'!#REF!</definedName>
    <definedName name="OtherRev">#REF!</definedName>
    <definedName name="P_L" localSheetId="1">#REF!</definedName>
    <definedName name="P_L">#REF!</definedName>
    <definedName name="PCV">[6]Calcs!$B$1</definedName>
    <definedName name="Percentage">#REF!</definedName>
    <definedName name="Period">#REF!</definedName>
    <definedName name="Period1">#REF!</definedName>
    <definedName name="Period2">#REF!</definedName>
    <definedName name="Period3">#REF!</definedName>
    <definedName name="Period4">#REF!</definedName>
    <definedName name="Period5">#REF!</definedName>
    <definedName name="Period6">#REF!</definedName>
    <definedName name="Period7">#REF!</definedName>
    <definedName name="Period8">#REF!</definedName>
    <definedName name="PERSONAL_FINANCIAL" localSheetId="1">#REF!</definedName>
    <definedName name="PERSONAL_FINANCIAL">#REF!</definedName>
    <definedName name="PERSONAL_FINANCIAL___0" localSheetId="1">#REF!</definedName>
    <definedName name="PERSONAL_FINANCIAL___0">#REF!</definedName>
    <definedName name="PFLTM" localSheetId="1">'[25]VeCTOR Import'!#REF!</definedName>
    <definedName name="PFLTM">'[25]VeCTOR Import'!#REF!</definedName>
    <definedName name="pik" localSheetId="1">'[9]S&amp;U'!#REF!</definedName>
    <definedName name="pik">'[9]S&amp;U'!#REF!</definedName>
    <definedName name="portion1">[1]Inputs!$E$14</definedName>
    <definedName name="portion10">[1]Inputs!$E$473</definedName>
    <definedName name="portion11">[1]Inputs!$E$524</definedName>
    <definedName name="portion12">[1]Inputs!$E$575</definedName>
    <definedName name="portion13">[1]Inputs!$E$626</definedName>
    <definedName name="portion14">[1]Inputs!$E$677</definedName>
    <definedName name="portion15">[1]Inputs!$E$728</definedName>
    <definedName name="portion2">[1]Inputs!$E$65</definedName>
    <definedName name="portion3">[1]Inputs!$E$116</definedName>
    <definedName name="portion4">[1]Inputs!$E$167</definedName>
    <definedName name="portion5">[1]Inputs!$E$218</definedName>
    <definedName name="portion6">[1]Inputs!$E$269</definedName>
    <definedName name="portion7">[1]Inputs!$E$320</definedName>
    <definedName name="portion8">[1]Inputs!$E$371</definedName>
    <definedName name="portion9">[1]Inputs!$E$422</definedName>
    <definedName name="PP_E_Sales" localSheetId="1">'[4]Tanning Assumptions'!#REF!</definedName>
    <definedName name="PP_E_Sales">'[4]Tanning Assumptions'!#REF!</definedName>
    <definedName name="prefbamt">#REF!</definedName>
    <definedName name="prefbamt___0">#REF!</definedName>
    <definedName name="prefbper">#REF!</definedName>
    <definedName name="prefbper___0">#REF!</definedName>
    <definedName name="Preliminary">#REF!</definedName>
    <definedName name="Prepaids_Sales" localSheetId="1">'[4]Tanning Assumptions'!#REF!</definedName>
    <definedName name="Prepaids_Sales">'[4]Tanning Assumptions'!#REF!</definedName>
    <definedName name="PRICES">#REF!</definedName>
    <definedName name="PRICES___0">#REF!</definedName>
    <definedName name="_xlnm.Print_Area" localSheetId="1">Model!$B$233:$C$287</definedName>
    <definedName name="_xlnm.Print_Area">#REF!</definedName>
    <definedName name="_xlnm.Print_Titles" localSheetId="1">Model!$2:$5</definedName>
    <definedName name="_xlnm.Print_Titles">#REF!</definedName>
    <definedName name="project">[12]CONTROL!$D$8</definedName>
    <definedName name="project___0">[8]CONTROL!$D$8</definedName>
    <definedName name="ProjList">#REF!</definedName>
    <definedName name="PublicCompany" localSheetId="1">#REF!</definedName>
    <definedName name="PublicCompany">#REF!</definedName>
    <definedName name="purchase">[26]TRANSACTION!$Q$2</definedName>
    <definedName name="PURCHASE_PRICE">[27]Sheet5:D!$A$1:$H$23</definedName>
    <definedName name="qryWSO_Positions_ByFunds_CrossTab">#REF!</definedName>
    <definedName name="quarterly">#REF!</definedName>
    <definedName name="rate">#REF!</definedName>
    <definedName name="RateTable" localSheetId="1">[28]MASTER!#REF!</definedName>
    <definedName name="RateTable">[28]MASTER!#REF!</definedName>
    <definedName name="Rating">'[7]Actual vs Covenant'!$P$11:$Q$18</definedName>
    <definedName name="RatingFactors">#REF!</definedName>
    <definedName name="RATIOS">#REF!</definedName>
    <definedName name="RATIOS___0">#REF!</definedName>
    <definedName name="recovery">#REF!</definedName>
    <definedName name="refi">'[29]OBS - REFI'!$AP$5</definedName>
    <definedName name="REPORT">#REF!</definedName>
    <definedName name="REPORT___0">#REF!</definedName>
    <definedName name="ReprintRev">#REF!</definedName>
    <definedName name="ret">#REF!</definedName>
    <definedName name="rhl" localSheetId="1">'[21]LBO Summary'!#REF!</definedName>
    <definedName name="rhl">'[21]LBO Summary'!#REF!</definedName>
    <definedName name="RoyaltyRev">#REF!</definedName>
    <definedName name="rptData">#REF!</definedName>
    <definedName name="rr" localSheetId="1">'[21]LBO Summary'!#REF!</definedName>
    <definedName name="rr">'[21]LBO Summary'!#REF!</definedName>
    <definedName name="s" localSheetId="1">#REF!</definedName>
    <definedName name="s">#REF!</definedName>
    <definedName name="s.outstand" localSheetId="1">[5]Inputs!#REF!</definedName>
    <definedName name="s.outstand">[5]Inputs!#REF!</definedName>
    <definedName name="SALES" localSheetId="1">#REF!</definedName>
    <definedName name="SALES">#REF!</definedName>
    <definedName name="SALES___0" localSheetId="1">#REF!</definedName>
    <definedName name="SALES___0">#REF!</definedName>
    <definedName name="sales1">[1]Inputs!$P$29</definedName>
    <definedName name="sales10">[1]Inputs!$P$488</definedName>
    <definedName name="sales11">[1]Inputs!$P$539</definedName>
    <definedName name="sales12">[1]Inputs!$P$590</definedName>
    <definedName name="sales13">[1]Inputs!$P$641</definedName>
    <definedName name="sales14">[1]Inputs!$P$692</definedName>
    <definedName name="sales15">[1]Inputs!$P$743</definedName>
    <definedName name="sales2">[1]Inputs!$P$80</definedName>
    <definedName name="sales3">[1]Inputs!$P$131</definedName>
    <definedName name="sales4">[1]Inputs!$P$182</definedName>
    <definedName name="sales5">[1]Inputs!$P$233</definedName>
    <definedName name="sales6">[1]Inputs!$P$284</definedName>
    <definedName name="sales7">[1]Inputs!$P$335</definedName>
    <definedName name="sales8">[1]Inputs!$P$386</definedName>
    <definedName name="sales9">[1]Inputs!$P$437</definedName>
    <definedName name="scen">#REF!</definedName>
    <definedName name="Scenario_11">#REF!</definedName>
    <definedName name="Scenario_12">#REF!</definedName>
    <definedName name="Scenario_13">#REF!</definedName>
    <definedName name="Scenario_14">#REF!</definedName>
    <definedName name="Scenario_15">#REF!</definedName>
    <definedName name="Scenario_16">#REF!</definedName>
    <definedName name="Scenario_17">#REF!</definedName>
    <definedName name="Scenario_18">#REF!</definedName>
    <definedName name="Scenario_19">#REF!</definedName>
    <definedName name="Scenario_20">#REF!</definedName>
    <definedName name="Scenario_21">#REF!</definedName>
    <definedName name="Scenario_22">#REF!</definedName>
    <definedName name="Scenario_23">#REF!</definedName>
    <definedName name="Scenario_24">#REF!</definedName>
    <definedName name="Scenario_25">#REF!</definedName>
    <definedName name="Scenario_26">#REF!</definedName>
    <definedName name="Scenario_27">#REF!</definedName>
    <definedName name="Scenario_28">#REF!</definedName>
    <definedName name="Scenario_31">#REF!</definedName>
    <definedName name="Scenario_32">#REF!</definedName>
    <definedName name="Scenario_33">#REF!</definedName>
    <definedName name="Scenario_34">#REF!</definedName>
    <definedName name="Scenario_35">#REF!</definedName>
    <definedName name="Scenario_36">#REF!</definedName>
    <definedName name="Scenario_37">#REF!</definedName>
    <definedName name="Scenario_38">#REF!</definedName>
    <definedName name="Scenario_39" localSheetId="1">#REF!</definedName>
    <definedName name="Scenario_39">#REF!</definedName>
    <definedName name="Scenario_41" localSheetId="1">#REF!</definedName>
    <definedName name="Scenario_41">#REF!</definedName>
    <definedName name="Scenario_42" localSheetId="1">#REF!</definedName>
    <definedName name="Scenario_42">#REF!</definedName>
    <definedName name="Scenario_43" localSheetId="1">#REF!</definedName>
    <definedName name="Scenario_43">#REF!</definedName>
    <definedName name="Scenario_44" localSheetId="1">#REF!</definedName>
    <definedName name="Scenario_44">#REF!</definedName>
    <definedName name="Scenario_51">#REF!</definedName>
    <definedName name="Scenario_52">#REF!</definedName>
    <definedName name="Scenario_53">#REF!</definedName>
    <definedName name="Section">#REF!</definedName>
    <definedName name="SENSITIVITY">#REF!</definedName>
    <definedName name="SENSITIVITY___0">#REF!</definedName>
    <definedName name="sh.equity" localSheetId="1">[5]Inputs!#REF!</definedName>
    <definedName name="sh.equity">[5]Inputs!#REF!</definedName>
    <definedName name="sl" localSheetId="1">'[21]LBO Summary'!#REF!</definedName>
    <definedName name="sl">'[21]LBO Summary'!#REF!</definedName>
    <definedName name="snapshotdate">#REF!</definedName>
    <definedName name="sort_range">#REF!</definedName>
    <definedName name="sponsor">'[9]S&amp;U'!$J$21</definedName>
    <definedName name="Start">#REF!</definedName>
    <definedName name="Start_Date">[6]Selections!$C$1</definedName>
    <definedName name="StartDay">[6]Selections!$P$3</definedName>
    <definedName name="StartMonth">[6]Selections!$P$2</definedName>
    <definedName name="StartRefresh" localSheetId="1">'[14]Portfolio Input'!#REF!</definedName>
    <definedName name="StartRefresh">'[14]Portfolio Input'!#REF!</definedName>
    <definedName name="StartYear">[6]Selections!$P$1</definedName>
    <definedName name="Strip_Amount">#REF!</definedName>
    <definedName name="Strip_PV" localSheetId="1">#REF!</definedName>
    <definedName name="Strip_PV">#REF!</definedName>
    <definedName name="stub">#REF!</definedName>
    <definedName name="stubmonths">'[30]D&amp;A'!$C$5</definedName>
    <definedName name="sub" localSheetId="1">'[21]LBO Summary'!#REF!</definedName>
    <definedName name="sub">'[21]LBO Summary'!#REF!</definedName>
    <definedName name="subdebtamount">[15]Inputs!$J$26</definedName>
    <definedName name="subdebtdate">[15]Inputs!$J$28</definedName>
    <definedName name="Subhead1">[20]_01_05_v_Wicks_xls__01_05_v_Wic!$N$2</definedName>
    <definedName name="subHeading" localSheetId="1">#REF!</definedName>
    <definedName name="subHeading">#REF!</definedName>
    <definedName name="summary">#REF!</definedName>
    <definedName name="support">#REF!</definedName>
    <definedName name="sweep___9" localSheetId="1">[31]COVS_ACTUAL!#REF!</definedName>
    <definedName name="sweep___9">[31]COVS_ACTUAL!#REF!</definedName>
    <definedName name="target">#REF!</definedName>
    <definedName name="tax" localSheetId="1">[32]ISCF!#REF!</definedName>
    <definedName name="tax">[32]ISCF!#REF!</definedName>
    <definedName name="Taxes_Receivable_Sales" localSheetId="1">'[4]Tanning Assumptions'!#REF!</definedName>
    <definedName name="Taxes_Receivable_Sales">'[4]Tanning Assumptions'!#REF!</definedName>
    <definedName name="Test">#REF!</definedName>
    <definedName name="tgt">#REF!</definedName>
    <definedName name="ticker1">[1]Inputs!$E$11</definedName>
    <definedName name="ticker10">[1]Inputs!$E$470</definedName>
    <definedName name="ticker11">[1]Inputs!$E$521</definedName>
    <definedName name="ticker12">[1]Inputs!$E$572</definedName>
    <definedName name="ticker13">[1]Inputs!$E$623</definedName>
    <definedName name="ticker14">[1]Inputs!$E$674</definedName>
    <definedName name="ticker15">[1]Inputs!$E$725</definedName>
    <definedName name="ticker2">[1]Inputs!$E$62</definedName>
    <definedName name="ticker3">[1]Inputs!$E$113</definedName>
    <definedName name="ticker4">[1]Inputs!$E$164</definedName>
    <definedName name="ticker5">[1]Inputs!$E$215</definedName>
    <definedName name="ticker6">[1]Inputs!$E$266</definedName>
    <definedName name="ticker7">[1]Inputs!$E$317</definedName>
    <definedName name="ticker8">[1]Inputs!$E$368</definedName>
    <definedName name="ticker9">[1]Inputs!$E$419</definedName>
    <definedName name="TimeEnd">[6]Selections!$L$3</definedName>
    <definedName name="TimeStart">[6]Selections!$L$2</definedName>
    <definedName name="title">[29]SUM!$A$2</definedName>
    <definedName name="today">#REF!</definedName>
    <definedName name="top">#REF!</definedName>
    <definedName name="TopIC">'[7]Actual vs Covenant'!$P$31:$Q$38</definedName>
    <definedName name="TopOC">'[7]Actual vs Covenant'!$P$21:$Q$28</definedName>
    <definedName name="TOTAL">#REF!</definedName>
    <definedName name="TOTAL___0">#REF!</definedName>
    <definedName name="Total_Europe" localSheetId="1">#REF!</definedName>
    <definedName name="Total_Europe">#REF!</definedName>
    <definedName name="TotalRev">#REF!</definedName>
    <definedName name="TradedCash">[6]Principal!$G$5</definedName>
    <definedName name="trigger">[8]OBS!$U$5</definedName>
    <definedName name="TRYN_Top3">[7]TOP10!$S$3</definedName>
    <definedName name="TRYN_Top4">[7]TOP10!$S$8</definedName>
    <definedName name="TryonFitchRatingChartData">[7]TRYN!$G$2:$H$9</definedName>
    <definedName name="TryonFitchRatingChartSerial1">[7]TRYN!$H$2:$H$9</definedName>
    <definedName name="TryonFitchRatingChartXScale">[7]TRYN!$G$2:$G$9</definedName>
    <definedName name="TryonMoodyRatingChartData">[7]TRYN!$A$2:$B$15</definedName>
    <definedName name="TryonMoodyRatingChartSerial1">[7]TRYN!$B$2:$B$15</definedName>
    <definedName name="TryonMoodyRatingChartXScale">[7]TRYN!$A$2:$A$15</definedName>
    <definedName name="TryonSPRatingChartData">[7]TRYN!$D$2:$E$15</definedName>
    <definedName name="TryonSPRatingChartSerial1">[7]TRYN!$E$2:$E$15</definedName>
    <definedName name="TryonSPRatingChartXScale">[7]TRYN!$D$2:$D$15</definedName>
    <definedName name="units">'[9]S&amp;U'!$K$2</definedName>
    <definedName name="version">[29]SUM!$AE$2</definedName>
    <definedName name="version___0">[8]CONTROL!$D$9</definedName>
    <definedName name="WACActual">OFFSET([6]WACTrends!$C$2,0,0,COUNTA([6]WACTrends!$C$1:$C$65536)-1)</definedName>
    <definedName name="WACCovenant">OFFSET([6]WACTrends!$D$2,0,0,COUNTA([6]WACTrends!$D$1:$D$65536)-1)</definedName>
    <definedName name="WACDate">OFFSET([6]WACTrends!$B$2,0,0,COUNTA([6]WACTrends!$B$1:$B$65536)-1)</definedName>
    <definedName name="WALActual">OFFSET([6]WALTrends!$C$2,0,0,COUNTA([6]WALTrends!$C$1:$C$65536)-1)</definedName>
    <definedName name="WALCovenant">OFFSET([6]WALTrends!$D$2,0,0,COUNTA([6]WALTrends!$D$1:$D$65536)-1)</definedName>
    <definedName name="WALDate">OFFSET([6]WALTrends!$B$2,0,0,COUNTA([6]WALTrends!$B$1:$B$65536)-1)</definedName>
    <definedName name="WARFActual">OFFSET([6]WARFTrends!$C$2,0,0,COUNTA([6]WARFTrends!$C$1:$C$65536)-1)</definedName>
    <definedName name="WARFCovenant">OFFSET([6]WARFTrends!$D$2,0,0,COUNTA([6]WARFTrends!$D$1:$D$65536)-1)</definedName>
    <definedName name="WARFDate">OFFSET([6]WARFTrends!$B$2,0,0,COUNTA([6]WARFTrends!$B$1:$B$65536)-1)</definedName>
    <definedName name="WARFFitchActual">OFFSET([6]WARFFitchTrends!$C$2,0,0,COUNTA([6]WARFFitchTrends!$C$1:$C$65536)-1)</definedName>
    <definedName name="WARFFitchCovenant">OFFSET([6]WARFFitchTrends!$D$2,0,0,COUNTA([6]WARFFitchTrends!$D$1:$D$65536)-1)</definedName>
    <definedName name="WARFFitchDate">OFFSET([6]WARFFitchTrends!$B$2,0,0,COUNTA([6]WARFFitchTrends!$B$1:$B$65536)-1)</definedName>
    <definedName name="warrants">[15]Inputs!$O$13</definedName>
    <definedName name="WASActual">OFFSET([6]WASTrends!$C$2,0,0,COUNTA([6]WASTrends!$C$1:$C$65536)-1)</definedName>
    <definedName name="WASCovenant">OFFSET([6]WASTrends!$D$2,0,0,COUNTA([6]WASTrends!$D$1:$D$65536)-1)</definedName>
    <definedName name="WASDate">OFFSET([6]WASTrends!$B$2,0,0,COUNTA([6]WASTrends!$B$1:$B$65536)-1)</definedName>
    <definedName name="WBMIN" localSheetId="1">'[14]Portfolio Input'!#REF!</definedName>
    <definedName name="WBMIN">'[14]Portfolio Input'!#REF!</definedName>
    <definedName name="WHAT_IF">#REF!</definedName>
    <definedName name="WHAT_IF___0">#REF!</definedName>
    <definedName name="whec">[29]WHEC!$AX$2</definedName>
    <definedName name="wicksequity">[15]Inputs!$E$35</definedName>
    <definedName name="WORKING_CAPITAL" localSheetId="1">#REF!</definedName>
    <definedName name="WORKING_CAPITAL">#REF!</definedName>
    <definedName name="WORKING_CAPITAL___0" localSheetId="1">#REF!</definedName>
    <definedName name="WORKING_CAPITAL___0">#REF!</definedName>
    <definedName name="wrn.Alloutput." localSheetId="0" hidden="1">{#N/A,#N/A,TRUE,"Deal Summary";#N/A,#N/A,TRUE,"CGIC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Life";#N/A,#N/A,TRUE,"UHCO Statutory Info ----&gt;";#N/A,#N/A,TRUE,"UHCO Source_Use";#N/A,#N/A,TRUE,"UHCO_Debt Paydown";#N/A,#N/A,TRUE,"Union Bankers";#N/A,#N/A,TRUE,"Penn Life";#N/A,#N/A,TRUE,"Constitution"}</definedName>
    <definedName name="wrn.Alloutput." localSheetId="2" hidden="1">{#N/A,#N/A,TRUE,"Deal Summary";#N/A,#N/A,TRUE,"CGIC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Life";#N/A,#N/A,TRUE,"UHCO Statutory Info ----&gt;";#N/A,#N/A,TRUE,"UHCO Source_Use";#N/A,#N/A,TRUE,"UHCO_Debt Paydown";#N/A,#N/A,TRUE,"Union Bankers";#N/A,#N/A,TRUE,"Penn Life";#N/A,#N/A,TRUE,"Constitution"}</definedName>
    <definedName name="wrn.Alloutput." hidden="1">{#N/A,#N/A,TRUE,"Deal Summary";#N/A,#N/A,TRUE,"CGIC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Life";#N/A,#N/A,TRUE,"UHCO Statutory Info ----&gt;";#N/A,#N/A,TRUE,"UHCO Source_Use";#N/A,#N/A,TRUE,"UHCO_Debt Paydown";#N/A,#N/A,TRUE,"Union Bankers";#N/A,#N/A,TRUE,"Penn Life";#N/A,#N/A,TRUE,"Constitution"}</definedName>
    <definedName name="wrn.CGIC._.PLICO._.Statutory._.Results." localSheetId="0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GIC._.PLICO._.Statutory._.Results." localSheetId="2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GIC._.PLICO._.Statutory._.Results.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IS." localSheetId="0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IS." localSheetId="2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IS.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rossroads." localSheetId="0" hidden="1">{#N/A,#N/A,FALSE,"RENT ROLL";#N/A,#N/A,FALSE,"CAM";#N/A,#N/A,FALSE,"TAXES";#N/A,#N/A,FALSE,"INSURANCE";#N/A,#N/A,FALSE,"HVAC";#N/A,#N/A,FALSE,"MARKETING"}</definedName>
    <definedName name="wrn.crossroads." localSheetId="2" hidden="1">{#N/A,#N/A,FALSE,"RENT ROLL";#N/A,#N/A,FALSE,"CAM";#N/A,#N/A,FALSE,"TAXES";#N/A,#N/A,FALSE,"INSURANCE";#N/A,#N/A,FALSE,"HVAC";#N/A,#N/A,FALSE,"MARKETING"}</definedName>
    <definedName name="wrn.crossroads." hidden="1">{#N/A,#N/A,FALSE,"RENT ROLL";#N/A,#N/A,FALSE,"CAM";#N/A,#N/A,FALSE,"TAXES";#N/A,#N/A,FALSE,"INSURANCE";#N/A,#N/A,FALSE,"HVAC";#N/A,#N/A,FALSE,"MARKETING"}</definedName>
    <definedName name="wrn.crossroads2" localSheetId="0" hidden="1">{#N/A,#N/A,FALSE,"RENT ROLL";#N/A,#N/A,FALSE,"CAM";#N/A,#N/A,FALSE,"TAXES";#N/A,#N/A,FALSE,"INSURANCE";#N/A,#N/A,FALSE,"HVAC";#N/A,#N/A,FALSE,"MARKETING"}</definedName>
    <definedName name="wrn.crossroads2" localSheetId="2" hidden="1">{#N/A,#N/A,FALSE,"RENT ROLL";#N/A,#N/A,FALSE,"CAM";#N/A,#N/A,FALSE,"TAXES";#N/A,#N/A,FALSE,"INSURANCE";#N/A,#N/A,FALSE,"HVAC";#N/A,#N/A,FALSE,"MARKETING"}</definedName>
    <definedName name="wrn.crossroads2" hidden="1">{#N/A,#N/A,FALSE,"RENT ROLL";#N/A,#N/A,FALSE,"CAM";#N/A,#N/A,FALSE,"TAXES";#N/A,#N/A,FALSE,"INSURANCE";#N/A,#N/A,FALSE,"HVAC";#N/A,#N/A,FALSE,"MARKETING"}</definedName>
    <definedName name="wrn.dcf." localSheetId="0" hidden="1">{"mgmt forecast",#N/A,FALSE,"Mgmt Forecast";"dcf table",#N/A,FALSE,"Mgmt Forecast";"sensitivity",#N/A,FALSE,"Mgmt Forecast";"table inputs",#N/A,FALSE,"Mgmt Forecast";"calculations",#N/A,FALSE,"Mgmt Forecast"}</definedName>
    <definedName name="wrn.dcf." localSheetId="2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localSheetId="0" hidden="1">{"inputs raw data",#N/A,TRUE,"INPUT"}</definedName>
    <definedName name="wrn.print._.raw._.data._.entry." localSheetId="2" hidden="1">{"inputs raw data",#N/A,TRUE,"INPUT"}</definedName>
    <definedName name="wrn.print._.raw._.data._.entry." hidden="1">{"inputs raw data",#N/A,TRUE,"INPUT"}</definedName>
    <definedName name="wrn.print._.summary._.sheets." localSheetId="0" hidden="1">{"summary1",#N/A,TRUE,"Comps";"summary2",#N/A,TRUE,"Comps";"summary3",#N/A,TRUE,"Comps"}</definedName>
    <definedName name="wrn.print._.summary._.sheets." localSheetId="2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quick." localSheetId="0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quick." localSheetId="2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quick.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Sales._.Activity." localSheetId="0" hidden="1">{#N/A,#N/A,FALSE,"Integration Systems"}</definedName>
    <definedName name="wrn.Sales._.Activity." localSheetId="2" hidden="1">{#N/A,#N/A,FALSE,"Integration Systems"}</definedName>
    <definedName name="wrn.Sales._.Activity." hidden="1">{#N/A,#N/A,FALSE,"Integration Systems"}</definedName>
    <definedName name="wrn.Summary." localSheetId="0" hidden="1">{#N/A,#N/A,FALSE,"Deal Summary";#N/A,#N/A,FALSE,"CGIC &amp;PLICO Results";#N/A,#N/A,FALSE,"Consolidated Results";#N/A,#N/A,FALSE,"Consolidated Source_Uses&amp;Debt ";#N/A,#N/A,FALSE,"Bal_Sht";#N/A,#N/A,FALSE,"Income Statement";#N/A,#N/A,FALSE,"Accretion_Dilution";#N/A,#N/A,FALSE,"Matrix";#N/A,#N/A,FALSE,"Purchase_sensitivity"}</definedName>
    <definedName name="wrn.Summary." localSheetId="2" hidden="1">{#N/A,#N/A,FALSE,"Deal Summary";#N/A,#N/A,FALSE,"CGIC &amp;PLICO Results";#N/A,#N/A,FALSE,"Consolidated Results";#N/A,#N/A,FALSE,"Consolidated Source_Uses&amp;Debt ";#N/A,#N/A,FALSE,"Bal_Sht";#N/A,#N/A,FALSE,"Income Statement";#N/A,#N/A,FALSE,"Accretion_Dilution";#N/A,#N/A,FALSE,"Matrix";#N/A,#N/A,FALSE,"Purchase_sensitivity"}</definedName>
    <definedName name="wrn.Summary." hidden="1">{#N/A,#N/A,FALSE,"Deal Summary";#N/A,#N/A,FALSE,"CGIC &amp;PLICO Results";#N/A,#N/A,FALSE,"Consolidated Results";#N/A,#N/A,FALSE,"Consolidated Source_Uses&amp;Debt ";#N/A,#N/A,FALSE,"Bal_Sht";#N/A,#N/A,FALSE,"Income Statement";#N/A,#N/A,FALSE,"Accretion_Dilution";#N/A,#N/A,FALSE,"Matrix";#N/A,#N/A,FALSE,"Purchase_sensitivity"}</definedName>
    <definedName name="wrn.UHCO._.Statutory._.Results." localSheetId="0" hidden="1">{#N/A,#N/A,FALSE,"UHCO Statutory Info ----&gt;";#N/A,#N/A,FALSE,"UHCO Source_Use";#N/A,#N/A,FALSE,"UHCO_Debt Paydown";#N/A,#N/A,FALSE,"Union Bankers";#N/A,#N/A,FALSE,"Penn Life";#N/A,#N/A,FALSE,"Constitution"}</definedName>
    <definedName name="wrn.UHCO._.Statutory._.Results." localSheetId="2" hidden="1">{#N/A,#N/A,FALSE,"UHCO Statutory Info ----&gt;";#N/A,#N/A,FALSE,"UHCO Source_Use";#N/A,#N/A,FALSE,"UHCO_Debt Paydown";#N/A,#N/A,FALSE,"Union Bankers";#N/A,#N/A,FALSE,"Penn Life";#N/A,#N/A,FALSE,"Constitution"}</definedName>
    <definedName name="wrn.UHCO._.Statutory._.Results." hidden="1">{#N/A,#N/A,FALSE,"UHCO Statutory Info ----&gt;";#N/A,#N/A,FALSE,"UHCO Source_Use";#N/A,#N/A,FALSE,"UHCO_Debt Paydown";#N/A,#N/A,FALSE,"Union Bankers";#N/A,#N/A,FALSE,"Penn Life";#N/A,#N/A,FALSE,"Constitution"}</definedName>
    <definedName name="wrn.Weekly._.Inventory._.Report." localSheetId="0" hidden="1">{#N/A,#N/A,FALSE,"Combo"}</definedName>
    <definedName name="wrn.Weekly._.Inventory._.Report." localSheetId="2" hidden="1">{#N/A,#N/A,FALSE,"Combo"}</definedName>
    <definedName name="wrn.Weekly._.Inventory._.Report." hidden="1">{#N/A,#N/A,FALSE,"Combo"}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zip" localSheetId="1">#REF!</definedName>
    <definedName name="zip">#REF!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20" l="1"/>
  <c r="D11" i="20"/>
  <c r="T11" i="20"/>
  <c r="U11" i="20"/>
  <c r="V11" i="20"/>
  <c r="Z11" i="20"/>
  <c r="AD11" i="20"/>
  <c r="AH11" i="20"/>
  <c r="AL11" i="20"/>
  <c r="AP11" i="20"/>
  <c r="AT11" i="20"/>
  <c r="AX11" i="20"/>
  <c r="BF11" i="20"/>
  <c r="BJ11" i="20"/>
  <c r="V12" i="20"/>
  <c r="Z12" i="20"/>
  <c r="AD12" i="20"/>
  <c r="AH12" i="20"/>
  <c r="AL12" i="20"/>
  <c r="AP12" i="20"/>
  <c r="AT12" i="20"/>
  <c r="AX12" i="20"/>
  <c r="BF12" i="20"/>
  <c r="BJ12" i="20"/>
  <c r="V13" i="20"/>
  <c r="Z13" i="20"/>
  <c r="AD13" i="20"/>
  <c r="AH13" i="20"/>
  <c r="AL13" i="20"/>
  <c r="AP13" i="20"/>
  <c r="AT13" i="20"/>
  <c r="AX13" i="20"/>
  <c r="BF13" i="20"/>
  <c r="BJ13" i="20"/>
  <c r="V14" i="20"/>
  <c r="Z14" i="20"/>
  <c r="AD14" i="20"/>
  <c r="AH14" i="20"/>
  <c r="AL14" i="20"/>
  <c r="AP14" i="20"/>
  <c r="AT14" i="20"/>
  <c r="AX14" i="20"/>
  <c r="BF14" i="20"/>
  <c r="BJ14" i="20"/>
  <c r="C15" i="20"/>
  <c r="D15" i="20"/>
  <c r="E15" i="20"/>
  <c r="F15" i="20"/>
  <c r="G15" i="20"/>
  <c r="H15" i="20"/>
  <c r="I15" i="20"/>
  <c r="J15" i="20"/>
  <c r="K15" i="20"/>
  <c r="L15" i="20"/>
  <c r="M15" i="20"/>
  <c r="N15" i="20"/>
  <c r="O15" i="20"/>
  <c r="S15" i="20"/>
  <c r="T15" i="20"/>
  <c r="U15" i="20"/>
  <c r="V15" i="20"/>
  <c r="W15" i="20"/>
  <c r="X15" i="20"/>
  <c r="Y15" i="20"/>
  <c r="Z15" i="20"/>
  <c r="AA15" i="20"/>
  <c r="AB15" i="20"/>
  <c r="AC15" i="20"/>
  <c r="AD15" i="20"/>
  <c r="AE15" i="20"/>
  <c r="AF15" i="20"/>
  <c r="AG15" i="20"/>
  <c r="AH15" i="20"/>
  <c r="AI15" i="20"/>
  <c r="AJ15" i="20"/>
  <c r="AK15" i="20"/>
  <c r="AL15" i="20"/>
  <c r="AM15" i="20"/>
  <c r="AN15" i="20"/>
  <c r="AO15" i="20"/>
  <c r="AP15" i="20"/>
  <c r="AQ15" i="20"/>
  <c r="AR15" i="20"/>
  <c r="AS15" i="20"/>
  <c r="AT15" i="20"/>
  <c r="AU15" i="20"/>
  <c r="AV15" i="20"/>
  <c r="AW15" i="20"/>
  <c r="AX15" i="20"/>
  <c r="AY15" i="20"/>
  <c r="AZ15" i="20"/>
  <c r="BA15" i="20"/>
  <c r="BC15" i="20"/>
  <c r="BF15" i="20"/>
  <c r="BG15" i="20"/>
  <c r="BH15" i="20"/>
  <c r="BI15" i="20"/>
  <c r="BJ15" i="20"/>
  <c r="V16" i="20"/>
  <c r="Z16" i="20"/>
  <c r="AD16" i="20"/>
  <c r="AH16" i="20"/>
  <c r="AL16" i="20"/>
  <c r="AP16" i="20"/>
  <c r="AT16" i="20"/>
  <c r="AX16" i="20"/>
  <c r="BF16" i="20"/>
  <c r="BJ16" i="20"/>
  <c r="C17" i="20"/>
  <c r="D17" i="20"/>
  <c r="E17" i="20"/>
  <c r="F17" i="20"/>
  <c r="G17" i="20"/>
  <c r="H17" i="20"/>
  <c r="I17" i="20"/>
  <c r="J17" i="20"/>
  <c r="K17" i="20"/>
  <c r="L17" i="20"/>
  <c r="M17" i="20"/>
  <c r="N17" i="20"/>
  <c r="O17" i="20"/>
  <c r="S17" i="20"/>
  <c r="T17" i="20"/>
  <c r="U17" i="20"/>
  <c r="V17" i="20"/>
  <c r="W17" i="20"/>
  <c r="X17" i="20"/>
  <c r="Y17" i="20"/>
  <c r="Z17" i="20"/>
  <c r="AA17" i="20"/>
  <c r="AB17" i="20"/>
  <c r="AC17" i="20"/>
  <c r="AD17" i="20"/>
  <c r="AE17" i="20"/>
  <c r="AF17" i="20"/>
  <c r="AG17" i="20"/>
  <c r="AH17" i="20"/>
  <c r="AI17" i="20"/>
  <c r="AJ17" i="20"/>
  <c r="AK17" i="20"/>
  <c r="AL17" i="20"/>
  <c r="AM17" i="20"/>
  <c r="AN17" i="20"/>
  <c r="AO17" i="20"/>
  <c r="AP17" i="20"/>
  <c r="AQ17" i="20"/>
  <c r="AR17" i="20"/>
  <c r="AS17" i="20"/>
  <c r="AT17" i="20"/>
  <c r="AU17" i="20"/>
  <c r="AV17" i="20"/>
  <c r="AW17" i="20"/>
  <c r="AX17" i="20"/>
  <c r="AY17" i="20"/>
  <c r="AZ17" i="20"/>
  <c r="BA17" i="20"/>
  <c r="BC17" i="20"/>
  <c r="BF17" i="20"/>
  <c r="BG17" i="20"/>
  <c r="BH17" i="20"/>
  <c r="BI17" i="20"/>
  <c r="BJ17" i="20"/>
  <c r="V18" i="20"/>
  <c r="Z18" i="20"/>
  <c r="AD18" i="20"/>
  <c r="AH18" i="20"/>
  <c r="AL18" i="20"/>
  <c r="AP18" i="20"/>
  <c r="AT18" i="20"/>
  <c r="AX18" i="20"/>
  <c r="BF18" i="20"/>
  <c r="BJ18" i="20"/>
  <c r="AD19" i="20"/>
  <c r="AH19" i="20"/>
  <c r="AL19" i="20"/>
  <c r="AP19" i="20"/>
  <c r="AT19" i="20"/>
  <c r="AX19" i="20"/>
  <c r="BF19" i="20"/>
  <c r="BJ19" i="20"/>
  <c r="C20" i="20"/>
  <c r="D20" i="20"/>
  <c r="E20" i="20"/>
  <c r="F20" i="20"/>
  <c r="G20" i="20"/>
  <c r="H20" i="20"/>
  <c r="I20" i="20"/>
  <c r="J20" i="20"/>
  <c r="K20" i="20"/>
  <c r="L20" i="20"/>
  <c r="M20" i="20"/>
  <c r="N20" i="20"/>
  <c r="O20" i="20"/>
  <c r="S20" i="20"/>
  <c r="T20" i="20"/>
  <c r="U20" i="20"/>
  <c r="V20" i="20"/>
  <c r="W20" i="20"/>
  <c r="X20" i="20"/>
  <c r="Y20" i="20"/>
  <c r="Z20" i="20"/>
  <c r="AA20" i="20"/>
  <c r="AB20" i="20"/>
  <c r="AC20" i="20"/>
  <c r="AD20" i="20"/>
  <c r="AE20" i="20"/>
  <c r="AF20" i="20"/>
  <c r="AG20" i="20"/>
  <c r="AH20" i="20"/>
  <c r="AI20" i="20"/>
  <c r="AJ20" i="20"/>
  <c r="AK20" i="20"/>
  <c r="AL20" i="20"/>
  <c r="AM20" i="20"/>
  <c r="AN20" i="20"/>
  <c r="AO20" i="20"/>
  <c r="AP20" i="20"/>
  <c r="AQ20" i="20"/>
  <c r="AR20" i="20"/>
  <c r="AS20" i="20"/>
  <c r="AT20" i="20"/>
  <c r="AU20" i="20"/>
  <c r="AV20" i="20"/>
  <c r="AW20" i="20"/>
  <c r="AX20" i="20"/>
  <c r="AY20" i="20"/>
  <c r="AZ20" i="20"/>
  <c r="BA20" i="20"/>
  <c r="BC20" i="20"/>
  <c r="BF20" i="20"/>
  <c r="BG20" i="20"/>
  <c r="BH20" i="20"/>
  <c r="BI20" i="20"/>
  <c r="BJ20" i="20"/>
  <c r="C21" i="20"/>
  <c r="D24" i="20"/>
  <c r="E24" i="20"/>
  <c r="F24" i="20"/>
  <c r="G24" i="20"/>
  <c r="H24" i="20"/>
  <c r="I24" i="20"/>
  <c r="W24" i="20"/>
  <c r="X24" i="20"/>
  <c r="Y24" i="20"/>
  <c r="Z24" i="20"/>
  <c r="AA24" i="20"/>
  <c r="AB24" i="20"/>
  <c r="AC24" i="20"/>
  <c r="AD24" i="20"/>
  <c r="AE24" i="20"/>
  <c r="AF24" i="20"/>
  <c r="AG24" i="20"/>
  <c r="AH24" i="20"/>
  <c r="AI24" i="20"/>
  <c r="AJ24" i="20"/>
  <c r="AK24" i="20"/>
  <c r="AL24" i="20"/>
  <c r="BF24" i="20"/>
  <c r="D25" i="20"/>
  <c r="E25" i="20"/>
  <c r="F25" i="20"/>
  <c r="G25" i="20"/>
  <c r="H25" i="20"/>
  <c r="I25" i="20"/>
  <c r="J25" i="20"/>
  <c r="K25" i="20"/>
  <c r="L25" i="20"/>
  <c r="M25" i="20"/>
  <c r="N25" i="20"/>
  <c r="O25" i="20"/>
  <c r="W25" i="20"/>
  <c r="X25" i="20"/>
  <c r="Y25" i="20"/>
  <c r="Z25" i="20"/>
  <c r="AA25" i="20"/>
  <c r="AB25" i="20"/>
  <c r="AC25" i="20"/>
  <c r="AD25" i="20"/>
  <c r="AE25" i="20"/>
  <c r="AF25" i="20"/>
  <c r="AG25" i="20"/>
  <c r="AH25" i="20"/>
  <c r="AI25" i="20"/>
  <c r="AJ25" i="20"/>
  <c r="AK25" i="20"/>
  <c r="AL25" i="20"/>
  <c r="AM25" i="20"/>
  <c r="AN25" i="20"/>
  <c r="AO25" i="20"/>
  <c r="AP25" i="20"/>
  <c r="AQ25" i="20"/>
  <c r="AR25" i="20"/>
  <c r="AS25" i="20"/>
  <c r="AT25" i="20"/>
  <c r="AU25" i="20"/>
  <c r="AV25" i="20"/>
  <c r="AW25" i="20"/>
  <c r="AX25" i="20"/>
  <c r="AY25" i="20"/>
  <c r="AZ25" i="20"/>
  <c r="BA25" i="20"/>
  <c r="BC25" i="20"/>
  <c r="BF25" i="20"/>
  <c r="BG25" i="20"/>
  <c r="BH25" i="20"/>
  <c r="BI25" i="20"/>
  <c r="BJ25" i="20"/>
  <c r="D26" i="20"/>
  <c r="E26" i="20"/>
  <c r="F26" i="20"/>
  <c r="G26" i="20"/>
  <c r="H26" i="20"/>
  <c r="I26" i="20"/>
  <c r="J26" i="20"/>
  <c r="K26" i="20"/>
  <c r="L26" i="20"/>
  <c r="M26" i="20"/>
  <c r="N26" i="20"/>
  <c r="O26" i="20"/>
  <c r="W26" i="20"/>
  <c r="X26" i="20"/>
  <c r="Y26" i="20"/>
  <c r="Z26" i="20"/>
  <c r="AA26" i="20"/>
  <c r="AB26" i="20"/>
  <c r="AC26" i="20"/>
  <c r="AD26" i="20"/>
  <c r="AE26" i="20"/>
  <c r="AF26" i="20"/>
  <c r="AG26" i="20"/>
  <c r="AH26" i="20"/>
  <c r="AI26" i="20"/>
  <c r="AJ26" i="20"/>
  <c r="AK26" i="20"/>
  <c r="AL26" i="20"/>
  <c r="AM26" i="20"/>
  <c r="AN26" i="20"/>
  <c r="AO26" i="20"/>
  <c r="AP26" i="20"/>
  <c r="AQ26" i="20"/>
  <c r="AR26" i="20"/>
  <c r="AS26" i="20"/>
  <c r="AT26" i="20"/>
  <c r="AU26" i="20"/>
  <c r="AV26" i="20"/>
  <c r="AW26" i="20"/>
  <c r="AX26" i="20"/>
  <c r="AY26" i="20"/>
  <c r="AZ26" i="20"/>
  <c r="BA26" i="20"/>
  <c r="BC26" i="20"/>
  <c r="BF26" i="20"/>
  <c r="BG26" i="20"/>
  <c r="BH26" i="20"/>
  <c r="BI26" i="20"/>
  <c r="BJ26" i="20"/>
  <c r="D27" i="20"/>
  <c r="E27" i="20"/>
  <c r="F27" i="20"/>
  <c r="G27" i="20"/>
  <c r="H27" i="20"/>
  <c r="I27" i="20"/>
  <c r="J27" i="20"/>
  <c r="K27" i="20"/>
  <c r="L27" i="20"/>
  <c r="M27" i="20"/>
  <c r="W27" i="20"/>
  <c r="X27" i="20"/>
  <c r="Y27" i="20"/>
  <c r="Z27" i="20"/>
  <c r="AA27" i="20"/>
  <c r="AB27" i="20"/>
  <c r="AC27" i="20"/>
  <c r="AD27" i="20"/>
  <c r="AE27" i="20"/>
  <c r="AF27" i="20"/>
  <c r="AG27" i="20"/>
  <c r="AH27" i="20"/>
  <c r="AI27" i="20"/>
  <c r="AJ27" i="20"/>
  <c r="AK27" i="20"/>
  <c r="AL27" i="20"/>
  <c r="AM27" i="20"/>
  <c r="AN27" i="20"/>
  <c r="AO27" i="20"/>
  <c r="AP27" i="20"/>
  <c r="AQ27" i="20"/>
  <c r="AR27" i="20"/>
  <c r="AS27" i="20"/>
  <c r="AT27" i="20"/>
  <c r="AU27" i="20"/>
  <c r="AV27" i="20"/>
  <c r="AW27" i="20"/>
  <c r="AX27" i="20"/>
  <c r="AY27" i="20"/>
  <c r="AZ27" i="20"/>
  <c r="BA27" i="20"/>
  <c r="BC27" i="20"/>
  <c r="BF27" i="20"/>
  <c r="BG27" i="20"/>
  <c r="BH27" i="20"/>
  <c r="BI27" i="20"/>
  <c r="BJ27" i="20"/>
  <c r="D28" i="20"/>
  <c r="E28" i="20"/>
  <c r="F28" i="20"/>
  <c r="G28" i="20"/>
  <c r="H28" i="20"/>
  <c r="I28" i="20"/>
  <c r="J28" i="20"/>
  <c r="K28" i="20"/>
  <c r="L28" i="20"/>
  <c r="M28" i="20"/>
  <c r="N28" i="20"/>
  <c r="O28" i="20"/>
  <c r="W28" i="20"/>
  <c r="X28" i="20"/>
  <c r="Y28" i="20"/>
  <c r="Z28" i="20"/>
  <c r="AA28" i="20"/>
  <c r="AB28" i="20"/>
  <c r="AC28" i="20"/>
  <c r="AD28" i="20"/>
  <c r="AE28" i="20"/>
  <c r="AF28" i="20"/>
  <c r="AG28" i="20"/>
  <c r="AH28" i="20"/>
  <c r="AI28" i="20"/>
  <c r="AJ28" i="20"/>
  <c r="AK28" i="20"/>
  <c r="AL28" i="20"/>
  <c r="AM28" i="20"/>
  <c r="AN28" i="20"/>
  <c r="AO28" i="20"/>
  <c r="AP28" i="20"/>
  <c r="AQ28" i="20"/>
  <c r="AR28" i="20"/>
  <c r="AS28" i="20"/>
  <c r="AT28" i="20"/>
  <c r="AU28" i="20"/>
  <c r="AV28" i="20"/>
  <c r="AW28" i="20"/>
  <c r="AX28" i="20"/>
  <c r="AY28" i="20"/>
  <c r="AZ28" i="20"/>
  <c r="BA28" i="20"/>
  <c r="BC28" i="20"/>
  <c r="BF28" i="20"/>
  <c r="BG28" i="20"/>
  <c r="BH28" i="20"/>
  <c r="BI28" i="20"/>
  <c r="BJ28" i="20"/>
  <c r="D29" i="20"/>
  <c r="E29" i="20"/>
  <c r="F29" i="20"/>
  <c r="G29" i="20"/>
  <c r="H29" i="20"/>
  <c r="I29" i="20"/>
  <c r="J29" i="20"/>
  <c r="K29" i="20"/>
  <c r="L29" i="20"/>
  <c r="M29" i="20"/>
  <c r="N29" i="20"/>
  <c r="O29" i="20"/>
  <c r="W29" i="20"/>
  <c r="X29" i="20"/>
  <c r="Y29" i="20"/>
  <c r="Z29" i="20"/>
  <c r="AA29" i="20"/>
  <c r="AB29" i="20"/>
  <c r="AC29" i="20"/>
  <c r="AD29" i="20"/>
  <c r="AE29" i="20"/>
  <c r="AF29" i="20"/>
  <c r="AG29" i="20"/>
  <c r="AH29" i="20"/>
  <c r="AI29" i="20"/>
  <c r="AJ29" i="20"/>
  <c r="AK29" i="20"/>
  <c r="AL29" i="20"/>
  <c r="AM29" i="20"/>
  <c r="AN29" i="20"/>
  <c r="AO29" i="20"/>
  <c r="AP29" i="20"/>
  <c r="AQ29" i="20"/>
  <c r="AR29" i="20"/>
  <c r="AS29" i="20"/>
  <c r="AT29" i="20"/>
  <c r="AU29" i="20"/>
  <c r="AV29" i="20"/>
  <c r="AW29" i="20"/>
  <c r="AX29" i="20"/>
  <c r="AY29" i="20"/>
  <c r="AZ29" i="20"/>
  <c r="BA29" i="20"/>
  <c r="BC29" i="20"/>
  <c r="BF29" i="20"/>
  <c r="BG29" i="20"/>
  <c r="BH29" i="20"/>
  <c r="BI29" i="20"/>
  <c r="BJ29" i="20"/>
  <c r="D30" i="20"/>
  <c r="E30" i="20"/>
  <c r="F30" i="20"/>
  <c r="G30" i="20"/>
  <c r="H30" i="20"/>
  <c r="I30" i="20"/>
  <c r="J30" i="20"/>
  <c r="K30" i="20"/>
  <c r="L30" i="20"/>
  <c r="M30" i="20"/>
  <c r="N30" i="20"/>
  <c r="O30" i="20"/>
  <c r="W30" i="20"/>
  <c r="X30" i="20"/>
  <c r="Y30" i="20"/>
  <c r="Z30" i="20"/>
  <c r="AA30" i="20"/>
  <c r="AB30" i="20"/>
  <c r="AC30" i="20"/>
  <c r="AD30" i="20"/>
  <c r="AE30" i="20"/>
  <c r="AF30" i="20"/>
  <c r="AG30" i="20"/>
  <c r="AH30" i="20"/>
  <c r="AI30" i="20"/>
  <c r="AJ30" i="20"/>
  <c r="AK30" i="20"/>
  <c r="AL30" i="20"/>
  <c r="AM30" i="20"/>
  <c r="AN30" i="20"/>
  <c r="AO30" i="20"/>
  <c r="AP30" i="20"/>
  <c r="AQ30" i="20"/>
  <c r="AR30" i="20"/>
  <c r="AS30" i="20"/>
  <c r="AT30" i="20"/>
  <c r="AU30" i="20"/>
  <c r="AV30" i="20"/>
  <c r="AW30" i="20"/>
  <c r="AX30" i="20"/>
  <c r="AY30" i="20"/>
  <c r="AZ30" i="20"/>
  <c r="BA30" i="20"/>
  <c r="BC30" i="20"/>
  <c r="BF30" i="20"/>
  <c r="BG30" i="20"/>
  <c r="BH30" i="20"/>
  <c r="BI30" i="20"/>
  <c r="BJ30" i="20"/>
  <c r="D31" i="20"/>
  <c r="E31" i="20"/>
  <c r="F31" i="20"/>
  <c r="G31" i="20"/>
  <c r="H31" i="20"/>
  <c r="I31" i="20"/>
  <c r="J31" i="20"/>
  <c r="K31" i="20"/>
  <c r="O31" i="20"/>
  <c r="W31" i="20"/>
  <c r="X31" i="20"/>
  <c r="Y31" i="20"/>
  <c r="Z31" i="20"/>
  <c r="AA31" i="20"/>
  <c r="AB31" i="20"/>
  <c r="AC31" i="20"/>
  <c r="AD31" i="20"/>
  <c r="AE31" i="20"/>
  <c r="AF31" i="20"/>
  <c r="AG31" i="20"/>
  <c r="AH31" i="20"/>
  <c r="AI31" i="20"/>
  <c r="AJ31" i="20"/>
  <c r="AK31" i="20"/>
  <c r="AL31" i="20"/>
  <c r="AM31" i="20"/>
  <c r="AN31" i="20"/>
  <c r="AO31" i="20"/>
  <c r="AP31" i="20"/>
  <c r="AQ31" i="20"/>
  <c r="AR31" i="20"/>
  <c r="AS31" i="20"/>
  <c r="AT31" i="20"/>
  <c r="AU31" i="20"/>
  <c r="AV31" i="20"/>
  <c r="AW31" i="20"/>
  <c r="AX31" i="20"/>
  <c r="AY31" i="20"/>
  <c r="AZ31" i="20"/>
  <c r="BA31" i="20"/>
  <c r="BC31" i="20"/>
  <c r="BF31" i="20"/>
  <c r="BG31" i="20"/>
  <c r="BH31" i="20"/>
  <c r="BI31" i="20"/>
  <c r="BJ31" i="20"/>
  <c r="D35" i="20"/>
  <c r="T35" i="20"/>
  <c r="U35" i="20"/>
  <c r="C37" i="20"/>
  <c r="D37" i="20"/>
  <c r="E37" i="20"/>
  <c r="F37" i="20"/>
  <c r="G37" i="20"/>
  <c r="H37" i="20"/>
  <c r="I37" i="20"/>
  <c r="S37" i="20"/>
  <c r="T37" i="20"/>
  <c r="U37" i="20"/>
  <c r="V37" i="20"/>
  <c r="W37" i="20"/>
  <c r="X37" i="20"/>
  <c r="Y37" i="20"/>
  <c r="Z37" i="20"/>
  <c r="AA37" i="20"/>
  <c r="AB37" i="20"/>
  <c r="AC37" i="20"/>
  <c r="AD37" i="20"/>
  <c r="AE37" i="20"/>
  <c r="AF37" i="20"/>
  <c r="AG37" i="20"/>
  <c r="AH37" i="20"/>
  <c r="AI37" i="20"/>
  <c r="AJ37" i="20"/>
  <c r="AK37" i="20"/>
  <c r="AL37" i="20"/>
  <c r="BF37" i="20"/>
  <c r="BG37" i="20"/>
  <c r="BH37" i="20"/>
  <c r="BI37" i="20"/>
  <c r="BJ37" i="20"/>
  <c r="C38" i="20"/>
  <c r="D38" i="20"/>
  <c r="E38" i="20"/>
  <c r="F38" i="20"/>
  <c r="G38" i="20"/>
  <c r="H38" i="20"/>
  <c r="I38" i="20"/>
  <c r="J38" i="20"/>
  <c r="K38" i="20"/>
  <c r="L38" i="20"/>
  <c r="M38" i="20"/>
  <c r="N38" i="20"/>
  <c r="O38" i="20"/>
  <c r="S38" i="20"/>
  <c r="T38" i="20"/>
  <c r="U38" i="20"/>
  <c r="V38" i="20"/>
  <c r="W38" i="20"/>
  <c r="X38" i="20"/>
  <c r="Y38" i="20"/>
  <c r="Z38" i="20"/>
  <c r="AA38" i="20"/>
  <c r="AB38" i="20"/>
  <c r="AC38" i="20"/>
  <c r="AD38" i="20"/>
  <c r="AE38" i="20"/>
  <c r="AF38" i="20"/>
  <c r="AG38" i="20"/>
  <c r="AH38" i="20"/>
  <c r="AI38" i="20"/>
  <c r="AJ38" i="20"/>
  <c r="AK38" i="20"/>
  <c r="AL38" i="20"/>
  <c r="AM38" i="20"/>
  <c r="AN38" i="20"/>
  <c r="AO38" i="20"/>
  <c r="AP38" i="20"/>
  <c r="AQ38" i="20"/>
  <c r="AR38" i="20"/>
  <c r="AS38" i="20"/>
  <c r="AT38" i="20"/>
  <c r="AU38" i="20"/>
  <c r="AV38" i="20"/>
  <c r="AW38" i="20"/>
  <c r="AX38" i="20"/>
  <c r="AY38" i="20"/>
  <c r="AZ38" i="20"/>
  <c r="BA38" i="20"/>
  <c r="BC38" i="20"/>
  <c r="BF38" i="20"/>
  <c r="BG38" i="20"/>
  <c r="BH38" i="20"/>
  <c r="BI38" i="20"/>
  <c r="BJ38" i="20"/>
  <c r="C39" i="20"/>
  <c r="D39" i="20"/>
  <c r="E39" i="20"/>
  <c r="F39" i="20"/>
  <c r="G39" i="20"/>
  <c r="H39" i="20"/>
  <c r="I39" i="20"/>
  <c r="J39" i="20"/>
  <c r="K39" i="20"/>
  <c r="L39" i="20"/>
  <c r="M39" i="20"/>
  <c r="N39" i="20"/>
  <c r="O39" i="20"/>
  <c r="S39" i="20"/>
  <c r="T39" i="20"/>
  <c r="U39" i="20"/>
  <c r="V39" i="20"/>
  <c r="W39" i="20"/>
  <c r="X39" i="20"/>
  <c r="Y39" i="20"/>
  <c r="Z39" i="20"/>
  <c r="AA39" i="20"/>
  <c r="AB39" i="20"/>
  <c r="AC39" i="20"/>
  <c r="AD39" i="20"/>
  <c r="AE39" i="20"/>
  <c r="AF39" i="20"/>
  <c r="AG39" i="20"/>
  <c r="AH39" i="20"/>
  <c r="AI39" i="20"/>
  <c r="AJ39" i="20"/>
  <c r="AK39" i="20"/>
  <c r="AL39" i="20"/>
  <c r="AM39" i="20"/>
  <c r="AN39" i="20"/>
  <c r="AO39" i="20"/>
  <c r="AP39" i="20"/>
  <c r="AQ39" i="20"/>
  <c r="AR39" i="20"/>
  <c r="AS39" i="20"/>
  <c r="AT39" i="20"/>
  <c r="AU39" i="20"/>
  <c r="AV39" i="20"/>
  <c r="AW39" i="20"/>
  <c r="AX39" i="20"/>
  <c r="AY39" i="20"/>
  <c r="AZ39" i="20"/>
  <c r="BA39" i="20"/>
  <c r="BC39" i="20"/>
  <c r="BF39" i="20"/>
  <c r="BG39" i="20"/>
  <c r="BH39" i="20"/>
  <c r="BI39" i="20"/>
  <c r="BJ39" i="20"/>
  <c r="C40" i="20"/>
  <c r="D40" i="20"/>
  <c r="E40" i="20"/>
  <c r="F40" i="20"/>
  <c r="G40" i="20"/>
  <c r="H40" i="20"/>
  <c r="I40" i="20"/>
  <c r="J40" i="20"/>
  <c r="K40" i="20"/>
  <c r="L40" i="20"/>
  <c r="M40" i="20"/>
  <c r="N40" i="20"/>
  <c r="O40" i="20"/>
  <c r="S40" i="20"/>
  <c r="T40" i="20"/>
  <c r="U40" i="20"/>
  <c r="V40" i="20"/>
  <c r="W40" i="20"/>
  <c r="X40" i="20"/>
  <c r="Y40" i="20"/>
  <c r="Z40" i="20"/>
  <c r="AA40" i="20"/>
  <c r="AB40" i="20"/>
  <c r="AC40" i="20"/>
  <c r="AD40" i="20"/>
  <c r="AE40" i="20"/>
  <c r="AF40" i="20"/>
  <c r="AG40" i="20"/>
  <c r="AH40" i="20"/>
  <c r="AI40" i="20"/>
  <c r="AJ40" i="20"/>
  <c r="AK40" i="20"/>
  <c r="AL40" i="20"/>
  <c r="AM40" i="20"/>
  <c r="AN40" i="20"/>
  <c r="AO40" i="20"/>
  <c r="AP40" i="20"/>
  <c r="AQ40" i="20"/>
  <c r="AR40" i="20"/>
  <c r="AS40" i="20"/>
  <c r="AT40" i="20"/>
  <c r="AU40" i="20"/>
  <c r="AV40" i="20"/>
  <c r="AW40" i="20"/>
  <c r="AX40" i="20"/>
  <c r="AY40" i="20"/>
  <c r="AZ40" i="20"/>
  <c r="BA40" i="20"/>
  <c r="BC40" i="20"/>
  <c r="BF40" i="20"/>
  <c r="BG40" i="20"/>
  <c r="BH40" i="20"/>
  <c r="BI40" i="20"/>
  <c r="BJ40" i="20"/>
  <c r="C41" i="20"/>
  <c r="D41" i="20"/>
  <c r="E41" i="20"/>
  <c r="F41" i="20"/>
  <c r="G41" i="20"/>
  <c r="H41" i="20"/>
  <c r="I41" i="20"/>
  <c r="J41" i="20"/>
  <c r="K41" i="20"/>
  <c r="L41" i="20"/>
  <c r="M41" i="20"/>
  <c r="N41" i="20"/>
  <c r="O41" i="20"/>
  <c r="S41" i="20"/>
  <c r="T41" i="20"/>
  <c r="U41" i="20"/>
  <c r="V41" i="20"/>
  <c r="W41" i="20"/>
  <c r="X41" i="20"/>
  <c r="Y41" i="20"/>
  <c r="Z41" i="20"/>
  <c r="AA41" i="20"/>
  <c r="AB41" i="20"/>
  <c r="AC41" i="20"/>
  <c r="AD41" i="20"/>
  <c r="AE41" i="20"/>
  <c r="AF41" i="20"/>
  <c r="AG41" i="20"/>
  <c r="AH41" i="20"/>
  <c r="AI41" i="20"/>
  <c r="AJ41" i="20"/>
  <c r="AK41" i="20"/>
  <c r="AL41" i="20"/>
  <c r="AM41" i="20"/>
  <c r="AN41" i="20"/>
  <c r="AO41" i="20"/>
  <c r="AP41" i="20"/>
  <c r="AQ41" i="20"/>
  <c r="AR41" i="20"/>
  <c r="AS41" i="20"/>
  <c r="AT41" i="20"/>
  <c r="AU41" i="20"/>
  <c r="AV41" i="20"/>
  <c r="AW41" i="20"/>
  <c r="AX41" i="20"/>
  <c r="AY41" i="20"/>
  <c r="AZ41" i="20"/>
  <c r="BA41" i="20"/>
  <c r="BC41" i="20"/>
  <c r="BF41" i="20"/>
  <c r="BG41" i="20"/>
  <c r="BH41" i="20"/>
  <c r="BI41" i="20"/>
  <c r="BJ41" i="20"/>
  <c r="C42" i="20"/>
  <c r="D42" i="20"/>
  <c r="E42" i="20"/>
  <c r="F42" i="20"/>
  <c r="G42" i="20"/>
  <c r="H42" i="20"/>
  <c r="I42" i="20"/>
  <c r="J42" i="20"/>
  <c r="K42" i="20"/>
  <c r="L42" i="20"/>
  <c r="M42" i="20"/>
  <c r="N42" i="20"/>
  <c r="O42" i="20"/>
  <c r="S42" i="20"/>
  <c r="T42" i="20"/>
  <c r="U42" i="20"/>
  <c r="V42" i="20"/>
  <c r="W42" i="20"/>
  <c r="X42" i="20"/>
  <c r="Y42" i="20"/>
  <c r="Z42" i="20"/>
  <c r="AA42" i="20"/>
  <c r="AB42" i="20"/>
  <c r="AC42" i="20"/>
  <c r="AD42" i="20"/>
  <c r="AE42" i="20"/>
  <c r="AF42" i="20"/>
  <c r="AG42" i="20"/>
  <c r="AH42" i="20"/>
  <c r="AI42" i="20"/>
  <c r="AJ42" i="20"/>
  <c r="AK42" i="20"/>
  <c r="AL42" i="20"/>
  <c r="AM42" i="20"/>
  <c r="AN42" i="20"/>
  <c r="AO42" i="20"/>
  <c r="AP42" i="20"/>
  <c r="AQ42" i="20"/>
  <c r="AR42" i="20"/>
  <c r="AS42" i="20"/>
  <c r="AT42" i="20"/>
  <c r="AU42" i="20"/>
  <c r="AV42" i="20"/>
  <c r="AW42" i="20"/>
  <c r="AX42" i="20"/>
  <c r="AY42" i="20"/>
  <c r="AZ42" i="20"/>
  <c r="BA42" i="20"/>
  <c r="BC42" i="20"/>
  <c r="BF42" i="20"/>
  <c r="BG42" i="20"/>
  <c r="BH42" i="20"/>
  <c r="BI42" i="20"/>
  <c r="BJ42" i="20"/>
  <c r="C43" i="20"/>
  <c r="D43" i="20"/>
  <c r="E43" i="20"/>
  <c r="F43" i="20"/>
  <c r="G43" i="20"/>
  <c r="H43" i="20"/>
  <c r="I43" i="20"/>
  <c r="J43" i="20"/>
  <c r="K43" i="20"/>
  <c r="L43" i="20"/>
  <c r="M43" i="20"/>
  <c r="N43" i="20"/>
  <c r="O43" i="20"/>
  <c r="S43" i="20"/>
  <c r="T43" i="20"/>
  <c r="U43" i="20"/>
  <c r="V43" i="20"/>
  <c r="W43" i="20"/>
  <c r="X43" i="20"/>
  <c r="Y43" i="20"/>
  <c r="Z43" i="20"/>
  <c r="AA43" i="20"/>
  <c r="AB43" i="20"/>
  <c r="AC43" i="20"/>
  <c r="AD43" i="20"/>
  <c r="AE43" i="20"/>
  <c r="AF43" i="20"/>
  <c r="AG43" i="20"/>
  <c r="AH43" i="20"/>
  <c r="AI43" i="20"/>
  <c r="AJ43" i="20"/>
  <c r="AK43" i="20"/>
  <c r="AL43" i="20"/>
  <c r="AM43" i="20"/>
  <c r="AN43" i="20"/>
  <c r="AO43" i="20"/>
  <c r="AP43" i="20"/>
  <c r="AQ43" i="20"/>
  <c r="AR43" i="20"/>
  <c r="AS43" i="20"/>
  <c r="AT43" i="20"/>
  <c r="AU43" i="20"/>
  <c r="AV43" i="20"/>
  <c r="AW43" i="20"/>
  <c r="AX43" i="20"/>
  <c r="AY43" i="20"/>
  <c r="AZ43" i="20"/>
  <c r="BA43" i="20"/>
  <c r="BC43" i="20"/>
  <c r="BF43" i="20"/>
  <c r="BG43" i="20"/>
  <c r="BH43" i="20"/>
  <c r="BI43" i="20"/>
  <c r="BJ43" i="20"/>
  <c r="D49" i="20"/>
  <c r="T49" i="20"/>
  <c r="U49" i="20"/>
  <c r="V49" i="20"/>
  <c r="Z49" i="20"/>
  <c r="AD49" i="20"/>
  <c r="AH49" i="20"/>
  <c r="AL49" i="20"/>
  <c r="AP49" i="20"/>
  <c r="AT49" i="20"/>
  <c r="BF49" i="20"/>
  <c r="BJ49" i="20"/>
  <c r="V50" i="20"/>
  <c r="Z50" i="20"/>
  <c r="AD50" i="20"/>
  <c r="AH50" i="20"/>
  <c r="AL50" i="20"/>
  <c r="AP50" i="20"/>
  <c r="AT50" i="20"/>
  <c r="BF50" i="20"/>
  <c r="BJ50" i="20"/>
  <c r="V51" i="20"/>
  <c r="Z51" i="20"/>
  <c r="AD51" i="20"/>
  <c r="AH51" i="20"/>
  <c r="AL51" i="20"/>
  <c r="AP51" i="20"/>
  <c r="AT51" i="20"/>
  <c r="BF51" i="20"/>
  <c r="BJ51" i="20"/>
  <c r="V52" i="20"/>
  <c r="Z52" i="20"/>
  <c r="AD52" i="20"/>
  <c r="AH52" i="20"/>
  <c r="AL52" i="20"/>
  <c r="AP52" i="20"/>
  <c r="AT52" i="20"/>
  <c r="BF52" i="20"/>
  <c r="BJ52" i="20"/>
  <c r="C53" i="20"/>
  <c r="D53" i="20"/>
  <c r="E53" i="20"/>
  <c r="F53" i="20"/>
  <c r="G53" i="20"/>
  <c r="H53" i="20"/>
  <c r="I53" i="20"/>
  <c r="J53" i="20"/>
  <c r="K53" i="20"/>
  <c r="L53" i="20"/>
  <c r="M53" i="20"/>
  <c r="N53" i="20"/>
  <c r="O53" i="20"/>
  <c r="S53" i="20"/>
  <c r="T53" i="20"/>
  <c r="U53" i="20"/>
  <c r="V53" i="20"/>
  <c r="W53" i="20"/>
  <c r="X53" i="20"/>
  <c r="Y53" i="20"/>
  <c r="Z53" i="20"/>
  <c r="AA53" i="20"/>
  <c r="AB53" i="20"/>
  <c r="AC53" i="20"/>
  <c r="AD53" i="20"/>
  <c r="AE53" i="20"/>
  <c r="AF53" i="20"/>
  <c r="AG53" i="20"/>
  <c r="AH53" i="20"/>
  <c r="AI53" i="20"/>
  <c r="AJ53" i="20"/>
  <c r="AK53" i="20"/>
  <c r="AL53" i="20"/>
  <c r="AM53" i="20"/>
  <c r="AN53" i="20"/>
  <c r="AO53" i="20"/>
  <c r="AP53" i="20"/>
  <c r="AQ53" i="20"/>
  <c r="AR53" i="20"/>
  <c r="AS53" i="20"/>
  <c r="AT53" i="20"/>
  <c r="AU53" i="20"/>
  <c r="AX53" i="20"/>
  <c r="BF53" i="20"/>
  <c r="BG53" i="20"/>
  <c r="BH53" i="20"/>
  <c r="BI53" i="20"/>
  <c r="BJ53" i="20"/>
  <c r="V54" i="20"/>
  <c r="Z54" i="20"/>
  <c r="AD54" i="20"/>
  <c r="AH54" i="20"/>
  <c r="AL54" i="20"/>
  <c r="AP54" i="20"/>
  <c r="AT54" i="20"/>
  <c r="AX54" i="20"/>
  <c r="BF54" i="20"/>
  <c r="BJ54" i="20"/>
  <c r="C55" i="20"/>
  <c r="D55" i="20"/>
  <c r="E55" i="20"/>
  <c r="F55" i="20"/>
  <c r="G55" i="20"/>
  <c r="H55" i="20"/>
  <c r="I55" i="20"/>
  <c r="J55" i="20"/>
  <c r="K55" i="20"/>
  <c r="L55" i="20"/>
  <c r="M55" i="20"/>
  <c r="N55" i="20"/>
  <c r="O55" i="20"/>
  <c r="S55" i="20"/>
  <c r="T55" i="20"/>
  <c r="U55" i="20"/>
  <c r="V55" i="20"/>
  <c r="W55" i="20"/>
  <c r="X55" i="20"/>
  <c r="Y55" i="20"/>
  <c r="Z55" i="20"/>
  <c r="AA55" i="20"/>
  <c r="AB55" i="20"/>
  <c r="AC55" i="20"/>
  <c r="AD55" i="20"/>
  <c r="AE55" i="20"/>
  <c r="AF55" i="20"/>
  <c r="AG55" i="20"/>
  <c r="AH55" i="20"/>
  <c r="AI55" i="20"/>
  <c r="AJ55" i="20"/>
  <c r="AK55" i="20"/>
  <c r="AL55" i="20"/>
  <c r="AM55" i="20"/>
  <c r="AN55" i="20"/>
  <c r="AO55" i="20"/>
  <c r="AP55" i="20"/>
  <c r="AQ55" i="20"/>
  <c r="AR55" i="20"/>
  <c r="AS55" i="20"/>
  <c r="AT55" i="20"/>
  <c r="AU55" i="20"/>
  <c r="AV55" i="20"/>
  <c r="AW55" i="20"/>
  <c r="AX55" i="20"/>
  <c r="AY55" i="20"/>
  <c r="AZ55" i="20"/>
  <c r="BA55" i="20"/>
  <c r="BC55" i="20"/>
  <c r="BF55" i="20"/>
  <c r="BG55" i="20"/>
  <c r="BH55" i="20"/>
  <c r="BI55" i="20"/>
  <c r="BJ55" i="20"/>
  <c r="V56" i="20"/>
  <c r="Z56" i="20"/>
  <c r="AD56" i="20"/>
  <c r="AH56" i="20"/>
  <c r="AL56" i="20"/>
  <c r="AP56" i="20"/>
  <c r="AT56" i="20"/>
  <c r="AX56" i="20"/>
  <c r="BF56" i="20"/>
  <c r="BJ56" i="20"/>
  <c r="V57" i="20"/>
  <c r="Z57" i="20"/>
  <c r="AD57" i="20"/>
  <c r="AH57" i="20"/>
  <c r="AL57" i="20"/>
  <c r="AP57" i="20"/>
  <c r="AT57" i="20"/>
  <c r="AX57" i="20"/>
  <c r="BF57" i="20"/>
  <c r="BJ57" i="20"/>
  <c r="V58" i="20"/>
  <c r="Z58" i="20"/>
  <c r="AD58" i="20"/>
  <c r="AH58" i="20"/>
  <c r="AL58" i="20"/>
  <c r="AP58" i="20"/>
  <c r="AT58" i="20"/>
  <c r="AX58" i="20"/>
  <c r="BF58" i="20"/>
  <c r="BJ58" i="20"/>
  <c r="AD59" i="20"/>
  <c r="AH59" i="20"/>
  <c r="AL59" i="20"/>
  <c r="AP59" i="20"/>
  <c r="AT59" i="20"/>
  <c r="AX59" i="20"/>
  <c r="BF59" i="20"/>
  <c r="BJ59" i="20"/>
  <c r="AD60" i="20"/>
  <c r="AH60" i="20"/>
  <c r="AL60" i="20"/>
  <c r="AP60" i="20"/>
  <c r="AT60" i="20"/>
  <c r="AX60" i="20"/>
  <c r="BF60" i="20"/>
  <c r="BJ60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S61" i="20"/>
  <c r="T61" i="20"/>
  <c r="U61" i="20"/>
  <c r="V61" i="20"/>
  <c r="W61" i="20"/>
  <c r="X61" i="20"/>
  <c r="Y61" i="20"/>
  <c r="Z61" i="20"/>
  <c r="AA61" i="20"/>
  <c r="AB61" i="20"/>
  <c r="AC61" i="20"/>
  <c r="AD61" i="20"/>
  <c r="AE61" i="20"/>
  <c r="AF61" i="20"/>
  <c r="AG61" i="20"/>
  <c r="AH61" i="20"/>
  <c r="AI61" i="20"/>
  <c r="AJ61" i="20"/>
  <c r="AK61" i="20"/>
  <c r="AL61" i="20"/>
  <c r="AM61" i="20"/>
  <c r="AN61" i="20"/>
  <c r="AO61" i="20"/>
  <c r="AP61" i="20"/>
  <c r="AQ61" i="20"/>
  <c r="AR61" i="20"/>
  <c r="AS61" i="20"/>
  <c r="AT61" i="20"/>
  <c r="AU61" i="20"/>
  <c r="AV61" i="20"/>
  <c r="AW61" i="20"/>
  <c r="AX61" i="20"/>
  <c r="AY61" i="20"/>
  <c r="AZ61" i="20"/>
  <c r="BA61" i="20"/>
  <c r="BC61" i="20"/>
  <c r="BF61" i="20"/>
  <c r="BG61" i="20"/>
  <c r="BH61" i="20"/>
  <c r="BI61" i="20"/>
  <c r="BJ61" i="20"/>
  <c r="BJ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S63" i="20"/>
  <c r="T63" i="20"/>
  <c r="U63" i="20"/>
  <c r="V63" i="20"/>
  <c r="W63" i="20"/>
  <c r="X63" i="20"/>
  <c r="Y63" i="20"/>
  <c r="Z63" i="20"/>
  <c r="AA63" i="20"/>
  <c r="AB63" i="20"/>
  <c r="AC63" i="20"/>
  <c r="AD63" i="20"/>
  <c r="AE63" i="20"/>
  <c r="AF63" i="20"/>
  <c r="AG63" i="20"/>
  <c r="AH63" i="20"/>
  <c r="AI63" i="20"/>
  <c r="AJ63" i="20"/>
  <c r="AK63" i="20"/>
  <c r="AL63" i="20"/>
  <c r="AM63" i="20"/>
  <c r="AN63" i="20"/>
  <c r="AO63" i="20"/>
  <c r="AP63" i="20"/>
  <c r="AQ63" i="20"/>
  <c r="AR63" i="20"/>
  <c r="AS63" i="20"/>
  <c r="AT63" i="20"/>
  <c r="AU63" i="20"/>
  <c r="AV63" i="20"/>
  <c r="AW63" i="20"/>
  <c r="AX63" i="20"/>
  <c r="AY63" i="20"/>
  <c r="AZ63" i="20"/>
  <c r="BA63" i="20"/>
  <c r="BC63" i="20"/>
  <c r="BF63" i="20"/>
  <c r="BG63" i="20"/>
  <c r="BH63" i="20"/>
  <c r="BI63" i="20"/>
  <c r="BJ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S64" i="20"/>
  <c r="T64" i="20"/>
  <c r="U64" i="20"/>
  <c r="V64" i="20"/>
  <c r="W64" i="20"/>
  <c r="X64" i="20"/>
  <c r="Y64" i="20"/>
  <c r="Z64" i="20"/>
  <c r="AA64" i="20"/>
  <c r="AB64" i="20"/>
  <c r="AC64" i="20"/>
  <c r="AD64" i="20"/>
  <c r="AE64" i="20"/>
  <c r="AF64" i="20"/>
  <c r="AG64" i="20"/>
  <c r="AH64" i="20"/>
  <c r="AI64" i="20"/>
  <c r="AJ64" i="20"/>
  <c r="AK64" i="20"/>
  <c r="AL64" i="20"/>
  <c r="AM64" i="20"/>
  <c r="AN64" i="20"/>
  <c r="AO64" i="20"/>
  <c r="AP64" i="20"/>
  <c r="AQ64" i="20"/>
  <c r="AR64" i="20"/>
  <c r="AS64" i="20"/>
  <c r="AT64" i="20"/>
  <c r="AU64" i="20"/>
  <c r="AV64" i="20"/>
  <c r="AW64" i="20"/>
  <c r="AX64" i="20"/>
  <c r="AY64" i="20"/>
  <c r="AZ64" i="20"/>
  <c r="BA64" i="20"/>
  <c r="BC64" i="20"/>
  <c r="BF64" i="20"/>
  <c r="BG64" i="20"/>
  <c r="BH64" i="20"/>
  <c r="BI64" i="20"/>
  <c r="BJ64" i="20"/>
  <c r="B65" i="20"/>
  <c r="F65" i="20"/>
  <c r="G65" i="20"/>
  <c r="H65" i="20"/>
  <c r="I65" i="20"/>
  <c r="AD65" i="20"/>
  <c r="AE65" i="20"/>
  <c r="AF65" i="20"/>
  <c r="AG65" i="20"/>
  <c r="AH65" i="20"/>
  <c r="AI65" i="20"/>
  <c r="AJ65" i="20"/>
  <c r="AK65" i="20"/>
  <c r="AL65" i="20"/>
  <c r="AM65" i="20"/>
  <c r="AN65" i="20"/>
  <c r="AO65" i="20"/>
  <c r="AP65" i="20"/>
  <c r="AQ65" i="20"/>
  <c r="AR65" i="20"/>
  <c r="AS65" i="20"/>
  <c r="AT65" i="20"/>
  <c r="AU65" i="20"/>
  <c r="AV65" i="20"/>
  <c r="AW65" i="20"/>
  <c r="AX65" i="20"/>
  <c r="AY65" i="20"/>
  <c r="AZ65" i="20"/>
  <c r="BA65" i="20"/>
  <c r="BC65" i="20"/>
  <c r="BF65" i="20"/>
  <c r="BG65" i="20"/>
  <c r="BH65" i="20"/>
  <c r="BI65" i="20"/>
  <c r="BJ65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S66" i="20"/>
  <c r="T66" i="20"/>
  <c r="U66" i="20"/>
  <c r="V66" i="20"/>
  <c r="W66" i="20"/>
  <c r="X66" i="20"/>
  <c r="Y66" i="20"/>
  <c r="Z66" i="20"/>
  <c r="AA66" i="20"/>
  <c r="AB66" i="20"/>
  <c r="AC66" i="20"/>
  <c r="AD66" i="20"/>
  <c r="AE66" i="20"/>
  <c r="AF66" i="20"/>
  <c r="AG66" i="20"/>
  <c r="AH66" i="20"/>
  <c r="AI66" i="20"/>
  <c r="AJ66" i="20"/>
  <c r="AK66" i="20"/>
  <c r="AL66" i="20"/>
  <c r="AM66" i="20"/>
  <c r="AN66" i="20"/>
  <c r="AO66" i="20"/>
  <c r="AP66" i="20"/>
  <c r="AQ66" i="20"/>
  <c r="AR66" i="20"/>
  <c r="AS66" i="20"/>
  <c r="AT66" i="20"/>
  <c r="AU66" i="20"/>
  <c r="AV66" i="20"/>
  <c r="AW66" i="20"/>
  <c r="AX66" i="20"/>
  <c r="AY66" i="20"/>
  <c r="AZ66" i="20"/>
  <c r="BA66" i="20"/>
  <c r="BC66" i="20"/>
  <c r="BF66" i="20"/>
  <c r="BG66" i="20"/>
  <c r="BH66" i="20"/>
  <c r="BI66" i="20"/>
  <c r="BJ66" i="20"/>
  <c r="D70" i="20"/>
  <c r="E70" i="20"/>
  <c r="F70" i="20"/>
  <c r="G70" i="20"/>
  <c r="H70" i="20"/>
  <c r="I70" i="20"/>
  <c r="W70" i="20"/>
  <c r="X70" i="20"/>
  <c r="Y70" i="20"/>
  <c r="Z70" i="20"/>
  <c r="AA70" i="20"/>
  <c r="AB70" i="20"/>
  <c r="AC70" i="20"/>
  <c r="AD70" i="20"/>
  <c r="AE70" i="20"/>
  <c r="AF70" i="20"/>
  <c r="AG70" i="20"/>
  <c r="AH70" i="20"/>
  <c r="AI70" i="20"/>
  <c r="AJ70" i="20"/>
  <c r="AK70" i="20"/>
  <c r="AL70" i="20"/>
  <c r="BF70" i="20"/>
  <c r="D71" i="20"/>
  <c r="E71" i="20"/>
  <c r="F71" i="20"/>
  <c r="G71" i="20"/>
  <c r="H71" i="20"/>
  <c r="I71" i="20"/>
  <c r="J71" i="20"/>
  <c r="K71" i="20"/>
  <c r="L71" i="20"/>
  <c r="M71" i="20"/>
  <c r="N71" i="20"/>
  <c r="O71" i="20"/>
  <c r="W71" i="20"/>
  <c r="X71" i="20"/>
  <c r="Y71" i="20"/>
  <c r="Z71" i="20"/>
  <c r="AA71" i="20"/>
  <c r="AB71" i="20"/>
  <c r="AC71" i="20"/>
  <c r="AD71" i="20"/>
  <c r="AE71" i="20"/>
  <c r="AF71" i="20"/>
  <c r="AG71" i="20"/>
  <c r="AH71" i="20"/>
  <c r="AI71" i="20"/>
  <c r="AJ71" i="20"/>
  <c r="AK71" i="20"/>
  <c r="AL71" i="20"/>
  <c r="AM71" i="20"/>
  <c r="AN71" i="20"/>
  <c r="AO71" i="20"/>
  <c r="AP71" i="20"/>
  <c r="AQ71" i="20"/>
  <c r="AR71" i="20"/>
  <c r="AS71" i="20"/>
  <c r="AT71" i="20"/>
  <c r="AU71" i="20"/>
  <c r="BF71" i="20"/>
  <c r="BG71" i="20"/>
  <c r="BH71" i="20"/>
  <c r="BI71" i="20"/>
  <c r="BJ71" i="20"/>
  <c r="D72" i="20"/>
  <c r="E72" i="20"/>
  <c r="F72" i="20"/>
  <c r="G72" i="20"/>
  <c r="H72" i="20"/>
  <c r="I72" i="20"/>
  <c r="J72" i="20"/>
  <c r="K72" i="20"/>
  <c r="L72" i="20"/>
  <c r="M72" i="20"/>
  <c r="N72" i="20"/>
  <c r="O72" i="20"/>
  <c r="W72" i="20"/>
  <c r="X72" i="20"/>
  <c r="Y72" i="20"/>
  <c r="Z72" i="20"/>
  <c r="AA72" i="20"/>
  <c r="AB72" i="20"/>
  <c r="AC72" i="20"/>
  <c r="AD72" i="20"/>
  <c r="AE72" i="20"/>
  <c r="AF72" i="20"/>
  <c r="AG72" i="20"/>
  <c r="AH72" i="20"/>
  <c r="AI72" i="20"/>
  <c r="AJ72" i="20"/>
  <c r="AK72" i="20"/>
  <c r="AL72" i="20"/>
  <c r="AM72" i="20"/>
  <c r="AN72" i="20"/>
  <c r="AO72" i="20"/>
  <c r="AP72" i="20"/>
  <c r="AQ72" i="20"/>
  <c r="AR72" i="20"/>
  <c r="AS72" i="20"/>
  <c r="AT72" i="20"/>
  <c r="AU72" i="20"/>
  <c r="BF72" i="20"/>
  <c r="BG72" i="20"/>
  <c r="BH72" i="20"/>
  <c r="BI72" i="20"/>
  <c r="BJ72" i="20"/>
  <c r="D73" i="20"/>
  <c r="E73" i="20"/>
  <c r="F73" i="20"/>
  <c r="G73" i="20"/>
  <c r="H73" i="20"/>
  <c r="I73" i="20"/>
  <c r="J73" i="20"/>
  <c r="K73" i="20"/>
  <c r="L73" i="20"/>
  <c r="M73" i="20"/>
  <c r="W73" i="20"/>
  <c r="X73" i="20"/>
  <c r="Y73" i="20"/>
  <c r="Z73" i="20"/>
  <c r="AA73" i="20"/>
  <c r="AB73" i="20"/>
  <c r="AC73" i="20"/>
  <c r="AD73" i="20"/>
  <c r="AE73" i="20"/>
  <c r="AF73" i="20"/>
  <c r="AG73" i="20"/>
  <c r="AH73" i="20"/>
  <c r="AI73" i="20"/>
  <c r="AJ73" i="20"/>
  <c r="AK73" i="20"/>
  <c r="AL73" i="20"/>
  <c r="AM73" i="20"/>
  <c r="AN73" i="20"/>
  <c r="AO73" i="20"/>
  <c r="AP73" i="20"/>
  <c r="AQ73" i="20"/>
  <c r="AR73" i="20"/>
  <c r="AS73" i="20"/>
  <c r="AT73" i="20"/>
  <c r="AU73" i="20"/>
  <c r="BF73" i="20"/>
  <c r="BG73" i="20"/>
  <c r="BH73" i="20"/>
  <c r="BI73" i="20"/>
  <c r="BJ73" i="20"/>
  <c r="D74" i="20"/>
  <c r="E74" i="20"/>
  <c r="F74" i="20"/>
  <c r="G74" i="20"/>
  <c r="H74" i="20"/>
  <c r="I74" i="20"/>
  <c r="J74" i="20"/>
  <c r="K74" i="20"/>
  <c r="L74" i="20"/>
  <c r="M74" i="20"/>
  <c r="N74" i="20"/>
  <c r="O74" i="20"/>
  <c r="W74" i="20"/>
  <c r="X74" i="20"/>
  <c r="Y74" i="20"/>
  <c r="Z74" i="20"/>
  <c r="AA74" i="20"/>
  <c r="AB74" i="20"/>
  <c r="AC74" i="20"/>
  <c r="AD74" i="20"/>
  <c r="AE74" i="20"/>
  <c r="AF74" i="20"/>
  <c r="AG74" i="20"/>
  <c r="AH74" i="20"/>
  <c r="AI74" i="20"/>
  <c r="AJ74" i="20"/>
  <c r="AK74" i="20"/>
  <c r="AL74" i="20"/>
  <c r="AM74" i="20"/>
  <c r="AN74" i="20"/>
  <c r="AO74" i="20"/>
  <c r="AP74" i="20"/>
  <c r="AQ74" i="20"/>
  <c r="AR74" i="20"/>
  <c r="AS74" i="20"/>
  <c r="AT74" i="20"/>
  <c r="AU74" i="20"/>
  <c r="AV74" i="20"/>
  <c r="AW74" i="20"/>
  <c r="AX74" i="20"/>
  <c r="AY74" i="20"/>
  <c r="AZ74" i="20"/>
  <c r="BA74" i="20"/>
  <c r="BC74" i="20"/>
  <c r="BF74" i="20"/>
  <c r="BG74" i="20"/>
  <c r="BH74" i="20"/>
  <c r="BI74" i="20"/>
  <c r="BJ74" i="20"/>
  <c r="D75" i="20"/>
  <c r="E75" i="20"/>
  <c r="F75" i="20"/>
  <c r="G75" i="20"/>
  <c r="H75" i="20"/>
  <c r="I75" i="20"/>
  <c r="J75" i="20"/>
  <c r="K75" i="20"/>
  <c r="L75" i="20"/>
  <c r="M75" i="20"/>
  <c r="N75" i="20"/>
  <c r="O75" i="20"/>
  <c r="W75" i="20"/>
  <c r="X75" i="20"/>
  <c r="Y75" i="20"/>
  <c r="Z75" i="20"/>
  <c r="AA75" i="20"/>
  <c r="AB75" i="20"/>
  <c r="AC75" i="20"/>
  <c r="AD75" i="20"/>
  <c r="AE75" i="20"/>
  <c r="AF75" i="20"/>
  <c r="AG75" i="20"/>
  <c r="AH75" i="20"/>
  <c r="AI75" i="20"/>
  <c r="AJ75" i="20"/>
  <c r="AK75" i="20"/>
  <c r="AL75" i="20"/>
  <c r="AM75" i="20"/>
  <c r="AN75" i="20"/>
  <c r="AO75" i="20"/>
  <c r="AP75" i="20"/>
  <c r="AQ75" i="20"/>
  <c r="AR75" i="20"/>
  <c r="AS75" i="20"/>
  <c r="AT75" i="20"/>
  <c r="AU75" i="20"/>
  <c r="AV75" i="20"/>
  <c r="AW75" i="20"/>
  <c r="AX75" i="20"/>
  <c r="AY75" i="20"/>
  <c r="AZ75" i="20"/>
  <c r="BA75" i="20"/>
  <c r="BC75" i="20"/>
  <c r="BF75" i="20"/>
  <c r="BG75" i="20"/>
  <c r="BH75" i="20"/>
  <c r="BI75" i="20"/>
  <c r="BJ75" i="20"/>
  <c r="D76" i="20"/>
  <c r="E76" i="20"/>
  <c r="F76" i="20"/>
  <c r="G76" i="20"/>
  <c r="H76" i="20"/>
  <c r="I76" i="20"/>
  <c r="J76" i="20"/>
  <c r="K76" i="20"/>
  <c r="L76" i="20"/>
  <c r="M76" i="20"/>
  <c r="N76" i="20"/>
  <c r="O76" i="20"/>
  <c r="W76" i="20"/>
  <c r="X76" i="20"/>
  <c r="Y76" i="20"/>
  <c r="Z76" i="20"/>
  <c r="AA76" i="20"/>
  <c r="AB76" i="20"/>
  <c r="AC76" i="20"/>
  <c r="AD76" i="20"/>
  <c r="AE76" i="20"/>
  <c r="AF76" i="20"/>
  <c r="AG76" i="20"/>
  <c r="AH76" i="20"/>
  <c r="AI76" i="20"/>
  <c r="AJ76" i="20"/>
  <c r="AK76" i="20"/>
  <c r="AL76" i="20"/>
  <c r="AM76" i="20"/>
  <c r="AN76" i="20"/>
  <c r="AO76" i="20"/>
  <c r="AP76" i="20"/>
  <c r="AQ76" i="20"/>
  <c r="AR76" i="20"/>
  <c r="AS76" i="20"/>
  <c r="AT76" i="20"/>
  <c r="AU76" i="20"/>
  <c r="AV76" i="20"/>
  <c r="AW76" i="20"/>
  <c r="AX76" i="20"/>
  <c r="AY76" i="20"/>
  <c r="AZ76" i="20"/>
  <c r="BA76" i="20"/>
  <c r="BC76" i="20"/>
  <c r="BF76" i="20"/>
  <c r="BG76" i="20"/>
  <c r="BH76" i="20"/>
  <c r="BI76" i="20"/>
  <c r="BJ76" i="20"/>
  <c r="D77" i="20"/>
  <c r="E77" i="20"/>
  <c r="F77" i="20"/>
  <c r="G77" i="20"/>
  <c r="H77" i="20"/>
  <c r="I77" i="20"/>
  <c r="J77" i="20"/>
  <c r="K77" i="20"/>
  <c r="L77" i="20"/>
  <c r="M77" i="20"/>
  <c r="N77" i="20"/>
  <c r="O77" i="20"/>
  <c r="W77" i="20"/>
  <c r="X77" i="20"/>
  <c r="Y77" i="20"/>
  <c r="Z77" i="20"/>
  <c r="AA77" i="20"/>
  <c r="AB77" i="20"/>
  <c r="AC77" i="20"/>
  <c r="AD77" i="20"/>
  <c r="AE77" i="20"/>
  <c r="AF77" i="20"/>
  <c r="AG77" i="20"/>
  <c r="AH77" i="20"/>
  <c r="AI77" i="20"/>
  <c r="AJ77" i="20"/>
  <c r="AK77" i="20"/>
  <c r="AL77" i="20"/>
  <c r="AM77" i="20"/>
  <c r="AN77" i="20"/>
  <c r="AO77" i="20"/>
  <c r="AP77" i="20"/>
  <c r="AQ77" i="20"/>
  <c r="AR77" i="20"/>
  <c r="AS77" i="20"/>
  <c r="AT77" i="20"/>
  <c r="AU77" i="20"/>
  <c r="AV77" i="20"/>
  <c r="AW77" i="20"/>
  <c r="AX77" i="20"/>
  <c r="AY77" i="20"/>
  <c r="AZ77" i="20"/>
  <c r="BA77" i="20"/>
  <c r="BC77" i="20"/>
  <c r="BF77" i="20"/>
  <c r="BG77" i="20"/>
  <c r="BH77" i="20"/>
  <c r="BI77" i="20"/>
  <c r="BJ77" i="20"/>
  <c r="D78" i="20"/>
  <c r="E78" i="20"/>
  <c r="F78" i="20"/>
  <c r="G78" i="20"/>
  <c r="H78" i="20"/>
  <c r="I78" i="20"/>
  <c r="J78" i="20"/>
  <c r="K78" i="20"/>
  <c r="L78" i="20"/>
  <c r="M78" i="20"/>
  <c r="N78" i="20"/>
  <c r="O78" i="20"/>
  <c r="W78" i="20"/>
  <c r="X78" i="20"/>
  <c r="Y78" i="20"/>
  <c r="Z78" i="20"/>
  <c r="AA78" i="20"/>
  <c r="AB78" i="20"/>
  <c r="AC78" i="20"/>
  <c r="AD78" i="20"/>
  <c r="AE78" i="20"/>
  <c r="AF78" i="20"/>
  <c r="AG78" i="20"/>
  <c r="AH78" i="20"/>
  <c r="AI78" i="20"/>
  <c r="AJ78" i="20"/>
  <c r="AK78" i="20"/>
  <c r="AL78" i="20"/>
  <c r="AM78" i="20"/>
  <c r="AN78" i="20"/>
  <c r="AO78" i="20"/>
  <c r="AP78" i="20"/>
  <c r="AQ78" i="20"/>
  <c r="AR78" i="20"/>
  <c r="AS78" i="20"/>
  <c r="AT78" i="20"/>
  <c r="AU78" i="20"/>
  <c r="AV78" i="20"/>
  <c r="AW78" i="20"/>
  <c r="AX78" i="20"/>
  <c r="AY78" i="20"/>
  <c r="AZ78" i="20"/>
  <c r="BA78" i="20"/>
  <c r="BC78" i="20"/>
  <c r="BF78" i="20"/>
  <c r="BG78" i="20"/>
  <c r="BH78" i="20"/>
  <c r="BI78" i="20"/>
  <c r="BJ78" i="20"/>
  <c r="D82" i="20"/>
  <c r="T82" i="20"/>
  <c r="U82" i="20"/>
  <c r="C84" i="20"/>
  <c r="D84" i="20"/>
  <c r="E84" i="20"/>
  <c r="F84" i="20"/>
  <c r="G84" i="20"/>
  <c r="H84" i="20"/>
  <c r="I84" i="20"/>
  <c r="S84" i="20"/>
  <c r="T84" i="20"/>
  <c r="U84" i="20"/>
  <c r="V84" i="20"/>
  <c r="W84" i="20"/>
  <c r="X84" i="20"/>
  <c r="Y84" i="20"/>
  <c r="Z84" i="20"/>
  <c r="AA84" i="20"/>
  <c r="AB84" i="20"/>
  <c r="AC84" i="20"/>
  <c r="AD84" i="20"/>
  <c r="AE84" i="20"/>
  <c r="AF84" i="20"/>
  <c r="AG84" i="20"/>
  <c r="AH84" i="20"/>
  <c r="AI84" i="20"/>
  <c r="AJ84" i="20"/>
  <c r="AK84" i="20"/>
  <c r="AL84" i="20"/>
  <c r="BF84" i="20"/>
  <c r="C85" i="20"/>
  <c r="D85" i="20"/>
  <c r="E85" i="20"/>
  <c r="F85" i="20"/>
  <c r="G85" i="20"/>
  <c r="H85" i="20"/>
  <c r="I85" i="20"/>
  <c r="J85" i="20"/>
  <c r="K85" i="20"/>
  <c r="L85" i="20"/>
  <c r="M85" i="20"/>
  <c r="N85" i="20"/>
  <c r="O85" i="20"/>
  <c r="S85" i="20"/>
  <c r="T85" i="20"/>
  <c r="U85" i="20"/>
  <c r="V85" i="20"/>
  <c r="W85" i="20"/>
  <c r="X85" i="20"/>
  <c r="Y85" i="20"/>
  <c r="Z85" i="20"/>
  <c r="AA85" i="20"/>
  <c r="AB85" i="20"/>
  <c r="AC85" i="20"/>
  <c r="AD85" i="20"/>
  <c r="AE85" i="20"/>
  <c r="AF85" i="20"/>
  <c r="AG85" i="20"/>
  <c r="AH85" i="20"/>
  <c r="AI85" i="20"/>
  <c r="AJ85" i="20"/>
  <c r="AK85" i="20"/>
  <c r="AL85" i="20"/>
  <c r="AM85" i="20"/>
  <c r="AN85" i="20"/>
  <c r="AO85" i="20"/>
  <c r="AP85" i="20"/>
  <c r="AQ85" i="20"/>
  <c r="AR85" i="20"/>
  <c r="AS85" i="20"/>
  <c r="AT85" i="20"/>
  <c r="AU85" i="20"/>
  <c r="AV85" i="20"/>
  <c r="AW85" i="20"/>
  <c r="AX85" i="20"/>
  <c r="AY85" i="20"/>
  <c r="AZ85" i="20"/>
  <c r="BA85" i="20"/>
  <c r="BC85" i="20"/>
  <c r="BF85" i="20"/>
  <c r="BG85" i="20"/>
  <c r="BH85" i="20"/>
  <c r="BI85" i="20"/>
  <c r="BJ85" i="20"/>
  <c r="C86" i="20"/>
  <c r="D86" i="20"/>
  <c r="E86" i="20"/>
  <c r="F86" i="20"/>
  <c r="G86" i="20"/>
  <c r="H86" i="20"/>
  <c r="I86" i="20"/>
  <c r="J86" i="20"/>
  <c r="K86" i="20"/>
  <c r="L86" i="20"/>
  <c r="M86" i="20"/>
  <c r="N86" i="20"/>
  <c r="O86" i="20"/>
  <c r="S86" i="20"/>
  <c r="T86" i="20"/>
  <c r="U86" i="20"/>
  <c r="V86" i="20"/>
  <c r="W86" i="20"/>
  <c r="X86" i="20"/>
  <c r="Y86" i="20"/>
  <c r="Z86" i="20"/>
  <c r="AA86" i="20"/>
  <c r="AB86" i="20"/>
  <c r="AC86" i="20"/>
  <c r="AD86" i="20"/>
  <c r="AE86" i="20"/>
  <c r="AF86" i="20"/>
  <c r="AG86" i="20"/>
  <c r="AH86" i="20"/>
  <c r="AI86" i="20"/>
  <c r="AJ86" i="20"/>
  <c r="AK86" i="20"/>
  <c r="AL86" i="20"/>
  <c r="AM86" i="20"/>
  <c r="AN86" i="20"/>
  <c r="AO86" i="20"/>
  <c r="AP86" i="20"/>
  <c r="AQ86" i="20"/>
  <c r="AR86" i="20"/>
  <c r="AS86" i="20"/>
  <c r="AT86" i="20"/>
  <c r="AU86" i="20"/>
  <c r="AV86" i="20"/>
  <c r="AW86" i="20"/>
  <c r="AX86" i="20"/>
  <c r="AY86" i="20"/>
  <c r="AZ86" i="20"/>
  <c r="BA86" i="20"/>
  <c r="BC86" i="20"/>
  <c r="BF86" i="20"/>
  <c r="BG86" i="20"/>
  <c r="BH86" i="20"/>
  <c r="BI86" i="20"/>
  <c r="BJ86" i="20"/>
  <c r="C87" i="20"/>
  <c r="D87" i="20"/>
  <c r="E87" i="20"/>
  <c r="F87" i="20"/>
  <c r="G87" i="20"/>
  <c r="H87" i="20"/>
  <c r="I87" i="20"/>
  <c r="J87" i="20"/>
  <c r="K87" i="20"/>
  <c r="L87" i="20"/>
  <c r="M87" i="20"/>
  <c r="N87" i="20"/>
  <c r="O87" i="20"/>
  <c r="S87" i="20"/>
  <c r="T87" i="20"/>
  <c r="U87" i="20"/>
  <c r="V87" i="20"/>
  <c r="W87" i="20"/>
  <c r="X87" i="20"/>
  <c r="Y87" i="20"/>
  <c r="Z87" i="20"/>
  <c r="AA87" i="20"/>
  <c r="AB87" i="20"/>
  <c r="AC87" i="20"/>
  <c r="AD87" i="20"/>
  <c r="AE87" i="20"/>
  <c r="AF87" i="20"/>
  <c r="AG87" i="20"/>
  <c r="AH87" i="20"/>
  <c r="AI87" i="20"/>
  <c r="AJ87" i="20"/>
  <c r="AK87" i="20"/>
  <c r="AL87" i="20"/>
  <c r="AM87" i="20"/>
  <c r="AN87" i="20"/>
  <c r="AO87" i="20"/>
  <c r="AP87" i="20"/>
  <c r="AQ87" i="20"/>
  <c r="AR87" i="20"/>
  <c r="AS87" i="20"/>
  <c r="AT87" i="20"/>
  <c r="BF87" i="20"/>
  <c r="BG87" i="20"/>
  <c r="BH87" i="20"/>
  <c r="BI87" i="20"/>
  <c r="BJ87" i="20"/>
  <c r="C88" i="20"/>
  <c r="D88" i="20"/>
  <c r="E88" i="20"/>
  <c r="F88" i="20"/>
  <c r="G88" i="20"/>
  <c r="H88" i="20"/>
  <c r="I88" i="20"/>
  <c r="J88" i="20"/>
  <c r="K88" i="20"/>
  <c r="L88" i="20"/>
  <c r="M88" i="20"/>
  <c r="N88" i="20"/>
  <c r="O88" i="20"/>
  <c r="S88" i="20"/>
  <c r="T88" i="20"/>
  <c r="U88" i="20"/>
  <c r="V88" i="20"/>
  <c r="W88" i="20"/>
  <c r="X88" i="20"/>
  <c r="Y88" i="20"/>
  <c r="Z88" i="20"/>
  <c r="AA88" i="20"/>
  <c r="AB88" i="20"/>
  <c r="AC88" i="20"/>
  <c r="AD88" i="20"/>
  <c r="AE88" i="20"/>
  <c r="AF88" i="20"/>
  <c r="AG88" i="20"/>
  <c r="AH88" i="20"/>
  <c r="AI88" i="20"/>
  <c r="AJ88" i="20"/>
  <c r="AK88" i="20"/>
  <c r="AL88" i="20"/>
  <c r="AM88" i="20"/>
  <c r="AN88" i="20"/>
  <c r="AO88" i="20"/>
  <c r="AP88" i="20"/>
  <c r="AQ88" i="20"/>
  <c r="AR88" i="20"/>
  <c r="AS88" i="20"/>
  <c r="AT88" i="20"/>
  <c r="AU88" i="20"/>
  <c r="AV88" i="20"/>
  <c r="AW88" i="20"/>
  <c r="AX88" i="20"/>
  <c r="AY88" i="20"/>
  <c r="AZ88" i="20"/>
  <c r="BA88" i="20"/>
  <c r="BC88" i="20"/>
  <c r="BF88" i="20"/>
  <c r="BG88" i="20"/>
  <c r="BH88" i="20"/>
  <c r="BI88" i="20"/>
  <c r="BJ88" i="20"/>
  <c r="V92" i="20"/>
  <c r="Z92" i="20"/>
  <c r="AD92" i="20"/>
  <c r="AH92" i="20"/>
  <c r="AL92" i="20"/>
  <c r="BF92" i="20"/>
  <c r="V93" i="20"/>
  <c r="Z93" i="20"/>
  <c r="AD93" i="20"/>
  <c r="AH93" i="20"/>
  <c r="AL93" i="20"/>
  <c r="BF93" i="20"/>
  <c r="V94" i="20"/>
  <c r="Z94" i="20"/>
  <c r="AD94" i="20"/>
  <c r="AH94" i="20"/>
  <c r="AL94" i="20"/>
  <c r="BF94" i="20"/>
  <c r="C95" i="20"/>
  <c r="D95" i="20"/>
  <c r="E95" i="20"/>
  <c r="F95" i="20"/>
  <c r="G95" i="20"/>
  <c r="H95" i="20"/>
  <c r="I95" i="20"/>
  <c r="J95" i="20"/>
  <c r="S95" i="20"/>
  <c r="T95" i="20"/>
  <c r="U95" i="20"/>
  <c r="V95" i="20"/>
  <c r="W95" i="20"/>
  <c r="X95" i="20"/>
  <c r="Y95" i="20"/>
  <c r="Z95" i="20"/>
  <c r="AA95" i="20"/>
  <c r="AB95" i="20"/>
  <c r="AC95" i="20"/>
  <c r="AD95" i="20"/>
  <c r="AE95" i="20"/>
  <c r="AF95" i="20"/>
  <c r="AG95" i="20"/>
  <c r="AH95" i="20"/>
  <c r="AI95" i="20"/>
  <c r="AJ95" i="20"/>
  <c r="AK95" i="20"/>
  <c r="AL95" i="20"/>
  <c r="BF95" i="20"/>
  <c r="BG95" i="20"/>
  <c r="BH95" i="20"/>
  <c r="BI95" i="20"/>
  <c r="BJ95" i="20"/>
  <c r="Z96" i="20"/>
  <c r="C97" i="20"/>
  <c r="D97" i="20"/>
  <c r="E97" i="20"/>
  <c r="F97" i="20"/>
  <c r="G97" i="20"/>
  <c r="H97" i="20"/>
  <c r="I97" i="20"/>
  <c r="J97" i="20"/>
  <c r="S97" i="20"/>
  <c r="T97" i="20"/>
  <c r="U97" i="20"/>
  <c r="V97" i="20"/>
  <c r="W97" i="20"/>
  <c r="X97" i="20"/>
  <c r="Y97" i="20"/>
  <c r="Z97" i="20"/>
  <c r="AA97" i="20"/>
  <c r="AB97" i="20"/>
  <c r="AC97" i="20"/>
  <c r="AD97" i="20"/>
  <c r="AE97" i="20"/>
  <c r="AF97" i="20"/>
  <c r="AG97" i="20"/>
  <c r="AH97" i="20"/>
  <c r="AI97" i="20"/>
  <c r="AJ97" i="20"/>
  <c r="AK97" i="20"/>
  <c r="AL97" i="20"/>
  <c r="BF97" i="20"/>
  <c r="BG97" i="20"/>
  <c r="BH97" i="20"/>
  <c r="BI97" i="20"/>
  <c r="BJ97" i="20"/>
  <c r="AD101" i="20"/>
  <c r="AH101" i="20"/>
  <c r="AL101" i="20"/>
  <c r="AP101" i="20"/>
  <c r="AT101" i="20"/>
  <c r="AX101" i="20"/>
  <c r="BF101" i="20"/>
  <c r="AD102" i="20"/>
  <c r="AH102" i="20"/>
  <c r="AL102" i="20"/>
  <c r="AP102" i="20"/>
  <c r="AT102" i="20"/>
  <c r="AX102" i="20"/>
  <c r="BF102" i="20"/>
  <c r="AD103" i="20"/>
  <c r="AH103" i="20"/>
  <c r="AL103" i="20"/>
  <c r="AP103" i="20"/>
  <c r="AT103" i="20"/>
  <c r="AX103" i="20"/>
  <c r="BF103" i="20"/>
  <c r="AP104" i="20"/>
  <c r="AT104" i="20"/>
  <c r="AX104" i="20"/>
  <c r="C105" i="20"/>
  <c r="D105" i="20"/>
  <c r="E105" i="20"/>
  <c r="F105" i="20"/>
  <c r="G105" i="20"/>
  <c r="H105" i="20"/>
  <c r="I105" i="20"/>
  <c r="J105" i="20"/>
  <c r="K105" i="20"/>
  <c r="M105" i="20"/>
  <c r="N105" i="20"/>
  <c r="O105" i="20"/>
  <c r="W105" i="20"/>
  <c r="X105" i="20"/>
  <c r="Y105" i="20"/>
  <c r="AA105" i="20"/>
  <c r="AB105" i="20"/>
  <c r="AC105" i="20"/>
  <c r="AD105" i="20"/>
  <c r="AE105" i="20"/>
  <c r="AF105" i="20"/>
  <c r="AG105" i="20"/>
  <c r="AH105" i="20"/>
  <c r="AI105" i="20"/>
  <c r="AJ105" i="20"/>
  <c r="AK105" i="20"/>
  <c r="AL105" i="20"/>
  <c r="AM105" i="20"/>
  <c r="AN105" i="20"/>
  <c r="AO105" i="20"/>
  <c r="AP105" i="20"/>
  <c r="AQ105" i="20"/>
  <c r="AR105" i="20"/>
  <c r="AS105" i="20"/>
  <c r="AT105" i="20"/>
  <c r="AU105" i="20"/>
  <c r="AV105" i="20"/>
  <c r="AW105" i="20"/>
  <c r="AX105" i="20"/>
  <c r="AY105" i="20"/>
  <c r="AZ105" i="20"/>
  <c r="BA105" i="20"/>
  <c r="BC105" i="20"/>
  <c r="BF105" i="20"/>
  <c r="BG105" i="20"/>
  <c r="BH105" i="20"/>
  <c r="BI105" i="20"/>
  <c r="BJ105" i="20"/>
  <c r="V109" i="20"/>
  <c r="Z109" i="20"/>
  <c r="AD109" i="20"/>
  <c r="AH109" i="20"/>
  <c r="AL109" i="20"/>
  <c r="AP109" i="20"/>
  <c r="AT109" i="20"/>
  <c r="AX109" i="20"/>
  <c r="BF109" i="20"/>
  <c r="V110" i="20"/>
  <c r="Z110" i="20"/>
  <c r="AD110" i="20"/>
  <c r="AH110" i="20"/>
  <c r="AL110" i="20"/>
  <c r="AP110" i="20"/>
  <c r="AT110" i="20"/>
  <c r="AX110" i="20"/>
  <c r="BF110" i="20"/>
  <c r="H111" i="20"/>
  <c r="I111" i="20"/>
  <c r="J111" i="20"/>
  <c r="V111" i="20"/>
  <c r="Z111" i="20"/>
  <c r="AD111" i="20"/>
  <c r="AG111" i="20"/>
  <c r="AH111" i="20"/>
  <c r="AI111" i="20"/>
  <c r="AL111" i="20"/>
  <c r="AP111" i="20"/>
  <c r="AT111" i="20"/>
  <c r="AX111" i="20"/>
  <c r="BF111" i="20"/>
  <c r="BJ111" i="20"/>
  <c r="AL112" i="20"/>
  <c r="AP112" i="20"/>
  <c r="AT112" i="20"/>
  <c r="AX112" i="20"/>
  <c r="C113" i="20"/>
  <c r="D113" i="20"/>
  <c r="E113" i="20"/>
  <c r="F113" i="20"/>
  <c r="G113" i="20"/>
  <c r="H113" i="20"/>
  <c r="I113" i="20"/>
  <c r="J113" i="20"/>
  <c r="K113" i="20"/>
  <c r="M113" i="20"/>
  <c r="N113" i="20"/>
  <c r="O113" i="20"/>
  <c r="S113" i="20"/>
  <c r="T113" i="20"/>
  <c r="U113" i="20"/>
  <c r="V113" i="20"/>
  <c r="W113" i="20"/>
  <c r="X113" i="20"/>
  <c r="Y113" i="20"/>
  <c r="Z113" i="20"/>
  <c r="AA113" i="20"/>
  <c r="AB113" i="20"/>
  <c r="AC113" i="20"/>
  <c r="AD113" i="20"/>
  <c r="AE113" i="20"/>
  <c r="AF113" i="20"/>
  <c r="AG113" i="20"/>
  <c r="AH113" i="20"/>
  <c r="AI113" i="20"/>
  <c r="AJ113" i="20"/>
  <c r="AK113" i="20"/>
  <c r="AL113" i="20"/>
  <c r="AM113" i="20"/>
  <c r="AN113" i="20"/>
  <c r="AO113" i="20"/>
  <c r="AP113" i="20"/>
  <c r="AQ113" i="20"/>
  <c r="AR113" i="20"/>
  <c r="AS113" i="20"/>
  <c r="AT113" i="20"/>
  <c r="AU113" i="20"/>
  <c r="AV113" i="20"/>
  <c r="AW113" i="20"/>
  <c r="AX113" i="20"/>
  <c r="AY113" i="20"/>
  <c r="AZ113" i="20"/>
  <c r="BA113" i="20"/>
  <c r="BC113" i="20"/>
  <c r="BF113" i="20"/>
  <c r="BG113" i="20"/>
  <c r="BH113" i="20"/>
  <c r="BI113" i="20"/>
  <c r="BJ113" i="20"/>
  <c r="Q120" i="20"/>
  <c r="Q121" i="20"/>
  <c r="Q122" i="20"/>
  <c r="Q123" i="20"/>
  <c r="O124" i="20"/>
  <c r="P124" i="20"/>
  <c r="Q124" i="20"/>
  <c r="AU124" i="20"/>
  <c r="AV124" i="20"/>
  <c r="AW124" i="20"/>
  <c r="AX124" i="20"/>
  <c r="AY124" i="20"/>
  <c r="AZ124" i="20"/>
  <c r="BA124" i="20"/>
  <c r="BB124" i="20"/>
  <c r="BC124" i="20"/>
  <c r="O125" i="20"/>
  <c r="P125" i="20"/>
  <c r="AU125" i="20"/>
  <c r="AV125" i="20"/>
  <c r="AW125" i="20"/>
  <c r="AY125" i="20"/>
  <c r="AZ125" i="20"/>
  <c r="BA125" i="20"/>
  <c r="BC125" i="20"/>
  <c r="O128" i="20"/>
  <c r="P128" i="20"/>
  <c r="Q128" i="20"/>
  <c r="AU128" i="20"/>
  <c r="AV128" i="20"/>
  <c r="AW128" i="20"/>
  <c r="AX128" i="20"/>
  <c r="AY128" i="20"/>
  <c r="AZ128" i="20"/>
  <c r="BA128" i="20"/>
  <c r="BB128" i="20"/>
  <c r="BC128" i="20"/>
  <c r="O129" i="20"/>
  <c r="P129" i="20"/>
  <c r="Q129" i="20"/>
  <c r="AU129" i="20"/>
  <c r="AV129" i="20"/>
  <c r="AW129" i="20"/>
  <c r="AX129" i="20"/>
  <c r="AY129" i="20"/>
  <c r="AZ129" i="20"/>
  <c r="BA129" i="20"/>
  <c r="BB129" i="20"/>
  <c r="BC129" i="20"/>
  <c r="O130" i="20"/>
  <c r="P130" i="20"/>
  <c r="Q130" i="20"/>
  <c r="AU130" i="20"/>
  <c r="AV130" i="20"/>
  <c r="AW130" i="20"/>
  <c r="AX130" i="20"/>
  <c r="AY130" i="20"/>
  <c r="AZ130" i="20"/>
  <c r="BA130" i="20"/>
  <c r="BB130" i="20"/>
  <c r="BC130" i="20"/>
  <c r="O131" i="20"/>
  <c r="P131" i="20"/>
  <c r="Q131" i="20"/>
  <c r="AU131" i="20"/>
  <c r="AV131" i="20"/>
  <c r="AW131" i="20"/>
  <c r="AX131" i="20"/>
  <c r="AY131" i="20"/>
  <c r="AZ131" i="20"/>
  <c r="BA131" i="20"/>
  <c r="BB131" i="20"/>
  <c r="BC131" i="20"/>
  <c r="P134" i="20"/>
  <c r="AY134" i="20"/>
  <c r="AZ134" i="20"/>
  <c r="BA134" i="20"/>
  <c r="BB134" i="20"/>
  <c r="BC134" i="20"/>
  <c r="P135" i="20"/>
  <c r="AY135" i="20"/>
  <c r="AZ135" i="20"/>
  <c r="BA135" i="20"/>
  <c r="BB135" i="20"/>
  <c r="BC135" i="20"/>
  <c r="P136" i="20"/>
  <c r="AY136" i="20"/>
  <c r="AZ136" i="20"/>
  <c r="BA136" i="20"/>
  <c r="BB136" i="20"/>
  <c r="BC136" i="20"/>
  <c r="P137" i="20"/>
  <c r="AY137" i="20"/>
  <c r="AZ137" i="20"/>
  <c r="BA137" i="20"/>
  <c r="BB137" i="20"/>
  <c r="BC137" i="20"/>
  <c r="Q141" i="20"/>
  <c r="AX141" i="20"/>
  <c r="BB141" i="20"/>
  <c r="Q142" i="20"/>
  <c r="AX142" i="20"/>
  <c r="BB142" i="20"/>
  <c r="Q143" i="20"/>
  <c r="AX143" i="20"/>
  <c r="BB143" i="20"/>
  <c r="Q144" i="20"/>
  <c r="AX144" i="20"/>
  <c r="BB144" i="20"/>
  <c r="O145" i="20"/>
  <c r="P145" i="20"/>
  <c r="Q145" i="20"/>
  <c r="AU145" i="20"/>
  <c r="AV145" i="20"/>
  <c r="AW145" i="20"/>
  <c r="AX145" i="20"/>
  <c r="AY145" i="20"/>
  <c r="AZ145" i="20"/>
  <c r="BA145" i="20"/>
  <c r="BB145" i="20"/>
  <c r="BC145" i="20"/>
  <c r="O148" i="20"/>
  <c r="P148" i="20"/>
  <c r="Q148" i="20"/>
  <c r="AU148" i="20"/>
  <c r="AV148" i="20"/>
  <c r="AW148" i="20"/>
  <c r="AX148" i="20"/>
  <c r="AY148" i="20"/>
  <c r="AZ148" i="20"/>
  <c r="BA148" i="20"/>
  <c r="BB148" i="20"/>
  <c r="BC148" i="20"/>
  <c r="O149" i="20"/>
  <c r="P149" i="20"/>
  <c r="Q149" i="20"/>
  <c r="AU149" i="20"/>
  <c r="AV149" i="20"/>
  <c r="AW149" i="20"/>
  <c r="AX149" i="20"/>
  <c r="AY149" i="20"/>
  <c r="AZ149" i="20"/>
  <c r="BA149" i="20"/>
  <c r="BB149" i="20"/>
  <c r="BC149" i="20"/>
  <c r="O150" i="20"/>
  <c r="P150" i="20"/>
  <c r="Q150" i="20"/>
  <c r="AU150" i="20"/>
  <c r="AV150" i="20"/>
  <c r="AW150" i="20"/>
  <c r="AX150" i="20"/>
  <c r="AY150" i="20"/>
  <c r="AZ150" i="20"/>
  <c r="BA150" i="20"/>
  <c r="BB150" i="20"/>
  <c r="BC150" i="20"/>
  <c r="O151" i="20"/>
  <c r="P151" i="20"/>
  <c r="Q151" i="20"/>
  <c r="AU151" i="20"/>
  <c r="AV151" i="20"/>
  <c r="AW151" i="20"/>
  <c r="AX151" i="20"/>
  <c r="AY151" i="20"/>
  <c r="AZ151" i="20"/>
  <c r="BA151" i="20"/>
  <c r="BB151" i="20"/>
  <c r="BC151" i="20"/>
  <c r="O152" i="20"/>
  <c r="P152" i="20"/>
  <c r="Q152" i="20"/>
  <c r="AU152" i="20"/>
  <c r="AV152" i="20"/>
  <c r="AW152" i="20"/>
  <c r="AX152" i="20"/>
  <c r="AY152" i="20"/>
  <c r="AZ152" i="20"/>
  <c r="BA152" i="20"/>
  <c r="BB152" i="20"/>
  <c r="BC152" i="20"/>
  <c r="P155" i="20"/>
  <c r="AY155" i="20"/>
  <c r="AZ155" i="20"/>
  <c r="BA155" i="20"/>
  <c r="BB155" i="20"/>
  <c r="BC155" i="20"/>
  <c r="P156" i="20"/>
  <c r="AY156" i="20"/>
  <c r="AZ156" i="20"/>
  <c r="BA156" i="20"/>
  <c r="BB156" i="20"/>
  <c r="BC156" i="20"/>
  <c r="P157" i="20"/>
  <c r="AY157" i="20"/>
  <c r="AZ157" i="20"/>
  <c r="BA157" i="20"/>
  <c r="BB157" i="20"/>
  <c r="BC157" i="20"/>
  <c r="P158" i="20"/>
  <c r="AY158" i="20"/>
  <c r="AZ158" i="20"/>
  <c r="BA158" i="20"/>
  <c r="BB158" i="20"/>
  <c r="BC158" i="20"/>
  <c r="P159" i="20"/>
  <c r="AY159" i="20"/>
  <c r="AZ159" i="20"/>
  <c r="BA159" i="20"/>
  <c r="BB159" i="20"/>
  <c r="BC159" i="20"/>
  <c r="Q163" i="20"/>
  <c r="AX163" i="20"/>
  <c r="BB163" i="20"/>
  <c r="Q164" i="20"/>
  <c r="AX164" i="20"/>
  <c r="BB164" i="20"/>
  <c r="Q165" i="20"/>
  <c r="AX165" i="20"/>
  <c r="BB165" i="20"/>
  <c r="Q166" i="20"/>
  <c r="AX166" i="20"/>
  <c r="BB166" i="20"/>
  <c r="O167" i="20"/>
  <c r="P167" i="20"/>
  <c r="Q167" i="20"/>
  <c r="AU167" i="20"/>
  <c r="AV167" i="20"/>
  <c r="AW167" i="20"/>
  <c r="AX167" i="20"/>
  <c r="AY167" i="20"/>
  <c r="AZ167" i="20"/>
  <c r="BA167" i="20"/>
  <c r="BB167" i="20"/>
  <c r="BC167" i="20"/>
  <c r="O170" i="20"/>
  <c r="P170" i="20"/>
  <c r="Q170" i="20"/>
  <c r="AU170" i="20"/>
  <c r="AV170" i="20"/>
  <c r="AW170" i="20"/>
  <c r="AX170" i="20"/>
  <c r="AY170" i="20"/>
  <c r="AZ170" i="20"/>
  <c r="BA170" i="20"/>
  <c r="BB170" i="20"/>
  <c r="BC170" i="20"/>
  <c r="O171" i="20"/>
  <c r="P171" i="20"/>
  <c r="Q171" i="20"/>
  <c r="AU171" i="20"/>
  <c r="AV171" i="20"/>
  <c r="AW171" i="20"/>
  <c r="AX171" i="20"/>
  <c r="AY171" i="20"/>
  <c r="AZ171" i="20"/>
  <c r="BA171" i="20"/>
  <c r="BB171" i="20"/>
  <c r="BC171" i="20"/>
  <c r="O172" i="20"/>
  <c r="P172" i="20"/>
  <c r="Q172" i="20"/>
  <c r="AU172" i="20"/>
  <c r="AV172" i="20"/>
  <c r="AW172" i="20"/>
  <c r="AX172" i="20"/>
  <c r="AY172" i="20"/>
  <c r="AZ172" i="20"/>
  <c r="BA172" i="20"/>
  <c r="BB172" i="20"/>
  <c r="BC172" i="20"/>
  <c r="O173" i="20"/>
  <c r="P173" i="20"/>
  <c r="Q173" i="20"/>
  <c r="AU173" i="20"/>
  <c r="AV173" i="20"/>
  <c r="AW173" i="20"/>
  <c r="AX173" i="20"/>
  <c r="AY173" i="20"/>
  <c r="AZ173" i="20"/>
  <c r="BA173" i="20"/>
  <c r="BB173" i="20"/>
  <c r="BC173" i="20"/>
  <c r="O174" i="20"/>
  <c r="P174" i="20"/>
  <c r="Q174" i="20"/>
  <c r="AU174" i="20"/>
  <c r="AV174" i="20"/>
  <c r="AW174" i="20"/>
  <c r="AX174" i="20"/>
  <c r="AY174" i="20"/>
  <c r="AZ174" i="20"/>
  <c r="BA174" i="20"/>
  <c r="BB174" i="20"/>
  <c r="BC174" i="20"/>
  <c r="P177" i="20"/>
  <c r="AY177" i="20"/>
  <c r="AZ177" i="20"/>
  <c r="BA177" i="20"/>
  <c r="BB177" i="20"/>
  <c r="BC177" i="20"/>
  <c r="P178" i="20"/>
  <c r="AY178" i="20"/>
  <c r="AZ178" i="20"/>
  <c r="BA178" i="20"/>
  <c r="BB178" i="20"/>
  <c r="BC178" i="20"/>
  <c r="P179" i="20"/>
  <c r="AY179" i="20"/>
  <c r="AZ179" i="20"/>
  <c r="BA179" i="20"/>
  <c r="BB179" i="20"/>
  <c r="BC179" i="20"/>
  <c r="P180" i="20"/>
  <c r="AY180" i="20"/>
  <c r="AZ180" i="20"/>
  <c r="BA180" i="20"/>
  <c r="BB180" i="20"/>
  <c r="BC180" i="20"/>
  <c r="P181" i="20"/>
  <c r="AY181" i="20"/>
  <c r="AZ181" i="20"/>
  <c r="BA181" i="20"/>
  <c r="BB181" i="20"/>
  <c r="BC181" i="20"/>
  <c r="Q3" i="15"/>
  <c r="AD7" i="15"/>
  <c r="AH7" i="15"/>
  <c r="AL7" i="15"/>
  <c r="AP7" i="15"/>
  <c r="AT7" i="15"/>
  <c r="AX7" i="15"/>
  <c r="AX125" i="20" s="1"/>
  <c r="BB7" i="15"/>
  <c r="BF7" i="15"/>
  <c r="BJ7" i="15"/>
  <c r="V8" i="15"/>
  <c r="Z8" i="15"/>
  <c r="AD8" i="15"/>
  <c r="AH8" i="15"/>
  <c r="AL8" i="15"/>
  <c r="AP8" i="15"/>
  <c r="AT8" i="15"/>
  <c r="AX8" i="15"/>
  <c r="BB8" i="15"/>
  <c r="Q8" i="15" s="1"/>
  <c r="BF8" i="15"/>
  <c r="BJ8" i="15"/>
  <c r="C9" i="15"/>
  <c r="D9" i="15"/>
  <c r="D21" i="20" s="1"/>
  <c r="E9" i="15"/>
  <c r="E21" i="20" s="1"/>
  <c r="F9" i="15"/>
  <c r="F21" i="20" s="1"/>
  <c r="G9" i="15"/>
  <c r="G21" i="20" s="1"/>
  <c r="H9" i="15"/>
  <c r="H21" i="20" s="1"/>
  <c r="I9" i="15"/>
  <c r="I21" i="20" s="1"/>
  <c r="J9" i="15"/>
  <c r="J21" i="20" s="1"/>
  <c r="K9" i="15"/>
  <c r="K21" i="20" s="1"/>
  <c r="L9" i="15"/>
  <c r="M9" i="15"/>
  <c r="N9" i="15"/>
  <c r="N21" i="20" s="1"/>
  <c r="O9" i="15"/>
  <c r="O21" i="20" s="1"/>
  <c r="P9" i="15"/>
  <c r="S9" i="15"/>
  <c r="S21" i="20" s="1"/>
  <c r="T9" i="15"/>
  <c r="T21" i="20" s="1"/>
  <c r="U9" i="15"/>
  <c r="U21" i="20" s="1"/>
  <c r="V9" i="15"/>
  <c r="V21" i="20" s="1"/>
  <c r="W9" i="15"/>
  <c r="W21" i="20" s="1"/>
  <c r="X9" i="15"/>
  <c r="X21" i="20" s="1"/>
  <c r="Y9" i="15"/>
  <c r="Y21" i="20" s="1"/>
  <c r="Z9" i="15"/>
  <c r="Z21" i="20" s="1"/>
  <c r="AA9" i="15"/>
  <c r="AA21" i="20" s="1"/>
  <c r="AB9" i="15"/>
  <c r="AB21" i="20" s="1"/>
  <c r="AC9" i="15"/>
  <c r="AC21" i="20" s="1"/>
  <c r="AD9" i="15"/>
  <c r="AD21" i="20" s="1"/>
  <c r="AE9" i="15"/>
  <c r="AE21" i="20" s="1"/>
  <c r="AF9" i="15"/>
  <c r="AF21" i="20" s="1"/>
  <c r="AG9" i="15"/>
  <c r="AG21" i="20" s="1"/>
  <c r="AH9" i="15"/>
  <c r="AH21" i="20" s="1"/>
  <c r="AI9" i="15"/>
  <c r="AI21" i="20" s="1"/>
  <c r="AJ9" i="15"/>
  <c r="AK9" i="15"/>
  <c r="AL21" i="20" s="1"/>
  <c r="AL9" i="15"/>
  <c r="AM9" i="15"/>
  <c r="AM21" i="20" s="1"/>
  <c r="AN9" i="15"/>
  <c r="AN21" i="20" s="1"/>
  <c r="AO9" i="15"/>
  <c r="AO21" i="20" s="1"/>
  <c r="AP9" i="15"/>
  <c r="AP21" i="20" s="1"/>
  <c r="AQ9" i="15"/>
  <c r="AQ21" i="20" s="1"/>
  <c r="AR9" i="15"/>
  <c r="AR21" i="20" s="1"/>
  <c r="AS9" i="15"/>
  <c r="AS21" i="20" s="1"/>
  <c r="AT9" i="15"/>
  <c r="AT21" i="20" s="1"/>
  <c r="AU9" i="15"/>
  <c r="AU21" i="20" s="1"/>
  <c r="AV9" i="15"/>
  <c r="AV21" i="20" s="1"/>
  <c r="AW9" i="15"/>
  <c r="AW21" i="20" s="1"/>
  <c r="AX9" i="15"/>
  <c r="AX21" i="20" s="1"/>
  <c r="AY9" i="15"/>
  <c r="AY21" i="20" s="1"/>
  <c r="AZ9" i="15"/>
  <c r="AZ21" i="20" s="1"/>
  <c r="BA9" i="15"/>
  <c r="BA21" i="20" s="1"/>
  <c r="BB9" i="15"/>
  <c r="BC9" i="15"/>
  <c r="BC21" i="20" s="1"/>
  <c r="BF9" i="15"/>
  <c r="BF21" i="20" s="1"/>
  <c r="BG9" i="15"/>
  <c r="BG21" i="20" s="1"/>
  <c r="BH9" i="15"/>
  <c r="BH21" i="20" s="1"/>
  <c r="BI9" i="15"/>
  <c r="BI21" i="20" s="1"/>
  <c r="BJ9" i="15"/>
  <c r="BJ21" i="20" s="1"/>
  <c r="BK9" i="15"/>
  <c r="BL9" i="15"/>
  <c r="D10" i="15"/>
  <c r="E10" i="15"/>
  <c r="F10" i="15"/>
  <c r="G10" i="15"/>
  <c r="H10" i="15"/>
  <c r="I10" i="15"/>
  <c r="J10" i="15"/>
  <c r="K10" i="15"/>
  <c r="L10" i="15"/>
  <c r="M10" i="15"/>
  <c r="N10" i="15"/>
  <c r="O10" i="15"/>
  <c r="P10" i="15"/>
  <c r="W10" i="15"/>
  <c r="X10" i="15"/>
  <c r="Y10" i="15"/>
  <c r="Z10" i="15"/>
  <c r="AA10" i="15"/>
  <c r="AB10" i="15"/>
  <c r="AC10" i="15"/>
  <c r="AD10" i="15"/>
  <c r="AE10" i="15"/>
  <c r="AF10" i="15"/>
  <c r="AG10" i="15"/>
  <c r="AH10" i="15"/>
  <c r="AI10" i="15"/>
  <c r="AJ10" i="15"/>
  <c r="AK10" i="15"/>
  <c r="AL10" i="15"/>
  <c r="AM10" i="15"/>
  <c r="AN10" i="15"/>
  <c r="AO10" i="15"/>
  <c r="AP10" i="15"/>
  <c r="AQ10" i="15"/>
  <c r="AR10" i="15"/>
  <c r="AS10" i="15"/>
  <c r="AT10" i="15"/>
  <c r="AU10" i="15"/>
  <c r="AV10" i="15"/>
  <c r="AW10" i="15"/>
  <c r="AX10" i="15"/>
  <c r="AY10" i="15"/>
  <c r="AZ10" i="15"/>
  <c r="BA10" i="15"/>
  <c r="BB10" i="15"/>
  <c r="BC10" i="15"/>
  <c r="BL10" i="15"/>
  <c r="D11" i="15"/>
  <c r="E11" i="15"/>
  <c r="F11" i="15"/>
  <c r="G11" i="15"/>
  <c r="H11" i="15"/>
  <c r="I11" i="15"/>
  <c r="J11" i="15"/>
  <c r="K11" i="15"/>
  <c r="L11" i="15"/>
  <c r="M11" i="15"/>
  <c r="N11" i="15"/>
  <c r="O11" i="15"/>
  <c r="P11" i="15"/>
  <c r="W11" i="15"/>
  <c r="X11" i="15"/>
  <c r="Y11" i="15"/>
  <c r="Z11" i="15"/>
  <c r="AA11" i="15"/>
  <c r="AB11" i="15"/>
  <c r="AC11" i="15"/>
  <c r="AD11" i="15"/>
  <c r="AE11" i="15"/>
  <c r="AF11" i="15"/>
  <c r="AG11" i="15"/>
  <c r="AH11" i="15"/>
  <c r="AI11" i="15"/>
  <c r="AJ11" i="15"/>
  <c r="AK11" i="15"/>
  <c r="AL11" i="15"/>
  <c r="AM11" i="15"/>
  <c r="AN11" i="15"/>
  <c r="AO11" i="15"/>
  <c r="AP11" i="15"/>
  <c r="AQ11" i="15"/>
  <c r="AR11" i="15"/>
  <c r="AS11" i="15"/>
  <c r="AT11" i="15"/>
  <c r="AU11" i="15"/>
  <c r="AV11" i="15"/>
  <c r="AW11" i="15"/>
  <c r="AX11" i="15"/>
  <c r="AY11" i="15"/>
  <c r="AZ11" i="15"/>
  <c r="BA11" i="15"/>
  <c r="BB11" i="15"/>
  <c r="BC11" i="15"/>
  <c r="BL11" i="15"/>
  <c r="V12" i="15"/>
  <c r="Z12" i="15"/>
  <c r="AD12" i="15"/>
  <c r="AH12" i="15"/>
  <c r="AL12" i="15"/>
  <c r="AP12" i="15"/>
  <c r="AT12" i="15"/>
  <c r="AX12" i="15"/>
  <c r="BB12" i="15"/>
  <c r="Q12" i="15" s="1"/>
  <c r="BF12" i="15"/>
  <c r="BJ12" i="15"/>
  <c r="C13" i="15"/>
  <c r="D13" i="15"/>
  <c r="E13" i="15"/>
  <c r="F13" i="15"/>
  <c r="G13" i="15"/>
  <c r="H13" i="15"/>
  <c r="I13" i="15"/>
  <c r="J13" i="15"/>
  <c r="K13" i="15"/>
  <c r="L13" i="15"/>
  <c r="M13" i="15"/>
  <c r="N13" i="15"/>
  <c r="O13" i="15"/>
  <c r="P13" i="15"/>
  <c r="S13" i="15"/>
  <c r="T13" i="15"/>
  <c r="U13" i="15"/>
  <c r="V13" i="15"/>
  <c r="W13" i="15"/>
  <c r="X13" i="15"/>
  <c r="Y13" i="15"/>
  <c r="Z13" i="15"/>
  <c r="AA13" i="15"/>
  <c r="AB13" i="15"/>
  <c r="AC13" i="15"/>
  <c r="AD13" i="15"/>
  <c r="AE13" i="15"/>
  <c r="AF13" i="15"/>
  <c r="AG13" i="15"/>
  <c r="AH13" i="15"/>
  <c r="AI13" i="15"/>
  <c r="AJ13" i="15"/>
  <c r="AK13" i="15"/>
  <c r="AL13" i="15"/>
  <c r="AM13" i="15"/>
  <c r="AN13" i="15"/>
  <c r="AO13" i="15"/>
  <c r="AP13" i="15"/>
  <c r="AQ13" i="15"/>
  <c r="AR13" i="15"/>
  <c r="AS13" i="15"/>
  <c r="AT13" i="15"/>
  <c r="AU13" i="15"/>
  <c r="AV13" i="15"/>
  <c r="AW13" i="15"/>
  <c r="AX13" i="15"/>
  <c r="AY13" i="15"/>
  <c r="AZ13" i="15"/>
  <c r="BA13" i="15"/>
  <c r="BB13" i="15"/>
  <c r="BC13" i="15"/>
  <c r="BF13" i="15"/>
  <c r="BG13" i="15"/>
  <c r="BH13" i="15"/>
  <c r="BI13" i="15"/>
  <c r="BJ13" i="15"/>
  <c r="BK13" i="15"/>
  <c r="BL13" i="15"/>
  <c r="C14" i="15"/>
  <c r="D14" i="15"/>
  <c r="E14" i="15"/>
  <c r="F14" i="15"/>
  <c r="G14" i="15"/>
  <c r="H14" i="15"/>
  <c r="I14" i="15"/>
  <c r="J14" i="15"/>
  <c r="K14" i="15"/>
  <c r="L14" i="15"/>
  <c r="M14" i="15"/>
  <c r="N14" i="15"/>
  <c r="O14" i="15"/>
  <c r="P14" i="15"/>
  <c r="S14" i="15"/>
  <c r="T14" i="15"/>
  <c r="U14" i="15"/>
  <c r="V14" i="15"/>
  <c r="W14" i="15"/>
  <c r="X14" i="15"/>
  <c r="Y14" i="15"/>
  <c r="Z14" i="15"/>
  <c r="AA14" i="15"/>
  <c r="AB14" i="15"/>
  <c r="AC14" i="15"/>
  <c r="AD14" i="15"/>
  <c r="AE14" i="15"/>
  <c r="AF14" i="15"/>
  <c r="AG14" i="15"/>
  <c r="AH14" i="15"/>
  <c r="AI14" i="15"/>
  <c r="AJ14" i="15"/>
  <c r="AK14" i="15"/>
  <c r="AL14" i="15"/>
  <c r="AM14" i="15"/>
  <c r="AN14" i="15"/>
  <c r="AO14" i="15"/>
  <c r="AP14" i="15"/>
  <c r="AQ14" i="15"/>
  <c r="AR14" i="15"/>
  <c r="AS14" i="15"/>
  <c r="AT14" i="15"/>
  <c r="AU14" i="15"/>
  <c r="AV14" i="15"/>
  <c r="AW14" i="15"/>
  <c r="AX14" i="15"/>
  <c r="AY14" i="15"/>
  <c r="AZ14" i="15"/>
  <c r="BA14" i="15"/>
  <c r="BB14" i="15"/>
  <c r="BC14" i="15"/>
  <c r="BF14" i="15"/>
  <c r="BG14" i="15"/>
  <c r="BH14" i="15"/>
  <c r="BI14" i="15"/>
  <c r="BJ14" i="15"/>
  <c r="BK14" i="15"/>
  <c r="BL14" i="15"/>
  <c r="V15" i="15"/>
  <c r="Z15" i="15"/>
  <c r="AD15" i="15"/>
  <c r="AH15" i="15"/>
  <c r="AL15" i="15"/>
  <c r="AP15" i="15"/>
  <c r="AT15" i="15"/>
  <c r="AX15" i="15"/>
  <c r="BB15" i="15"/>
  <c r="Q15" i="15" s="1"/>
  <c r="BF15" i="15"/>
  <c r="BJ15" i="15"/>
  <c r="V16" i="15"/>
  <c r="Z16" i="15"/>
  <c r="AD16" i="15"/>
  <c r="AH16" i="15"/>
  <c r="AL16" i="15"/>
  <c r="AP16" i="15"/>
  <c r="AT16" i="15"/>
  <c r="AX16" i="15"/>
  <c r="BB16" i="15"/>
  <c r="Q16" i="15" s="1"/>
  <c r="BF16" i="15"/>
  <c r="BJ16" i="15"/>
  <c r="V17" i="15"/>
  <c r="Z17" i="15"/>
  <c r="AD17" i="15"/>
  <c r="AH17" i="15"/>
  <c r="AL17" i="15"/>
  <c r="AP17" i="15"/>
  <c r="AT17" i="15"/>
  <c r="AX17" i="15"/>
  <c r="BB17" i="15"/>
  <c r="Q17" i="15" s="1"/>
  <c r="BF17" i="15"/>
  <c r="BJ17" i="15"/>
  <c r="K18" i="15"/>
  <c r="M18" i="15"/>
  <c r="V18" i="15"/>
  <c r="Z18" i="15"/>
  <c r="AD18" i="15"/>
  <c r="AH18" i="15"/>
  <c r="AL18" i="15"/>
  <c r="AP18" i="15"/>
  <c r="AT18" i="15"/>
  <c r="AX18" i="15"/>
  <c r="BB18" i="15"/>
  <c r="Q18" i="15" s="1"/>
  <c r="BF18" i="15"/>
  <c r="BJ18" i="15"/>
  <c r="C19" i="15"/>
  <c r="D19" i="15"/>
  <c r="E19" i="15"/>
  <c r="F19" i="15"/>
  <c r="G19" i="15"/>
  <c r="H19" i="15"/>
  <c r="I19" i="15"/>
  <c r="J19" i="15"/>
  <c r="K19" i="15"/>
  <c r="L19" i="15"/>
  <c r="M19" i="15"/>
  <c r="N19" i="15"/>
  <c r="O19" i="15"/>
  <c r="P19" i="15"/>
  <c r="S19" i="15"/>
  <c r="T19" i="15"/>
  <c r="U19" i="15"/>
  <c r="V19" i="15"/>
  <c r="W19" i="15"/>
  <c r="X19" i="15"/>
  <c r="Y19" i="15"/>
  <c r="Z19" i="15"/>
  <c r="AA19" i="15"/>
  <c r="AB19" i="15"/>
  <c r="AC19" i="15"/>
  <c r="AD19" i="15"/>
  <c r="AE19" i="15"/>
  <c r="AF19" i="15"/>
  <c r="AG19" i="15"/>
  <c r="AH19" i="15"/>
  <c r="AI19" i="15"/>
  <c r="AJ19" i="15"/>
  <c r="AK19" i="15"/>
  <c r="AL19" i="15"/>
  <c r="AM19" i="15"/>
  <c r="AN19" i="15"/>
  <c r="AO19" i="15"/>
  <c r="AP19" i="15"/>
  <c r="AQ19" i="15"/>
  <c r="AR19" i="15"/>
  <c r="AS19" i="15"/>
  <c r="AT19" i="15"/>
  <c r="AU19" i="15"/>
  <c r="AV19" i="15"/>
  <c r="AW19" i="15"/>
  <c r="AX19" i="15"/>
  <c r="AY19" i="15"/>
  <c r="AZ19" i="15"/>
  <c r="BA19" i="15"/>
  <c r="BB19" i="15"/>
  <c r="BC19" i="15"/>
  <c r="BF19" i="15"/>
  <c r="BG19" i="15"/>
  <c r="BH19" i="15"/>
  <c r="BI19" i="15"/>
  <c r="BJ19" i="15"/>
  <c r="BK19" i="15"/>
  <c r="BL19" i="15"/>
  <c r="V20" i="15"/>
  <c r="Z20" i="15"/>
  <c r="AD20" i="15"/>
  <c r="AH20" i="15"/>
  <c r="AL20" i="15"/>
  <c r="AP20" i="15"/>
  <c r="AT20" i="15"/>
  <c r="AX20" i="15"/>
  <c r="BB20" i="15"/>
  <c r="Q20" i="15" s="1"/>
  <c r="BF20" i="15"/>
  <c r="BJ20" i="15"/>
  <c r="J21" i="15"/>
  <c r="V21" i="15"/>
  <c r="Z21" i="15"/>
  <c r="AD21" i="15"/>
  <c r="AH21" i="15"/>
  <c r="AL21" i="15"/>
  <c r="AP21" i="15"/>
  <c r="AT21" i="15"/>
  <c r="AX21" i="15"/>
  <c r="BB21" i="15"/>
  <c r="Q21" i="15" s="1"/>
  <c r="BF21" i="15"/>
  <c r="BJ21" i="15"/>
  <c r="V22" i="15"/>
  <c r="Z22" i="15"/>
  <c r="AD22" i="15"/>
  <c r="AH22" i="15"/>
  <c r="AL22" i="15"/>
  <c r="AP22" i="15"/>
  <c r="AT22" i="15"/>
  <c r="AX22" i="15"/>
  <c r="BB22" i="15"/>
  <c r="Q22" i="15" s="1"/>
  <c r="BF22" i="15"/>
  <c r="BJ22" i="15"/>
  <c r="C23" i="15"/>
  <c r="D23" i="15"/>
  <c r="E23" i="15"/>
  <c r="F23" i="15"/>
  <c r="G23" i="15"/>
  <c r="H23" i="15"/>
  <c r="I23" i="15"/>
  <c r="J23" i="15"/>
  <c r="K23" i="15"/>
  <c r="L23" i="15"/>
  <c r="M23" i="15"/>
  <c r="N23" i="15"/>
  <c r="O23" i="15"/>
  <c r="P23" i="15"/>
  <c r="S23" i="15"/>
  <c r="T23" i="15"/>
  <c r="U23" i="15"/>
  <c r="V23" i="15"/>
  <c r="W23" i="15"/>
  <c r="X23" i="15"/>
  <c r="Y23" i="15"/>
  <c r="Z23" i="15"/>
  <c r="AA23" i="15"/>
  <c r="AB23" i="15"/>
  <c r="AC23" i="15"/>
  <c r="AD23" i="15"/>
  <c r="AE23" i="15"/>
  <c r="AF23" i="15"/>
  <c r="AG23" i="15"/>
  <c r="AH23" i="15"/>
  <c r="AI23" i="15"/>
  <c r="AJ23" i="15"/>
  <c r="AK23" i="15"/>
  <c r="AL23" i="15"/>
  <c r="AM23" i="15"/>
  <c r="AN23" i="15"/>
  <c r="AO23" i="15"/>
  <c r="AP23" i="15"/>
  <c r="AQ23" i="15"/>
  <c r="AR23" i="15"/>
  <c r="AS23" i="15"/>
  <c r="AT23" i="15"/>
  <c r="AU23" i="15"/>
  <c r="AV23" i="15"/>
  <c r="AW23" i="15"/>
  <c r="AX23" i="15"/>
  <c r="AY23" i="15"/>
  <c r="AZ23" i="15"/>
  <c r="BA23" i="15"/>
  <c r="BB23" i="15"/>
  <c r="BC23" i="15"/>
  <c r="BF23" i="15"/>
  <c r="BG23" i="15"/>
  <c r="BH23" i="15"/>
  <c r="BI23" i="15"/>
  <c r="BJ23" i="15"/>
  <c r="BK23" i="15"/>
  <c r="BL23" i="15"/>
  <c r="V24" i="15"/>
  <c r="Z24" i="15"/>
  <c r="AD24" i="15"/>
  <c r="AH24" i="15"/>
  <c r="AL24" i="15"/>
  <c r="AP24" i="15"/>
  <c r="AT24" i="15"/>
  <c r="AX24" i="15"/>
  <c r="BB24" i="15"/>
  <c r="Q24" i="15" s="1"/>
  <c r="BF24" i="15"/>
  <c r="BJ24" i="15"/>
  <c r="C25" i="15"/>
  <c r="D25" i="15"/>
  <c r="E25" i="15"/>
  <c r="F25" i="15"/>
  <c r="G25" i="15"/>
  <c r="H25" i="15"/>
  <c r="I25" i="15"/>
  <c r="J25" i="15"/>
  <c r="K25" i="15"/>
  <c r="L25" i="15"/>
  <c r="M25" i="15"/>
  <c r="N25" i="15"/>
  <c r="O25" i="15"/>
  <c r="P25" i="15"/>
  <c r="S25" i="15"/>
  <c r="T25" i="15"/>
  <c r="U25" i="15"/>
  <c r="V25" i="15"/>
  <c r="W25" i="15"/>
  <c r="X25" i="15"/>
  <c r="Y25" i="15"/>
  <c r="Z25" i="15"/>
  <c r="AA25" i="15"/>
  <c r="AB25" i="15"/>
  <c r="AC25" i="15"/>
  <c r="AD25" i="15"/>
  <c r="AE25" i="15"/>
  <c r="AF25" i="15"/>
  <c r="AG25" i="15"/>
  <c r="AH25" i="15"/>
  <c r="AI25" i="15"/>
  <c r="AJ25" i="15"/>
  <c r="AK25" i="15"/>
  <c r="AL25" i="15"/>
  <c r="AM25" i="15"/>
  <c r="AN25" i="15"/>
  <c r="AO25" i="15"/>
  <c r="AP25" i="15"/>
  <c r="AQ25" i="15"/>
  <c r="AR25" i="15"/>
  <c r="AS25" i="15"/>
  <c r="AT25" i="15"/>
  <c r="AU25" i="15"/>
  <c r="AV25" i="15"/>
  <c r="AW25" i="15"/>
  <c r="AX25" i="15"/>
  <c r="AY25" i="15"/>
  <c r="AZ25" i="15"/>
  <c r="BA25" i="15"/>
  <c r="BB25" i="15"/>
  <c r="BC25" i="15"/>
  <c r="BF25" i="15"/>
  <c r="BG25" i="15"/>
  <c r="BH25" i="15"/>
  <c r="BI25" i="15"/>
  <c r="BJ25" i="15"/>
  <c r="BK25" i="15"/>
  <c r="BL25" i="15"/>
  <c r="V26" i="15"/>
  <c r="Z26" i="15"/>
  <c r="AD26" i="15"/>
  <c r="AH26" i="15"/>
  <c r="AL26" i="15"/>
  <c r="AP26" i="15"/>
  <c r="AT26" i="15"/>
  <c r="AX26" i="15"/>
  <c r="BB26" i="15"/>
  <c r="Q26" i="15" s="1"/>
  <c r="BF26" i="15"/>
  <c r="BJ26" i="15"/>
  <c r="C27" i="15"/>
  <c r="D27" i="15"/>
  <c r="E27" i="15"/>
  <c r="F27" i="15"/>
  <c r="G27" i="15"/>
  <c r="H27" i="15"/>
  <c r="I27" i="15"/>
  <c r="J27" i="15"/>
  <c r="K27" i="15"/>
  <c r="L27" i="15"/>
  <c r="M27" i="15"/>
  <c r="N27" i="15"/>
  <c r="O27" i="15"/>
  <c r="P27" i="15"/>
  <c r="S27" i="15"/>
  <c r="T27" i="15"/>
  <c r="U27" i="15"/>
  <c r="V27" i="15"/>
  <c r="W27" i="15"/>
  <c r="X27" i="15"/>
  <c r="Y27" i="15"/>
  <c r="Z27" i="15"/>
  <c r="AA27" i="15"/>
  <c r="AB27" i="15"/>
  <c r="AC27" i="15"/>
  <c r="AD27" i="15"/>
  <c r="AE27" i="15"/>
  <c r="AF27" i="15"/>
  <c r="AG27" i="15"/>
  <c r="AH27" i="15"/>
  <c r="AI27" i="15"/>
  <c r="AJ27" i="15"/>
  <c r="AK27" i="15"/>
  <c r="AL27" i="15"/>
  <c r="AM27" i="15"/>
  <c r="AN27" i="15"/>
  <c r="AO27" i="15"/>
  <c r="AP27" i="15"/>
  <c r="AQ27" i="15"/>
  <c r="AR27" i="15"/>
  <c r="AS27" i="15"/>
  <c r="AT27" i="15"/>
  <c r="AU27" i="15"/>
  <c r="AV27" i="15"/>
  <c r="AW27" i="15"/>
  <c r="AX27" i="15"/>
  <c r="AY27" i="15"/>
  <c r="AZ27" i="15"/>
  <c r="BA27" i="15"/>
  <c r="BB27" i="15"/>
  <c r="BC27" i="15"/>
  <c r="BF27" i="15"/>
  <c r="BG27" i="15"/>
  <c r="BH27" i="15"/>
  <c r="BI27" i="15"/>
  <c r="BJ27" i="15"/>
  <c r="BK27" i="15"/>
  <c r="BL27" i="15"/>
  <c r="B30" i="15"/>
  <c r="C30" i="15"/>
  <c r="D30" i="15"/>
  <c r="E30" i="15"/>
  <c r="F30" i="15"/>
  <c r="G30" i="15"/>
  <c r="H30" i="15"/>
  <c r="I30" i="15"/>
  <c r="J30" i="15"/>
  <c r="K30" i="15"/>
  <c r="L30" i="15"/>
  <c r="M30" i="15"/>
  <c r="N30" i="15"/>
  <c r="O30" i="15"/>
  <c r="P30" i="15"/>
  <c r="S30" i="15"/>
  <c r="T30" i="15"/>
  <c r="U30" i="15"/>
  <c r="V30" i="15"/>
  <c r="W30" i="15"/>
  <c r="X30" i="15"/>
  <c r="Y30" i="15"/>
  <c r="Z30" i="15"/>
  <c r="AA30" i="15"/>
  <c r="AB30" i="15"/>
  <c r="AC30" i="15"/>
  <c r="AD30" i="15"/>
  <c r="AE30" i="15"/>
  <c r="AF30" i="15"/>
  <c r="AG30" i="15"/>
  <c r="AH30" i="15"/>
  <c r="AI30" i="15"/>
  <c r="AJ30" i="15"/>
  <c r="AK30" i="15"/>
  <c r="AL30" i="15"/>
  <c r="AM30" i="15"/>
  <c r="AN30" i="15"/>
  <c r="AO30" i="15"/>
  <c r="AP30" i="15"/>
  <c r="AQ30" i="15"/>
  <c r="AR30" i="15"/>
  <c r="AS30" i="15"/>
  <c r="AT30" i="15"/>
  <c r="AU30" i="15"/>
  <c r="AV30" i="15"/>
  <c r="AW30" i="15"/>
  <c r="AX30" i="15"/>
  <c r="AY30" i="15"/>
  <c r="AZ30" i="15"/>
  <c r="BA30" i="15"/>
  <c r="BB30" i="15"/>
  <c r="BC30" i="15"/>
  <c r="BF30" i="15"/>
  <c r="BG30" i="15"/>
  <c r="BH30" i="15"/>
  <c r="BI30" i="15"/>
  <c r="BJ30" i="15"/>
  <c r="BK30" i="15"/>
  <c r="BL30" i="15"/>
  <c r="B31" i="15"/>
  <c r="C31" i="15"/>
  <c r="D31" i="15"/>
  <c r="E31" i="15"/>
  <c r="F31" i="15"/>
  <c r="G31" i="15"/>
  <c r="H31" i="15"/>
  <c r="I31" i="15"/>
  <c r="J31" i="15"/>
  <c r="K31" i="15"/>
  <c r="L31" i="15"/>
  <c r="M31" i="15"/>
  <c r="N31" i="15"/>
  <c r="O31" i="15"/>
  <c r="P31" i="15"/>
  <c r="S31" i="15"/>
  <c r="T31" i="15"/>
  <c r="U31" i="15"/>
  <c r="V31" i="15"/>
  <c r="W31" i="15"/>
  <c r="X31" i="15"/>
  <c r="Y31" i="15"/>
  <c r="Z31" i="15"/>
  <c r="AA31" i="15"/>
  <c r="AB31" i="15"/>
  <c r="AC31" i="15"/>
  <c r="AD31" i="15"/>
  <c r="AE31" i="15"/>
  <c r="AF31" i="15"/>
  <c r="AG31" i="15"/>
  <c r="AH31" i="15"/>
  <c r="AI31" i="15"/>
  <c r="AJ31" i="15"/>
  <c r="AK31" i="15"/>
  <c r="AL31" i="15"/>
  <c r="AM31" i="15"/>
  <c r="AN31" i="15"/>
  <c r="AO31" i="15"/>
  <c r="AP31" i="15"/>
  <c r="AQ31" i="15"/>
  <c r="AR31" i="15"/>
  <c r="AS31" i="15"/>
  <c r="AT31" i="15"/>
  <c r="AU31" i="15"/>
  <c r="AV31" i="15"/>
  <c r="AW31" i="15"/>
  <c r="AX31" i="15"/>
  <c r="AY31" i="15"/>
  <c r="AZ31" i="15"/>
  <c r="BA31" i="15"/>
  <c r="BB31" i="15"/>
  <c r="BC31" i="15"/>
  <c r="BF31" i="15"/>
  <c r="BG31" i="15"/>
  <c r="BH31" i="15"/>
  <c r="BI31" i="15"/>
  <c r="BJ31" i="15"/>
  <c r="BK31" i="15"/>
  <c r="BL31" i="15"/>
  <c r="C32" i="15"/>
  <c r="D32" i="15"/>
  <c r="E32" i="15"/>
  <c r="F32" i="15"/>
  <c r="G32" i="15"/>
  <c r="H32" i="15"/>
  <c r="I32" i="15"/>
  <c r="J32" i="15"/>
  <c r="K32" i="15"/>
  <c r="L32" i="15"/>
  <c r="M32" i="15"/>
  <c r="N32" i="15"/>
  <c r="O32" i="15"/>
  <c r="P32" i="15"/>
  <c r="S32" i="15"/>
  <c r="T32" i="15"/>
  <c r="U32" i="15"/>
  <c r="V32" i="15"/>
  <c r="W32" i="15"/>
  <c r="X32" i="15"/>
  <c r="Y32" i="15"/>
  <c r="Z32" i="15"/>
  <c r="AA32" i="15"/>
  <c r="AB32" i="15"/>
  <c r="AC32" i="15"/>
  <c r="AD32" i="15"/>
  <c r="AE32" i="15"/>
  <c r="AF32" i="15"/>
  <c r="AG32" i="15"/>
  <c r="AH32" i="15"/>
  <c r="AI32" i="15"/>
  <c r="AJ32" i="15"/>
  <c r="AK32" i="15"/>
  <c r="AL32" i="15"/>
  <c r="AM32" i="15"/>
  <c r="AN32" i="15"/>
  <c r="AO32" i="15"/>
  <c r="AP32" i="15"/>
  <c r="AQ32" i="15"/>
  <c r="AR32" i="15"/>
  <c r="AS32" i="15"/>
  <c r="AT32" i="15"/>
  <c r="AU32" i="15"/>
  <c r="AV32" i="15"/>
  <c r="AW32" i="15"/>
  <c r="AX32" i="15"/>
  <c r="AY32" i="15"/>
  <c r="AZ32" i="15"/>
  <c r="BA32" i="15"/>
  <c r="BB32" i="15"/>
  <c r="BC32" i="15"/>
  <c r="BF32" i="15"/>
  <c r="BG32" i="15"/>
  <c r="BH32" i="15"/>
  <c r="BI32" i="15"/>
  <c r="BJ32" i="15"/>
  <c r="BK32" i="15"/>
  <c r="BL32" i="15"/>
  <c r="B33" i="15"/>
  <c r="C33" i="15"/>
  <c r="D33" i="15"/>
  <c r="E33" i="15"/>
  <c r="F33" i="15"/>
  <c r="G33" i="15"/>
  <c r="H33" i="15"/>
  <c r="I33" i="15"/>
  <c r="J33" i="15"/>
  <c r="K33" i="15"/>
  <c r="L33" i="15"/>
  <c r="M33" i="15"/>
  <c r="N33" i="15"/>
  <c r="O33" i="15"/>
  <c r="P33" i="15"/>
  <c r="S33" i="15"/>
  <c r="T33" i="15"/>
  <c r="U33" i="15"/>
  <c r="V33" i="15"/>
  <c r="W33" i="15"/>
  <c r="X33" i="15"/>
  <c r="Y33" i="15"/>
  <c r="Z33" i="15"/>
  <c r="AA33" i="15"/>
  <c r="AB33" i="15"/>
  <c r="AC33" i="15"/>
  <c r="AD33" i="15"/>
  <c r="AE33" i="15"/>
  <c r="AF33" i="15"/>
  <c r="AG33" i="15"/>
  <c r="AH33" i="15"/>
  <c r="AI33" i="15"/>
  <c r="AJ33" i="15"/>
  <c r="AK33" i="15"/>
  <c r="AL33" i="15"/>
  <c r="AM33" i="15"/>
  <c r="AN33" i="15"/>
  <c r="AO33" i="15"/>
  <c r="AP33" i="15"/>
  <c r="AQ33" i="15"/>
  <c r="AR33" i="15"/>
  <c r="AS33" i="15"/>
  <c r="AT33" i="15"/>
  <c r="AU33" i="15"/>
  <c r="AV33" i="15"/>
  <c r="AW33" i="15"/>
  <c r="AX33" i="15"/>
  <c r="AY33" i="15"/>
  <c r="AZ33" i="15"/>
  <c r="BA33" i="15"/>
  <c r="BB33" i="15"/>
  <c r="BC33" i="15"/>
  <c r="BF33" i="15"/>
  <c r="BG33" i="15"/>
  <c r="BH33" i="15"/>
  <c r="BI33" i="15"/>
  <c r="BJ33" i="15"/>
  <c r="BK33" i="15"/>
  <c r="BL33" i="15"/>
  <c r="B34" i="15"/>
  <c r="C34" i="15"/>
  <c r="D34" i="15"/>
  <c r="E34" i="15"/>
  <c r="F34" i="15"/>
  <c r="G34" i="15"/>
  <c r="H34" i="15"/>
  <c r="I34" i="15"/>
  <c r="J34" i="15"/>
  <c r="K34" i="15"/>
  <c r="L34" i="15"/>
  <c r="M34" i="15"/>
  <c r="N34" i="15"/>
  <c r="O34" i="15"/>
  <c r="P34" i="15"/>
  <c r="Q34" i="15"/>
  <c r="S34" i="15"/>
  <c r="T34" i="15"/>
  <c r="U34" i="15"/>
  <c r="V34" i="15"/>
  <c r="W34" i="15"/>
  <c r="X34" i="15"/>
  <c r="Y34" i="15"/>
  <c r="Z34" i="15"/>
  <c r="AA34" i="15"/>
  <c r="AB34" i="15"/>
  <c r="AC34" i="15"/>
  <c r="AD34" i="15"/>
  <c r="AE34" i="15"/>
  <c r="AF34" i="15"/>
  <c r="AG34" i="15"/>
  <c r="AH34" i="15"/>
  <c r="AI34" i="15"/>
  <c r="AJ34" i="15"/>
  <c r="AK34" i="15"/>
  <c r="AL34" i="15"/>
  <c r="AM34" i="15"/>
  <c r="AN34" i="15"/>
  <c r="AO34" i="15"/>
  <c r="AP34" i="15"/>
  <c r="AQ34" i="15"/>
  <c r="AR34" i="15"/>
  <c r="AS34" i="15"/>
  <c r="AT34" i="15"/>
  <c r="AU34" i="15"/>
  <c r="AV34" i="15"/>
  <c r="AW34" i="15"/>
  <c r="AX34" i="15"/>
  <c r="AY34" i="15"/>
  <c r="AZ34" i="15"/>
  <c r="BA34" i="15"/>
  <c r="BB34" i="15"/>
  <c r="BC34" i="15"/>
  <c r="BF34" i="15"/>
  <c r="BG34" i="15"/>
  <c r="BH34" i="15"/>
  <c r="BI34" i="15"/>
  <c r="BJ34" i="15"/>
  <c r="BK34" i="15"/>
  <c r="BL34" i="15"/>
  <c r="B35" i="15"/>
  <c r="C35" i="15"/>
  <c r="D35" i="15"/>
  <c r="E35" i="15"/>
  <c r="F35" i="15"/>
  <c r="G35" i="15"/>
  <c r="H35" i="15"/>
  <c r="I35" i="15"/>
  <c r="J35" i="15"/>
  <c r="K35" i="15"/>
  <c r="L35" i="15"/>
  <c r="M35" i="15"/>
  <c r="N35" i="15"/>
  <c r="O35" i="15"/>
  <c r="P35" i="15"/>
  <c r="S35" i="15"/>
  <c r="T35" i="15"/>
  <c r="U35" i="15"/>
  <c r="V35" i="15"/>
  <c r="W35" i="15"/>
  <c r="X35" i="15"/>
  <c r="Y35" i="15"/>
  <c r="Z35" i="15"/>
  <c r="AA35" i="15"/>
  <c r="AB35" i="15"/>
  <c r="AC35" i="15"/>
  <c r="AD35" i="15"/>
  <c r="AE35" i="15"/>
  <c r="AF35" i="15"/>
  <c r="AG35" i="15"/>
  <c r="AH35" i="15"/>
  <c r="AI35" i="15"/>
  <c r="AJ35" i="15"/>
  <c r="AK35" i="15"/>
  <c r="AL35" i="15"/>
  <c r="AM35" i="15"/>
  <c r="AN35" i="15"/>
  <c r="AO35" i="15"/>
  <c r="AP35" i="15"/>
  <c r="AQ35" i="15"/>
  <c r="AR35" i="15"/>
  <c r="AS35" i="15"/>
  <c r="AT35" i="15"/>
  <c r="AU35" i="15"/>
  <c r="AV35" i="15"/>
  <c r="AW35" i="15"/>
  <c r="AX35" i="15"/>
  <c r="AY35" i="15"/>
  <c r="AZ35" i="15"/>
  <c r="BA35" i="15"/>
  <c r="BB35" i="15"/>
  <c r="BC35" i="15"/>
  <c r="BF35" i="15"/>
  <c r="BG35" i="15"/>
  <c r="BH35" i="15"/>
  <c r="BI35" i="15"/>
  <c r="BJ35" i="15"/>
  <c r="BK35" i="15"/>
  <c r="BL35" i="15"/>
  <c r="C36" i="15"/>
  <c r="D36" i="15"/>
  <c r="E36" i="15"/>
  <c r="F36" i="15"/>
  <c r="G36" i="15"/>
  <c r="H36" i="15"/>
  <c r="I36" i="15"/>
  <c r="J36" i="15"/>
  <c r="K36" i="15"/>
  <c r="L36" i="15"/>
  <c r="M36" i="15"/>
  <c r="N36" i="15"/>
  <c r="O36" i="15"/>
  <c r="P36" i="15"/>
  <c r="S36" i="15"/>
  <c r="T36" i="15"/>
  <c r="U36" i="15"/>
  <c r="W36" i="15"/>
  <c r="X36" i="15"/>
  <c r="Y36" i="15"/>
  <c r="AA36" i="15"/>
  <c r="AB36" i="15"/>
  <c r="AC36" i="15"/>
  <c r="AE36" i="15"/>
  <c r="AF36" i="15"/>
  <c r="AG36" i="15"/>
  <c r="AI36" i="15"/>
  <c r="AJ36" i="15"/>
  <c r="AK36" i="15"/>
  <c r="AM36" i="15"/>
  <c r="AN36" i="15"/>
  <c r="AO36" i="15"/>
  <c r="AQ36" i="15"/>
  <c r="AR36" i="15"/>
  <c r="AS36" i="15"/>
  <c r="AU36" i="15"/>
  <c r="AV36" i="15"/>
  <c r="AW36" i="15"/>
  <c r="AY36" i="15"/>
  <c r="AZ36" i="15"/>
  <c r="BA36" i="15"/>
  <c r="BG36" i="15"/>
  <c r="BH36" i="15"/>
  <c r="BI36" i="15"/>
  <c r="BK36" i="15"/>
  <c r="BL36" i="15"/>
  <c r="B38" i="15"/>
  <c r="C38" i="15"/>
  <c r="D38" i="15"/>
  <c r="E38" i="15"/>
  <c r="F38" i="15"/>
  <c r="G38" i="15"/>
  <c r="H38" i="15"/>
  <c r="I38" i="15"/>
  <c r="J38" i="15"/>
  <c r="K38" i="15"/>
  <c r="L38" i="15"/>
  <c r="M38" i="15"/>
  <c r="N38" i="15"/>
  <c r="O38" i="15"/>
  <c r="P38" i="15"/>
  <c r="S38" i="15"/>
  <c r="T38" i="15"/>
  <c r="U38" i="15"/>
  <c r="V38" i="15"/>
  <c r="W38" i="15"/>
  <c r="X38" i="15"/>
  <c r="Y38" i="15"/>
  <c r="Z38" i="15"/>
  <c r="AA38" i="15"/>
  <c r="AB38" i="15"/>
  <c r="AC38" i="15"/>
  <c r="AD38" i="15"/>
  <c r="AE38" i="15"/>
  <c r="AF38" i="15"/>
  <c r="AG38" i="15"/>
  <c r="AH38" i="15"/>
  <c r="AI38" i="15"/>
  <c r="AJ38" i="15"/>
  <c r="AK38" i="15"/>
  <c r="AL38" i="15"/>
  <c r="AM38" i="15"/>
  <c r="AN38" i="15"/>
  <c r="AO38" i="15"/>
  <c r="AP38" i="15"/>
  <c r="AQ38" i="15"/>
  <c r="AR38" i="15"/>
  <c r="AS38" i="15"/>
  <c r="AT38" i="15"/>
  <c r="AU38" i="15"/>
  <c r="AV38" i="15"/>
  <c r="AW38" i="15"/>
  <c r="AX38" i="15"/>
  <c r="AY38" i="15"/>
  <c r="AZ38" i="15"/>
  <c r="BA38" i="15"/>
  <c r="BB38" i="15"/>
  <c r="BC38" i="15"/>
  <c r="BF38" i="15"/>
  <c r="BG38" i="15"/>
  <c r="BH38" i="15"/>
  <c r="BI38" i="15"/>
  <c r="BJ38" i="15"/>
  <c r="BK38" i="15"/>
  <c r="BL38" i="15"/>
  <c r="C39" i="15"/>
  <c r="D39" i="15"/>
  <c r="E39" i="15"/>
  <c r="F39" i="15"/>
  <c r="G39" i="15"/>
  <c r="H39" i="15"/>
  <c r="I39" i="15"/>
  <c r="J39" i="15"/>
  <c r="K39" i="15"/>
  <c r="L39" i="15"/>
  <c r="M39" i="15"/>
  <c r="N39" i="15"/>
  <c r="O39" i="15"/>
  <c r="P39" i="15"/>
  <c r="S39" i="15"/>
  <c r="T39" i="15"/>
  <c r="U39" i="15"/>
  <c r="V39" i="15"/>
  <c r="W39" i="15"/>
  <c r="X39" i="15"/>
  <c r="Y39" i="15"/>
  <c r="Z39" i="15"/>
  <c r="AA39" i="15"/>
  <c r="AB39" i="15"/>
  <c r="AC39" i="15"/>
  <c r="AD39" i="15"/>
  <c r="AE39" i="15"/>
  <c r="AF39" i="15"/>
  <c r="AG39" i="15"/>
  <c r="AH39" i="15"/>
  <c r="AI39" i="15"/>
  <c r="AJ39" i="15"/>
  <c r="AK39" i="15"/>
  <c r="AL39" i="15"/>
  <c r="AM39" i="15"/>
  <c r="AN39" i="15"/>
  <c r="AO39" i="15"/>
  <c r="AP39" i="15"/>
  <c r="AQ39" i="15"/>
  <c r="AR39" i="15"/>
  <c r="AS39" i="15"/>
  <c r="AT39" i="15"/>
  <c r="AU39" i="15"/>
  <c r="AV39" i="15"/>
  <c r="AW39" i="15"/>
  <c r="AX39" i="15"/>
  <c r="AY39" i="15"/>
  <c r="AZ39" i="15"/>
  <c r="BA39" i="15"/>
  <c r="BB39" i="15"/>
  <c r="BC39" i="15"/>
  <c r="BF39" i="15"/>
  <c r="BG39" i="15"/>
  <c r="BH39" i="15"/>
  <c r="BI39" i="15"/>
  <c r="BJ39" i="15"/>
  <c r="BK39" i="15"/>
  <c r="BL39" i="15"/>
  <c r="BF41" i="15"/>
  <c r="BG41" i="15"/>
  <c r="BH41" i="15"/>
  <c r="BI41" i="15"/>
  <c r="BJ41" i="15"/>
  <c r="BK41" i="15"/>
  <c r="BL41" i="15"/>
  <c r="C42" i="15"/>
  <c r="D42" i="15"/>
  <c r="E42" i="15"/>
  <c r="F42" i="15"/>
  <c r="G42" i="15"/>
  <c r="H42" i="15"/>
  <c r="I42" i="15"/>
  <c r="J42" i="15"/>
  <c r="K42" i="15"/>
  <c r="L42" i="15"/>
  <c r="M42" i="15"/>
  <c r="N42" i="15"/>
  <c r="O42" i="15"/>
  <c r="P42" i="15"/>
  <c r="S42" i="15"/>
  <c r="W42" i="15"/>
  <c r="AA42" i="15"/>
  <c r="AE42" i="15"/>
  <c r="AF42" i="15"/>
  <c r="AG42" i="15"/>
  <c r="AI42" i="15"/>
  <c r="AJ42" i="15"/>
  <c r="AK42" i="15"/>
  <c r="AM42" i="15"/>
  <c r="AN42" i="15"/>
  <c r="AO42" i="15"/>
  <c r="AQ42" i="15"/>
  <c r="AR42" i="15"/>
  <c r="AS42" i="15"/>
  <c r="AU42" i="15"/>
  <c r="AV42" i="15"/>
  <c r="AW42" i="15"/>
  <c r="AY42" i="15"/>
  <c r="AZ42" i="15"/>
  <c r="BC42" i="15"/>
  <c r="BG42" i="15"/>
  <c r="BH42" i="15"/>
  <c r="BI42" i="15"/>
  <c r="BK42" i="15"/>
  <c r="BL42" i="15"/>
  <c r="C44" i="15"/>
  <c r="D44" i="15"/>
  <c r="E44" i="15"/>
  <c r="F44" i="15"/>
  <c r="G44" i="15"/>
  <c r="H44" i="15"/>
  <c r="I44" i="15"/>
  <c r="J44" i="15"/>
  <c r="K44" i="15"/>
  <c r="L44" i="15"/>
  <c r="M44" i="15"/>
  <c r="N44" i="15"/>
  <c r="O44" i="15"/>
  <c r="P44" i="15"/>
  <c r="Q44" i="15"/>
  <c r="S44" i="15"/>
  <c r="T44" i="15"/>
  <c r="U44" i="15"/>
  <c r="V44" i="15"/>
  <c r="W44" i="15"/>
  <c r="X44" i="15"/>
  <c r="Y44" i="15"/>
  <c r="Z44" i="15"/>
  <c r="AA44" i="15"/>
  <c r="AB44" i="15"/>
  <c r="AC44" i="15"/>
  <c r="AD44" i="15"/>
  <c r="AE44" i="15"/>
  <c r="AF44" i="15"/>
  <c r="AG44" i="15"/>
  <c r="AH44" i="15"/>
  <c r="AI44" i="15"/>
  <c r="AJ44" i="15"/>
  <c r="AK44" i="15"/>
  <c r="AL44" i="15"/>
  <c r="AM44" i="15"/>
  <c r="AN44" i="15"/>
  <c r="AO44" i="15"/>
  <c r="AP44" i="15"/>
  <c r="AQ44" i="15"/>
  <c r="AR44" i="15"/>
  <c r="AS44" i="15"/>
  <c r="AT44" i="15"/>
  <c r="AU44" i="15"/>
  <c r="AV44" i="15"/>
  <c r="AW44" i="15"/>
  <c r="AX44" i="15"/>
  <c r="AY44" i="15"/>
  <c r="AZ44" i="15"/>
  <c r="BA44" i="15"/>
  <c r="BB44" i="15"/>
  <c r="BC44" i="15"/>
  <c r="BF44" i="15"/>
  <c r="BG44" i="15"/>
  <c r="BH44" i="15"/>
  <c r="BI44" i="15"/>
  <c r="BJ44" i="15"/>
  <c r="BK44" i="15"/>
  <c r="BL44" i="15"/>
  <c r="C45" i="15"/>
  <c r="D45" i="15"/>
  <c r="E45" i="15"/>
  <c r="F45" i="15"/>
  <c r="G45" i="15"/>
  <c r="H45" i="15"/>
  <c r="I45" i="15"/>
  <c r="J45" i="15"/>
  <c r="K45" i="15"/>
  <c r="L45" i="15"/>
  <c r="M45" i="15"/>
  <c r="N45" i="15"/>
  <c r="O45" i="15"/>
  <c r="P45" i="15"/>
  <c r="S45" i="15"/>
  <c r="T45" i="15"/>
  <c r="U45" i="15"/>
  <c r="V45" i="15"/>
  <c r="W45" i="15"/>
  <c r="X45" i="15"/>
  <c r="Y45" i="15"/>
  <c r="Z45" i="15"/>
  <c r="AA45" i="15"/>
  <c r="AB45" i="15"/>
  <c r="AC45" i="15"/>
  <c r="AD45" i="15"/>
  <c r="AE45" i="15"/>
  <c r="AF45" i="15"/>
  <c r="AG45" i="15"/>
  <c r="AH45" i="15"/>
  <c r="AI45" i="15"/>
  <c r="AJ45" i="15"/>
  <c r="AK45" i="15"/>
  <c r="AL45" i="15"/>
  <c r="AM45" i="15"/>
  <c r="AN45" i="15"/>
  <c r="AO45" i="15"/>
  <c r="AP45" i="15"/>
  <c r="AQ45" i="15"/>
  <c r="AR45" i="15"/>
  <c r="AS45" i="15"/>
  <c r="AT45" i="15"/>
  <c r="AU45" i="15"/>
  <c r="AV45" i="15"/>
  <c r="AW45" i="15"/>
  <c r="AX45" i="15"/>
  <c r="AY45" i="15"/>
  <c r="AZ45" i="15"/>
  <c r="BA45" i="15"/>
  <c r="BB45" i="15"/>
  <c r="BC45" i="15"/>
  <c r="BF45" i="15"/>
  <c r="BG45" i="15"/>
  <c r="BH45" i="15"/>
  <c r="BI45" i="15"/>
  <c r="BJ45" i="15"/>
  <c r="BK45" i="15"/>
  <c r="BL45" i="15"/>
  <c r="T46" i="15"/>
  <c r="T42" i="15" s="1"/>
  <c r="U46" i="15"/>
  <c r="U42" i="15" s="1"/>
  <c r="V46" i="15"/>
  <c r="V42" i="15" s="1"/>
  <c r="X46" i="15"/>
  <c r="X42" i="15" s="1"/>
  <c r="Y46" i="15"/>
  <c r="Y42" i="15" s="1"/>
  <c r="Z46" i="15"/>
  <c r="Z42" i="15" s="1"/>
  <c r="AB46" i="15"/>
  <c r="AB42" i="15" s="1"/>
  <c r="AC46" i="15"/>
  <c r="AC42" i="15" s="1"/>
  <c r="AD46" i="15"/>
  <c r="AD42" i="15" s="1"/>
  <c r="AH46" i="15"/>
  <c r="AH42" i="15" s="1"/>
  <c r="AL46" i="15"/>
  <c r="AL42" i="15" s="1"/>
  <c r="AP46" i="15"/>
  <c r="AP42" i="15" s="1"/>
  <c r="AT46" i="15"/>
  <c r="AT42" i="15" s="1"/>
  <c r="AX46" i="15"/>
  <c r="AX42" i="15" s="1"/>
  <c r="BA46" i="15"/>
  <c r="BB46" i="15"/>
  <c r="BB42" i="15" s="1"/>
  <c r="BF46" i="15"/>
  <c r="BF42" i="15" s="1"/>
  <c r="BJ46" i="15"/>
  <c r="BJ42" i="15" s="1"/>
  <c r="C47" i="15"/>
  <c r="D47" i="15"/>
  <c r="E47" i="15"/>
  <c r="F47" i="15"/>
  <c r="G47" i="15"/>
  <c r="H47" i="15"/>
  <c r="I47" i="15"/>
  <c r="J47" i="15"/>
  <c r="K47" i="15"/>
  <c r="L47" i="15"/>
  <c r="M47" i="15"/>
  <c r="N47" i="15"/>
  <c r="O47" i="15"/>
  <c r="P47" i="15"/>
  <c r="S47" i="15"/>
  <c r="T47" i="15"/>
  <c r="U47" i="15"/>
  <c r="V47" i="15"/>
  <c r="W47" i="15"/>
  <c r="X47" i="15"/>
  <c r="Y47" i="15"/>
  <c r="Z47" i="15"/>
  <c r="AA47" i="15"/>
  <c r="AB47" i="15"/>
  <c r="AC47" i="15"/>
  <c r="AD47" i="15"/>
  <c r="AE47" i="15"/>
  <c r="AF47" i="15"/>
  <c r="AG47" i="15"/>
  <c r="AH47" i="15"/>
  <c r="AI47" i="15"/>
  <c r="AJ47" i="15"/>
  <c r="AK47" i="15"/>
  <c r="AL47" i="15"/>
  <c r="AM47" i="15"/>
  <c r="AN47" i="15"/>
  <c r="AO47" i="15"/>
  <c r="AP47" i="15"/>
  <c r="AQ47" i="15"/>
  <c r="AR47" i="15"/>
  <c r="AS47" i="15"/>
  <c r="AT47" i="15"/>
  <c r="AU47" i="15"/>
  <c r="AV47" i="15"/>
  <c r="AW47" i="15"/>
  <c r="AX47" i="15"/>
  <c r="AY47" i="15"/>
  <c r="AZ47" i="15"/>
  <c r="BA47" i="15"/>
  <c r="BB47" i="15"/>
  <c r="BC47" i="15"/>
  <c r="BF47" i="15"/>
  <c r="BG47" i="15"/>
  <c r="BH47" i="15"/>
  <c r="BI47" i="15"/>
  <c r="BJ47" i="15"/>
  <c r="BK47" i="15"/>
  <c r="BL47" i="15"/>
  <c r="D48" i="15"/>
  <c r="E48" i="15"/>
  <c r="F48" i="15"/>
  <c r="G48" i="15"/>
  <c r="H48" i="15"/>
  <c r="I48" i="15"/>
  <c r="J48" i="15"/>
  <c r="K48" i="15"/>
  <c r="L48" i="15"/>
  <c r="M48" i="15"/>
  <c r="N48" i="15"/>
  <c r="O48" i="15"/>
  <c r="P48" i="15"/>
  <c r="W48" i="15"/>
  <c r="X48" i="15"/>
  <c r="Y48" i="15"/>
  <c r="Z48" i="15"/>
  <c r="AA48" i="15"/>
  <c r="AB48" i="15"/>
  <c r="AC48" i="15"/>
  <c r="AD48" i="15"/>
  <c r="AE48" i="15"/>
  <c r="AF48" i="15"/>
  <c r="AG48" i="15"/>
  <c r="AH48" i="15"/>
  <c r="AI48" i="15"/>
  <c r="AJ48" i="15"/>
  <c r="AK48" i="15"/>
  <c r="AL48" i="15"/>
  <c r="AM48" i="15"/>
  <c r="AN48" i="15"/>
  <c r="AO48" i="15"/>
  <c r="AP48" i="15"/>
  <c r="AQ48" i="15"/>
  <c r="AR48" i="15"/>
  <c r="AS48" i="15"/>
  <c r="AT48" i="15"/>
  <c r="AU48" i="15"/>
  <c r="AV48" i="15"/>
  <c r="AW48" i="15"/>
  <c r="AX48" i="15"/>
  <c r="AY48" i="15"/>
  <c r="AZ48" i="15"/>
  <c r="BA48" i="15"/>
  <c r="BB48" i="15"/>
  <c r="BC48" i="15"/>
  <c r="BL48" i="15"/>
  <c r="C49" i="15"/>
  <c r="D49" i="15"/>
  <c r="E49" i="15"/>
  <c r="F49" i="15"/>
  <c r="G49" i="15"/>
  <c r="H49" i="15"/>
  <c r="I49" i="15"/>
  <c r="J49" i="15"/>
  <c r="K49" i="15"/>
  <c r="L49" i="15"/>
  <c r="M49" i="15"/>
  <c r="N49" i="15"/>
  <c r="O49" i="15"/>
  <c r="P49" i="15"/>
  <c r="S49" i="15"/>
  <c r="T49" i="15"/>
  <c r="U49" i="15"/>
  <c r="V49" i="15"/>
  <c r="W49" i="15"/>
  <c r="X49" i="15"/>
  <c r="Y49" i="15"/>
  <c r="Z49" i="15"/>
  <c r="AA49" i="15"/>
  <c r="AB49" i="15"/>
  <c r="AC49" i="15"/>
  <c r="AD49" i="15"/>
  <c r="AE49" i="15"/>
  <c r="AF49" i="15"/>
  <c r="AG49" i="15"/>
  <c r="AH49" i="15"/>
  <c r="AI49" i="15"/>
  <c r="AJ49" i="15"/>
  <c r="AK49" i="15"/>
  <c r="AL49" i="15"/>
  <c r="AM49" i="15"/>
  <c r="AN49" i="15"/>
  <c r="AO49" i="15"/>
  <c r="AP49" i="15"/>
  <c r="AQ49" i="15"/>
  <c r="AR49" i="15"/>
  <c r="AS49" i="15"/>
  <c r="AT49" i="15"/>
  <c r="AU49" i="15"/>
  <c r="AV49" i="15"/>
  <c r="AW49" i="15"/>
  <c r="AX49" i="15"/>
  <c r="AY49" i="15"/>
  <c r="AZ49" i="15"/>
  <c r="BA49" i="15"/>
  <c r="BB49" i="15"/>
  <c r="BC49" i="15"/>
  <c r="BL49" i="15"/>
  <c r="C51" i="15"/>
  <c r="C67" i="20" s="1"/>
  <c r="D51" i="15"/>
  <c r="E51" i="15"/>
  <c r="F51" i="15"/>
  <c r="G51" i="15"/>
  <c r="H51" i="15"/>
  <c r="I51" i="15"/>
  <c r="J51" i="15"/>
  <c r="K51" i="15"/>
  <c r="L51" i="15"/>
  <c r="M51" i="15"/>
  <c r="N51" i="15"/>
  <c r="O51" i="15"/>
  <c r="P51" i="15"/>
  <c r="S51" i="15"/>
  <c r="T51" i="15"/>
  <c r="U51" i="15"/>
  <c r="V51" i="15"/>
  <c r="W51" i="15"/>
  <c r="X51" i="15"/>
  <c r="Y51" i="15"/>
  <c r="Z51" i="15"/>
  <c r="AA51" i="15"/>
  <c r="AB51" i="15"/>
  <c r="AC51" i="15"/>
  <c r="AD51" i="15"/>
  <c r="AE51" i="15"/>
  <c r="AF51" i="15"/>
  <c r="AG51" i="15"/>
  <c r="AH51" i="15"/>
  <c r="AI51" i="15"/>
  <c r="AJ51" i="15"/>
  <c r="AK51" i="15"/>
  <c r="AL51" i="15"/>
  <c r="AM51" i="15"/>
  <c r="AN51" i="15"/>
  <c r="AO51" i="15"/>
  <c r="AP51" i="15"/>
  <c r="AQ51" i="15"/>
  <c r="AR51" i="15"/>
  <c r="AS51" i="15"/>
  <c r="AT51" i="15"/>
  <c r="AU51" i="15"/>
  <c r="AV51" i="15"/>
  <c r="AW51" i="15"/>
  <c r="AX51" i="15"/>
  <c r="AY51" i="15"/>
  <c r="AZ51" i="15"/>
  <c r="BA51" i="15"/>
  <c r="BB51" i="15"/>
  <c r="BC51" i="15"/>
  <c r="BF51" i="15"/>
  <c r="BG51" i="15"/>
  <c r="BH51" i="15"/>
  <c r="BI51" i="15"/>
  <c r="BJ51" i="15"/>
  <c r="BK51" i="15"/>
  <c r="BL51" i="15"/>
  <c r="C52" i="15"/>
  <c r="D52" i="15"/>
  <c r="D67" i="20" s="1"/>
  <c r="E52" i="15"/>
  <c r="E67" i="20" s="1"/>
  <c r="F52" i="15"/>
  <c r="F67" i="20" s="1"/>
  <c r="G52" i="15"/>
  <c r="G67" i="20" s="1"/>
  <c r="H52" i="15"/>
  <c r="H67" i="20" s="1"/>
  <c r="I52" i="15"/>
  <c r="I67" i="20" s="1"/>
  <c r="J52" i="15"/>
  <c r="J67" i="20" s="1"/>
  <c r="K52" i="15"/>
  <c r="K67" i="20" s="1"/>
  <c r="L52" i="15"/>
  <c r="M52" i="15"/>
  <c r="N52" i="15"/>
  <c r="N67" i="20" s="1"/>
  <c r="O52" i="15"/>
  <c r="O67" i="20" s="1"/>
  <c r="P52" i="15"/>
  <c r="S52" i="15"/>
  <c r="S67" i="20" s="1"/>
  <c r="T52" i="15"/>
  <c r="T67" i="20" s="1"/>
  <c r="U52" i="15"/>
  <c r="U67" i="20" s="1"/>
  <c r="V52" i="15"/>
  <c r="V67" i="20" s="1"/>
  <c r="W52" i="15"/>
  <c r="W67" i="20" s="1"/>
  <c r="X52" i="15"/>
  <c r="X67" i="20" s="1"/>
  <c r="Y52" i="15"/>
  <c r="Y67" i="20" s="1"/>
  <c r="Z52" i="15"/>
  <c r="Z67" i="20" s="1"/>
  <c r="AA52" i="15"/>
  <c r="AA67" i="20" s="1"/>
  <c r="AB52" i="15"/>
  <c r="AB67" i="20" s="1"/>
  <c r="AC52" i="15"/>
  <c r="AC67" i="20" s="1"/>
  <c r="AD52" i="15"/>
  <c r="AD67" i="20" s="1"/>
  <c r="AE52" i="15"/>
  <c r="AE67" i="20" s="1"/>
  <c r="AF52" i="15"/>
  <c r="AF67" i="20" s="1"/>
  <c r="AG52" i="15"/>
  <c r="AG67" i="20" s="1"/>
  <c r="AH52" i="15"/>
  <c r="AH67" i="20" s="1"/>
  <c r="AI52" i="15"/>
  <c r="AI67" i="20" s="1"/>
  <c r="AJ52" i="15"/>
  <c r="AJ67" i="20" s="1"/>
  <c r="AK52" i="15"/>
  <c r="AK67" i="20" s="1"/>
  <c r="AL52" i="15"/>
  <c r="AL67" i="20" s="1"/>
  <c r="AM52" i="15"/>
  <c r="AM67" i="20" s="1"/>
  <c r="AN52" i="15"/>
  <c r="AN67" i="20" s="1"/>
  <c r="AO52" i="15"/>
  <c r="AO67" i="20" s="1"/>
  <c r="AP52" i="15"/>
  <c r="AP67" i="20" s="1"/>
  <c r="AQ52" i="15"/>
  <c r="AQ67" i="20" s="1"/>
  <c r="AR52" i="15"/>
  <c r="AR67" i="20" s="1"/>
  <c r="AS52" i="15"/>
  <c r="AS67" i="20" s="1"/>
  <c r="AT52" i="15"/>
  <c r="AT67" i="20" s="1"/>
  <c r="AU52" i="15"/>
  <c r="AU67" i="20" s="1"/>
  <c r="AV52" i="15"/>
  <c r="AV67" i="20" s="1"/>
  <c r="AW52" i="15"/>
  <c r="AW67" i="20" s="1"/>
  <c r="AX52" i="15"/>
  <c r="AX67" i="20" s="1"/>
  <c r="AY52" i="15"/>
  <c r="AY67" i="20" s="1"/>
  <c r="AZ52" i="15"/>
  <c r="BA52" i="15"/>
  <c r="BA67" i="20" s="1"/>
  <c r="BB52" i="15"/>
  <c r="BC52" i="15"/>
  <c r="BC67" i="20" s="1"/>
  <c r="BF52" i="15"/>
  <c r="BF67" i="20" s="1"/>
  <c r="BG52" i="15"/>
  <c r="BG67" i="20" s="1"/>
  <c r="BH52" i="15"/>
  <c r="BH67" i="20" s="1"/>
  <c r="BI52" i="15"/>
  <c r="BI67" i="20" s="1"/>
  <c r="BJ52" i="15"/>
  <c r="BK52" i="15"/>
  <c r="BL52" i="15"/>
  <c r="D53" i="15"/>
  <c r="E53" i="15"/>
  <c r="F53" i="15"/>
  <c r="G53" i="15"/>
  <c r="H53" i="15"/>
  <c r="I53" i="15"/>
  <c r="J53" i="15"/>
  <c r="K53" i="15"/>
  <c r="L53" i="15"/>
  <c r="M53" i="15"/>
  <c r="N53" i="15"/>
  <c r="O53" i="15"/>
  <c r="P53" i="15"/>
  <c r="W53" i="15"/>
  <c r="X53" i="15"/>
  <c r="Y53" i="15"/>
  <c r="Z53" i="15"/>
  <c r="AA53" i="15"/>
  <c r="AB53" i="15"/>
  <c r="AC53" i="15"/>
  <c r="AD53" i="15"/>
  <c r="AE53" i="15"/>
  <c r="AF53" i="15"/>
  <c r="AG53" i="15"/>
  <c r="AH53" i="15"/>
  <c r="AI53" i="15"/>
  <c r="AJ53" i="15"/>
  <c r="AK53" i="15"/>
  <c r="AL53" i="15"/>
  <c r="AM53" i="15"/>
  <c r="AN53" i="15"/>
  <c r="AO53" i="15"/>
  <c r="AP53" i="15"/>
  <c r="AQ53" i="15"/>
  <c r="AR53" i="15"/>
  <c r="AS53" i="15"/>
  <c r="AT53" i="15"/>
  <c r="AU53" i="15"/>
  <c r="AV53" i="15"/>
  <c r="AW53" i="15"/>
  <c r="AX53" i="15"/>
  <c r="AY53" i="15"/>
  <c r="AZ53" i="15"/>
  <c r="BA53" i="15"/>
  <c r="BB53" i="15"/>
  <c r="BC53" i="15"/>
  <c r="BL53" i="15"/>
  <c r="C54" i="15"/>
  <c r="D54" i="15"/>
  <c r="E54" i="15"/>
  <c r="F54" i="15"/>
  <c r="G54" i="15"/>
  <c r="H54" i="15"/>
  <c r="I54" i="15"/>
  <c r="J54" i="15"/>
  <c r="K54" i="15"/>
  <c r="L54" i="15"/>
  <c r="M54" i="15"/>
  <c r="N54" i="15"/>
  <c r="O54" i="15"/>
  <c r="P54" i="15"/>
  <c r="S54" i="15"/>
  <c r="T54" i="15"/>
  <c r="U54" i="15"/>
  <c r="V54" i="15"/>
  <c r="W54" i="15"/>
  <c r="X54" i="15"/>
  <c r="Y54" i="15"/>
  <c r="Z54" i="15"/>
  <c r="AA54" i="15"/>
  <c r="AB54" i="15"/>
  <c r="AC54" i="15"/>
  <c r="AD54" i="15"/>
  <c r="AE54" i="15"/>
  <c r="AF54" i="15"/>
  <c r="AG54" i="15"/>
  <c r="AH54" i="15"/>
  <c r="AI54" i="15"/>
  <c r="AJ54" i="15"/>
  <c r="AK54" i="15"/>
  <c r="AL54" i="15"/>
  <c r="AM54" i="15"/>
  <c r="AN54" i="15"/>
  <c r="AO54" i="15"/>
  <c r="AP54" i="15"/>
  <c r="AQ54" i="15"/>
  <c r="AR54" i="15"/>
  <c r="AS54" i="15"/>
  <c r="AT54" i="15"/>
  <c r="AU54" i="15"/>
  <c r="AV54" i="15"/>
  <c r="AW54" i="15"/>
  <c r="AX54" i="15"/>
  <c r="AY54" i="15"/>
  <c r="AZ54" i="15"/>
  <c r="BA54" i="15"/>
  <c r="BB54" i="15"/>
  <c r="BC54" i="15"/>
  <c r="BF54" i="15"/>
  <c r="BG54" i="15"/>
  <c r="BH54" i="15"/>
  <c r="BI54" i="15"/>
  <c r="BJ54" i="15"/>
  <c r="BK54" i="15"/>
  <c r="BL54" i="15"/>
  <c r="C56" i="15"/>
  <c r="D56" i="15"/>
  <c r="E56" i="15"/>
  <c r="F56" i="15"/>
  <c r="G56" i="15"/>
  <c r="H56" i="15"/>
  <c r="I56" i="15"/>
  <c r="J56" i="15"/>
  <c r="K56" i="15"/>
  <c r="L56" i="15"/>
  <c r="M56" i="15"/>
  <c r="N56" i="15"/>
  <c r="O56" i="15"/>
  <c r="P56" i="15"/>
  <c r="Q56" i="15"/>
  <c r="S56" i="15"/>
  <c r="T56" i="15"/>
  <c r="U56" i="15"/>
  <c r="V56" i="15"/>
  <c r="W56" i="15"/>
  <c r="X56" i="15"/>
  <c r="Y56" i="15"/>
  <c r="Z56" i="15"/>
  <c r="AA56" i="15"/>
  <c r="AB56" i="15"/>
  <c r="AC56" i="15"/>
  <c r="AD56" i="15"/>
  <c r="AE56" i="15"/>
  <c r="AF56" i="15"/>
  <c r="AG56" i="15"/>
  <c r="AH56" i="15"/>
  <c r="AI56" i="15"/>
  <c r="AJ56" i="15"/>
  <c r="AK56" i="15"/>
  <c r="AL56" i="15"/>
  <c r="AM56" i="15"/>
  <c r="AN56" i="15"/>
  <c r="AO56" i="15"/>
  <c r="AP56" i="15"/>
  <c r="AQ56" i="15"/>
  <c r="AR56" i="15"/>
  <c r="AS56" i="15"/>
  <c r="AT56" i="15"/>
  <c r="AU56" i="15"/>
  <c r="AV56" i="15"/>
  <c r="AW56" i="15"/>
  <c r="AX56" i="15"/>
  <c r="AY56" i="15"/>
  <c r="AZ56" i="15"/>
  <c r="BA56" i="15"/>
  <c r="BB56" i="15"/>
  <c r="BC56" i="15"/>
  <c r="C57" i="15"/>
  <c r="D57" i="15"/>
  <c r="E57" i="15"/>
  <c r="F57" i="15"/>
  <c r="G57" i="15"/>
  <c r="H57" i="15"/>
  <c r="I57" i="15"/>
  <c r="J57" i="15"/>
  <c r="K57" i="15"/>
  <c r="L57" i="15"/>
  <c r="M57" i="15"/>
  <c r="N57" i="15"/>
  <c r="O57" i="15"/>
  <c r="P57" i="15"/>
  <c r="S57" i="15"/>
  <c r="T57" i="15"/>
  <c r="U57" i="15"/>
  <c r="V57" i="15"/>
  <c r="W57" i="15"/>
  <c r="X57" i="15"/>
  <c r="Y57" i="15"/>
  <c r="Z57" i="15"/>
  <c r="AA57" i="15"/>
  <c r="AB57" i="15"/>
  <c r="AC57" i="15"/>
  <c r="AD57" i="15"/>
  <c r="AE57" i="15"/>
  <c r="AF57" i="15"/>
  <c r="AG57" i="15"/>
  <c r="AH57" i="15"/>
  <c r="AI57" i="15"/>
  <c r="AJ57" i="15"/>
  <c r="AK57" i="15"/>
  <c r="AL57" i="15"/>
  <c r="AM57" i="15"/>
  <c r="AN57" i="15"/>
  <c r="AO57" i="15"/>
  <c r="AP57" i="15"/>
  <c r="AQ57" i="15"/>
  <c r="AR57" i="15"/>
  <c r="AS57" i="15"/>
  <c r="AT57" i="15"/>
  <c r="AU57" i="15"/>
  <c r="AV57" i="15"/>
  <c r="AW57" i="15"/>
  <c r="AX57" i="15"/>
  <c r="AY57" i="15"/>
  <c r="AZ57" i="15"/>
  <c r="BA57" i="15"/>
  <c r="BB57" i="15"/>
  <c r="BC57" i="15"/>
  <c r="C58" i="15"/>
  <c r="D58" i="15"/>
  <c r="E58" i="15"/>
  <c r="F58" i="15"/>
  <c r="G58" i="15"/>
  <c r="H58" i="15"/>
  <c r="I58" i="15"/>
  <c r="J58" i="15"/>
  <c r="K58" i="15"/>
  <c r="L58" i="15"/>
  <c r="M58" i="15"/>
  <c r="N58" i="15"/>
  <c r="O58" i="15"/>
  <c r="P58" i="15"/>
  <c r="S58" i="15"/>
  <c r="T58" i="15"/>
  <c r="U58" i="15"/>
  <c r="V58" i="15"/>
  <c r="W58" i="15"/>
  <c r="X58" i="15"/>
  <c r="Y58" i="15"/>
  <c r="Z58" i="15"/>
  <c r="AA58" i="15"/>
  <c r="AB58" i="15"/>
  <c r="AC58" i="15"/>
  <c r="AD58" i="15"/>
  <c r="AE58" i="15"/>
  <c r="AF58" i="15"/>
  <c r="AG58" i="15"/>
  <c r="AH58" i="15"/>
  <c r="AI58" i="15"/>
  <c r="AJ58" i="15"/>
  <c r="AK58" i="15"/>
  <c r="AL58" i="15"/>
  <c r="AM58" i="15"/>
  <c r="AN58" i="15"/>
  <c r="AO58" i="15"/>
  <c r="AP58" i="15"/>
  <c r="AQ58" i="15"/>
  <c r="AR58" i="15"/>
  <c r="AS58" i="15"/>
  <c r="AT58" i="15"/>
  <c r="AU58" i="15"/>
  <c r="AV58" i="15"/>
  <c r="AW58" i="15"/>
  <c r="AX58" i="15"/>
  <c r="AY58" i="15"/>
  <c r="AZ58" i="15"/>
  <c r="BA58" i="15"/>
  <c r="BB58" i="15"/>
  <c r="BC58" i="15"/>
  <c r="T59" i="15"/>
  <c r="U59" i="15"/>
  <c r="V59" i="15"/>
  <c r="X59" i="15"/>
  <c r="Y59" i="15"/>
  <c r="Z59" i="15"/>
  <c r="AB59" i="15"/>
  <c r="AC59" i="15"/>
  <c r="AD59" i="15"/>
  <c r="AF59" i="15"/>
  <c r="AG59" i="15"/>
  <c r="AH59" i="15"/>
  <c r="AJ59" i="15"/>
  <c r="AK59" i="15"/>
  <c r="AL59" i="15"/>
  <c r="AN59" i="15"/>
  <c r="AO59" i="15"/>
  <c r="AP59" i="15"/>
  <c r="AR59" i="15"/>
  <c r="AS59" i="15"/>
  <c r="AT59" i="15"/>
  <c r="AV59" i="15"/>
  <c r="AW59" i="15"/>
  <c r="AX59" i="15"/>
  <c r="AZ59" i="15"/>
  <c r="BA59" i="15"/>
  <c r="BB59" i="15"/>
  <c r="K60" i="15"/>
  <c r="L60" i="15"/>
  <c r="M60" i="15"/>
  <c r="N60" i="15"/>
  <c r="T60" i="15"/>
  <c r="U60" i="15"/>
  <c r="V60" i="15"/>
  <c r="X60" i="15"/>
  <c r="Y60" i="15"/>
  <c r="Z60" i="15"/>
  <c r="AB60" i="15"/>
  <c r="AC60" i="15"/>
  <c r="AD60" i="15"/>
  <c r="AF60" i="15"/>
  <c r="AG60" i="15"/>
  <c r="AH60" i="15"/>
  <c r="AJ60" i="15"/>
  <c r="AK60" i="15"/>
  <c r="AL60" i="15"/>
  <c r="AN60" i="15"/>
  <c r="AO60" i="15"/>
  <c r="AP60" i="15"/>
  <c r="AR60" i="15"/>
  <c r="AS60" i="15"/>
  <c r="AT60" i="15"/>
  <c r="AV60" i="15"/>
  <c r="AW60" i="15"/>
  <c r="AX60" i="15"/>
  <c r="AZ60" i="15"/>
  <c r="BA60" i="15"/>
  <c r="BB60" i="15"/>
  <c r="T61" i="15"/>
  <c r="U61" i="15"/>
  <c r="V61" i="15"/>
  <c r="X61" i="15"/>
  <c r="Y61" i="15"/>
  <c r="Z61" i="15"/>
  <c r="AB61" i="15"/>
  <c r="AC61" i="15"/>
  <c r="AD61" i="15"/>
  <c r="AF61" i="15"/>
  <c r="AG61" i="15"/>
  <c r="AH61" i="15"/>
  <c r="AJ61" i="15"/>
  <c r="AK61" i="15"/>
  <c r="AL61" i="15"/>
  <c r="AO61" i="15"/>
  <c r="AP61" i="15"/>
  <c r="AS61" i="15"/>
  <c r="AT61" i="15"/>
  <c r="AV61" i="15"/>
  <c r="AW61" i="15"/>
  <c r="AX61" i="15"/>
  <c r="AZ61" i="15"/>
  <c r="BA61" i="15"/>
  <c r="BB61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S62" i="15"/>
  <c r="T62" i="15"/>
  <c r="U62" i="15"/>
  <c r="V62" i="15"/>
  <c r="W62" i="15"/>
  <c r="X62" i="15"/>
  <c r="Y62" i="15"/>
  <c r="Z62" i="15"/>
  <c r="AA62" i="15"/>
  <c r="AB62" i="15"/>
  <c r="AC62" i="15"/>
  <c r="AD62" i="15"/>
  <c r="AE62" i="15"/>
  <c r="AF62" i="15"/>
  <c r="AG62" i="15"/>
  <c r="AH62" i="15"/>
  <c r="AI62" i="15"/>
  <c r="AJ62" i="15"/>
  <c r="AK62" i="15"/>
  <c r="AL62" i="15"/>
  <c r="AM62" i="15"/>
  <c r="AN62" i="15"/>
  <c r="AO62" i="15"/>
  <c r="AP62" i="15"/>
  <c r="AQ62" i="15"/>
  <c r="AR62" i="15"/>
  <c r="AS62" i="15"/>
  <c r="AT62" i="15"/>
  <c r="AU62" i="15"/>
  <c r="AV62" i="15"/>
  <c r="AW62" i="15"/>
  <c r="AX62" i="15"/>
  <c r="AY62" i="15"/>
  <c r="AZ62" i="15"/>
  <c r="BA62" i="15"/>
  <c r="BB62" i="15"/>
  <c r="BC62" i="15"/>
  <c r="C63" i="15"/>
  <c r="C41" i="15" s="1"/>
  <c r="D63" i="15"/>
  <c r="D41" i="15" s="1"/>
  <c r="E63" i="15"/>
  <c r="E41" i="15" s="1"/>
  <c r="F63" i="15"/>
  <c r="F41" i="15" s="1"/>
  <c r="G63" i="15"/>
  <c r="G41" i="15" s="1"/>
  <c r="H63" i="15"/>
  <c r="H41" i="15" s="1"/>
  <c r="I63" i="15"/>
  <c r="I41" i="15" s="1"/>
  <c r="J63" i="15"/>
  <c r="J41" i="15" s="1"/>
  <c r="K63" i="15"/>
  <c r="K41" i="15" s="1"/>
  <c r="L63" i="15"/>
  <c r="L41" i="15" s="1"/>
  <c r="M63" i="15"/>
  <c r="M41" i="15" s="1"/>
  <c r="N63" i="15"/>
  <c r="N41" i="15" s="1"/>
  <c r="O63" i="15"/>
  <c r="O41" i="15" s="1"/>
  <c r="P63" i="15"/>
  <c r="P41" i="15" s="1"/>
  <c r="S63" i="15"/>
  <c r="S41" i="15" s="1"/>
  <c r="T63" i="15"/>
  <c r="T41" i="15" s="1"/>
  <c r="U63" i="15"/>
  <c r="U41" i="15" s="1"/>
  <c r="V63" i="15"/>
  <c r="V41" i="15" s="1"/>
  <c r="W63" i="15"/>
  <c r="W41" i="15" s="1"/>
  <c r="X63" i="15"/>
  <c r="X41" i="15" s="1"/>
  <c r="Y63" i="15"/>
  <c r="Y41" i="15" s="1"/>
  <c r="Z63" i="15"/>
  <c r="Z41" i="15" s="1"/>
  <c r="AA63" i="15"/>
  <c r="AA41" i="15" s="1"/>
  <c r="AB63" i="15"/>
  <c r="AB41" i="15" s="1"/>
  <c r="AC63" i="15"/>
  <c r="AC41" i="15" s="1"/>
  <c r="AD63" i="15"/>
  <c r="AD41" i="15" s="1"/>
  <c r="AE63" i="15"/>
  <c r="AE41" i="15" s="1"/>
  <c r="AF63" i="15"/>
  <c r="AF41" i="15" s="1"/>
  <c r="AG63" i="15"/>
  <c r="AG41" i="15" s="1"/>
  <c r="AH63" i="15"/>
  <c r="AH41" i="15" s="1"/>
  <c r="AI63" i="15"/>
  <c r="AI41" i="15" s="1"/>
  <c r="AJ63" i="15"/>
  <c r="AJ41" i="15" s="1"/>
  <c r="AK63" i="15"/>
  <c r="AK41" i="15" s="1"/>
  <c r="AL63" i="15"/>
  <c r="AL41" i="15" s="1"/>
  <c r="AM63" i="15"/>
  <c r="AM41" i="15" s="1"/>
  <c r="AN63" i="15"/>
  <c r="AN41" i="15" s="1"/>
  <c r="AO63" i="15"/>
  <c r="AO41" i="15" s="1"/>
  <c r="AP63" i="15"/>
  <c r="AP41" i="15" s="1"/>
  <c r="AQ63" i="15"/>
  <c r="AQ41" i="15" s="1"/>
  <c r="AR63" i="15"/>
  <c r="AR41" i="15" s="1"/>
  <c r="AS63" i="15"/>
  <c r="AS41" i="15" s="1"/>
  <c r="AT63" i="15"/>
  <c r="AT41" i="15" s="1"/>
  <c r="AU63" i="15"/>
  <c r="AU41" i="15" s="1"/>
  <c r="AV63" i="15"/>
  <c r="AV41" i="15" s="1"/>
  <c r="AW63" i="15"/>
  <c r="AW41" i="15" s="1"/>
  <c r="AX63" i="15"/>
  <c r="AX41" i="15" s="1"/>
  <c r="AY63" i="15"/>
  <c r="AY41" i="15" s="1"/>
  <c r="AZ63" i="15"/>
  <c r="BA63" i="15"/>
  <c r="BA41" i="15" s="1"/>
  <c r="BB63" i="15"/>
  <c r="BB41" i="15" s="1"/>
  <c r="BC63" i="15"/>
  <c r="BC41" i="15" s="1"/>
  <c r="T64" i="15"/>
  <c r="U64" i="15"/>
  <c r="V64" i="15"/>
  <c r="X64" i="15"/>
  <c r="Y64" i="15"/>
  <c r="Z64" i="15"/>
  <c r="AB64" i="15"/>
  <c r="AC64" i="15"/>
  <c r="AD64" i="15"/>
  <c r="AF64" i="15"/>
  <c r="AG64" i="15"/>
  <c r="AH64" i="15"/>
  <c r="AJ64" i="15"/>
  <c r="AK64" i="15"/>
  <c r="AL64" i="15"/>
  <c r="AN64" i="15"/>
  <c r="AO64" i="15"/>
  <c r="AP64" i="15"/>
  <c r="AR64" i="15"/>
  <c r="AS64" i="15"/>
  <c r="AT64" i="15"/>
  <c r="AV64" i="15"/>
  <c r="AW64" i="15"/>
  <c r="AX64" i="15"/>
  <c r="AZ64" i="15"/>
  <c r="BA64" i="15"/>
  <c r="BB64" i="15"/>
  <c r="D65" i="15"/>
  <c r="E65" i="15"/>
  <c r="F65" i="15"/>
  <c r="G65" i="15"/>
  <c r="P65" i="15"/>
  <c r="S65" i="15"/>
  <c r="T65" i="15"/>
  <c r="U65" i="15"/>
  <c r="V65" i="15"/>
  <c r="X65" i="15"/>
  <c r="Y65" i="15"/>
  <c r="Z65" i="15"/>
  <c r="AB65" i="15"/>
  <c r="AC65" i="15"/>
  <c r="AD65" i="15"/>
  <c r="AE65" i="15"/>
  <c r="AF65" i="15"/>
  <c r="AG65" i="15"/>
  <c r="AH65" i="15"/>
  <c r="AJ65" i="15"/>
  <c r="AK65" i="15"/>
  <c r="AL65" i="15"/>
  <c r="AN65" i="15"/>
  <c r="AO65" i="15"/>
  <c r="AP65" i="15"/>
  <c r="AR65" i="15"/>
  <c r="AS65" i="15"/>
  <c r="AT65" i="15"/>
  <c r="AV65" i="15"/>
  <c r="AW65" i="15"/>
  <c r="AX65" i="15"/>
  <c r="AZ65" i="15"/>
  <c r="BA65" i="15"/>
  <c r="BB65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S66" i="15"/>
  <c r="T66" i="15"/>
  <c r="U66" i="15"/>
  <c r="V66" i="15"/>
  <c r="W66" i="15"/>
  <c r="X66" i="15"/>
  <c r="Y66" i="15"/>
  <c r="Z66" i="15"/>
  <c r="AA66" i="15"/>
  <c r="AB66" i="15"/>
  <c r="AC66" i="15"/>
  <c r="AD66" i="15"/>
  <c r="AE66" i="15"/>
  <c r="AF66" i="15"/>
  <c r="AG66" i="15"/>
  <c r="AH66" i="15"/>
  <c r="AI66" i="15"/>
  <c r="AJ66" i="15"/>
  <c r="AK66" i="15"/>
  <c r="AL66" i="15"/>
  <c r="AM66" i="15"/>
  <c r="AN66" i="15"/>
  <c r="AO66" i="15"/>
  <c r="AP66" i="15"/>
  <c r="AQ66" i="15"/>
  <c r="AR66" i="15"/>
  <c r="AS66" i="15"/>
  <c r="AT66" i="15"/>
  <c r="AU66" i="15"/>
  <c r="AV66" i="15"/>
  <c r="AW66" i="15"/>
  <c r="AX66" i="15"/>
  <c r="AY66" i="15"/>
  <c r="AZ66" i="15"/>
  <c r="BA66" i="15"/>
  <c r="BB66" i="15"/>
  <c r="BC66" i="15"/>
  <c r="G67" i="15"/>
  <c r="H67" i="15"/>
  <c r="K67" i="15"/>
  <c r="L67" i="15"/>
  <c r="N67" i="15"/>
  <c r="O67" i="15"/>
  <c r="T67" i="15"/>
  <c r="U67" i="15"/>
  <c r="V67" i="15"/>
  <c r="X67" i="15"/>
  <c r="Y67" i="15"/>
  <c r="Z67" i="15"/>
  <c r="AB67" i="15"/>
  <c r="AC67" i="15"/>
  <c r="AD67" i="15"/>
  <c r="AF67" i="15"/>
  <c r="AG67" i="15"/>
  <c r="AH67" i="15"/>
  <c r="AJ67" i="15"/>
  <c r="AK67" i="15"/>
  <c r="AL67" i="15"/>
  <c r="AM67" i="15"/>
  <c r="AN67" i="15"/>
  <c r="AO67" i="15"/>
  <c r="AP67" i="15"/>
  <c r="AQ67" i="15"/>
  <c r="AR67" i="15"/>
  <c r="AS67" i="15"/>
  <c r="AT67" i="15"/>
  <c r="AU67" i="15"/>
  <c r="AV67" i="15"/>
  <c r="AW67" i="15"/>
  <c r="AX67" i="15"/>
  <c r="AZ67" i="15"/>
  <c r="BA67" i="15"/>
  <c r="BB67" i="15"/>
  <c r="D68" i="15"/>
  <c r="E68" i="15"/>
  <c r="F68" i="15"/>
  <c r="G68" i="15"/>
  <c r="H68" i="15"/>
  <c r="L68" i="15"/>
  <c r="T68" i="15"/>
  <c r="U68" i="15"/>
  <c r="V68" i="15"/>
  <c r="W68" i="15"/>
  <c r="X68" i="15"/>
  <c r="Y68" i="15"/>
  <c r="Z68" i="15"/>
  <c r="AB68" i="15"/>
  <c r="AC68" i="15"/>
  <c r="AD68" i="15"/>
  <c r="AE68" i="15"/>
  <c r="AF68" i="15"/>
  <c r="AG68" i="15"/>
  <c r="AH68" i="15"/>
  <c r="AJ68" i="15"/>
  <c r="AK68" i="15"/>
  <c r="AL68" i="15"/>
  <c r="AM68" i="15"/>
  <c r="AN68" i="15"/>
  <c r="AO68" i="15"/>
  <c r="AP68" i="15"/>
  <c r="AQ68" i="15"/>
  <c r="AR68" i="15"/>
  <c r="AS68" i="15"/>
  <c r="AT68" i="15"/>
  <c r="AV68" i="15"/>
  <c r="AW68" i="15"/>
  <c r="AX68" i="15"/>
  <c r="AZ68" i="15"/>
  <c r="BA68" i="15"/>
  <c r="BB68" i="15"/>
  <c r="C69" i="15"/>
  <c r="D69" i="15"/>
  <c r="F69" i="15"/>
  <c r="G69" i="15"/>
  <c r="H69" i="15"/>
  <c r="T69" i="15"/>
  <c r="U69" i="15"/>
  <c r="V69" i="15"/>
  <c r="X69" i="15"/>
  <c r="Y69" i="15"/>
  <c r="Z69" i="15"/>
  <c r="AB69" i="15"/>
  <c r="AC69" i="15"/>
  <c r="AD69" i="15"/>
  <c r="AG69" i="15"/>
  <c r="AH69" i="15"/>
  <c r="AJ69" i="15"/>
  <c r="AK69" i="15"/>
  <c r="AL69" i="15"/>
  <c r="AN69" i="15"/>
  <c r="AO69" i="15"/>
  <c r="AP69" i="15"/>
  <c r="AR69" i="15"/>
  <c r="AS69" i="15"/>
  <c r="AT69" i="15"/>
  <c r="AV69" i="15"/>
  <c r="AW69" i="15"/>
  <c r="AX69" i="15"/>
  <c r="AZ69" i="15"/>
  <c r="BA69" i="15"/>
  <c r="BB69" i="15"/>
  <c r="C70" i="15"/>
  <c r="D70" i="15"/>
  <c r="E70" i="15"/>
  <c r="F70" i="15"/>
  <c r="G70" i="15"/>
  <c r="H70" i="15"/>
  <c r="I70" i="15"/>
  <c r="J70" i="15"/>
  <c r="K70" i="15"/>
  <c r="L70" i="15"/>
  <c r="M70" i="15"/>
  <c r="N70" i="15"/>
  <c r="O70" i="15"/>
  <c r="P70" i="15"/>
  <c r="S70" i="15"/>
  <c r="T70" i="15"/>
  <c r="U70" i="15"/>
  <c r="V70" i="15"/>
  <c r="W70" i="15"/>
  <c r="X70" i="15"/>
  <c r="Y70" i="15"/>
  <c r="Z70" i="15"/>
  <c r="AA70" i="15"/>
  <c r="AB70" i="15"/>
  <c r="AC70" i="15"/>
  <c r="AD70" i="15"/>
  <c r="AE70" i="15"/>
  <c r="AF70" i="15"/>
  <c r="AG70" i="15"/>
  <c r="AH70" i="15"/>
  <c r="AI70" i="15"/>
  <c r="AJ70" i="15"/>
  <c r="AK70" i="15"/>
  <c r="AL70" i="15"/>
  <c r="AM70" i="15"/>
  <c r="AN70" i="15"/>
  <c r="AO70" i="15"/>
  <c r="AP70" i="15"/>
  <c r="AQ70" i="15"/>
  <c r="AR70" i="15"/>
  <c r="AS70" i="15"/>
  <c r="AT70" i="15"/>
  <c r="AU70" i="15"/>
  <c r="AV70" i="15"/>
  <c r="AW70" i="15"/>
  <c r="AX70" i="15"/>
  <c r="AY70" i="15"/>
  <c r="AZ70" i="15"/>
  <c r="BA70" i="15"/>
  <c r="BB70" i="15"/>
  <c r="BC70" i="15"/>
  <c r="G71" i="15"/>
  <c r="H71" i="15"/>
  <c r="I71" i="15"/>
  <c r="J71" i="15"/>
  <c r="K71" i="15"/>
  <c r="L71" i="15"/>
  <c r="O71" i="15"/>
  <c r="P71" i="15"/>
  <c r="T71" i="15"/>
  <c r="U71" i="15"/>
  <c r="V71" i="15"/>
  <c r="X71" i="15"/>
  <c r="Y71" i="15"/>
  <c r="Z71" i="15"/>
  <c r="AB71" i="15"/>
  <c r="AC71" i="15"/>
  <c r="AD71" i="15"/>
  <c r="AF71" i="15"/>
  <c r="AG71" i="15"/>
  <c r="AH71" i="15"/>
  <c r="AJ71" i="15"/>
  <c r="AK71" i="15"/>
  <c r="AL71" i="15"/>
  <c r="AN71" i="15"/>
  <c r="AO71" i="15"/>
  <c r="AP71" i="15"/>
  <c r="AR71" i="15"/>
  <c r="AS71" i="15"/>
  <c r="AT71" i="15"/>
  <c r="AV71" i="15"/>
  <c r="AW71" i="15"/>
  <c r="AX71" i="15"/>
  <c r="AZ71" i="15"/>
  <c r="BA71" i="15"/>
  <c r="BB71" i="15"/>
  <c r="BC71" i="15"/>
  <c r="T72" i="15"/>
  <c r="U72" i="15"/>
  <c r="V72" i="15"/>
  <c r="X72" i="15"/>
  <c r="Y72" i="15"/>
  <c r="Z72" i="15"/>
  <c r="AJ72" i="15"/>
  <c r="AX72" i="15"/>
  <c r="BB72" i="15"/>
  <c r="Q72" i="15" s="1"/>
  <c r="C73" i="15"/>
  <c r="D73" i="15"/>
  <c r="E73" i="15"/>
  <c r="F73" i="15"/>
  <c r="G73" i="15"/>
  <c r="H73" i="15"/>
  <c r="I73" i="15"/>
  <c r="J73" i="15"/>
  <c r="K73" i="15"/>
  <c r="L73" i="15"/>
  <c r="M73" i="15"/>
  <c r="N73" i="15"/>
  <c r="O73" i="15"/>
  <c r="P73" i="15"/>
  <c r="S73" i="15"/>
  <c r="T73" i="15"/>
  <c r="U73" i="15"/>
  <c r="V73" i="15"/>
  <c r="W73" i="15"/>
  <c r="X73" i="15"/>
  <c r="Y73" i="15"/>
  <c r="Z73" i="15"/>
  <c r="AA73" i="15"/>
  <c r="AB73" i="15"/>
  <c r="AC73" i="15"/>
  <c r="AD73" i="15"/>
  <c r="AE73" i="15"/>
  <c r="AF73" i="15"/>
  <c r="AG73" i="15"/>
  <c r="AH73" i="15"/>
  <c r="AI73" i="15"/>
  <c r="AJ73" i="15"/>
  <c r="AK73" i="15"/>
  <c r="AL73" i="15"/>
  <c r="AM73" i="15"/>
  <c r="AN73" i="15"/>
  <c r="AO73" i="15"/>
  <c r="AP73" i="15"/>
  <c r="AQ73" i="15"/>
  <c r="AR73" i="15"/>
  <c r="AS73" i="15"/>
  <c r="AT73" i="15"/>
  <c r="AU73" i="15"/>
  <c r="AV73" i="15"/>
  <c r="AW73" i="15"/>
  <c r="AX73" i="15"/>
  <c r="AY73" i="15"/>
  <c r="AZ73" i="15"/>
  <c r="BA73" i="15"/>
  <c r="BB73" i="15"/>
  <c r="BC73" i="15"/>
  <c r="K74" i="15"/>
  <c r="L74" i="15"/>
  <c r="M74" i="15"/>
  <c r="T74" i="15"/>
  <c r="U74" i="15"/>
  <c r="V74" i="15"/>
  <c r="X74" i="15"/>
  <c r="Y74" i="15"/>
  <c r="Z74" i="15"/>
  <c r="AB74" i="15"/>
  <c r="AC74" i="15"/>
  <c r="AD74" i="15"/>
  <c r="AF74" i="15"/>
  <c r="AG74" i="15"/>
  <c r="AH74" i="15"/>
  <c r="AJ74" i="15"/>
  <c r="AK74" i="15"/>
  <c r="AL74" i="15"/>
  <c r="AN74" i="15"/>
  <c r="AO74" i="15"/>
  <c r="AP74" i="15"/>
  <c r="AR74" i="15"/>
  <c r="AS74" i="15"/>
  <c r="AT74" i="15"/>
  <c r="AV74" i="15"/>
  <c r="AW74" i="15"/>
  <c r="AX74" i="15"/>
  <c r="AZ74" i="15"/>
  <c r="BA74" i="15"/>
  <c r="BB74" i="15"/>
  <c r="C75" i="15"/>
  <c r="D75" i="15"/>
  <c r="E75" i="15"/>
  <c r="F75" i="15"/>
  <c r="G75" i="15"/>
  <c r="H75" i="15"/>
  <c r="I75" i="15"/>
  <c r="J75" i="15"/>
  <c r="K75" i="15"/>
  <c r="L75" i="15"/>
  <c r="M75" i="15"/>
  <c r="N75" i="15"/>
  <c r="O75" i="15"/>
  <c r="P75" i="15"/>
  <c r="S75" i="15"/>
  <c r="W75" i="15"/>
  <c r="AA75" i="15"/>
  <c r="AE75" i="15"/>
  <c r="AI75" i="15"/>
  <c r="AM75" i="15"/>
  <c r="AQ75" i="15"/>
  <c r="AU75" i="15"/>
  <c r="AY75" i="15"/>
  <c r="BC75" i="15"/>
  <c r="C76" i="15"/>
  <c r="D76" i="15"/>
  <c r="E76" i="15"/>
  <c r="F76" i="15"/>
  <c r="G76" i="15"/>
  <c r="H76" i="15"/>
  <c r="I76" i="15"/>
  <c r="J76" i="15"/>
  <c r="K76" i="15"/>
  <c r="L76" i="15"/>
  <c r="M76" i="15"/>
  <c r="N76" i="15"/>
  <c r="O76" i="15"/>
  <c r="P76" i="15"/>
  <c r="S76" i="15"/>
  <c r="T75" i="15" s="1"/>
  <c r="T76" i="15"/>
  <c r="U75" i="15" s="1"/>
  <c r="U76" i="15"/>
  <c r="W76" i="15"/>
  <c r="X75" i="15" s="1"/>
  <c r="X76" i="15"/>
  <c r="Y75" i="15" s="1"/>
  <c r="Z75" i="15" s="1"/>
  <c r="Y76" i="15"/>
  <c r="Z76" i="15"/>
  <c r="AA76" i="15"/>
  <c r="AB75" i="15" s="1"/>
  <c r="AB76" i="15"/>
  <c r="AC75" i="15" s="1"/>
  <c r="AC76" i="15"/>
  <c r="AE76" i="15"/>
  <c r="AF75" i="15" s="1"/>
  <c r="AF76" i="15"/>
  <c r="AG75" i="15" s="1"/>
  <c r="AG76" i="15"/>
  <c r="AI76" i="15"/>
  <c r="AJ75" i="15" s="1"/>
  <c r="AJ76" i="15"/>
  <c r="AK75" i="15" s="1"/>
  <c r="AK76" i="15"/>
  <c r="AM76" i="15"/>
  <c r="AN75" i="15" s="1"/>
  <c r="AN76" i="15"/>
  <c r="AO75" i="15" s="1"/>
  <c r="AO76" i="15"/>
  <c r="AQ76" i="15"/>
  <c r="AR75" i="15" s="1"/>
  <c r="AR76" i="15"/>
  <c r="AS75" i="15" s="1"/>
  <c r="AS76" i="15"/>
  <c r="AU76" i="15"/>
  <c r="AV75" i="15" s="1"/>
  <c r="AV76" i="15"/>
  <c r="AW75" i="15" s="1"/>
  <c r="AW76" i="15"/>
  <c r="AY76" i="15"/>
  <c r="AZ75" i="15" s="1"/>
  <c r="AZ76" i="15"/>
  <c r="BA75" i="15" s="1"/>
  <c r="BA76" i="15"/>
  <c r="BC76" i="15"/>
  <c r="C77" i="15"/>
  <c r="D77" i="15"/>
  <c r="E77" i="15"/>
  <c r="F77" i="15"/>
  <c r="G77" i="15"/>
  <c r="H77" i="15"/>
  <c r="I77" i="15"/>
  <c r="J77" i="15"/>
  <c r="K77" i="15"/>
  <c r="L77" i="15"/>
  <c r="M77" i="15"/>
  <c r="N77" i="15"/>
  <c r="O77" i="15"/>
  <c r="P77" i="15"/>
  <c r="S77" i="15"/>
  <c r="T77" i="15"/>
  <c r="U77" i="15"/>
  <c r="W77" i="15"/>
  <c r="X77" i="15"/>
  <c r="Y77" i="15"/>
  <c r="Z77" i="15"/>
  <c r="AA77" i="15"/>
  <c r="AB77" i="15"/>
  <c r="AC77" i="15"/>
  <c r="AE77" i="15"/>
  <c r="AF77" i="15"/>
  <c r="AG77" i="15"/>
  <c r="AM77" i="15"/>
  <c r="AN77" i="15"/>
  <c r="AO77" i="15"/>
  <c r="BC77" i="15"/>
  <c r="Q77" i="15" s="1"/>
  <c r="C79" i="15"/>
  <c r="D79" i="15"/>
  <c r="E79" i="15"/>
  <c r="F79" i="15"/>
  <c r="G79" i="15"/>
  <c r="H79" i="15"/>
  <c r="I79" i="15"/>
  <c r="J79" i="15"/>
  <c r="K79" i="15"/>
  <c r="L79" i="15"/>
  <c r="M79" i="15"/>
  <c r="N79" i="15"/>
  <c r="O79" i="15"/>
  <c r="P79" i="15"/>
  <c r="S79" i="15"/>
  <c r="T79" i="15"/>
  <c r="U79" i="15"/>
  <c r="W79" i="15"/>
  <c r="X79" i="15"/>
  <c r="Y79" i="15"/>
  <c r="AA79" i="15"/>
  <c r="AB79" i="15"/>
  <c r="AC79" i="15"/>
  <c r="AE79" i="15"/>
  <c r="AF79" i="15"/>
  <c r="AG79" i="15"/>
  <c r="AM79" i="15"/>
  <c r="AN79" i="15"/>
  <c r="AO79" i="15"/>
  <c r="C81" i="15"/>
  <c r="D81" i="15"/>
  <c r="E81" i="15"/>
  <c r="F81" i="15"/>
  <c r="G81" i="15"/>
  <c r="H81" i="15"/>
  <c r="I81" i="15"/>
  <c r="J81" i="15"/>
  <c r="K81" i="15"/>
  <c r="L81" i="15"/>
  <c r="M81" i="15"/>
  <c r="N81" i="15"/>
  <c r="O81" i="15"/>
  <c r="P81" i="15"/>
  <c r="Q81" i="15"/>
  <c r="S81" i="15"/>
  <c r="T81" i="15"/>
  <c r="U81" i="15"/>
  <c r="V81" i="15"/>
  <c r="W81" i="15"/>
  <c r="X81" i="15"/>
  <c r="Y81" i="15"/>
  <c r="Z81" i="15"/>
  <c r="AA81" i="15"/>
  <c r="AB81" i="15"/>
  <c r="AC81" i="15"/>
  <c r="AD81" i="15"/>
  <c r="AE81" i="15"/>
  <c r="AF81" i="15"/>
  <c r="AG81" i="15"/>
  <c r="AH81" i="15"/>
  <c r="AI81" i="15"/>
  <c r="AJ81" i="15"/>
  <c r="AK81" i="15"/>
  <c r="AL81" i="15"/>
  <c r="AM81" i="15"/>
  <c r="AN81" i="15"/>
  <c r="AO81" i="15"/>
  <c r="AP81" i="15"/>
  <c r="AQ81" i="15"/>
  <c r="AR81" i="15"/>
  <c r="AS81" i="15"/>
  <c r="AT81" i="15"/>
  <c r="AU81" i="15"/>
  <c r="AV81" i="15"/>
  <c r="AW81" i="15"/>
  <c r="AX81" i="15"/>
  <c r="AY81" i="15"/>
  <c r="AZ81" i="15"/>
  <c r="BA81" i="15"/>
  <c r="BB81" i="15"/>
  <c r="BC81" i="15"/>
  <c r="B82" i="15"/>
  <c r="C82" i="15"/>
  <c r="D82" i="15"/>
  <c r="E82" i="15"/>
  <c r="F82" i="15"/>
  <c r="G82" i="15"/>
  <c r="H82" i="15"/>
  <c r="I82" i="15"/>
  <c r="J82" i="15"/>
  <c r="K82" i="15"/>
  <c r="L82" i="15"/>
  <c r="M82" i="15"/>
  <c r="N82" i="15"/>
  <c r="O82" i="15"/>
  <c r="P82" i="15"/>
  <c r="V82" i="15"/>
  <c r="W82" i="15"/>
  <c r="X82" i="15"/>
  <c r="Y82" i="15"/>
  <c r="Z82" i="15"/>
  <c r="AA82" i="15"/>
  <c r="AB82" i="15"/>
  <c r="AC82" i="15"/>
  <c r="AD82" i="15"/>
  <c r="AE82" i="15"/>
  <c r="AF82" i="15"/>
  <c r="AG82" i="15"/>
  <c r="AH82" i="15"/>
  <c r="AI82" i="15"/>
  <c r="AJ82" i="15"/>
  <c r="AK82" i="15"/>
  <c r="AL82" i="15"/>
  <c r="AM82" i="15"/>
  <c r="AN82" i="15"/>
  <c r="AO82" i="15"/>
  <c r="AP82" i="15"/>
  <c r="AQ82" i="15"/>
  <c r="AR82" i="15"/>
  <c r="AS82" i="15"/>
  <c r="AT82" i="15"/>
  <c r="AU82" i="15"/>
  <c r="AV82" i="15"/>
  <c r="AW82" i="15"/>
  <c r="AX82" i="15"/>
  <c r="AY82" i="15"/>
  <c r="AZ82" i="15"/>
  <c r="BA82" i="15"/>
  <c r="BB82" i="15"/>
  <c r="BC82" i="15"/>
  <c r="C83" i="15"/>
  <c r="D83" i="15"/>
  <c r="E83" i="15"/>
  <c r="F83" i="15"/>
  <c r="G83" i="15"/>
  <c r="H83" i="15"/>
  <c r="I83" i="15"/>
  <c r="J83" i="15"/>
  <c r="K83" i="15"/>
  <c r="L83" i="15"/>
  <c r="M83" i="15"/>
  <c r="N83" i="15"/>
  <c r="O83" i="15"/>
  <c r="P83" i="15"/>
  <c r="V83" i="15"/>
  <c r="W83" i="15"/>
  <c r="X83" i="15"/>
  <c r="Y83" i="15"/>
  <c r="Z83" i="15"/>
  <c r="AA83" i="15"/>
  <c r="AB83" i="15"/>
  <c r="AC83" i="15"/>
  <c r="AD83" i="15"/>
  <c r="AE83" i="15"/>
  <c r="AF83" i="15"/>
  <c r="AG83" i="15"/>
  <c r="AH83" i="15"/>
  <c r="AI83" i="15"/>
  <c r="AJ83" i="15"/>
  <c r="AK83" i="15"/>
  <c r="AL83" i="15"/>
  <c r="AM83" i="15"/>
  <c r="AN83" i="15"/>
  <c r="AO83" i="15"/>
  <c r="AP83" i="15"/>
  <c r="AQ83" i="15"/>
  <c r="AR83" i="15"/>
  <c r="AS83" i="15"/>
  <c r="AT83" i="15"/>
  <c r="AU83" i="15"/>
  <c r="AV83" i="15"/>
  <c r="AW83" i="15"/>
  <c r="AX83" i="15"/>
  <c r="AY83" i="15"/>
  <c r="AZ83" i="15"/>
  <c r="BA83" i="15"/>
  <c r="BB83" i="15"/>
  <c r="BC83" i="15"/>
  <c r="C84" i="15"/>
  <c r="D84" i="15"/>
  <c r="E84" i="15"/>
  <c r="F84" i="15"/>
  <c r="G84" i="15"/>
  <c r="H84" i="15"/>
  <c r="I84" i="15"/>
  <c r="J84" i="15"/>
  <c r="K84" i="15"/>
  <c r="L84" i="15"/>
  <c r="M84" i="15"/>
  <c r="N84" i="15"/>
  <c r="O84" i="15"/>
  <c r="P84" i="15"/>
  <c r="V84" i="15"/>
  <c r="W84" i="15"/>
  <c r="X84" i="15"/>
  <c r="Y84" i="15"/>
  <c r="Z84" i="15"/>
  <c r="AA84" i="15"/>
  <c r="AB84" i="15"/>
  <c r="AC84" i="15"/>
  <c r="AD84" i="15"/>
  <c r="AE84" i="15"/>
  <c r="AF84" i="15"/>
  <c r="AG84" i="15"/>
  <c r="AH84" i="15"/>
  <c r="AI84" i="15"/>
  <c r="AJ84" i="15"/>
  <c r="AK84" i="15"/>
  <c r="AL84" i="15"/>
  <c r="AM84" i="15"/>
  <c r="AN84" i="15"/>
  <c r="AO84" i="15"/>
  <c r="AP84" i="15"/>
  <c r="AQ84" i="15"/>
  <c r="AR84" i="15"/>
  <c r="AS84" i="15"/>
  <c r="AT84" i="15"/>
  <c r="AU84" i="15"/>
  <c r="AV84" i="15"/>
  <c r="AW84" i="15"/>
  <c r="AX84" i="15"/>
  <c r="AY84" i="15"/>
  <c r="AZ84" i="15"/>
  <c r="BA84" i="15"/>
  <c r="BB84" i="15"/>
  <c r="BC84" i="15"/>
  <c r="C85" i="15"/>
  <c r="D85" i="15"/>
  <c r="E85" i="15"/>
  <c r="F85" i="15"/>
  <c r="G85" i="15"/>
  <c r="H85" i="15"/>
  <c r="I85" i="15"/>
  <c r="J85" i="15"/>
  <c r="K85" i="15"/>
  <c r="L85" i="15"/>
  <c r="M85" i="15"/>
  <c r="N85" i="15"/>
  <c r="O85" i="15"/>
  <c r="P85" i="15"/>
  <c r="V85" i="15"/>
  <c r="W85" i="15"/>
  <c r="X85" i="15"/>
  <c r="Y85" i="15"/>
  <c r="Z85" i="15"/>
  <c r="AA85" i="15"/>
  <c r="AB85" i="15"/>
  <c r="AC85" i="15"/>
  <c r="AD85" i="15"/>
  <c r="AE85" i="15"/>
  <c r="AF85" i="15"/>
  <c r="AG85" i="15"/>
  <c r="AH85" i="15"/>
  <c r="AI85" i="15"/>
  <c r="AJ85" i="15"/>
  <c r="AK85" i="15"/>
  <c r="AL85" i="15"/>
  <c r="AM85" i="15"/>
  <c r="AN85" i="15"/>
  <c r="AO85" i="15"/>
  <c r="AP85" i="15"/>
  <c r="AQ85" i="15"/>
  <c r="AR85" i="15"/>
  <c r="AS85" i="15"/>
  <c r="AT85" i="15"/>
  <c r="AU85" i="15"/>
  <c r="AV85" i="15"/>
  <c r="AW85" i="15"/>
  <c r="AX85" i="15"/>
  <c r="AY85" i="15"/>
  <c r="AZ85" i="15"/>
  <c r="BA85" i="15"/>
  <c r="BB85" i="15"/>
  <c r="BC85" i="15"/>
  <c r="C86" i="15"/>
  <c r="D86" i="15"/>
  <c r="E86" i="15"/>
  <c r="F86" i="15"/>
  <c r="G86" i="15"/>
  <c r="H86" i="15"/>
  <c r="I86" i="15"/>
  <c r="J86" i="15"/>
  <c r="K86" i="15"/>
  <c r="L86" i="15"/>
  <c r="M86" i="15"/>
  <c r="N86" i="15"/>
  <c r="O86" i="15"/>
  <c r="P86" i="15"/>
  <c r="V86" i="15"/>
  <c r="W86" i="15"/>
  <c r="X86" i="15"/>
  <c r="Y86" i="15"/>
  <c r="Z86" i="15"/>
  <c r="AA86" i="15"/>
  <c r="AB86" i="15"/>
  <c r="AC86" i="15"/>
  <c r="AD86" i="15"/>
  <c r="AE86" i="15"/>
  <c r="AF86" i="15"/>
  <c r="AG86" i="15"/>
  <c r="AH86" i="15"/>
  <c r="AI86" i="15"/>
  <c r="AJ86" i="15"/>
  <c r="AK86" i="15"/>
  <c r="AL86" i="15"/>
  <c r="AM86" i="15"/>
  <c r="AN86" i="15"/>
  <c r="AO86" i="15"/>
  <c r="AP86" i="15"/>
  <c r="AQ86" i="15"/>
  <c r="AR86" i="15"/>
  <c r="AS86" i="15"/>
  <c r="AT86" i="15"/>
  <c r="AU86" i="15"/>
  <c r="AV86" i="15"/>
  <c r="AW86" i="15"/>
  <c r="AX86" i="15"/>
  <c r="AY86" i="15"/>
  <c r="AZ86" i="15"/>
  <c r="BA86" i="15"/>
  <c r="BB86" i="15"/>
  <c r="BC86" i="15"/>
  <c r="C87" i="15"/>
  <c r="D87" i="15"/>
  <c r="E87" i="15"/>
  <c r="F87" i="15"/>
  <c r="G87" i="15"/>
  <c r="H87" i="15"/>
  <c r="I87" i="15"/>
  <c r="J87" i="15"/>
  <c r="K87" i="15"/>
  <c r="L87" i="15"/>
  <c r="M87" i="15"/>
  <c r="N87" i="15"/>
  <c r="O87" i="15"/>
  <c r="P87" i="15"/>
  <c r="V87" i="15"/>
  <c r="W87" i="15"/>
  <c r="X87" i="15"/>
  <c r="Y87" i="15"/>
  <c r="Z87" i="15"/>
  <c r="AA87" i="15"/>
  <c r="AB87" i="15"/>
  <c r="AC87" i="15"/>
  <c r="AD87" i="15"/>
  <c r="AE87" i="15"/>
  <c r="AF87" i="15"/>
  <c r="AG87" i="15"/>
  <c r="AH87" i="15"/>
  <c r="AI87" i="15"/>
  <c r="AJ87" i="15"/>
  <c r="AK87" i="15"/>
  <c r="AL87" i="15"/>
  <c r="AM87" i="15"/>
  <c r="AN87" i="15"/>
  <c r="AO87" i="15"/>
  <c r="AP87" i="15"/>
  <c r="AQ87" i="15"/>
  <c r="AR87" i="15"/>
  <c r="AS87" i="15"/>
  <c r="AT87" i="15"/>
  <c r="AU87" i="15"/>
  <c r="AV87" i="15"/>
  <c r="AW87" i="15"/>
  <c r="AX87" i="15"/>
  <c r="AY87" i="15"/>
  <c r="AZ87" i="15"/>
  <c r="BA87" i="15"/>
  <c r="BB87" i="15"/>
  <c r="BC87" i="15"/>
  <c r="C88" i="15"/>
  <c r="D88" i="15"/>
  <c r="E88" i="15"/>
  <c r="F88" i="15"/>
  <c r="G88" i="15"/>
  <c r="H88" i="15"/>
  <c r="I88" i="15"/>
  <c r="J88" i="15"/>
  <c r="K88" i="15"/>
  <c r="L88" i="15"/>
  <c r="M88" i="15"/>
  <c r="N88" i="15"/>
  <c r="O88" i="15"/>
  <c r="P88" i="15"/>
  <c r="V88" i="15"/>
  <c r="W88" i="15"/>
  <c r="X88" i="15"/>
  <c r="Y88" i="15"/>
  <c r="Z88" i="15"/>
  <c r="AA88" i="15"/>
  <c r="AB88" i="15"/>
  <c r="AC88" i="15"/>
  <c r="AD88" i="15"/>
  <c r="AE88" i="15"/>
  <c r="AF88" i="15"/>
  <c r="AG88" i="15"/>
  <c r="AH88" i="15"/>
  <c r="AI88" i="15"/>
  <c r="AJ88" i="15"/>
  <c r="AK88" i="15"/>
  <c r="AL88" i="15"/>
  <c r="AM88" i="15"/>
  <c r="AN88" i="15"/>
  <c r="AO88" i="15"/>
  <c r="AP88" i="15"/>
  <c r="AQ88" i="15"/>
  <c r="AR88" i="15"/>
  <c r="AS88" i="15"/>
  <c r="AT88" i="15"/>
  <c r="AU88" i="15"/>
  <c r="AV88" i="15"/>
  <c r="AW88" i="15"/>
  <c r="AX88" i="15"/>
  <c r="AY88" i="15"/>
  <c r="AZ88" i="15"/>
  <c r="BA88" i="15"/>
  <c r="BB88" i="15"/>
  <c r="BC88" i="15"/>
  <c r="C89" i="15"/>
  <c r="D89" i="15"/>
  <c r="E89" i="15"/>
  <c r="F89" i="15"/>
  <c r="G89" i="15"/>
  <c r="H89" i="15"/>
  <c r="I89" i="15"/>
  <c r="J89" i="15"/>
  <c r="K89" i="15"/>
  <c r="L89" i="15"/>
  <c r="M89" i="15"/>
  <c r="N89" i="15"/>
  <c r="O89" i="15"/>
  <c r="P89" i="15"/>
  <c r="V89" i="15"/>
  <c r="W89" i="15"/>
  <c r="X89" i="15"/>
  <c r="Y89" i="15"/>
  <c r="Z89" i="15"/>
  <c r="AA89" i="15"/>
  <c r="AB89" i="15"/>
  <c r="AC89" i="15"/>
  <c r="AD89" i="15"/>
  <c r="AE89" i="15"/>
  <c r="AF89" i="15"/>
  <c r="AG89" i="15"/>
  <c r="AH89" i="15"/>
  <c r="AI89" i="15"/>
  <c r="AJ89" i="15"/>
  <c r="AK89" i="15"/>
  <c r="AL89" i="15"/>
  <c r="AM89" i="15"/>
  <c r="AN89" i="15"/>
  <c r="AO89" i="15"/>
  <c r="AP89" i="15"/>
  <c r="AQ89" i="15"/>
  <c r="AR89" i="15"/>
  <c r="AS89" i="15"/>
  <c r="AT89" i="15"/>
  <c r="AU89" i="15"/>
  <c r="AV89" i="15"/>
  <c r="AW89" i="15"/>
  <c r="AX89" i="15"/>
  <c r="AY89" i="15"/>
  <c r="AZ89" i="15"/>
  <c r="BA89" i="15"/>
  <c r="BB89" i="15"/>
  <c r="BC89" i="15"/>
  <c r="C91" i="15"/>
  <c r="D91" i="15"/>
  <c r="E91" i="15"/>
  <c r="F91" i="15"/>
  <c r="G91" i="15"/>
  <c r="H91" i="15"/>
  <c r="I91" i="15"/>
  <c r="J91" i="15"/>
  <c r="K91" i="15"/>
  <c r="L91" i="15"/>
  <c r="M91" i="15"/>
  <c r="N91" i="15"/>
  <c r="O91" i="15"/>
  <c r="P91" i="15"/>
  <c r="Q91" i="15"/>
  <c r="S91" i="15"/>
  <c r="T91" i="15"/>
  <c r="U91" i="15"/>
  <c r="V91" i="15"/>
  <c r="W91" i="15"/>
  <c r="X91" i="15"/>
  <c r="Y91" i="15"/>
  <c r="Z91" i="15"/>
  <c r="AA91" i="15"/>
  <c r="AB91" i="15"/>
  <c r="AC91" i="15"/>
  <c r="AD91" i="15"/>
  <c r="AE91" i="15"/>
  <c r="AF91" i="15"/>
  <c r="AG91" i="15"/>
  <c r="AH91" i="15"/>
  <c r="AI91" i="15"/>
  <c r="AJ91" i="15"/>
  <c r="AK91" i="15"/>
  <c r="AL91" i="15"/>
  <c r="AM91" i="15"/>
  <c r="AN91" i="15"/>
  <c r="AO91" i="15"/>
  <c r="AP91" i="15"/>
  <c r="AQ91" i="15"/>
  <c r="AR91" i="15"/>
  <c r="AS91" i="15"/>
  <c r="AT91" i="15"/>
  <c r="AU91" i="15"/>
  <c r="AV91" i="15"/>
  <c r="AW91" i="15"/>
  <c r="AX91" i="15"/>
  <c r="AY91" i="15"/>
  <c r="AZ91" i="15"/>
  <c r="BA91" i="15"/>
  <c r="BB91" i="15"/>
  <c r="BC91" i="15"/>
  <c r="F93" i="15"/>
  <c r="G93" i="15"/>
  <c r="H93" i="15"/>
  <c r="I93" i="15"/>
  <c r="J93" i="15"/>
  <c r="K93" i="15"/>
  <c r="L93" i="15"/>
  <c r="M93" i="15"/>
  <c r="N93" i="15"/>
  <c r="O93" i="15"/>
  <c r="P93" i="15"/>
  <c r="V93" i="15"/>
  <c r="Z93" i="15"/>
  <c r="AA93" i="15"/>
  <c r="AB93" i="15"/>
  <c r="AC93" i="15"/>
  <c r="AD93" i="15"/>
  <c r="AE93" i="15"/>
  <c r="AF93" i="15"/>
  <c r="AG93" i="15"/>
  <c r="AH93" i="15"/>
  <c r="AI93" i="15"/>
  <c r="AJ93" i="15"/>
  <c r="AK93" i="15"/>
  <c r="AL93" i="15"/>
  <c r="AM93" i="15"/>
  <c r="AN93" i="15"/>
  <c r="AO93" i="15"/>
  <c r="AP93" i="15"/>
  <c r="AQ93" i="15"/>
  <c r="AR93" i="15"/>
  <c r="AS93" i="15"/>
  <c r="AT93" i="15"/>
  <c r="AU93" i="15"/>
  <c r="AV93" i="15"/>
  <c r="AW93" i="15"/>
  <c r="AX93" i="15"/>
  <c r="AY93" i="15"/>
  <c r="AZ93" i="15"/>
  <c r="BA93" i="15"/>
  <c r="BB93" i="15"/>
  <c r="BC93" i="15"/>
  <c r="Q93" i="15" s="1"/>
  <c r="Q94" i="15"/>
  <c r="V94" i="15"/>
  <c r="Z94" i="15"/>
  <c r="AD94" i="15"/>
  <c r="AH94" i="15"/>
  <c r="AL94" i="15"/>
  <c r="AP94" i="15"/>
  <c r="AT94" i="15"/>
  <c r="AX94" i="15"/>
  <c r="BB94" i="15"/>
  <c r="Q95" i="15"/>
  <c r="V95" i="15"/>
  <c r="Z95" i="15"/>
  <c r="AD95" i="15"/>
  <c r="AF95" i="15"/>
  <c r="AH95" i="15"/>
  <c r="AL95" i="15"/>
  <c r="AP95" i="15"/>
  <c r="AT95" i="15"/>
  <c r="AX95" i="15"/>
  <c r="BB95" i="15"/>
  <c r="G96" i="15"/>
  <c r="H96" i="15"/>
  <c r="Q96" i="15"/>
  <c r="V96" i="15"/>
  <c r="Z96" i="15"/>
  <c r="AD96" i="15"/>
  <c r="AH96" i="15"/>
  <c r="AL96" i="15"/>
  <c r="AP96" i="15"/>
  <c r="AR96" i="15"/>
  <c r="AT96" i="15"/>
  <c r="AX96" i="15"/>
  <c r="BB96" i="15"/>
  <c r="G97" i="15"/>
  <c r="H97" i="15"/>
  <c r="O97" i="15"/>
  <c r="Q97" i="15"/>
  <c r="V97" i="15"/>
  <c r="Z97" i="15"/>
  <c r="AD97" i="15"/>
  <c r="AH97" i="15"/>
  <c r="AL97" i="15"/>
  <c r="AP97" i="15"/>
  <c r="AT97" i="15"/>
  <c r="AX97" i="15"/>
  <c r="BB97" i="15"/>
  <c r="C98" i="15"/>
  <c r="D98" i="15"/>
  <c r="E98" i="15"/>
  <c r="F98" i="15"/>
  <c r="G98" i="15"/>
  <c r="H98" i="15"/>
  <c r="I98" i="15"/>
  <c r="J98" i="15"/>
  <c r="K98" i="15"/>
  <c r="L98" i="15"/>
  <c r="M98" i="15"/>
  <c r="N98" i="15"/>
  <c r="O98" i="15"/>
  <c r="P98" i="15"/>
  <c r="Q98" i="15"/>
  <c r="S98" i="15"/>
  <c r="T98" i="15"/>
  <c r="U98" i="15"/>
  <c r="V98" i="15"/>
  <c r="W98" i="15"/>
  <c r="X98" i="15"/>
  <c r="Y98" i="15"/>
  <c r="Z98" i="15"/>
  <c r="AA98" i="15"/>
  <c r="AB98" i="15"/>
  <c r="AC98" i="15"/>
  <c r="AD98" i="15"/>
  <c r="AE98" i="15"/>
  <c r="AF98" i="15"/>
  <c r="AG98" i="15"/>
  <c r="AH98" i="15"/>
  <c r="AI98" i="15"/>
  <c r="AJ98" i="15"/>
  <c r="AK98" i="15"/>
  <c r="AL98" i="15"/>
  <c r="AM98" i="15"/>
  <c r="AN98" i="15"/>
  <c r="AO98" i="15"/>
  <c r="AP98" i="15"/>
  <c r="AQ98" i="15"/>
  <c r="AR98" i="15"/>
  <c r="AS98" i="15"/>
  <c r="AT98" i="15"/>
  <c r="AU98" i="15"/>
  <c r="AV98" i="15"/>
  <c r="AW98" i="15"/>
  <c r="AX98" i="15"/>
  <c r="AY98" i="15"/>
  <c r="AZ98" i="15"/>
  <c r="BA98" i="15"/>
  <c r="BB98" i="15"/>
  <c r="BC98" i="15"/>
  <c r="C99" i="15"/>
  <c r="D99" i="15"/>
  <c r="E99" i="15"/>
  <c r="F99" i="15"/>
  <c r="G99" i="15"/>
  <c r="H99" i="15"/>
  <c r="I99" i="15"/>
  <c r="J99" i="15"/>
  <c r="K99" i="15"/>
  <c r="L99" i="15"/>
  <c r="M99" i="15"/>
  <c r="N99" i="15"/>
  <c r="O99" i="15"/>
  <c r="P99" i="15"/>
  <c r="V99" i="15"/>
  <c r="W99" i="15"/>
  <c r="X99" i="15"/>
  <c r="Y99" i="15"/>
  <c r="Z99" i="15"/>
  <c r="AA99" i="15"/>
  <c r="AB99" i="15"/>
  <c r="AC99" i="15"/>
  <c r="AD99" i="15"/>
  <c r="AE99" i="15"/>
  <c r="AF99" i="15"/>
  <c r="AG99" i="15"/>
  <c r="AH99" i="15"/>
  <c r="AI99" i="15"/>
  <c r="AJ99" i="15"/>
  <c r="AK99" i="15"/>
  <c r="AL99" i="15"/>
  <c r="AM99" i="15"/>
  <c r="AN99" i="15"/>
  <c r="AO99" i="15"/>
  <c r="AP99" i="15"/>
  <c r="AQ99" i="15"/>
  <c r="AR99" i="15"/>
  <c r="AS99" i="15"/>
  <c r="AT99" i="15"/>
  <c r="AU99" i="15"/>
  <c r="AV99" i="15"/>
  <c r="AW99" i="15"/>
  <c r="AX99" i="15"/>
  <c r="AY99" i="15"/>
  <c r="AZ99" i="15"/>
  <c r="BA99" i="15"/>
  <c r="BB99" i="15"/>
  <c r="BC99" i="15"/>
  <c r="C101" i="15"/>
  <c r="D101" i="15"/>
  <c r="E101" i="15"/>
  <c r="F101" i="15"/>
  <c r="G101" i="15"/>
  <c r="H101" i="15"/>
  <c r="I101" i="15"/>
  <c r="J101" i="15"/>
  <c r="K101" i="15"/>
  <c r="L101" i="15"/>
  <c r="M101" i="15"/>
  <c r="N101" i="15"/>
  <c r="O101" i="15"/>
  <c r="P101" i="15"/>
  <c r="S101" i="15"/>
  <c r="T101" i="15"/>
  <c r="U101" i="15"/>
  <c r="V101" i="15"/>
  <c r="W101" i="15"/>
  <c r="X101" i="15"/>
  <c r="Y101" i="15"/>
  <c r="Z101" i="15"/>
  <c r="AA101" i="15"/>
  <c r="AB101" i="15"/>
  <c r="AC101" i="15"/>
  <c r="AD101" i="15"/>
  <c r="AE101" i="15"/>
  <c r="AF101" i="15"/>
  <c r="AG101" i="15"/>
  <c r="AH101" i="15"/>
  <c r="AI101" i="15"/>
  <c r="AJ101" i="15"/>
  <c r="AK101" i="15"/>
  <c r="AL101" i="15"/>
  <c r="AM101" i="15"/>
  <c r="AN101" i="15"/>
  <c r="AO101" i="15"/>
  <c r="AP101" i="15"/>
  <c r="AQ101" i="15"/>
  <c r="AR101" i="15"/>
  <c r="AS101" i="15"/>
  <c r="AT101" i="15"/>
  <c r="AU101" i="15"/>
  <c r="AV101" i="15"/>
  <c r="AW101" i="15"/>
  <c r="AX101" i="15"/>
  <c r="AY101" i="15"/>
  <c r="AZ101" i="15"/>
  <c r="BA101" i="15"/>
  <c r="BB101" i="15"/>
  <c r="BC101" i="15"/>
  <c r="C102" i="15"/>
  <c r="D102" i="15"/>
  <c r="E102" i="15"/>
  <c r="F102" i="15"/>
  <c r="G102" i="15"/>
  <c r="H102" i="15"/>
  <c r="I102" i="15"/>
  <c r="J102" i="15"/>
  <c r="K102" i="15"/>
  <c r="L102" i="15"/>
  <c r="M102" i="15"/>
  <c r="N102" i="15"/>
  <c r="O102" i="15"/>
  <c r="P102" i="15"/>
  <c r="Q102" i="15"/>
  <c r="S102" i="15"/>
  <c r="T102" i="15"/>
  <c r="U102" i="15"/>
  <c r="V102" i="15"/>
  <c r="W102" i="15"/>
  <c r="X102" i="15"/>
  <c r="Y102" i="15"/>
  <c r="Z102" i="15"/>
  <c r="AA102" i="15"/>
  <c r="AB102" i="15"/>
  <c r="AC102" i="15"/>
  <c r="AD102" i="15"/>
  <c r="AE102" i="15"/>
  <c r="AF102" i="15"/>
  <c r="AG102" i="15"/>
  <c r="AH102" i="15"/>
  <c r="AI102" i="15"/>
  <c r="AJ102" i="15"/>
  <c r="AK102" i="15"/>
  <c r="AL102" i="15"/>
  <c r="AM102" i="15"/>
  <c r="AN102" i="15"/>
  <c r="AO102" i="15"/>
  <c r="AP102" i="15"/>
  <c r="AQ102" i="15"/>
  <c r="AR102" i="15"/>
  <c r="AS102" i="15"/>
  <c r="AT102" i="15"/>
  <c r="AU102" i="15"/>
  <c r="AV102" i="15"/>
  <c r="AW102" i="15"/>
  <c r="AX102" i="15"/>
  <c r="AY102" i="15"/>
  <c r="AZ102" i="15"/>
  <c r="BA102" i="15"/>
  <c r="BB102" i="15"/>
  <c r="BC102" i="15"/>
  <c r="C103" i="15"/>
  <c r="D103" i="15"/>
  <c r="E103" i="15"/>
  <c r="F103" i="15"/>
  <c r="G103" i="15"/>
  <c r="H103" i="15"/>
  <c r="I103" i="15"/>
  <c r="J103" i="15"/>
  <c r="K103" i="15"/>
  <c r="L103" i="15"/>
  <c r="M103" i="15"/>
  <c r="N103" i="15"/>
  <c r="O103" i="15"/>
  <c r="P103" i="15"/>
  <c r="Q103" i="15"/>
  <c r="S103" i="15"/>
  <c r="T103" i="15"/>
  <c r="U103" i="15"/>
  <c r="V103" i="15"/>
  <c r="W103" i="15"/>
  <c r="X103" i="15"/>
  <c r="Y103" i="15"/>
  <c r="Z103" i="15"/>
  <c r="AA103" i="15"/>
  <c r="AB103" i="15"/>
  <c r="AC103" i="15"/>
  <c r="AD103" i="15"/>
  <c r="AE103" i="15"/>
  <c r="AF103" i="15"/>
  <c r="AG103" i="15"/>
  <c r="AH103" i="15"/>
  <c r="AI103" i="15"/>
  <c r="AJ103" i="15"/>
  <c r="AK103" i="15"/>
  <c r="AL103" i="15"/>
  <c r="AM103" i="15"/>
  <c r="AN103" i="15"/>
  <c r="AO103" i="15"/>
  <c r="AP103" i="15"/>
  <c r="AQ103" i="15"/>
  <c r="AR103" i="15"/>
  <c r="AS103" i="15"/>
  <c r="AT103" i="15"/>
  <c r="AU103" i="15"/>
  <c r="AV103" i="15"/>
  <c r="AW103" i="15"/>
  <c r="AX103" i="15"/>
  <c r="AY103" i="15"/>
  <c r="AZ103" i="15"/>
  <c r="BA103" i="15"/>
  <c r="BB103" i="15"/>
  <c r="BC103" i="15"/>
  <c r="C106" i="15"/>
  <c r="D106" i="15"/>
  <c r="E106" i="15"/>
  <c r="Q106" i="15"/>
  <c r="S106" i="15"/>
  <c r="T106" i="15"/>
  <c r="U106" i="15"/>
  <c r="V106" i="15"/>
  <c r="W106" i="15"/>
  <c r="X106" i="15"/>
  <c r="Y106" i="15"/>
  <c r="Z106" i="15"/>
  <c r="AD106" i="15"/>
  <c r="AH106" i="15"/>
  <c r="AL106" i="15"/>
  <c r="AP106" i="15"/>
  <c r="AT106" i="15"/>
  <c r="AX106" i="15"/>
  <c r="BA106" i="15"/>
  <c r="BB106" i="15"/>
  <c r="C107" i="15"/>
  <c r="D107" i="15"/>
  <c r="E107" i="15"/>
  <c r="Q107" i="15"/>
  <c r="S107" i="15"/>
  <c r="T107" i="15"/>
  <c r="U107" i="15"/>
  <c r="V107" i="15"/>
  <c r="W107" i="15"/>
  <c r="X107" i="15"/>
  <c r="Y107" i="15"/>
  <c r="Z107" i="15"/>
  <c r="AD107" i="15"/>
  <c r="AH107" i="15"/>
  <c r="AL107" i="15"/>
  <c r="AP107" i="15"/>
  <c r="AT107" i="15"/>
  <c r="AX107" i="15"/>
  <c r="BB107" i="15"/>
  <c r="C108" i="15"/>
  <c r="D108" i="15"/>
  <c r="E108" i="15"/>
  <c r="G108" i="15"/>
  <c r="H108" i="15"/>
  <c r="I108" i="15"/>
  <c r="J108" i="15"/>
  <c r="K108" i="15"/>
  <c r="L108" i="15"/>
  <c r="M108" i="15"/>
  <c r="N108" i="15"/>
  <c r="O108" i="15"/>
  <c r="P108" i="15"/>
  <c r="S108" i="15"/>
  <c r="T108" i="15"/>
  <c r="U108" i="15"/>
  <c r="V108" i="15"/>
  <c r="W108" i="15"/>
  <c r="X108" i="15"/>
  <c r="Y108" i="15"/>
  <c r="Z108" i="15"/>
  <c r="AD108" i="15"/>
  <c r="AH108" i="15"/>
  <c r="AI108" i="15"/>
  <c r="AJ108" i="15"/>
  <c r="AK108" i="15"/>
  <c r="AL108" i="15"/>
  <c r="AN108" i="15"/>
  <c r="AO108" i="15"/>
  <c r="AP108" i="15"/>
  <c r="AQ108" i="15"/>
  <c r="AR108" i="15"/>
  <c r="AS108" i="15"/>
  <c r="AT108" i="15"/>
  <c r="AU108" i="15"/>
  <c r="AV108" i="15"/>
  <c r="AW108" i="15"/>
  <c r="AX108" i="15"/>
  <c r="AY108" i="15"/>
  <c r="AZ108" i="15"/>
  <c r="BA108" i="15"/>
  <c r="BB108" i="15"/>
  <c r="BC108" i="15"/>
  <c r="Q108" i="15" s="1"/>
  <c r="C109" i="15"/>
  <c r="D109" i="15"/>
  <c r="E109" i="15"/>
  <c r="Q109" i="15"/>
  <c r="S109" i="15"/>
  <c r="T109" i="15"/>
  <c r="U109" i="15"/>
  <c r="V109" i="15"/>
  <c r="W109" i="15"/>
  <c r="X109" i="15"/>
  <c r="Y109" i="15"/>
  <c r="Z109" i="15"/>
  <c r="AD109" i="15"/>
  <c r="AH109" i="15"/>
  <c r="AL109" i="15"/>
  <c r="AP109" i="15"/>
  <c r="AT109" i="15"/>
  <c r="AX109" i="15"/>
  <c r="BB109" i="15"/>
  <c r="C110" i="15"/>
  <c r="C37" i="15" s="1"/>
  <c r="D110" i="15"/>
  <c r="D37" i="15" s="1"/>
  <c r="E110" i="15"/>
  <c r="E37" i="15" s="1"/>
  <c r="F110" i="15"/>
  <c r="F37" i="15" s="1"/>
  <c r="G110" i="15"/>
  <c r="G37" i="15" s="1"/>
  <c r="H110" i="15"/>
  <c r="H37" i="15" s="1"/>
  <c r="I110" i="15"/>
  <c r="I37" i="15" s="1"/>
  <c r="J110" i="15"/>
  <c r="J37" i="15" s="1"/>
  <c r="K110" i="15"/>
  <c r="K37" i="15" s="1"/>
  <c r="L110" i="15"/>
  <c r="L37" i="15" s="1"/>
  <c r="M110" i="15"/>
  <c r="M37" i="15" s="1"/>
  <c r="N110" i="15"/>
  <c r="N37" i="15" s="1"/>
  <c r="O110" i="15"/>
  <c r="O37" i="15" s="1"/>
  <c r="P110" i="15"/>
  <c r="P37" i="15" s="1"/>
  <c r="Q110" i="15"/>
  <c r="Q37" i="15" s="1"/>
  <c r="S110" i="15"/>
  <c r="S37" i="15" s="1"/>
  <c r="T110" i="15"/>
  <c r="T37" i="15" s="1"/>
  <c r="U110" i="15"/>
  <c r="U37" i="15" s="1"/>
  <c r="V110" i="15"/>
  <c r="V37" i="15" s="1"/>
  <c r="W110" i="15"/>
  <c r="W37" i="15" s="1"/>
  <c r="X110" i="15"/>
  <c r="X37" i="15" s="1"/>
  <c r="Y110" i="15"/>
  <c r="Y37" i="15" s="1"/>
  <c r="Z110" i="15"/>
  <c r="Z37" i="15" s="1"/>
  <c r="AA110" i="15"/>
  <c r="AA37" i="15" s="1"/>
  <c r="AB110" i="15"/>
  <c r="AB37" i="15" s="1"/>
  <c r="AC110" i="15"/>
  <c r="AC37" i="15" s="1"/>
  <c r="AD110" i="15"/>
  <c r="AE110" i="15"/>
  <c r="AE37" i="15" s="1"/>
  <c r="AF110" i="15"/>
  <c r="AF37" i="15" s="1"/>
  <c r="AG110" i="15"/>
  <c r="AG37" i="15" s="1"/>
  <c r="AH110" i="15"/>
  <c r="AI110" i="15"/>
  <c r="AJ110" i="15"/>
  <c r="AK110" i="15"/>
  <c r="AL110" i="15"/>
  <c r="AL37" i="15" s="1"/>
  <c r="AM110" i="15"/>
  <c r="AM37" i="15" s="1"/>
  <c r="AN110" i="15"/>
  <c r="AN37" i="15" s="1"/>
  <c r="AO110" i="15"/>
  <c r="AO37" i="15" s="1"/>
  <c r="AP110" i="15"/>
  <c r="AP37" i="15" s="1"/>
  <c r="AQ110" i="15"/>
  <c r="AR110" i="15"/>
  <c r="AS110" i="15"/>
  <c r="AS37" i="15" s="1"/>
  <c r="AT110" i="15"/>
  <c r="AT37" i="15" s="1"/>
  <c r="AU110" i="15"/>
  <c r="AU37" i="15" s="1"/>
  <c r="AV110" i="15"/>
  <c r="AV37" i="15" s="1"/>
  <c r="AW110" i="15"/>
  <c r="AW37" i="15" s="1"/>
  <c r="AX110" i="15"/>
  <c r="AX37" i="15" s="1"/>
  <c r="AY110" i="15"/>
  <c r="AY37" i="15" s="1"/>
  <c r="AZ110" i="15"/>
  <c r="AZ37" i="15" s="1"/>
  <c r="BA110" i="15"/>
  <c r="BA37" i="15" s="1"/>
  <c r="BB110" i="15"/>
  <c r="BB37" i="15" s="1"/>
  <c r="BC110" i="15"/>
  <c r="BC37" i="15" s="1"/>
  <c r="V113" i="15"/>
  <c r="V36" i="15" s="1"/>
  <c r="Z113" i="15"/>
  <c r="AD113" i="15"/>
  <c r="AH113" i="15"/>
  <c r="AH36" i="15" s="1"/>
  <c r="AL113" i="15"/>
  <c r="AP113" i="15"/>
  <c r="AP36" i="15" s="1"/>
  <c r="AT113" i="15"/>
  <c r="AT36" i="15" s="1"/>
  <c r="AX113" i="15"/>
  <c r="AX36" i="15" s="1"/>
  <c r="BB113" i="15"/>
  <c r="BB36" i="15" s="1"/>
  <c r="BC113" i="15"/>
  <c r="C115" i="15"/>
  <c r="D115" i="15"/>
  <c r="E115" i="15"/>
  <c r="F115" i="15"/>
  <c r="G115" i="15"/>
  <c r="H115" i="15"/>
  <c r="I115" i="15"/>
  <c r="J115" i="15"/>
  <c r="K115" i="15"/>
  <c r="L115" i="15"/>
  <c r="M115" i="15"/>
  <c r="N115" i="15"/>
  <c r="O115" i="15"/>
  <c r="P115" i="15"/>
  <c r="S115" i="15"/>
  <c r="T115" i="15"/>
  <c r="U115" i="15"/>
  <c r="V115" i="15"/>
  <c r="W115" i="15"/>
  <c r="X115" i="15"/>
  <c r="Y115" i="15"/>
  <c r="Z115" i="15"/>
  <c r="AA115" i="15"/>
  <c r="AB115" i="15"/>
  <c r="AC115" i="15"/>
  <c r="AD115" i="15"/>
  <c r="AE115" i="15"/>
  <c r="AF115" i="15"/>
  <c r="AG115" i="15"/>
  <c r="AH115" i="15"/>
  <c r="AI115" i="15"/>
  <c r="AJ115" i="15"/>
  <c r="AK115" i="15"/>
  <c r="AL115" i="15"/>
  <c r="AM115" i="15"/>
  <c r="AN115" i="15"/>
  <c r="AO115" i="15"/>
  <c r="AP115" i="15"/>
  <c r="AQ115" i="15"/>
  <c r="AR115" i="15"/>
  <c r="AS115" i="15"/>
  <c r="AT115" i="15"/>
  <c r="AU115" i="15"/>
  <c r="AV115" i="15"/>
  <c r="AW115" i="15"/>
  <c r="AX115" i="15"/>
  <c r="AY115" i="15"/>
  <c r="AZ115" i="15"/>
  <c r="BA115" i="15"/>
  <c r="BB115" i="15"/>
  <c r="BC115" i="15"/>
  <c r="C116" i="15"/>
  <c r="D116" i="15"/>
  <c r="E116" i="15"/>
  <c r="F116" i="15"/>
  <c r="G116" i="15"/>
  <c r="H116" i="15"/>
  <c r="I116" i="15"/>
  <c r="J116" i="15"/>
  <c r="K116" i="15"/>
  <c r="L116" i="15"/>
  <c r="M116" i="15"/>
  <c r="N116" i="15"/>
  <c r="O116" i="15"/>
  <c r="P116" i="15"/>
  <c r="Q116" i="15"/>
  <c r="S116" i="15"/>
  <c r="T116" i="15"/>
  <c r="U116" i="15"/>
  <c r="V116" i="15"/>
  <c r="W116" i="15"/>
  <c r="X116" i="15"/>
  <c r="Y116" i="15"/>
  <c r="Z116" i="15"/>
  <c r="AA116" i="15"/>
  <c r="AB116" i="15"/>
  <c r="AC116" i="15"/>
  <c r="AD116" i="15"/>
  <c r="AE116" i="15"/>
  <c r="AF116" i="15"/>
  <c r="AG116" i="15"/>
  <c r="AH116" i="15"/>
  <c r="AI116" i="15"/>
  <c r="AJ116" i="15"/>
  <c r="AK116" i="15"/>
  <c r="AL116" i="15"/>
  <c r="AM116" i="15"/>
  <c r="AN116" i="15"/>
  <c r="AO116" i="15"/>
  <c r="AP116" i="15"/>
  <c r="AQ116" i="15"/>
  <c r="AR116" i="15"/>
  <c r="AS116" i="15"/>
  <c r="AT116" i="15"/>
  <c r="AU116" i="15"/>
  <c r="AV116" i="15"/>
  <c r="AW116" i="15"/>
  <c r="AX116" i="15"/>
  <c r="AY116" i="15"/>
  <c r="AZ116" i="15"/>
  <c r="BA116" i="15"/>
  <c r="BB116" i="15"/>
  <c r="BC116" i="15"/>
  <c r="Q118" i="15"/>
  <c r="V118" i="15"/>
  <c r="Z118" i="15"/>
  <c r="AD118" i="15"/>
  <c r="AH118" i="15"/>
  <c r="AL118" i="15"/>
  <c r="AP118" i="15"/>
  <c r="AT118" i="15"/>
  <c r="AX118" i="15"/>
  <c r="BB118" i="15"/>
  <c r="Q120" i="15"/>
  <c r="V120" i="15"/>
  <c r="Z120" i="15"/>
  <c r="AD120" i="15"/>
  <c r="AH120" i="15"/>
  <c r="AL120" i="15"/>
  <c r="AP120" i="15"/>
  <c r="AT120" i="15"/>
  <c r="AX120" i="15"/>
  <c r="BB120" i="15"/>
  <c r="C121" i="15"/>
  <c r="D121" i="15"/>
  <c r="E121" i="15"/>
  <c r="F121" i="15"/>
  <c r="G121" i="15"/>
  <c r="H121" i="15"/>
  <c r="I121" i="15"/>
  <c r="J121" i="15"/>
  <c r="K121" i="15"/>
  <c r="L121" i="15"/>
  <c r="M121" i="15"/>
  <c r="N121" i="15"/>
  <c r="O121" i="15"/>
  <c r="P121" i="15"/>
  <c r="Q121" i="15"/>
  <c r="S121" i="15"/>
  <c r="T121" i="15"/>
  <c r="U121" i="15"/>
  <c r="V121" i="15"/>
  <c r="W121" i="15"/>
  <c r="X121" i="15"/>
  <c r="Y121" i="15"/>
  <c r="Z121" i="15"/>
  <c r="AA121" i="15"/>
  <c r="AB121" i="15"/>
  <c r="AC121" i="15"/>
  <c r="AD121" i="15"/>
  <c r="AE121" i="15"/>
  <c r="AF121" i="15"/>
  <c r="AG121" i="15"/>
  <c r="AH121" i="15"/>
  <c r="AI121" i="15"/>
  <c r="AJ121" i="15"/>
  <c r="AK121" i="15"/>
  <c r="AL121" i="15"/>
  <c r="AM121" i="15"/>
  <c r="AN121" i="15"/>
  <c r="AO121" i="15"/>
  <c r="AP121" i="15"/>
  <c r="AQ121" i="15"/>
  <c r="AR121" i="15"/>
  <c r="AS121" i="15"/>
  <c r="AT121" i="15"/>
  <c r="AU121" i="15"/>
  <c r="AV121" i="15"/>
  <c r="AW121" i="15"/>
  <c r="AX121" i="15"/>
  <c r="AY121" i="15"/>
  <c r="AZ121" i="15"/>
  <c r="BA121" i="15"/>
  <c r="BB121" i="15"/>
  <c r="BC121" i="15"/>
  <c r="C123" i="15"/>
  <c r="D123" i="15"/>
  <c r="E123" i="15"/>
  <c r="F123" i="15"/>
  <c r="G123" i="15"/>
  <c r="H123" i="15"/>
  <c r="I123" i="15"/>
  <c r="J123" i="15"/>
  <c r="K123" i="15"/>
  <c r="L123" i="15"/>
  <c r="M123" i="15"/>
  <c r="N123" i="15"/>
  <c r="O123" i="15"/>
  <c r="P123" i="15"/>
  <c r="Q123" i="15"/>
  <c r="S123" i="15"/>
  <c r="T123" i="15"/>
  <c r="U123" i="15"/>
  <c r="V123" i="15"/>
  <c r="W123" i="15"/>
  <c r="X123" i="15"/>
  <c r="Y123" i="15"/>
  <c r="Z123" i="15"/>
  <c r="AA123" i="15"/>
  <c r="AB123" i="15"/>
  <c r="AC123" i="15"/>
  <c r="AD123" i="15"/>
  <c r="AE123" i="15"/>
  <c r="AF123" i="15"/>
  <c r="AG123" i="15"/>
  <c r="AH123" i="15"/>
  <c r="AI123" i="15"/>
  <c r="AJ123" i="15"/>
  <c r="AK123" i="15"/>
  <c r="AL123" i="15"/>
  <c r="AM123" i="15"/>
  <c r="AN123" i="15"/>
  <c r="AO123" i="15"/>
  <c r="AP123" i="15"/>
  <c r="AQ123" i="15"/>
  <c r="AR123" i="15"/>
  <c r="AS123" i="15"/>
  <c r="AT123" i="15"/>
  <c r="AU123" i="15"/>
  <c r="AV123" i="15"/>
  <c r="AW123" i="15"/>
  <c r="AX123" i="15"/>
  <c r="AY123" i="15"/>
  <c r="AZ123" i="15"/>
  <c r="BA123" i="15"/>
  <c r="BB123" i="15"/>
  <c r="BC123" i="15"/>
  <c r="C125" i="15"/>
  <c r="D125" i="15"/>
  <c r="E125" i="15"/>
  <c r="F125" i="15"/>
  <c r="G125" i="15"/>
  <c r="H125" i="15"/>
  <c r="I125" i="15"/>
  <c r="J125" i="15"/>
  <c r="K125" i="15"/>
  <c r="L125" i="15"/>
  <c r="M125" i="15"/>
  <c r="N125" i="15"/>
  <c r="O125" i="15"/>
  <c r="P125" i="15"/>
  <c r="V125" i="15"/>
  <c r="W125" i="15"/>
  <c r="X125" i="15"/>
  <c r="Y125" i="15"/>
  <c r="Z125" i="15"/>
  <c r="AA125" i="15"/>
  <c r="AB125" i="15"/>
  <c r="AC125" i="15"/>
  <c r="AD125" i="15"/>
  <c r="AE125" i="15"/>
  <c r="AF125" i="15"/>
  <c r="AG125" i="15"/>
  <c r="AH125" i="15"/>
  <c r="AI125" i="15"/>
  <c r="AJ125" i="15"/>
  <c r="AK125" i="15"/>
  <c r="AL125" i="15"/>
  <c r="AM125" i="15"/>
  <c r="AN125" i="15"/>
  <c r="AO125" i="15"/>
  <c r="AP125" i="15"/>
  <c r="AQ125" i="15"/>
  <c r="AR125" i="15"/>
  <c r="AS125" i="15"/>
  <c r="AT125" i="15"/>
  <c r="AU125" i="15"/>
  <c r="AV125" i="15"/>
  <c r="AW125" i="15"/>
  <c r="AX125" i="15"/>
  <c r="AY125" i="15"/>
  <c r="AZ125" i="15"/>
  <c r="BA125" i="15"/>
  <c r="BB125" i="15"/>
  <c r="BC125" i="15"/>
  <c r="C126" i="15"/>
  <c r="D126" i="15"/>
  <c r="E126" i="15"/>
  <c r="F126" i="15"/>
  <c r="G126" i="15"/>
  <c r="H126" i="15"/>
  <c r="I126" i="15"/>
  <c r="J126" i="15"/>
  <c r="K126" i="15"/>
  <c r="L126" i="15"/>
  <c r="M126" i="15"/>
  <c r="N126" i="15"/>
  <c r="O126" i="15"/>
  <c r="P126" i="15"/>
  <c r="V126" i="15"/>
  <c r="W126" i="15"/>
  <c r="X126" i="15"/>
  <c r="Y126" i="15"/>
  <c r="Z126" i="15"/>
  <c r="AA126" i="15"/>
  <c r="AB126" i="15"/>
  <c r="AC126" i="15"/>
  <c r="AD126" i="15"/>
  <c r="AE126" i="15"/>
  <c r="AF126" i="15"/>
  <c r="AG126" i="15"/>
  <c r="AH126" i="15"/>
  <c r="AI126" i="15"/>
  <c r="AJ126" i="15"/>
  <c r="AK126" i="15"/>
  <c r="AL126" i="15"/>
  <c r="AM126" i="15"/>
  <c r="AN126" i="15"/>
  <c r="AO126" i="15"/>
  <c r="AP126" i="15"/>
  <c r="AQ126" i="15"/>
  <c r="AR126" i="15"/>
  <c r="AS126" i="15"/>
  <c r="AT126" i="15"/>
  <c r="AU126" i="15"/>
  <c r="AV126" i="15"/>
  <c r="AW126" i="15"/>
  <c r="AX126" i="15"/>
  <c r="AY126" i="15"/>
  <c r="AZ126" i="15"/>
  <c r="BA126" i="15"/>
  <c r="BB126" i="15"/>
  <c r="BC126" i="15"/>
  <c r="C128" i="15"/>
  <c r="D128" i="15"/>
  <c r="E128" i="15"/>
  <c r="F128" i="15"/>
  <c r="G128" i="15"/>
  <c r="H128" i="15"/>
  <c r="I128" i="15"/>
  <c r="J128" i="15"/>
  <c r="K128" i="15"/>
  <c r="L128" i="15"/>
  <c r="M128" i="15"/>
  <c r="N128" i="15"/>
  <c r="O128" i="15"/>
  <c r="P128" i="15"/>
  <c r="V128" i="15"/>
  <c r="W128" i="15"/>
  <c r="X128" i="15"/>
  <c r="Y128" i="15"/>
  <c r="Z128" i="15"/>
  <c r="AA128" i="15"/>
  <c r="AB128" i="15"/>
  <c r="AC128" i="15"/>
  <c r="AD128" i="15"/>
  <c r="AE128" i="15"/>
  <c r="AF128" i="15"/>
  <c r="AG128" i="15"/>
  <c r="AH128" i="15"/>
  <c r="AI128" i="15"/>
  <c r="AJ128" i="15"/>
  <c r="AK128" i="15"/>
  <c r="AL128" i="15"/>
  <c r="AM128" i="15"/>
  <c r="AN128" i="15"/>
  <c r="AO128" i="15"/>
  <c r="AP128" i="15"/>
  <c r="AQ128" i="15"/>
  <c r="AR128" i="15"/>
  <c r="AS128" i="15"/>
  <c r="AT128" i="15"/>
  <c r="AU128" i="15"/>
  <c r="AV128" i="15"/>
  <c r="AW128" i="15"/>
  <c r="AX128" i="15"/>
  <c r="AY128" i="15"/>
  <c r="AZ128" i="15"/>
  <c r="BA128" i="15"/>
  <c r="BB128" i="15"/>
  <c r="BC128" i="15"/>
  <c r="C129" i="15"/>
  <c r="D129" i="15"/>
  <c r="E129" i="15"/>
  <c r="F129" i="15"/>
  <c r="G129" i="15"/>
  <c r="H129" i="15"/>
  <c r="I129" i="15"/>
  <c r="J129" i="15"/>
  <c r="K129" i="15"/>
  <c r="L129" i="15"/>
  <c r="M129" i="15"/>
  <c r="N129" i="15"/>
  <c r="O129" i="15"/>
  <c r="P129" i="15"/>
  <c r="V129" i="15"/>
  <c r="W129" i="15"/>
  <c r="X129" i="15"/>
  <c r="Y129" i="15"/>
  <c r="Z129" i="15"/>
  <c r="AA129" i="15"/>
  <c r="AB129" i="15"/>
  <c r="AC129" i="15"/>
  <c r="AD129" i="15"/>
  <c r="AE129" i="15"/>
  <c r="AF129" i="15"/>
  <c r="AG129" i="15"/>
  <c r="AH129" i="15"/>
  <c r="AI129" i="15"/>
  <c r="AJ129" i="15"/>
  <c r="AK129" i="15"/>
  <c r="AL129" i="15"/>
  <c r="AM129" i="15"/>
  <c r="AN129" i="15"/>
  <c r="AO129" i="15"/>
  <c r="AP129" i="15"/>
  <c r="AQ129" i="15"/>
  <c r="AR129" i="15"/>
  <c r="AS129" i="15"/>
  <c r="AT129" i="15"/>
  <c r="AU129" i="15"/>
  <c r="AV129" i="15"/>
  <c r="AW129" i="15"/>
  <c r="AX129" i="15"/>
  <c r="AY129" i="15"/>
  <c r="AZ129" i="15"/>
  <c r="BA129" i="15"/>
  <c r="BB129" i="15"/>
  <c r="BC129" i="15"/>
  <c r="C131" i="15"/>
  <c r="D131" i="15"/>
  <c r="E131" i="15"/>
  <c r="F131" i="15"/>
  <c r="G131" i="15"/>
  <c r="H131" i="15"/>
  <c r="I131" i="15"/>
  <c r="J131" i="15"/>
  <c r="K131" i="15"/>
  <c r="L131" i="15"/>
  <c r="M131" i="15"/>
  <c r="N131" i="15"/>
  <c r="O131" i="15"/>
  <c r="P131" i="15"/>
  <c r="V131" i="15"/>
  <c r="W131" i="15"/>
  <c r="X131" i="15"/>
  <c r="Y131" i="15"/>
  <c r="Z131" i="15"/>
  <c r="AA131" i="15"/>
  <c r="AB131" i="15"/>
  <c r="AC131" i="15"/>
  <c r="AD131" i="15"/>
  <c r="AE131" i="15"/>
  <c r="AF131" i="15"/>
  <c r="AG131" i="15"/>
  <c r="AH131" i="15"/>
  <c r="AI131" i="15"/>
  <c r="AJ131" i="15"/>
  <c r="AK131" i="15"/>
  <c r="AL131" i="15"/>
  <c r="AM131" i="15"/>
  <c r="AN131" i="15"/>
  <c r="AO131" i="15"/>
  <c r="AP131" i="15"/>
  <c r="AQ131" i="15"/>
  <c r="AR131" i="15"/>
  <c r="AS131" i="15"/>
  <c r="AT131" i="15"/>
  <c r="AU131" i="15"/>
  <c r="AV131" i="15"/>
  <c r="AW131" i="15"/>
  <c r="AX131" i="15"/>
  <c r="AY131" i="15"/>
  <c r="AZ131" i="15"/>
  <c r="BA131" i="15"/>
  <c r="BB131" i="15"/>
  <c r="BC131" i="15"/>
  <c r="C133" i="15"/>
  <c r="D133" i="15"/>
  <c r="E133" i="15"/>
  <c r="F133" i="15"/>
  <c r="G133" i="15"/>
  <c r="H133" i="15"/>
  <c r="I133" i="15"/>
  <c r="J133" i="15"/>
  <c r="K133" i="15"/>
  <c r="L133" i="15"/>
  <c r="M133" i="15"/>
  <c r="N133" i="15"/>
  <c r="O133" i="15"/>
  <c r="P133" i="15"/>
  <c r="V133" i="15"/>
  <c r="W133" i="15"/>
  <c r="X133" i="15"/>
  <c r="Y133" i="15"/>
  <c r="Z133" i="15"/>
  <c r="AA133" i="15"/>
  <c r="AB133" i="15"/>
  <c r="AC133" i="15"/>
  <c r="AD133" i="15"/>
  <c r="AE133" i="15"/>
  <c r="AF133" i="15"/>
  <c r="AG133" i="15"/>
  <c r="AH133" i="15"/>
  <c r="AI133" i="15"/>
  <c r="AJ133" i="15"/>
  <c r="AK133" i="15"/>
  <c r="AL133" i="15"/>
  <c r="AM133" i="15"/>
  <c r="AN133" i="15"/>
  <c r="AO133" i="15"/>
  <c r="AP133" i="15"/>
  <c r="AQ133" i="15"/>
  <c r="AR133" i="15"/>
  <c r="AS133" i="15"/>
  <c r="AT133" i="15"/>
  <c r="AU133" i="15"/>
  <c r="AV133" i="15"/>
  <c r="AW133" i="15"/>
  <c r="AX133" i="15"/>
  <c r="AY133" i="15"/>
  <c r="AZ133" i="15"/>
  <c r="BA133" i="15"/>
  <c r="BB133" i="15"/>
  <c r="BC133" i="15"/>
  <c r="C134" i="15"/>
  <c r="D134" i="15"/>
  <c r="E134" i="15"/>
  <c r="F134" i="15"/>
  <c r="G134" i="15"/>
  <c r="H134" i="15"/>
  <c r="I134" i="15"/>
  <c r="J134" i="15"/>
  <c r="K134" i="15"/>
  <c r="L134" i="15"/>
  <c r="M134" i="15"/>
  <c r="N134" i="15"/>
  <c r="O134" i="15"/>
  <c r="P134" i="15"/>
  <c r="V134" i="15"/>
  <c r="W134" i="15"/>
  <c r="X134" i="15"/>
  <c r="Y134" i="15"/>
  <c r="Z134" i="15"/>
  <c r="AA134" i="15"/>
  <c r="AB134" i="15"/>
  <c r="AC134" i="15"/>
  <c r="AD134" i="15"/>
  <c r="AE134" i="15"/>
  <c r="AF134" i="15"/>
  <c r="AG134" i="15"/>
  <c r="AH134" i="15"/>
  <c r="AI134" i="15"/>
  <c r="AJ134" i="15"/>
  <c r="AK134" i="15"/>
  <c r="AL134" i="15"/>
  <c r="AM134" i="15"/>
  <c r="AN134" i="15"/>
  <c r="AO134" i="15"/>
  <c r="AP134" i="15"/>
  <c r="AQ134" i="15"/>
  <c r="AR134" i="15"/>
  <c r="AS134" i="15"/>
  <c r="AT134" i="15"/>
  <c r="AU134" i="15"/>
  <c r="AV134" i="15"/>
  <c r="AW134" i="15"/>
  <c r="AX134" i="15"/>
  <c r="AY134" i="15"/>
  <c r="AZ134" i="15"/>
  <c r="BA134" i="15"/>
  <c r="BB134" i="15"/>
  <c r="BC134" i="15"/>
  <c r="C136" i="15"/>
  <c r="D136" i="15"/>
  <c r="E136" i="15"/>
  <c r="F136" i="15"/>
  <c r="G136" i="15"/>
  <c r="H136" i="15"/>
  <c r="I136" i="15"/>
  <c r="J136" i="15"/>
  <c r="K136" i="15"/>
  <c r="L136" i="15"/>
  <c r="M136" i="15"/>
  <c r="N136" i="15"/>
  <c r="O136" i="15"/>
  <c r="P136" i="15"/>
  <c r="S136" i="15"/>
  <c r="T136" i="15"/>
  <c r="U136" i="15"/>
  <c r="V136" i="15"/>
  <c r="W136" i="15"/>
  <c r="X136" i="15"/>
  <c r="Y136" i="15"/>
  <c r="Z136" i="15"/>
  <c r="AA136" i="15"/>
  <c r="AB136" i="15"/>
  <c r="AC136" i="15"/>
  <c r="AD136" i="15"/>
  <c r="AE136" i="15"/>
  <c r="AF136" i="15"/>
  <c r="AG136" i="15"/>
  <c r="AH136" i="15"/>
  <c r="AI136" i="15"/>
  <c r="AJ136" i="15"/>
  <c r="AK136" i="15"/>
  <c r="AL136" i="15"/>
  <c r="AM136" i="15"/>
  <c r="AN136" i="15"/>
  <c r="AO136" i="15"/>
  <c r="AP136" i="15"/>
  <c r="AQ136" i="15"/>
  <c r="AR136" i="15"/>
  <c r="AS136" i="15"/>
  <c r="AT136" i="15"/>
  <c r="AU136" i="15"/>
  <c r="AV136" i="15"/>
  <c r="AW136" i="15"/>
  <c r="AX136" i="15"/>
  <c r="AY136" i="15"/>
  <c r="AZ136" i="15"/>
  <c r="BA136" i="15"/>
  <c r="BB136" i="15"/>
  <c r="BC136" i="15"/>
  <c r="Y138" i="15"/>
  <c r="Z138" i="15"/>
  <c r="B139" i="15"/>
  <c r="C139" i="15"/>
  <c r="D139" i="15"/>
  <c r="E139" i="15"/>
  <c r="F139" i="15"/>
  <c r="G139" i="15"/>
  <c r="H139" i="15"/>
  <c r="I139" i="15"/>
  <c r="J139" i="15"/>
  <c r="K139" i="15"/>
  <c r="L139" i="15"/>
  <c r="M139" i="15"/>
  <c r="N139" i="15"/>
  <c r="O139" i="15"/>
  <c r="P139" i="15"/>
  <c r="V139" i="15"/>
  <c r="W139" i="15"/>
  <c r="X139" i="15"/>
  <c r="Y139" i="15"/>
  <c r="Z139" i="15"/>
  <c r="AA139" i="15"/>
  <c r="AB139" i="15"/>
  <c r="AC139" i="15"/>
  <c r="AD139" i="15"/>
  <c r="AE139" i="15"/>
  <c r="AF139" i="15"/>
  <c r="AG139" i="15"/>
  <c r="AH139" i="15"/>
  <c r="AI139" i="15"/>
  <c r="AJ139" i="15"/>
  <c r="AK139" i="15"/>
  <c r="AL139" i="15"/>
  <c r="AM139" i="15"/>
  <c r="AN139" i="15"/>
  <c r="AO139" i="15"/>
  <c r="AP139" i="15"/>
  <c r="AQ139" i="15"/>
  <c r="AR139" i="15"/>
  <c r="AS139" i="15"/>
  <c r="AT139" i="15"/>
  <c r="AU139" i="15"/>
  <c r="AV139" i="15"/>
  <c r="AW139" i="15"/>
  <c r="AX139" i="15"/>
  <c r="AY139" i="15"/>
  <c r="AZ139" i="15"/>
  <c r="BA139" i="15"/>
  <c r="BB139" i="15"/>
  <c r="BC139" i="15"/>
  <c r="B140" i="15"/>
  <c r="C140" i="15"/>
  <c r="D140" i="15"/>
  <c r="E140" i="15"/>
  <c r="F140" i="15"/>
  <c r="G140" i="15"/>
  <c r="H140" i="15"/>
  <c r="I140" i="15"/>
  <c r="J140" i="15"/>
  <c r="K140" i="15"/>
  <c r="L140" i="15"/>
  <c r="M140" i="15"/>
  <c r="N140" i="15"/>
  <c r="O140" i="15"/>
  <c r="P140" i="15"/>
  <c r="V140" i="15"/>
  <c r="W140" i="15"/>
  <c r="X140" i="15"/>
  <c r="Y140" i="15"/>
  <c r="Z140" i="15"/>
  <c r="AA140" i="15"/>
  <c r="AB140" i="15"/>
  <c r="AC140" i="15"/>
  <c r="AD140" i="15"/>
  <c r="AE140" i="15"/>
  <c r="AF140" i="15"/>
  <c r="AG140" i="15"/>
  <c r="AH140" i="15"/>
  <c r="AI140" i="15"/>
  <c r="AJ140" i="15"/>
  <c r="AK140" i="15"/>
  <c r="AL140" i="15"/>
  <c r="AM140" i="15"/>
  <c r="AN140" i="15"/>
  <c r="AO140" i="15"/>
  <c r="AP140" i="15"/>
  <c r="AQ140" i="15"/>
  <c r="AR140" i="15"/>
  <c r="AS140" i="15"/>
  <c r="AT140" i="15"/>
  <c r="AU140" i="15"/>
  <c r="AV140" i="15"/>
  <c r="AW140" i="15"/>
  <c r="AX140" i="15"/>
  <c r="AY140" i="15"/>
  <c r="AZ140" i="15"/>
  <c r="BA140" i="15"/>
  <c r="BB140" i="15"/>
  <c r="BC140" i="15"/>
  <c r="C141" i="15"/>
  <c r="D141" i="15"/>
  <c r="E141" i="15"/>
  <c r="F141" i="15"/>
  <c r="G141" i="15"/>
  <c r="H141" i="15"/>
  <c r="I141" i="15"/>
  <c r="J141" i="15"/>
  <c r="K141" i="15"/>
  <c r="L141" i="15"/>
  <c r="M141" i="15"/>
  <c r="N141" i="15"/>
  <c r="O141" i="15"/>
  <c r="P141" i="15"/>
  <c r="V141" i="15"/>
  <c r="W141" i="15"/>
  <c r="X141" i="15"/>
  <c r="Y141" i="15"/>
  <c r="Z141" i="15"/>
  <c r="AA141" i="15"/>
  <c r="AB141" i="15"/>
  <c r="AC141" i="15"/>
  <c r="AD141" i="15"/>
  <c r="AE141" i="15"/>
  <c r="AF141" i="15"/>
  <c r="AG141" i="15"/>
  <c r="AH141" i="15"/>
  <c r="AI141" i="15"/>
  <c r="AJ141" i="15"/>
  <c r="AK141" i="15"/>
  <c r="AL141" i="15"/>
  <c r="AM141" i="15"/>
  <c r="AN141" i="15"/>
  <c r="AO141" i="15"/>
  <c r="AP141" i="15"/>
  <c r="AQ141" i="15"/>
  <c r="AR141" i="15"/>
  <c r="AS141" i="15"/>
  <c r="AT141" i="15"/>
  <c r="AU141" i="15"/>
  <c r="AV141" i="15"/>
  <c r="AW141" i="15"/>
  <c r="AX141" i="15"/>
  <c r="AY141" i="15"/>
  <c r="AZ141" i="15"/>
  <c r="BA141" i="15"/>
  <c r="BB141" i="15"/>
  <c r="BC141" i="15"/>
  <c r="B142" i="15"/>
  <c r="C142" i="15"/>
  <c r="D142" i="15"/>
  <c r="E142" i="15"/>
  <c r="F142" i="15"/>
  <c r="G142" i="15"/>
  <c r="H142" i="15"/>
  <c r="I142" i="15"/>
  <c r="J142" i="15"/>
  <c r="K142" i="15"/>
  <c r="L142" i="15"/>
  <c r="M142" i="15"/>
  <c r="N142" i="15"/>
  <c r="O142" i="15"/>
  <c r="P142" i="15"/>
  <c r="V142" i="15"/>
  <c r="W142" i="15"/>
  <c r="X142" i="15"/>
  <c r="Y142" i="15"/>
  <c r="Z142" i="15"/>
  <c r="AA142" i="15"/>
  <c r="AB142" i="15"/>
  <c r="AC142" i="15"/>
  <c r="AD142" i="15"/>
  <c r="AE142" i="15"/>
  <c r="AF142" i="15"/>
  <c r="AG142" i="15"/>
  <c r="AH142" i="15"/>
  <c r="AI142" i="15"/>
  <c r="AJ142" i="15"/>
  <c r="AK142" i="15"/>
  <c r="AL142" i="15"/>
  <c r="AM142" i="15"/>
  <c r="AN142" i="15"/>
  <c r="AO142" i="15"/>
  <c r="AP142" i="15"/>
  <c r="AQ142" i="15"/>
  <c r="AR142" i="15"/>
  <c r="AS142" i="15"/>
  <c r="AT142" i="15"/>
  <c r="AU142" i="15"/>
  <c r="AV142" i="15"/>
  <c r="AW142" i="15"/>
  <c r="AX142" i="15"/>
  <c r="AY142" i="15"/>
  <c r="AZ142" i="15"/>
  <c r="BA142" i="15"/>
  <c r="BB142" i="15"/>
  <c r="BC142" i="15"/>
  <c r="B143" i="15"/>
  <c r="C143" i="15"/>
  <c r="D143" i="15"/>
  <c r="E143" i="15"/>
  <c r="F143" i="15"/>
  <c r="G143" i="15"/>
  <c r="H143" i="15"/>
  <c r="I143" i="15"/>
  <c r="J143" i="15"/>
  <c r="K143" i="15"/>
  <c r="L143" i="15"/>
  <c r="M143" i="15"/>
  <c r="N143" i="15"/>
  <c r="O143" i="15"/>
  <c r="P143" i="15"/>
  <c r="V143" i="15"/>
  <c r="W143" i="15"/>
  <c r="X143" i="15"/>
  <c r="Y143" i="15"/>
  <c r="Z143" i="15"/>
  <c r="AA143" i="15"/>
  <c r="AB143" i="15"/>
  <c r="AC143" i="15"/>
  <c r="AD143" i="15"/>
  <c r="AE143" i="15"/>
  <c r="AF143" i="15"/>
  <c r="AG143" i="15"/>
  <c r="AH143" i="15"/>
  <c r="AI143" i="15"/>
  <c r="AJ143" i="15"/>
  <c r="AK143" i="15"/>
  <c r="AL143" i="15"/>
  <c r="AM143" i="15"/>
  <c r="AN143" i="15"/>
  <c r="AO143" i="15"/>
  <c r="AP143" i="15"/>
  <c r="AQ143" i="15"/>
  <c r="AR143" i="15"/>
  <c r="AS143" i="15"/>
  <c r="AT143" i="15"/>
  <c r="AU143" i="15"/>
  <c r="AV143" i="15"/>
  <c r="AW143" i="15"/>
  <c r="AX143" i="15"/>
  <c r="AY143" i="15"/>
  <c r="AZ143" i="15"/>
  <c r="BA143" i="15"/>
  <c r="BB143" i="15"/>
  <c r="BC143" i="15"/>
  <c r="B144" i="15"/>
  <c r="C144" i="15"/>
  <c r="D144" i="15"/>
  <c r="E144" i="15"/>
  <c r="F144" i="15"/>
  <c r="G144" i="15"/>
  <c r="H144" i="15"/>
  <c r="I144" i="15"/>
  <c r="J144" i="15"/>
  <c r="K144" i="15"/>
  <c r="L144" i="15"/>
  <c r="M144" i="15"/>
  <c r="N144" i="15"/>
  <c r="O144" i="15"/>
  <c r="P144" i="15"/>
  <c r="V144" i="15"/>
  <c r="W144" i="15"/>
  <c r="X144" i="15"/>
  <c r="Y144" i="15"/>
  <c r="Z144" i="15"/>
  <c r="AA144" i="15"/>
  <c r="AB144" i="15"/>
  <c r="AC144" i="15"/>
  <c r="AD144" i="15"/>
  <c r="AE144" i="15"/>
  <c r="AF144" i="15"/>
  <c r="AG144" i="15"/>
  <c r="AH144" i="15"/>
  <c r="AI144" i="15"/>
  <c r="AJ144" i="15"/>
  <c r="AK144" i="15"/>
  <c r="AL144" i="15"/>
  <c r="AM144" i="15"/>
  <c r="AN144" i="15"/>
  <c r="AO144" i="15"/>
  <c r="AP144" i="15"/>
  <c r="AQ144" i="15"/>
  <c r="AR144" i="15"/>
  <c r="AS144" i="15"/>
  <c r="AT144" i="15"/>
  <c r="AU144" i="15"/>
  <c r="AV144" i="15"/>
  <c r="AW144" i="15"/>
  <c r="AX144" i="15"/>
  <c r="AY144" i="15"/>
  <c r="AZ144" i="15"/>
  <c r="BA144" i="15"/>
  <c r="BB144" i="15"/>
  <c r="BC144" i="15"/>
  <c r="C145" i="15"/>
  <c r="D145" i="15"/>
  <c r="E145" i="15"/>
  <c r="F145" i="15"/>
  <c r="G145" i="15"/>
  <c r="H145" i="15"/>
  <c r="I145" i="15"/>
  <c r="J145" i="15"/>
  <c r="K145" i="15"/>
  <c r="L145" i="15"/>
  <c r="M145" i="15"/>
  <c r="N145" i="15"/>
  <c r="O145" i="15"/>
  <c r="P145" i="15"/>
  <c r="V145" i="15"/>
  <c r="W145" i="15"/>
  <c r="X145" i="15"/>
  <c r="Y145" i="15"/>
  <c r="Z145" i="15"/>
  <c r="AA145" i="15"/>
  <c r="AB145" i="15"/>
  <c r="AC145" i="15"/>
  <c r="AD145" i="15"/>
  <c r="AE145" i="15"/>
  <c r="AF145" i="15"/>
  <c r="AG145" i="15"/>
  <c r="AH145" i="15"/>
  <c r="AI145" i="15"/>
  <c r="AJ145" i="15"/>
  <c r="AK145" i="15"/>
  <c r="AL145" i="15"/>
  <c r="AM145" i="15"/>
  <c r="AN145" i="15"/>
  <c r="AO145" i="15"/>
  <c r="AP145" i="15"/>
  <c r="AQ145" i="15"/>
  <c r="AR145" i="15"/>
  <c r="AS145" i="15"/>
  <c r="AT145" i="15"/>
  <c r="AU145" i="15"/>
  <c r="AV145" i="15"/>
  <c r="AW145" i="15"/>
  <c r="AX145" i="15"/>
  <c r="AY145" i="15"/>
  <c r="AZ145" i="15"/>
  <c r="BA145" i="15"/>
  <c r="BB145" i="15"/>
  <c r="BC145" i="15"/>
  <c r="C146" i="15"/>
  <c r="D146" i="15"/>
  <c r="E146" i="15"/>
  <c r="F146" i="15"/>
  <c r="G146" i="15"/>
  <c r="H146" i="15"/>
  <c r="I146" i="15"/>
  <c r="J146" i="15"/>
  <c r="K146" i="15"/>
  <c r="L146" i="15"/>
  <c r="M146" i="15"/>
  <c r="N146" i="15"/>
  <c r="O146" i="15"/>
  <c r="P146" i="15"/>
  <c r="Q146" i="15"/>
  <c r="V146" i="15"/>
  <c r="W146" i="15"/>
  <c r="X146" i="15"/>
  <c r="Y146" i="15"/>
  <c r="Z146" i="15"/>
  <c r="AA146" i="15"/>
  <c r="AB146" i="15"/>
  <c r="AC146" i="15"/>
  <c r="AD146" i="15"/>
  <c r="AE146" i="15"/>
  <c r="AF146" i="15"/>
  <c r="AG146" i="15"/>
  <c r="AH146" i="15"/>
  <c r="AI146" i="15"/>
  <c r="AJ146" i="15"/>
  <c r="AK146" i="15"/>
  <c r="AL146" i="15"/>
  <c r="AM146" i="15"/>
  <c r="AN146" i="15"/>
  <c r="AO146" i="15"/>
  <c r="AP146" i="15"/>
  <c r="AQ146" i="15"/>
  <c r="AR146" i="15"/>
  <c r="AS146" i="15"/>
  <c r="AT146" i="15"/>
  <c r="AU146" i="15"/>
  <c r="AV146" i="15"/>
  <c r="AW146" i="15"/>
  <c r="AX146" i="15"/>
  <c r="AY146" i="15"/>
  <c r="AZ146" i="15"/>
  <c r="BA146" i="15"/>
  <c r="BB146" i="15"/>
  <c r="BC146" i="15"/>
  <c r="C147" i="15"/>
  <c r="D147" i="15"/>
  <c r="E147" i="15"/>
  <c r="F147" i="15"/>
  <c r="G147" i="15"/>
  <c r="H147" i="15"/>
  <c r="I147" i="15"/>
  <c r="J147" i="15"/>
  <c r="K147" i="15"/>
  <c r="L147" i="15"/>
  <c r="M147" i="15"/>
  <c r="N147" i="15"/>
  <c r="O147" i="15"/>
  <c r="P147" i="15"/>
  <c r="V147" i="15"/>
  <c r="W147" i="15"/>
  <c r="X147" i="15"/>
  <c r="Y147" i="15"/>
  <c r="Z147" i="15"/>
  <c r="AA147" i="15"/>
  <c r="AB147" i="15"/>
  <c r="AC147" i="15"/>
  <c r="AD147" i="15"/>
  <c r="AE147" i="15"/>
  <c r="AF147" i="15"/>
  <c r="AG147" i="15"/>
  <c r="AH147" i="15"/>
  <c r="AI147" i="15"/>
  <c r="AJ147" i="15"/>
  <c r="AK147" i="15"/>
  <c r="AL147" i="15"/>
  <c r="AM147" i="15"/>
  <c r="AN147" i="15"/>
  <c r="AO147" i="15"/>
  <c r="AP147" i="15"/>
  <c r="AQ147" i="15"/>
  <c r="AR147" i="15"/>
  <c r="AS147" i="15"/>
  <c r="AT147" i="15"/>
  <c r="AU147" i="15"/>
  <c r="AV147" i="15"/>
  <c r="AW147" i="15"/>
  <c r="AX147" i="15"/>
  <c r="AY147" i="15"/>
  <c r="AZ147" i="15"/>
  <c r="BA147" i="15"/>
  <c r="BB147" i="15"/>
  <c r="BC147" i="15"/>
  <c r="C148" i="15"/>
  <c r="D148" i="15"/>
  <c r="E148" i="15"/>
  <c r="F148" i="15"/>
  <c r="G148" i="15"/>
  <c r="H148" i="15"/>
  <c r="I148" i="15"/>
  <c r="J148" i="15"/>
  <c r="K148" i="15"/>
  <c r="L148" i="15"/>
  <c r="M148" i="15"/>
  <c r="N148" i="15"/>
  <c r="O148" i="15"/>
  <c r="P148" i="15"/>
  <c r="Q148" i="15"/>
  <c r="V148" i="15"/>
  <c r="W148" i="15"/>
  <c r="X148" i="15"/>
  <c r="Y148" i="15"/>
  <c r="Z148" i="15"/>
  <c r="AA148" i="15"/>
  <c r="AB148" i="15"/>
  <c r="AC148" i="15"/>
  <c r="AD148" i="15"/>
  <c r="AE148" i="15"/>
  <c r="AF148" i="15"/>
  <c r="AG148" i="15"/>
  <c r="AH148" i="15"/>
  <c r="AI148" i="15"/>
  <c r="AJ148" i="15"/>
  <c r="AK148" i="15"/>
  <c r="AL148" i="15"/>
  <c r="AM148" i="15"/>
  <c r="AN148" i="15"/>
  <c r="AO148" i="15"/>
  <c r="AP148" i="15"/>
  <c r="AQ148" i="15"/>
  <c r="AR148" i="15"/>
  <c r="AS148" i="15"/>
  <c r="AT148" i="15"/>
  <c r="AU148" i="15"/>
  <c r="AV148" i="15"/>
  <c r="AW148" i="15"/>
  <c r="AX148" i="15"/>
  <c r="AY148" i="15"/>
  <c r="AZ148" i="15"/>
  <c r="BA148" i="15"/>
  <c r="BB148" i="15"/>
  <c r="BC148" i="15"/>
  <c r="C149" i="15"/>
  <c r="D149" i="15"/>
  <c r="E149" i="15"/>
  <c r="F149" i="15"/>
  <c r="G149" i="15"/>
  <c r="H149" i="15"/>
  <c r="I149" i="15"/>
  <c r="J149" i="15"/>
  <c r="K149" i="15"/>
  <c r="L149" i="15"/>
  <c r="M149" i="15"/>
  <c r="N149" i="15"/>
  <c r="O149" i="15"/>
  <c r="P149" i="15"/>
  <c r="V149" i="15"/>
  <c r="W149" i="15"/>
  <c r="X149" i="15"/>
  <c r="Y149" i="15"/>
  <c r="Z149" i="15"/>
  <c r="AA149" i="15"/>
  <c r="AB149" i="15"/>
  <c r="AC149" i="15"/>
  <c r="AD149" i="15"/>
  <c r="AE149" i="15"/>
  <c r="AF149" i="15"/>
  <c r="AG149" i="15"/>
  <c r="AH149" i="15"/>
  <c r="AI149" i="15"/>
  <c r="AJ149" i="15"/>
  <c r="AK149" i="15"/>
  <c r="AL149" i="15"/>
  <c r="AM149" i="15"/>
  <c r="AN149" i="15"/>
  <c r="AO149" i="15"/>
  <c r="AP149" i="15"/>
  <c r="AQ149" i="15"/>
  <c r="AR149" i="15"/>
  <c r="AS149" i="15"/>
  <c r="AT149" i="15"/>
  <c r="AU149" i="15"/>
  <c r="AV149" i="15"/>
  <c r="AW149" i="15"/>
  <c r="AX149" i="15"/>
  <c r="AY149" i="15"/>
  <c r="AZ149" i="15"/>
  <c r="BA149" i="15"/>
  <c r="BB149" i="15"/>
  <c r="BC149" i="15"/>
  <c r="C150" i="15"/>
  <c r="D150" i="15"/>
  <c r="E150" i="15"/>
  <c r="F150" i="15"/>
  <c r="G150" i="15"/>
  <c r="H150" i="15"/>
  <c r="I150" i="15"/>
  <c r="J150" i="15"/>
  <c r="K150" i="15"/>
  <c r="L150" i="15"/>
  <c r="M150" i="15"/>
  <c r="N150" i="15"/>
  <c r="O150" i="15"/>
  <c r="P150" i="15"/>
  <c r="V150" i="15"/>
  <c r="W150" i="15"/>
  <c r="X150" i="15"/>
  <c r="Y150" i="15"/>
  <c r="Z150" i="15"/>
  <c r="AA150" i="15"/>
  <c r="AB150" i="15"/>
  <c r="AC150" i="15"/>
  <c r="AD150" i="15"/>
  <c r="AE150" i="15"/>
  <c r="AF150" i="15"/>
  <c r="AG150" i="15"/>
  <c r="AH150" i="15"/>
  <c r="AI150" i="15"/>
  <c r="AJ150" i="15"/>
  <c r="AK150" i="15"/>
  <c r="AL150" i="15"/>
  <c r="AM150" i="15"/>
  <c r="AN150" i="15"/>
  <c r="AO150" i="15"/>
  <c r="AP150" i="15"/>
  <c r="AQ150" i="15"/>
  <c r="AR150" i="15"/>
  <c r="AS150" i="15"/>
  <c r="AT150" i="15"/>
  <c r="AU150" i="15"/>
  <c r="AV150" i="15"/>
  <c r="AW150" i="15"/>
  <c r="AX150" i="15"/>
  <c r="AY150" i="15"/>
  <c r="AZ150" i="15"/>
  <c r="BA150" i="15"/>
  <c r="BB150" i="15"/>
  <c r="BC150" i="15"/>
  <c r="C151" i="15"/>
  <c r="D151" i="15"/>
  <c r="E151" i="15"/>
  <c r="F151" i="15"/>
  <c r="G151" i="15"/>
  <c r="H151" i="15"/>
  <c r="I151" i="15"/>
  <c r="J151" i="15"/>
  <c r="K151" i="15"/>
  <c r="L151" i="15"/>
  <c r="M151" i="15"/>
  <c r="N151" i="15"/>
  <c r="O151" i="15"/>
  <c r="P151" i="15"/>
  <c r="V151" i="15"/>
  <c r="W151" i="15"/>
  <c r="X151" i="15"/>
  <c r="Y151" i="15"/>
  <c r="Z151" i="15"/>
  <c r="AA151" i="15"/>
  <c r="AB151" i="15"/>
  <c r="AC151" i="15"/>
  <c r="AD151" i="15"/>
  <c r="AE151" i="15"/>
  <c r="AF151" i="15"/>
  <c r="AG151" i="15"/>
  <c r="AH151" i="15"/>
  <c r="AI151" i="15"/>
  <c r="AJ151" i="15"/>
  <c r="AK151" i="15"/>
  <c r="AL151" i="15"/>
  <c r="AM151" i="15"/>
  <c r="AN151" i="15"/>
  <c r="AO151" i="15"/>
  <c r="AP151" i="15"/>
  <c r="AQ151" i="15"/>
  <c r="AR151" i="15"/>
  <c r="AS151" i="15"/>
  <c r="AT151" i="15"/>
  <c r="AU151" i="15"/>
  <c r="AV151" i="15"/>
  <c r="AW151" i="15"/>
  <c r="AX151" i="15"/>
  <c r="AY151" i="15"/>
  <c r="AZ151" i="15"/>
  <c r="BA151" i="15"/>
  <c r="BB151" i="15"/>
  <c r="BC151" i="15"/>
  <c r="C154" i="15"/>
  <c r="D154" i="15"/>
  <c r="E154" i="15"/>
  <c r="F154" i="15"/>
  <c r="G154" i="15"/>
  <c r="H154" i="15"/>
  <c r="I154" i="15"/>
  <c r="J154" i="15"/>
  <c r="K154" i="15"/>
  <c r="L154" i="15"/>
  <c r="M154" i="15"/>
  <c r="N154" i="15"/>
  <c r="O154" i="15"/>
  <c r="P154" i="15"/>
  <c r="Q154" i="15"/>
  <c r="S154" i="15"/>
  <c r="T154" i="15"/>
  <c r="U154" i="15"/>
  <c r="V154" i="15"/>
  <c r="W154" i="15"/>
  <c r="X154" i="15"/>
  <c r="Y154" i="15"/>
  <c r="Z154" i="15"/>
  <c r="AA154" i="15"/>
  <c r="AB154" i="15"/>
  <c r="AC154" i="15"/>
  <c r="AD154" i="15"/>
  <c r="AE154" i="15"/>
  <c r="AF154" i="15"/>
  <c r="AG154" i="15"/>
  <c r="AH154" i="15"/>
  <c r="AI154" i="15"/>
  <c r="AJ154" i="15"/>
  <c r="AK154" i="15"/>
  <c r="AL154" i="15"/>
  <c r="AM154" i="15"/>
  <c r="AN154" i="15"/>
  <c r="AO154" i="15"/>
  <c r="AP154" i="15"/>
  <c r="AQ154" i="15"/>
  <c r="AR154" i="15"/>
  <c r="AS154" i="15"/>
  <c r="AT154" i="15"/>
  <c r="AU154" i="15"/>
  <c r="AV154" i="15"/>
  <c r="AW154" i="15"/>
  <c r="AX154" i="15"/>
  <c r="AY154" i="15"/>
  <c r="AZ154" i="15"/>
  <c r="BA154" i="15"/>
  <c r="BB154" i="15"/>
  <c r="BC154" i="15"/>
  <c r="AB155" i="15"/>
  <c r="AB156" i="15"/>
  <c r="B157" i="15"/>
  <c r="C157" i="15"/>
  <c r="D157" i="15"/>
  <c r="E157" i="15"/>
  <c r="F157" i="15"/>
  <c r="G157" i="15"/>
  <c r="H157" i="15"/>
  <c r="I157" i="15"/>
  <c r="J157" i="15"/>
  <c r="K157" i="15"/>
  <c r="L157" i="15"/>
  <c r="M157" i="15"/>
  <c r="N157" i="15"/>
  <c r="O157" i="15"/>
  <c r="P157" i="15"/>
  <c r="S157" i="15"/>
  <c r="T157" i="15"/>
  <c r="U157" i="15"/>
  <c r="V157" i="15"/>
  <c r="W157" i="15"/>
  <c r="X157" i="15"/>
  <c r="Y157" i="15"/>
  <c r="Z157" i="15"/>
  <c r="AA157" i="15"/>
  <c r="AB157" i="15"/>
  <c r="AC157" i="15"/>
  <c r="AD157" i="15"/>
  <c r="AE157" i="15"/>
  <c r="AF157" i="15"/>
  <c r="AG157" i="15"/>
  <c r="AH157" i="15"/>
  <c r="AI157" i="15"/>
  <c r="AJ157" i="15"/>
  <c r="AK157" i="15"/>
  <c r="AL157" i="15"/>
  <c r="AM157" i="15"/>
  <c r="AN157" i="15"/>
  <c r="AO157" i="15"/>
  <c r="AP157" i="15"/>
  <c r="AQ157" i="15"/>
  <c r="AR157" i="15"/>
  <c r="AS157" i="15"/>
  <c r="AT157" i="15"/>
  <c r="AU157" i="15"/>
  <c r="AV157" i="15"/>
  <c r="AW157" i="15"/>
  <c r="AX157" i="15"/>
  <c r="AY157" i="15"/>
  <c r="AZ157" i="15"/>
  <c r="BA157" i="15"/>
  <c r="BB157" i="15"/>
  <c r="BC157" i="15"/>
  <c r="D158" i="15"/>
  <c r="E158" i="15"/>
  <c r="F158" i="15"/>
  <c r="G158" i="15"/>
  <c r="H158" i="15"/>
  <c r="I158" i="15"/>
  <c r="J158" i="15"/>
  <c r="K158" i="15"/>
  <c r="L158" i="15"/>
  <c r="M158" i="15"/>
  <c r="N158" i="15"/>
  <c r="O158" i="15"/>
  <c r="P158" i="15"/>
  <c r="W158" i="15"/>
  <c r="X158" i="15"/>
  <c r="Y158" i="15"/>
  <c r="Z158" i="15"/>
  <c r="AA158" i="15"/>
  <c r="AB158" i="15"/>
  <c r="AC158" i="15"/>
  <c r="AD158" i="15"/>
  <c r="AE158" i="15"/>
  <c r="AF158" i="15"/>
  <c r="AG158" i="15"/>
  <c r="AH158" i="15"/>
  <c r="AI158" i="15"/>
  <c r="AJ158" i="15"/>
  <c r="AK158" i="15"/>
  <c r="AL158" i="15"/>
  <c r="AM158" i="15"/>
  <c r="AN158" i="15"/>
  <c r="AO158" i="15"/>
  <c r="AP158" i="15"/>
  <c r="AQ158" i="15"/>
  <c r="AR158" i="15"/>
  <c r="AS158" i="15"/>
  <c r="AT158" i="15"/>
  <c r="AU158" i="15"/>
  <c r="AV158" i="15"/>
  <c r="AW158" i="15"/>
  <c r="AX158" i="15"/>
  <c r="AY158" i="15"/>
  <c r="AZ158" i="15"/>
  <c r="BA158" i="15"/>
  <c r="BB158" i="15"/>
  <c r="BC158" i="15"/>
  <c r="B163" i="15"/>
  <c r="C163" i="15"/>
  <c r="D163" i="15"/>
  <c r="E163" i="15"/>
  <c r="F163" i="15"/>
  <c r="G163" i="15"/>
  <c r="H163" i="15"/>
  <c r="I163" i="15"/>
  <c r="J163" i="15"/>
  <c r="K163" i="15"/>
  <c r="L163" i="15"/>
  <c r="M163" i="15"/>
  <c r="N163" i="15"/>
  <c r="O163" i="15"/>
  <c r="P163" i="15"/>
  <c r="S163" i="15"/>
  <c r="T163" i="15"/>
  <c r="U163" i="15"/>
  <c r="V163" i="15"/>
  <c r="W163" i="15"/>
  <c r="X163" i="15"/>
  <c r="Y163" i="15"/>
  <c r="Z163" i="15"/>
  <c r="AA163" i="15"/>
  <c r="AB163" i="15"/>
  <c r="AC163" i="15"/>
  <c r="AD163" i="15"/>
  <c r="AE163" i="15"/>
  <c r="AF163" i="15"/>
  <c r="AG163" i="15"/>
  <c r="AH163" i="15"/>
  <c r="AI163" i="15"/>
  <c r="AJ163" i="15"/>
  <c r="AK163" i="15"/>
  <c r="AL163" i="15"/>
  <c r="AM163" i="15"/>
  <c r="AN163" i="15"/>
  <c r="AO163" i="15"/>
  <c r="AP163" i="15"/>
  <c r="AQ163" i="15"/>
  <c r="AR163" i="15"/>
  <c r="AS163" i="15"/>
  <c r="AT163" i="15"/>
  <c r="AU163" i="15"/>
  <c r="AV163" i="15"/>
  <c r="AW163" i="15"/>
  <c r="AX163" i="15"/>
  <c r="AY163" i="15"/>
  <c r="AZ163" i="15"/>
  <c r="BA163" i="15"/>
  <c r="BB163" i="15"/>
  <c r="BC163" i="15"/>
  <c r="D164" i="15"/>
  <c r="E164" i="15"/>
  <c r="F164" i="15"/>
  <c r="G164" i="15"/>
  <c r="H164" i="15"/>
  <c r="I164" i="15"/>
  <c r="J164" i="15"/>
  <c r="K164" i="15"/>
  <c r="L164" i="15"/>
  <c r="M164" i="15"/>
  <c r="N164" i="15"/>
  <c r="O164" i="15"/>
  <c r="P164" i="15"/>
  <c r="W164" i="15"/>
  <c r="X164" i="15"/>
  <c r="Y164" i="15"/>
  <c r="Z164" i="15"/>
  <c r="AA164" i="15"/>
  <c r="AB164" i="15"/>
  <c r="AC164" i="15"/>
  <c r="AD164" i="15"/>
  <c r="AE164" i="15"/>
  <c r="AF164" i="15"/>
  <c r="AG164" i="15"/>
  <c r="AH164" i="15"/>
  <c r="AI164" i="15"/>
  <c r="AJ164" i="15"/>
  <c r="AK164" i="15"/>
  <c r="AL164" i="15"/>
  <c r="AM164" i="15"/>
  <c r="AN164" i="15"/>
  <c r="AO164" i="15"/>
  <c r="AP164" i="15"/>
  <c r="AQ164" i="15"/>
  <c r="AR164" i="15"/>
  <c r="AS164" i="15"/>
  <c r="AT164" i="15"/>
  <c r="AU164" i="15"/>
  <c r="AV164" i="15"/>
  <c r="AW164" i="15"/>
  <c r="AX164" i="15"/>
  <c r="AY164" i="15"/>
  <c r="AZ164" i="15"/>
  <c r="BA164" i="15"/>
  <c r="BB164" i="15"/>
  <c r="BC164" i="15"/>
  <c r="C165" i="15"/>
  <c r="D165" i="15"/>
  <c r="E165" i="15"/>
  <c r="F165" i="15"/>
  <c r="G165" i="15"/>
  <c r="H165" i="15"/>
  <c r="I165" i="15"/>
  <c r="J165" i="15"/>
  <c r="K165" i="15"/>
  <c r="L165" i="15"/>
  <c r="M165" i="15"/>
  <c r="N165" i="15"/>
  <c r="O165" i="15"/>
  <c r="P165" i="15"/>
  <c r="S165" i="15"/>
  <c r="T165" i="15"/>
  <c r="U165" i="15"/>
  <c r="V165" i="15"/>
  <c r="W165" i="15"/>
  <c r="X165" i="15"/>
  <c r="Y165" i="15"/>
  <c r="Z165" i="15"/>
  <c r="AA165" i="15"/>
  <c r="AB165" i="15"/>
  <c r="AC165" i="15"/>
  <c r="AD165" i="15"/>
  <c r="AE165" i="15"/>
  <c r="AF165" i="15"/>
  <c r="AG165" i="15"/>
  <c r="AH165" i="15"/>
  <c r="AI165" i="15"/>
  <c r="AJ165" i="15"/>
  <c r="AK165" i="15"/>
  <c r="AL165" i="15"/>
  <c r="AM165" i="15"/>
  <c r="AN165" i="15"/>
  <c r="AO165" i="15"/>
  <c r="AP165" i="15"/>
  <c r="AQ165" i="15"/>
  <c r="AR165" i="15"/>
  <c r="AS165" i="15"/>
  <c r="AT165" i="15"/>
  <c r="AU165" i="15"/>
  <c r="AV165" i="15"/>
  <c r="AW165" i="15"/>
  <c r="AX165" i="15"/>
  <c r="AY165" i="15"/>
  <c r="AZ165" i="15"/>
  <c r="BA165" i="15"/>
  <c r="BB165" i="15"/>
  <c r="BC165" i="15"/>
  <c r="B167" i="15"/>
  <c r="C167" i="15"/>
  <c r="D167" i="15"/>
  <c r="E167" i="15"/>
  <c r="F167" i="15"/>
  <c r="G167" i="15"/>
  <c r="H167" i="15"/>
  <c r="I167" i="15"/>
  <c r="J167" i="15"/>
  <c r="K167" i="15"/>
  <c r="L167" i="15"/>
  <c r="M167" i="15"/>
  <c r="N167" i="15"/>
  <c r="O167" i="15"/>
  <c r="P167" i="15"/>
  <c r="S167" i="15"/>
  <c r="T167" i="15"/>
  <c r="U167" i="15"/>
  <c r="V167" i="15"/>
  <c r="W167" i="15"/>
  <c r="X167" i="15"/>
  <c r="Y167" i="15"/>
  <c r="Z167" i="15"/>
  <c r="AA167" i="15"/>
  <c r="AB167" i="15"/>
  <c r="AC167" i="15"/>
  <c r="AD167" i="15"/>
  <c r="AE167" i="15"/>
  <c r="AF167" i="15"/>
  <c r="AG167" i="15"/>
  <c r="AH167" i="15"/>
  <c r="AI167" i="15"/>
  <c r="AJ167" i="15"/>
  <c r="AK167" i="15"/>
  <c r="AL167" i="15"/>
  <c r="AM167" i="15"/>
  <c r="AN167" i="15"/>
  <c r="AO167" i="15"/>
  <c r="AP167" i="15"/>
  <c r="AQ167" i="15"/>
  <c r="AR167" i="15"/>
  <c r="AS167" i="15"/>
  <c r="AT167" i="15"/>
  <c r="AU167" i="15"/>
  <c r="AV167" i="15"/>
  <c r="AW167" i="15"/>
  <c r="AX167" i="15"/>
  <c r="AY167" i="15"/>
  <c r="AZ167" i="15"/>
  <c r="BA167" i="15"/>
  <c r="BB167" i="15"/>
  <c r="BC167" i="15"/>
  <c r="B168" i="15"/>
  <c r="C168" i="15"/>
  <c r="D168" i="15"/>
  <c r="E168" i="15"/>
  <c r="F168" i="15"/>
  <c r="G168" i="15"/>
  <c r="H168" i="15"/>
  <c r="I168" i="15"/>
  <c r="J168" i="15"/>
  <c r="K168" i="15"/>
  <c r="L168" i="15"/>
  <c r="M168" i="15"/>
  <c r="N168" i="15"/>
  <c r="O168" i="15"/>
  <c r="P168" i="15"/>
  <c r="S168" i="15"/>
  <c r="T168" i="15"/>
  <c r="U168" i="15"/>
  <c r="V168" i="15"/>
  <c r="W168" i="15"/>
  <c r="X168" i="15"/>
  <c r="Y168" i="15"/>
  <c r="Z168" i="15"/>
  <c r="AA168" i="15"/>
  <c r="AB168" i="15"/>
  <c r="AC168" i="15"/>
  <c r="AD168" i="15"/>
  <c r="AE168" i="15"/>
  <c r="AF168" i="15"/>
  <c r="AG168" i="15"/>
  <c r="AH168" i="15"/>
  <c r="AI168" i="15"/>
  <c r="AJ168" i="15"/>
  <c r="AK168" i="15"/>
  <c r="AL168" i="15"/>
  <c r="AM168" i="15"/>
  <c r="AN168" i="15"/>
  <c r="AO168" i="15"/>
  <c r="AP168" i="15"/>
  <c r="AQ168" i="15"/>
  <c r="AR168" i="15"/>
  <c r="AS168" i="15"/>
  <c r="AT168" i="15"/>
  <c r="AU168" i="15"/>
  <c r="AV168" i="15"/>
  <c r="AW168" i="15"/>
  <c r="AX168" i="15"/>
  <c r="AY168" i="15"/>
  <c r="AZ168" i="15"/>
  <c r="BA168" i="15"/>
  <c r="BB168" i="15"/>
  <c r="BC168" i="15"/>
  <c r="B169" i="15"/>
  <c r="C169" i="15"/>
  <c r="D169" i="15"/>
  <c r="E169" i="15"/>
  <c r="F169" i="15"/>
  <c r="G169" i="15"/>
  <c r="H169" i="15"/>
  <c r="I169" i="15"/>
  <c r="J169" i="15"/>
  <c r="K169" i="15"/>
  <c r="L169" i="15"/>
  <c r="M169" i="15"/>
  <c r="N169" i="15"/>
  <c r="O169" i="15"/>
  <c r="P169" i="15"/>
  <c r="S169" i="15"/>
  <c r="T169" i="15"/>
  <c r="U169" i="15"/>
  <c r="V169" i="15"/>
  <c r="W169" i="15"/>
  <c r="X169" i="15"/>
  <c r="Y169" i="15"/>
  <c r="Z169" i="15"/>
  <c r="AA169" i="15"/>
  <c r="AB169" i="15"/>
  <c r="AC169" i="15"/>
  <c r="AD169" i="15"/>
  <c r="AE169" i="15"/>
  <c r="AF169" i="15"/>
  <c r="AG169" i="15"/>
  <c r="AH169" i="15"/>
  <c r="AI169" i="15"/>
  <c r="AJ169" i="15"/>
  <c r="AK169" i="15"/>
  <c r="AL169" i="15"/>
  <c r="AM169" i="15"/>
  <c r="AN169" i="15"/>
  <c r="AO169" i="15"/>
  <c r="AP169" i="15"/>
  <c r="AQ169" i="15"/>
  <c r="AR169" i="15"/>
  <c r="AS169" i="15"/>
  <c r="AT169" i="15"/>
  <c r="AU169" i="15"/>
  <c r="AV169" i="15"/>
  <c r="AW169" i="15"/>
  <c r="AX169" i="15"/>
  <c r="AY169" i="15"/>
  <c r="AZ169" i="15"/>
  <c r="BA169" i="15"/>
  <c r="BB169" i="15"/>
  <c r="BC169" i="15"/>
  <c r="B170" i="15"/>
  <c r="C170" i="15"/>
  <c r="D170" i="15"/>
  <c r="E170" i="15"/>
  <c r="F170" i="15"/>
  <c r="G170" i="15"/>
  <c r="H170" i="15"/>
  <c r="I170" i="15"/>
  <c r="J170" i="15"/>
  <c r="K170" i="15"/>
  <c r="L170" i="15"/>
  <c r="M170" i="15"/>
  <c r="N170" i="15"/>
  <c r="O170" i="15"/>
  <c r="P170" i="15"/>
  <c r="S170" i="15"/>
  <c r="T170" i="15"/>
  <c r="U170" i="15"/>
  <c r="V170" i="15"/>
  <c r="W170" i="15"/>
  <c r="X170" i="15"/>
  <c r="Y170" i="15"/>
  <c r="Z170" i="15"/>
  <c r="AA170" i="15"/>
  <c r="AB170" i="15"/>
  <c r="AC170" i="15"/>
  <c r="AD170" i="15"/>
  <c r="AE170" i="15"/>
  <c r="AF170" i="15"/>
  <c r="AG170" i="15"/>
  <c r="AH170" i="15"/>
  <c r="AI170" i="15"/>
  <c r="AJ170" i="15"/>
  <c r="AK170" i="15"/>
  <c r="AL170" i="15"/>
  <c r="AM170" i="15"/>
  <c r="AN170" i="15"/>
  <c r="AO170" i="15"/>
  <c r="AP170" i="15"/>
  <c r="AQ170" i="15"/>
  <c r="AR170" i="15"/>
  <c r="AS170" i="15"/>
  <c r="AT170" i="15"/>
  <c r="AU170" i="15"/>
  <c r="AV170" i="15"/>
  <c r="AW170" i="15"/>
  <c r="AX170" i="15"/>
  <c r="AY170" i="15"/>
  <c r="AZ170" i="15"/>
  <c r="BA170" i="15"/>
  <c r="BB170" i="15"/>
  <c r="BC170" i="15"/>
  <c r="B171" i="15"/>
  <c r="C171" i="15"/>
  <c r="D171" i="15"/>
  <c r="E171" i="15"/>
  <c r="F171" i="15"/>
  <c r="G171" i="15"/>
  <c r="H171" i="15"/>
  <c r="I171" i="15"/>
  <c r="J171" i="15"/>
  <c r="K171" i="15"/>
  <c r="L171" i="15"/>
  <c r="M171" i="15"/>
  <c r="N171" i="15"/>
  <c r="O171" i="15"/>
  <c r="P171" i="15"/>
  <c r="S171" i="15"/>
  <c r="T171" i="15"/>
  <c r="U171" i="15"/>
  <c r="V171" i="15"/>
  <c r="W171" i="15"/>
  <c r="X171" i="15"/>
  <c r="Y171" i="15"/>
  <c r="Z171" i="15"/>
  <c r="AA171" i="15"/>
  <c r="AB171" i="15"/>
  <c r="AC171" i="15"/>
  <c r="AD171" i="15"/>
  <c r="AE171" i="15"/>
  <c r="AF171" i="15"/>
  <c r="AG171" i="15"/>
  <c r="AH171" i="15"/>
  <c r="AI171" i="15"/>
  <c r="AJ171" i="15"/>
  <c r="AK171" i="15"/>
  <c r="AL171" i="15"/>
  <c r="AM171" i="15"/>
  <c r="AN171" i="15"/>
  <c r="AO171" i="15"/>
  <c r="AP171" i="15"/>
  <c r="AQ171" i="15"/>
  <c r="AR171" i="15"/>
  <c r="AS171" i="15"/>
  <c r="AT171" i="15"/>
  <c r="AU171" i="15"/>
  <c r="AV171" i="15"/>
  <c r="AW171" i="15"/>
  <c r="AX171" i="15"/>
  <c r="AY171" i="15"/>
  <c r="AZ171" i="15"/>
  <c r="BA171" i="15"/>
  <c r="BB171" i="15"/>
  <c r="BC171" i="15"/>
  <c r="B172" i="15"/>
  <c r="C172" i="15"/>
  <c r="D172" i="15"/>
  <c r="E172" i="15"/>
  <c r="F172" i="15"/>
  <c r="G172" i="15"/>
  <c r="H172" i="15"/>
  <c r="I172" i="15"/>
  <c r="J172" i="15"/>
  <c r="K172" i="15"/>
  <c r="L172" i="15"/>
  <c r="M172" i="15"/>
  <c r="N172" i="15"/>
  <c r="O172" i="15"/>
  <c r="P172" i="15"/>
  <c r="S172" i="15"/>
  <c r="T172" i="15"/>
  <c r="U172" i="15"/>
  <c r="V172" i="15"/>
  <c r="W172" i="15"/>
  <c r="X172" i="15"/>
  <c r="Y172" i="15"/>
  <c r="Z172" i="15"/>
  <c r="AA172" i="15"/>
  <c r="AB172" i="15"/>
  <c r="AC172" i="15"/>
  <c r="AD172" i="15"/>
  <c r="AE172" i="15"/>
  <c r="AF172" i="15"/>
  <c r="AG172" i="15"/>
  <c r="AH172" i="15"/>
  <c r="AI172" i="15"/>
  <c r="AJ172" i="15"/>
  <c r="AK172" i="15"/>
  <c r="AL172" i="15"/>
  <c r="AM172" i="15"/>
  <c r="AN172" i="15"/>
  <c r="AO172" i="15"/>
  <c r="AP172" i="15"/>
  <c r="AQ172" i="15"/>
  <c r="AR172" i="15"/>
  <c r="AS172" i="15"/>
  <c r="AT172" i="15"/>
  <c r="AU172" i="15"/>
  <c r="AV172" i="15"/>
  <c r="AW172" i="15"/>
  <c r="AX172" i="15"/>
  <c r="AY172" i="15"/>
  <c r="AZ172" i="15"/>
  <c r="BA172" i="15"/>
  <c r="BB172" i="15"/>
  <c r="BC172" i="15"/>
  <c r="B173" i="15"/>
  <c r="C173" i="15"/>
  <c r="D173" i="15"/>
  <c r="E173" i="15"/>
  <c r="F173" i="15"/>
  <c r="G173" i="15"/>
  <c r="H173" i="15"/>
  <c r="I173" i="15"/>
  <c r="J173" i="15"/>
  <c r="K173" i="15"/>
  <c r="L173" i="15"/>
  <c r="M173" i="15"/>
  <c r="N173" i="15"/>
  <c r="O173" i="15"/>
  <c r="P173" i="15"/>
  <c r="S173" i="15"/>
  <c r="T173" i="15"/>
  <c r="U173" i="15"/>
  <c r="V173" i="15"/>
  <c r="W173" i="15"/>
  <c r="X173" i="15"/>
  <c r="Y173" i="15"/>
  <c r="Z173" i="15"/>
  <c r="AA173" i="15"/>
  <c r="AB173" i="15"/>
  <c r="AC173" i="15"/>
  <c r="AD173" i="15"/>
  <c r="AE173" i="15"/>
  <c r="AF173" i="15"/>
  <c r="AG173" i="15"/>
  <c r="AH173" i="15"/>
  <c r="AI173" i="15"/>
  <c r="AJ173" i="15"/>
  <c r="AK173" i="15"/>
  <c r="AL173" i="15"/>
  <c r="AM173" i="15"/>
  <c r="AN173" i="15"/>
  <c r="AO173" i="15"/>
  <c r="AP173" i="15"/>
  <c r="AQ173" i="15"/>
  <c r="AR173" i="15"/>
  <c r="AS173" i="15"/>
  <c r="AT173" i="15"/>
  <c r="AU173" i="15"/>
  <c r="AV173" i="15"/>
  <c r="AW173" i="15"/>
  <c r="AX173" i="15"/>
  <c r="AY173" i="15"/>
  <c r="AZ173" i="15"/>
  <c r="BA173" i="15"/>
  <c r="BB173" i="15"/>
  <c r="BC173" i="15"/>
  <c r="B174" i="15"/>
  <c r="C174" i="15"/>
  <c r="D174" i="15"/>
  <c r="E174" i="15"/>
  <c r="F174" i="15"/>
  <c r="G174" i="15"/>
  <c r="H174" i="15"/>
  <c r="I174" i="15"/>
  <c r="J174" i="15"/>
  <c r="K174" i="15"/>
  <c r="L174" i="15"/>
  <c r="M174" i="15"/>
  <c r="N174" i="15"/>
  <c r="O174" i="15"/>
  <c r="P174" i="15"/>
  <c r="S174" i="15"/>
  <c r="T174" i="15"/>
  <c r="U174" i="15"/>
  <c r="V174" i="15"/>
  <c r="W174" i="15"/>
  <c r="X174" i="15"/>
  <c r="Y174" i="15"/>
  <c r="Z174" i="15"/>
  <c r="AA174" i="15"/>
  <c r="AB174" i="15"/>
  <c r="AC174" i="15"/>
  <c r="AD174" i="15"/>
  <c r="AE174" i="15"/>
  <c r="AF174" i="15"/>
  <c r="AG174" i="15"/>
  <c r="AH174" i="15"/>
  <c r="AI174" i="15"/>
  <c r="AJ174" i="15"/>
  <c r="AK174" i="15"/>
  <c r="AL174" i="15"/>
  <c r="AM174" i="15"/>
  <c r="AN174" i="15"/>
  <c r="AO174" i="15"/>
  <c r="AP174" i="15"/>
  <c r="AQ174" i="15"/>
  <c r="AR174" i="15"/>
  <c r="AS174" i="15"/>
  <c r="AT174" i="15"/>
  <c r="AU174" i="15"/>
  <c r="AV174" i="15"/>
  <c r="AW174" i="15"/>
  <c r="AX174" i="15"/>
  <c r="AY174" i="15"/>
  <c r="AZ174" i="15"/>
  <c r="BA174" i="15"/>
  <c r="BB174" i="15"/>
  <c r="BC174" i="15"/>
  <c r="B175" i="15"/>
  <c r="C175" i="15"/>
  <c r="D175" i="15"/>
  <c r="E175" i="15"/>
  <c r="F175" i="15"/>
  <c r="G175" i="15"/>
  <c r="H175" i="15"/>
  <c r="I175" i="15"/>
  <c r="J175" i="15"/>
  <c r="K175" i="15"/>
  <c r="L175" i="15"/>
  <c r="M175" i="15"/>
  <c r="N175" i="15"/>
  <c r="O175" i="15"/>
  <c r="P175" i="15"/>
  <c r="S175" i="15"/>
  <c r="T175" i="15"/>
  <c r="U175" i="15"/>
  <c r="V175" i="15"/>
  <c r="W175" i="15"/>
  <c r="X175" i="15"/>
  <c r="Y175" i="15"/>
  <c r="Z175" i="15"/>
  <c r="AA175" i="15"/>
  <c r="AB175" i="15"/>
  <c r="AC175" i="15"/>
  <c r="AD175" i="15"/>
  <c r="AE175" i="15"/>
  <c r="AF175" i="15"/>
  <c r="AG175" i="15"/>
  <c r="AH175" i="15"/>
  <c r="AI175" i="15"/>
  <c r="AJ175" i="15"/>
  <c r="AK175" i="15"/>
  <c r="AL175" i="15"/>
  <c r="AM175" i="15"/>
  <c r="AN175" i="15"/>
  <c r="AO175" i="15"/>
  <c r="AP175" i="15"/>
  <c r="AQ175" i="15"/>
  <c r="AR175" i="15"/>
  <c r="AS175" i="15"/>
  <c r="AT175" i="15"/>
  <c r="AU175" i="15"/>
  <c r="AV175" i="15"/>
  <c r="AW175" i="15"/>
  <c r="AX175" i="15"/>
  <c r="AY175" i="15"/>
  <c r="AZ175" i="15"/>
  <c r="BA175" i="15"/>
  <c r="BB175" i="15"/>
  <c r="BC175" i="15"/>
  <c r="B176" i="15"/>
  <c r="C176" i="15"/>
  <c r="D176" i="15"/>
  <c r="E176" i="15"/>
  <c r="F176" i="15"/>
  <c r="G176" i="15"/>
  <c r="H176" i="15"/>
  <c r="I176" i="15"/>
  <c r="J176" i="15"/>
  <c r="K176" i="15"/>
  <c r="L176" i="15"/>
  <c r="M176" i="15"/>
  <c r="N176" i="15"/>
  <c r="O176" i="15"/>
  <c r="P176" i="15"/>
  <c r="S176" i="15"/>
  <c r="T176" i="15"/>
  <c r="U176" i="15"/>
  <c r="V176" i="15"/>
  <c r="W176" i="15"/>
  <c r="X176" i="15"/>
  <c r="Y176" i="15"/>
  <c r="Z176" i="15"/>
  <c r="AA176" i="15"/>
  <c r="AB176" i="15"/>
  <c r="AC176" i="15"/>
  <c r="AD176" i="15"/>
  <c r="AE176" i="15"/>
  <c r="AF176" i="15"/>
  <c r="AG176" i="15"/>
  <c r="AH176" i="15"/>
  <c r="AI176" i="15"/>
  <c r="AJ176" i="15"/>
  <c r="AK176" i="15"/>
  <c r="AL176" i="15"/>
  <c r="AM176" i="15"/>
  <c r="AN176" i="15"/>
  <c r="AO176" i="15"/>
  <c r="AP176" i="15"/>
  <c r="AQ176" i="15"/>
  <c r="AR176" i="15"/>
  <c r="AS176" i="15"/>
  <c r="AT176" i="15"/>
  <c r="AU176" i="15"/>
  <c r="AV176" i="15"/>
  <c r="AW176" i="15"/>
  <c r="AX176" i="15"/>
  <c r="AY176" i="15"/>
  <c r="AZ176" i="15"/>
  <c r="BA176" i="15"/>
  <c r="BB176" i="15"/>
  <c r="BC176" i="15"/>
  <c r="B177" i="15"/>
  <c r="C177" i="15"/>
  <c r="D177" i="15"/>
  <c r="E177" i="15"/>
  <c r="F177" i="15"/>
  <c r="G177" i="15"/>
  <c r="H177" i="15"/>
  <c r="I177" i="15"/>
  <c r="J177" i="15"/>
  <c r="K177" i="15"/>
  <c r="L177" i="15"/>
  <c r="M177" i="15"/>
  <c r="N177" i="15"/>
  <c r="O177" i="15"/>
  <c r="P177" i="15"/>
  <c r="S177" i="15"/>
  <c r="T177" i="15"/>
  <c r="U177" i="15"/>
  <c r="V177" i="15"/>
  <c r="W177" i="15"/>
  <c r="X177" i="15"/>
  <c r="Y177" i="15"/>
  <c r="Z177" i="15"/>
  <c r="AA177" i="15"/>
  <c r="AB177" i="15"/>
  <c r="AC177" i="15"/>
  <c r="AD177" i="15"/>
  <c r="AE177" i="15"/>
  <c r="AF177" i="15"/>
  <c r="AG177" i="15"/>
  <c r="AH177" i="15"/>
  <c r="AI177" i="15"/>
  <c r="AJ177" i="15"/>
  <c r="AK177" i="15"/>
  <c r="AL177" i="15"/>
  <c r="AM177" i="15"/>
  <c r="AN177" i="15"/>
  <c r="AO177" i="15"/>
  <c r="AP177" i="15"/>
  <c r="AQ177" i="15"/>
  <c r="AR177" i="15"/>
  <c r="AS177" i="15"/>
  <c r="AT177" i="15"/>
  <c r="AU177" i="15"/>
  <c r="AV177" i="15"/>
  <c r="AW177" i="15"/>
  <c r="AX177" i="15"/>
  <c r="AY177" i="15"/>
  <c r="AZ177" i="15"/>
  <c r="BA177" i="15"/>
  <c r="BB177" i="15"/>
  <c r="BC177" i="15"/>
  <c r="B178" i="15"/>
  <c r="C178" i="15"/>
  <c r="D178" i="15"/>
  <c r="E178" i="15"/>
  <c r="F178" i="15"/>
  <c r="G178" i="15"/>
  <c r="H178" i="15"/>
  <c r="I178" i="15"/>
  <c r="J178" i="15"/>
  <c r="K178" i="15"/>
  <c r="L178" i="15"/>
  <c r="M178" i="15"/>
  <c r="N178" i="15"/>
  <c r="O178" i="15"/>
  <c r="P178" i="15"/>
  <c r="S178" i="15"/>
  <c r="T178" i="15"/>
  <c r="U178" i="15"/>
  <c r="V178" i="15"/>
  <c r="W178" i="15"/>
  <c r="X178" i="15"/>
  <c r="Y178" i="15"/>
  <c r="Z178" i="15"/>
  <c r="AA178" i="15"/>
  <c r="AB178" i="15"/>
  <c r="AC178" i="15"/>
  <c r="AD178" i="15"/>
  <c r="AE178" i="15"/>
  <c r="AF178" i="15"/>
  <c r="AG178" i="15"/>
  <c r="AH178" i="15"/>
  <c r="AI178" i="15"/>
  <c r="AJ178" i="15"/>
  <c r="AK178" i="15"/>
  <c r="AL178" i="15"/>
  <c r="AM178" i="15"/>
  <c r="AN178" i="15"/>
  <c r="AO178" i="15"/>
  <c r="AP178" i="15"/>
  <c r="AQ178" i="15"/>
  <c r="AR178" i="15"/>
  <c r="AS178" i="15"/>
  <c r="AT178" i="15"/>
  <c r="AU178" i="15"/>
  <c r="AV178" i="15"/>
  <c r="AW178" i="15"/>
  <c r="AX178" i="15"/>
  <c r="AY178" i="15"/>
  <c r="AZ178" i="15"/>
  <c r="BA178" i="15"/>
  <c r="BB178" i="15"/>
  <c r="BC178" i="15"/>
  <c r="B179" i="15"/>
  <c r="C179" i="15"/>
  <c r="D179" i="15"/>
  <c r="E179" i="15"/>
  <c r="F179" i="15"/>
  <c r="G179" i="15"/>
  <c r="H179" i="15"/>
  <c r="I179" i="15"/>
  <c r="J179" i="15"/>
  <c r="K179" i="15"/>
  <c r="L179" i="15"/>
  <c r="M179" i="15"/>
  <c r="N179" i="15"/>
  <c r="O179" i="15"/>
  <c r="P179" i="15"/>
  <c r="S179" i="15"/>
  <c r="T179" i="15"/>
  <c r="U179" i="15"/>
  <c r="V179" i="15"/>
  <c r="W179" i="15"/>
  <c r="X179" i="15"/>
  <c r="Y179" i="15"/>
  <c r="Z179" i="15"/>
  <c r="AA179" i="15"/>
  <c r="AB179" i="15"/>
  <c r="AC179" i="15"/>
  <c r="AD179" i="15"/>
  <c r="AE179" i="15"/>
  <c r="AF179" i="15"/>
  <c r="AG179" i="15"/>
  <c r="AH179" i="15"/>
  <c r="AI179" i="15"/>
  <c r="AJ179" i="15"/>
  <c r="AK179" i="15"/>
  <c r="AL179" i="15"/>
  <c r="AM179" i="15"/>
  <c r="AN179" i="15"/>
  <c r="AO179" i="15"/>
  <c r="AP179" i="15"/>
  <c r="AQ179" i="15"/>
  <c r="AR179" i="15"/>
  <c r="AS179" i="15"/>
  <c r="AT179" i="15"/>
  <c r="AU179" i="15"/>
  <c r="AV179" i="15"/>
  <c r="AW179" i="15"/>
  <c r="AX179" i="15"/>
  <c r="AY179" i="15"/>
  <c r="AZ179" i="15"/>
  <c r="BA179" i="15"/>
  <c r="BB179" i="15"/>
  <c r="BC179" i="15"/>
  <c r="B180" i="15"/>
  <c r="C180" i="15"/>
  <c r="D180" i="15"/>
  <c r="E180" i="15"/>
  <c r="F180" i="15"/>
  <c r="G180" i="15"/>
  <c r="H180" i="15"/>
  <c r="I180" i="15"/>
  <c r="J180" i="15"/>
  <c r="K180" i="15"/>
  <c r="L180" i="15"/>
  <c r="M180" i="15"/>
  <c r="N180" i="15"/>
  <c r="O180" i="15"/>
  <c r="P180" i="15"/>
  <c r="S180" i="15"/>
  <c r="T180" i="15"/>
  <c r="U180" i="15"/>
  <c r="V180" i="15"/>
  <c r="W180" i="15"/>
  <c r="X180" i="15"/>
  <c r="Y180" i="15"/>
  <c r="Z180" i="15"/>
  <c r="AA180" i="15"/>
  <c r="AB180" i="15"/>
  <c r="AC180" i="15"/>
  <c r="AD180" i="15"/>
  <c r="AE180" i="15"/>
  <c r="AF180" i="15"/>
  <c r="AG180" i="15"/>
  <c r="AH180" i="15"/>
  <c r="AI180" i="15"/>
  <c r="AJ180" i="15"/>
  <c r="AK180" i="15"/>
  <c r="AL180" i="15"/>
  <c r="AM180" i="15"/>
  <c r="AN180" i="15"/>
  <c r="AO180" i="15"/>
  <c r="AP180" i="15"/>
  <c r="AQ180" i="15"/>
  <c r="AR180" i="15"/>
  <c r="AS180" i="15"/>
  <c r="AT180" i="15"/>
  <c r="AU180" i="15"/>
  <c r="AV180" i="15"/>
  <c r="AW180" i="15"/>
  <c r="AX180" i="15"/>
  <c r="AY180" i="15"/>
  <c r="AZ180" i="15"/>
  <c r="BA180" i="15"/>
  <c r="BB180" i="15"/>
  <c r="BC180" i="15"/>
  <c r="B181" i="15"/>
  <c r="C181" i="15"/>
  <c r="D181" i="15"/>
  <c r="E181" i="15"/>
  <c r="F181" i="15"/>
  <c r="G181" i="15"/>
  <c r="H181" i="15"/>
  <c r="I181" i="15"/>
  <c r="J181" i="15"/>
  <c r="K181" i="15"/>
  <c r="L181" i="15"/>
  <c r="M181" i="15"/>
  <c r="N181" i="15"/>
  <c r="O181" i="15"/>
  <c r="P181" i="15"/>
  <c r="S181" i="15"/>
  <c r="T181" i="15"/>
  <c r="U181" i="15"/>
  <c r="V181" i="15"/>
  <c r="W181" i="15"/>
  <c r="X181" i="15"/>
  <c r="Y181" i="15"/>
  <c r="Z181" i="15"/>
  <c r="AA181" i="15"/>
  <c r="AB181" i="15"/>
  <c r="AC181" i="15"/>
  <c r="AD181" i="15"/>
  <c r="AE181" i="15"/>
  <c r="AF181" i="15"/>
  <c r="AG181" i="15"/>
  <c r="AH181" i="15"/>
  <c r="AI181" i="15"/>
  <c r="AJ181" i="15"/>
  <c r="AK181" i="15"/>
  <c r="AL181" i="15"/>
  <c r="AM181" i="15"/>
  <c r="AN181" i="15"/>
  <c r="AO181" i="15"/>
  <c r="AP181" i="15"/>
  <c r="AQ181" i="15"/>
  <c r="AR181" i="15"/>
  <c r="AS181" i="15"/>
  <c r="AT181" i="15"/>
  <c r="AU181" i="15"/>
  <c r="AV181" i="15"/>
  <c r="AW181" i="15"/>
  <c r="AX181" i="15"/>
  <c r="AY181" i="15"/>
  <c r="AZ181" i="15"/>
  <c r="BA181" i="15"/>
  <c r="BB181" i="15"/>
  <c r="BC181" i="15"/>
  <c r="B182" i="15"/>
  <c r="C182" i="15"/>
  <c r="D182" i="15"/>
  <c r="E182" i="15"/>
  <c r="F182" i="15"/>
  <c r="G182" i="15"/>
  <c r="H182" i="15"/>
  <c r="I182" i="15"/>
  <c r="J182" i="15"/>
  <c r="K182" i="15"/>
  <c r="L182" i="15"/>
  <c r="M182" i="15"/>
  <c r="N182" i="15"/>
  <c r="O182" i="15"/>
  <c r="P182" i="15"/>
  <c r="Q182" i="15"/>
  <c r="S182" i="15"/>
  <c r="T182" i="15"/>
  <c r="U182" i="15"/>
  <c r="V182" i="15"/>
  <c r="W182" i="15"/>
  <c r="X182" i="15"/>
  <c r="Y182" i="15"/>
  <c r="Z182" i="15"/>
  <c r="AA182" i="15"/>
  <c r="AB182" i="15"/>
  <c r="AC182" i="15"/>
  <c r="AD182" i="15"/>
  <c r="AE182" i="15"/>
  <c r="AF182" i="15"/>
  <c r="AG182" i="15"/>
  <c r="AH182" i="15"/>
  <c r="AI182" i="15"/>
  <c r="AJ182" i="15"/>
  <c r="AK182" i="15"/>
  <c r="AL182" i="15"/>
  <c r="AM182" i="15"/>
  <c r="AN182" i="15"/>
  <c r="AO182" i="15"/>
  <c r="AP182" i="15"/>
  <c r="AQ182" i="15"/>
  <c r="AR182" i="15"/>
  <c r="AS182" i="15"/>
  <c r="AT182" i="15"/>
  <c r="AU182" i="15"/>
  <c r="AV182" i="15"/>
  <c r="AW182" i="15"/>
  <c r="AX182" i="15"/>
  <c r="AY182" i="15"/>
  <c r="AZ182" i="15"/>
  <c r="BA182" i="15"/>
  <c r="BB182" i="15"/>
  <c r="BC182" i="15"/>
  <c r="B183" i="15"/>
  <c r="C183" i="15"/>
  <c r="D183" i="15"/>
  <c r="E183" i="15"/>
  <c r="F183" i="15"/>
  <c r="G183" i="15"/>
  <c r="H183" i="15"/>
  <c r="I183" i="15"/>
  <c r="J183" i="15"/>
  <c r="K183" i="15"/>
  <c r="L183" i="15"/>
  <c r="M183" i="15"/>
  <c r="N183" i="15"/>
  <c r="O183" i="15"/>
  <c r="P183" i="15"/>
  <c r="S183" i="15"/>
  <c r="T183" i="15"/>
  <c r="U183" i="15"/>
  <c r="V183" i="15"/>
  <c r="W183" i="15"/>
  <c r="X183" i="15"/>
  <c r="Y183" i="15"/>
  <c r="Z183" i="15"/>
  <c r="AA183" i="15"/>
  <c r="AB183" i="15"/>
  <c r="AC183" i="15"/>
  <c r="AD183" i="15"/>
  <c r="AE183" i="15"/>
  <c r="AF183" i="15"/>
  <c r="AG183" i="15"/>
  <c r="AH183" i="15"/>
  <c r="AI183" i="15"/>
  <c r="AJ183" i="15"/>
  <c r="AK183" i="15"/>
  <c r="AL183" i="15"/>
  <c r="AM183" i="15"/>
  <c r="AN183" i="15"/>
  <c r="AO183" i="15"/>
  <c r="AP183" i="15"/>
  <c r="AQ183" i="15"/>
  <c r="AR183" i="15"/>
  <c r="AS183" i="15"/>
  <c r="AT183" i="15"/>
  <c r="AU183" i="15"/>
  <c r="AV183" i="15"/>
  <c r="AW183" i="15"/>
  <c r="AX183" i="15"/>
  <c r="AY183" i="15"/>
  <c r="AZ183" i="15"/>
  <c r="BA183" i="15"/>
  <c r="BB183" i="15"/>
  <c r="BC183" i="15"/>
  <c r="B184" i="15"/>
  <c r="C184" i="15"/>
  <c r="D184" i="15"/>
  <c r="E184" i="15"/>
  <c r="F184" i="15"/>
  <c r="G184" i="15"/>
  <c r="H184" i="15"/>
  <c r="I184" i="15"/>
  <c r="J184" i="15"/>
  <c r="K184" i="15"/>
  <c r="L184" i="15"/>
  <c r="M184" i="15"/>
  <c r="N184" i="15"/>
  <c r="O184" i="15"/>
  <c r="P184" i="15"/>
  <c r="S184" i="15"/>
  <c r="T184" i="15"/>
  <c r="U184" i="15"/>
  <c r="V184" i="15"/>
  <c r="W184" i="15"/>
  <c r="X184" i="15"/>
  <c r="Y184" i="15"/>
  <c r="Z184" i="15"/>
  <c r="AA184" i="15"/>
  <c r="AB184" i="15"/>
  <c r="AC184" i="15"/>
  <c r="AD184" i="15"/>
  <c r="AE184" i="15"/>
  <c r="AF184" i="15"/>
  <c r="AG184" i="15"/>
  <c r="AH184" i="15"/>
  <c r="AI184" i="15"/>
  <c r="AJ184" i="15"/>
  <c r="AK184" i="15"/>
  <c r="AL184" i="15"/>
  <c r="AM184" i="15"/>
  <c r="AN184" i="15"/>
  <c r="AO184" i="15"/>
  <c r="AP184" i="15"/>
  <c r="AQ184" i="15"/>
  <c r="AR184" i="15"/>
  <c r="AS184" i="15"/>
  <c r="AT184" i="15"/>
  <c r="AU184" i="15"/>
  <c r="AV184" i="15"/>
  <c r="AW184" i="15"/>
  <c r="AX184" i="15"/>
  <c r="AY184" i="15"/>
  <c r="AZ184" i="15"/>
  <c r="BA184" i="15"/>
  <c r="BB184" i="15"/>
  <c r="BC184" i="15"/>
  <c r="B185" i="15"/>
  <c r="C185" i="15"/>
  <c r="D185" i="15"/>
  <c r="E185" i="15"/>
  <c r="F185" i="15"/>
  <c r="G185" i="15"/>
  <c r="H185" i="15"/>
  <c r="I185" i="15"/>
  <c r="J185" i="15"/>
  <c r="K185" i="15"/>
  <c r="L185" i="15"/>
  <c r="M185" i="15"/>
  <c r="N185" i="15"/>
  <c r="O185" i="15"/>
  <c r="P185" i="15"/>
  <c r="S185" i="15"/>
  <c r="T185" i="15"/>
  <c r="U185" i="15"/>
  <c r="W185" i="15"/>
  <c r="X185" i="15"/>
  <c r="Y185" i="15"/>
  <c r="Z185" i="15"/>
  <c r="AA185" i="15"/>
  <c r="AB185" i="15"/>
  <c r="AC185" i="15"/>
  <c r="AE185" i="15"/>
  <c r="AF185" i="15"/>
  <c r="AG185" i="15"/>
  <c r="AI185" i="15"/>
  <c r="AJ185" i="15"/>
  <c r="AK185" i="15"/>
  <c r="AM185" i="15"/>
  <c r="AN185" i="15"/>
  <c r="AO185" i="15"/>
  <c r="AQ185" i="15"/>
  <c r="AR185" i="15"/>
  <c r="AS185" i="15"/>
  <c r="AU185" i="15"/>
  <c r="AV185" i="15"/>
  <c r="AW185" i="15"/>
  <c r="AY185" i="15"/>
  <c r="AZ185" i="15"/>
  <c r="BA185" i="15"/>
  <c r="BC185" i="15"/>
  <c r="B186" i="15"/>
  <c r="C186" i="15"/>
  <c r="D186" i="15"/>
  <c r="E186" i="15"/>
  <c r="F186" i="15"/>
  <c r="G186" i="15"/>
  <c r="H186" i="15"/>
  <c r="I186" i="15"/>
  <c r="J186" i="15"/>
  <c r="K186" i="15"/>
  <c r="L186" i="15"/>
  <c r="M186" i="15"/>
  <c r="N186" i="15"/>
  <c r="O186" i="15"/>
  <c r="P186" i="15"/>
  <c r="S186" i="15"/>
  <c r="T186" i="15"/>
  <c r="U186" i="15"/>
  <c r="W186" i="15"/>
  <c r="X186" i="15"/>
  <c r="Y186" i="15"/>
  <c r="Z186" i="15"/>
  <c r="AA186" i="15"/>
  <c r="AB186" i="15"/>
  <c r="AC186" i="15"/>
  <c r="AE186" i="15"/>
  <c r="AF186" i="15"/>
  <c r="AG186" i="15"/>
  <c r="AI186" i="15"/>
  <c r="AJ186" i="15"/>
  <c r="AK186" i="15"/>
  <c r="AM186" i="15"/>
  <c r="AN186" i="15"/>
  <c r="AO186" i="15"/>
  <c r="AQ186" i="15"/>
  <c r="AR186" i="15"/>
  <c r="AS186" i="15"/>
  <c r="AU186" i="15"/>
  <c r="AV186" i="15"/>
  <c r="AW186" i="15"/>
  <c r="AY186" i="15"/>
  <c r="AZ186" i="15"/>
  <c r="BA186" i="15"/>
  <c r="BC186" i="15"/>
  <c r="C188" i="15"/>
  <c r="D188" i="15"/>
  <c r="E188" i="15"/>
  <c r="F188" i="15"/>
  <c r="G188" i="15"/>
  <c r="H188" i="15"/>
  <c r="I188" i="15"/>
  <c r="J188" i="15"/>
  <c r="K188" i="15"/>
  <c r="L188" i="15"/>
  <c r="M188" i="15"/>
  <c r="N188" i="15"/>
  <c r="O188" i="15"/>
  <c r="P188" i="15"/>
  <c r="S188" i="15"/>
  <c r="T188" i="15"/>
  <c r="U188" i="15"/>
  <c r="V188" i="15"/>
  <c r="W188" i="15"/>
  <c r="X188" i="15"/>
  <c r="Y188" i="15"/>
  <c r="Z188" i="15"/>
  <c r="AA188" i="15"/>
  <c r="AB188" i="15"/>
  <c r="AC188" i="15"/>
  <c r="AD188" i="15"/>
  <c r="AE188" i="15"/>
  <c r="AF188" i="15"/>
  <c r="AG188" i="15"/>
  <c r="AH188" i="15"/>
  <c r="AI188" i="15"/>
  <c r="AJ188" i="15"/>
  <c r="AK188" i="15"/>
  <c r="AL188" i="15"/>
  <c r="AM188" i="15"/>
  <c r="AN188" i="15"/>
  <c r="AO188" i="15"/>
  <c r="AP188" i="15"/>
  <c r="AQ188" i="15"/>
  <c r="AR188" i="15"/>
  <c r="AS188" i="15"/>
  <c r="AT188" i="15"/>
  <c r="AU188" i="15"/>
  <c r="AV188" i="15"/>
  <c r="AW188" i="15"/>
  <c r="AX188" i="15"/>
  <c r="AY188" i="15"/>
  <c r="AZ188" i="15"/>
  <c r="BA188" i="15"/>
  <c r="BB188" i="15"/>
  <c r="BC188" i="15"/>
  <c r="C190" i="15"/>
  <c r="D190" i="15"/>
  <c r="E190" i="15"/>
  <c r="F190" i="15"/>
  <c r="G190" i="15"/>
  <c r="H190" i="15"/>
  <c r="I190" i="15"/>
  <c r="J190" i="15"/>
  <c r="K190" i="15"/>
  <c r="L190" i="15"/>
  <c r="M190" i="15"/>
  <c r="N190" i="15"/>
  <c r="O190" i="15"/>
  <c r="P190" i="15"/>
  <c r="S190" i="15"/>
  <c r="T190" i="15"/>
  <c r="U190" i="15"/>
  <c r="V190" i="15"/>
  <c r="W190" i="15"/>
  <c r="X190" i="15"/>
  <c r="Y190" i="15"/>
  <c r="Z190" i="15"/>
  <c r="AA190" i="15"/>
  <c r="AB190" i="15"/>
  <c r="AC190" i="15"/>
  <c r="AD190" i="15"/>
  <c r="AE190" i="15"/>
  <c r="AF190" i="15"/>
  <c r="AG190" i="15"/>
  <c r="AH190" i="15"/>
  <c r="AI190" i="15"/>
  <c r="AJ190" i="15"/>
  <c r="AK190" i="15"/>
  <c r="AL190" i="15"/>
  <c r="AM190" i="15"/>
  <c r="AN190" i="15"/>
  <c r="AO190" i="15"/>
  <c r="AP190" i="15"/>
  <c r="AQ190" i="15"/>
  <c r="AR190" i="15"/>
  <c r="AS190" i="15"/>
  <c r="AT190" i="15"/>
  <c r="AU190" i="15"/>
  <c r="AV190" i="15"/>
  <c r="AW190" i="15"/>
  <c r="AX190" i="15"/>
  <c r="AY190" i="15"/>
  <c r="AZ190" i="15"/>
  <c r="BA190" i="15"/>
  <c r="BB190" i="15"/>
  <c r="BC190" i="15"/>
  <c r="C191" i="15"/>
  <c r="D191" i="15"/>
  <c r="E191" i="15"/>
  <c r="F191" i="15"/>
  <c r="G191" i="15"/>
  <c r="H191" i="15"/>
  <c r="I191" i="15"/>
  <c r="J191" i="15"/>
  <c r="K191" i="15"/>
  <c r="L191" i="15"/>
  <c r="M191" i="15"/>
  <c r="N191" i="15"/>
  <c r="O191" i="15"/>
  <c r="P191" i="15"/>
  <c r="Q191" i="15"/>
  <c r="S191" i="15"/>
  <c r="T191" i="15"/>
  <c r="U191" i="15"/>
  <c r="V191" i="15"/>
  <c r="W191" i="15"/>
  <c r="X191" i="15"/>
  <c r="Y191" i="15"/>
  <c r="Z191" i="15"/>
  <c r="AA191" i="15"/>
  <c r="AB191" i="15"/>
  <c r="AC191" i="15"/>
  <c r="AD191" i="15"/>
  <c r="AE191" i="15"/>
  <c r="AF191" i="15"/>
  <c r="AG191" i="15"/>
  <c r="AH191" i="15"/>
  <c r="AI191" i="15"/>
  <c r="AJ191" i="15"/>
  <c r="AK191" i="15"/>
  <c r="AL191" i="15"/>
  <c r="AM191" i="15"/>
  <c r="AN191" i="15"/>
  <c r="AO191" i="15"/>
  <c r="AP191" i="15"/>
  <c r="AQ191" i="15"/>
  <c r="AR191" i="15"/>
  <c r="AS191" i="15"/>
  <c r="AT191" i="15"/>
  <c r="AU191" i="15"/>
  <c r="AV191" i="15"/>
  <c r="AW191" i="15"/>
  <c r="AX191" i="15"/>
  <c r="AY191" i="15"/>
  <c r="AZ191" i="15"/>
  <c r="BA191" i="15"/>
  <c r="BB191" i="15"/>
  <c r="BC191" i="15"/>
  <c r="C193" i="15"/>
  <c r="D193" i="15"/>
  <c r="E193" i="15"/>
  <c r="F193" i="15"/>
  <c r="G193" i="15"/>
  <c r="H193" i="15"/>
  <c r="I193" i="15"/>
  <c r="J193" i="15"/>
  <c r="K193" i="15"/>
  <c r="L193" i="15"/>
  <c r="M193" i="15"/>
  <c r="N193" i="15"/>
  <c r="O193" i="15"/>
  <c r="P193" i="15"/>
  <c r="Q193" i="15"/>
  <c r="S193" i="15"/>
  <c r="T193" i="15"/>
  <c r="U193" i="15"/>
  <c r="V193" i="15"/>
  <c r="W193" i="15"/>
  <c r="X193" i="15"/>
  <c r="Y193" i="15"/>
  <c r="Z193" i="15"/>
  <c r="AA193" i="15"/>
  <c r="AB193" i="15"/>
  <c r="AC193" i="15"/>
  <c r="AD193" i="15"/>
  <c r="AE193" i="15"/>
  <c r="AF193" i="15"/>
  <c r="AG193" i="15"/>
  <c r="AH193" i="15"/>
  <c r="AI193" i="15"/>
  <c r="AJ193" i="15"/>
  <c r="AK193" i="15"/>
  <c r="AL193" i="15"/>
  <c r="AM193" i="15"/>
  <c r="AN193" i="15"/>
  <c r="AO193" i="15"/>
  <c r="AP193" i="15"/>
  <c r="AQ193" i="15"/>
  <c r="AR193" i="15"/>
  <c r="AS193" i="15"/>
  <c r="AT193" i="15"/>
  <c r="AU193" i="15"/>
  <c r="AV193" i="15"/>
  <c r="AW193" i="15"/>
  <c r="AX193" i="15"/>
  <c r="AY193" i="15"/>
  <c r="AZ193" i="15"/>
  <c r="BA193" i="15"/>
  <c r="BB193" i="15"/>
  <c r="BC193" i="15"/>
  <c r="C195" i="15"/>
  <c r="D195" i="15"/>
  <c r="E195" i="15"/>
  <c r="F195" i="15"/>
  <c r="G195" i="15"/>
  <c r="H195" i="15"/>
  <c r="I195" i="15"/>
  <c r="J195" i="15"/>
  <c r="K195" i="15"/>
  <c r="L195" i="15"/>
  <c r="M195" i="15"/>
  <c r="N195" i="15"/>
  <c r="O195" i="15"/>
  <c r="P195" i="15"/>
  <c r="V195" i="15"/>
  <c r="W195" i="15"/>
  <c r="X195" i="15"/>
  <c r="Y195" i="15"/>
  <c r="Z195" i="15"/>
  <c r="AA195" i="15"/>
  <c r="AB195" i="15"/>
  <c r="AC195" i="15"/>
  <c r="AD195" i="15"/>
  <c r="AE195" i="15"/>
  <c r="AF195" i="15"/>
  <c r="AG195" i="15"/>
  <c r="AH195" i="15"/>
  <c r="AI195" i="15"/>
  <c r="AJ195" i="15"/>
  <c r="AK195" i="15"/>
  <c r="AL195" i="15"/>
  <c r="AM195" i="15"/>
  <c r="AN195" i="15"/>
  <c r="AO195" i="15"/>
  <c r="AP195" i="15"/>
  <c r="AQ195" i="15"/>
  <c r="AR195" i="15"/>
  <c r="AS195" i="15"/>
  <c r="AT195" i="15"/>
  <c r="AU195" i="15"/>
  <c r="AV195" i="15"/>
  <c r="AW195" i="15"/>
  <c r="AX195" i="15"/>
  <c r="AY195" i="15"/>
  <c r="AZ195" i="15"/>
  <c r="BA195" i="15"/>
  <c r="BB195" i="15"/>
  <c r="BC195" i="15"/>
  <c r="C197" i="15"/>
  <c r="D197" i="15"/>
  <c r="E197" i="15"/>
  <c r="F197" i="15"/>
  <c r="G197" i="15"/>
  <c r="H197" i="15"/>
  <c r="I197" i="15"/>
  <c r="J197" i="15"/>
  <c r="K197" i="15"/>
  <c r="L197" i="15"/>
  <c r="M197" i="15"/>
  <c r="N197" i="15"/>
  <c r="O197" i="15"/>
  <c r="P197" i="15"/>
  <c r="V197" i="15"/>
  <c r="W197" i="15"/>
  <c r="X197" i="15"/>
  <c r="Y197" i="15"/>
  <c r="Z197" i="15"/>
  <c r="AA197" i="15"/>
  <c r="AB197" i="15"/>
  <c r="AC197" i="15"/>
  <c r="AD197" i="15"/>
  <c r="AE197" i="15"/>
  <c r="AF197" i="15"/>
  <c r="AG197" i="15"/>
  <c r="AH197" i="15"/>
  <c r="AI197" i="15"/>
  <c r="AJ197" i="15"/>
  <c r="AK197" i="15"/>
  <c r="AL197" i="15"/>
  <c r="AM197" i="15"/>
  <c r="AN197" i="15"/>
  <c r="AO197" i="15"/>
  <c r="AP197" i="15"/>
  <c r="AQ197" i="15"/>
  <c r="AR197" i="15"/>
  <c r="AS197" i="15"/>
  <c r="AT197" i="15"/>
  <c r="AU197" i="15"/>
  <c r="AV197" i="15"/>
  <c r="AW197" i="15"/>
  <c r="AX197" i="15"/>
  <c r="AY197" i="15"/>
  <c r="AZ197" i="15"/>
  <c r="BA197" i="15"/>
  <c r="BB197" i="15"/>
  <c r="BC197" i="15"/>
  <c r="C198" i="15"/>
  <c r="D198" i="15"/>
  <c r="E198" i="15"/>
  <c r="F198" i="15"/>
  <c r="G198" i="15"/>
  <c r="H198" i="15"/>
  <c r="I198" i="15"/>
  <c r="J198" i="15"/>
  <c r="K198" i="15"/>
  <c r="L198" i="15"/>
  <c r="M198" i="15"/>
  <c r="N198" i="15"/>
  <c r="O198" i="15"/>
  <c r="P198" i="15"/>
  <c r="V198" i="15"/>
  <c r="W198" i="15"/>
  <c r="X198" i="15"/>
  <c r="Y198" i="15"/>
  <c r="Z198" i="15"/>
  <c r="AA198" i="15"/>
  <c r="AB198" i="15"/>
  <c r="AC198" i="15"/>
  <c r="AD198" i="15"/>
  <c r="AE198" i="15"/>
  <c r="AF198" i="15"/>
  <c r="AG198" i="15"/>
  <c r="AH198" i="15"/>
  <c r="AI198" i="15"/>
  <c r="AJ198" i="15"/>
  <c r="AK198" i="15"/>
  <c r="AL198" i="15"/>
  <c r="AM198" i="15"/>
  <c r="AN198" i="15"/>
  <c r="AO198" i="15"/>
  <c r="AP198" i="15"/>
  <c r="AQ198" i="15"/>
  <c r="AR198" i="15"/>
  <c r="AS198" i="15"/>
  <c r="AT198" i="15"/>
  <c r="AU198" i="15"/>
  <c r="AV198" i="15"/>
  <c r="AW198" i="15"/>
  <c r="AX198" i="15"/>
  <c r="AY198" i="15"/>
  <c r="AZ198" i="15"/>
  <c r="BA198" i="15"/>
  <c r="BB198" i="15"/>
  <c r="BC198" i="15"/>
  <c r="C200" i="15"/>
  <c r="D200" i="15"/>
  <c r="E200" i="15"/>
  <c r="F200" i="15"/>
  <c r="G200" i="15"/>
  <c r="H200" i="15"/>
  <c r="I200" i="15"/>
  <c r="J200" i="15"/>
  <c r="K200" i="15"/>
  <c r="L200" i="15"/>
  <c r="M200" i="15"/>
  <c r="N200" i="15"/>
  <c r="O200" i="15"/>
  <c r="P200" i="15"/>
  <c r="V200" i="15"/>
  <c r="W200" i="15"/>
  <c r="X200" i="15"/>
  <c r="Y200" i="15"/>
  <c r="Z200" i="15"/>
  <c r="AA200" i="15"/>
  <c r="AB200" i="15"/>
  <c r="AC200" i="15"/>
  <c r="AD200" i="15"/>
  <c r="AE200" i="15"/>
  <c r="AF200" i="15"/>
  <c r="AG200" i="15"/>
  <c r="AH200" i="15"/>
  <c r="AI200" i="15"/>
  <c r="AJ200" i="15"/>
  <c r="AK200" i="15"/>
  <c r="AL200" i="15"/>
  <c r="AM200" i="15"/>
  <c r="AN200" i="15"/>
  <c r="AO200" i="15"/>
  <c r="AP200" i="15"/>
  <c r="AQ200" i="15"/>
  <c r="AR200" i="15"/>
  <c r="AS200" i="15"/>
  <c r="AT200" i="15"/>
  <c r="AU200" i="15"/>
  <c r="AV200" i="15"/>
  <c r="AW200" i="15"/>
  <c r="AX200" i="15"/>
  <c r="AY200" i="15"/>
  <c r="AZ200" i="15"/>
  <c r="BA200" i="15"/>
  <c r="BB200" i="15"/>
  <c r="BC200" i="15"/>
  <c r="C201" i="15"/>
  <c r="D201" i="15"/>
  <c r="E201" i="15"/>
  <c r="F201" i="15"/>
  <c r="G201" i="15"/>
  <c r="H201" i="15"/>
  <c r="I201" i="15"/>
  <c r="J201" i="15"/>
  <c r="K201" i="15"/>
  <c r="L201" i="15"/>
  <c r="M201" i="15"/>
  <c r="N201" i="15"/>
  <c r="O201" i="15"/>
  <c r="P201" i="15"/>
  <c r="V201" i="15"/>
  <c r="W201" i="15"/>
  <c r="X201" i="15"/>
  <c r="Y201" i="15"/>
  <c r="Z201" i="15"/>
  <c r="AA201" i="15"/>
  <c r="AB201" i="15"/>
  <c r="AC201" i="15"/>
  <c r="AD201" i="15"/>
  <c r="AE201" i="15"/>
  <c r="AF201" i="15"/>
  <c r="AG201" i="15"/>
  <c r="AH201" i="15"/>
  <c r="AI201" i="15"/>
  <c r="AJ201" i="15"/>
  <c r="AK201" i="15"/>
  <c r="AL201" i="15"/>
  <c r="AM201" i="15"/>
  <c r="AN201" i="15"/>
  <c r="AO201" i="15"/>
  <c r="AP201" i="15"/>
  <c r="AQ201" i="15"/>
  <c r="AR201" i="15"/>
  <c r="AS201" i="15"/>
  <c r="AT201" i="15"/>
  <c r="AU201" i="15"/>
  <c r="AV201" i="15"/>
  <c r="AW201" i="15"/>
  <c r="AX201" i="15"/>
  <c r="AY201" i="15"/>
  <c r="AZ201" i="15"/>
  <c r="BA201" i="15"/>
  <c r="BB201" i="15"/>
  <c r="BC201" i="15"/>
  <c r="C203" i="15"/>
  <c r="D203" i="15"/>
  <c r="E203" i="15"/>
  <c r="F203" i="15"/>
  <c r="G203" i="15"/>
  <c r="H203" i="15"/>
  <c r="I203" i="15"/>
  <c r="J203" i="15"/>
  <c r="K203" i="15"/>
  <c r="L203" i="15"/>
  <c r="M203" i="15"/>
  <c r="N203" i="15"/>
  <c r="O203" i="15"/>
  <c r="P203" i="15"/>
  <c r="V203" i="15"/>
  <c r="W203" i="15"/>
  <c r="X203" i="15"/>
  <c r="Y203" i="15"/>
  <c r="Z203" i="15"/>
  <c r="AA203" i="15"/>
  <c r="AB203" i="15"/>
  <c r="AC203" i="15"/>
  <c r="AD203" i="15"/>
  <c r="AE203" i="15"/>
  <c r="AF203" i="15"/>
  <c r="AG203" i="15"/>
  <c r="AH203" i="15"/>
  <c r="AI203" i="15"/>
  <c r="AJ203" i="15"/>
  <c r="AK203" i="15"/>
  <c r="AL203" i="15"/>
  <c r="AM203" i="15"/>
  <c r="AN203" i="15"/>
  <c r="AO203" i="15"/>
  <c r="AP203" i="15"/>
  <c r="AQ203" i="15"/>
  <c r="AR203" i="15"/>
  <c r="AS203" i="15"/>
  <c r="AT203" i="15"/>
  <c r="AU203" i="15"/>
  <c r="AV203" i="15"/>
  <c r="AW203" i="15"/>
  <c r="AX203" i="15"/>
  <c r="AY203" i="15"/>
  <c r="AZ203" i="15"/>
  <c r="BA203" i="15"/>
  <c r="BB203" i="15"/>
  <c r="BC203" i="15"/>
  <c r="C205" i="15"/>
  <c r="D205" i="15"/>
  <c r="E205" i="15"/>
  <c r="F205" i="15"/>
  <c r="G205" i="15"/>
  <c r="H205" i="15"/>
  <c r="I205" i="15"/>
  <c r="J205" i="15"/>
  <c r="K205" i="15"/>
  <c r="L205" i="15"/>
  <c r="M205" i="15"/>
  <c r="N205" i="15"/>
  <c r="O205" i="15"/>
  <c r="P205" i="15"/>
  <c r="V205" i="15"/>
  <c r="W205" i="15"/>
  <c r="X205" i="15"/>
  <c r="Y205" i="15"/>
  <c r="Z205" i="15"/>
  <c r="AA205" i="15"/>
  <c r="AB205" i="15"/>
  <c r="AC205" i="15"/>
  <c r="AD205" i="15"/>
  <c r="AE205" i="15"/>
  <c r="AF205" i="15"/>
  <c r="AG205" i="15"/>
  <c r="AH205" i="15"/>
  <c r="AI205" i="15"/>
  <c r="AJ205" i="15"/>
  <c r="AK205" i="15"/>
  <c r="AL205" i="15"/>
  <c r="AM205" i="15"/>
  <c r="AN205" i="15"/>
  <c r="AO205" i="15"/>
  <c r="AP205" i="15"/>
  <c r="AQ205" i="15"/>
  <c r="AR205" i="15"/>
  <c r="AS205" i="15"/>
  <c r="AT205" i="15"/>
  <c r="AU205" i="15"/>
  <c r="AV205" i="15"/>
  <c r="AW205" i="15"/>
  <c r="AX205" i="15"/>
  <c r="AY205" i="15"/>
  <c r="AZ205" i="15"/>
  <c r="BA205" i="15"/>
  <c r="BB205" i="15"/>
  <c r="BC205" i="15"/>
  <c r="C206" i="15"/>
  <c r="D206" i="15"/>
  <c r="E206" i="15"/>
  <c r="F206" i="15"/>
  <c r="G206" i="15"/>
  <c r="H206" i="15"/>
  <c r="I206" i="15"/>
  <c r="J206" i="15"/>
  <c r="K206" i="15"/>
  <c r="L206" i="15"/>
  <c r="M206" i="15"/>
  <c r="N206" i="15"/>
  <c r="O206" i="15"/>
  <c r="P206" i="15"/>
  <c r="V206" i="15"/>
  <c r="W206" i="15"/>
  <c r="X206" i="15"/>
  <c r="Y206" i="15"/>
  <c r="Z206" i="15"/>
  <c r="AA206" i="15"/>
  <c r="AB206" i="15"/>
  <c r="AC206" i="15"/>
  <c r="AD206" i="15"/>
  <c r="AE206" i="15"/>
  <c r="AF206" i="15"/>
  <c r="AG206" i="15"/>
  <c r="AH206" i="15"/>
  <c r="AI206" i="15"/>
  <c r="AJ206" i="15"/>
  <c r="AK206" i="15"/>
  <c r="AL206" i="15"/>
  <c r="AM206" i="15"/>
  <c r="AN206" i="15"/>
  <c r="AO206" i="15"/>
  <c r="AP206" i="15"/>
  <c r="AQ206" i="15"/>
  <c r="AR206" i="15"/>
  <c r="AS206" i="15"/>
  <c r="AT206" i="15"/>
  <c r="AU206" i="15"/>
  <c r="AV206" i="15"/>
  <c r="AW206" i="15"/>
  <c r="AX206" i="15"/>
  <c r="AY206" i="15"/>
  <c r="AZ206" i="15"/>
  <c r="BA206" i="15"/>
  <c r="BB206" i="15"/>
  <c r="BC206" i="15"/>
  <c r="C208" i="15"/>
  <c r="D208" i="15"/>
  <c r="E208" i="15"/>
  <c r="F208" i="15"/>
  <c r="G208" i="15"/>
  <c r="H208" i="15"/>
  <c r="I208" i="15"/>
  <c r="J208" i="15"/>
  <c r="K208" i="15"/>
  <c r="L208" i="15"/>
  <c r="M208" i="15"/>
  <c r="N208" i="15"/>
  <c r="O208" i="15"/>
  <c r="P208" i="15"/>
  <c r="S208" i="15"/>
  <c r="T208" i="15"/>
  <c r="U208" i="15"/>
  <c r="V208" i="15"/>
  <c r="W208" i="15"/>
  <c r="X208" i="15"/>
  <c r="Y208" i="15"/>
  <c r="Z208" i="15"/>
  <c r="AA208" i="15"/>
  <c r="AB208" i="15"/>
  <c r="AC208" i="15"/>
  <c r="AD208" i="15"/>
  <c r="AE208" i="15"/>
  <c r="AF208" i="15"/>
  <c r="AG208" i="15"/>
  <c r="AH208" i="15"/>
  <c r="AI208" i="15"/>
  <c r="AJ208" i="15"/>
  <c r="AK208" i="15"/>
  <c r="AL208" i="15"/>
  <c r="AM208" i="15"/>
  <c r="AN208" i="15"/>
  <c r="AO208" i="15"/>
  <c r="AP208" i="15"/>
  <c r="AQ208" i="15"/>
  <c r="AR208" i="15"/>
  <c r="AS208" i="15"/>
  <c r="AT208" i="15"/>
  <c r="AU208" i="15"/>
  <c r="AV208" i="15"/>
  <c r="AW208" i="15"/>
  <c r="AX208" i="15"/>
  <c r="AY208" i="15"/>
  <c r="AZ208" i="15"/>
  <c r="BA208" i="15"/>
  <c r="BB208" i="15"/>
  <c r="BC208" i="15"/>
  <c r="O210" i="15"/>
  <c r="AR210" i="15"/>
  <c r="BB210" i="15"/>
  <c r="BC210" i="15"/>
  <c r="C211" i="15"/>
  <c r="D211" i="15"/>
  <c r="E211" i="15"/>
  <c r="F211" i="15"/>
  <c r="G211" i="15"/>
  <c r="H211" i="15"/>
  <c r="I211" i="15"/>
  <c r="J211" i="15"/>
  <c r="K211" i="15"/>
  <c r="L211" i="15"/>
  <c r="M211" i="15"/>
  <c r="N211" i="15"/>
  <c r="O211" i="15"/>
  <c r="S211" i="15"/>
  <c r="T211" i="15"/>
  <c r="U211" i="15"/>
  <c r="V211" i="15"/>
  <c r="W211" i="15"/>
  <c r="X211" i="15"/>
  <c r="Y211" i="15"/>
  <c r="Z211" i="15"/>
  <c r="AA211" i="15"/>
  <c r="AC211" i="15"/>
  <c r="AD211" i="15"/>
  <c r="AE211" i="15"/>
  <c r="AF211" i="15"/>
  <c r="AG211" i="15"/>
  <c r="AH211" i="15"/>
  <c r="AI211" i="15"/>
  <c r="AJ211" i="15"/>
  <c r="AK211" i="15"/>
  <c r="AL211" i="15"/>
  <c r="AM211" i="15"/>
  <c r="AN211" i="15"/>
  <c r="AO211" i="15"/>
  <c r="AP211" i="15"/>
  <c r="AR211" i="15"/>
  <c r="AS211" i="15"/>
  <c r="AT211" i="15"/>
  <c r="AZ211" i="15"/>
  <c r="AZ210" i="15" s="1"/>
  <c r="BB211" i="15"/>
  <c r="P211" i="15" s="1"/>
  <c r="BC211" i="15"/>
  <c r="Q211" i="15" s="1"/>
  <c r="C212" i="15"/>
  <c r="D212" i="15"/>
  <c r="E212" i="15"/>
  <c r="F212" i="15"/>
  <c r="G212" i="15"/>
  <c r="H212" i="15"/>
  <c r="I212" i="15"/>
  <c r="J212" i="15"/>
  <c r="K212" i="15"/>
  <c r="L212" i="15"/>
  <c r="M212" i="15"/>
  <c r="N212" i="15"/>
  <c r="O212" i="15"/>
  <c r="P212" i="15"/>
  <c r="Q212" i="15"/>
  <c r="S212" i="15"/>
  <c r="T212" i="15"/>
  <c r="U212" i="15"/>
  <c r="V212" i="15"/>
  <c r="W212" i="15"/>
  <c r="X212" i="15"/>
  <c r="Y212" i="15"/>
  <c r="Z212" i="15"/>
  <c r="AA212" i="15"/>
  <c r="AB212" i="15"/>
  <c r="AC212" i="15"/>
  <c r="AD212" i="15"/>
  <c r="AE212" i="15"/>
  <c r="AF212" i="15"/>
  <c r="AG212" i="15"/>
  <c r="AH212" i="15"/>
  <c r="AI212" i="15"/>
  <c r="AJ212" i="15"/>
  <c r="AK212" i="15"/>
  <c r="AL212" i="15"/>
  <c r="AM212" i="15"/>
  <c r="AN212" i="15"/>
  <c r="AO212" i="15"/>
  <c r="AP212" i="15"/>
  <c r="AQ212" i="15"/>
  <c r="AR212" i="15"/>
  <c r="AS212" i="15"/>
  <c r="AT212" i="15"/>
  <c r="AU212" i="15"/>
  <c r="AV212" i="15"/>
  <c r="AW212" i="15"/>
  <c r="AX212" i="15"/>
  <c r="AY212" i="15"/>
  <c r="AZ212" i="15"/>
  <c r="BA212" i="15"/>
  <c r="BB212" i="15"/>
  <c r="BC212" i="15"/>
  <c r="C214" i="15"/>
  <c r="D214" i="15"/>
  <c r="E214" i="15"/>
  <c r="F214" i="15"/>
  <c r="G214" i="15"/>
  <c r="H214" i="15"/>
  <c r="I214" i="15"/>
  <c r="J214" i="15"/>
  <c r="K214" i="15"/>
  <c r="L214" i="15"/>
  <c r="M214" i="15"/>
  <c r="N214" i="15"/>
  <c r="O214" i="15"/>
  <c r="P214" i="15"/>
  <c r="Q214" i="15"/>
  <c r="S214" i="15"/>
  <c r="T214" i="15"/>
  <c r="U214" i="15"/>
  <c r="V214" i="15"/>
  <c r="W214" i="15"/>
  <c r="X214" i="15"/>
  <c r="Y214" i="15"/>
  <c r="Z214" i="15"/>
  <c r="AA214" i="15"/>
  <c r="AB214" i="15"/>
  <c r="AC214" i="15"/>
  <c r="AD214" i="15"/>
  <c r="AE214" i="15"/>
  <c r="AF214" i="15"/>
  <c r="AG214" i="15"/>
  <c r="AH214" i="15"/>
  <c r="AI214" i="15"/>
  <c r="AJ214" i="15"/>
  <c r="AK214" i="15"/>
  <c r="AL214" i="15"/>
  <c r="AM214" i="15"/>
  <c r="AN214" i="15"/>
  <c r="AO214" i="15"/>
  <c r="AP214" i="15"/>
  <c r="AQ214" i="15"/>
  <c r="AR214" i="15"/>
  <c r="AS214" i="15"/>
  <c r="AT214" i="15"/>
  <c r="AU214" i="15"/>
  <c r="AV214" i="15"/>
  <c r="AW214" i="15"/>
  <c r="AX214" i="15"/>
  <c r="AY214" i="15"/>
  <c r="AZ214" i="15"/>
  <c r="BA214" i="15"/>
  <c r="BB214" i="15"/>
  <c r="BC214" i="15"/>
  <c r="C215" i="15"/>
  <c r="D215" i="15"/>
  <c r="E215" i="15"/>
  <c r="O215" i="15"/>
  <c r="V215" i="15"/>
  <c r="W215" i="15"/>
  <c r="X215" i="15"/>
  <c r="Y215" i="15"/>
  <c r="Z215" i="15"/>
  <c r="AA215" i="15"/>
  <c r="AB215" i="15"/>
  <c r="AC215" i="15"/>
  <c r="AX215" i="15"/>
  <c r="AY215" i="15"/>
  <c r="AZ215" i="15"/>
  <c r="BA215" i="15"/>
  <c r="BB215" i="15"/>
  <c r="BC215" i="15"/>
  <c r="C216" i="15"/>
  <c r="D216" i="15"/>
  <c r="E216" i="15"/>
  <c r="O216" i="15"/>
  <c r="V216" i="15"/>
  <c r="W216" i="15"/>
  <c r="X216" i="15"/>
  <c r="Y216" i="15"/>
  <c r="Z216" i="15"/>
  <c r="AA216" i="15"/>
  <c r="AB216" i="15"/>
  <c r="AC216" i="15"/>
  <c r="AX216" i="15"/>
  <c r="AY216" i="15"/>
  <c r="AZ216" i="15"/>
  <c r="BA216" i="15"/>
  <c r="BB216" i="15"/>
  <c r="BC216" i="15"/>
  <c r="C217" i="15"/>
  <c r="D217" i="15"/>
  <c r="E217" i="15"/>
  <c r="O217" i="15"/>
  <c r="V217" i="15"/>
  <c r="W217" i="15"/>
  <c r="X217" i="15"/>
  <c r="Y217" i="15"/>
  <c r="Z217" i="15"/>
  <c r="AA217" i="15"/>
  <c r="AB217" i="15"/>
  <c r="AC217" i="15"/>
  <c r="AX217" i="15"/>
  <c r="AY217" i="15"/>
  <c r="AZ217" i="15"/>
  <c r="BA217" i="15"/>
  <c r="BB217" i="15"/>
  <c r="BC217" i="15"/>
  <c r="C218" i="15"/>
  <c r="D218" i="15"/>
  <c r="E218" i="15"/>
  <c r="O218" i="15"/>
  <c r="V218" i="15"/>
  <c r="W218" i="15"/>
  <c r="X218" i="15"/>
  <c r="Y218" i="15"/>
  <c r="Z218" i="15"/>
  <c r="AA218" i="15"/>
  <c r="AB218" i="15"/>
  <c r="AC218" i="15"/>
  <c r="AX218" i="15"/>
  <c r="AY218" i="15"/>
  <c r="AZ218" i="15"/>
  <c r="BA218" i="15"/>
  <c r="BB218" i="15"/>
  <c r="BC218" i="15"/>
  <c r="C219" i="15"/>
  <c r="D219" i="15"/>
  <c r="E219" i="15"/>
  <c r="O219" i="15"/>
  <c r="V219" i="15"/>
  <c r="W219" i="15"/>
  <c r="X219" i="15"/>
  <c r="Y219" i="15"/>
  <c r="Z219" i="15"/>
  <c r="AA219" i="15"/>
  <c r="AB219" i="15"/>
  <c r="AC219" i="15"/>
  <c r="AX219" i="15"/>
  <c r="AY219" i="15"/>
  <c r="AZ219" i="15"/>
  <c r="BA219" i="15"/>
  <c r="BB219" i="15"/>
  <c r="BC219" i="15"/>
  <c r="C220" i="15"/>
  <c r="D220" i="15"/>
  <c r="E220" i="15"/>
  <c r="O220" i="15"/>
  <c r="V220" i="15"/>
  <c r="W220" i="15"/>
  <c r="X220" i="15"/>
  <c r="Y220" i="15"/>
  <c r="Z220" i="15"/>
  <c r="AA220" i="15"/>
  <c r="AB220" i="15"/>
  <c r="AC220" i="15"/>
  <c r="AX220" i="15"/>
  <c r="AY220" i="15"/>
  <c r="AZ220" i="15"/>
  <c r="BA220" i="15"/>
  <c r="BB220" i="15"/>
  <c r="BC220" i="15"/>
  <c r="C221" i="15"/>
  <c r="D221" i="15"/>
  <c r="E221" i="15"/>
  <c r="F221" i="15"/>
  <c r="G221" i="15"/>
  <c r="H221" i="15"/>
  <c r="I221" i="15"/>
  <c r="J221" i="15"/>
  <c r="K221" i="15"/>
  <c r="L221" i="15"/>
  <c r="M221" i="15"/>
  <c r="N221" i="15"/>
  <c r="O221" i="15"/>
  <c r="P221" i="15"/>
  <c r="V221" i="15"/>
  <c r="W221" i="15"/>
  <c r="X221" i="15"/>
  <c r="Y221" i="15"/>
  <c r="Z221" i="15"/>
  <c r="AA221" i="15"/>
  <c r="AB221" i="15"/>
  <c r="AC221" i="15"/>
  <c r="AD221" i="15"/>
  <c r="AE221" i="15"/>
  <c r="AF221" i="15"/>
  <c r="AG221" i="15"/>
  <c r="AH221" i="15"/>
  <c r="AI221" i="15"/>
  <c r="AJ221" i="15"/>
  <c r="AK221" i="15"/>
  <c r="AL221" i="15"/>
  <c r="AM221" i="15"/>
  <c r="AN221" i="15"/>
  <c r="AO221" i="15"/>
  <c r="AP221" i="15"/>
  <c r="AQ221" i="15"/>
  <c r="AR221" i="15"/>
  <c r="AS221" i="15"/>
  <c r="AT221" i="15"/>
  <c r="AU221" i="15"/>
  <c r="AV221" i="15"/>
  <c r="AW221" i="15"/>
  <c r="AX221" i="15"/>
  <c r="AY221" i="15"/>
  <c r="AZ221" i="15"/>
  <c r="BA221" i="15"/>
  <c r="BB221" i="15"/>
  <c r="BC221" i="15"/>
  <c r="C222" i="15"/>
  <c r="D222" i="15"/>
  <c r="E222" i="15"/>
  <c r="F222" i="15"/>
  <c r="G222" i="15"/>
  <c r="H222" i="15"/>
  <c r="I222" i="15"/>
  <c r="J222" i="15"/>
  <c r="K222" i="15"/>
  <c r="L222" i="15"/>
  <c r="M222" i="15"/>
  <c r="N222" i="15"/>
  <c r="O222" i="15"/>
  <c r="P222" i="15"/>
  <c r="Q222" i="15"/>
  <c r="V222" i="15"/>
  <c r="W222" i="15"/>
  <c r="X222" i="15"/>
  <c r="Y222" i="15"/>
  <c r="Z222" i="15"/>
  <c r="AA222" i="15"/>
  <c r="AB222" i="15"/>
  <c r="AC222" i="15"/>
  <c r="AD222" i="15"/>
  <c r="AE222" i="15"/>
  <c r="AF222" i="15"/>
  <c r="AG222" i="15"/>
  <c r="AH222" i="15"/>
  <c r="AI222" i="15"/>
  <c r="AJ222" i="15"/>
  <c r="AK222" i="15"/>
  <c r="AL222" i="15"/>
  <c r="AM222" i="15"/>
  <c r="AN222" i="15"/>
  <c r="AO222" i="15"/>
  <c r="AP222" i="15"/>
  <c r="AQ222" i="15"/>
  <c r="AR222" i="15"/>
  <c r="AS222" i="15"/>
  <c r="AT222" i="15"/>
  <c r="AU222" i="15"/>
  <c r="AV222" i="15"/>
  <c r="AW222" i="15"/>
  <c r="AX222" i="15"/>
  <c r="AY222" i="15"/>
  <c r="AZ222" i="15"/>
  <c r="BA222" i="15"/>
  <c r="BB222" i="15"/>
  <c r="BC222" i="15"/>
  <c r="C223" i="15"/>
  <c r="D223" i="15"/>
  <c r="E223" i="15"/>
  <c r="F223" i="15"/>
  <c r="G223" i="15"/>
  <c r="H223" i="15"/>
  <c r="I223" i="15"/>
  <c r="J223" i="15"/>
  <c r="K223" i="15"/>
  <c r="L223" i="15"/>
  <c r="M223" i="15"/>
  <c r="N223" i="15"/>
  <c r="O223" i="15"/>
  <c r="P223" i="15"/>
  <c r="V223" i="15"/>
  <c r="W223" i="15"/>
  <c r="X223" i="15"/>
  <c r="Y223" i="15"/>
  <c r="Z223" i="15"/>
  <c r="AA223" i="15"/>
  <c r="AB223" i="15"/>
  <c r="AC223" i="15"/>
  <c r="AD223" i="15"/>
  <c r="AE223" i="15"/>
  <c r="AF223" i="15"/>
  <c r="AG223" i="15"/>
  <c r="AH223" i="15"/>
  <c r="AI223" i="15"/>
  <c r="AJ223" i="15"/>
  <c r="AK223" i="15"/>
  <c r="AL223" i="15"/>
  <c r="AM223" i="15"/>
  <c r="AN223" i="15"/>
  <c r="AO223" i="15"/>
  <c r="AP223" i="15"/>
  <c r="AQ223" i="15"/>
  <c r="AR223" i="15"/>
  <c r="AS223" i="15"/>
  <c r="AT223" i="15"/>
  <c r="AU223" i="15"/>
  <c r="AV223" i="15"/>
  <c r="AW223" i="15"/>
  <c r="AX223" i="15"/>
  <c r="AY223" i="15"/>
  <c r="AZ223" i="15"/>
  <c r="BA223" i="15"/>
  <c r="BB223" i="15"/>
  <c r="BC223" i="15"/>
  <c r="C224" i="15"/>
  <c r="D224" i="15"/>
  <c r="E224" i="15"/>
  <c r="F224" i="15"/>
  <c r="G224" i="15"/>
  <c r="H224" i="15"/>
  <c r="I224" i="15"/>
  <c r="J224" i="15"/>
  <c r="K224" i="15"/>
  <c r="L224" i="15"/>
  <c r="M224" i="15"/>
  <c r="N224" i="15"/>
  <c r="O224" i="15"/>
  <c r="P224" i="15"/>
  <c r="Q224" i="15"/>
  <c r="V224" i="15"/>
  <c r="W224" i="15"/>
  <c r="X224" i="15"/>
  <c r="Y224" i="15"/>
  <c r="Z224" i="15"/>
  <c r="AA224" i="15"/>
  <c r="AB224" i="15"/>
  <c r="AC224" i="15"/>
  <c r="AD224" i="15"/>
  <c r="AE224" i="15"/>
  <c r="AF224" i="15"/>
  <c r="AG224" i="15"/>
  <c r="AH224" i="15"/>
  <c r="AI224" i="15"/>
  <c r="AJ224" i="15"/>
  <c r="AK224" i="15"/>
  <c r="AL224" i="15"/>
  <c r="AM224" i="15"/>
  <c r="AN224" i="15"/>
  <c r="AO224" i="15"/>
  <c r="AP224" i="15"/>
  <c r="AQ224" i="15"/>
  <c r="AR224" i="15"/>
  <c r="AS224" i="15"/>
  <c r="AT224" i="15"/>
  <c r="AU224" i="15"/>
  <c r="AV224" i="15"/>
  <c r="AW224" i="15"/>
  <c r="AX224" i="15"/>
  <c r="AY224" i="15"/>
  <c r="AZ224" i="15"/>
  <c r="BA224" i="15"/>
  <c r="BB224" i="15"/>
  <c r="BC224" i="15"/>
  <c r="C225" i="15"/>
  <c r="D225" i="15"/>
  <c r="E225" i="15"/>
  <c r="O225" i="15"/>
  <c r="V225" i="15"/>
  <c r="W225" i="15"/>
  <c r="X225" i="15"/>
  <c r="Y225" i="15"/>
  <c r="Z225" i="15"/>
  <c r="AA225" i="15"/>
  <c r="AB225" i="15"/>
  <c r="AC225" i="15"/>
  <c r="AX225" i="15"/>
  <c r="AY225" i="15"/>
  <c r="AZ225" i="15"/>
  <c r="BA225" i="15"/>
  <c r="BB225" i="15"/>
  <c r="BC225" i="15"/>
  <c r="C226" i="15"/>
  <c r="D226" i="15"/>
  <c r="E226" i="15"/>
  <c r="O226" i="15"/>
  <c r="V226" i="15"/>
  <c r="W226" i="15"/>
  <c r="X226" i="15"/>
  <c r="Y226" i="15"/>
  <c r="Z226" i="15"/>
  <c r="AA226" i="15"/>
  <c r="AB226" i="15"/>
  <c r="AC226" i="15"/>
  <c r="AX226" i="15"/>
  <c r="AY226" i="15"/>
  <c r="AZ226" i="15"/>
  <c r="BA226" i="15"/>
  <c r="BB226" i="15"/>
  <c r="BC226" i="15"/>
  <c r="C227" i="15"/>
  <c r="D227" i="15"/>
  <c r="E227" i="15"/>
  <c r="F227" i="15"/>
  <c r="G227" i="15"/>
  <c r="H227" i="15"/>
  <c r="I227" i="15"/>
  <c r="J227" i="15"/>
  <c r="K227" i="15"/>
  <c r="L227" i="15"/>
  <c r="M227" i="15"/>
  <c r="N227" i="15"/>
  <c r="O227" i="15"/>
  <c r="P227" i="15"/>
  <c r="V227" i="15"/>
  <c r="W227" i="15"/>
  <c r="X227" i="15"/>
  <c r="Y227" i="15"/>
  <c r="Z227" i="15"/>
  <c r="AA227" i="15"/>
  <c r="AB227" i="15"/>
  <c r="AC227" i="15"/>
  <c r="AD227" i="15"/>
  <c r="AE227" i="15"/>
  <c r="AF227" i="15"/>
  <c r="AG227" i="15"/>
  <c r="AH227" i="15"/>
  <c r="AI227" i="15"/>
  <c r="AJ227" i="15"/>
  <c r="AK227" i="15"/>
  <c r="AL227" i="15"/>
  <c r="AM227" i="15"/>
  <c r="AN227" i="15"/>
  <c r="AO227" i="15"/>
  <c r="AP227" i="15"/>
  <c r="AQ227" i="15"/>
  <c r="AR227" i="15"/>
  <c r="AS227" i="15"/>
  <c r="AT227" i="15"/>
  <c r="AU227" i="15"/>
  <c r="AV227" i="15"/>
  <c r="AW227" i="15"/>
  <c r="AX227" i="15"/>
  <c r="AY227" i="15"/>
  <c r="AZ227" i="15"/>
  <c r="BA227" i="15"/>
  <c r="BB227" i="15"/>
  <c r="BC227" i="15"/>
  <c r="C230" i="15"/>
  <c r="C138" i="15" s="1"/>
  <c r="D230" i="15"/>
  <c r="D138" i="15" s="1"/>
  <c r="E230" i="15"/>
  <c r="E138" i="15" s="1"/>
  <c r="F230" i="15"/>
  <c r="F138" i="15" s="1"/>
  <c r="G230" i="15"/>
  <c r="G138" i="15" s="1"/>
  <c r="H230" i="15"/>
  <c r="H138" i="15" s="1"/>
  <c r="I230" i="15"/>
  <c r="I138" i="15" s="1"/>
  <c r="J230" i="15"/>
  <c r="J138" i="15" s="1"/>
  <c r="K230" i="15"/>
  <c r="K138" i="15" s="1"/>
  <c r="L230" i="15"/>
  <c r="L138" i="15" s="1"/>
  <c r="M230" i="15"/>
  <c r="M138" i="15" s="1"/>
  <c r="N230" i="15"/>
  <c r="N138" i="15" s="1"/>
  <c r="O230" i="15"/>
  <c r="O138" i="15" s="1"/>
  <c r="P230" i="15"/>
  <c r="P138" i="15" s="1"/>
  <c r="Q230" i="15"/>
  <c r="Q138" i="15" s="1"/>
  <c r="S230" i="15"/>
  <c r="S138" i="15" s="1"/>
  <c r="T230" i="15"/>
  <c r="T138" i="15" s="1"/>
  <c r="U230" i="15"/>
  <c r="U138" i="15" s="1"/>
  <c r="V230" i="15"/>
  <c r="V138" i="15" s="1"/>
  <c r="W230" i="15"/>
  <c r="W138" i="15" s="1"/>
  <c r="X230" i="15"/>
  <c r="X138" i="15" s="1"/>
  <c r="Y230" i="15"/>
  <c r="Z230" i="15"/>
  <c r="AA230" i="15"/>
  <c r="AA138" i="15" s="1"/>
  <c r="AB230" i="15"/>
  <c r="AB138" i="15" s="1"/>
  <c r="AC230" i="15"/>
  <c r="AC138" i="15" s="1"/>
  <c r="AD230" i="15"/>
  <c r="AD138" i="15" s="1"/>
  <c r="AE230" i="15"/>
  <c r="AE138" i="15" s="1"/>
  <c r="AF230" i="15"/>
  <c r="AF138" i="15" s="1"/>
  <c r="AG230" i="15"/>
  <c r="AG138" i="15" s="1"/>
  <c r="AH230" i="15"/>
  <c r="AH138" i="15" s="1"/>
  <c r="AI230" i="15"/>
  <c r="AI138" i="15" s="1"/>
  <c r="AJ230" i="15"/>
  <c r="AJ138" i="15" s="1"/>
  <c r="AK230" i="15"/>
  <c r="AK138" i="15" s="1"/>
  <c r="AL230" i="15"/>
  <c r="AL138" i="15" s="1"/>
  <c r="AM230" i="15"/>
  <c r="AM138" i="15" s="1"/>
  <c r="AN230" i="15"/>
  <c r="AN138" i="15" s="1"/>
  <c r="AO230" i="15"/>
  <c r="AO138" i="15" s="1"/>
  <c r="AP230" i="15"/>
  <c r="AP138" i="15" s="1"/>
  <c r="AQ230" i="15"/>
  <c r="AQ138" i="15" s="1"/>
  <c r="AR230" i="15"/>
  <c r="AR138" i="15" s="1"/>
  <c r="AS230" i="15"/>
  <c r="AS138" i="15" s="1"/>
  <c r="AT230" i="15"/>
  <c r="AT138" i="15" s="1"/>
  <c r="AU230" i="15"/>
  <c r="AU138" i="15" s="1"/>
  <c r="AV230" i="15"/>
  <c r="AV138" i="15" s="1"/>
  <c r="AW230" i="15"/>
  <c r="AW138" i="15" s="1"/>
  <c r="AX230" i="15"/>
  <c r="AX138" i="15" s="1"/>
  <c r="AY230" i="15"/>
  <c r="AY138" i="15" s="1"/>
  <c r="AZ230" i="15"/>
  <c r="AZ138" i="15" s="1"/>
  <c r="BA230" i="15"/>
  <c r="BA138" i="15" s="1"/>
  <c r="BB230" i="15"/>
  <c r="BB138" i="15" s="1"/>
  <c r="BC230" i="15"/>
  <c r="BC138" i="15" s="1"/>
  <c r="AB231" i="15"/>
  <c r="AB232" i="15"/>
  <c r="B233" i="15"/>
  <c r="C233" i="15"/>
  <c r="D233" i="15"/>
  <c r="E233" i="15"/>
  <c r="O233" i="15"/>
  <c r="S233" i="15"/>
  <c r="T233" i="15"/>
  <c r="U233" i="15"/>
  <c r="V233" i="15"/>
  <c r="W233" i="15"/>
  <c r="X233" i="15"/>
  <c r="Y233" i="15"/>
  <c r="Z233" i="15"/>
  <c r="AA233" i="15"/>
  <c r="AB233" i="15"/>
  <c r="AC233" i="15"/>
  <c r="AQ233" i="15"/>
  <c r="AR233" i="15"/>
  <c r="AU233" i="15"/>
  <c r="AV233" i="15"/>
  <c r="AW233" i="15"/>
  <c r="AX233" i="15"/>
  <c r="AY233" i="15"/>
  <c r="AZ233" i="15"/>
  <c r="BA233" i="15"/>
  <c r="BB233" i="15"/>
  <c r="BC233" i="15"/>
  <c r="B234" i="15"/>
  <c r="D234" i="15"/>
  <c r="E234" i="15"/>
  <c r="W234" i="15"/>
  <c r="X234" i="15"/>
  <c r="Y234" i="15"/>
  <c r="Z234" i="15"/>
  <c r="AA234" i="15"/>
  <c r="AB234" i="15"/>
  <c r="AC234" i="15"/>
  <c r="AU234" i="15"/>
  <c r="AV234" i="15"/>
  <c r="AY234" i="15"/>
  <c r="AZ234" i="15"/>
  <c r="BA234" i="15"/>
  <c r="BB234" i="15"/>
  <c r="BC234" i="15"/>
  <c r="B239" i="15"/>
  <c r="C239" i="15"/>
  <c r="D239" i="15"/>
  <c r="E239" i="15"/>
  <c r="O239" i="15"/>
  <c r="S239" i="15"/>
  <c r="T239" i="15"/>
  <c r="U239" i="15"/>
  <c r="V239" i="15"/>
  <c r="W239" i="15"/>
  <c r="X239" i="15"/>
  <c r="Y239" i="15"/>
  <c r="Z239" i="15"/>
  <c r="AA239" i="15"/>
  <c r="AB239" i="15"/>
  <c r="AC239" i="15"/>
  <c r="AQ239" i="15"/>
  <c r="AR239" i="15"/>
  <c r="AU239" i="15"/>
  <c r="AV239" i="15"/>
  <c r="AW239" i="15"/>
  <c r="AX239" i="15"/>
  <c r="AY239" i="15"/>
  <c r="AZ239" i="15"/>
  <c r="BA239" i="15"/>
  <c r="BB239" i="15"/>
  <c r="BC239" i="15"/>
  <c r="B240" i="15"/>
  <c r="D240" i="15"/>
  <c r="E240" i="15"/>
  <c r="W240" i="15"/>
  <c r="X240" i="15"/>
  <c r="Y240" i="15"/>
  <c r="Z240" i="15"/>
  <c r="AA240" i="15"/>
  <c r="AB240" i="15"/>
  <c r="AC240" i="15"/>
  <c r="AU240" i="15"/>
  <c r="AV240" i="15"/>
  <c r="AY240" i="15"/>
  <c r="AZ240" i="15"/>
  <c r="BA240" i="15"/>
  <c r="BB240" i="15"/>
  <c r="BC240" i="15"/>
  <c r="B241" i="15"/>
  <c r="C241" i="15"/>
  <c r="D241" i="15"/>
  <c r="E241" i="15"/>
  <c r="O241" i="15"/>
  <c r="S241" i="15"/>
  <c r="T241" i="15"/>
  <c r="U241" i="15"/>
  <c r="V241" i="15"/>
  <c r="W241" i="15"/>
  <c r="X241" i="15"/>
  <c r="Y241" i="15"/>
  <c r="Z241" i="15"/>
  <c r="AA241" i="15"/>
  <c r="AB241" i="15"/>
  <c r="AC241" i="15"/>
  <c r="AQ241" i="15"/>
  <c r="AR241" i="15"/>
  <c r="AU241" i="15"/>
  <c r="AV241" i="15"/>
  <c r="AW241" i="15"/>
  <c r="AX241" i="15"/>
  <c r="AY241" i="15"/>
  <c r="AZ241" i="15"/>
  <c r="BA241" i="15"/>
  <c r="BB241" i="15"/>
  <c r="BC241" i="15"/>
  <c r="B243" i="15"/>
  <c r="C243" i="15"/>
  <c r="D243" i="15"/>
  <c r="E243" i="15"/>
  <c r="O243" i="15"/>
  <c r="S243" i="15"/>
  <c r="T243" i="15"/>
  <c r="U243" i="15"/>
  <c r="V243" i="15"/>
  <c r="W243" i="15"/>
  <c r="X243" i="15"/>
  <c r="Y243" i="15"/>
  <c r="Z243" i="15"/>
  <c r="AA243" i="15"/>
  <c r="AB243" i="15"/>
  <c r="AC243" i="15"/>
  <c r="AQ243" i="15"/>
  <c r="AR243" i="15"/>
  <c r="AU243" i="15"/>
  <c r="AV243" i="15"/>
  <c r="AW243" i="15"/>
  <c r="AX243" i="15"/>
  <c r="AY243" i="15"/>
  <c r="AZ243" i="15"/>
  <c r="BA243" i="15"/>
  <c r="BB243" i="15"/>
  <c r="BC243" i="15"/>
  <c r="B244" i="15"/>
  <c r="C244" i="15"/>
  <c r="D244" i="15"/>
  <c r="E244" i="15"/>
  <c r="O244" i="15"/>
  <c r="S244" i="15"/>
  <c r="T244" i="15"/>
  <c r="U244" i="15"/>
  <c r="V244" i="15"/>
  <c r="W244" i="15"/>
  <c r="X244" i="15"/>
  <c r="Y244" i="15"/>
  <c r="Z244" i="15"/>
  <c r="AA244" i="15"/>
  <c r="AB244" i="15"/>
  <c r="AC244" i="15"/>
  <c r="AQ244" i="15"/>
  <c r="AR244" i="15"/>
  <c r="AU244" i="15"/>
  <c r="AV244" i="15"/>
  <c r="AW244" i="15"/>
  <c r="AX244" i="15"/>
  <c r="AY244" i="15"/>
  <c r="AZ244" i="15"/>
  <c r="BA244" i="15"/>
  <c r="BB244" i="15"/>
  <c r="BC244" i="15"/>
  <c r="B245" i="15"/>
  <c r="C245" i="15"/>
  <c r="D245" i="15"/>
  <c r="E245" i="15"/>
  <c r="O245" i="15"/>
  <c r="S245" i="15"/>
  <c r="T245" i="15"/>
  <c r="U245" i="15"/>
  <c r="V245" i="15"/>
  <c r="W245" i="15"/>
  <c r="X245" i="15"/>
  <c r="Y245" i="15"/>
  <c r="Z245" i="15"/>
  <c r="AA245" i="15"/>
  <c r="AB245" i="15"/>
  <c r="AC245" i="15"/>
  <c r="AQ245" i="15"/>
  <c r="AR245" i="15"/>
  <c r="AU245" i="15"/>
  <c r="AV245" i="15"/>
  <c r="AW245" i="15"/>
  <c r="AX245" i="15"/>
  <c r="AY245" i="15"/>
  <c r="AZ245" i="15"/>
  <c r="BA245" i="15"/>
  <c r="BB245" i="15"/>
  <c r="BC245" i="15"/>
  <c r="B246" i="15"/>
  <c r="C246" i="15"/>
  <c r="D246" i="15"/>
  <c r="E246" i="15"/>
  <c r="O246" i="15"/>
  <c r="S246" i="15"/>
  <c r="T246" i="15"/>
  <c r="U246" i="15"/>
  <c r="V246" i="15"/>
  <c r="W246" i="15"/>
  <c r="X246" i="15"/>
  <c r="Y246" i="15"/>
  <c r="Z246" i="15"/>
  <c r="AA246" i="15"/>
  <c r="AB246" i="15"/>
  <c r="AC246" i="15"/>
  <c r="AQ246" i="15"/>
  <c r="AR246" i="15"/>
  <c r="AU246" i="15"/>
  <c r="AV246" i="15"/>
  <c r="AW246" i="15"/>
  <c r="AX246" i="15"/>
  <c r="AY246" i="15"/>
  <c r="AZ246" i="15"/>
  <c r="BA246" i="15"/>
  <c r="BB246" i="15"/>
  <c r="BC246" i="15"/>
  <c r="B247" i="15"/>
  <c r="C247" i="15"/>
  <c r="D247" i="15"/>
  <c r="E247" i="15"/>
  <c r="O247" i="15"/>
  <c r="S247" i="15"/>
  <c r="T247" i="15"/>
  <c r="U247" i="15"/>
  <c r="V247" i="15"/>
  <c r="W247" i="15"/>
  <c r="X247" i="15"/>
  <c r="Y247" i="15"/>
  <c r="Z247" i="15"/>
  <c r="AA247" i="15"/>
  <c r="AB247" i="15"/>
  <c r="AC247" i="15"/>
  <c r="AQ247" i="15"/>
  <c r="AR247" i="15"/>
  <c r="AU247" i="15"/>
  <c r="AV247" i="15"/>
  <c r="AW247" i="15"/>
  <c r="AX247" i="15"/>
  <c r="AY247" i="15"/>
  <c r="AZ247" i="15"/>
  <c r="BA247" i="15"/>
  <c r="BB247" i="15"/>
  <c r="BC247" i="15"/>
  <c r="B248" i="15"/>
  <c r="C248" i="15"/>
  <c r="D248" i="15"/>
  <c r="E248" i="15"/>
  <c r="O248" i="15"/>
  <c r="S248" i="15"/>
  <c r="T248" i="15"/>
  <c r="U248" i="15"/>
  <c r="V248" i="15"/>
  <c r="W248" i="15"/>
  <c r="X248" i="15"/>
  <c r="Y248" i="15"/>
  <c r="Z248" i="15"/>
  <c r="AA248" i="15"/>
  <c r="AB248" i="15"/>
  <c r="AC248" i="15"/>
  <c r="AQ248" i="15"/>
  <c r="AR248" i="15"/>
  <c r="AU248" i="15"/>
  <c r="AV248" i="15"/>
  <c r="AW248" i="15"/>
  <c r="AX248" i="15"/>
  <c r="AY248" i="15"/>
  <c r="AZ248" i="15"/>
  <c r="BA248" i="15"/>
  <c r="BB248" i="15"/>
  <c r="BC248" i="15"/>
  <c r="B249" i="15"/>
  <c r="C249" i="15"/>
  <c r="D249" i="15"/>
  <c r="E249" i="15"/>
  <c r="O249" i="15"/>
  <c r="S249" i="15"/>
  <c r="T249" i="15"/>
  <c r="U249" i="15"/>
  <c r="V249" i="15"/>
  <c r="W249" i="15"/>
  <c r="X249" i="15"/>
  <c r="Y249" i="15"/>
  <c r="Z249" i="15"/>
  <c r="AA249" i="15"/>
  <c r="AB249" i="15"/>
  <c r="AC249" i="15"/>
  <c r="AQ249" i="15"/>
  <c r="AR249" i="15"/>
  <c r="AU249" i="15"/>
  <c r="AV249" i="15"/>
  <c r="AW249" i="15"/>
  <c r="AX249" i="15"/>
  <c r="AY249" i="15"/>
  <c r="AZ249" i="15"/>
  <c r="BA249" i="15"/>
  <c r="BB249" i="15"/>
  <c r="BC249" i="15"/>
  <c r="B250" i="15"/>
  <c r="C250" i="15"/>
  <c r="D250" i="15"/>
  <c r="E250" i="15"/>
  <c r="O250" i="15"/>
  <c r="S250" i="15"/>
  <c r="T250" i="15"/>
  <c r="U250" i="15"/>
  <c r="V250" i="15"/>
  <c r="W250" i="15"/>
  <c r="X250" i="15"/>
  <c r="Y250" i="15"/>
  <c r="Z250" i="15"/>
  <c r="AA250" i="15"/>
  <c r="AB250" i="15"/>
  <c r="AC250" i="15"/>
  <c r="AQ250" i="15"/>
  <c r="AR250" i="15"/>
  <c r="AU250" i="15"/>
  <c r="AV250" i="15"/>
  <c r="AW250" i="15"/>
  <c r="AX250" i="15"/>
  <c r="AY250" i="15"/>
  <c r="AZ250" i="15"/>
  <c r="BA250" i="15"/>
  <c r="BB250" i="15"/>
  <c r="BC250" i="15"/>
  <c r="B251" i="15"/>
  <c r="C251" i="15"/>
  <c r="D251" i="15"/>
  <c r="E251" i="15"/>
  <c r="O251" i="15"/>
  <c r="S251" i="15"/>
  <c r="T251" i="15"/>
  <c r="U251" i="15"/>
  <c r="V251" i="15"/>
  <c r="W251" i="15"/>
  <c r="X251" i="15"/>
  <c r="Y251" i="15"/>
  <c r="Z251" i="15"/>
  <c r="AA251" i="15"/>
  <c r="AB251" i="15"/>
  <c r="AC251" i="15"/>
  <c r="AQ251" i="15"/>
  <c r="AR251" i="15"/>
  <c r="AU251" i="15"/>
  <c r="AV251" i="15"/>
  <c r="AW251" i="15"/>
  <c r="AX251" i="15"/>
  <c r="AY251" i="15"/>
  <c r="AZ251" i="15"/>
  <c r="BA251" i="15"/>
  <c r="BB251" i="15"/>
  <c r="BC251" i="15"/>
  <c r="B252" i="15"/>
  <c r="C252" i="15"/>
  <c r="D252" i="15"/>
  <c r="E252" i="15"/>
  <c r="O252" i="15"/>
  <c r="S252" i="15"/>
  <c r="T252" i="15"/>
  <c r="U252" i="15"/>
  <c r="V252" i="15"/>
  <c r="W252" i="15"/>
  <c r="X252" i="15"/>
  <c r="Y252" i="15"/>
  <c r="Z252" i="15"/>
  <c r="AA252" i="15"/>
  <c r="AB252" i="15"/>
  <c r="AC252" i="15"/>
  <c r="AQ252" i="15"/>
  <c r="AR252" i="15"/>
  <c r="AU252" i="15"/>
  <c r="AV252" i="15"/>
  <c r="AW252" i="15"/>
  <c r="AX252" i="15"/>
  <c r="AY252" i="15"/>
  <c r="AZ252" i="15"/>
  <c r="BA252" i="15"/>
  <c r="BB252" i="15"/>
  <c r="BC252" i="15"/>
  <c r="B253" i="15"/>
  <c r="C253" i="15"/>
  <c r="D253" i="15"/>
  <c r="E253" i="15"/>
  <c r="O253" i="15"/>
  <c r="S253" i="15"/>
  <c r="T253" i="15"/>
  <c r="U253" i="15"/>
  <c r="V253" i="15"/>
  <c r="W253" i="15"/>
  <c r="X253" i="15"/>
  <c r="Y253" i="15"/>
  <c r="Z253" i="15"/>
  <c r="AA253" i="15"/>
  <c r="AB253" i="15"/>
  <c r="AC253" i="15"/>
  <c r="AQ253" i="15"/>
  <c r="AR253" i="15"/>
  <c r="AU253" i="15"/>
  <c r="AV253" i="15"/>
  <c r="AW253" i="15"/>
  <c r="AX253" i="15"/>
  <c r="AY253" i="15"/>
  <c r="AZ253" i="15"/>
  <c r="BA253" i="15"/>
  <c r="BB253" i="15"/>
  <c r="BC253" i="15"/>
  <c r="B254" i="15"/>
  <c r="C254" i="15"/>
  <c r="D254" i="15"/>
  <c r="E254" i="15"/>
  <c r="O254" i="15"/>
  <c r="S254" i="15"/>
  <c r="T254" i="15"/>
  <c r="U254" i="15"/>
  <c r="V254" i="15"/>
  <c r="W254" i="15"/>
  <c r="X254" i="15"/>
  <c r="Y254" i="15"/>
  <c r="Z254" i="15"/>
  <c r="AA254" i="15"/>
  <c r="AB254" i="15"/>
  <c r="AC254" i="15"/>
  <c r="AQ254" i="15"/>
  <c r="AR254" i="15"/>
  <c r="AU254" i="15"/>
  <c r="AV254" i="15"/>
  <c r="AW254" i="15"/>
  <c r="AX254" i="15"/>
  <c r="AY254" i="15"/>
  <c r="AZ254" i="15"/>
  <c r="BA254" i="15"/>
  <c r="BB254" i="15"/>
  <c r="BC254" i="15"/>
  <c r="B255" i="15"/>
  <c r="C255" i="15"/>
  <c r="D255" i="15"/>
  <c r="E255" i="15"/>
  <c r="O255" i="15"/>
  <c r="S255" i="15"/>
  <c r="T255" i="15"/>
  <c r="U255" i="15"/>
  <c r="V255" i="15"/>
  <c r="W255" i="15"/>
  <c r="X255" i="15"/>
  <c r="Y255" i="15"/>
  <c r="Z255" i="15"/>
  <c r="AA255" i="15"/>
  <c r="AB255" i="15"/>
  <c r="AC255" i="15"/>
  <c r="AQ255" i="15"/>
  <c r="AR255" i="15"/>
  <c r="AU255" i="15"/>
  <c r="AV255" i="15"/>
  <c r="AW255" i="15"/>
  <c r="AX255" i="15"/>
  <c r="AY255" i="15"/>
  <c r="AZ255" i="15"/>
  <c r="BA255" i="15"/>
  <c r="BB255" i="15"/>
  <c r="BC255" i="15"/>
  <c r="B256" i="15"/>
  <c r="C256" i="15"/>
  <c r="D256" i="15"/>
  <c r="E256" i="15"/>
  <c r="O256" i="15"/>
  <c r="S256" i="15"/>
  <c r="T256" i="15"/>
  <c r="U256" i="15"/>
  <c r="V256" i="15"/>
  <c r="W256" i="15"/>
  <c r="X256" i="15"/>
  <c r="Y256" i="15"/>
  <c r="Z256" i="15"/>
  <c r="AA256" i="15"/>
  <c r="AB256" i="15"/>
  <c r="AC256" i="15"/>
  <c r="AQ256" i="15"/>
  <c r="AR256" i="15"/>
  <c r="AU256" i="15"/>
  <c r="AV256" i="15"/>
  <c r="AW256" i="15"/>
  <c r="AX256" i="15"/>
  <c r="AY256" i="15"/>
  <c r="AZ256" i="15"/>
  <c r="BA256" i="15"/>
  <c r="BB256" i="15"/>
  <c r="BC256" i="15"/>
  <c r="B257" i="15"/>
  <c r="C257" i="15"/>
  <c r="D257" i="15"/>
  <c r="E257" i="15"/>
  <c r="O257" i="15"/>
  <c r="S257" i="15"/>
  <c r="T257" i="15"/>
  <c r="U257" i="15"/>
  <c r="V257" i="15"/>
  <c r="W257" i="15"/>
  <c r="X257" i="15"/>
  <c r="Y257" i="15"/>
  <c r="Z257" i="15"/>
  <c r="AA257" i="15"/>
  <c r="AB257" i="15"/>
  <c r="AC257" i="15"/>
  <c r="AQ257" i="15"/>
  <c r="AR257" i="15"/>
  <c r="AU257" i="15"/>
  <c r="AV257" i="15"/>
  <c r="AW257" i="15"/>
  <c r="AX257" i="15"/>
  <c r="AY257" i="15"/>
  <c r="AZ257" i="15"/>
  <c r="BA257" i="15"/>
  <c r="BB257" i="15"/>
  <c r="BC257" i="15"/>
  <c r="B258" i="15"/>
  <c r="C258" i="15"/>
  <c r="D258" i="15"/>
  <c r="E258" i="15"/>
  <c r="O258" i="15"/>
  <c r="S258" i="15"/>
  <c r="T258" i="15"/>
  <c r="U258" i="15"/>
  <c r="V258" i="15"/>
  <c r="W258" i="15"/>
  <c r="X258" i="15"/>
  <c r="Y258" i="15"/>
  <c r="Z258" i="15"/>
  <c r="AA258" i="15"/>
  <c r="AB258" i="15"/>
  <c r="AC258" i="15"/>
  <c r="AQ258" i="15"/>
  <c r="AR258" i="15"/>
  <c r="AU258" i="15"/>
  <c r="AV258" i="15"/>
  <c r="AW258" i="15"/>
  <c r="AX258" i="15"/>
  <c r="AY258" i="15"/>
  <c r="AZ258" i="15"/>
  <c r="BA258" i="15"/>
  <c r="BB258" i="15"/>
  <c r="BC258" i="15"/>
  <c r="B259" i="15"/>
  <c r="C259" i="15"/>
  <c r="D259" i="15"/>
  <c r="E259" i="15"/>
  <c r="O259" i="15"/>
  <c r="S259" i="15"/>
  <c r="T259" i="15"/>
  <c r="U259" i="15"/>
  <c r="V259" i="15"/>
  <c r="W259" i="15"/>
  <c r="X259" i="15"/>
  <c r="Y259" i="15"/>
  <c r="Z259" i="15"/>
  <c r="AA259" i="15"/>
  <c r="AB259" i="15"/>
  <c r="AC259" i="15"/>
  <c r="AQ259" i="15"/>
  <c r="AR259" i="15"/>
  <c r="AU259" i="15"/>
  <c r="AV259" i="15"/>
  <c r="AW259" i="15"/>
  <c r="AX259" i="15"/>
  <c r="AY259" i="15"/>
  <c r="AZ259" i="15"/>
  <c r="BA259" i="15"/>
  <c r="BB259" i="15"/>
  <c r="BC259" i="15"/>
  <c r="B260" i="15"/>
  <c r="C260" i="15"/>
  <c r="D260" i="15"/>
  <c r="E260" i="15"/>
  <c r="O260" i="15"/>
  <c r="S260" i="15"/>
  <c r="T260" i="15"/>
  <c r="U260" i="15"/>
  <c r="W260" i="15"/>
  <c r="X260" i="15"/>
  <c r="Y260" i="15"/>
  <c r="Z260" i="15"/>
  <c r="AA260" i="15"/>
  <c r="AB260" i="15"/>
  <c r="AC260" i="15"/>
  <c r="AQ260" i="15"/>
  <c r="AR260" i="15"/>
  <c r="AU260" i="15"/>
  <c r="AV260" i="15"/>
  <c r="AW260" i="15"/>
  <c r="AY260" i="15"/>
  <c r="AZ260" i="15"/>
  <c r="BA260" i="15"/>
  <c r="BC260" i="15"/>
  <c r="B261" i="15"/>
  <c r="C261" i="15"/>
  <c r="D261" i="15"/>
  <c r="E261" i="15"/>
  <c r="O261" i="15"/>
  <c r="S261" i="15"/>
  <c r="T261" i="15"/>
  <c r="U261" i="15"/>
  <c r="W261" i="15"/>
  <c r="X261" i="15"/>
  <c r="Y261" i="15"/>
  <c r="Z261" i="15"/>
  <c r="AA261" i="15"/>
  <c r="AB261" i="15"/>
  <c r="AC261" i="15"/>
  <c r="AQ261" i="15"/>
  <c r="AR261" i="15"/>
  <c r="AU261" i="15"/>
  <c r="AV261" i="15"/>
  <c r="AW261" i="15"/>
  <c r="AY261" i="15"/>
  <c r="AZ261" i="15"/>
  <c r="BA261" i="15"/>
  <c r="BC261" i="15"/>
  <c r="C263" i="15"/>
  <c r="D263" i="15"/>
  <c r="E263" i="15"/>
  <c r="F263" i="15"/>
  <c r="G263" i="15"/>
  <c r="H263" i="15"/>
  <c r="I263" i="15"/>
  <c r="J263" i="15"/>
  <c r="K263" i="15"/>
  <c r="L263" i="15"/>
  <c r="M263" i="15"/>
  <c r="N263" i="15"/>
  <c r="O263" i="15"/>
  <c r="P263" i="15"/>
  <c r="S263" i="15"/>
  <c r="T263" i="15"/>
  <c r="U263" i="15"/>
  <c r="V263" i="15"/>
  <c r="W263" i="15"/>
  <c r="X263" i="15"/>
  <c r="Y263" i="15"/>
  <c r="Z263" i="15"/>
  <c r="AA263" i="15"/>
  <c r="AB263" i="15"/>
  <c r="AC263" i="15"/>
  <c r="AD263" i="15"/>
  <c r="AE263" i="15"/>
  <c r="AF263" i="15"/>
  <c r="AG263" i="15"/>
  <c r="AH263" i="15"/>
  <c r="AI263" i="15"/>
  <c r="AJ263" i="15"/>
  <c r="AK263" i="15"/>
  <c r="AL263" i="15"/>
  <c r="AM263" i="15"/>
  <c r="AN263" i="15"/>
  <c r="AO263" i="15"/>
  <c r="AP263" i="15"/>
  <c r="AQ263" i="15"/>
  <c r="AR263" i="15"/>
  <c r="AS263" i="15"/>
  <c r="AT263" i="15"/>
  <c r="AU263" i="15"/>
  <c r="AV263" i="15"/>
  <c r="AW263" i="15"/>
  <c r="AX263" i="15"/>
  <c r="AY263" i="15"/>
  <c r="AZ263" i="15"/>
  <c r="BA263" i="15"/>
  <c r="BB263" i="15"/>
  <c r="BC263" i="15"/>
  <c r="C265" i="15"/>
  <c r="D265" i="15"/>
  <c r="E265" i="15"/>
  <c r="F265" i="15"/>
  <c r="G265" i="15"/>
  <c r="H265" i="15"/>
  <c r="I265" i="15"/>
  <c r="J265" i="15"/>
  <c r="K265" i="15"/>
  <c r="L265" i="15"/>
  <c r="M265" i="15"/>
  <c r="N265" i="15"/>
  <c r="O265" i="15"/>
  <c r="P265" i="15"/>
  <c r="S265" i="15"/>
  <c r="T265" i="15"/>
  <c r="U265" i="15"/>
  <c r="V265" i="15"/>
  <c r="W265" i="15"/>
  <c r="X265" i="15"/>
  <c r="Y265" i="15"/>
  <c r="Z265" i="15"/>
  <c r="AA265" i="15"/>
  <c r="AB265" i="15"/>
  <c r="AC265" i="15"/>
  <c r="AD265" i="15"/>
  <c r="AE265" i="15"/>
  <c r="AF265" i="15"/>
  <c r="AG265" i="15"/>
  <c r="AH265" i="15"/>
  <c r="AI265" i="15"/>
  <c r="AJ265" i="15"/>
  <c r="AK265" i="15"/>
  <c r="AL265" i="15"/>
  <c r="AM265" i="15"/>
  <c r="AN265" i="15"/>
  <c r="AO265" i="15"/>
  <c r="AP265" i="15"/>
  <c r="AQ265" i="15"/>
  <c r="AR265" i="15"/>
  <c r="AS265" i="15"/>
  <c r="AT265" i="15"/>
  <c r="AU265" i="15"/>
  <c r="AV265" i="15"/>
  <c r="AW265" i="15"/>
  <c r="AX265" i="15"/>
  <c r="AY265" i="15"/>
  <c r="AZ265" i="15"/>
  <c r="BA265" i="15"/>
  <c r="BB265" i="15"/>
  <c r="BC265" i="15"/>
  <c r="C266" i="15"/>
  <c r="D266" i="15"/>
  <c r="E266" i="15"/>
  <c r="F266" i="15"/>
  <c r="G266" i="15"/>
  <c r="H266" i="15"/>
  <c r="I266" i="15"/>
  <c r="J266" i="15"/>
  <c r="K266" i="15"/>
  <c r="L266" i="15"/>
  <c r="M266" i="15"/>
  <c r="N266" i="15"/>
  <c r="O266" i="15"/>
  <c r="P266" i="15"/>
  <c r="Q266" i="15"/>
  <c r="S266" i="15"/>
  <c r="T266" i="15"/>
  <c r="U266" i="15"/>
  <c r="V266" i="15"/>
  <c r="W266" i="15"/>
  <c r="X266" i="15"/>
  <c r="Y266" i="15"/>
  <c r="Z266" i="15"/>
  <c r="AA266" i="15"/>
  <c r="AB266" i="15"/>
  <c r="AC266" i="15"/>
  <c r="AD266" i="15"/>
  <c r="AE266" i="15"/>
  <c r="AF266" i="15"/>
  <c r="AG266" i="15"/>
  <c r="AH266" i="15"/>
  <c r="AI266" i="15"/>
  <c r="AJ266" i="15"/>
  <c r="AK266" i="15"/>
  <c r="AL266" i="15"/>
  <c r="AM266" i="15"/>
  <c r="AN266" i="15"/>
  <c r="AO266" i="15"/>
  <c r="AP266" i="15"/>
  <c r="AQ266" i="15"/>
  <c r="AR266" i="15"/>
  <c r="AS266" i="15"/>
  <c r="AT266" i="15"/>
  <c r="AU266" i="15"/>
  <c r="AV266" i="15"/>
  <c r="AW266" i="15"/>
  <c r="AX266" i="15"/>
  <c r="AY266" i="15"/>
  <c r="AZ266" i="15"/>
  <c r="BA266" i="15"/>
  <c r="BB266" i="15"/>
  <c r="BC266" i="15"/>
  <c r="C268" i="15"/>
  <c r="D268" i="15"/>
  <c r="E268" i="15"/>
  <c r="F268" i="15"/>
  <c r="G268" i="15"/>
  <c r="H268" i="15"/>
  <c r="I268" i="15"/>
  <c r="J268" i="15"/>
  <c r="K268" i="15"/>
  <c r="L268" i="15"/>
  <c r="M268" i="15"/>
  <c r="N268" i="15"/>
  <c r="O268" i="15"/>
  <c r="P268" i="15"/>
  <c r="Q268" i="15"/>
  <c r="S268" i="15"/>
  <c r="T268" i="15"/>
  <c r="U268" i="15"/>
  <c r="V268" i="15"/>
  <c r="W268" i="15"/>
  <c r="X268" i="15"/>
  <c r="Y268" i="15"/>
  <c r="Z268" i="15"/>
  <c r="AA268" i="15"/>
  <c r="AB268" i="15"/>
  <c r="AC268" i="15"/>
  <c r="AD268" i="15"/>
  <c r="AE268" i="15"/>
  <c r="AF268" i="15"/>
  <c r="AG268" i="15"/>
  <c r="AH268" i="15"/>
  <c r="AI268" i="15"/>
  <c r="AJ268" i="15"/>
  <c r="AK268" i="15"/>
  <c r="AL268" i="15"/>
  <c r="AM268" i="15"/>
  <c r="AN268" i="15"/>
  <c r="AO268" i="15"/>
  <c r="AP268" i="15"/>
  <c r="AQ268" i="15"/>
  <c r="AR268" i="15"/>
  <c r="AS268" i="15"/>
  <c r="AT268" i="15"/>
  <c r="AU268" i="15"/>
  <c r="AV268" i="15"/>
  <c r="AW268" i="15"/>
  <c r="AX268" i="15"/>
  <c r="AY268" i="15"/>
  <c r="AZ268" i="15"/>
  <c r="BA268" i="15"/>
  <c r="BB268" i="15"/>
  <c r="BC268" i="15"/>
  <c r="C270" i="15"/>
  <c r="D270" i="15"/>
  <c r="E270" i="15"/>
  <c r="F270" i="15"/>
  <c r="G270" i="15"/>
  <c r="H270" i="15"/>
  <c r="I270" i="15"/>
  <c r="J270" i="15"/>
  <c r="K270" i="15"/>
  <c r="L270" i="15"/>
  <c r="M270" i="15"/>
  <c r="N270" i="15"/>
  <c r="O270" i="15"/>
  <c r="P270" i="15"/>
  <c r="Q270" i="15"/>
  <c r="S270" i="15"/>
  <c r="T270" i="15"/>
  <c r="U270" i="15"/>
  <c r="V270" i="15"/>
  <c r="W270" i="15"/>
  <c r="X270" i="15"/>
  <c r="Y270" i="15"/>
  <c r="Z270" i="15"/>
  <c r="AA270" i="15"/>
  <c r="AB270" i="15"/>
  <c r="AC270" i="15"/>
  <c r="AD270" i="15"/>
  <c r="AE270" i="15"/>
  <c r="AF270" i="15"/>
  <c r="AG270" i="15"/>
  <c r="AH270" i="15"/>
  <c r="AI270" i="15"/>
  <c r="AJ270" i="15"/>
  <c r="AK270" i="15"/>
  <c r="AL270" i="15"/>
  <c r="AM270" i="15"/>
  <c r="AN270" i="15"/>
  <c r="AO270" i="15"/>
  <c r="AP270" i="15"/>
  <c r="AQ270" i="15"/>
  <c r="AR270" i="15"/>
  <c r="AS270" i="15"/>
  <c r="AT270" i="15"/>
  <c r="AU270" i="15"/>
  <c r="AV270" i="15"/>
  <c r="AW270" i="15"/>
  <c r="AX270" i="15"/>
  <c r="AY270" i="15"/>
  <c r="AZ270" i="15"/>
  <c r="BA270" i="15"/>
  <c r="BB270" i="15"/>
  <c r="BC270" i="15"/>
  <c r="C272" i="15"/>
  <c r="D272" i="15"/>
  <c r="E272" i="15"/>
  <c r="F272" i="15"/>
  <c r="G272" i="15"/>
  <c r="H272" i="15"/>
  <c r="I272" i="15"/>
  <c r="J272" i="15"/>
  <c r="K272" i="15"/>
  <c r="L272" i="15"/>
  <c r="M272" i="15"/>
  <c r="N272" i="15"/>
  <c r="O272" i="15"/>
  <c r="P272" i="15"/>
  <c r="Q272" i="15"/>
  <c r="S272" i="15"/>
  <c r="T272" i="15"/>
  <c r="U272" i="15"/>
  <c r="V272" i="15"/>
  <c r="W272" i="15"/>
  <c r="X272" i="15"/>
  <c r="Y272" i="15"/>
  <c r="Z272" i="15"/>
  <c r="AA272" i="15"/>
  <c r="AB272" i="15"/>
  <c r="AC272" i="15"/>
  <c r="AD272" i="15"/>
  <c r="AE272" i="15"/>
  <c r="AF272" i="15"/>
  <c r="AG272" i="15"/>
  <c r="AH272" i="15"/>
  <c r="AI272" i="15"/>
  <c r="AJ272" i="15"/>
  <c r="AK272" i="15"/>
  <c r="AL272" i="15"/>
  <c r="AM272" i="15"/>
  <c r="AN272" i="15"/>
  <c r="AO272" i="15"/>
  <c r="AP272" i="15"/>
  <c r="AQ272" i="15"/>
  <c r="AR272" i="15"/>
  <c r="AS272" i="15"/>
  <c r="AT272" i="15"/>
  <c r="AU272" i="15"/>
  <c r="AV272" i="15"/>
  <c r="AW272" i="15"/>
  <c r="AX272" i="15"/>
  <c r="AY272" i="15"/>
  <c r="AZ272" i="15"/>
  <c r="BA272" i="15"/>
  <c r="BB272" i="15"/>
  <c r="BC272" i="15"/>
  <c r="C274" i="15"/>
  <c r="D274" i="15"/>
  <c r="E274" i="15"/>
  <c r="O274" i="15"/>
  <c r="V274" i="15"/>
  <c r="W274" i="15"/>
  <c r="X274" i="15"/>
  <c r="Y274" i="15"/>
  <c r="Z274" i="15"/>
  <c r="AA274" i="15"/>
  <c r="AB274" i="15"/>
  <c r="AC274" i="15"/>
  <c r="AX274" i="15"/>
  <c r="AY274" i="15"/>
  <c r="AZ274" i="15"/>
  <c r="BA274" i="15"/>
  <c r="BB274" i="15"/>
  <c r="BC274" i="15"/>
  <c r="B276" i="15"/>
  <c r="C276" i="15"/>
  <c r="D276" i="15"/>
  <c r="E276" i="15"/>
  <c r="O276" i="15"/>
  <c r="V276" i="15"/>
  <c r="W276" i="15"/>
  <c r="X276" i="15"/>
  <c r="Y276" i="15"/>
  <c r="Z276" i="15"/>
  <c r="AA276" i="15"/>
  <c r="AB276" i="15"/>
  <c r="AC276" i="15"/>
  <c r="AX276" i="15"/>
  <c r="AY276" i="15"/>
  <c r="AZ276" i="15"/>
  <c r="BA276" i="15"/>
  <c r="BB276" i="15"/>
  <c r="BC276" i="15"/>
  <c r="B277" i="15"/>
  <c r="C277" i="15"/>
  <c r="D277" i="15"/>
  <c r="E277" i="15"/>
  <c r="O277" i="15"/>
  <c r="V277" i="15"/>
  <c r="W277" i="15"/>
  <c r="X277" i="15"/>
  <c r="Y277" i="15"/>
  <c r="Z277" i="15"/>
  <c r="AA277" i="15"/>
  <c r="AB277" i="15"/>
  <c r="AC277" i="15"/>
  <c r="AX277" i="15"/>
  <c r="AY277" i="15"/>
  <c r="AZ277" i="15"/>
  <c r="BA277" i="15"/>
  <c r="BB277" i="15"/>
  <c r="BC277" i="15"/>
  <c r="C279" i="15"/>
  <c r="D279" i="15"/>
  <c r="E279" i="15"/>
  <c r="O279" i="15"/>
  <c r="V279" i="15"/>
  <c r="W279" i="15"/>
  <c r="X279" i="15"/>
  <c r="Y279" i="15"/>
  <c r="Z279" i="15"/>
  <c r="AA279" i="15"/>
  <c r="AB279" i="15"/>
  <c r="AC279" i="15"/>
  <c r="AX279" i="15"/>
  <c r="AY279" i="15"/>
  <c r="AZ279" i="15"/>
  <c r="BA279" i="15"/>
  <c r="BB279" i="15"/>
  <c r="BC279" i="15"/>
  <c r="C280" i="15"/>
  <c r="D280" i="15"/>
  <c r="E280" i="15"/>
  <c r="O280" i="15"/>
  <c r="V280" i="15"/>
  <c r="W280" i="15"/>
  <c r="X280" i="15"/>
  <c r="Y280" i="15"/>
  <c r="Z280" i="15"/>
  <c r="AA280" i="15"/>
  <c r="AB280" i="15"/>
  <c r="AC280" i="15"/>
  <c r="AX280" i="15"/>
  <c r="AY280" i="15"/>
  <c r="AZ280" i="15"/>
  <c r="BA280" i="15"/>
  <c r="BB280" i="15"/>
  <c r="BC280" i="15"/>
  <c r="B282" i="15"/>
  <c r="C282" i="15"/>
  <c r="D282" i="15"/>
  <c r="E282" i="15"/>
  <c r="O282" i="15"/>
  <c r="V282" i="15"/>
  <c r="W282" i="15"/>
  <c r="X282" i="15"/>
  <c r="Y282" i="15"/>
  <c r="Z282" i="15"/>
  <c r="AA282" i="15"/>
  <c r="AB282" i="15"/>
  <c r="AC282" i="15"/>
  <c r="AX282" i="15"/>
  <c r="AY282" i="15"/>
  <c r="AZ282" i="15"/>
  <c r="BA282" i="15"/>
  <c r="BB282" i="15"/>
  <c r="BC282" i="15"/>
  <c r="B284" i="15"/>
  <c r="C284" i="15"/>
  <c r="D284" i="15"/>
  <c r="E284" i="15"/>
  <c r="O284" i="15"/>
  <c r="V284" i="15"/>
  <c r="W284" i="15"/>
  <c r="X284" i="15"/>
  <c r="Y284" i="15"/>
  <c r="Z284" i="15"/>
  <c r="AA284" i="15"/>
  <c r="AB284" i="15"/>
  <c r="AC284" i="15"/>
  <c r="AX284" i="15"/>
  <c r="AY284" i="15"/>
  <c r="AZ284" i="15"/>
  <c r="BA284" i="15"/>
  <c r="BB284" i="15"/>
  <c r="BC284" i="15"/>
  <c r="B285" i="15"/>
  <c r="C285" i="15"/>
  <c r="D285" i="15"/>
  <c r="E285" i="15"/>
  <c r="O285" i="15"/>
  <c r="V285" i="15"/>
  <c r="W285" i="15"/>
  <c r="X285" i="15"/>
  <c r="Y285" i="15"/>
  <c r="Z285" i="15"/>
  <c r="AA285" i="15"/>
  <c r="AB285" i="15"/>
  <c r="AC285" i="15"/>
  <c r="AX285" i="15"/>
  <c r="AY285" i="15"/>
  <c r="AZ285" i="15"/>
  <c r="BA285" i="15"/>
  <c r="BB285" i="15"/>
  <c r="BC285" i="15"/>
  <c r="B287" i="15"/>
  <c r="C287" i="15"/>
  <c r="D287" i="15"/>
  <c r="E287" i="15"/>
  <c r="F287" i="15"/>
  <c r="G287" i="15"/>
  <c r="H287" i="15"/>
  <c r="I287" i="15"/>
  <c r="J287" i="15"/>
  <c r="K287" i="15"/>
  <c r="L287" i="15"/>
  <c r="M287" i="15"/>
  <c r="N287" i="15"/>
  <c r="O287" i="15"/>
  <c r="P287" i="15"/>
  <c r="S287" i="15"/>
  <c r="T287" i="15"/>
  <c r="U287" i="15"/>
  <c r="V287" i="15"/>
  <c r="W287" i="15"/>
  <c r="X287" i="15"/>
  <c r="Y287" i="15"/>
  <c r="Z287" i="15"/>
  <c r="AA287" i="15"/>
  <c r="AB287" i="15"/>
  <c r="AC287" i="15"/>
  <c r="AD287" i="15"/>
  <c r="AE287" i="15"/>
  <c r="AF287" i="15"/>
  <c r="AG287" i="15"/>
  <c r="AH287" i="15"/>
  <c r="AI287" i="15"/>
  <c r="AJ287" i="15"/>
  <c r="AK287" i="15"/>
  <c r="AL287" i="15"/>
  <c r="AM287" i="15"/>
  <c r="AN287" i="15"/>
  <c r="AO287" i="15"/>
  <c r="AP287" i="15"/>
  <c r="AQ287" i="15"/>
  <c r="AR287" i="15"/>
  <c r="AS287" i="15"/>
  <c r="AT287" i="15"/>
  <c r="AU287" i="15"/>
  <c r="AV287" i="15"/>
  <c r="AW287" i="15"/>
  <c r="AX287" i="15"/>
  <c r="AY287" i="15"/>
  <c r="AZ287" i="15"/>
  <c r="BA287" i="15"/>
  <c r="BB287" i="15"/>
  <c r="BC287" i="15"/>
  <c r="J3" i="17"/>
  <c r="J6" i="17"/>
  <c r="E8" i="17"/>
  <c r="D10" i="17"/>
  <c r="E11" i="17"/>
  <c r="E12" i="17"/>
  <c r="D14" i="17"/>
  <c r="E14" i="17"/>
  <c r="D16" i="17"/>
  <c r="D17" i="17"/>
  <c r="E17" i="17"/>
  <c r="D18" i="17"/>
  <c r="D19" i="17"/>
  <c r="E19" i="17"/>
  <c r="D20" i="17"/>
  <c r="D21" i="17"/>
  <c r="D22" i="17"/>
  <c r="E24" i="17"/>
  <c r="D25" i="17"/>
  <c r="D26" i="17"/>
  <c r="D30" i="17"/>
  <c r="E30" i="17"/>
  <c r="D31" i="17"/>
  <c r="E31" i="17"/>
  <c r="D32" i="17"/>
  <c r="E32" i="17"/>
  <c r="D33" i="17"/>
  <c r="E33" i="17"/>
  <c r="D36" i="17"/>
  <c r="E36" i="17"/>
  <c r="E37" i="17"/>
  <c r="E39" i="17"/>
  <c r="E40" i="17"/>
  <c r="E43" i="17"/>
  <c r="E44" i="17"/>
  <c r="E45" i="17"/>
  <c r="E46" i="17"/>
  <c r="E47" i="17"/>
  <c r="E48" i="17"/>
  <c r="E49" i="17"/>
  <c r="E50" i="17"/>
  <c r="D52" i="17"/>
  <c r="E52" i="17"/>
  <c r="D53" i="17"/>
  <c r="D56" i="17"/>
  <c r="E56" i="17"/>
  <c r="D58" i="17"/>
  <c r="E58" i="17"/>
  <c r="D59" i="17"/>
  <c r="E59" i="17"/>
  <c r="D60" i="17"/>
  <c r="E60" i="17"/>
  <c r="D61" i="17"/>
  <c r="E61" i="17"/>
  <c r="D62" i="17"/>
  <c r="E62" i="17"/>
  <c r="D63" i="17"/>
  <c r="E63" i="17"/>
  <c r="D64" i="17"/>
  <c r="J70" i="17"/>
  <c r="J73" i="17"/>
  <c r="E75" i="17"/>
  <c r="E76" i="17"/>
  <c r="D77" i="17"/>
  <c r="E77" i="17"/>
  <c r="D79" i="17"/>
  <c r="E79" i="17"/>
  <c r="D80" i="17"/>
  <c r="E80" i="17"/>
  <c r="D81" i="17"/>
  <c r="E81" i="17"/>
  <c r="D82" i="17"/>
  <c r="E82" i="17"/>
  <c r="D83" i="17"/>
  <c r="E83" i="17"/>
  <c r="D84" i="17"/>
  <c r="D86" i="17"/>
  <c r="D88" i="17"/>
  <c r="E88" i="17"/>
  <c r="D89" i="17"/>
  <c r="E89" i="17"/>
  <c r="D90" i="17"/>
  <c r="E90" i="17"/>
  <c r="D93" i="17"/>
  <c r="E93" i="17"/>
  <c r="E94" i="17"/>
  <c r="E96" i="17"/>
  <c r="E97" i="17"/>
  <c r="E100" i="17"/>
  <c r="E101" i="17"/>
  <c r="E102" i="17"/>
  <c r="E103" i="17"/>
  <c r="E104" i="17"/>
  <c r="E105" i="17"/>
  <c r="E106" i="17"/>
  <c r="E107" i="17"/>
  <c r="E108" i="17"/>
  <c r="D110" i="17"/>
  <c r="E110" i="17"/>
  <c r="D111" i="17"/>
  <c r="D114" i="17"/>
  <c r="E114" i="17"/>
  <c r="D115" i="17"/>
  <c r="E115" i="17"/>
  <c r="D116" i="17"/>
  <c r="E116" i="17"/>
  <c r="D117" i="17"/>
  <c r="E117" i="17"/>
  <c r="D118" i="17"/>
  <c r="E118" i="17"/>
  <c r="D119" i="17"/>
  <c r="E119" i="17"/>
  <c r="D120" i="17"/>
  <c r="E120" i="17"/>
  <c r="D121" i="17"/>
  <c r="E121" i="17"/>
  <c r="D122" i="17"/>
  <c r="J127" i="17"/>
  <c r="E131" i="17"/>
  <c r="E132" i="17"/>
  <c r="D133" i="17"/>
  <c r="E133" i="17"/>
  <c r="D135" i="17"/>
  <c r="E135" i="17"/>
  <c r="D136" i="17"/>
  <c r="E136" i="17"/>
  <c r="D137" i="17"/>
  <c r="E137" i="17"/>
  <c r="D138" i="17"/>
  <c r="E138" i="17"/>
  <c r="D139" i="17"/>
  <c r="E139" i="17"/>
  <c r="D140" i="17"/>
  <c r="D142" i="17"/>
  <c r="D146" i="17"/>
  <c r="E146" i="17"/>
  <c r="D147" i="17"/>
  <c r="E147" i="17"/>
  <c r="E151" i="17"/>
  <c r="E153" i="17"/>
  <c r="E154" i="17"/>
  <c r="E155" i="17"/>
  <c r="E156" i="17"/>
  <c r="E157" i="17"/>
  <c r="E158" i="17"/>
  <c r="E159" i="17"/>
  <c r="E161" i="17"/>
  <c r="E162" i="17"/>
  <c r="E163" i="17"/>
  <c r="E164" i="17"/>
  <c r="E165" i="17"/>
  <c r="D167" i="17"/>
  <c r="E167" i="17"/>
  <c r="D168" i="17"/>
  <c r="E171" i="17"/>
  <c r="D172" i="17"/>
  <c r="E172" i="17"/>
  <c r="E173" i="17"/>
  <c r="D174" i="17"/>
  <c r="E174" i="17"/>
  <c r="D175" i="17"/>
  <c r="E175" i="17"/>
  <c r="E176" i="17"/>
  <c r="D177" i="17"/>
  <c r="E177" i="17"/>
  <c r="D178" i="17"/>
  <c r="J182" i="17"/>
  <c r="E186" i="17"/>
  <c r="E187" i="17"/>
  <c r="D188" i="17"/>
  <c r="E188" i="17"/>
  <c r="D190" i="17"/>
  <c r="E190" i="17"/>
  <c r="D191" i="17"/>
  <c r="E191" i="17"/>
  <c r="D192" i="17"/>
  <c r="E192" i="17"/>
  <c r="D193" i="17"/>
  <c r="E193" i="17"/>
  <c r="D194" i="17"/>
  <c r="E194" i="17"/>
  <c r="D195" i="17"/>
  <c r="D197" i="17"/>
  <c r="D201" i="17"/>
  <c r="E201" i="17"/>
  <c r="E202" i="17"/>
  <c r="D203" i="17"/>
  <c r="E203" i="17"/>
  <c r="D204" i="17"/>
  <c r="E204" i="17"/>
  <c r="E207" i="17"/>
  <c r="E208" i="17"/>
  <c r="E209" i="17"/>
  <c r="E210" i="17"/>
  <c r="D211" i="17"/>
  <c r="E211" i="17"/>
  <c r="E212" i="17"/>
  <c r="D213" i="17"/>
  <c r="E213" i="17"/>
  <c r="D214" i="17"/>
  <c r="E217" i="17"/>
  <c r="E219" i="17"/>
  <c r="E220" i="17"/>
  <c r="E221" i="17"/>
  <c r="E222" i="17"/>
  <c r="E223" i="17"/>
  <c r="E224" i="17"/>
  <c r="E225" i="17"/>
  <c r="E227" i="17"/>
  <c r="E228" i="17"/>
  <c r="E229" i="17"/>
  <c r="E230" i="17"/>
  <c r="E231" i="17"/>
  <c r="D233" i="17"/>
  <c r="E233" i="17"/>
  <c r="D234" i="17"/>
  <c r="E237" i="17"/>
  <c r="E238" i="17"/>
  <c r="E239" i="17"/>
  <c r="E240" i="17"/>
  <c r="D241" i="17"/>
  <c r="E241" i="17"/>
  <c r="J246" i="17"/>
  <c r="E250" i="17"/>
  <c r="E251" i="17"/>
  <c r="D252" i="17"/>
  <c r="E252" i="17"/>
  <c r="D254" i="17"/>
  <c r="E254" i="17"/>
  <c r="D255" i="17"/>
  <c r="E255" i="17"/>
  <c r="D256" i="17"/>
  <c r="E256" i="17"/>
  <c r="D257" i="17"/>
  <c r="E257" i="17"/>
  <c r="D258" i="17"/>
  <c r="E258" i="17"/>
  <c r="D259" i="17"/>
  <c r="D261" i="17"/>
  <c r="D265" i="17"/>
  <c r="E265" i="17"/>
  <c r="E266" i="17"/>
  <c r="E267" i="17"/>
  <c r="D268" i="17"/>
  <c r="E268" i="17"/>
  <c r="E271" i="17"/>
  <c r="E272" i="17"/>
  <c r="E273" i="17"/>
  <c r="E274" i="17"/>
  <c r="D275" i="17"/>
  <c r="E275" i="17"/>
  <c r="E276" i="17"/>
  <c r="D277" i="17"/>
  <c r="E277" i="17"/>
  <c r="D278" i="17"/>
  <c r="E281" i="17"/>
  <c r="E283" i="17"/>
  <c r="E284" i="17"/>
  <c r="E285" i="17"/>
  <c r="E286" i="17"/>
  <c r="E287" i="17"/>
  <c r="E288" i="17"/>
  <c r="E289" i="17"/>
  <c r="E291" i="17"/>
  <c r="E292" i="17"/>
  <c r="E293" i="17"/>
  <c r="E294" i="17"/>
  <c r="E295" i="17"/>
  <c r="D297" i="17"/>
  <c r="E297" i="17"/>
  <c r="D298" i="17"/>
  <c r="E301" i="17"/>
  <c r="E302" i="17"/>
  <c r="E303" i="17"/>
  <c r="E304" i="17"/>
  <c r="D305" i="17"/>
  <c r="E305" i="17"/>
  <c r="J310" i="17"/>
  <c r="E314" i="17"/>
  <c r="E315" i="17"/>
  <c r="D316" i="17"/>
  <c r="E316" i="17"/>
  <c r="D318" i="17"/>
  <c r="E318" i="17"/>
  <c r="D319" i="17"/>
  <c r="E319" i="17"/>
  <c r="D320" i="17"/>
  <c r="E320" i="17"/>
  <c r="D321" i="17"/>
  <c r="E321" i="17"/>
  <c r="D322" i="17"/>
  <c r="E322" i="17"/>
  <c r="D323" i="17"/>
  <c r="D325" i="17"/>
  <c r="D329" i="17"/>
  <c r="E329" i="17"/>
  <c r="E330" i="17"/>
  <c r="E331" i="17"/>
  <c r="D332" i="17"/>
  <c r="E332" i="17"/>
  <c r="D335" i="17"/>
  <c r="E335" i="17"/>
  <c r="D336" i="17"/>
  <c r="E336" i="17"/>
  <c r="D337" i="17"/>
  <c r="E337" i="17"/>
  <c r="D338" i="17"/>
  <c r="E338" i="17"/>
  <c r="D339" i="17"/>
  <c r="E339" i="17"/>
  <c r="E340" i="17"/>
  <c r="D341" i="17"/>
  <c r="E341" i="17"/>
  <c r="D342" i="17"/>
  <c r="E345" i="17"/>
  <c r="E347" i="17"/>
  <c r="E348" i="17"/>
  <c r="E349" i="17"/>
  <c r="E350" i="17"/>
  <c r="E351" i="17"/>
  <c r="E352" i="17"/>
  <c r="E353" i="17"/>
  <c r="E355" i="17"/>
  <c r="E356" i="17"/>
  <c r="E357" i="17"/>
  <c r="E358" i="17"/>
  <c r="E359" i="17"/>
  <c r="E360" i="17"/>
  <c r="D361" i="17"/>
  <c r="E361" i="17"/>
  <c r="D362" i="17"/>
  <c r="E365" i="17"/>
  <c r="E366" i="17"/>
  <c r="E367" i="17"/>
  <c r="E368" i="17"/>
  <c r="D369" i="17"/>
  <c r="E369" i="17"/>
  <c r="J374" i="17"/>
  <c r="D376" i="17"/>
  <c r="E376" i="17"/>
  <c r="D377" i="17"/>
  <c r="E377" i="17"/>
  <c r="D378" i="17"/>
  <c r="E378" i="17"/>
  <c r="D379" i="17"/>
  <c r="E379" i="17"/>
  <c r="D380" i="17"/>
  <c r="E380" i="17"/>
  <c r="D381" i="17"/>
  <c r="J381" i="17"/>
  <c r="K381" i="17"/>
  <c r="K382" i="17"/>
  <c r="D383" i="17"/>
  <c r="J384" i="17"/>
  <c r="K384" i="17"/>
  <c r="J385" i="17"/>
  <c r="J386" i="17"/>
  <c r="L315" i="17" s="1"/>
  <c r="D387" i="17"/>
  <c r="J380" i="17" s="1"/>
  <c r="E387" i="17"/>
  <c r="E389" i="17"/>
  <c r="D390" i="17"/>
  <c r="E393" i="17"/>
  <c r="E394" i="17"/>
  <c r="E395" i="17"/>
  <c r="E396" i="17"/>
  <c r="D397" i="17"/>
  <c r="E397" i="17"/>
  <c r="E398" i="17"/>
  <c r="D399" i="17"/>
  <c r="E399" i="17"/>
  <c r="D400" i="17"/>
  <c r="E403" i="17"/>
  <c r="E404" i="17"/>
  <c r="E405" i="17"/>
  <c r="E406" i="17"/>
  <c r="E407" i="17"/>
  <c r="E408" i="17"/>
  <c r="E409" i="17"/>
  <c r="E410" i="17"/>
  <c r="E411" i="17"/>
  <c r="E412" i="17"/>
  <c r="E413" i="17"/>
  <c r="E414" i="17"/>
  <c r="E415" i="17"/>
  <c r="E416" i="17"/>
  <c r="E417" i="17"/>
  <c r="E418" i="17"/>
  <c r="D419" i="17"/>
  <c r="E419" i="17"/>
  <c r="D420" i="17"/>
  <c r="E423" i="17"/>
  <c r="E424" i="17"/>
  <c r="E425" i="17"/>
  <c r="E426" i="17"/>
  <c r="D427" i="17"/>
  <c r="E427" i="17"/>
  <c r="J432" i="17"/>
  <c r="D434" i="17"/>
  <c r="E434" i="17"/>
  <c r="D435" i="17"/>
  <c r="E435" i="17"/>
  <c r="D436" i="17"/>
  <c r="E436" i="17"/>
  <c r="D437" i="17"/>
  <c r="E437" i="17"/>
  <c r="K437" i="17"/>
  <c r="D438" i="17"/>
  <c r="E438" i="17"/>
  <c r="D439" i="17"/>
  <c r="J439" i="17"/>
  <c r="K439" i="17"/>
  <c r="K440" i="17"/>
  <c r="D441" i="17"/>
  <c r="J442" i="17"/>
  <c r="K442" i="17"/>
  <c r="J443" i="17"/>
  <c r="K443" i="17"/>
  <c r="J444" i="17"/>
  <c r="L373" i="17" s="1"/>
  <c r="D445" i="17"/>
  <c r="J438" i="17" s="1"/>
  <c r="E445" i="17"/>
  <c r="E446" i="17"/>
  <c r="E447" i="17"/>
  <c r="D448" i="17"/>
  <c r="E448" i="17"/>
  <c r="E451" i="17"/>
  <c r="E452" i="17"/>
  <c r="E453" i="17"/>
  <c r="E454" i="17"/>
  <c r="D455" i="17"/>
  <c r="E455" i="17"/>
  <c r="E456" i="17"/>
  <c r="D457" i="17"/>
  <c r="E457" i="17"/>
  <c r="D458" i="17"/>
  <c r="E461" i="17"/>
  <c r="E463" i="17"/>
  <c r="E464" i="17"/>
  <c r="E465" i="17"/>
  <c r="E466" i="17"/>
  <c r="E467" i="17"/>
  <c r="E468" i="17"/>
  <c r="E469" i="17"/>
  <c r="E471" i="17"/>
  <c r="E472" i="17"/>
  <c r="E473" i="17"/>
  <c r="E474" i="17"/>
  <c r="E475" i="17"/>
  <c r="E476" i="17"/>
  <c r="D477" i="17"/>
  <c r="E477" i="17"/>
  <c r="D478" i="17"/>
  <c r="E481" i="17"/>
  <c r="E482" i="17"/>
  <c r="E483" i="17"/>
  <c r="E484" i="17"/>
  <c r="D485" i="17"/>
  <c r="E485" i="17"/>
  <c r="J490" i="17"/>
  <c r="D492" i="17"/>
  <c r="E492" i="17"/>
  <c r="D493" i="17"/>
  <c r="E493" i="17"/>
  <c r="D494" i="17"/>
  <c r="E494" i="17"/>
  <c r="D495" i="17"/>
  <c r="E495" i="17"/>
  <c r="K495" i="17"/>
  <c r="D496" i="17"/>
  <c r="E496" i="17"/>
  <c r="D497" i="17"/>
  <c r="J497" i="17"/>
  <c r="K497" i="17"/>
  <c r="K498" i="17"/>
  <c r="D499" i="17"/>
  <c r="J500" i="17"/>
  <c r="K500" i="17"/>
  <c r="J501" i="17"/>
  <c r="K501" i="17"/>
  <c r="J502" i="17"/>
  <c r="L431" i="17" s="1"/>
  <c r="D503" i="17"/>
  <c r="J496" i="17" s="1"/>
  <c r="E503" i="17"/>
  <c r="E504" i="17"/>
  <c r="E505" i="17"/>
  <c r="D506" i="17"/>
  <c r="E506" i="17"/>
  <c r="E509" i="17"/>
  <c r="E510" i="17"/>
  <c r="E511" i="17"/>
  <c r="E512" i="17"/>
  <c r="D513" i="17"/>
  <c r="E513" i="17"/>
  <c r="E514" i="17"/>
  <c r="D515" i="17"/>
  <c r="E515" i="17"/>
  <c r="D516" i="17"/>
  <c r="E519" i="17"/>
  <c r="E521" i="17"/>
  <c r="E522" i="17"/>
  <c r="E523" i="17"/>
  <c r="E524" i="17"/>
  <c r="E525" i="17"/>
  <c r="E526" i="17"/>
  <c r="E527" i="17"/>
  <c r="E529" i="17"/>
  <c r="E530" i="17"/>
  <c r="E531" i="17"/>
  <c r="E532" i="17"/>
  <c r="E533" i="17"/>
  <c r="E534" i="17"/>
  <c r="D535" i="17"/>
  <c r="E535" i="17"/>
  <c r="D536" i="17"/>
  <c r="E539" i="17"/>
  <c r="E540" i="17"/>
  <c r="E541" i="17"/>
  <c r="E542" i="17"/>
  <c r="D543" i="17"/>
  <c r="E543" i="17"/>
  <c r="J545" i="17"/>
  <c r="D547" i="17"/>
  <c r="E547" i="17"/>
  <c r="D548" i="17"/>
  <c r="E548" i="17"/>
  <c r="D549" i="17"/>
  <c r="E549" i="17"/>
  <c r="D550" i="17"/>
  <c r="E550" i="17"/>
  <c r="K550" i="17"/>
  <c r="D551" i="17"/>
  <c r="E551" i="17"/>
  <c r="D552" i="17"/>
  <c r="J552" i="17"/>
  <c r="K552" i="17"/>
  <c r="K553" i="17"/>
  <c r="D554" i="17"/>
  <c r="J555" i="17"/>
  <c r="K555" i="17"/>
  <c r="J556" i="17"/>
  <c r="K556" i="17"/>
  <c r="J557" i="17"/>
  <c r="L486" i="17" s="1"/>
  <c r="D558" i="17"/>
  <c r="J551" i="17" s="1"/>
  <c r="E558" i="17"/>
  <c r="E559" i="17"/>
  <c r="E560" i="17"/>
  <c r="D561" i="17"/>
  <c r="E561" i="17"/>
  <c r="E564" i="17"/>
  <c r="E565" i="17"/>
  <c r="E566" i="17"/>
  <c r="E567" i="17"/>
  <c r="D568" i="17"/>
  <c r="E568" i="17"/>
  <c r="E569" i="17"/>
  <c r="D570" i="17"/>
  <c r="E570" i="17"/>
  <c r="D571" i="17"/>
  <c r="E574" i="17"/>
  <c r="E576" i="17"/>
  <c r="E577" i="17"/>
  <c r="E578" i="17"/>
  <c r="E579" i="17"/>
  <c r="E580" i="17"/>
  <c r="E581" i="17"/>
  <c r="E582" i="17"/>
  <c r="E584" i="17"/>
  <c r="E585" i="17"/>
  <c r="E586" i="17"/>
  <c r="E587" i="17"/>
  <c r="E588" i="17"/>
  <c r="E589" i="17"/>
  <c r="D590" i="17"/>
  <c r="E590" i="17"/>
  <c r="D591" i="17"/>
  <c r="E594" i="17"/>
  <c r="E595" i="17"/>
  <c r="E596" i="17"/>
  <c r="E597" i="17"/>
  <c r="D598" i="17"/>
  <c r="E598" i="17"/>
  <c r="J600" i="17"/>
  <c r="D602" i="17"/>
  <c r="E602" i="17"/>
  <c r="D603" i="17"/>
  <c r="E603" i="17"/>
  <c r="D604" i="17"/>
  <c r="E604" i="17"/>
  <c r="D605" i="17"/>
  <c r="E605" i="17"/>
  <c r="D606" i="17"/>
  <c r="E606" i="17"/>
  <c r="D607" i="17"/>
  <c r="J607" i="17"/>
  <c r="K607" i="17"/>
  <c r="K608" i="17"/>
  <c r="D609" i="17"/>
  <c r="J610" i="17"/>
  <c r="K610" i="17"/>
  <c r="J611" i="17"/>
  <c r="J612" i="17"/>
  <c r="L541" i="17" s="1"/>
  <c r="D613" i="17"/>
  <c r="J606" i="17" s="1"/>
  <c r="E613" i="17"/>
  <c r="E614" i="17"/>
  <c r="E615" i="17"/>
  <c r="D616" i="17"/>
  <c r="E616" i="17"/>
  <c r="E619" i="17"/>
  <c r="E620" i="17"/>
  <c r="E621" i="17"/>
  <c r="E622" i="17"/>
  <c r="D623" i="17"/>
  <c r="E623" i="17"/>
  <c r="E624" i="17"/>
  <c r="D625" i="17"/>
  <c r="E625" i="17"/>
  <c r="D626" i="17"/>
  <c r="E629" i="17"/>
  <c r="E631" i="17"/>
  <c r="E632" i="17"/>
  <c r="E633" i="17"/>
  <c r="E634" i="17"/>
  <c r="E635" i="17"/>
  <c r="E636" i="17"/>
  <c r="E637" i="17"/>
  <c r="E639" i="17"/>
  <c r="E640" i="17"/>
  <c r="E641" i="17"/>
  <c r="E642" i="17"/>
  <c r="E643" i="17"/>
  <c r="E644" i="17"/>
  <c r="D645" i="17"/>
  <c r="E645" i="17"/>
  <c r="D646" i="17"/>
  <c r="E649" i="17"/>
  <c r="E650" i="17"/>
  <c r="E651" i="17"/>
  <c r="E652" i="17"/>
  <c r="D653" i="17"/>
  <c r="E653" i="17"/>
  <c r="J656" i="17"/>
  <c r="D658" i="17"/>
  <c r="E658" i="17"/>
  <c r="D659" i="17"/>
  <c r="E659" i="17"/>
  <c r="D660" i="17"/>
  <c r="E660" i="17"/>
  <c r="D661" i="17"/>
  <c r="E661" i="17"/>
  <c r="D662" i="17"/>
  <c r="E662" i="17"/>
  <c r="D663" i="17"/>
  <c r="J663" i="17"/>
  <c r="D665" i="17"/>
  <c r="J666" i="17"/>
  <c r="J667" i="17"/>
  <c r="J668" i="17"/>
  <c r="L597" i="17" s="1"/>
  <c r="D669" i="17"/>
  <c r="J662" i="17" s="1"/>
  <c r="E669" i="17"/>
  <c r="E671" i="17"/>
  <c r="D672" i="17"/>
  <c r="E675" i="17"/>
  <c r="D676" i="17"/>
  <c r="E676" i="17"/>
  <c r="D677" i="17"/>
  <c r="E677" i="17"/>
  <c r="D678" i="17"/>
  <c r="E678" i="17"/>
  <c r="D679" i="17"/>
  <c r="E679" i="17"/>
  <c r="E680" i="17"/>
  <c r="D681" i="17"/>
  <c r="E681" i="17"/>
  <c r="D682" i="17"/>
  <c r="E685" i="17"/>
  <c r="E687" i="17"/>
  <c r="E688" i="17"/>
  <c r="E689" i="17"/>
  <c r="E690" i="17"/>
  <c r="E691" i="17"/>
  <c r="E692" i="17"/>
  <c r="E693" i="17"/>
  <c r="E695" i="17"/>
  <c r="E696" i="17"/>
  <c r="E697" i="17"/>
  <c r="E698" i="17"/>
  <c r="E699" i="17"/>
  <c r="E700" i="17"/>
  <c r="D701" i="17"/>
  <c r="E701" i="17"/>
  <c r="D702" i="17"/>
  <c r="E705" i="17"/>
  <c r="E706" i="17"/>
  <c r="E707" i="17"/>
  <c r="E708" i="17"/>
  <c r="D709" i="17"/>
  <c r="E709" i="17"/>
  <c r="J711" i="17"/>
  <c r="D713" i="17"/>
  <c r="E713" i="17"/>
  <c r="D714" i="17"/>
  <c r="E714" i="17"/>
  <c r="D715" i="17"/>
  <c r="E715" i="17"/>
  <c r="D716" i="17"/>
  <c r="E716" i="17"/>
  <c r="K716" i="17"/>
  <c r="D717" i="17"/>
  <c r="E717" i="17"/>
  <c r="D718" i="17"/>
  <c r="J718" i="17"/>
  <c r="K718" i="17"/>
  <c r="K719" i="17"/>
  <c r="D720" i="17"/>
  <c r="J721" i="17"/>
  <c r="K721" i="17"/>
  <c r="J722" i="17"/>
  <c r="K722" i="17"/>
  <c r="J723" i="17"/>
  <c r="L652" i="17" s="1"/>
  <c r="D724" i="17"/>
  <c r="J717" i="17" s="1"/>
  <c r="E724" i="17"/>
  <c r="E725" i="17"/>
  <c r="E726" i="17"/>
  <c r="D727" i="17"/>
  <c r="E727" i="17"/>
  <c r="E732" i="17"/>
  <c r="E734" i="17"/>
  <c r="E735" i="17"/>
  <c r="E736" i="17"/>
  <c r="E737" i="17"/>
  <c r="E738" i="17"/>
  <c r="E739" i="17"/>
  <c r="E740" i="17"/>
  <c r="E742" i="17"/>
  <c r="E743" i="17"/>
  <c r="E744" i="17"/>
  <c r="E745" i="17"/>
  <c r="E746" i="17"/>
  <c r="E747" i="17"/>
  <c r="D748" i="17"/>
  <c r="E748" i="17"/>
  <c r="D749" i="17"/>
  <c r="E752" i="17"/>
  <c r="E753" i="17"/>
  <c r="E754" i="17"/>
  <c r="E755" i="17"/>
  <c r="D756" i="17"/>
  <c r="E756" i="17"/>
  <c r="J758" i="17"/>
  <c r="D760" i="17"/>
  <c r="E760" i="17"/>
  <c r="D761" i="17"/>
  <c r="E761" i="17"/>
  <c r="D762" i="17"/>
  <c r="E762" i="17"/>
  <c r="D763" i="17"/>
  <c r="E763" i="17"/>
  <c r="K763" i="17"/>
  <c r="D764" i="17"/>
  <c r="E764" i="17"/>
  <c r="D765" i="17"/>
  <c r="J765" i="17"/>
  <c r="K765" i="17"/>
  <c r="K766" i="17"/>
  <c r="D767" i="17"/>
  <c r="J768" i="17"/>
  <c r="K768" i="17"/>
  <c r="J769" i="17"/>
  <c r="K769" i="17"/>
  <c r="J770" i="17"/>
  <c r="L699" i="17" s="1"/>
  <c r="D771" i="17"/>
  <c r="J764" i="17" s="1"/>
  <c r="E771" i="17"/>
  <c r="E772" i="17"/>
  <c r="E773" i="17"/>
  <c r="D774" i="17"/>
  <c r="E774" i="17"/>
  <c r="J793" i="17"/>
  <c r="D795" i="17"/>
  <c r="E795" i="17"/>
  <c r="D796" i="17"/>
  <c r="E796" i="17"/>
  <c r="D797" i="17"/>
  <c r="E797" i="17"/>
  <c r="D798" i="17"/>
  <c r="E798" i="17"/>
  <c r="K798" i="17"/>
  <c r="D799" i="17"/>
  <c r="E799" i="17"/>
  <c r="D800" i="17"/>
  <c r="J800" i="17"/>
  <c r="K800" i="17"/>
  <c r="K801" i="17"/>
  <c r="D802" i="17"/>
  <c r="J803" i="17"/>
  <c r="K803" i="17"/>
  <c r="J804" i="17"/>
  <c r="K804" i="17"/>
  <c r="J805" i="17"/>
  <c r="L734" i="17" s="1"/>
  <c r="D806" i="17"/>
  <c r="J799" i="17" s="1"/>
  <c r="E806" i="17"/>
  <c r="E807" i="17"/>
  <c r="E808" i="17"/>
  <c r="D809" i="17"/>
  <c r="E809" i="17"/>
  <c r="E814" i="17"/>
  <c r="E815" i="17"/>
  <c r="E816" i="17"/>
  <c r="E817" i="17"/>
  <c r="E818" i="17"/>
  <c r="E821" i="17"/>
  <c r="E822" i="17"/>
  <c r="E823" i="17"/>
  <c r="E824" i="17"/>
  <c r="E825" i="17"/>
  <c r="J828" i="17"/>
  <c r="D830" i="17"/>
  <c r="E830" i="17"/>
  <c r="E831" i="17"/>
  <c r="D832" i="17"/>
  <c r="E832" i="17"/>
  <c r="D833" i="17"/>
  <c r="E833" i="17"/>
  <c r="D834" i="17"/>
  <c r="E834" i="17"/>
  <c r="D835" i="17"/>
  <c r="J835" i="17"/>
  <c r="K835" i="17"/>
  <c r="K836" i="17"/>
  <c r="D837" i="17"/>
  <c r="J838" i="17"/>
  <c r="J839" i="17"/>
  <c r="J840" i="17"/>
  <c r="L769" i="17" s="1"/>
  <c r="D841" i="17"/>
  <c r="J834" i="17" s="1"/>
  <c r="E841" i="17"/>
  <c r="E842" i="17"/>
  <c r="E843" i="17"/>
  <c r="D844" i="17"/>
  <c r="E844" i="17"/>
  <c r="E849" i="17"/>
  <c r="E850" i="17"/>
  <c r="E851" i="17"/>
  <c r="E852" i="17"/>
  <c r="E853" i="17"/>
  <c r="E856" i="17"/>
  <c r="E857" i="17"/>
  <c r="E858" i="17"/>
  <c r="E859" i="17"/>
  <c r="E860" i="17"/>
  <c r="J864" i="17"/>
  <c r="D866" i="17"/>
  <c r="E866" i="17"/>
  <c r="D867" i="17"/>
  <c r="E867" i="17"/>
  <c r="D868" i="17"/>
  <c r="E868" i="17"/>
  <c r="D869" i="17"/>
  <c r="E869" i="17"/>
  <c r="K869" i="17"/>
  <c r="D870" i="17"/>
  <c r="E870" i="17"/>
  <c r="D871" i="17"/>
  <c r="J871" i="17"/>
  <c r="K871" i="17"/>
  <c r="K872" i="17"/>
  <c r="D873" i="17"/>
  <c r="J874" i="17"/>
  <c r="K874" i="17"/>
  <c r="J875" i="17"/>
  <c r="K875" i="17"/>
  <c r="J876" i="17"/>
  <c r="L805" i="17" s="1"/>
  <c r="D877" i="17"/>
  <c r="J870" i="17" s="1"/>
  <c r="E877" i="17"/>
  <c r="E878" i="17"/>
  <c r="E879" i="17"/>
  <c r="D880" i="17"/>
  <c r="E880" i="17"/>
  <c r="J897" i="17"/>
  <c r="D899" i="17"/>
  <c r="E899" i="17"/>
  <c r="D900" i="17"/>
  <c r="E900" i="17"/>
  <c r="D901" i="17"/>
  <c r="E901" i="17"/>
  <c r="D902" i="17"/>
  <c r="E902" i="17"/>
  <c r="K902" i="17"/>
  <c r="D903" i="17"/>
  <c r="E903" i="17"/>
  <c r="D904" i="17"/>
  <c r="J904" i="17"/>
  <c r="K904" i="17"/>
  <c r="K905" i="17"/>
  <c r="D906" i="17"/>
  <c r="J907" i="17"/>
  <c r="K907" i="17"/>
  <c r="J908" i="17"/>
  <c r="K908" i="17"/>
  <c r="J909" i="17"/>
  <c r="L838" i="17" s="1"/>
  <c r="D910" i="17"/>
  <c r="J903" i="17" s="1"/>
  <c r="E910" i="17"/>
  <c r="E911" i="17"/>
  <c r="D913" i="17"/>
  <c r="J930" i="17"/>
  <c r="D932" i="17"/>
  <c r="E932" i="17"/>
  <c r="D933" i="17"/>
  <c r="E933" i="17"/>
  <c r="D934" i="17"/>
  <c r="E934" i="17"/>
  <c r="D935" i="17"/>
  <c r="E935" i="17"/>
  <c r="K935" i="17"/>
  <c r="D936" i="17"/>
  <c r="E936" i="17"/>
  <c r="D937" i="17"/>
  <c r="J937" i="17"/>
  <c r="K937" i="17"/>
  <c r="K938" i="17"/>
  <c r="D939" i="17"/>
  <c r="J940" i="17"/>
  <c r="K940" i="17"/>
  <c r="J941" i="17"/>
  <c r="K941" i="17"/>
  <c r="J942" i="17"/>
  <c r="L871" i="17" s="1"/>
  <c r="D943" i="17"/>
  <c r="J936" i="17" s="1"/>
  <c r="E943" i="17"/>
  <c r="E944" i="17"/>
  <c r="E945" i="17"/>
  <c r="D946" i="17"/>
  <c r="E946" i="17"/>
  <c r="E951" i="17"/>
  <c r="E952" i="17"/>
  <c r="E953" i="17"/>
  <c r="E954" i="17"/>
  <c r="E955" i="17"/>
  <c r="E958" i="17"/>
  <c r="E959" i="17"/>
  <c r="E960" i="17"/>
  <c r="E961" i="17"/>
  <c r="E962" i="17"/>
  <c r="J965" i="17"/>
  <c r="E967" i="17"/>
  <c r="D968" i="17"/>
  <c r="E968" i="17"/>
  <c r="D969" i="17"/>
  <c r="E969" i="17"/>
  <c r="D970" i="17"/>
  <c r="E970" i="17"/>
  <c r="K970" i="17"/>
  <c r="D971" i="17"/>
  <c r="E971" i="17"/>
  <c r="D972" i="17"/>
  <c r="J972" i="17"/>
  <c r="K972" i="17"/>
  <c r="K973" i="17"/>
  <c r="D974" i="17"/>
  <c r="J975" i="17"/>
  <c r="K975" i="17"/>
  <c r="J976" i="17"/>
  <c r="K976" i="17"/>
  <c r="J977" i="17"/>
  <c r="L906" i="17" s="1"/>
  <c r="D978" i="17"/>
  <c r="J971" i="17" s="1"/>
  <c r="E978" i="17"/>
  <c r="E979" i="17"/>
  <c r="D980" i="17"/>
  <c r="E980" i="17"/>
  <c r="E985" i="17"/>
  <c r="E986" i="17"/>
  <c r="E987" i="17"/>
  <c r="E988" i="17"/>
  <c r="E989" i="17"/>
  <c r="E992" i="17"/>
  <c r="E993" i="17"/>
  <c r="E994" i="17"/>
  <c r="E995" i="17"/>
  <c r="E996" i="17"/>
  <c r="J999" i="17"/>
  <c r="E1001" i="17"/>
  <c r="D1002" i="17"/>
  <c r="E1002" i="17"/>
  <c r="D1003" i="17"/>
  <c r="E1003" i="17"/>
  <c r="D1004" i="17"/>
  <c r="E1004" i="17"/>
  <c r="K1004" i="17"/>
  <c r="D1005" i="17"/>
  <c r="E1005" i="17"/>
  <c r="D1006" i="17"/>
  <c r="J1006" i="17"/>
  <c r="K1006" i="17"/>
  <c r="K1007" i="17"/>
  <c r="D1008" i="17"/>
  <c r="J1009" i="17"/>
  <c r="K1009" i="17"/>
  <c r="J1010" i="17"/>
  <c r="K1010" i="17"/>
  <c r="J1011" i="17"/>
  <c r="L940" i="17" s="1"/>
  <c r="D1012" i="17"/>
  <c r="J1005" i="17" s="1"/>
  <c r="E1012" i="17"/>
  <c r="E1013" i="17"/>
  <c r="D1014" i="17"/>
  <c r="E1014" i="17"/>
  <c r="E1019" i="17"/>
  <c r="E1020" i="17"/>
  <c r="E1021" i="17"/>
  <c r="E1022" i="17"/>
  <c r="E1023" i="17"/>
  <c r="E1026" i="17"/>
  <c r="E1027" i="17"/>
  <c r="E1028" i="17"/>
  <c r="E1029" i="17"/>
  <c r="E1030" i="17"/>
  <c r="J1033" i="17"/>
  <c r="E1037" i="17"/>
  <c r="E1038" i="17"/>
  <c r="K1040" i="17"/>
  <c r="E1041" i="17"/>
  <c r="E1042" i="17"/>
  <c r="J1042" i="17"/>
  <c r="K1042" i="17"/>
  <c r="E1043" i="17"/>
  <c r="K1043" i="17"/>
  <c r="E1046" i="17"/>
  <c r="E1047" i="17"/>
  <c r="E1048" i="17"/>
  <c r="E1049" i="17"/>
  <c r="E1050" i="17"/>
  <c r="E1051" i="17"/>
  <c r="E1052" i="17"/>
  <c r="D1053" i="17"/>
  <c r="E1053" i="17"/>
  <c r="E1056" i="17"/>
  <c r="E1057" i="17"/>
  <c r="E1058" i="17"/>
  <c r="E1059" i="17"/>
  <c r="E1060" i="17"/>
  <c r="E1061" i="17"/>
  <c r="D1062" i="17"/>
  <c r="E1062" i="17"/>
  <c r="E1065" i="17"/>
  <c r="D1067" i="17"/>
  <c r="E1067" i="17"/>
  <c r="D1068" i="17"/>
  <c r="E1068" i="17"/>
  <c r="D1069" i="17"/>
  <c r="E1069" i="17"/>
  <c r="D1070" i="17"/>
  <c r="J1045" i="17" s="1"/>
  <c r="E1070" i="17"/>
  <c r="D1071" i="17"/>
  <c r="E1071" i="17"/>
  <c r="D1072" i="17"/>
  <c r="D1074" i="17"/>
  <c r="D1078" i="17"/>
  <c r="J1041" i="17" s="1"/>
  <c r="E1078" i="17"/>
  <c r="E1079" i="17"/>
  <c r="D1080" i="17"/>
  <c r="E1080" i="17"/>
  <c r="E1085" i="17"/>
  <c r="E1086" i="17"/>
  <c r="E1087" i="17"/>
  <c r="E1088" i="17"/>
  <c r="D1089" i="17"/>
  <c r="E1089" i="17"/>
  <c r="E1092" i="17"/>
  <c r="E1093" i="17"/>
  <c r="E1094" i="17"/>
  <c r="E1095" i="17"/>
  <c r="D1096" i="17"/>
  <c r="E1096" i="17"/>
  <c r="J1099" i="17"/>
  <c r="E1103" i="17"/>
  <c r="E1104" i="17"/>
  <c r="J1106" i="17"/>
  <c r="K1106" i="17"/>
  <c r="E1107" i="17"/>
  <c r="E1108" i="17"/>
  <c r="J1108" i="17"/>
  <c r="K1108" i="17"/>
  <c r="E1109" i="17"/>
  <c r="K1109" i="17"/>
  <c r="E1112" i="17"/>
  <c r="E1113" i="17"/>
  <c r="E1114" i="17"/>
  <c r="E1115" i="17"/>
  <c r="E1116" i="17"/>
  <c r="E1117" i="17"/>
  <c r="E1118" i="17"/>
  <c r="D1119" i="17"/>
  <c r="E1119" i="17"/>
  <c r="E1122" i="17"/>
  <c r="E1123" i="17"/>
  <c r="E1124" i="17"/>
  <c r="E1125" i="17"/>
  <c r="E1126" i="17"/>
  <c r="E1127" i="17"/>
  <c r="D1128" i="17"/>
  <c r="E1128" i="17"/>
  <c r="E1131" i="17"/>
  <c r="D1133" i="17"/>
  <c r="E1133" i="17"/>
  <c r="D1134" i="17"/>
  <c r="E1134" i="17"/>
  <c r="D1135" i="17"/>
  <c r="E1135" i="17"/>
  <c r="D1136" i="17"/>
  <c r="J1111" i="17" s="1"/>
  <c r="E1136" i="17"/>
  <c r="D1137" i="17"/>
  <c r="E1137" i="17"/>
  <c r="D1138" i="17"/>
  <c r="D1140" i="17"/>
  <c r="D1144" i="17"/>
  <c r="J1107" i="17" s="1"/>
  <c r="E1144" i="17"/>
  <c r="E1145" i="17"/>
  <c r="D1146" i="17"/>
  <c r="E1146" i="17"/>
  <c r="E1151" i="17"/>
  <c r="E1152" i="17"/>
  <c r="E1153" i="17"/>
  <c r="E1154" i="17"/>
  <c r="D1155" i="17"/>
  <c r="E1155" i="17"/>
  <c r="J1158" i="17"/>
  <c r="E1162" i="17"/>
  <c r="E1163" i="17"/>
  <c r="J1165" i="17"/>
  <c r="K1165" i="17"/>
  <c r="E1166" i="17"/>
  <c r="E1167" i="17"/>
  <c r="J1167" i="17"/>
  <c r="K1167" i="17"/>
  <c r="E1168" i="17"/>
  <c r="K1168" i="17"/>
  <c r="E1171" i="17"/>
  <c r="E1172" i="17"/>
  <c r="E1173" i="17"/>
  <c r="E1174" i="17"/>
  <c r="E1175" i="17"/>
  <c r="E1176" i="17"/>
  <c r="E1177" i="17"/>
  <c r="D1178" i="17"/>
  <c r="E1178" i="17"/>
  <c r="E1181" i="17"/>
  <c r="E1182" i="17"/>
  <c r="E1183" i="17"/>
  <c r="E1184" i="17"/>
  <c r="E1185" i="17"/>
  <c r="E1186" i="17"/>
  <c r="D1187" i="17"/>
  <c r="E1187" i="17"/>
  <c r="E1190" i="17"/>
  <c r="D1192" i="17"/>
  <c r="E1192" i="17"/>
  <c r="D1193" i="17"/>
  <c r="E1193" i="17"/>
  <c r="D1194" i="17"/>
  <c r="E1194" i="17"/>
  <c r="D1195" i="17"/>
  <c r="J1170" i="17" s="1"/>
  <c r="E1195" i="17"/>
  <c r="D1196" i="17"/>
  <c r="E1196" i="17"/>
  <c r="D1197" i="17"/>
  <c r="D1199" i="17"/>
  <c r="D1203" i="17"/>
  <c r="J1166" i="17" s="1"/>
  <c r="E1203" i="17"/>
  <c r="E1204" i="17"/>
  <c r="D1205" i="17"/>
  <c r="E1205" i="17"/>
  <c r="E1210" i="17"/>
  <c r="E1211" i="17"/>
  <c r="E1212" i="17"/>
  <c r="E1213" i="17"/>
  <c r="D1214" i="17"/>
  <c r="E1214" i="17"/>
  <c r="J1217" i="17"/>
  <c r="E1221" i="17"/>
  <c r="E1222" i="17"/>
  <c r="E1224" i="17"/>
  <c r="J1224" i="17"/>
  <c r="K1224" i="17"/>
  <c r="E1225" i="17"/>
  <c r="E1226" i="17"/>
  <c r="J1226" i="17"/>
  <c r="K1226" i="17"/>
  <c r="E1227" i="17"/>
  <c r="K1227" i="17"/>
  <c r="E1230" i="17"/>
  <c r="E1231" i="17"/>
  <c r="E1232" i="17"/>
  <c r="E1233" i="17"/>
  <c r="E1234" i="17"/>
  <c r="E1235" i="17"/>
  <c r="E1236" i="17"/>
  <c r="D1237" i="17"/>
  <c r="E1237" i="17"/>
  <c r="E1240" i="17"/>
  <c r="E1241" i="17"/>
  <c r="E1242" i="17"/>
  <c r="E1243" i="17"/>
  <c r="E1244" i="17"/>
  <c r="E1245" i="17"/>
  <c r="D1246" i="17"/>
  <c r="E1246" i="17"/>
  <c r="E1249" i="17"/>
  <c r="D1251" i="17"/>
  <c r="E1251" i="17"/>
  <c r="D1252" i="17"/>
  <c r="E1252" i="17"/>
  <c r="D1253" i="17"/>
  <c r="E1253" i="17"/>
  <c r="D1254" i="17"/>
  <c r="J1229" i="17" s="1"/>
  <c r="E1254" i="17"/>
  <c r="D1255" i="17"/>
  <c r="E1255" i="17"/>
  <c r="D1256" i="17"/>
  <c r="D1258" i="17"/>
  <c r="D1262" i="17"/>
  <c r="J1225" i="17" s="1"/>
  <c r="E1262" i="17"/>
  <c r="E1263" i="17"/>
  <c r="D1264" i="17"/>
  <c r="E1264" i="17"/>
  <c r="E1269" i="17"/>
  <c r="E1270" i="17"/>
  <c r="E1271" i="17"/>
  <c r="E1272" i="17"/>
  <c r="D1273" i="17"/>
  <c r="E1273" i="17"/>
  <c r="J1276" i="17"/>
  <c r="E1280" i="17"/>
  <c r="E1281" i="17"/>
  <c r="E1283" i="17"/>
  <c r="J1283" i="17"/>
  <c r="K1283" i="17"/>
  <c r="E1284" i="17"/>
  <c r="E1285" i="17"/>
  <c r="J1285" i="17"/>
  <c r="K1285" i="17"/>
  <c r="E1286" i="17"/>
  <c r="K1286" i="17"/>
  <c r="E1289" i="17"/>
  <c r="E1290" i="17"/>
  <c r="E1291" i="17"/>
  <c r="E1292" i="17"/>
  <c r="E1293" i="17"/>
  <c r="E1294" i="17"/>
  <c r="E1295" i="17"/>
  <c r="D1296" i="17"/>
  <c r="E1296" i="17"/>
  <c r="E1299" i="17"/>
  <c r="E1300" i="17"/>
  <c r="E1301" i="17"/>
  <c r="E1302" i="17"/>
  <c r="E1303" i="17"/>
  <c r="E1304" i="17"/>
  <c r="D1305" i="17"/>
  <c r="E1305" i="17"/>
  <c r="E1308" i="17"/>
  <c r="D1310" i="17"/>
  <c r="E1310" i="17"/>
  <c r="D1311" i="17"/>
  <c r="E1311" i="17"/>
  <c r="D1312" i="17"/>
  <c r="E1312" i="17"/>
  <c r="D1313" i="17"/>
  <c r="J1288" i="17" s="1"/>
  <c r="E1313" i="17"/>
  <c r="D1314" i="17"/>
  <c r="E1314" i="17"/>
  <c r="D1315" i="17"/>
  <c r="D1317" i="17"/>
  <c r="D1321" i="17"/>
  <c r="J1284" i="17" s="1"/>
  <c r="E1321" i="17"/>
  <c r="E1322" i="17"/>
  <c r="D1323" i="17"/>
  <c r="E1323" i="17"/>
  <c r="E1328" i="17"/>
  <c r="E1329" i="17"/>
  <c r="E1330" i="17"/>
  <c r="E1331" i="17"/>
  <c r="D1332" i="17"/>
  <c r="E1332" i="17"/>
  <c r="J1335" i="17"/>
  <c r="E1339" i="17"/>
  <c r="E1340" i="17"/>
  <c r="J1340" i="17"/>
  <c r="K1340" i="17"/>
  <c r="J1341" i="17"/>
  <c r="K1341" i="17"/>
  <c r="E1342" i="17"/>
  <c r="J1342" i="17"/>
  <c r="K1342" i="17"/>
  <c r="E1343" i="17"/>
  <c r="K1343" i="17"/>
  <c r="E1344" i="17"/>
  <c r="J1344" i="17"/>
  <c r="K1344" i="17"/>
  <c r="E1347" i="17"/>
  <c r="J1347" i="17"/>
  <c r="E1348" i="17"/>
  <c r="E1349" i="17"/>
  <c r="E1350" i="17"/>
  <c r="E1351" i="17"/>
  <c r="E1352" i="17"/>
  <c r="E1353" i="17"/>
  <c r="D1354" i="17"/>
  <c r="E1354" i="17"/>
  <c r="E1357" i="17"/>
  <c r="E1358" i="17"/>
  <c r="E1359" i="17"/>
  <c r="E1360" i="17"/>
  <c r="E1361" i="17"/>
  <c r="E1362" i="17"/>
  <c r="D1363" i="17"/>
  <c r="E1363" i="17"/>
  <c r="E1366" i="17"/>
  <c r="D1368" i="17"/>
  <c r="E1368" i="17"/>
  <c r="D1369" i="17"/>
  <c r="E1369" i="17"/>
  <c r="D1370" i="17"/>
  <c r="E1370" i="17"/>
  <c r="D1371" i="17"/>
  <c r="J1345" i="17" s="1"/>
  <c r="E1371" i="17"/>
  <c r="D1372" i="17"/>
  <c r="E1372" i="17"/>
  <c r="D1373" i="17"/>
  <c r="D1375" i="17"/>
  <c r="D1379" i="17"/>
  <c r="E1379" i="17"/>
  <c r="E1380" i="17"/>
  <c r="D1381" i="17"/>
  <c r="E1381" i="17"/>
  <c r="E1386" i="17"/>
  <c r="E1387" i="17"/>
  <c r="E1388" i="17"/>
  <c r="E1389" i="17"/>
  <c r="D1390" i="17"/>
  <c r="E1390" i="17"/>
  <c r="J1393" i="17"/>
  <c r="E1397" i="17"/>
  <c r="E1398" i="17"/>
  <c r="J1398" i="17"/>
  <c r="K1398" i="17"/>
  <c r="E1400" i="17"/>
  <c r="J1400" i="17"/>
  <c r="K1400" i="17"/>
  <c r="E1401" i="17"/>
  <c r="K1401" i="17"/>
  <c r="E1402" i="17"/>
  <c r="E1405" i="17"/>
  <c r="E1406" i="17"/>
  <c r="E1407" i="17"/>
  <c r="E1408" i="17"/>
  <c r="E1409" i="17"/>
  <c r="E1410" i="17"/>
  <c r="D1411" i="17"/>
  <c r="E1411" i="17"/>
  <c r="E1414" i="17"/>
  <c r="E1415" i="17"/>
  <c r="E1416" i="17"/>
  <c r="E1417" i="17"/>
  <c r="E1418" i="17"/>
  <c r="E1419" i="17"/>
  <c r="D1420" i="17"/>
  <c r="E1420" i="17"/>
  <c r="E1423" i="17"/>
  <c r="D1425" i="17"/>
  <c r="E1425" i="17"/>
  <c r="D1426" i="17"/>
  <c r="J1399" i="17" s="1"/>
  <c r="E1426" i="17"/>
  <c r="D1427" i="17"/>
  <c r="E1427" i="17"/>
  <c r="D1428" i="17"/>
  <c r="J1403" i="17" s="1"/>
  <c r="E1428" i="17"/>
  <c r="D1429" i="17"/>
  <c r="E1429" i="17"/>
  <c r="D1430" i="17"/>
  <c r="D1432" i="17"/>
  <c r="D1436" i="17"/>
  <c r="E1436" i="17"/>
  <c r="E1437" i="17"/>
  <c r="D1438" i="17"/>
  <c r="E1438" i="17"/>
  <c r="E1443" i="17"/>
  <c r="E1444" i="17"/>
  <c r="E1445" i="17"/>
  <c r="E1446" i="17"/>
  <c r="D1447" i="17"/>
  <c r="E1447" i="17"/>
  <c r="J1450" i="17"/>
  <c r="E1454" i="17"/>
  <c r="E1455" i="17"/>
  <c r="J1455" i="17"/>
  <c r="K1455" i="17"/>
  <c r="E1457" i="17"/>
  <c r="J1457" i="17"/>
  <c r="K1457" i="17"/>
  <c r="E1458" i="17"/>
  <c r="K1458" i="17"/>
  <c r="E1459" i="17"/>
  <c r="E1462" i="17"/>
  <c r="E1463" i="17"/>
  <c r="E1464" i="17"/>
  <c r="E1465" i="17"/>
  <c r="E1466" i="17"/>
  <c r="E1467" i="17"/>
  <c r="D1468" i="17"/>
  <c r="E1468" i="17"/>
  <c r="E1471" i="17"/>
  <c r="E1472" i="17"/>
  <c r="E1473" i="17"/>
  <c r="E1474" i="17"/>
  <c r="E1475" i="17"/>
  <c r="E1476" i="17"/>
  <c r="D1477" i="17"/>
  <c r="E1477" i="17"/>
  <c r="E1480" i="17"/>
  <c r="D1482" i="17"/>
  <c r="E1482" i="17"/>
  <c r="D1483" i="17"/>
  <c r="J1456" i="17" s="1"/>
  <c r="E1483" i="17"/>
  <c r="D1484" i="17"/>
  <c r="E1484" i="17"/>
  <c r="D1485" i="17"/>
  <c r="J1460" i="17" s="1"/>
  <c r="E1485" i="17"/>
  <c r="D1486" i="17"/>
  <c r="E1486" i="17"/>
  <c r="D1487" i="17"/>
  <c r="D1489" i="17"/>
  <c r="D1493" i="17"/>
  <c r="E1493" i="17"/>
  <c r="E1494" i="17"/>
  <c r="D1495" i="17"/>
  <c r="E1495" i="17"/>
  <c r="E1500" i="17"/>
  <c r="E1501" i="17"/>
  <c r="E1502" i="17"/>
  <c r="E1503" i="17"/>
  <c r="D1504" i="17"/>
  <c r="E1504" i="17"/>
  <c r="J1462" i="17" l="1"/>
  <c r="F1482" i="17"/>
  <c r="F1484" i="17"/>
  <c r="F1486" i="17"/>
  <c r="K1460" i="17"/>
  <c r="K1461" i="17" s="1"/>
  <c r="J1461" i="17"/>
  <c r="L1397" i="17" s="1"/>
  <c r="K1456" i="17"/>
  <c r="K1459" i="17" s="1"/>
  <c r="J1459" i="17"/>
  <c r="L1395" i="17" s="1"/>
  <c r="L1391" i="17"/>
  <c r="J1405" i="17"/>
  <c r="F1425" i="17"/>
  <c r="F1427" i="17"/>
  <c r="F1429" i="17"/>
  <c r="K1403" i="17"/>
  <c r="K1404" i="17" s="1"/>
  <c r="J1404" i="17"/>
  <c r="L1340" i="17" s="1"/>
  <c r="K1399" i="17"/>
  <c r="K1402" i="17" s="1"/>
  <c r="J1402" i="17"/>
  <c r="L1338" i="17" s="1"/>
  <c r="L1334" i="17"/>
  <c r="F1368" i="17"/>
  <c r="F1370" i="17"/>
  <c r="F1372" i="17"/>
  <c r="K1345" i="17"/>
  <c r="K1346" i="17" s="1"/>
  <c r="J1346" i="17"/>
  <c r="L1282" i="17" s="1"/>
  <c r="L1280" i="17"/>
  <c r="L1276" i="17"/>
  <c r="K1284" i="17"/>
  <c r="K1287" i="17" s="1"/>
  <c r="J1287" i="17"/>
  <c r="J1290" i="17"/>
  <c r="F1310" i="17"/>
  <c r="F1312" i="17"/>
  <c r="F1314" i="17"/>
  <c r="K1288" i="17"/>
  <c r="K1289" i="17" s="1"/>
  <c r="J1289" i="17"/>
  <c r="L1225" i="17" s="1"/>
  <c r="L1219" i="17"/>
  <c r="K1225" i="17"/>
  <c r="K1228" i="17" s="1"/>
  <c r="J1228" i="17"/>
  <c r="J1231" i="17"/>
  <c r="F1251" i="17"/>
  <c r="F1253" i="17"/>
  <c r="F1255" i="17"/>
  <c r="K1229" i="17"/>
  <c r="K1230" i="17" s="1"/>
  <c r="J1230" i="17"/>
  <c r="L1166" i="17" s="1"/>
  <c r="L1160" i="17"/>
  <c r="K1166" i="17"/>
  <c r="K1169" i="17" s="1"/>
  <c r="J1169" i="17"/>
  <c r="J1172" i="17"/>
  <c r="F1192" i="17"/>
  <c r="F1194" i="17"/>
  <c r="F1196" i="17"/>
  <c r="K1170" i="17"/>
  <c r="K1171" i="17" s="1"/>
  <c r="J1171" i="17"/>
  <c r="L1107" i="17" s="1"/>
  <c r="L1101" i="17"/>
  <c r="K1107" i="17"/>
  <c r="K1110" i="17" s="1"/>
  <c r="J1110" i="17"/>
  <c r="J1113" i="17"/>
  <c r="F1133" i="17"/>
  <c r="F1135" i="17"/>
  <c r="F1137" i="17"/>
  <c r="K1111" i="17"/>
  <c r="K1112" i="17" s="1"/>
  <c r="J1112" i="17"/>
  <c r="L1048" i="17" s="1"/>
  <c r="L1042" i="17"/>
  <c r="K1041" i="17"/>
  <c r="K1044" i="17" s="1"/>
  <c r="J1044" i="17"/>
  <c r="J1047" i="17"/>
  <c r="L976" i="17" s="1"/>
  <c r="F1067" i="17"/>
  <c r="F1069" i="17"/>
  <c r="F1071" i="17"/>
  <c r="K1045" i="17"/>
  <c r="K1046" i="17" s="1"/>
  <c r="J1046" i="17"/>
  <c r="L982" i="17" s="1"/>
  <c r="K1005" i="17"/>
  <c r="K1008" i="17" s="1"/>
  <c r="J1008" i="17"/>
  <c r="L944" i="17" s="1"/>
  <c r="L946" i="17"/>
  <c r="F1001" i="17"/>
  <c r="F1003" i="17"/>
  <c r="F1005" i="17"/>
  <c r="K971" i="17"/>
  <c r="K974" i="17" s="1"/>
  <c r="J974" i="17"/>
  <c r="L910" i="17" s="1"/>
  <c r="L912" i="17"/>
  <c r="F967" i="17"/>
  <c r="F969" i="17"/>
  <c r="F971" i="17"/>
  <c r="K936" i="17"/>
  <c r="K939" i="17" s="1"/>
  <c r="J939" i="17"/>
  <c r="L875" i="17" s="1"/>
  <c r="L877" i="17"/>
  <c r="F932" i="17"/>
  <c r="F934" i="17"/>
  <c r="F936" i="17"/>
  <c r="E885" i="17"/>
  <c r="E886" i="17"/>
  <c r="E887" i="17"/>
  <c r="E888" i="17"/>
  <c r="E892" i="17"/>
  <c r="E893" i="17"/>
  <c r="E894" i="17"/>
  <c r="E895" i="17"/>
  <c r="E912" i="17"/>
  <c r="E913" i="17" s="1"/>
  <c r="E918" i="17"/>
  <c r="E919" i="17"/>
  <c r="E920" i="17"/>
  <c r="E921" i="17"/>
  <c r="E925" i="17"/>
  <c r="E926" i="17"/>
  <c r="E927" i="17"/>
  <c r="E928" i="17"/>
  <c r="K903" i="17"/>
  <c r="K906" i="17" s="1"/>
  <c r="J906" i="17"/>
  <c r="L842" i="17" s="1"/>
  <c r="L844" i="17"/>
  <c r="F899" i="17"/>
  <c r="F901" i="17"/>
  <c r="F903" i="17"/>
  <c r="K870" i="17"/>
  <c r="K873" i="17" s="1"/>
  <c r="J873" i="17"/>
  <c r="L809" i="17" s="1"/>
  <c r="L811" i="17"/>
  <c r="F866" i="17"/>
  <c r="F868" i="17"/>
  <c r="F870" i="17"/>
  <c r="K833" i="17"/>
  <c r="K838" i="17"/>
  <c r="K834" i="17"/>
  <c r="J837" i="17"/>
  <c r="L773" i="17" s="1"/>
  <c r="L775" i="17"/>
  <c r="F830" i="17"/>
  <c r="F832" i="17"/>
  <c r="F834" i="17"/>
  <c r="K799" i="17"/>
  <c r="K802" i="17" s="1"/>
  <c r="J802" i="17"/>
  <c r="L738" i="17" s="1"/>
  <c r="L740" i="17"/>
  <c r="F795" i="17"/>
  <c r="F797" i="17"/>
  <c r="F799" i="17"/>
  <c r="E779" i="17"/>
  <c r="E780" i="17"/>
  <c r="E781" i="17"/>
  <c r="E782" i="17"/>
  <c r="E786" i="17"/>
  <c r="E787" i="17"/>
  <c r="E788" i="17"/>
  <c r="E789" i="17"/>
  <c r="K764" i="17"/>
  <c r="K767" i="17" s="1"/>
  <c r="J767" i="17"/>
  <c r="L703" i="17" s="1"/>
  <c r="L705" i="17"/>
  <c r="F760" i="17"/>
  <c r="F762" i="17"/>
  <c r="F764" i="17"/>
  <c r="K717" i="17"/>
  <c r="K720" i="17" s="1"/>
  <c r="J720" i="17"/>
  <c r="L656" i="17" s="1"/>
  <c r="L658" i="17"/>
  <c r="F713" i="17"/>
  <c r="F715" i="17"/>
  <c r="F717" i="17"/>
  <c r="K605" i="17"/>
  <c r="K661" i="17"/>
  <c r="K663" i="17"/>
  <c r="K664" i="17"/>
  <c r="K666" i="17"/>
  <c r="E670" i="17"/>
  <c r="E672" i="17" s="1"/>
  <c r="K662" i="17"/>
  <c r="J665" i="17"/>
  <c r="L601" i="17" s="1"/>
  <c r="L603" i="17"/>
  <c r="F658" i="17"/>
  <c r="F660" i="17"/>
  <c r="F662" i="17"/>
  <c r="K606" i="17"/>
  <c r="J609" i="17"/>
  <c r="L545" i="17" s="1"/>
  <c r="L547" i="17"/>
  <c r="F602" i="17"/>
  <c r="F604" i="17"/>
  <c r="F606" i="17"/>
  <c r="K551" i="17"/>
  <c r="K554" i="17" s="1"/>
  <c r="J554" i="17"/>
  <c r="L490" i="17" s="1"/>
  <c r="L492" i="17"/>
  <c r="F547" i="17"/>
  <c r="F549" i="17"/>
  <c r="F551" i="17"/>
  <c r="K496" i="17"/>
  <c r="K499" i="17" s="1"/>
  <c r="J499" i="17"/>
  <c r="L435" i="17" s="1"/>
  <c r="L437" i="17"/>
  <c r="F492" i="17"/>
  <c r="F494" i="17"/>
  <c r="F496" i="17"/>
  <c r="K438" i="17"/>
  <c r="K441" i="17" s="1"/>
  <c r="J441" i="17"/>
  <c r="L377" i="17" s="1"/>
  <c r="L379" i="17"/>
  <c r="F434" i="17"/>
  <c r="F436" i="17"/>
  <c r="F438" i="17"/>
  <c r="K379" i="17"/>
  <c r="E388" i="17"/>
  <c r="E390" i="17" s="1"/>
  <c r="K380" i="17"/>
  <c r="J383" i="17"/>
  <c r="L319" i="17" s="1"/>
  <c r="L321" i="17"/>
  <c r="F376" i="17"/>
  <c r="F378" i="17"/>
  <c r="F380" i="17"/>
  <c r="J315" i="17"/>
  <c r="F318" i="17"/>
  <c r="F320" i="17"/>
  <c r="F322" i="17"/>
  <c r="J251" i="17"/>
  <c r="F254" i="17"/>
  <c r="F256" i="17"/>
  <c r="F258" i="17"/>
  <c r="J187" i="17"/>
  <c r="F190" i="17"/>
  <c r="F192" i="17"/>
  <c r="F194" i="17"/>
  <c r="J132" i="17"/>
  <c r="F135" i="17"/>
  <c r="F137" i="17"/>
  <c r="F139" i="17"/>
  <c r="J76" i="17"/>
  <c r="F79" i="17"/>
  <c r="F81" i="17"/>
  <c r="F83" i="17"/>
  <c r="J9" i="17"/>
  <c r="F16" i="17"/>
  <c r="F18" i="17"/>
  <c r="F20" i="17"/>
  <c r="E10" i="17"/>
  <c r="E16" i="17" s="1"/>
  <c r="P210" i="15"/>
  <c r="Q210" i="15"/>
  <c r="AS210" i="15"/>
  <c r="AT210" i="15"/>
  <c r="AP210" i="15"/>
  <c r="AO210" i="15"/>
  <c r="AN210" i="15"/>
  <c r="AM210" i="15"/>
  <c r="AL210" i="15"/>
  <c r="AK210" i="15"/>
  <c r="AJ210" i="15"/>
  <c r="AI210" i="15"/>
  <c r="AH210" i="15"/>
  <c r="AG210" i="15"/>
  <c r="AF210" i="15"/>
  <c r="AE210" i="15"/>
  <c r="AD210" i="15"/>
  <c r="M210" i="15"/>
  <c r="N210" i="15"/>
  <c r="BC36" i="15"/>
  <c r="BC79" i="15"/>
  <c r="Q113" i="15"/>
  <c r="AL36" i="15"/>
  <c r="BJ36" i="15"/>
  <c r="AD36" i="15"/>
  <c r="BF36" i="15"/>
  <c r="Z36" i="15"/>
  <c r="Z79" i="15"/>
  <c r="AR37" i="15"/>
  <c r="BL37" i="15"/>
  <c r="AQ37" i="15"/>
  <c r="BK37" i="15"/>
  <c r="AK37" i="15"/>
  <c r="BI37" i="15"/>
  <c r="AJ37" i="15"/>
  <c r="BH37" i="15"/>
  <c r="AI37" i="15"/>
  <c r="BG37" i="15"/>
  <c r="AH37" i="15"/>
  <c r="BJ37" i="15"/>
  <c r="AD37" i="15"/>
  <c r="BF37" i="15"/>
  <c r="BB75" i="15"/>
  <c r="AX75" i="15"/>
  <c r="AT75" i="15"/>
  <c r="AP75" i="15"/>
  <c r="AL75" i="15"/>
  <c r="AH75" i="15"/>
  <c r="AD75" i="15"/>
  <c r="V75" i="15"/>
  <c r="Q74" i="15"/>
  <c r="Q71" i="15"/>
  <c r="Q70" i="15"/>
  <c r="Q69" i="15"/>
  <c r="Q68" i="15"/>
  <c r="Q67" i="15"/>
  <c r="Q65" i="15"/>
  <c r="Q64" i="15"/>
  <c r="AZ41" i="15"/>
  <c r="Q63" i="15"/>
  <c r="Q61" i="15"/>
  <c r="Q60" i="15"/>
  <c r="Q59" i="15"/>
  <c r="Q58" i="15"/>
  <c r="AZ67" i="20"/>
  <c r="Q52" i="15"/>
  <c r="L67" i="20"/>
  <c r="M67" i="20"/>
  <c r="BJ67" i="20"/>
  <c r="BA42" i="15"/>
  <c r="Q46" i="15"/>
  <c r="AJ21" i="20"/>
  <c r="AK21" i="20"/>
  <c r="L21" i="20"/>
  <c r="M21" i="20"/>
  <c r="BB125" i="20"/>
  <c r="Q7" i="15"/>
  <c r="Q125" i="20" l="1"/>
  <c r="Q9" i="15"/>
  <c r="Q101" i="15"/>
  <c r="Q42" i="15"/>
  <c r="Q54" i="15"/>
  <c r="Q57" i="15"/>
  <c r="Q85" i="15"/>
  <c r="Q163" i="15"/>
  <c r="Q239" i="15"/>
  <c r="Q168" i="15"/>
  <c r="Q244" i="15"/>
  <c r="Q169" i="15"/>
  <c r="Q245" i="15"/>
  <c r="Q86" i="15"/>
  <c r="Q142" i="15" s="1"/>
  <c r="Q218" i="15" s="1"/>
  <c r="Q170" i="15"/>
  <c r="Q246" i="15"/>
  <c r="Q171" i="15"/>
  <c r="Q247" i="15"/>
  <c r="Q41" i="15"/>
  <c r="Q88" i="15"/>
  <c r="Q143" i="15" s="1"/>
  <c r="Q219" i="15" s="1"/>
  <c r="Q173" i="15"/>
  <c r="Q249" i="15"/>
  <c r="Q174" i="15"/>
  <c r="Q250" i="15"/>
  <c r="Q175" i="15"/>
  <c r="Q251" i="15"/>
  <c r="Q177" i="15"/>
  <c r="Q253" i="15"/>
  <c r="Q178" i="15"/>
  <c r="Q254" i="15"/>
  <c r="Q179" i="15"/>
  <c r="Q255" i="15"/>
  <c r="Q180" i="15"/>
  <c r="Q256" i="15"/>
  <c r="Q181" i="15"/>
  <c r="Q257" i="15"/>
  <c r="Q184" i="15"/>
  <c r="Q259" i="15"/>
  <c r="V76" i="15"/>
  <c r="V185" i="15"/>
  <c r="V260" i="15"/>
  <c r="AD76" i="15"/>
  <c r="AD185" i="15"/>
  <c r="AD260" i="15"/>
  <c r="AH76" i="15"/>
  <c r="AH185" i="15"/>
  <c r="AH260" i="15"/>
  <c r="AL76" i="15"/>
  <c r="AL185" i="15"/>
  <c r="AL260" i="15"/>
  <c r="AP76" i="15"/>
  <c r="AP185" i="15"/>
  <c r="AP260" i="15"/>
  <c r="AT76" i="15"/>
  <c r="AT185" i="15"/>
  <c r="AT260" i="15"/>
  <c r="AX76" i="15"/>
  <c r="AX185" i="15"/>
  <c r="AX260" i="15"/>
  <c r="BB76" i="15"/>
  <c r="BB185" i="15"/>
  <c r="BB260" i="15"/>
  <c r="Q75" i="15"/>
  <c r="Q36" i="15"/>
  <c r="Q79" i="15"/>
  <c r="Q115" i="15"/>
  <c r="Q145" i="15"/>
  <c r="Q221" i="15" s="1"/>
  <c r="Q188" i="15"/>
  <c r="Q263" i="15" s="1"/>
  <c r="N215" i="15"/>
  <c r="N216" i="15"/>
  <c r="N218" i="15"/>
  <c r="N219" i="15"/>
  <c r="N220" i="15"/>
  <c r="N233" i="15"/>
  <c r="N239" i="15"/>
  <c r="N243" i="15"/>
  <c r="N244" i="15"/>
  <c r="N245" i="15"/>
  <c r="N246" i="15"/>
  <c r="N247" i="15"/>
  <c r="N248" i="15"/>
  <c r="N249" i="15"/>
  <c r="N250" i="15"/>
  <c r="N251" i="15"/>
  <c r="N252" i="15"/>
  <c r="N253" i="15"/>
  <c r="N254" i="15"/>
  <c r="N255" i="15"/>
  <c r="N256" i="15"/>
  <c r="N257" i="15"/>
  <c r="N258" i="15"/>
  <c r="N259" i="15"/>
  <c r="N260" i="15"/>
  <c r="N261" i="15"/>
  <c r="N274" i="15"/>
  <c r="M215" i="15"/>
  <c r="M216" i="15"/>
  <c r="M218" i="15"/>
  <c r="M219" i="15"/>
  <c r="M220" i="15"/>
  <c r="M233" i="15"/>
  <c r="M239" i="15"/>
  <c r="M243" i="15"/>
  <c r="M244" i="15"/>
  <c r="M245" i="15"/>
  <c r="M246" i="15"/>
  <c r="M247" i="15"/>
  <c r="M248" i="15"/>
  <c r="M249" i="15"/>
  <c r="M250" i="15"/>
  <c r="M251" i="15"/>
  <c r="M252" i="15"/>
  <c r="M253" i="15"/>
  <c r="M254" i="15"/>
  <c r="M255" i="15"/>
  <c r="M256" i="15"/>
  <c r="M257" i="15"/>
  <c r="M258" i="15"/>
  <c r="M259" i="15"/>
  <c r="M260" i="15"/>
  <c r="M261" i="15"/>
  <c r="M274" i="15"/>
  <c r="F210" i="15"/>
  <c r="G210" i="15"/>
  <c r="AD215" i="15"/>
  <c r="AE215" i="15"/>
  <c r="AF215" i="15"/>
  <c r="AG215" i="15"/>
  <c r="AD216" i="15"/>
  <c r="AE216" i="15"/>
  <c r="AF216" i="15"/>
  <c r="AG216" i="15"/>
  <c r="AD218" i="15"/>
  <c r="AE218" i="15"/>
  <c r="AF218" i="15"/>
  <c r="AG218" i="15"/>
  <c r="AD219" i="15"/>
  <c r="AE219" i="15"/>
  <c r="AF219" i="15"/>
  <c r="AG219" i="15"/>
  <c r="AD220" i="15"/>
  <c r="AE220" i="15"/>
  <c r="AF220" i="15"/>
  <c r="AG220" i="15"/>
  <c r="AD233" i="15"/>
  <c r="AD234" i="15" s="1"/>
  <c r="AD239" i="15"/>
  <c r="AD243" i="15"/>
  <c r="AD244" i="15"/>
  <c r="AD245" i="15"/>
  <c r="AD246" i="15"/>
  <c r="AD247" i="15"/>
  <c r="AD248" i="15"/>
  <c r="AD249" i="15"/>
  <c r="AD250" i="15"/>
  <c r="AD251" i="15"/>
  <c r="AD252" i="15"/>
  <c r="AD253" i="15"/>
  <c r="AD254" i="15"/>
  <c r="AD255" i="15"/>
  <c r="AD256" i="15"/>
  <c r="AD257" i="15"/>
  <c r="AD258" i="15"/>
  <c r="AD259" i="15"/>
  <c r="H210" i="15"/>
  <c r="AH215" i="15"/>
  <c r="AH216" i="15"/>
  <c r="AH218" i="15"/>
  <c r="AH219" i="15"/>
  <c r="AH220" i="15"/>
  <c r="AE233" i="15"/>
  <c r="AE234" i="15" s="1"/>
  <c r="AE239" i="15"/>
  <c r="AE243" i="15"/>
  <c r="AE244" i="15"/>
  <c r="AE245" i="15"/>
  <c r="AE246" i="15"/>
  <c r="AE247" i="15"/>
  <c r="AE248" i="15"/>
  <c r="AE249" i="15"/>
  <c r="AE250" i="15"/>
  <c r="AE251" i="15"/>
  <c r="AE252" i="15"/>
  <c r="AE253" i="15"/>
  <c r="AE254" i="15"/>
  <c r="AE255" i="15"/>
  <c r="AE256" i="15"/>
  <c r="AE257" i="15"/>
  <c r="AE258" i="15"/>
  <c r="AE259" i="15"/>
  <c r="AE260" i="15"/>
  <c r="AE261" i="15"/>
  <c r="I210" i="15"/>
  <c r="AI215" i="15"/>
  <c r="AI216" i="15"/>
  <c r="AI218" i="15"/>
  <c r="AI219" i="15"/>
  <c r="AI220" i="15"/>
  <c r="AF233" i="15"/>
  <c r="AF234" i="15" s="1"/>
  <c r="AF239" i="15"/>
  <c r="AF243" i="15"/>
  <c r="AF244" i="15"/>
  <c r="AF245" i="15"/>
  <c r="AF246" i="15"/>
  <c r="AF247" i="15"/>
  <c r="AF248" i="15"/>
  <c r="AF249" i="15"/>
  <c r="AF250" i="15"/>
  <c r="AF251" i="15"/>
  <c r="AF252" i="15"/>
  <c r="AF253" i="15"/>
  <c r="AF254" i="15"/>
  <c r="AF255" i="15"/>
  <c r="AF256" i="15"/>
  <c r="AF257" i="15"/>
  <c r="AF258" i="15"/>
  <c r="AF259" i="15"/>
  <c r="AF260" i="15"/>
  <c r="AF261" i="15"/>
  <c r="AJ215" i="15"/>
  <c r="AJ216" i="15"/>
  <c r="AJ218" i="15"/>
  <c r="AJ219" i="15"/>
  <c r="AJ220" i="15"/>
  <c r="AG233" i="15"/>
  <c r="AG234" i="15" s="1"/>
  <c r="AG239" i="15"/>
  <c r="AG243" i="15"/>
  <c r="AG244" i="15"/>
  <c r="AG245" i="15"/>
  <c r="AG246" i="15"/>
  <c r="AG247" i="15"/>
  <c r="AG248" i="15"/>
  <c r="AG249" i="15"/>
  <c r="AG250" i="15"/>
  <c r="AG251" i="15"/>
  <c r="AG252" i="15"/>
  <c r="AG253" i="15"/>
  <c r="AG254" i="15"/>
  <c r="AG255" i="15"/>
  <c r="AG256" i="15"/>
  <c r="AG257" i="15"/>
  <c r="AG258" i="15"/>
  <c r="AG259" i="15"/>
  <c r="AG260" i="15"/>
  <c r="AG261" i="15"/>
  <c r="J210" i="15"/>
  <c r="AK215" i="15"/>
  <c r="AK216" i="15"/>
  <c r="AK218" i="15"/>
  <c r="AK219" i="15"/>
  <c r="AK220" i="15"/>
  <c r="AH233" i="15"/>
  <c r="AH234" i="15" s="1"/>
  <c r="AH239" i="15"/>
  <c r="AH243" i="15"/>
  <c r="AH244" i="15"/>
  <c r="AH245" i="15"/>
  <c r="AH246" i="15"/>
  <c r="AH247" i="15"/>
  <c r="AH248" i="15"/>
  <c r="AH249" i="15"/>
  <c r="AH250" i="15"/>
  <c r="AH251" i="15"/>
  <c r="AH252" i="15"/>
  <c r="AH253" i="15"/>
  <c r="AH254" i="15"/>
  <c r="AH255" i="15"/>
  <c r="AH256" i="15"/>
  <c r="AH257" i="15"/>
  <c r="AH258" i="15"/>
  <c r="AH259" i="15"/>
  <c r="AL215" i="15"/>
  <c r="AL216" i="15"/>
  <c r="AL218" i="15"/>
  <c r="AL219" i="15"/>
  <c r="AL220" i="15"/>
  <c r="AI233" i="15"/>
  <c r="AI234" i="15" s="1"/>
  <c r="AI239" i="15"/>
  <c r="AI243" i="15"/>
  <c r="AI244" i="15"/>
  <c r="AI245" i="15"/>
  <c r="AI246" i="15"/>
  <c r="AI247" i="15"/>
  <c r="AI248" i="15"/>
  <c r="AI249" i="15"/>
  <c r="AI250" i="15"/>
  <c r="AI251" i="15"/>
  <c r="AI252" i="15"/>
  <c r="AI253" i="15"/>
  <c r="AI254" i="15"/>
  <c r="AI255" i="15"/>
  <c r="AI256" i="15"/>
  <c r="AI257" i="15"/>
  <c r="AI258" i="15"/>
  <c r="AI259" i="15"/>
  <c r="AI260" i="15"/>
  <c r="AI261" i="15"/>
  <c r="AM215" i="15"/>
  <c r="AM216" i="15"/>
  <c r="AM218" i="15"/>
  <c r="AM219" i="15"/>
  <c r="AM220" i="15"/>
  <c r="AJ233" i="15"/>
  <c r="AJ234" i="15" s="1"/>
  <c r="AJ239" i="15"/>
  <c r="AJ243" i="15"/>
  <c r="AJ244" i="15"/>
  <c r="AJ245" i="15"/>
  <c r="AJ246" i="15"/>
  <c r="AJ247" i="15"/>
  <c r="AJ248" i="15"/>
  <c r="AJ249" i="15"/>
  <c r="AJ250" i="15"/>
  <c r="AJ251" i="15"/>
  <c r="AJ252" i="15"/>
  <c r="AJ253" i="15"/>
  <c r="AJ254" i="15"/>
  <c r="AJ255" i="15"/>
  <c r="AJ256" i="15"/>
  <c r="AJ257" i="15"/>
  <c r="AJ258" i="15"/>
  <c r="AJ259" i="15"/>
  <c r="AJ260" i="15"/>
  <c r="AJ261" i="15"/>
  <c r="AN215" i="15"/>
  <c r="AN216" i="15"/>
  <c r="AN218" i="15"/>
  <c r="AN219" i="15"/>
  <c r="AN220" i="15"/>
  <c r="AK233" i="15"/>
  <c r="AK234" i="15" s="1"/>
  <c r="AK239" i="15"/>
  <c r="AK243" i="15"/>
  <c r="AK244" i="15"/>
  <c r="AK245" i="15"/>
  <c r="AK246" i="15"/>
  <c r="AK247" i="15"/>
  <c r="AK248" i="15"/>
  <c r="AK249" i="15"/>
  <c r="AK250" i="15"/>
  <c r="AK251" i="15"/>
  <c r="AK252" i="15"/>
  <c r="AK253" i="15"/>
  <c r="AK254" i="15"/>
  <c r="AK255" i="15"/>
  <c r="AK256" i="15"/>
  <c r="AK257" i="15"/>
  <c r="AK258" i="15"/>
  <c r="AK259" i="15"/>
  <c r="AK260" i="15"/>
  <c r="AK261" i="15"/>
  <c r="AO215" i="15"/>
  <c r="AO216" i="15"/>
  <c r="AO218" i="15"/>
  <c r="AO219" i="15"/>
  <c r="AO220" i="15"/>
  <c r="AL233" i="15"/>
  <c r="AL234" i="15" s="1"/>
  <c r="AL239" i="15"/>
  <c r="AL243" i="15"/>
  <c r="AL244" i="15"/>
  <c r="AL245" i="15"/>
  <c r="AL246" i="15"/>
  <c r="AL247" i="15"/>
  <c r="AL248" i="15"/>
  <c r="AL249" i="15"/>
  <c r="AL250" i="15"/>
  <c r="AL251" i="15"/>
  <c r="AL252" i="15"/>
  <c r="AL253" i="15"/>
  <c r="AL254" i="15"/>
  <c r="AL255" i="15"/>
  <c r="AL256" i="15"/>
  <c r="AL257" i="15"/>
  <c r="AL258" i="15"/>
  <c r="AL259" i="15"/>
  <c r="K210" i="15"/>
  <c r="L210" i="15"/>
  <c r="AP215" i="15"/>
  <c r="AP216" i="15"/>
  <c r="AP218" i="15"/>
  <c r="AP219" i="15"/>
  <c r="AP220" i="15"/>
  <c r="AM233" i="15"/>
  <c r="AM239" i="15"/>
  <c r="AM243" i="15"/>
  <c r="AM244" i="15"/>
  <c r="AM245" i="15"/>
  <c r="AM246" i="15"/>
  <c r="AM247" i="15"/>
  <c r="AM248" i="15"/>
  <c r="AM249" i="15"/>
  <c r="AM250" i="15"/>
  <c r="AM251" i="15"/>
  <c r="AM252" i="15"/>
  <c r="AM253" i="15"/>
  <c r="AM254" i="15"/>
  <c r="AM255" i="15"/>
  <c r="AM256" i="15"/>
  <c r="AM257" i="15"/>
  <c r="AM258" i="15"/>
  <c r="AM259" i="15"/>
  <c r="AM260" i="15"/>
  <c r="AM261" i="15"/>
  <c r="AQ215" i="15"/>
  <c r="AQ216" i="15"/>
  <c r="AQ218" i="15"/>
  <c r="AQ219" i="15"/>
  <c r="AQ220" i="15"/>
  <c r="AN233" i="15"/>
  <c r="AN239" i="15"/>
  <c r="AN243" i="15"/>
  <c r="AN244" i="15"/>
  <c r="AN245" i="15"/>
  <c r="AN246" i="15"/>
  <c r="AN247" i="15"/>
  <c r="AN248" i="15"/>
  <c r="AN249" i="15"/>
  <c r="AN250" i="15"/>
  <c r="AN251" i="15"/>
  <c r="AN252" i="15"/>
  <c r="AN253" i="15"/>
  <c r="AN254" i="15"/>
  <c r="AN255" i="15"/>
  <c r="AN256" i="15"/>
  <c r="AN257" i="15"/>
  <c r="AN258" i="15"/>
  <c r="AN259" i="15"/>
  <c r="AN260" i="15"/>
  <c r="AN261" i="15"/>
  <c r="AR215" i="15"/>
  <c r="AR216" i="15"/>
  <c r="AR218" i="15"/>
  <c r="AR219" i="15"/>
  <c r="AR220" i="15"/>
  <c r="AO233" i="15"/>
  <c r="AO234" i="15" s="1"/>
  <c r="AO239" i="15"/>
  <c r="AO243" i="15"/>
  <c r="AO244" i="15"/>
  <c r="AO245" i="15"/>
  <c r="AO246" i="15"/>
  <c r="AO247" i="15"/>
  <c r="AO248" i="15"/>
  <c r="AO249" i="15"/>
  <c r="AO250" i="15"/>
  <c r="AO251" i="15"/>
  <c r="AO252" i="15"/>
  <c r="AO253" i="15"/>
  <c r="AO254" i="15"/>
  <c r="AO255" i="15"/>
  <c r="AO256" i="15"/>
  <c r="AO257" i="15"/>
  <c r="AO258" i="15"/>
  <c r="AO259" i="15"/>
  <c r="AO260" i="15"/>
  <c r="AO261" i="15"/>
  <c r="AS215" i="15"/>
  <c r="AS216" i="15"/>
  <c r="AS218" i="15"/>
  <c r="AS219" i="15"/>
  <c r="AS220" i="15"/>
  <c r="AP233" i="15"/>
  <c r="AP234" i="15" s="1"/>
  <c r="AP239" i="15"/>
  <c r="AP243" i="15"/>
  <c r="AP244" i="15"/>
  <c r="AP245" i="15"/>
  <c r="AP246" i="15"/>
  <c r="AP247" i="15"/>
  <c r="AP248" i="15"/>
  <c r="AP249" i="15"/>
  <c r="AP250" i="15"/>
  <c r="AP251" i="15"/>
  <c r="AP252" i="15"/>
  <c r="AP253" i="15"/>
  <c r="AP254" i="15"/>
  <c r="AP255" i="15"/>
  <c r="AP256" i="15"/>
  <c r="AP257" i="15"/>
  <c r="AP258" i="15"/>
  <c r="AP259" i="15"/>
  <c r="AW215" i="15"/>
  <c r="AW216" i="15"/>
  <c r="AW218" i="15"/>
  <c r="AW219" i="15"/>
  <c r="AW220" i="15"/>
  <c r="AT233" i="15"/>
  <c r="AT239" i="15"/>
  <c r="AT243" i="15"/>
  <c r="AT244" i="15"/>
  <c r="AT245" i="15"/>
  <c r="AT246" i="15"/>
  <c r="AT247" i="15"/>
  <c r="AT248" i="15"/>
  <c r="AT249" i="15"/>
  <c r="AT250" i="15"/>
  <c r="AT251" i="15"/>
  <c r="AT252" i="15"/>
  <c r="AT253" i="15"/>
  <c r="AT254" i="15"/>
  <c r="AT255" i="15"/>
  <c r="AT256" i="15"/>
  <c r="AT257" i="15"/>
  <c r="AT258" i="15"/>
  <c r="AT259" i="15"/>
  <c r="AT215" i="15"/>
  <c r="AU215" i="15"/>
  <c r="AV215" i="15"/>
  <c r="AT216" i="15"/>
  <c r="AU216" i="15"/>
  <c r="AV216" i="15"/>
  <c r="AT218" i="15"/>
  <c r="AU218" i="15"/>
  <c r="AV218" i="15"/>
  <c r="AT219" i="15"/>
  <c r="AU219" i="15"/>
  <c r="AV219" i="15"/>
  <c r="AT220" i="15"/>
  <c r="AU220" i="15"/>
  <c r="AV220" i="15"/>
  <c r="AS233" i="15"/>
  <c r="AS239" i="15"/>
  <c r="AS243" i="15"/>
  <c r="AS244" i="15"/>
  <c r="AS245" i="15"/>
  <c r="AS246" i="15"/>
  <c r="AS247" i="15"/>
  <c r="AS248" i="15"/>
  <c r="AS249" i="15"/>
  <c r="AS250" i="15"/>
  <c r="AS251" i="15"/>
  <c r="AS252" i="15"/>
  <c r="AS253" i="15"/>
  <c r="AS254" i="15"/>
  <c r="AS255" i="15"/>
  <c r="AS256" i="15"/>
  <c r="AS257" i="15"/>
  <c r="AS258" i="15"/>
  <c r="AS259" i="15"/>
  <c r="AS260" i="15"/>
  <c r="AS261" i="15"/>
  <c r="J4" i="17"/>
  <c r="E21" i="17" s="1"/>
  <c r="J71" i="17"/>
  <c r="E84" i="17" s="1"/>
  <c r="P215" i="15"/>
  <c r="P216" i="15"/>
  <c r="P218" i="15"/>
  <c r="P219" i="15"/>
  <c r="P220" i="15"/>
  <c r="P233" i="15"/>
  <c r="P234" i="15" s="1"/>
  <c r="P239" i="15"/>
  <c r="P243" i="15"/>
  <c r="P244" i="15"/>
  <c r="P245" i="15"/>
  <c r="P246" i="15"/>
  <c r="P247" i="15"/>
  <c r="P248" i="15"/>
  <c r="P249" i="15"/>
  <c r="P250" i="15"/>
  <c r="P251" i="15"/>
  <c r="P252" i="15"/>
  <c r="P253" i="15"/>
  <c r="P254" i="15"/>
  <c r="P255" i="15"/>
  <c r="P256" i="15"/>
  <c r="P257" i="15"/>
  <c r="P258" i="15"/>
  <c r="P259" i="15"/>
  <c r="P260" i="15"/>
  <c r="P261" i="15"/>
  <c r="P274" i="15"/>
  <c r="G16" i="17"/>
  <c r="E18" i="17"/>
  <c r="E20" i="17"/>
  <c r="G20" i="17" s="1"/>
  <c r="K383" i="17"/>
  <c r="K385" i="17"/>
  <c r="K665" i="17"/>
  <c r="K667" i="17"/>
  <c r="K609" i="17"/>
  <c r="K611" i="17"/>
  <c r="E790" i="17"/>
  <c r="E783" i="17"/>
  <c r="K837" i="17"/>
  <c r="K839" i="17"/>
  <c r="E929" i="17"/>
  <c r="E922" i="17"/>
  <c r="E896" i="17"/>
  <c r="E889" i="17"/>
  <c r="L980" i="17"/>
  <c r="L1046" i="17"/>
  <c r="L1105" i="17"/>
  <c r="L1164" i="17"/>
  <c r="L1223" i="17"/>
  <c r="G18" i="17" l="1"/>
  <c r="E25" i="17"/>
  <c r="E26" i="17" s="1"/>
  <c r="P276" i="15"/>
  <c r="P277" i="15"/>
  <c r="P279" i="15"/>
  <c r="P280" i="15"/>
  <c r="P282" i="15"/>
  <c r="P284" i="15"/>
  <c r="P285" i="15"/>
  <c r="P240" i="15"/>
  <c r="P241" i="15"/>
  <c r="P217" i="15"/>
  <c r="P225" i="15"/>
  <c r="P226" i="15"/>
  <c r="G79" i="17"/>
  <c r="G81" i="17"/>
  <c r="G83" i="17"/>
  <c r="AS240" i="15"/>
  <c r="AW240" i="15"/>
  <c r="AS241" i="15"/>
  <c r="AT274" i="15"/>
  <c r="AU274" i="15"/>
  <c r="AV274" i="15"/>
  <c r="AS234" i="15"/>
  <c r="AW234" i="15"/>
  <c r="AV217" i="15"/>
  <c r="AV225" i="15"/>
  <c r="AV226" i="15"/>
  <c r="AU217" i="15"/>
  <c r="AU225" i="15"/>
  <c r="AU226" i="15"/>
  <c r="AT217" i="15"/>
  <c r="AT225" i="15"/>
  <c r="AT226" i="15"/>
  <c r="AT240" i="15"/>
  <c r="AX240" i="15"/>
  <c r="AT241" i="15"/>
  <c r="AW274" i="15"/>
  <c r="AT234" i="15"/>
  <c r="AX234" i="15"/>
  <c r="AW217" i="15"/>
  <c r="AW225" i="15"/>
  <c r="AW226" i="15"/>
  <c r="AP240" i="15"/>
  <c r="AP241" i="15"/>
  <c r="AS274" i="15"/>
  <c r="AS217" i="15"/>
  <c r="AS225" i="15"/>
  <c r="AS226" i="15"/>
  <c r="AO240" i="15"/>
  <c r="AO241" i="15"/>
  <c r="AR274" i="15"/>
  <c r="AR217" i="15"/>
  <c r="AR225" i="15"/>
  <c r="AR226" i="15"/>
  <c r="AN240" i="15"/>
  <c r="AR240" i="15"/>
  <c r="AN241" i="15"/>
  <c r="AQ274" i="15"/>
  <c r="AN234" i="15"/>
  <c r="AR234" i="15"/>
  <c r="AQ217" i="15"/>
  <c r="AQ225" i="15"/>
  <c r="AQ226" i="15"/>
  <c r="AM240" i="15"/>
  <c r="AQ240" i="15"/>
  <c r="AM241" i="15"/>
  <c r="AP274" i="15"/>
  <c r="AM234" i="15"/>
  <c r="AQ234" i="15"/>
  <c r="AP217" i="15"/>
  <c r="AP225" i="15"/>
  <c r="AP226" i="15"/>
  <c r="L215" i="15"/>
  <c r="L216" i="15"/>
  <c r="L218" i="15"/>
  <c r="L219" i="15"/>
  <c r="L220" i="15"/>
  <c r="L233" i="15"/>
  <c r="L239" i="15"/>
  <c r="L243" i="15"/>
  <c r="L244" i="15"/>
  <c r="L245" i="15"/>
  <c r="L246" i="15"/>
  <c r="L247" i="15"/>
  <c r="L248" i="15"/>
  <c r="L249" i="15"/>
  <c r="L250" i="15"/>
  <c r="L251" i="15"/>
  <c r="L252" i="15"/>
  <c r="L253" i="15"/>
  <c r="L254" i="15"/>
  <c r="L255" i="15"/>
  <c r="L256" i="15"/>
  <c r="L257" i="15"/>
  <c r="L258" i="15"/>
  <c r="L259" i="15"/>
  <c r="L260" i="15"/>
  <c r="L261" i="15"/>
  <c r="L274" i="15"/>
  <c r="K215" i="15"/>
  <c r="K216" i="15"/>
  <c r="K218" i="15"/>
  <c r="K219" i="15"/>
  <c r="K220" i="15"/>
  <c r="K233" i="15"/>
  <c r="K239" i="15"/>
  <c r="K243" i="15"/>
  <c r="K244" i="15"/>
  <c r="K245" i="15"/>
  <c r="K246" i="15"/>
  <c r="K247" i="15"/>
  <c r="K248" i="15"/>
  <c r="K249" i="15"/>
  <c r="K250" i="15"/>
  <c r="K251" i="15"/>
  <c r="K252" i="15"/>
  <c r="K253" i="15"/>
  <c r="K254" i="15"/>
  <c r="K255" i="15"/>
  <c r="K256" i="15"/>
  <c r="K257" i="15"/>
  <c r="K258" i="15"/>
  <c r="K259" i="15"/>
  <c r="K260" i="15"/>
  <c r="K261" i="15"/>
  <c r="K274" i="15"/>
  <c r="AL240" i="15"/>
  <c r="AL241" i="15"/>
  <c r="AO274" i="15"/>
  <c r="AO217" i="15"/>
  <c r="AO225" i="15"/>
  <c r="AO226" i="15"/>
  <c r="AK240" i="15"/>
  <c r="AK241" i="15"/>
  <c r="AN274" i="15"/>
  <c r="AN217" i="15"/>
  <c r="AN225" i="15"/>
  <c r="AN226" i="15"/>
  <c r="AJ240" i="15"/>
  <c r="AJ241" i="15"/>
  <c r="AM274" i="15"/>
  <c r="AM217" i="15"/>
  <c r="AM225" i="15"/>
  <c r="AM226" i="15"/>
  <c r="AI240" i="15"/>
  <c r="AI241" i="15"/>
  <c r="AL274" i="15"/>
  <c r="AL217" i="15"/>
  <c r="AL225" i="15"/>
  <c r="AL226" i="15"/>
  <c r="AH240" i="15"/>
  <c r="AH241" i="15"/>
  <c r="AK274" i="15"/>
  <c r="AK217" i="15"/>
  <c r="AK225" i="15"/>
  <c r="AK226" i="15"/>
  <c r="J215" i="15"/>
  <c r="J216" i="15"/>
  <c r="J218" i="15"/>
  <c r="J219" i="15"/>
  <c r="J220" i="15"/>
  <c r="J233" i="15"/>
  <c r="J239" i="15"/>
  <c r="J243" i="15"/>
  <c r="J244" i="15"/>
  <c r="J245" i="15"/>
  <c r="J246" i="15"/>
  <c r="J247" i="15"/>
  <c r="J248" i="15"/>
  <c r="J249" i="15"/>
  <c r="J250" i="15"/>
  <c r="J251" i="15"/>
  <c r="J252" i="15"/>
  <c r="J253" i="15"/>
  <c r="J254" i="15"/>
  <c r="J255" i="15"/>
  <c r="J256" i="15"/>
  <c r="J257" i="15"/>
  <c r="J258" i="15"/>
  <c r="J259" i="15"/>
  <c r="J260" i="15"/>
  <c r="J261" i="15"/>
  <c r="J274" i="15"/>
  <c r="AG240" i="15"/>
  <c r="AG241" i="15"/>
  <c r="AJ274" i="15"/>
  <c r="AJ217" i="15"/>
  <c r="AJ225" i="15"/>
  <c r="AJ226" i="15"/>
  <c r="AF240" i="15"/>
  <c r="AF241" i="15"/>
  <c r="AI274" i="15"/>
  <c r="AI217" i="15"/>
  <c r="AI225" i="15"/>
  <c r="AI226" i="15"/>
  <c r="I215" i="15"/>
  <c r="I216" i="15"/>
  <c r="I218" i="15"/>
  <c r="I219" i="15"/>
  <c r="I220" i="15"/>
  <c r="I233" i="15"/>
  <c r="I239" i="15"/>
  <c r="I243" i="15"/>
  <c r="I244" i="15"/>
  <c r="I245" i="15"/>
  <c r="I246" i="15"/>
  <c r="I247" i="15"/>
  <c r="I248" i="15"/>
  <c r="I249" i="15"/>
  <c r="I250" i="15"/>
  <c r="I251" i="15"/>
  <c r="I252" i="15"/>
  <c r="I253" i="15"/>
  <c r="I254" i="15"/>
  <c r="I255" i="15"/>
  <c r="I256" i="15"/>
  <c r="I257" i="15"/>
  <c r="I258" i="15"/>
  <c r="I259" i="15"/>
  <c r="I260" i="15"/>
  <c r="I261" i="15"/>
  <c r="I274" i="15"/>
  <c r="AE240" i="15"/>
  <c r="AE241" i="15"/>
  <c r="AH274" i="15"/>
  <c r="AH217" i="15"/>
  <c r="AH225" i="15"/>
  <c r="AH226" i="15"/>
  <c r="H215" i="15"/>
  <c r="H216" i="15"/>
  <c r="H218" i="15"/>
  <c r="H219" i="15"/>
  <c r="H220" i="15"/>
  <c r="H233" i="15"/>
  <c r="H239" i="15"/>
  <c r="H243" i="15"/>
  <c r="H244" i="15"/>
  <c r="H245" i="15"/>
  <c r="H246" i="15"/>
  <c r="H247" i="15"/>
  <c r="H248" i="15"/>
  <c r="H249" i="15"/>
  <c r="H250" i="15"/>
  <c r="H251" i="15"/>
  <c r="H252" i="15"/>
  <c r="H253" i="15"/>
  <c r="H254" i="15"/>
  <c r="H255" i="15"/>
  <c r="H256" i="15"/>
  <c r="H257" i="15"/>
  <c r="H258" i="15"/>
  <c r="H259" i="15"/>
  <c r="H260" i="15"/>
  <c r="H261" i="15"/>
  <c r="H274" i="15"/>
  <c r="AD240" i="15"/>
  <c r="AD241" i="15"/>
  <c r="AD274" i="15"/>
  <c r="AE274" i="15"/>
  <c r="AF274" i="15"/>
  <c r="AG274" i="15"/>
  <c r="AG217" i="15"/>
  <c r="AG225" i="15"/>
  <c r="AG226" i="15"/>
  <c r="AF217" i="15"/>
  <c r="AF225" i="15"/>
  <c r="AF226" i="15"/>
  <c r="AE217" i="15"/>
  <c r="AE225" i="15"/>
  <c r="AE226" i="15"/>
  <c r="AD217" i="15"/>
  <c r="AD225" i="15"/>
  <c r="AD226" i="15"/>
  <c r="G215" i="15"/>
  <c r="G216" i="15"/>
  <c r="G218" i="15"/>
  <c r="G219" i="15"/>
  <c r="G220" i="15"/>
  <c r="G233" i="15"/>
  <c r="G234" i="15" s="1"/>
  <c r="G239" i="15"/>
  <c r="G243" i="15"/>
  <c r="G244" i="15"/>
  <c r="G245" i="15"/>
  <c r="G246" i="15"/>
  <c r="G247" i="15"/>
  <c r="G248" i="15"/>
  <c r="G249" i="15"/>
  <c r="G250" i="15"/>
  <c r="G251" i="15"/>
  <c r="G252" i="15"/>
  <c r="G253" i="15"/>
  <c r="G254" i="15"/>
  <c r="G255" i="15"/>
  <c r="G256" i="15"/>
  <c r="G257" i="15"/>
  <c r="G258" i="15"/>
  <c r="G259" i="15"/>
  <c r="G260" i="15"/>
  <c r="G261" i="15"/>
  <c r="G274" i="15"/>
  <c r="F215" i="15"/>
  <c r="F216" i="15"/>
  <c r="F218" i="15"/>
  <c r="F219" i="15"/>
  <c r="F220" i="15"/>
  <c r="F233" i="15"/>
  <c r="F234" i="15" s="1"/>
  <c r="F239" i="15"/>
  <c r="F243" i="15"/>
  <c r="F244" i="15"/>
  <c r="F245" i="15"/>
  <c r="F246" i="15"/>
  <c r="F247" i="15"/>
  <c r="F248" i="15"/>
  <c r="F249" i="15"/>
  <c r="F250" i="15"/>
  <c r="F251" i="15"/>
  <c r="F252" i="15"/>
  <c r="F253" i="15"/>
  <c r="F254" i="15"/>
  <c r="F255" i="15"/>
  <c r="F256" i="15"/>
  <c r="F257" i="15"/>
  <c r="F258" i="15"/>
  <c r="F259" i="15"/>
  <c r="F260" i="15"/>
  <c r="F261" i="15"/>
  <c r="F274" i="15"/>
  <c r="M276" i="15"/>
  <c r="M277" i="15"/>
  <c r="M279" i="15"/>
  <c r="M280" i="15"/>
  <c r="M282" i="15"/>
  <c r="M284" i="15"/>
  <c r="M285" i="15"/>
  <c r="M240" i="15"/>
  <c r="M241" i="15"/>
  <c r="M234" i="15"/>
  <c r="M217" i="15"/>
  <c r="M225" i="15"/>
  <c r="M226" i="15"/>
  <c r="N276" i="15"/>
  <c r="N277" i="15"/>
  <c r="N279" i="15"/>
  <c r="N280" i="15"/>
  <c r="N282" i="15"/>
  <c r="N284" i="15"/>
  <c r="N285" i="15"/>
  <c r="N240" i="15"/>
  <c r="O240" i="15"/>
  <c r="N241" i="15"/>
  <c r="N234" i="15"/>
  <c r="O234" i="15"/>
  <c r="N217" i="15"/>
  <c r="N225" i="15"/>
  <c r="N226" i="15"/>
  <c r="Q125" i="15"/>
  <c r="Q128" i="15"/>
  <c r="Q200" i="15" s="1"/>
  <c r="Q136" i="15"/>
  <c r="Q208" i="15" s="1"/>
  <c r="Q147" i="15"/>
  <c r="Q223" i="15" s="1"/>
  <c r="Q190" i="15"/>
  <c r="Q265" i="15"/>
  <c r="Q185" i="15"/>
  <c r="Q260" i="15"/>
  <c r="BB186" i="15"/>
  <c r="BB261" i="15"/>
  <c r="AX186" i="15"/>
  <c r="AX261" i="15"/>
  <c r="AT186" i="15"/>
  <c r="AT261" i="15"/>
  <c r="AP77" i="15"/>
  <c r="AP186" i="15"/>
  <c r="AP261" i="15"/>
  <c r="AL186" i="15"/>
  <c r="AL261" i="15"/>
  <c r="AH77" i="15"/>
  <c r="AH186" i="15"/>
  <c r="AH261" i="15"/>
  <c r="AD77" i="15"/>
  <c r="AD79" i="15" s="1"/>
  <c r="AD186" i="15"/>
  <c r="AD261" i="15"/>
  <c r="V77" i="15"/>
  <c r="V79" i="15" s="1"/>
  <c r="V186" i="15"/>
  <c r="V261" i="15"/>
  <c r="Q126" i="15"/>
  <c r="Q129" i="15"/>
  <c r="Q201" i="15" s="1"/>
  <c r="Q131" i="15"/>
  <c r="Q133" i="15"/>
  <c r="Q205" i="15" s="1"/>
  <c r="Q134" i="15"/>
  <c r="Q206" i="15" s="1"/>
  <c r="Q140" i="15"/>
  <c r="Q62" i="15"/>
  <c r="Q167" i="15"/>
  <c r="Q243" i="15"/>
  <c r="Q13" i="15"/>
  <c r="Q30" i="15"/>
  <c r="Q31" i="15"/>
  <c r="Q32" i="15"/>
  <c r="Q33" i="15"/>
  <c r="Q82" i="15"/>
  <c r="Q157" i="15"/>
  <c r="Q165" i="15" s="1"/>
  <c r="Q233" i="15"/>
  <c r="Q241" i="15" s="1"/>
  <c r="Q99" i="15" l="1"/>
  <c r="Q139" i="15"/>
  <c r="Q215" i="15" s="1"/>
  <c r="Q14" i="15"/>
  <c r="Q19" i="15"/>
  <c r="Q66" i="15"/>
  <c r="Q172" i="15"/>
  <c r="Q248" i="15"/>
  <c r="Q141" i="15"/>
  <c r="Q195" i="15"/>
  <c r="Q274" i="15" s="1"/>
  <c r="Q216" i="15"/>
  <c r="Q151" i="15"/>
  <c r="Q227" i="15" s="1"/>
  <c r="Q203" i="15"/>
  <c r="Q149" i="15"/>
  <c r="Q198" i="15"/>
  <c r="AI77" i="15"/>
  <c r="AH79" i="15"/>
  <c r="AQ77" i="15"/>
  <c r="AP79" i="15"/>
  <c r="Q276" i="15"/>
  <c r="Q279" i="15"/>
  <c r="Q287" i="15"/>
  <c r="Q226" i="15"/>
  <c r="Q150" i="15"/>
  <c r="Q197" i="15"/>
  <c r="F276" i="15"/>
  <c r="F277" i="15"/>
  <c r="F279" i="15"/>
  <c r="F280" i="15"/>
  <c r="F282" i="15"/>
  <c r="F284" i="15"/>
  <c r="F285" i="15"/>
  <c r="F240" i="15"/>
  <c r="F241" i="15"/>
  <c r="F217" i="15"/>
  <c r="F225" i="15"/>
  <c r="F226" i="15"/>
  <c r="G276" i="15"/>
  <c r="G277" i="15"/>
  <c r="G279" i="15"/>
  <c r="G280" i="15"/>
  <c r="G282" i="15"/>
  <c r="G284" i="15"/>
  <c r="G285" i="15"/>
  <c r="G240" i="15"/>
  <c r="G241" i="15"/>
  <c r="G217" i="15"/>
  <c r="G225" i="15"/>
  <c r="G226" i="15"/>
  <c r="AG276" i="15"/>
  <c r="AG277" i="15"/>
  <c r="AG279" i="15"/>
  <c r="AG280" i="15"/>
  <c r="AG282" i="15"/>
  <c r="AG284" i="15"/>
  <c r="AG285" i="15"/>
  <c r="AF276" i="15"/>
  <c r="AF277" i="15"/>
  <c r="AF279" i="15"/>
  <c r="AF280" i="15"/>
  <c r="AF282" i="15"/>
  <c r="AF284" i="15"/>
  <c r="AF285" i="15"/>
  <c r="AE276" i="15"/>
  <c r="AE277" i="15"/>
  <c r="AE279" i="15"/>
  <c r="AE280" i="15"/>
  <c r="AE282" i="15"/>
  <c r="AE284" i="15"/>
  <c r="AE285" i="15"/>
  <c r="AD276" i="15"/>
  <c r="AD277" i="15"/>
  <c r="AD279" i="15"/>
  <c r="AD280" i="15"/>
  <c r="AD282" i="15"/>
  <c r="AD284" i="15"/>
  <c r="AD285" i="15"/>
  <c r="H276" i="15"/>
  <c r="H277" i="15"/>
  <c r="H279" i="15"/>
  <c r="H280" i="15"/>
  <c r="H282" i="15"/>
  <c r="H284" i="15"/>
  <c r="H285" i="15"/>
  <c r="H240" i="15"/>
  <c r="H241" i="15"/>
  <c r="H234" i="15"/>
  <c r="H217" i="15"/>
  <c r="H225" i="15"/>
  <c r="H226" i="15"/>
  <c r="AH276" i="15"/>
  <c r="AH277" i="15"/>
  <c r="AH279" i="15"/>
  <c r="AH280" i="15"/>
  <c r="AH282" i="15"/>
  <c r="AH284" i="15"/>
  <c r="AH285" i="15"/>
  <c r="I276" i="15"/>
  <c r="I277" i="15"/>
  <c r="I279" i="15"/>
  <c r="I280" i="15"/>
  <c r="I282" i="15"/>
  <c r="I284" i="15"/>
  <c r="I285" i="15"/>
  <c r="I240" i="15"/>
  <c r="I241" i="15"/>
  <c r="I234" i="15"/>
  <c r="I217" i="15"/>
  <c r="I225" i="15"/>
  <c r="I226" i="15"/>
  <c r="AI276" i="15"/>
  <c r="AI277" i="15"/>
  <c r="AI279" i="15"/>
  <c r="AI280" i="15"/>
  <c r="AI282" i="15"/>
  <c r="AI284" i="15"/>
  <c r="AI285" i="15"/>
  <c r="AJ276" i="15"/>
  <c r="AJ277" i="15"/>
  <c r="AJ279" i="15"/>
  <c r="AJ280" i="15"/>
  <c r="AJ282" i="15"/>
  <c r="AJ284" i="15"/>
  <c r="AJ285" i="15"/>
  <c r="J276" i="15"/>
  <c r="J277" i="15"/>
  <c r="J279" i="15"/>
  <c r="J280" i="15"/>
  <c r="J282" i="15"/>
  <c r="J284" i="15"/>
  <c r="J285" i="15"/>
  <c r="J240" i="15"/>
  <c r="J241" i="15"/>
  <c r="J217" i="15"/>
  <c r="J225" i="15"/>
  <c r="J226" i="15"/>
  <c r="AK276" i="15"/>
  <c r="AK277" i="15"/>
  <c r="AK279" i="15"/>
  <c r="AK280" i="15"/>
  <c r="AK282" i="15"/>
  <c r="AK284" i="15"/>
  <c r="AK285" i="15"/>
  <c r="AL276" i="15"/>
  <c r="AL277" i="15"/>
  <c r="AL279" i="15"/>
  <c r="AL280" i="15"/>
  <c r="AL282" i="15"/>
  <c r="AL284" i="15"/>
  <c r="AL285" i="15"/>
  <c r="AM276" i="15"/>
  <c r="AM277" i="15"/>
  <c r="AM279" i="15"/>
  <c r="AM280" i="15"/>
  <c r="AM282" i="15"/>
  <c r="AM284" i="15"/>
  <c r="AM285" i="15"/>
  <c r="AN276" i="15"/>
  <c r="AN277" i="15"/>
  <c r="AN279" i="15"/>
  <c r="AN280" i="15"/>
  <c r="AN282" i="15"/>
  <c r="AN284" i="15"/>
  <c r="AN285" i="15"/>
  <c r="AO276" i="15"/>
  <c r="AO277" i="15"/>
  <c r="AO279" i="15"/>
  <c r="AO280" i="15"/>
  <c r="AO282" i="15"/>
  <c r="AO284" i="15"/>
  <c r="AO285" i="15"/>
  <c r="K276" i="15"/>
  <c r="K277" i="15"/>
  <c r="K279" i="15"/>
  <c r="K280" i="15"/>
  <c r="K282" i="15"/>
  <c r="K284" i="15"/>
  <c r="K285" i="15"/>
  <c r="K240" i="15"/>
  <c r="K241" i="15"/>
  <c r="K234" i="15"/>
  <c r="K217" i="15"/>
  <c r="K225" i="15"/>
  <c r="K226" i="15"/>
  <c r="L276" i="15"/>
  <c r="L277" i="15"/>
  <c r="L279" i="15"/>
  <c r="L280" i="15"/>
  <c r="L282" i="15"/>
  <c r="L284" i="15"/>
  <c r="L285" i="15"/>
  <c r="L240" i="15"/>
  <c r="L241" i="15"/>
  <c r="L234" i="15"/>
  <c r="L217" i="15"/>
  <c r="L225" i="15"/>
  <c r="L226" i="15"/>
  <c r="AP276" i="15"/>
  <c r="AP277" i="15"/>
  <c r="AP279" i="15"/>
  <c r="AP280" i="15"/>
  <c r="AP282" i="15"/>
  <c r="AP284" i="15"/>
  <c r="AP285" i="15"/>
  <c r="AQ276" i="15"/>
  <c r="AQ277" i="15"/>
  <c r="AQ279" i="15"/>
  <c r="AQ280" i="15"/>
  <c r="AQ282" i="15"/>
  <c r="AQ284" i="15"/>
  <c r="AQ285" i="15"/>
  <c r="AR276" i="15"/>
  <c r="AR277" i="15"/>
  <c r="AR279" i="15"/>
  <c r="AR280" i="15"/>
  <c r="AR282" i="15"/>
  <c r="AR284" i="15"/>
  <c r="AR285" i="15"/>
  <c r="AS276" i="15"/>
  <c r="AS277" i="15"/>
  <c r="AS279" i="15"/>
  <c r="AS280" i="15"/>
  <c r="AS282" i="15"/>
  <c r="AS284" i="15"/>
  <c r="AS285" i="15"/>
  <c r="AW276" i="15"/>
  <c r="AW277" i="15"/>
  <c r="AW279" i="15"/>
  <c r="AW280" i="15"/>
  <c r="AW282" i="15"/>
  <c r="AW284" i="15"/>
  <c r="AW285" i="15"/>
  <c r="AV276" i="15"/>
  <c r="AV277" i="15"/>
  <c r="AV279" i="15"/>
  <c r="AV280" i="15"/>
  <c r="AV282" i="15"/>
  <c r="AV284" i="15"/>
  <c r="AV285" i="15"/>
  <c r="AU276" i="15"/>
  <c r="AU277" i="15"/>
  <c r="AU279" i="15"/>
  <c r="AU280" i="15"/>
  <c r="AU282" i="15"/>
  <c r="AU284" i="15"/>
  <c r="AU285" i="15"/>
  <c r="AT276" i="15"/>
  <c r="AT277" i="15"/>
  <c r="AT279" i="15"/>
  <c r="AT280" i="15"/>
  <c r="AT282" i="15"/>
  <c r="AT284" i="15"/>
  <c r="AT285" i="15"/>
  <c r="AR77" i="15" l="1"/>
  <c r="AQ79" i="15"/>
  <c r="AJ77" i="15"/>
  <c r="AI79" i="15"/>
  <c r="Q217" i="15"/>
  <c r="Q225" i="15"/>
  <c r="Q277" i="15"/>
  <c r="Q280" i="15"/>
  <c r="Q282" i="15"/>
  <c r="Q284" i="15"/>
  <c r="Q285" i="15"/>
  <c r="Q73" i="15"/>
  <c r="Q89" i="15"/>
  <c r="Q144" i="15" s="1"/>
  <c r="Q220" i="15" s="1"/>
  <c r="Q176" i="15"/>
  <c r="Q252" i="15"/>
  <c r="Q23" i="15"/>
  <c r="Q35" i="15"/>
  <c r="Q45" i="15"/>
  <c r="Q47" i="15" s="1"/>
  <c r="Q83" i="15"/>
  <c r="Q49" i="15" l="1"/>
  <c r="Q84" i="15"/>
  <c r="Q51" i="15"/>
  <c r="Q25" i="15"/>
  <c r="Q27" i="15" s="1"/>
  <c r="Q87" i="15" s="1"/>
  <c r="Q38" i="15"/>
  <c r="Q39" i="15"/>
  <c r="Q76" i="15"/>
  <c r="Q183" i="15"/>
  <c r="Q258" i="15"/>
  <c r="AK77" i="15"/>
  <c r="AJ79" i="15"/>
  <c r="AS77" i="15"/>
  <c r="AR79" i="15"/>
  <c r="AT77" i="15" l="1"/>
  <c r="AS79" i="15"/>
  <c r="AL77" i="15"/>
  <c r="AL79" i="15" s="1"/>
  <c r="AK79" i="15"/>
  <c r="Q186" i="15"/>
  <c r="Q261" i="15"/>
  <c r="AU77" i="15" l="1"/>
  <c r="AT79" i="15"/>
  <c r="AV77" i="15" l="1"/>
  <c r="AU79" i="15"/>
  <c r="AW77" i="15" l="1"/>
  <c r="AV79" i="15"/>
  <c r="AX77" i="15" l="1"/>
  <c r="AW79" i="15"/>
  <c r="AY77" i="15" l="1"/>
  <c r="AX79" i="15"/>
  <c r="AZ77" i="15" l="1"/>
  <c r="AY79" i="15"/>
  <c r="BA77" i="15" l="1"/>
  <c r="AZ79" i="15"/>
  <c r="BB77" i="15" l="1"/>
  <c r="BB79" i="15" s="1"/>
  <c r="BA79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CRISIL</author>
    <author>CRISIL GR&amp;RS</author>
    <author>Crisil GR&amp;A</author>
    <author>Vivek Panchal</author>
    <author>JayT</author>
    <author>Prarthana Roy</author>
    <author>Rishabh Saraf</author>
  </authors>
  <commentList>
    <comment ref="J8" authorId="0" shapeId="0" xr:uid="{51080C7D-68A7-4F11-8023-E0FEE1BDBF4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u/>
            <sz val="9"/>
            <color indexed="81"/>
            <rFont val="Tahoma"/>
            <family val="2"/>
          </rPr>
          <t>Company calciulation:</t>
        </r>
        <r>
          <rPr>
            <sz val="9"/>
            <color indexed="81"/>
            <rFont val="Tahoma"/>
            <family val="2"/>
          </rPr>
          <t xml:space="preserve"> As of March 31, 2026, consolidated net debt position (total debt and lease liabilities, less cash and cash equivalents, short-term investments, and non-current investments in financial instruments) was Ps.49,752.4 million. The non-current investments in financial instruments amounted to an aggregate of Ps.4,095.2 million as of March 31, 2026. </t>
        </r>
      </text>
    </comment>
    <comment ref="D10" authorId="0" shapeId="0" xr:uid="{D7BBFF30-E091-4919-831C-99E3FBAB122B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bmv link</t>
        </r>
      </text>
    </comment>
    <comment ref="D36" authorId="1" shapeId="0" xr:uid="{964A53F5-2673-4534-BB0A-F9F944848E9C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from bmv link</t>
        </r>
      </text>
    </comment>
    <comment ref="D56" authorId="1" shapeId="0" xr:uid="{026F43DA-B32B-4AFC-AF5D-098980ED9CB2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from bmv link</t>
        </r>
      </text>
    </comment>
    <comment ref="J75" authorId="0" shapeId="0" xr:uid="{11210735-BDC3-4045-98FA-0422F13F9CA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u/>
            <sz val="9"/>
            <color indexed="81"/>
            <rFont val="Tahoma"/>
            <family val="2"/>
          </rPr>
          <t>Company calciulation:</t>
        </r>
        <r>
          <rPr>
            <sz val="9"/>
            <color indexed="81"/>
            <rFont val="Tahoma"/>
            <family val="2"/>
          </rPr>
          <t xml:space="preserve"> As of December 31, 2025, our consolidated net debt position (total debt and lease liabilities, less cash and cash equivalents, temporary investments, and non-current investments in financial instruments) was Ps.49,115.2 million. </t>
        </r>
      </text>
    </comment>
    <comment ref="D93" authorId="1" shapeId="0" xr:uid="{DD7D6600-5C33-459A-8009-810C49EF3FAD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from bmv link</t>
        </r>
      </text>
    </comment>
    <comment ref="D114" authorId="1" shapeId="0" xr:uid="{0BC81111-917C-462B-955A-D682E2A6054F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from bmv link</t>
        </r>
      </text>
    </comment>
    <comment ref="J131" authorId="0" shapeId="0" xr:uid="{42331A4A-9F14-405B-85BF-B4981B7462D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u/>
            <sz val="9"/>
            <color indexed="81"/>
            <rFont val="Tahoma"/>
            <family val="2"/>
          </rPr>
          <t>Company calciulation:</t>
        </r>
        <r>
          <rPr>
            <sz val="9"/>
            <color indexed="81"/>
            <rFont val="Tahoma"/>
            <family val="2"/>
          </rPr>
          <t xml:space="preserve"> As of September 30, 2025, our consolidated net debt position (total debt and lease liabilities, less cash and cash equivalents, and non-current investments in financial instruments) was Ps.50,086.3 million</t>
        </r>
      </text>
    </comment>
    <comment ref="D150" authorId="1" shapeId="0" xr:uid="{90D09954-739C-4A5B-8649-45AD4396F90E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from bmv stock data link</t>
        </r>
      </text>
    </comment>
    <comment ref="D170" authorId="1" shapeId="0" xr:uid="{E7D79588-4453-4231-9FD1-1823C9734F17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gross Principal (from filings)</t>
        </r>
      </text>
    </comment>
    <comment ref="J186" authorId="0" shapeId="0" xr:uid="{D5839019-7A28-4455-AA19-03807368BDD5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u/>
            <sz val="9"/>
            <color indexed="81"/>
            <rFont val="Tahoma"/>
            <family val="2"/>
          </rPr>
          <t>Company calciulation:</t>
        </r>
        <r>
          <rPr>
            <sz val="9"/>
            <color indexed="81"/>
            <rFont val="Tahoma"/>
            <family val="2"/>
          </rPr>
          <t xml:space="preserve"> total debt and lease liabilities, less
cash and cash equivalents, and non-current investments in financial instruments</t>
        </r>
      </text>
    </comment>
    <comment ref="D203" authorId="0" shapeId="0" xr:uid="{DAF15D71-1D05-4F97-838E-6BBD8830625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US500 mn credit facility with syndicate banks </t>
        </r>
      </text>
    </comment>
    <comment ref="D206" authorId="1" shapeId="0" xr:uid="{6EC95D07-E541-4D69-AD7D-CC42B17BFF89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gross Principal (from filings)</t>
        </r>
      </text>
    </comment>
    <comment ref="D216" authorId="1" shapeId="0" xr:uid="{F5A5F672-D2FD-4F42-AE94-80DC04E0EC0D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Principal, net of finance costs  (from filings)</t>
        </r>
      </text>
    </comment>
    <comment ref="D236" authorId="0" shapeId="0" xr:uid="{B1BA16A9-3249-466A-AAD1-D60E53F0BBEB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filings</t>
        </r>
      </text>
    </comment>
    <comment ref="J250" authorId="0" shapeId="0" xr:uid="{4B556243-E333-4BE0-BFA8-2BE98F118D33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u/>
            <sz val="9"/>
            <color indexed="81"/>
            <rFont val="Tahoma"/>
            <family val="2"/>
          </rPr>
          <t>Company calciulation:</t>
        </r>
        <r>
          <rPr>
            <sz val="9"/>
            <color indexed="81"/>
            <rFont val="Tahoma"/>
            <family val="2"/>
          </rPr>
          <t xml:space="preserve"> total debt and lease liabilities, less
cash and cash equivalents, and non-current investments in financial instruments</t>
        </r>
      </text>
    </comment>
    <comment ref="D270" authorId="1" shapeId="0" xr:uid="{92E96EE2-10B8-4B34-ABB5-7D74E9E38BCB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gross Principal (from filings)</t>
        </r>
      </text>
    </comment>
    <comment ref="D280" authorId="1" shapeId="0" xr:uid="{000DB3BA-362E-47D9-91F4-909E06A61174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Principal, net of finance costs  (from filings)</t>
        </r>
      </text>
    </comment>
    <comment ref="D300" authorId="0" shapeId="0" xr:uid="{98AFE5CD-5F13-44F1-9947-B84C12E824F6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filings</t>
        </r>
      </text>
    </comment>
    <comment ref="J314" authorId="0" shapeId="0" xr:uid="{21ADD37B-5B9D-470C-859B-34F3A3A6451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u/>
            <sz val="9"/>
            <color indexed="81"/>
            <rFont val="Tahoma"/>
            <family val="2"/>
          </rPr>
          <t>Company calciulation:</t>
        </r>
        <r>
          <rPr>
            <sz val="9"/>
            <color indexed="81"/>
            <rFont val="Tahoma"/>
            <family val="2"/>
          </rPr>
          <t xml:space="preserve"> total debt and lease liabilities, less
cash and cash equivalents, and non-current investments in financial instruments</t>
        </r>
      </text>
    </comment>
    <comment ref="D334" authorId="1" shapeId="0" xr:uid="{54CDBE1E-0CCF-45EA-BB41-D70650A113E8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gross Principal (from filings)</t>
        </r>
      </text>
    </comment>
    <comment ref="D344" authorId="1" shapeId="0" xr:uid="{3DEC5881-506A-42AE-8A73-DCFF5664A821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Principal, net of finance costs  (from filings)</t>
        </r>
      </text>
    </comment>
    <comment ref="D364" authorId="0" shapeId="0" xr:uid="{7F7A3B2D-BF4C-44D5-9988-A846B6DCD9DF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filings</t>
        </r>
      </text>
    </comment>
    <comment ref="I379" authorId="2" shapeId="0" xr:uid="{3086A31A-BAA7-4C4A-958F-A41A17F896D1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Includes Total debt,  lease liabilities and other notes payable</t>
        </r>
      </text>
    </comment>
    <comment ref="D392" authorId="1" shapeId="0" xr:uid="{1FFE0A42-A823-4E70-B1F4-615CB9A726BD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gross Principal</t>
        </r>
      </text>
    </comment>
    <comment ref="D402" authorId="1" shapeId="0" xr:uid="{F9CF7976-CF39-43C9-890F-D7E11329886B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Principal</t>
        </r>
      </text>
    </comment>
    <comment ref="I437" authorId="2" shapeId="0" xr:uid="{08EC7A23-6A79-4A07-B8AA-7A46D4FBC17F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Includes Total debt,  lease liabilities and other notes payable</t>
        </r>
      </text>
    </comment>
    <comment ref="D450" authorId="1" shapeId="0" xr:uid="{25C16EA8-569B-4004-86D4-A423B9EB55A1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gross Principal</t>
        </r>
      </text>
    </comment>
    <comment ref="D460" authorId="1" shapeId="0" xr:uid="{C5C4D086-64D2-43DA-B592-D8D00EF30E78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Principal</t>
        </r>
      </text>
    </comment>
    <comment ref="I495" authorId="2" shapeId="0" xr:uid="{89176647-F208-423B-9C6E-9459F54A880F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Includes Total debt,  lease liabilities and other notes payable</t>
        </r>
      </text>
    </comment>
    <comment ref="D508" authorId="1" shapeId="0" xr:uid="{706B9082-9FD1-4803-B374-B657D84F6C99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gross Principal</t>
        </r>
      </text>
    </comment>
    <comment ref="D518" authorId="1" shapeId="0" xr:uid="{40622FB2-FB19-46FA-B299-CD28152C6556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Principal</t>
        </r>
      </text>
    </comment>
    <comment ref="I550" authorId="2" shapeId="0" xr:uid="{329C11E3-D816-440E-BFF4-2566C022515C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Includes Total debt,  lease liabilities and other notes payable</t>
        </r>
      </text>
    </comment>
    <comment ref="D563" authorId="1" shapeId="0" xr:uid="{7B081358-A011-4980-BDD0-5FF7EC2F52C6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gross Principal</t>
        </r>
      </text>
    </comment>
    <comment ref="D573" authorId="1" shapeId="0" xr:uid="{3C718781-E85A-4D14-99CA-FE1A0C75540B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Principal</t>
        </r>
      </text>
    </comment>
    <comment ref="I605" authorId="2" shapeId="0" xr:uid="{CD742A06-65DA-49EF-9AD2-3D888D7D7B3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Includes Total debt,  lease liabilities and other notes payable</t>
        </r>
      </text>
    </comment>
    <comment ref="D618" authorId="1" shapeId="0" xr:uid="{4875B2C4-E703-437E-8044-1E64AD6CD5DB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gross Principal</t>
        </r>
      </text>
    </comment>
    <comment ref="D626" authorId="0" shapeId="0" xr:uid="{BF29E07A-CA27-4A1F-8B30-94D13B3790BA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Rounding error</t>
        </r>
      </text>
    </comment>
    <comment ref="D628" authorId="1" shapeId="0" xr:uid="{1F981057-D28C-4144-A14B-24D20D377C80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Principal</t>
        </r>
      </text>
    </comment>
    <comment ref="D646" authorId="0" shapeId="0" xr:uid="{8BFE287C-6239-4888-A1C2-2AF52FB6C409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950 is the net finance cost as mentioned by company</t>
        </r>
      </text>
    </comment>
    <comment ref="I661" authorId="2" shapeId="0" xr:uid="{0B692D1F-E853-477D-BBDE-4FFA8CC5221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Includes Total debt,  lease liabilities and other notes payable</t>
        </r>
      </text>
    </comment>
    <comment ref="D671" authorId="3" shapeId="0" xr:uid="{440D448F-A79A-4D5C-9882-CE7DD916C4C9}">
      <text>
        <r>
          <rPr>
            <b/>
            <sz val="9"/>
            <color indexed="81"/>
            <rFont val="Tahoma"/>
            <family val="2"/>
          </rPr>
          <t>PR</t>
        </r>
      </text>
    </comment>
    <comment ref="D674" authorId="1" shapeId="0" xr:uid="{AC5B86CB-E63F-48B5-AB3A-B2DB42E2FCB5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gross Principal</t>
        </r>
      </text>
    </comment>
    <comment ref="D684" authorId="1" shapeId="0" xr:uid="{F33EE5FC-1EAC-420D-8632-B88A7F81DC91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Principal</t>
        </r>
      </text>
    </comment>
    <comment ref="I716" authorId="2" shapeId="0" xr:uid="{778FBFF5-6A4B-454D-AA28-74C0E52BC2B5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Includes Total debt,  lease liabilities and other notes payable</t>
        </r>
      </text>
    </comment>
    <comment ref="D731" authorId="1" shapeId="0" xr:uid="{FD8FD7B0-D3AF-4B89-BF93-1C025324931D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Principal</t>
        </r>
      </text>
    </comment>
    <comment ref="I763" authorId="2" shapeId="0" xr:uid="{FBF3F062-D1B0-4F65-9A54-DA43503FD93A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Includes Total debt,  lease liabilities and other notes payable</t>
        </r>
      </text>
    </comment>
    <comment ref="D779" authorId="4" shapeId="0" xr:uid="{322EF5B4-094B-4F28-BC6A-A6D28CE1DF2A}">
      <text>
        <r>
          <rPr>
            <sz val="9"/>
            <color indexed="81"/>
            <rFont val="Tahoma"/>
            <family val="2"/>
          </rPr>
          <t>To be updated from BMV Fillings</t>
        </r>
      </text>
    </comment>
    <comment ref="D786" authorId="4" shapeId="0" xr:uid="{17EFC259-79DF-4FBA-BAFF-7341F83DE610}">
      <text>
        <r>
          <rPr>
            <sz val="9"/>
            <color indexed="81"/>
            <rFont val="Tahoma"/>
            <family val="2"/>
          </rPr>
          <t>To be updated from BMV Fillings</t>
        </r>
      </text>
    </comment>
    <comment ref="I798" authorId="2" shapeId="0" xr:uid="{6823CA92-9A4E-4657-AA9F-48A8E94684D5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Includes Total debt,  lease liabilities and other notes payable</t>
        </r>
      </text>
    </comment>
    <comment ref="D814" authorId="4" shapeId="0" xr:uid="{623B568F-7BE3-4457-BCD4-F4F629470EC9}">
      <text>
        <r>
          <rPr>
            <sz val="9"/>
            <color indexed="81"/>
            <rFont val="Tahoma"/>
            <family val="2"/>
          </rPr>
          <t>To be updated from BMV Fillings</t>
        </r>
      </text>
    </comment>
    <comment ref="D821" authorId="4" shapeId="0" xr:uid="{C21A70A9-9E21-470A-9254-0FC8614CFD2A}">
      <text>
        <r>
          <rPr>
            <sz val="9"/>
            <color indexed="81"/>
            <rFont val="Tahoma"/>
            <family val="2"/>
          </rPr>
          <t>To be updated from BMV Fillings</t>
        </r>
      </text>
    </comment>
    <comment ref="I833" authorId="2" shapeId="0" xr:uid="{A7B52FF2-A677-4652-A7AE-75062EB7E27B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Includes Total debt,  lease liabilities and other notes payable</t>
        </r>
      </text>
    </comment>
    <comment ref="D849" authorId="4" shapeId="0" xr:uid="{71D42C49-9C02-4353-8ED6-99B4CCA2AF49}">
      <text>
        <r>
          <rPr>
            <sz val="9"/>
            <color indexed="81"/>
            <rFont val="Tahoma"/>
            <family val="2"/>
          </rPr>
          <t>To be updated from BMV Fillings</t>
        </r>
      </text>
    </comment>
    <comment ref="D856" authorId="4" shapeId="0" xr:uid="{461EC4AC-0434-4DC3-A8CD-7BF57E86EADC}">
      <text>
        <r>
          <rPr>
            <sz val="9"/>
            <color indexed="81"/>
            <rFont val="Tahoma"/>
            <family val="2"/>
          </rPr>
          <t>To be updated from BMV Fillings</t>
        </r>
      </text>
    </comment>
    <comment ref="I869" authorId="2" shapeId="0" xr:uid="{939CF3B6-832C-4CA4-9A01-C50CB916D964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Includes Total debt,  lease liabilities and other notes payable</t>
        </r>
      </text>
    </comment>
    <comment ref="D885" authorId="4" shapeId="0" xr:uid="{A1B8B644-64E8-4EF2-9D18-8E49CB987228}">
      <text>
        <r>
          <rPr>
            <sz val="9"/>
            <color indexed="81"/>
            <rFont val="Tahoma"/>
            <family val="2"/>
          </rPr>
          <t>To be updated from BMV Fillings</t>
        </r>
      </text>
    </comment>
    <comment ref="D892" authorId="4" shapeId="0" xr:uid="{B2350533-F55B-4618-81FA-0D384C161941}">
      <text>
        <r>
          <rPr>
            <sz val="9"/>
            <color indexed="81"/>
            <rFont val="Tahoma"/>
            <family val="2"/>
          </rPr>
          <t>To be updated from BMV Fillings</t>
        </r>
      </text>
    </comment>
    <comment ref="I902" authorId="2" shapeId="0" xr:uid="{A9D6DAC3-A551-41C5-B683-5D5CF4425E0A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Includes Total debt,  lease liabilities and other notes payable</t>
        </r>
      </text>
    </comment>
    <comment ref="D918" authorId="4" shapeId="0" xr:uid="{F2E11C72-5EC7-48D1-A0FA-FE3BEA9722B1}">
      <text>
        <r>
          <rPr>
            <sz val="9"/>
            <color indexed="81"/>
            <rFont val="Tahoma"/>
            <family val="2"/>
          </rPr>
          <t>To be updated from BMV Fillings</t>
        </r>
      </text>
    </comment>
    <comment ref="D925" authorId="4" shapeId="0" xr:uid="{1465D622-75BC-4180-AF9A-2ECADC20FBCD}">
      <text>
        <r>
          <rPr>
            <sz val="9"/>
            <color indexed="81"/>
            <rFont val="Tahoma"/>
            <family val="2"/>
          </rPr>
          <t>To be updated from BMV Fillings</t>
        </r>
      </text>
    </comment>
    <comment ref="I935" authorId="2" shapeId="0" xr:uid="{5572F464-E2DE-4CCA-9CD1-BD3BE13D6D77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Includes Total debt,  lease liabilities and other notes payable</t>
        </r>
      </text>
    </comment>
    <comment ref="D945" authorId="5" shapeId="0" xr:uid="{97C33922-32AF-4307-AF96-E30A5E3B724F}">
      <text>
        <r>
          <rPr>
            <b/>
            <sz val="9"/>
            <color indexed="81"/>
            <rFont val="Tahoma"/>
            <family val="2"/>
          </rPr>
          <t>Page 80/96 - Form 6K</t>
        </r>
      </text>
    </comment>
    <comment ref="D951" authorId="4" shapeId="0" xr:uid="{71DDEEA8-ADE7-44BD-83E8-5A5D382C3C36}">
      <text>
        <r>
          <rPr>
            <sz val="9"/>
            <color indexed="81"/>
            <rFont val="Tahoma"/>
            <family val="2"/>
          </rPr>
          <t>To be updated from BMV Fillings</t>
        </r>
      </text>
    </comment>
    <comment ref="D958" authorId="4" shapeId="0" xr:uid="{93047C4D-678C-4853-AB0B-7A7C2BF710C3}">
      <text>
        <r>
          <rPr>
            <sz val="9"/>
            <color indexed="81"/>
            <rFont val="Tahoma"/>
            <family val="2"/>
          </rPr>
          <t>To be updated from BMV Fillings</t>
        </r>
      </text>
    </comment>
    <comment ref="I970" authorId="2" shapeId="0" xr:uid="{98C3CD7D-3BDA-4ED8-B8C7-1BCFC875441F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Includes Total debt,  lease liabilities and other notes payable</t>
        </r>
      </text>
    </comment>
    <comment ref="D985" authorId="4" shapeId="0" xr:uid="{BFF26006-6528-4E71-B1C3-8822DB8F6B66}">
      <text>
        <r>
          <rPr>
            <sz val="9"/>
            <color indexed="81"/>
            <rFont val="Tahoma"/>
            <family val="2"/>
          </rPr>
          <t>To be updated from BMV Fillings</t>
        </r>
      </text>
    </comment>
    <comment ref="D989" authorId="6" shapeId="0" xr:uid="{2211C487-1E06-4CC3-BCA0-94760D910E39}">
      <text>
        <r>
          <rPr>
            <b/>
            <sz val="9"/>
            <color indexed="81"/>
            <rFont val="Tahoma"/>
            <family val="2"/>
          </rPr>
          <t>Rishabh Saraf:</t>
        </r>
        <r>
          <rPr>
            <sz val="9"/>
            <color indexed="81"/>
            <rFont val="Tahoma"/>
            <family val="2"/>
          </rPr>
          <t xml:space="preserve">
The amounts of debt are disclosed on a principal amount basis.</t>
        </r>
      </text>
    </comment>
    <comment ref="D992" authorId="4" shapeId="0" xr:uid="{2AD9277F-AFB7-41C6-A2B1-4356717C31B4}">
      <text>
        <r>
          <rPr>
            <sz val="9"/>
            <color indexed="81"/>
            <rFont val="Tahoma"/>
            <family val="2"/>
          </rPr>
          <t>To be updated from BMV Fillings</t>
        </r>
      </text>
    </comment>
    <comment ref="D996" authorId="6" shapeId="0" xr:uid="{8363CD0A-3C3A-4310-9763-19147B6FB214}">
      <text>
        <r>
          <rPr>
            <b/>
            <sz val="9"/>
            <color indexed="81"/>
            <rFont val="Tahoma"/>
            <family val="2"/>
          </rPr>
          <t>Rishabh Saraf:</t>
        </r>
        <r>
          <rPr>
            <sz val="9"/>
            <color indexed="81"/>
            <rFont val="Tahoma"/>
            <family val="2"/>
          </rPr>
          <t xml:space="preserve">
The amounts of debt are disclosed on a principal amount basis.</t>
        </r>
      </text>
    </comment>
    <comment ref="I1004" authorId="2" shapeId="0" xr:uid="{395C58F9-CED3-4295-AAC6-41046C874EF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Includes Total debt,  lease liabilities and other notes payable</t>
        </r>
      </text>
    </comment>
    <comment ref="D1019" authorId="4" shapeId="0" xr:uid="{01444BFB-C115-4926-830F-45E8C31DDC3F}">
      <text>
        <r>
          <rPr>
            <sz val="9"/>
            <color indexed="81"/>
            <rFont val="Tahoma"/>
            <family val="2"/>
          </rPr>
          <t>To be updated from BMV Fillings</t>
        </r>
      </text>
    </comment>
    <comment ref="D1023" authorId="6" shapeId="0" xr:uid="{2FD1C394-69B6-49CD-99C3-4A180EE34B80}">
      <text>
        <r>
          <rPr>
            <b/>
            <sz val="9"/>
            <color indexed="81"/>
            <rFont val="Tahoma"/>
            <family val="2"/>
          </rPr>
          <t>Rishabh Saraf:</t>
        </r>
        <r>
          <rPr>
            <sz val="9"/>
            <color indexed="81"/>
            <rFont val="Tahoma"/>
            <family val="2"/>
          </rPr>
          <t xml:space="preserve">
The amounts of debt are disclosed on a principal amount basis.</t>
        </r>
      </text>
    </comment>
    <comment ref="D1026" authorId="4" shapeId="0" xr:uid="{A67C59EE-F1FB-4B4A-920B-726EE986AC96}">
      <text>
        <r>
          <rPr>
            <sz val="9"/>
            <color indexed="81"/>
            <rFont val="Tahoma"/>
            <family val="2"/>
          </rPr>
          <t>To be updated from BMV Fillings</t>
        </r>
      </text>
    </comment>
    <comment ref="D1030" authorId="6" shapeId="0" xr:uid="{AAE99C47-7786-4CEE-87FE-CAA279CC0381}">
      <text>
        <r>
          <rPr>
            <b/>
            <sz val="9"/>
            <color indexed="81"/>
            <rFont val="Tahoma"/>
            <family val="2"/>
          </rPr>
          <t>Rishabh Saraf:</t>
        </r>
        <r>
          <rPr>
            <sz val="9"/>
            <color indexed="81"/>
            <rFont val="Tahoma"/>
            <family val="2"/>
          </rPr>
          <t xml:space="preserve">
The amounts of debt are disclosed on a principal amount basis.</t>
        </r>
      </text>
    </comment>
    <comment ref="I1040" authorId="2" shapeId="0" xr:uid="{EA412452-5C87-4AA1-B2E5-6E92A2423B3C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Includes Total debt,  lease liabilities and other notes payable</t>
        </r>
      </text>
    </comment>
    <comment ref="D1089" authorId="6" shapeId="0" xr:uid="{9A01ACD6-0641-4831-BEC9-252CFE3CD2A1}">
      <text>
        <r>
          <rPr>
            <b/>
            <sz val="9"/>
            <color indexed="81"/>
            <rFont val="Tahoma"/>
            <family val="2"/>
          </rPr>
          <t>Rishabh Saraf:</t>
        </r>
        <r>
          <rPr>
            <sz val="9"/>
            <color indexed="81"/>
            <rFont val="Tahoma"/>
            <family val="2"/>
          </rPr>
          <t xml:space="preserve">
The amounts of debt are disclosed on a principal amount basis.</t>
        </r>
      </text>
    </comment>
    <comment ref="D1096" authorId="6" shapeId="0" xr:uid="{F9D52F53-4CEA-41FC-BBD5-F8475717F7A2}">
      <text>
        <r>
          <rPr>
            <b/>
            <sz val="9"/>
            <color indexed="81"/>
            <rFont val="Tahoma"/>
            <family val="2"/>
          </rPr>
          <t>Rishabh Saraf:</t>
        </r>
        <r>
          <rPr>
            <sz val="9"/>
            <color indexed="81"/>
            <rFont val="Tahoma"/>
            <family val="2"/>
          </rPr>
          <t xml:space="preserve">
The amounts of debt are disclosed on a principal amount basis.</t>
        </r>
      </text>
    </comment>
    <comment ref="I1106" authorId="2" shapeId="0" xr:uid="{C7FAED57-0FA3-4143-9E36-37D17D79E2F1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Includes Total debt,  lease liabilities and other notes payable</t>
        </r>
      </text>
    </comment>
    <comment ref="D1155" authorId="6" shapeId="0" xr:uid="{ADE5A9E7-AD85-406C-8F15-D2FE3A1ACCCA}">
      <text>
        <r>
          <rPr>
            <b/>
            <sz val="9"/>
            <color indexed="81"/>
            <rFont val="Tahoma"/>
            <family val="2"/>
          </rPr>
          <t>Rishabh Saraf:</t>
        </r>
        <r>
          <rPr>
            <sz val="9"/>
            <color indexed="81"/>
            <rFont val="Tahoma"/>
            <family val="2"/>
          </rPr>
          <t xml:space="preserve">
The amounts of debt are disclosed on a principal amount basis.</t>
        </r>
      </text>
    </comment>
    <comment ref="I1165" authorId="2" shapeId="0" xr:uid="{AFC60B31-4887-4EFD-A301-1BE31E4C6D75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Includes Total debt,  lease liabilities and other notes payable</t>
        </r>
      </text>
    </comment>
    <comment ref="D1214" authorId="6" shapeId="0" xr:uid="{9E2690DC-AF0B-4A03-9C1C-F5F0F3E93AD8}">
      <text>
        <r>
          <rPr>
            <b/>
            <sz val="9"/>
            <color indexed="81"/>
            <rFont val="Tahoma"/>
            <family val="2"/>
          </rPr>
          <t>Rishabh Saraf:</t>
        </r>
        <r>
          <rPr>
            <sz val="9"/>
            <color indexed="81"/>
            <rFont val="Tahoma"/>
            <family val="2"/>
          </rPr>
          <t xml:space="preserve">
The amounts of debt are disclosed on a principal amount basis.</t>
        </r>
      </text>
    </comment>
    <comment ref="I1224" authorId="2" shapeId="0" xr:uid="{BE55BF26-7DCA-4053-B831-1A92C3623227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Includes Total debt,  lease liabilities and other notes payable</t>
        </r>
      </text>
    </comment>
    <comment ref="D1273" authorId="6" shapeId="0" xr:uid="{C14630EF-9B53-433C-88E4-C3CF5E793F0C}">
      <text>
        <r>
          <rPr>
            <b/>
            <sz val="9"/>
            <color indexed="81"/>
            <rFont val="Tahoma"/>
            <family val="2"/>
          </rPr>
          <t>Rishabh Saraf:</t>
        </r>
        <r>
          <rPr>
            <sz val="9"/>
            <color indexed="81"/>
            <rFont val="Tahoma"/>
            <family val="2"/>
          </rPr>
          <t xml:space="preserve">
The amounts of debt are disclosed on a principal amount basis.</t>
        </r>
      </text>
    </comment>
    <comment ref="I1283" authorId="2" shapeId="0" xr:uid="{32D14E25-7C88-4A7D-B5B1-27C8F7B6CCDB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Includes Total debt,  lease liabilities and other notes payable</t>
        </r>
      </text>
    </comment>
    <comment ref="D1317" authorId="2" shapeId="0" xr:uid="{E086FDE9-7C08-4F0D-A5C4-D49EF0AD19FE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Rounding off error</t>
        </r>
      </text>
    </comment>
    <comment ref="I1340" authorId="2" shapeId="0" xr:uid="{22C0AB89-1181-4E92-9201-2F94A834329B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Includes Total debt,  lease liabilities and other notes payable</t>
        </r>
      </text>
    </comment>
    <comment ref="D1375" authorId="2" shapeId="0" xr:uid="{F8DD48DA-569E-4CEA-8B5A-0669870D5005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Rounding off error</t>
        </r>
      </text>
    </comment>
    <comment ref="I1398" authorId="2" shapeId="0" xr:uid="{B0A7A47D-29E8-4430-AD0A-836EC5D4CE64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Includes Total debt,  lease liabilities and other notes payable</t>
        </r>
      </text>
    </comment>
    <comment ref="C1423" authorId="2" shapeId="0" xr:uid="{33080F47-EAFC-4841-AB3A-03743A18B1B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Notes payable issued by the Company in connection with the acquisition in 2016 of a non-controlling interest in TVI</t>
        </r>
      </text>
    </comment>
    <comment ref="D1432" authorId="2" shapeId="0" xr:uid="{8A78C842-44AC-4B48-B8CE-7B372E6ADAAB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Rounding off error</t>
        </r>
      </text>
    </comment>
    <comment ref="D1447" authorId="2" shapeId="0" xr:uid="{61FEDF81-172A-4D68-B9CF-ABD08B3DDB18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Maturities have been disclosed on a principal amount </t>
        </r>
      </text>
    </comment>
    <comment ref="I1455" authorId="2" shapeId="0" xr:uid="{3931DF88-1B2D-43EB-98B8-B1846C655457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Includes Total debt, finance lease obligations and other notes payable</t>
        </r>
      </text>
    </comment>
    <comment ref="C1480" authorId="2" shapeId="0" xr:uid="{CE7C826A-CE50-4F1D-ABFB-C95E268DBC79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Notes payable issued by the Company in connection with the acquisition in 2016 of a non-controlling interest in TVI</t>
        </r>
      </text>
    </comment>
    <comment ref="D1489" authorId="2" shapeId="0" xr:uid="{EAEE2162-EED8-4FE9-B22A-1F4714F8F1F1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Rounding off error</t>
        </r>
      </text>
    </comment>
    <comment ref="D1504" authorId="2" shapeId="0" xr:uid="{6D10A844-520C-4B11-8041-2D6FD4062555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Maturities have been disclosed on a principal amount basis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CRISIL</author>
    <author>Stuti Menon</author>
    <author>Prarthana Roy</author>
    <author>CRISIL GR&amp;A</author>
    <author>Rishabh Saraf</author>
    <author>Crisil GR&amp;A</author>
    <author>Meghana Ramesh Gollapudi</author>
  </authors>
  <commentList>
    <comment ref="BC7" authorId="0" shapeId="0" xr:uid="{BDA83BE3-6EA2-41BC-B89B-21E1A0D50A86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from ER</t>
        </r>
      </text>
    </comment>
    <comment ref="B52" authorId="1" shapeId="0" xr:uid="{149039C7-399E-4429-B75B-757CA312F179}">
      <text>
        <r>
          <rPr>
            <b/>
            <sz val="9"/>
            <color indexed="81"/>
            <rFont val="Tahoma"/>
            <family val="2"/>
          </rPr>
          <t xml:space="preserve">CRISIL GR&amp;A:
</t>
        </r>
        <r>
          <rPr>
            <sz val="9"/>
            <color indexed="81"/>
            <rFont val="Tahoma"/>
            <family val="2"/>
          </rPr>
          <t>We have taken operating segment income as Adjusted Ebitda</t>
        </r>
      </text>
    </comment>
    <comment ref="BC57" authorId="0" shapeId="0" xr:uid="{3ECA4CCB-9990-446B-A3FF-E2207B680AEC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from bmv link</t>
        </r>
      </text>
    </comment>
    <comment ref="L58" authorId="0" shapeId="0" xr:uid="{B8F9964B-FF63-48E7-97C3-4AC021AAB31F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 
1. trade accounts receivable, 
2. inventories, 
3. other accounts receivable and other current assets,
4. trade accounts payable and accrued expenses, 
5. deferred revenue and customer advances</t>
        </r>
      </text>
    </comment>
    <comment ref="N58" authorId="0" shapeId="0" xr:uid="{18518327-6712-47AB-AE38-6FFC550DED68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 
1. trade accounts receivable, 
2. inventories, 
3. other accounts receivable and other current assets,
4. trade accounts payable and accrued expenses, 
5. deferred revenue and customer advances</t>
        </r>
      </text>
    </comment>
    <comment ref="O58" authorId="0" shapeId="0" xr:uid="{3DA02360-E5FB-4E78-9F39-E9D3C90D518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 
1. trade accounts receivable, 
2. inventories, 
3. other accounts receivable and other current assets,
4. trade accounts payable and accrued expenses, 
5. deferred revenue and customer advances</t>
        </r>
      </text>
    </comment>
    <comment ref="P58" authorId="0" shapeId="0" xr:uid="{5035A04A-D7C4-48A8-BC44-D2C6CBCA8BC2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 
1. trade accounts receivable, 
2. inventories, 
3. other accounts receivable and other current assets,
4. trade accounts payable and accrued expenses, 
5. deferred revenue and customer advances</t>
        </r>
      </text>
    </comment>
    <comment ref="BA58" authorId="0" shapeId="0" xr:uid="{9ABC53FB-91E4-4724-B01F-355C891A3979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Inlucdes:
* inventories
* trade accounts receivable
* other operating receivables
* trade accounts payable
* other operating payable</t>
        </r>
      </text>
    </comment>
    <comment ref="BC58" authorId="0" shapeId="0" xr:uid="{0F350E6F-B330-4FA1-87A7-1AFDCE47102D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 
1. customers, 
2. inventories, 
3. other accounts receivable arising from operating activities,
4. suppliers, 
5. other accounts payable arising from operating activities,</t>
        </r>
      </text>
    </comment>
    <comment ref="P67" authorId="0" shapeId="0" xr:uid="{0CEB72CE-3762-40B1-B78C-4EA66637FCA8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FY includes:
* Other cash inflows (outflows): (3,289.055)</t>
        </r>
      </text>
    </comment>
    <comment ref="BC67" authorId="0" shapeId="0" xr:uid="{15BA7B53-6C01-450D-A1CE-1AA95EB8C60F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3M includes:
* Other cash inflows (outflows): (1,838.329)</t>
        </r>
      </text>
    </comment>
    <comment ref="P71" authorId="0" shapeId="0" xr:uid="{D4E8123F-FFF0-47CA-A03E-1F76C41058FD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FY includes:
* payments for acquiring or redeeming the entity's shares: (594.2)
* Other cashflows</t>
        </r>
      </text>
    </comment>
    <comment ref="O75" authorId="0" shapeId="0" xr:uid="{7D3DE49F-F731-4FDB-9497-115B6D1187E6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 majorly impairtment of long-lived assets, Impairment loss of trade accounts receivable and other receivables, and Unrealized foreign exchange loss (gain)</t>
        </r>
      </text>
    </comment>
    <comment ref="P75" authorId="0" shapeId="0" xr:uid="{87B92358-6605-4BE3-A358-00A015148D9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It is due to use of calculated EBITDA instead of net profit to obtain CFO and other adjustments apart from wokring capital, majorly:
* Unrealized foreign currency loss (profit): (4,338.636)
* Loss (profit) of fair value: (302.287)
* Participation in associates and joint ventures: 578.343</t>
        </r>
      </text>
    </comment>
    <comment ref="AY75" authorId="0" shapeId="0" xr:uid="{21585C2E-F61B-42D7-9D52-2167F14BEC6D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Higher balancing figure due to differences between company reported and calculated cash from operations</t>
        </r>
      </text>
    </comment>
    <comment ref="BA75" authorId="0" shapeId="0" xr:uid="{F281E384-02F1-4DEA-AC19-3ED54CA29A75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Higher balancing figure due to differences between company reported and calculated cash from operations. Adjustments majorly causing the difference are:
* unrealised foreign exchange losses (gains): (4,007.84)
* participation in associates and joint ventures : (2,145.707)
</t>
        </r>
      </text>
    </comment>
    <comment ref="BC75" authorId="0" shapeId="0" xr:uid="{0946502E-19E6-4EA8-AAD5-061A681E64FC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It is due to use of EBITDA instead of net profit to calcualte CFO and other adjustments apart from working capital, majorly:
* Provisions: 305.936
* loss at fair value: 356.674
* Participation in associates and joint ventures: (1,339.122) </t>
        </r>
      </text>
    </comment>
    <comment ref="AE77" authorId="2" shapeId="0" xr:uid="{DD0C671A-B99E-44E1-99F5-023847C02E9B}">
      <text>
        <r>
          <rPr>
            <b/>
            <sz val="9"/>
            <color indexed="81"/>
            <rFont val="Tahoma"/>
            <family val="2"/>
          </rPr>
          <t xml:space="preserve">Adjusted for the difference for 1Q21 re-stated begininng cash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77" authorId="2" shapeId="0" xr:uid="{0E3DFE03-F504-4353-9077-2DA68BC0BF54}">
      <text>
        <r>
          <rPr>
            <b/>
            <sz val="9"/>
            <color indexed="81"/>
            <rFont val="Tahoma"/>
            <family val="2"/>
          </rPr>
          <t xml:space="preserve">Adjusted for the difference for 1Q21 re-stated begininng cash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77" authorId="3" shapeId="0" xr:uid="{6C2F63A6-D8E4-4814-8D00-B0626F11C53D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Adjusted manually for restatements</t>
        </r>
      </text>
    </comment>
    <comment ref="O79" authorId="0" shapeId="0" xr:uid="{AE276BED-005D-4BE7-AAB5-C29E86822719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Cash and cash equivalents of Spun-off Businesses - not included in BS cash and cash equivalents</t>
        </r>
      </text>
    </comment>
    <comment ref="P79" authorId="0" shapeId="0" xr:uid="{D8060A02-119A-4C0F-9783-31E62B28342C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Cash and cash equivalents of Spun-off Businesses - not included in BS cash and cash equivalents</t>
        </r>
      </text>
    </comment>
    <comment ref="B93" authorId="0" shapeId="0" xr:uid="{C9904176-467B-4ACF-AEDA-17FA345B24CF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Includes:
* PPE
* Assets for usage ritghts</t>
        </r>
      </text>
    </comment>
    <comment ref="P93" authorId="0" shapeId="0" xr:uid="{E17E0965-3C24-4BD8-AE7F-B8ABD4B05C4B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PDF report</t>
        </r>
      </text>
    </comment>
    <comment ref="BA93" authorId="0" shapeId="0" xr:uid="{F756BCF5-4F73-4454-BA27-F02859428D55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PDF report</t>
        </r>
      </text>
    </comment>
    <comment ref="BC93" authorId="0" shapeId="0" xr:uid="{202474C7-2964-4E5E-8D3E-34C8445591AA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from ER</t>
        </r>
      </text>
    </comment>
    <comment ref="AZ94" authorId="0" shapeId="0" xr:uid="{3D52774E-CD08-4430-996C-69E68F3A2709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Data NA for 2Q25</t>
        </r>
      </text>
    </comment>
    <comment ref="AE96" authorId="4" shapeId="0" xr:uid="{9BA4D478-1321-411A-BCE0-226A397B7689}">
      <text>
        <r>
          <rPr>
            <b/>
            <sz val="9"/>
            <color indexed="81"/>
            <rFont val="Tahoma"/>
            <family val="2"/>
          </rPr>
          <t>Rishabh Saraf:</t>
        </r>
        <r>
          <rPr>
            <sz val="9"/>
            <color indexed="81"/>
            <rFont val="Tahoma"/>
            <family val="2"/>
          </rPr>
          <t xml:space="preserve">
Includes Trade notes and accounts receivable, net from the PR as main report is not available</t>
        </r>
      </text>
    </comment>
    <comment ref="AI96" authorId="4" shapeId="0" xr:uid="{AED59FB2-EE07-4B12-9D3B-2DBDBCC0312B}">
      <text>
        <r>
          <rPr>
            <b/>
            <sz val="9"/>
            <color indexed="81"/>
            <rFont val="Tahoma"/>
            <family val="2"/>
          </rPr>
          <t>Rishabh Saraf:</t>
        </r>
        <r>
          <rPr>
            <sz val="9"/>
            <color indexed="81"/>
            <rFont val="Tahoma"/>
            <family val="2"/>
          </rPr>
          <t xml:space="preserve">
Includes Trade notes and accounts receivable, net from the PR as main report is not available</t>
        </r>
      </text>
    </comment>
    <comment ref="AJ96" authorId="4" shapeId="0" xr:uid="{DDC97B0D-24FC-4858-8B0D-238900D25797}">
      <text>
        <r>
          <rPr>
            <b/>
            <sz val="9"/>
            <color indexed="81"/>
            <rFont val="Tahoma"/>
            <family val="2"/>
          </rPr>
          <t>Rishabh Saraf:</t>
        </r>
        <r>
          <rPr>
            <sz val="9"/>
            <color indexed="81"/>
            <rFont val="Tahoma"/>
            <family val="2"/>
          </rPr>
          <t xml:space="preserve">
Includes Trade notes and accounts receivable, net from the PR as main report is not available</t>
        </r>
      </text>
    </comment>
    <comment ref="AE97" authorId="4" shapeId="0" xr:uid="{716D074D-4A91-4F0D-AA5F-E6BC52C11BA7}">
      <text>
        <r>
          <rPr>
            <b/>
            <sz val="9"/>
            <color indexed="81"/>
            <rFont val="Tahoma"/>
            <family val="2"/>
          </rPr>
          <t>Rishabh Saraf:</t>
        </r>
        <r>
          <rPr>
            <sz val="9"/>
            <color indexed="81"/>
            <rFont val="Tahoma"/>
            <family val="2"/>
          </rPr>
          <t xml:space="preserve">
includes Trade accounts payable and accrued expenses from the PR.</t>
        </r>
      </text>
    </comment>
    <comment ref="AI97" authorId="4" shapeId="0" xr:uid="{969D380C-2686-450E-8438-543E1C7266AA}">
      <text>
        <r>
          <rPr>
            <b/>
            <sz val="9"/>
            <color indexed="81"/>
            <rFont val="Tahoma"/>
            <family val="2"/>
          </rPr>
          <t>Rishabh Saraf:</t>
        </r>
        <r>
          <rPr>
            <sz val="9"/>
            <color indexed="81"/>
            <rFont val="Tahoma"/>
            <family val="2"/>
          </rPr>
          <t xml:space="preserve">
includes Trade accounts payable and accrued expenses from the PR.</t>
        </r>
      </text>
    </comment>
    <comment ref="AJ97" authorId="4" shapeId="0" xr:uid="{0E8A2C42-A384-4CAE-BC32-BEDDD4955DE3}">
      <text>
        <r>
          <rPr>
            <b/>
            <sz val="9"/>
            <color indexed="81"/>
            <rFont val="Tahoma"/>
            <family val="2"/>
          </rPr>
          <t>Rishabh Saraf:</t>
        </r>
        <r>
          <rPr>
            <sz val="9"/>
            <color indexed="81"/>
            <rFont val="Tahoma"/>
            <family val="2"/>
          </rPr>
          <t xml:space="preserve">
includes Trade accounts payable and accrued expenses from the PR.</t>
        </r>
      </text>
    </comment>
    <comment ref="B106" authorId="5" shapeId="0" xr:uid="{09586D5D-5055-4464-9E40-E67936F5BD9C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Including notes payable</t>
        </r>
      </text>
    </comment>
    <comment ref="B107" authorId="5" shapeId="0" xr:uid="{F957ADFA-7696-4120-9E9D-FD5F82A9AA62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Including notes payable</t>
        </r>
      </text>
    </comment>
    <comment ref="B118" authorId="4" shapeId="0" xr:uid="{AFD1C490-0579-440F-AC1A-B16C2FC0A612}">
      <text>
        <r>
          <rPr>
            <b/>
            <sz val="9"/>
            <color indexed="81"/>
            <rFont val="Tahoma"/>
            <family val="2"/>
          </rPr>
          <t>Rishabh Saraf:</t>
        </r>
        <r>
          <rPr>
            <sz val="9"/>
            <color indexed="81"/>
            <rFont val="Tahoma"/>
            <family val="2"/>
          </rPr>
          <t xml:space="preserve">
Company calculates net debt as total debt and lease liabilities less cash and cash equivalents, temporary investments, and certain non-current investments in financial instruments</t>
        </r>
      </text>
    </comment>
    <comment ref="G118" authorId="6" shapeId="0" xr:uid="{D6E83898-E56E-4C95-B2DC-F090FEF6737F}">
      <text>
        <r>
          <rPr>
            <sz val="9"/>
            <color indexed="81"/>
            <rFont val="Tahoma"/>
            <family val="2"/>
          </rPr>
          <t xml:space="preserve">due to unavailability of the restated figure, this is assumed to be same as prev. reported figure
</t>
        </r>
      </text>
    </comment>
    <comment ref="BA118" authorId="0" shapeId="0" xr:uid="{A0E1A7F7-CA20-4B7B-BBEF-B3F56B6A07D3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(total debt and lease liabilities, less
cash and cash equivalents, and non-current investments in financial instruments) </t>
        </r>
      </text>
    </comment>
    <comment ref="BC118" authorId="0" shapeId="0" xr:uid="{B15E75A6-B04E-4A0E-BFB2-045132F30A48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Company Reported: As of March 31, 2026,consolidated net debt position (total debt and lease liabilities, less cash and cash equivalents, short-term investments, and non-current investments in financial 
instruments) was Ps.49,752.4 million.</t>
        </r>
      </text>
    </comment>
    <comment ref="B210" authorId="5" shapeId="0" xr:uid="{FD6EB037-85E0-4E81-8BA0-25448AA57204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Taken from bloomberg</t>
        </r>
      </text>
    </comment>
    <comment ref="B211" authorId="5" shapeId="0" xr:uid="{309A2978-1693-474F-9B10-F342A3CEE87B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Taken from company report Form 6k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CRISIL</author>
    <author>Rishabh Saraf</author>
    <author>CRISIL GR&amp;RS</author>
    <author>Akhilesh Kumar</author>
  </authors>
  <commentList>
    <comment ref="O11" authorId="0" shapeId="0" xr:uid="{9573DE21-0FE1-4E08-929A-6680F39826AB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Filings
</t>
        </r>
      </text>
    </comment>
    <comment ref="P11" authorId="0" shapeId="0" xr:uid="{3EB323DD-CBC9-421B-8B19-E7BEA4411A73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new classification</t>
        </r>
      </text>
    </comment>
    <comment ref="Q11" authorId="0" shapeId="0" xr:uid="{96FF3F2B-E0E6-487A-B82D-0DC01FAC868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new classification</t>
        </r>
      </text>
    </comment>
    <comment ref="BB11" authorId="0" shapeId="0" xr:uid="{9471B39A-9531-4F04-ABA9-1ED1A6ED6CD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new classification</t>
        </r>
      </text>
    </comment>
    <comment ref="B19" authorId="1" shapeId="0" xr:uid="{F002C63A-9D46-490B-9EEF-33339FDBF756}">
      <text>
        <r>
          <rPr>
            <b/>
            <sz val="9"/>
            <color indexed="81"/>
            <rFont val="Tahoma"/>
            <family val="2"/>
          </rPr>
          <t>Rishabh Saraf:</t>
        </r>
        <r>
          <rPr>
            <sz val="9"/>
            <color indexed="81"/>
            <rFont val="Tahoma"/>
            <family val="2"/>
          </rPr>
          <t xml:space="preserve">
The assets and related liabilities of the Radio business are classified as held to sale in the Company’s consolidated statement of financial position as of December 31, 2019.</t>
        </r>
      </text>
    </comment>
    <comment ref="O50" authorId="0" shapeId="0" xr:uid="{9C1BF2A9-EC1A-4F1F-B731-A203E8693F8B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Filings
</t>
        </r>
      </text>
    </comment>
    <comment ref="B60" authorId="1" shapeId="0" xr:uid="{06DB8811-1F1F-4B76-8245-A67201F7019C}">
      <text>
        <r>
          <rPr>
            <b/>
            <sz val="9"/>
            <color indexed="81"/>
            <rFont val="Tahoma"/>
            <family val="2"/>
          </rPr>
          <t>Rishabh Saraf:</t>
        </r>
        <r>
          <rPr>
            <sz val="9"/>
            <color indexed="81"/>
            <rFont val="Tahoma"/>
            <family val="2"/>
          </rPr>
          <t xml:space="preserve">
The assets and related liabilities of the Radio business are classified as held to sale in the Company’s consolidated statement of financial position as of December 31, 2019.</t>
        </r>
      </text>
    </comment>
    <comment ref="J65" authorId="2" shapeId="0" xr:uid="{3EBBA703-25E8-4832-94EE-2BF003B4388D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bal fig
</t>
        </r>
      </text>
    </comment>
    <comment ref="K65" authorId="2" shapeId="0" xr:uid="{54A05758-184D-47D4-A649-A6501EF668DF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bal fig
</t>
        </r>
      </text>
    </comment>
    <comment ref="L65" authorId="2" shapeId="0" xr:uid="{DF5B2B5D-DC68-4B39-A603-E28020B91188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bal fig
</t>
        </r>
      </text>
    </comment>
    <comment ref="M65" authorId="2" shapeId="0" xr:uid="{90F70FA0-B493-4BF1-9E70-3742BC986E76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bal fig
</t>
        </r>
      </text>
    </comment>
    <comment ref="N65" authorId="2" shapeId="0" xr:uid="{EA66775B-6CD0-4193-81FF-A9AAB87CB374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bal fig
</t>
        </r>
      </text>
    </comment>
    <comment ref="O65" authorId="2" shapeId="0" xr:uid="{7F101A96-53F8-4D23-89D7-8D608DB0CEFD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bal fig
</t>
        </r>
      </text>
    </comment>
    <comment ref="O101" authorId="0" shapeId="0" xr:uid="{5C6696A6-4B42-4C93-B585-BC4A60A67E50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earnings</t>
        </r>
      </text>
    </comment>
    <comment ref="O109" authorId="0" shapeId="0" xr:uid="{75752F56-687D-46B7-8464-F10D7F6EA26A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earnings</t>
        </r>
      </text>
    </comment>
    <comment ref="H111" authorId="3" shapeId="0" xr:uid="{B9D2B974-4982-4DF8-9C15-CE2B4A067B35}">
      <text>
        <r>
          <rPr>
            <sz val="9"/>
            <color indexed="81"/>
            <rFont val="Tahoma"/>
            <family val="2"/>
          </rPr>
          <t xml:space="preserve">Mobile and Voice both have been clubbed
</t>
        </r>
      </text>
    </comment>
    <comment ref="I111" authorId="3" shapeId="0" xr:uid="{C851561E-B80A-41D7-824B-AFB12FCF3902}">
      <text>
        <r>
          <rPr>
            <sz val="9"/>
            <color indexed="81"/>
            <rFont val="Tahoma"/>
            <family val="2"/>
          </rPr>
          <t xml:space="preserve">Mobile and Voice both have been clubbed
</t>
        </r>
      </text>
    </comment>
    <comment ref="J111" authorId="3" shapeId="0" xr:uid="{494596D0-1EC4-4642-B5E4-5673874A76E6}">
      <text>
        <r>
          <rPr>
            <sz val="9"/>
            <color indexed="81"/>
            <rFont val="Tahoma"/>
            <family val="2"/>
          </rPr>
          <t xml:space="preserve">Mobile and Voice both have been clubbed
</t>
        </r>
      </text>
    </comment>
    <comment ref="K111" authorId="3" shapeId="0" xr:uid="{43A02745-43E3-47A9-96F7-9477E879E428}">
      <text>
        <r>
          <rPr>
            <sz val="9"/>
            <color indexed="81"/>
            <rFont val="Tahoma"/>
            <family val="2"/>
          </rPr>
          <t xml:space="preserve">Mobile and Voice both have been clubbed
</t>
        </r>
      </text>
    </comment>
    <comment ref="AG111" authorId="3" shapeId="0" xr:uid="{0301AEFD-B4DE-41FD-80EB-87BFE8C2DA74}">
      <text>
        <r>
          <rPr>
            <sz val="9"/>
            <color indexed="81"/>
            <rFont val="Tahoma"/>
            <family val="2"/>
          </rPr>
          <t xml:space="preserve">Mobile and Voice both have been clubbed
</t>
        </r>
      </text>
    </comment>
    <comment ref="AI111" authorId="3" shapeId="0" xr:uid="{654F4936-594C-4E18-BD84-E2D6A1781E67}">
      <text>
        <r>
          <rPr>
            <sz val="9"/>
            <color indexed="81"/>
            <rFont val="Tahoma"/>
            <family val="2"/>
          </rPr>
          <t xml:space="preserve">Mobile and Voice both have been clubbed
</t>
        </r>
      </text>
    </comment>
    <comment ref="AJ111" authorId="3" shapeId="0" xr:uid="{169AF76F-9CAA-446E-9597-85CA8C445289}">
      <text>
        <r>
          <rPr>
            <sz val="9"/>
            <color indexed="81"/>
            <rFont val="Tahoma"/>
            <family val="2"/>
          </rPr>
          <t xml:space="preserve">Mobile and Voice both have been clubbed
</t>
        </r>
      </text>
    </comment>
    <comment ref="BJ111" authorId="3" shapeId="0" xr:uid="{AA499E8B-1939-4B9A-976C-E57967B88ABF}">
      <text>
        <r>
          <rPr>
            <sz val="9"/>
            <color indexed="81"/>
            <rFont val="Tahoma"/>
            <family val="2"/>
          </rPr>
          <t xml:space="preserve">Mobile and Voice both have been clubbed
</t>
        </r>
      </text>
    </comment>
    <comment ref="AU122" authorId="0" shapeId="0" xr:uid="{439F1E9C-5B15-4788-8098-408F4E61A165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Intersegment Operations</t>
        </r>
      </text>
    </comment>
    <comment ref="AV122" authorId="0" shapeId="0" xr:uid="{69BAA905-61A2-4F6C-B3F4-50D11D6078BF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Intersegment Operations</t>
        </r>
      </text>
    </comment>
    <comment ref="AW122" authorId="0" shapeId="0" xr:uid="{84A55E33-4D54-447A-A888-54D87F4E54AD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Intersegment Operations</t>
        </r>
      </text>
    </comment>
    <comment ref="AZ123" authorId="0" shapeId="0" xr:uid="{9486116C-9E3F-4F34-B371-76A43281CC49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Intersegment Operations</t>
        </r>
      </text>
    </comment>
    <comment ref="BA123" authorId="0" shapeId="0" xr:uid="{66A9F058-0465-4A5D-B599-FADE2D0FBD8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Intersegment Operations</t>
        </r>
      </text>
    </comment>
  </commentList>
</comments>
</file>

<file path=xl/sharedStrings.xml><?xml version="1.0" encoding="utf-8"?>
<sst xmlns="http://schemas.openxmlformats.org/spreadsheetml/2006/main" count="2606" uniqueCount="457">
  <si>
    <t>1Q26</t>
  </si>
  <si>
    <t>Exchange rate as at end</t>
  </si>
  <si>
    <t>LTM Average exchange rate</t>
  </si>
  <si>
    <t>Amount outstanding as on 31-Mar-2026</t>
  </si>
  <si>
    <t>MXN mn</t>
  </si>
  <si>
    <t>USD mn</t>
  </si>
  <si>
    <t>Leverage (MXN)</t>
  </si>
  <si>
    <t>Leverage (USD)</t>
  </si>
  <si>
    <t>Company reported</t>
  </si>
  <si>
    <t>Total debt and lease liabilities</t>
  </si>
  <si>
    <t>Current portion of long-term debt</t>
  </si>
  <si>
    <t>Net debt</t>
  </si>
  <si>
    <t>Net debt / EBITDA</t>
  </si>
  <si>
    <t>Long-term debt, net of current portion</t>
  </si>
  <si>
    <t>Long-term bank loans</t>
  </si>
  <si>
    <t>Long-term stock market loans</t>
  </si>
  <si>
    <t>Lease Liabilties</t>
  </si>
  <si>
    <t>Total Loans &amp; Borrows (including finance lease obligations)</t>
  </si>
  <si>
    <t>Cash &amp; Equivalents</t>
  </si>
  <si>
    <t xml:space="preserve">Net debt </t>
  </si>
  <si>
    <t>Equity</t>
  </si>
  <si>
    <t xml:space="preserve">Total Capitalisation </t>
  </si>
  <si>
    <t>LTM Adjusted EBITDA</t>
  </si>
  <si>
    <t>check</t>
  </si>
  <si>
    <t>short term investments</t>
  </si>
  <si>
    <t>Net debt including short-term investments</t>
  </si>
  <si>
    <t>Net leverage including short-term investments</t>
  </si>
  <si>
    <t>Liquidity Table at end</t>
  </si>
  <si>
    <t>Cash and cash equivalents</t>
  </si>
  <si>
    <t>Total Liquidity</t>
  </si>
  <si>
    <t>Total Debt as at end (excluding leases)</t>
  </si>
  <si>
    <t>Secured - Banks</t>
  </si>
  <si>
    <t>Union 1 TIE+1.25</t>
  </si>
  <si>
    <t>Union 2 TIE+1.25</t>
  </si>
  <si>
    <t>Unsecured - Notes</t>
  </si>
  <si>
    <t>Senior notes 1 @ 8.93%</t>
  </si>
  <si>
    <t>Senior notes 2 @ 7.62%</t>
  </si>
  <si>
    <t>Stock Certificates 3 @ 8.79%</t>
  </si>
  <si>
    <t>Senior notes 4 @ 8.94%</t>
  </si>
  <si>
    <t>Senior notes 5 @ 6.97%</t>
  </si>
  <si>
    <t>Senior notes 6 @ 5.26%</t>
  </si>
  <si>
    <t>Senior notes 7 @ 6.44%</t>
  </si>
  <si>
    <t>Senior notes 8 @ 5.52%</t>
  </si>
  <si>
    <t>Total debt</t>
  </si>
  <si>
    <t>Check</t>
  </si>
  <si>
    <t>Debt Maturity Profile at end(excluding lease obligations)</t>
  </si>
  <si>
    <t>2040 +</t>
  </si>
  <si>
    <t>FY25</t>
  </si>
  <si>
    <t>Amount outstanding as on 31-Dec-2025</t>
  </si>
  <si>
    <t>Liquidity Table at end-FY25</t>
  </si>
  <si>
    <t>Total Debt as at end-3Q25 (excluding leases)</t>
  </si>
  <si>
    <t>Senior notes 7 @ 4.86%</t>
  </si>
  <si>
    <t>Senior notes 8 @ 6.44%</t>
  </si>
  <si>
    <t>Senior notes 9 @ 5.52%</t>
  </si>
  <si>
    <t>Debt Maturity Profile at end-FY25 (excluding lease obligations)</t>
  </si>
  <si>
    <t>3Q25</t>
  </si>
  <si>
    <t>Exchange rate as at end  3Q25</t>
  </si>
  <si>
    <t>Amount outstanding as on 30-Sep-2025</t>
  </si>
  <si>
    <t>(MXN millions)</t>
  </si>
  <si>
    <t>(USD millions)</t>
  </si>
  <si>
    <t xml:space="preserve">Leverage </t>
  </si>
  <si>
    <t>Liquidity Table at end-3Q25</t>
  </si>
  <si>
    <t>Unionized 1</t>
  </si>
  <si>
    <t>Unionized 2</t>
  </si>
  <si>
    <t>Debt Maturity Profile at end-3Q25 (excluding lease obligations)</t>
  </si>
  <si>
    <t>Until 1 year</t>
  </si>
  <si>
    <t>Until 2 years</t>
  </si>
  <si>
    <t>Until 3 years</t>
  </si>
  <si>
    <t>Until 4 years</t>
  </si>
  <si>
    <t>Until 5 years</t>
  </si>
  <si>
    <t>2Q25</t>
  </si>
  <si>
    <t>Exchange rate as at end  2Q25</t>
  </si>
  <si>
    <t>Amount outstanding as on 30-Jun-2025</t>
  </si>
  <si>
    <t>Liquidity Table at end-2Q25</t>
  </si>
  <si>
    <t>Temporary investments</t>
  </si>
  <si>
    <t>RCF</t>
  </si>
  <si>
    <t>Debt Maturity Profile at end-2Q25 (including lease obligations)</t>
  </si>
  <si>
    <t>less than 12 months</t>
  </si>
  <si>
    <t>12-36 months</t>
  </si>
  <si>
    <t>36-60 months</t>
  </si>
  <si>
    <t>subsequent to Mar 31, 2029</t>
  </si>
  <si>
    <t>Less: Finance costs</t>
  </si>
  <si>
    <t>Total Debt as at end-2Q25</t>
  </si>
  <si>
    <t>Current portion</t>
  </si>
  <si>
    <t>U.S. dollar debt</t>
  </si>
  <si>
    <t>6.625% Senior Notes due 2025</t>
  </si>
  <si>
    <t>4.625% Senior Notes due 2026</t>
  </si>
  <si>
    <t>8.5% Senior Notes due 2032</t>
  </si>
  <si>
    <t>6.625% Senior Notes due 2040</t>
  </si>
  <si>
    <t>5% Senior Notes due 2045</t>
  </si>
  <si>
    <t>6.125% Senior Notes due 2046</t>
  </si>
  <si>
    <t>5.250% Senior Notes due 2049</t>
  </si>
  <si>
    <t>Mexican peso debt</t>
  </si>
  <si>
    <t>8.79% Notes due 2027</t>
  </si>
  <si>
    <t>8.49% Senior Notes due 2037</t>
  </si>
  <si>
    <t>7.25% Senior Notes due 2043</t>
  </si>
  <si>
    <t>Bank loans</t>
  </si>
  <si>
    <t>Bank loans (Sky)</t>
  </si>
  <si>
    <t>Lease Maturity Profile at end-2Q25</t>
  </si>
  <si>
    <t>Satellite transponder lease agreement till 2027</t>
  </si>
  <si>
    <t>Telecommunications network lease agreement  till 2030</t>
  </si>
  <si>
    <t>Other lease agreement 2025 - 2051</t>
  </si>
  <si>
    <t>Less: Current portion</t>
  </si>
  <si>
    <t>1Q25</t>
  </si>
  <si>
    <t>Exchange rate as at end  1Q25</t>
  </si>
  <si>
    <t>Amount outstanding as on 31-Mar-2025</t>
  </si>
  <si>
    <t>(USDmillions)</t>
  </si>
  <si>
    <t>Liquidity Table at end-1Q25</t>
  </si>
  <si>
    <t>Debt Maturity Profile at end-1Q25 (including lease obligations)</t>
  </si>
  <si>
    <t>Total Debt as at end-1Q25</t>
  </si>
  <si>
    <t>Lease Maturity Profile at end-1Q25</t>
  </si>
  <si>
    <t>FY24</t>
  </si>
  <si>
    <t>Exchange rate as at end  FY24</t>
  </si>
  <si>
    <t>Amount outstanding as on 31-Dec-2024</t>
  </si>
  <si>
    <t>Liquidity Table at end-FY24</t>
  </si>
  <si>
    <t>Debt Maturity Profile at end-FY24 (including lease obligations)</t>
  </si>
  <si>
    <t>Total Debt as at end-FY24</t>
  </si>
  <si>
    <t>Bank loans due 2023</t>
  </si>
  <si>
    <t>Bank loans (Sky) due between 2021-2023</t>
  </si>
  <si>
    <t>Lease Maturity Profile at end-FY24</t>
  </si>
  <si>
    <t>2Q24</t>
  </si>
  <si>
    <t>Exchange rate as at end  2Q24</t>
  </si>
  <si>
    <t>Amount outstanding as on 30-Jun-2024</t>
  </si>
  <si>
    <t>Company Reported</t>
  </si>
  <si>
    <t>MXN (mn)</t>
  </si>
  <si>
    <t>USD (mn)</t>
  </si>
  <si>
    <t>Gross Debt</t>
  </si>
  <si>
    <t>Temporary Investments</t>
  </si>
  <si>
    <t>Certain Non current investments in financial instruments</t>
  </si>
  <si>
    <t>Liquidity Table at end-2Q24</t>
  </si>
  <si>
    <t>Debt Maturity Profile at end-2Q24 (including lease obligations)</t>
  </si>
  <si>
    <t>Total Debt as at end-2Q24</t>
  </si>
  <si>
    <t>Bank loans (TVI) due 2022</t>
  </si>
  <si>
    <t>Lease Maturity Profile at end-2Q24</t>
  </si>
  <si>
    <t>Other lease agreement  till 2030</t>
  </si>
  <si>
    <t>Lease liabilities maturing 2021-2051</t>
  </si>
  <si>
    <t>1Q24</t>
  </si>
  <si>
    <t>Exchange rate as at end  1Q24</t>
  </si>
  <si>
    <t>Amount outstanding as on 31-Mar-2024</t>
  </si>
  <si>
    <t>Liquidity Table at end-1Q24</t>
  </si>
  <si>
    <t>Debt Maturity Profile at end-1Q24 (including lease obligations)</t>
  </si>
  <si>
    <t>Total Debt as at end-1Q24</t>
  </si>
  <si>
    <t>Lease Maturity Profile at end-1Q24</t>
  </si>
  <si>
    <t>FY23</t>
  </si>
  <si>
    <t>Exchange rate as at end  FY23</t>
  </si>
  <si>
    <t>Amount outstanding as on 31-Dec-2023</t>
  </si>
  <si>
    <t>Liquidity Table at end-FY23</t>
  </si>
  <si>
    <t>Debt Maturity Profile at end-FY23 (including lease obligations)</t>
  </si>
  <si>
    <t>subsequent to Sept 30, 2028</t>
  </si>
  <si>
    <t>Total Debt as at end-FY23</t>
  </si>
  <si>
    <t>Lease Maturity Profile at end-FY23</t>
  </si>
  <si>
    <t>3Q23</t>
  </si>
  <si>
    <t>Exchange rate as at end  3Q23</t>
  </si>
  <si>
    <t>Amount outstanding as on 30-Sept-2023</t>
  </si>
  <si>
    <t>Amount outstanding as on 30-sept-2023</t>
  </si>
  <si>
    <t>Liquidity Table at end-3Q23</t>
  </si>
  <si>
    <t>Debt Maturity Profile at end-3Q23 (including lease obligations)</t>
  </si>
  <si>
    <t>Total Debt as at end-3Q23</t>
  </si>
  <si>
    <t>Lease Maturity Profile at end-3Q23</t>
  </si>
  <si>
    <t>2Q23</t>
  </si>
  <si>
    <t>Exchange rate as at end  2Q23</t>
  </si>
  <si>
    <t>Amount outstanding as on 30-Jun-2023</t>
  </si>
  <si>
    <t>Liquidity Table at end-2Q23</t>
  </si>
  <si>
    <t>Debt Maturity Profile at end-2Q23 (including lease obligations)</t>
  </si>
  <si>
    <t>subsequent to March 31, 2028</t>
  </si>
  <si>
    <t>Total Debt as at end-2Q23</t>
  </si>
  <si>
    <t>Lease Maturity Profile at end-2Q23</t>
  </si>
  <si>
    <t>1Q23</t>
  </si>
  <si>
    <t>Exchange rate as at end  1Q23</t>
  </si>
  <si>
    <t>Amount outstanding as on 31-Mar-2023</t>
  </si>
  <si>
    <t>Liquidity Table at end-1Q23</t>
  </si>
  <si>
    <t>Debt Maturity Profile at end-1Q23 (including lease obligations)</t>
  </si>
  <si>
    <t>Debt Maturity Profile at end-1Q23</t>
  </si>
  <si>
    <t>Lease Maturity Profile at end-1Q23</t>
  </si>
  <si>
    <t>FY22</t>
  </si>
  <si>
    <t>Exchange rate as at end  FY 2022</t>
  </si>
  <si>
    <t>Amount outstanding as on 31-Dec-2022</t>
  </si>
  <si>
    <t>Liquidity Table at end-FY22</t>
  </si>
  <si>
    <t>Debt Maturity Profile at end-FY22</t>
  </si>
  <si>
    <t>Lease Maturity Profile at end-FY22</t>
  </si>
  <si>
    <t>3Q22</t>
  </si>
  <si>
    <t>Exchange rate as at end 3Q 2022</t>
  </si>
  <si>
    <t>Amount outstanding as on 30-Sep-2022</t>
  </si>
  <si>
    <t>Liquidity Table at end-3Q22</t>
  </si>
  <si>
    <t>Debt Maturity Profile at end-3Q22</t>
  </si>
  <si>
    <t>0-1 Year</t>
  </si>
  <si>
    <t>1-3 Years</t>
  </si>
  <si>
    <t>3-5 Years</t>
  </si>
  <si>
    <t>5+ years</t>
  </si>
  <si>
    <t>Lease Maturity Profile at end-3Q22</t>
  </si>
  <si>
    <t>2Q22</t>
  </si>
  <si>
    <t>Exchange rate as at end 2Q 2022</t>
  </si>
  <si>
    <t>Amount outstanding as on 30-Jun-2022</t>
  </si>
  <si>
    <t>Liquidity Table at end-2Q22</t>
  </si>
  <si>
    <t>Debt Maturity Profile at end-2Q22</t>
  </si>
  <si>
    <t>Lease Maturity Profile at end-2Q22</t>
  </si>
  <si>
    <t>1Q22</t>
  </si>
  <si>
    <t>Exchange rate as at end 1Q 2022</t>
  </si>
  <si>
    <t>Amount outstanding as on 31-Mar-2022</t>
  </si>
  <si>
    <t>Liquidity Table at end-1Q22</t>
  </si>
  <si>
    <t>Debt Maturity Profile at end-1Q22</t>
  </si>
  <si>
    <t>Lease Maturity Profile at end-1Q22</t>
  </si>
  <si>
    <t>4Q21</t>
  </si>
  <si>
    <t>Exchange rate as at end 4Q 2021</t>
  </si>
  <si>
    <t>Amount outstanding as on 31-Dec-2021</t>
  </si>
  <si>
    <t>Liquidity Table at end-4Q21</t>
  </si>
  <si>
    <t>Debt Maturity Profile at end-4Q21</t>
  </si>
  <si>
    <t>Lease Maturity Profile at end-4Q21</t>
  </si>
  <si>
    <t>3Q21</t>
  </si>
  <si>
    <t>Exchange rate as at end 3Q 2021</t>
  </si>
  <si>
    <t>Amount outstanding as on 30-Sept-2021</t>
  </si>
  <si>
    <t>Liquidity Table at end-3Q21</t>
  </si>
  <si>
    <t>Debt Maturity Profile at end-3Q21</t>
  </si>
  <si>
    <t>Lease Maturity Profile at end-3Q21</t>
  </si>
  <si>
    <t>2Q21</t>
  </si>
  <si>
    <t>Exchange rate as at end 2Q 2021</t>
  </si>
  <si>
    <t>Amount outstanding as on 30-Jun-2021</t>
  </si>
  <si>
    <t>Liquidity Table at end-2Q21</t>
  </si>
  <si>
    <t>Debt Maturity Profile at end-2Q21</t>
  </si>
  <si>
    <t>Lease Maturity Profile at end-2Q21</t>
  </si>
  <si>
    <t>1Q21</t>
  </si>
  <si>
    <t>Exchange rate as at end 1Q 2021</t>
  </si>
  <si>
    <t>Amount outstanding as on 31-Mar-2021</t>
  </si>
  <si>
    <t>Liquidity Table at end-1Q21</t>
  </si>
  <si>
    <t>Debt Maturity Profile at end-1Q21</t>
  </si>
  <si>
    <t>Lease Maturity Profile at end-1Q21</t>
  </si>
  <si>
    <t>4Q20</t>
  </si>
  <si>
    <t>Exchange rate as at end 2Q 2020</t>
  </si>
  <si>
    <t>Amount outstanding as on 31-Dec-2020</t>
  </si>
  <si>
    <t>Amount outstanding as on 30-Sep-2020</t>
  </si>
  <si>
    <t>Liquidity Table at end-3Q20</t>
  </si>
  <si>
    <t>Debt Maturity Profile at end-3Q20</t>
  </si>
  <si>
    <t>Lease Maturity Profile at end-3Q20</t>
  </si>
  <si>
    <t>3Q20</t>
  </si>
  <si>
    <t>Lease liabilities:</t>
  </si>
  <si>
    <t>Satellite transponder lease obligation</t>
  </si>
  <si>
    <t>Other Leases</t>
  </si>
  <si>
    <t>Bank loans (TVI)</t>
  </si>
  <si>
    <t>US$ debt</t>
  </si>
  <si>
    <t>Total U.S. dollar debt</t>
  </si>
  <si>
    <t>Mexican peso debt:</t>
  </si>
  <si>
    <t xml:space="preserve">7.38% Notes due 2020 </t>
  </si>
  <si>
    <t xml:space="preserve">TIIE + 0.35% Notes due 2021 </t>
  </si>
  <si>
    <t>TIIE + 0.35% Notes due 2022</t>
  </si>
  <si>
    <t>Total Mexican peso debt</t>
  </si>
  <si>
    <t>Other notes payable:</t>
  </si>
  <si>
    <t>Total other notes payable</t>
  </si>
  <si>
    <t>2Q20</t>
  </si>
  <si>
    <t>Amount outstanding as on 30-Jun-2020</t>
  </si>
  <si>
    <t>Liquidity Table at end-2Q20</t>
  </si>
  <si>
    <t>Debt Maturity Profile at end-2Q20</t>
  </si>
  <si>
    <t>1Q20</t>
  </si>
  <si>
    <t>Exchange rate as at end 1Q 2020</t>
  </si>
  <si>
    <t>Amount outstanding as on 31-Mar-2020</t>
  </si>
  <si>
    <t>Liquidity Table at end-1Q20</t>
  </si>
  <si>
    <t>Debt Maturity Profile at end-1Q20</t>
  </si>
  <si>
    <t>4Q19</t>
  </si>
  <si>
    <t>Exchange rate as at end 4Q 2019</t>
  </si>
  <si>
    <t>Amount outstanding as on 31-Dec-2019</t>
  </si>
  <si>
    <t>Liquidity Table at end-4Q19</t>
  </si>
  <si>
    <t>Debt Maturity Profile at end-4Q19</t>
  </si>
  <si>
    <t>3Q19</t>
  </si>
  <si>
    <t>Exchange rate as at end 3Q 2019</t>
  </si>
  <si>
    <t>Amount outstanding as on 30-Sep-2019</t>
  </si>
  <si>
    <t>Liquidity Table at end-3Q19</t>
  </si>
  <si>
    <t>Debt Maturity Profile at end-3Q19</t>
  </si>
  <si>
    <t>2Q19</t>
  </si>
  <si>
    <t>Exchange rate as at end 2Q 2019</t>
  </si>
  <si>
    <t>Amount outstanding as on 30-Jun-2019</t>
  </si>
  <si>
    <t>Liquidity Table at end-2Q19</t>
  </si>
  <si>
    <t>Debt Maturity Profile at end-2Q19</t>
  </si>
  <si>
    <t>1Q19</t>
  </si>
  <si>
    <t>Exchange rate as at end 1Q 2019</t>
  </si>
  <si>
    <t>Amount outstanding as on 31-Mar-2019</t>
  </si>
  <si>
    <t>Liquidity Table at end-1Q19</t>
  </si>
  <si>
    <t>Debt Maturity Profile at end-1Q19</t>
  </si>
  <si>
    <t>4Q18</t>
  </si>
  <si>
    <t>Exchange rate as at end 4Q 2018</t>
  </si>
  <si>
    <t>Amount outstanding as on 31-Dec-2018</t>
  </si>
  <si>
    <t>Finance lease obligations:</t>
  </si>
  <si>
    <t>Other</t>
  </si>
  <si>
    <t>Liquidity Table at end-4Q18</t>
  </si>
  <si>
    <t>Debt Maturity Profile at end-4Q18</t>
  </si>
  <si>
    <t>Grupo Televisa, S.A.B.</t>
  </si>
  <si>
    <t>Annual</t>
  </si>
  <si>
    <t>LTM</t>
  </si>
  <si>
    <t>Quarterly</t>
  </si>
  <si>
    <t>Act</t>
  </si>
  <si>
    <t>FY</t>
  </si>
  <si>
    <t>Q1</t>
  </si>
  <si>
    <t>Q2</t>
  </si>
  <si>
    <t>Q3</t>
  </si>
  <si>
    <t>Q4</t>
  </si>
  <si>
    <t>INCOME STATEMENT</t>
  </si>
  <si>
    <t>restated</t>
  </si>
  <si>
    <t>Restated</t>
  </si>
  <si>
    <t>Net Sales (LFL)</t>
  </si>
  <si>
    <t>Non-Recurring Licensing revenues</t>
  </si>
  <si>
    <t>Net Sales including non-recurring licensing revenues</t>
  </si>
  <si>
    <t>% y-o-y growth (LFL sales)</t>
  </si>
  <si>
    <t xml:space="preserve">% y-o-y growth </t>
  </si>
  <si>
    <t>COGS</t>
  </si>
  <si>
    <t>Gross Profit</t>
  </si>
  <si>
    <t>Gross Profit margin</t>
  </si>
  <si>
    <t>Distribution costs</t>
  </si>
  <si>
    <t>Administrative expenses</t>
  </si>
  <si>
    <t>Other income</t>
  </si>
  <si>
    <t>Other expense</t>
  </si>
  <si>
    <t>Operating Profit</t>
  </si>
  <si>
    <t>Finance income</t>
  </si>
  <si>
    <t>Finance costs</t>
  </si>
  <si>
    <t>Share of profit (loss) of associates and joint ventures accounted for using equity method</t>
  </si>
  <si>
    <t>Profit before tax</t>
  </si>
  <si>
    <t>Tax income (expenses)</t>
  </si>
  <si>
    <t>Profit (loss) from Continuing Operations</t>
  </si>
  <si>
    <t>Discontinued Operations</t>
  </si>
  <si>
    <t>Profit (loss)/Net Income</t>
  </si>
  <si>
    <t>% of Net sales or stated otherwise</t>
  </si>
  <si>
    <t>General and Administrative expenses</t>
  </si>
  <si>
    <t>Finance Income as a % of cash at end of period</t>
  </si>
  <si>
    <t>Finance costs as a % of debt at end of period</t>
  </si>
  <si>
    <t>Income tax benefit/(expense) as a % of Profit before tax</t>
  </si>
  <si>
    <t>capex/sales</t>
  </si>
  <si>
    <t>D/A/sales</t>
  </si>
  <si>
    <t xml:space="preserve">EBITDA </t>
  </si>
  <si>
    <t xml:space="preserve"> </t>
  </si>
  <si>
    <t xml:space="preserve">Operating profit </t>
  </si>
  <si>
    <t>Depreciation &amp; amortisation</t>
  </si>
  <si>
    <t xml:space="preserve">% growth </t>
  </si>
  <si>
    <t>% margin</t>
  </si>
  <si>
    <t xml:space="preserve">Adjustment </t>
  </si>
  <si>
    <t xml:space="preserve">Adj. EBITDA </t>
  </si>
  <si>
    <t>CASH FLOW</t>
  </si>
  <si>
    <t xml:space="preserve">Adjusted EBITDA </t>
  </si>
  <si>
    <t>Working Capital</t>
  </si>
  <si>
    <t>Taxes, net</t>
  </si>
  <si>
    <t>Cash interest paid</t>
  </si>
  <si>
    <t>Cash interest received</t>
  </si>
  <si>
    <t xml:space="preserve">Net cash from operations </t>
  </si>
  <si>
    <t>Net Capex</t>
  </si>
  <si>
    <t>Purchase and development of intangible assets</t>
  </si>
  <si>
    <t>Disposals/ Acquisition, of subsidiaries</t>
  </si>
  <si>
    <t xml:space="preserve">Free cash flow </t>
  </si>
  <si>
    <t>Other investing activities</t>
  </si>
  <si>
    <t>Equity Issuance/Buyback</t>
  </si>
  <si>
    <t xml:space="preserve">Dividends Paid </t>
  </si>
  <si>
    <t>Change in debt</t>
  </si>
  <si>
    <t>Other financing activities</t>
  </si>
  <si>
    <t>Net Cash from discontinued operations</t>
  </si>
  <si>
    <t>Cash flow after financing activities</t>
  </si>
  <si>
    <t>FX</t>
  </si>
  <si>
    <t>Balancing figure</t>
  </si>
  <si>
    <t xml:space="preserve">Net change in cash </t>
  </si>
  <si>
    <t xml:space="preserve">LTM </t>
  </si>
  <si>
    <t>EBITDA</t>
  </si>
  <si>
    <t>Adjusted EBITDA</t>
  </si>
  <si>
    <t>Net Income</t>
  </si>
  <si>
    <t>Capex</t>
  </si>
  <si>
    <t xml:space="preserve">BALANCE SHEET </t>
  </si>
  <si>
    <t>Tangible fixed assets</t>
  </si>
  <si>
    <t>Net pension liability</t>
  </si>
  <si>
    <t>Inventory</t>
  </si>
  <si>
    <t>Trade accounts receivables, net</t>
  </si>
  <si>
    <t>Trade creditors /payables</t>
  </si>
  <si>
    <t>Net working capital</t>
  </si>
  <si>
    <t>% of revenues</t>
  </si>
  <si>
    <t>Receivables days</t>
  </si>
  <si>
    <t>Payable days</t>
  </si>
  <si>
    <t>Inventory days</t>
  </si>
  <si>
    <t xml:space="preserve">Debt  Breakdown </t>
  </si>
  <si>
    <t>Short-term debt</t>
  </si>
  <si>
    <t>Long-term debt</t>
  </si>
  <si>
    <t>Lease obligations</t>
  </si>
  <si>
    <t>Notes Payable</t>
  </si>
  <si>
    <t>Total Debt</t>
  </si>
  <si>
    <t>Cash and equivalents</t>
  </si>
  <si>
    <t>Gross debt</t>
  </si>
  <si>
    <t>Company reported net debt</t>
  </si>
  <si>
    <t>Equity (as reported on balance sheet)</t>
  </si>
  <si>
    <t>Total debt + Equity</t>
  </si>
  <si>
    <t>CREDIT RATIOS</t>
  </si>
  <si>
    <t>Total Net Leverage</t>
  </si>
  <si>
    <t xml:space="preserve">Total Gross Leverage </t>
  </si>
  <si>
    <t>Total Net Leverage excluding leases</t>
  </si>
  <si>
    <t>Total Gross Leverage excluding leases</t>
  </si>
  <si>
    <t>Net Leverage (based on company reported debt)</t>
  </si>
  <si>
    <t>EBITDA - Capex / Interest</t>
  </si>
  <si>
    <t>EBITDA/Interest</t>
  </si>
  <si>
    <t xml:space="preserve">Gearing (Net debt / Equity) </t>
  </si>
  <si>
    <r>
      <t>Key  Credit Metrics (MXN</t>
    </r>
    <r>
      <rPr>
        <b/>
        <sz val="10"/>
        <rFont val="Calibri"/>
        <family val="2"/>
      </rPr>
      <t xml:space="preserve"> mn where applicable)</t>
    </r>
  </si>
  <si>
    <t>Adjusted EBITDA margin</t>
  </si>
  <si>
    <t>Cash</t>
  </si>
  <si>
    <t>Net Debt</t>
  </si>
  <si>
    <t>Company Reported Net Debt</t>
  </si>
  <si>
    <t>Gross Leverage</t>
  </si>
  <si>
    <t xml:space="preserve">Net Leverage </t>
  </si>
  <si>
    <t>Company Reported Net Leverage</t>
  </si>
  <si>
    <t>Summary Financials</t>
  </si>
  <si>
    <t>(R$)</t>
  </si>
  <si>
    <t>Company Reported net debt</t>
  </si>
  <si>
    <t>FX rate average - MXN/USD</t>
  </si>
  <si>
    <t>FX rate  - MXN/USD (as at end of period)</t>
  </si>
  <si>
    <t>USD to MXN EOP</t>
  </si>
  <si>
    <t>Key  Credit Metrics (USD mn where applicable)</t>
  </si>
  <si>
    <t>Net sales</t>
  </si>
  <si>
    <t>Company Reported debt</t>
  </si>
  <si>
    <t>Net Sales by Business Segment</t>
  </si>
  <si>
    <t>Subtotal Content</t>
  </si>
  <si>
    <t>World Cup rights</t>
  </si>
  <si>
    <t>Content</t>
  </si>
  <si>
    <t>Sky</t>
  </si>
  <si>
    <t>Cable</t>
  </si>
  <si>
    <t>Other Businesses</t>
  </si>
  <si>
    <t>Segment Net Sales</t>
  </si>
  <si>
    <t>Intersegment Operations</t>
  </si>
  <si>
    <t>Held-to-sale Operations</t>
  </si>
  <si>
    <t>Net Sales including non-recurring revenues</t>
  </si>
  <si>
    <t>Net Sales y-o-y Growth</t>
  </si>
  <si>
    <t>Net Sales</t>
  </si>
  <si>
    <t xml:space="preserve">% of Net Sales </t>
  </si>
  <si>
    <t>Segment Net Sales as a % of Net sales</t>
  </si>
  <si>
    <t>Operating Segment Income by Business Segment</t>
  </si>
  <si>
    <t>Operating Segment Income</t>
  </si>
  <si>
    <t>Non recurring licensing income</t>
  </si>
  <si>
    <t>Total Operating Segment Income</t>
  </si>
  <si>
    <t>Corporate Expenses</t>
  </si>
  <si>
    <t>Depreciation and Amortization</t>
  </si>
  <si>
    <t>Other Expense, net</t>
  </si>
  <si>
    <t>Operating Income</t>
  </si>
  <si>
    <t>Operating Income y-o-y growth</t>
  </si>
  <si>
    <t>Operating Income Margin</t>
  </si>
  <si>
    <t>Operating Segment Income Margin</t>
  </si>
  <si>
    <t>Advertising</t>
  </si>
  <si>
    <t>Network Subscription Revenue</t>
  </si>
  <si>
    <t>Licensing and Syndication</t>
  </si>
  <si>
    <t xml:space="preserve">Net Sales </t>
  </si>
  <si>
    <t>RGUs per service type for Sky</t>
  </si>
  <si>
    <t>Video</t>
  </si>
  <si>
    <t>Broadband</t>
  </si>
  <si>
    <t>Voice</t>
  </si>
  <si>
    <t>Mobile</t>
  </si>
  <si>
    <t>Total RGUs</t>
  </si>
  <si>
    <t>RGUs per service type for Cable segment</t>
  </si>
  <si>
    <t>New Classification</t>
  </si>
  <si>
    <t>Revenues</t>
  </si>
  <si>
    <t>Residential</t>
  </si>
  <si>
    <t>Satellite</t>
  </si>
  <si>
    <t>Enterprise</t>
  </si>
  <si>
    <t>Total</t>
  </si>
  <si>
    <t>Revenues (% Share)</t>
  </si>
  <si>
    <t>Revenues (YoY % Growth)</t>
  </si>
  <si>
    <t>RGUs : Residential Services Operating Metrics</t>
  </si>
  <si>
    <t>RGUs : Residential Services Operating Metrics (% Share)</t>
  </si>
  <si>
    <t>RGUs : Residential Services Operating Metrics (YoY % Growth)</t>
  </si>
  <si>
    <t>RGUs : Satellite Services Operating Metrics</t>
  </si>
  <si>
    <t>RGUs : Satellite Services Operating Metrics (% Share)</t>
  </si>
  <si>
    <t>RGUs : Satellite Services Operating Metrics (YoY % Growth)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</si>
</sst>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#,##0.0_);\(#,##0.0\)"/>
    <numFmt numFmtId="166" formatCode="#0.0%_);\(#0.0%\)"/>
    <numFmt numFmtId="167" formatCode="#0.00\x"/>
    <numFmt numFmtId="168" formatCode="mmm\ yyyy"/>
    <numFmt numFmtId="169" formatCode="0.0%"/>
    <numFmt numFmtId="170" formatCode="_(* #,##0.0_);_(* \(#,##0.0\);_(* &quot;-&quot;??_);_(@_)"/>
    <numFmt numFmtId="171" formatCode="_(* #,##0.000_);_(* \(#,##0.000\);_(* &quot;-&quot;??_);_(@_)"/>
    <numFmt numFmtId="172" formatCode="_(* #,##0_);_(* \(#,##0\);_(* &quot;-&quot;??_);_(@_)"/>
    <numFmt numFmtId="173" formatCode="#,##0.0\ ;\(#,##0.0\)"/>
    <numFmt numFmtId="174" formatCode="&quot;$&quot;#,##0.00_)&quot;per share&quot;;\(&quot;$&quot;#,##0.00\)&quot; per share&quot;"/>
    <numFmt numFmtId="175" formatCode="0.0_)\%;\(0.0\)\%;0.0_)\%;@_)_%"/>
    <numFmt numFmtId="176" formatCode="#,##0.0_)_%;\(#,##0.0\)_%;0.0_)_%;@_)_%"/>
    <numFmt numFmtId="177" formatCode="#,##0.0_);\(#,##0.0\);#,##0.0_);@_)"/>
    <numFmt numFmtId="178" formatCode="&quot;$&quot;_(#,##0.00_);&quot;$&quot;\(#,##0.00\);&quot;$&quot;_(0.00_);@_)"/>
    <numFmt numFmtId="179" formatCode="&quot;$&quot;_(#,##0.00_);&quot;$&quot;\(#,##0.00\)"/>
    <numFmt numFmtId="180" formatCode="#,##0.00_);\(#,##0.00\);0.00_);@_)"/>
    <numFmt numFmtId="181" formatCode="\€_(#,##0.00_);\€\(#,##0.00\);\€_(0.00_);@_)"/>
    <numFmt numFmtId="182" formatCode="#,##0_)\x;\(#,##0\)\x;0_)\x;@_)_x"/>
    <numFmt numFmtId="183" formatCode="#,##0.0_)\x;\(#,##0.0\)\x"/>
    <numFmt numFmtId="184" formatCode="#,##0_)_x;\(#,##0\)_x;0_)_x;@_)_x"/>
    <numFmt numFmtId="185" formatCode="#,##0.0_)_x;\(#,##0.0\)_x"/>
    <numFmt numFmtId="186" formatCode="0.0_)\%;\(0.0\)\%"/>
    <numFmt numFmtId="187" formatCode="#,##0.0_)_%;\(#,##0.0\)_%"/>
    <numFmt numFmtId="188" formatCode="_(\£* #,##0_);_(\£* \(#,##0\);_(\£* &quot;-&quot;_);_(@_)"/>
    <numFmt numFmtId="189" formatCode="_(\£* #,##0.0_);_(\£* \(#,##0.0\);_(\£* &quot;-&quot;_);_(@_)"/>
    <numFmt numFmtId="190" formatCode="_(\£* #,##0.00_);_(\£* \(#,##0.00\);_(\£* &quot;-&quot;_);_(@_)"/>
    <numFmt numFmtId="191" formatCode="_(* #,##0\p_);_(* \(#,##0\p\);_(* &quot;-&quot;\ \p_);_(@_)"/>
    <numFmt numFmtId="192" formatCode="_(* #,##0.00\p_);_(* \(#,##0.00\p\);_(* &quot;-&quot;\ \p_);_(@_)"/>
    <numFmt numFmtId="193" formatCode="\£#,##0.00"/>
    <numFmt numFmtId="194" formatCode="&quot;$&quot;&quot; &quot;#,##0_);\(&quot;$&quot;&quot; &quot;#,##0\);\-_)"/>
    <numFmt numFmtId="195" formatCode="#,##0_);\(#,##0\);\-_)"/>
    <numFmt numFmtId="196" formatCode="&quot;$&quot;#,##0_);[Red]\(&quot;$&quot;#,##0\);&quot;-&quot;"/>
    <numFmt numFmtId="197" formatCode="[Blue]0.0%;[Blue]\-0.0%"/>
    <numFmt numFmtId="198" formatCode="\£#,##0_);\(\£#,##0\)"/>
    <numFmt numFmtId="199" formatCode="&quot;fl&quot;#,##0_);\(&quot;fl&quot;#,##0\)"/>
    <numFmt numFmtId="200" formatCode="&quot;$&quot;\ #,##0_);\(&quot;$&quot;\ #,##0\)"/>
    <numFmt numFmtId="201" formatCode="_(&quot;R$&quot;* #,##0.00_);_(&quot;R$&quot;* \(#,##0.00\);_(&quot;R$&quot;* &quot;-&quot;??_);_(@_)"/>
    <numFmt numFmtId="202" formatCode="0.0\x;[Red]\(0.0\x\)"/>
    <numFmt numFmtId="203" formatCode="#,##0.0_);\(#,##0.0\);&quot;—&quot;_)"/>
    <numFmt numFmtId="204" formatCode="&quot;$&quot;#,##0.0_);\(&quot;$&quot;#,##0.0\);&quot;—&quot;_)"/>
    <numFmt numFmtId="205" formatCode="0.000000000%"/>
    <numFmt numFmtId="206" formatCode="#,##0.0000"/>
    <numFmt numFmtId="207" formatCode="mm/dd/yy"/>
    <numFmt numFmtId="208" formatCode="&quot;$&quot;#,##0.00"/>
    <numFmt numFmtId="209" formatCode="_([$€-2]* #,##0.00_);_([$€-2]* \(#,##0.00\);_([$€-2]* &quot;-&quot;??_)"/>
    <numFmt numFmtId="210" formatCode="#&quot; mon&quot;"/>
    <numFmt numFmtId="211" formatCode="#,##0\ &quot;F&quot;;[Red]\-#,##0\ &quot;F&quot;"/>
    <numFmt numFmtId="212" formatCode="#,##0.00\ &quot;F&quot;;[Red]\-#,##0.00\ &quot;F&quot;"/>
    <numFmt numFmtId="213" formatCode="#,##0.0\x_)_);\(#,##0.0\x\)_);#,##0.0\x_)_);@_%_)"/>
    <numFmt numFmtId="214" formatCode="_(* #,##0.00\ ___);_(* \(#,##0.00\ __\);_(* &quot;-&quot;??_);_(@_)"/>
    <numFmt numFmtId="215" formatCode="0%\);[Red]\(0%"/>
    <numFmt numFmtId="216" formatCode="_(* #,##0\ ___);_(* \(#,##0\ __\);_(* &quot;-&quot;??_);_(@_)"/>
    <numFmt numFmtId="217" formatCode="_(* #,##0\ \x_);_(* \(#,##0\ \x\);_(* &quot;-&quot;??_);_(@_)"/>
    <numFmt numFmtId="218" formatCode="0%_);[Red]\(0%\)"/>
    <numFmt numFmtId="219" formatCode="_(* #,##0.0\ ___);_(* \(#,##0.0\ __\);_(* &quot;-&quot;??_);_(@_)"/>
    <numFmt numFmtId="220" formatCode="_(* #,##0.0\ \x_);_(* \(#,##0.0\ \x\);_(* &quot;-&quot;??_);_(@_)"/>
    <numFmt numFmtId="221" formatCode="#,##0&quot; F&quot;_);\(#,##0&quot; F&quot;\)"/>
    <numFmt numFmtId="222" formatCode="_(* #,##0.00_);_(* \(\ #,##0.00\ \);_(* &quot;&quot;??_);_(\ @_ \)"/>
    <numFmt numFmtId="223" formatCode="0.00_)"/>
    <numFmt numFmtId="224" formatCode="_(* #,##0.0_);_(* \(#,##0.0\);_(* &quot;-&quot;?_);_(@_)"/>
    <numFmt numFmtId="225" formatCode="0.00%\ &quot;Ramped&quot;\ "/>
    <numFmt numFmtId="226" formatCode="0.00%\ &quot;Ramped&quot;"/>
    <numFmt numFmtId="227" formatCode="0.0000"/>
    <numFmt numFmtId="228" formatCode="0.000"/>
    <numFmt numFmtId="229" formatCode="&quot;Diversity =&quot;\ #.0"/>
    <numFmt numFmtId="230" formatCode="&quot;Ratings Factor =&quot;\ #"/>
    <numFmt numFmtId="231" formatCode="&quot;Page &quot;0"/>
    <numFmt numFmtId="232" formatCode="&quot;\&quot;#,##0.00;[Red]\-&quot;\&quot;#,##0.00"/>
    <numFmt numFmtId="233" formatCode="0.0_%"/>
    <numFmt numFmtId="234" formatCode="_(0.0%;_(* \(0.0\)%"/>
    <numFmt numFmtId="235" formatCode="_(* #,##0.0000_);_(* \(#,##0.0000\);_(* &quot;-&quot;??_);_(@_)"/>
    <numFmt numFmtId="236" formatCode="0&quot; bps&quot;"/>
    <numFmt numFmtId="237" formatCode="&quot;WAS =&quot;\ #.00"/>
    <numFmt numFmtId="238" formatCode="&quot;Avg. Px.=&quot;#.00"/>
    <numFmt numFmtId="239" formatCode="&quot;WAL=&quot;#.00"/>
    <numFmt numFmtId="240" formatCode="#.00\ &quot;years&quot;"/>
    <numFmt numFmtId="241" formatCode="&quot;2nd Lien=&quot;#"/>
    <numFmt numFmtId="242" formatCode="&quot;WAPP=&quot;#.00"/>
    <numFmt numFmtId="243" formatCode="&quot;WAS=&quot;#.00"/>
    <numFmt numFmtId="244" formatCode="&quot;WAC=&quot;#.00"/>
    <numFmt numFmtId="245" formatCode="&quot;$&quot;#,##0.0_);\(&quot;$&quot;#,##0.0\)"/>
    <numFmt numFmtId="246" formatCode="#,###,;\(#,###,\)"/>
    <numFmt numFmtId="247" formatCode="000\-00\-0000"/>
    <numFmt numFmtId="248" formatCode="&quot;$&quot;#,##0.0000"/>
    <numFmt numFmtId="249" formatCode="&quot;$&quot;#,##0.000000"/>
    <numFmt numFmtId="250" formatCode="&quot;$&quot;#,##0.000"/>
    <numFmt numFmtId="251" formatCode="000000000"/>
    <numFmt numFmtId="252" formatCode="000"/>
    <numFmt numFmtId="253" formatCode="hh:mm\ AM/PM_)"/>
    <numFmt numFmtId="254" formatCode="#.0&quot;x&quot;"/>
    <numFmt numFmtId="255" formatCode="yyyy"/>
    <numFmt numFmtId="256" formatCode="\¥#,##0_);\(\¥#,##0\)"/>
    <numFmt numFmtId="257" formatCode="#0.0\x"/>
    <numFmt numFmtId="258" formatCode="0.0\x"/>
    <numFmt numFmtId="259" formatCode="0.0"/>
    <numFmt numFmtId="260" formatCode="#,##0.00000_);\(#,##0.00000\)"/>
    <numFmt numFmtId="261" formatCode="#,##0.0"/>
    <numFmt numFmtId="262" formatCode="0.00\x"/>
    <numFmt numFmtId="263" formatCode="#,##0.0000_);\(#,##0.0000\)"/>
  </numFmts>
  <fonts count="13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color indexed="12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9"/>
      <name val="Arial"/>
      <family val="2"/>
    </font>
    <font>
      <b/>
      <u val="singleAccounting"/>
      <sz val="8"/>
      <color indexed="8"/>
      <name val="Arial"/>
      <family val="2"/>
    </font>
    <font>
      <sz val="1"/>
      <color indexed="9"/>
      <name val="Symbol"/>
      <family val="1"/>
    </font>
    <font>
      <b/>
      <u val="singleAccounting"/>
      <sz val="8"/>
      <color indexed="8"/>
      <name val="Verdana"/>
      <family val="2"/>
    </font>
    <font>
      <b/>
      <sz val="10"/>
      <color indexed="9"/>
      <name val="Arial"/>
      <family val="2"/>
    </font>
    <font>
      <b/>
      <sz val="12"/>
      <color indexed="8"/>
      <name val="Verdana"/>
      <family val="2"/>
    </font>
    <font>
      <b/>
      <sz val="8"/>
      <color indexed="9"/>
      <name val="Verdana"/>
      <family val="2"/>
    </font>
    <font>
      <vertAlign val="subscript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  <font>
      <b/>
      <sz val="13"/>
      <color indexed="8"/>
      <name val="Verdana"/>
      <family val="2"/>
    </font>
    <font>
      <b/>
      <sz val="8"/>
      <name val="Arial"/>
      <family val="2"/>
    </font>
    <font>
      <u val="singleAccounting"/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12"/>
      <name val="Times New Roman"/>
      <family val="1"/>
    </font>
    <font>
      <i/>
      <sz val="10"/>
      <name val="Times New Roman"/>
      <family val="1"/>
    </font>
    <font>
      <sz val="9"/>
      <name val="Arial"/>
      <family val="2"/>
    </font>
    <font>
      <sz val="8"/>
      <name val="Times New Roman"/>
      <family val="1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color indexed="8"/>
      <name val="Times New Roman"/>
      <family val="1"/>
    </font>
    <font>
      <sz val="8"/>
      <color indexed="14"/>
      <name val="Times New Roman"/>
      <family val="1"/>
    </font>
    <font>
      <sz val="10"/>
      <name val="Book Antiqua"/>
      <family val="1"/>
    </font>
    <font>
      <sz val="8"/>
      <name val="Times"/>
      <family val="1"/>
    </font>
    <font>
      <b/>
      <sz val="12"/>
      <name val="Times"/>
      <family val="1"/>
    </font>
    <font>
      <sz val="12"/>
      <name val="Arial"/>
      <family val="2"/>
    </font>
    <font>
      <sz val="10"/>
      <color indexed="8"/>
      <name val="Times New Roman"/>
      <family val="1"/>
    </font>
    <font>
      <sz val="8"/>
      <color indexed="12"/>
      <name val="Times"/>
      <family val="1"/>
    </font>
    <font>
      <sz val="8"/>
      <name val="Helv"/>
    </font>
    <font>
      <sz val="12"/>
      <name val="Times"/>
      <family val="1"/>
    </font>
    <font>
      <b/>
      <i/>
      <sz val="10"/>
      <name val="Arial"/>
      <family val="2"/>
    </font>
    <font>
      <b/>
      <i/>
      <sz val="12"/>
      <name val="Times New Roman"/>
      <family val="1"/>
    </font>
    <font>
      <b/>
      <u/>
      <sz val="8"/>
      <color indexed="8"/>
      <name val="Times New Roman"/>
      <family val="1"/>
    </font>
    <font>
      <b/>
      <sz val="9"/>
      <color indexed="8"/>
      <name val="Times New Roman"/>
      <family val="1"/>
    </font>
    <font>
      <i/>
      <sz val="8"/>
      <name val="Arial"/>
      <family val="2"/>
    </font>
    <font>
      <b/>
      <i/>
      <sz val="8"/>
      <name val="Arial"/>
      <family val="2"/>
    </font>
    <font>
      <b/>
      <sz val="8"/>
      <name val="Book Antiqua"/>
      <family val="1"/>
    </font>
    <font>
      <sz val="14"/>
      <name val="Arial"/>
      <family val="2"/>
    </font>
    <font>
      <sz val="8"/>
      <color indexed="12"/>
      <name val="Times New Roman"/>
      <family val="1"/>
    </font>
    <font>
      <b/>
      <sz val="14"/>
      <name val="Book Antiqua"/>
      <family val="1"/>
    </font>
    <font>
      <sz val="10"/>
      <name val="MS Serif"/>
      <family val="1"/>
    </font>
    <font>
      <sz val="10"/>
      <name val="MS Sans Serif"/>
      <family val="2"/>
    </font>
    <font>
      <sz val="12"/>
      <name val="Times New Roman"/>
      <family val="1"/>
    </font>
    <font>
      <u val="doubleAccounting"/>
      <sz val="10"/>
      <name val="Arial"/>
      <family val="2"/>
    </font>
    <font>
      <sz val="10"/>
      <color indexed="16"/>
      <name val="MS Serif"/>
      <family val="1"/>
    </font>
    <font>
      <b/>
      <i/>
      <sz val="9"/>
      <color indexed="4"/>
      <name val="Times New Roman"/>
      <family val="1"/>
    </font>
    <font>
      <sz val="7"/>
      <name val="Arial"/>
      <family val="2"/>
    </font>
    <font>
      <b/>
      <sz val="14"/>
      <name val="Arial"/>
      <family val="2"/>
    </font>
    <font>
      <u/>
      <sz val="8"/>
      <name val="Times New Roman"/>
      <family val="1"/>
    </font>
    <font>
      <b/>
      <sz val="12"/>
      <color indexed="9"/>
      <name val="Times"/>
      <family val="1"/>
    </font>
    <font>
      <b/>
      <i/>
      <sz val="18"/>
      <color indexed="4"/>
      <name val="Times New Roman"/>
      <family val="1"/>
    </font>
    <font>
      <b/>
      <sz val="12"/>
      <name val="Arial"/>
      <family val="2"/>
    </font>
    <font>
      <b/>
      <sz val="8"/>
      <name val="Palatino"/>
      <family val="1"/>
    </font>
    <font>
      <b/>
      <sz val="9"/>
      <name val="Arial"/>
      <family val="2"/>
    </font>
    <font>
      <b/>
      <sz val="8"/>
      <name val="MS Sans Serif"/>
      <family val="2"/>
    </font>
    <font>
      <b/>
      <i/>
      <sz val="10"/>
      <name val="Times New Roman"/>
      <family val="1"/>
    </font>
    <font>
      <b/>
      <sz val="10"/>
      <name val="Palatino"/>
      <family val="1"/>
    </font>
    <font>
      <sz val="8"/>
      <name val="Book Antiqua"/>
      <family val="1"/>
    </font>
    <font>
      <sz val="10"/>
      <name val="Geneva"/>
      <family val="2"/>
    </font>
    <font>
      <i/>
      <sz val="7"/>
      <name val="Book Antiqua"/>
      <family val="1"/>
    </font>
    <font>
      <sz val="8"/>
      <name val="Palatino"/>
      <family val="1"/>
    </font>
    <font>
      <b/>
      <i/>
      <sz val="16"/>
      <name val="Helv"/>
    </font>
    <font>
      <sz val="10"/>
      <color indexed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u/>
      <sz val="10"/>
      <color indexed="12"/>
      <name val="Times New Roman"/>
      <family val="1"/>
    </font>
    <font>
      <b/>
      <sz val="12"/>
      <name val="Times New Roman"/>
      <family val="1"/>
    </font>
    <font>
      <b/>
      <sz val="15"/>
      <name val="Times New Roman"/>
      <family val="1"/>
    </font>
    <font>
      <sz val="8"/>
      <color indexed="72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u/>
      <sz val="8"/>
      <name val="Book Antiqua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2"/>
      <name val="Arial MT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7"/>
      <color indexed="12"/>
      <name val="Arial"/>
      <family val="2"/>
    </font>
    <font>
      <sz val="8"/>
      <name val="Wingdings"/>
      <charset val="2"/>
    </font>
    <font>
      <sz val="9"/>
      <color indexed="8"/>
      <name val="Times New Roman"/>
      <family val="1"/>
    </font>
    <font>
      <sz val="8"/>
      <name val="MS Sans Serif"/>
      <family val="2"/>
    </font>
    <font>
      <b/>
      <sz val="8"/>
      <color indexed="10"/>
      <name val="Times New Roman"/>
      <family val="1"/>
    </font>
    <font>
      <b/>
      <sz val="8"/>
      <color indexed="8"/>
      <name val="Helv"/>
    </font>
    <font>
      <b/>
      <sz val="14"/>
      <color indexed="8"/>
      <name val="Times New Roman"/>
      <family val="1"/>
    </font>
    <font>
      <b/>
      <u/>
      <sz val="14"/>
      <name val="Book Antiqua"/>
      <family val="1"/>
    </font>
    <font>
      <b/>
      <sz val="10"/>
      <name val="Book Antiqua"/>
      <family val="1"/>
    </font>
    <font>
      <b/>
      <sz val="7"/>
      <name val="Arial"/>
      <family val="2"/>
    </font>
    <font>
      <b/>
      <sz val="7"/>
      <color indexed="12"/>
      <name val="Arial"/>
      <family val="2"/>
    </font>
    <font>
      <b/>
      <u/>
      <sz val="10"/>
      <name val="Book Antiqua"/>
      <family val="1"/>
    </font>
    <font>
      <b/>
      <sz val="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9"/>
      <name val="Calibri"/>
      <family val="2"/>
    </font>
    <font>
      <b/>
      <sz val="10"/>
      <name val="Calibri"/>
      <family val="2"/>
    </font>
    <font>
      <u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10"/>
      <color indexed="12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6"/>
      <name val="Calibri"/>
      <family val="2"/>
      <scheme val="minor"/>
    </font>
    <font>
      <i/>
      <sz val="10"/>
      <name val="Calibri"/>
      <family val="2"/>
      <scheme val="minor"/>
    </font>
    <font>
      <i/>
      <sz val="10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rgb="FF0000FF"/>
      <name val="Calibri"/>
      <family val="2"/>
      <scheme val="minor"/>
    </font>
    <font>
      <i/>
      <sz val="8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i/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lightGray">
        <fgColor indexed="15"/>
      </patternFill>
    </fill>
    <fill>
      <patternFill patternType="solid">
        <fgColor indexed="6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56"/>
        <bgColor indexed="64"/>
      </patternFill>
    </fill>
    <fill>
      <patternFill patternType="solid">
        <fgColor indexed="15"/>
        <bgColor indexed="64"/>
      </patternFill>
    </fill>
    <fill>
      <patternFill patternType="lightGray">
        <fgColor indexed="13"/>
      </patternFill>
    </fill>
    <fill>
      <patternFill patternType="solid">
        <fgColor rgb="FF4F81B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8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4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 style="thick">
        <color indexed="9"/>
      </left>
      <right style="thick">
        <color indexed="9"/>
      </right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903">
    <xf numFmtId="0" fontId="0" fillId="0" borderId="0"/>
    <xf numFmtId="173" fontId="26" fillId="0" borderId="0"/>
    <xf numFmtId="0" fontId="27" fillId="0" borderId="0">
      <alignment horizontal="right"/>
    </xf>
    <xf numFmtId="0" fontId="6" fillId="0" borderId="0"/>
    <xf numFmtId="174" fontId="22" fillId="0" borderId="0" applyFont="0" applyFill="0" applyBorder="0" applyAlignment="0"/>
    <xf numFmtId="175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 applyNumberFormat="0" applyFill="0" applyBorder="0" applyAlignment="0" applyProtection="0">
      <alignment horizontal="left" wrapText="1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6" fillId="0" borderId="0" applyNumberFormat="0" applyFill="0" applyBorder="0" applyAlignment="0" applyProtection="0">
      <alignment horizontal="left" wrapText="1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vertical="top"/>
    </xf>
    <xf numFmtId="0" fontId="6" fillId="0" borderId="0" applyNumberFormat="0" applyFill="0" applyBorder="0" applyAlignment="0" applyProtection="0">
      <alignment horizontal="left" wrapText="1"/>
    </xf>
    <xf numFmtId="0" fontId="6" fillId="0" borderId="0">
      <alignment vertical="top"/>
    </xf>
    <xf numFmtId="177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6" fillId="2" borderId="0" applyNumberFormat="0" applyFont="0" applyAlignment="0" applyProtection="0"/>
    <xf numFmtId="0" fontId="6" fillId="0" borderId="0" applyFont="0" applyFill="0" applyBorder="0" applyAlignment="0" applyProtection="0"/>
    <xf numFmtId="182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4" fontId="6" fillId="0" borderId="0" applyFont="0" applyFill="0" applyBorder="0" applyProtection="0">
      <alignment horizontal="right"/>
    </xf>
    <xf numFmtId="185" fontId="6" fillId="0" borderId="0" applyFont="0" applyFill="0" applyBorder="0" applyAlignment="0" applyProtection="0"/>
    <xf numFmtId="0" fontId="6" fillId="0" borderId="0">
      <alignment horizontal="left" wrapText="1"/>
    </xf>
    <xf numFmtId="0" fontId="6" fillId="0" borderId="0">
      <alignment horizontal="left" wrapText="1"/>
    </xf>
    <xf numFmtId="186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 applyFont="0" applyFill="0" applyBorder="0" applyAlignment="0" applyProtection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29" fillId="0" borderId="0" applyNumberFormat="0" applyFill="0" applyBorder="0" applyProtection="0">
      <alignment vertical="top"/>
    </xf>
    <xf numFmtId="0" fontId="29" fillId="0" borderId="0" applyNumberFormat="0" applyFill="0" applyBorder="0" applyProtection="0">
      <alignment vertical="top"/>
    </xf>
    <xf numFmtId="0" fontId="30" fillId="0" borderId="1" applyNumberFormat="0" applyFill="0" applyAlignment="0" applyProtection="0"/>
    <xf numFmtId="0" fontId="31" fillId="0" borderId="2" applyNumberFormat="0" applyFill="0" applyProtection="0">
      <alignment horizontal="center"/>
    </xf>
    <xf numFmtId="0" fontId="31" fillId="0" borderId="0" applyNumberFormat="0" applyFill="0" applyBorder="0" applyProtection="0">
      <alignment horizontal="left"/>
    </xf>
    <xf numFmtId="0" fontId="32" fillId="0" borderId="0" applyNumberFormat="0" applyFill="0" applyBorder="0" applyProtection="0">
      <alignment horizontal="centerContinuous"/>
    </xf>
    <xf numFmtId="188" fontId="33" fillId="0" borderId="0" applyFont="0" applyFill="0" applyBorder="0" applyAlignment="0" applyProtection="0"/>
    <xf numFmtId="189" fontId="33" fillId="0" borderId="0" applyFont="0" applyFill="0" applyBorder="0" applyAlignment="0" applyProtection="0"/>
    <xf numFmtId="190" fontId="33" fillId="0" borderId="0" applyFont="0" applyFill="0" applyBorder="0" applyAlignment="0" applyProtection="0"/>
    <xf numFmtId="191" fontId="33" fillId="0" borderId="0" applyFont="0" applyFill="0" applyBorder="0" applyAlignment="0" applyProtection="0"/>
    <xf numFmtId="192" fontId="33" fillId="0" borderId="0" applyFont="0" applyFill="0" applyBorder="0" applyAlignment="0" applyProtection="0"/>
    <xf numFmtId="193" fontId="34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35" fillId="0" borderId="0" applyNumberFormat="0" applyFont="0" applyFill="0" applyBorder="0" applyProtection="0">
      <alignment horizontal="centerContinuous"/>
    </xf>
    <xf numFmtId="0" fontId="3" fillId="0" borderId="0" applyNumberFormat="0" applyFill="0" applyBorder="0" applyAlignment="0">
      <protection locked="0"/>
    </xf>
    <xf numFmtId="0" fontId="36" fillId="0" borderId="0"/>
    <xf numFmtId="0" fontId="37" fillId="0" borderId="0"/>
    <xf numFmtId="0" fontId="27" fillId="0" borderId="0">
      <alignment horizontal="center" wrapText="1"/>
      <protection locked="0"/>
    </xf>
    <xf numFmtId="0" fontId="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2" fillId="3" borderId="0" applyNumberFormat="0" applyBorder="0" applyAlignment="0">
      <protection locked="0"/>
    </xf>
    <xf numFmtId="194" fontId="22" fillId="0" borderId="0" applyFont="0" applyFill="0" applyBorder="0" applyAlignment="0" applyProtection="0"/>
    <xf numFmtId="195" fontId="39" fillId="0" borderId="0" applyFont="0" applyFill="0" applyBorder="0" applyAlignment="0" applyProtection="0"/>
    <xf numFmtId="196" fontId="22" fillId="0" borderId="0" applyFont="0" applyFill="0" applyBorder="0" applyAlignment="0" applyProtection="0"/>
    <xf numFmtId="0" fontId="106" fillId="25" borderId="0"/>
    <xf numFmtId="0" fontId="40" fillId="0" borderId="0" applyNumberFormat="0" applyFill="0" applyBorder="0" applyAlignment="0" applyProtection="0"/>
    <xf numFmtId="197" fontId="41" fillId="0" borderId="0"/>
    <xf numFmtId="0" fontId="42" fillId="0" borderId="0" applyNumberFormat="0" applyFill="0" applyBorder="0" applyAlignment="0" applyProtection="0"/>
    <xf numFmtId="0" fontId="5" fillId="0" borderId="0"/>
    <xf numFmtId="0" fontId="43" fillId="0" borderId="0"/>
    <xf numFmtId="0" fontId="35" fillId="0" borderId="3" applyNumberFormat="0" applyFont="0" applyFill="0" applyAlignment="0" applyProtection="0"/>
    <xf numFmtId="0" fontId="44" fillId="0" borderId="4" applyFill="0" applyProtection="0">
      <alignment horizontal="right"/>
    </xf>
    <xf numFmtId="198" fontId="2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45" fillId="0" borderId="0"/>
    <xf numFmtId="0" fontId="26" fillId="0" borderId="0" applyFill="0" applyBorder="0" applyAlignment="0"/>
    <xf numFmtId="0" fontId="26" fillId="0" borderId="0" applyFill="0" applyBorder="0" applyAlignment="0"/>
    <xf numFmtId="199" fontId="26" fillId="0" borderId="0" applyFill="0" applyBorder="0" applyAlignment="0"/>
    <xf numFmtId="200" fontId="26" fillId="0" borderId="0" applyFill="0" applyBorder="0" applyAlignment="0"/>
    <xf numFmtId="201" fontId="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39" fontId="27" fillId="4" borderId="0" applyNumberFormat="0" applyFont="0" applyBorder="0" applyAlignment="0"/>
    <xf numFmtId="0" fontId="46" fillId="0" borderId="0"/>
    <xf numFmtId="0" fontId="35" fillId="0" borderId="0" applyNumberFormat="0" applyFont="0" applyFill="0" applyBorder="0" applyProtection="0">
      <alignment horizontal="center"/>
    </xf>
    <xf numFmtId="49" fontId="20" fillId="0" borderId="0" applyFill="0" applyBorder="0" applyProtection="0">
      <alignment horizontal="center"/>
    </xf>
    <xf numFmtId="49" fontId="47" fillId="0" borderId="0" applyFill="0" applyBorder="0" applyProtection="0">
      <alignment horizontal="center"/>
    </xf>
    <xf numFmtId="8" fontId="6" fillId="0" borderId="5" applyFont="0" applyFill="0" applyBorder="0" applyProtection="0">
      <alignment horizontal="right"/>
    </xf>
    <xf numFmtId="0" fontId="4" fillId="0" borderId="0"/>
    <xf numFmtId="0" fontId="2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9" fillId="0" borderId="3" applyNumberFormat="0" applyFill="0" applyBorder="0" applyAlignment="0" applyProtection="0">
      <alignment horizontal="center"/>
    </xf>
    <xf numFmtId="0" fontId="8" fillId="5" borderId="0"/>
    <xf numFmtId="43" fontId="1" fillId="0" borderId="0" applyFont="0" applyFill="0" applyBorder="0" applyAlignment="0" applyProtection="0"/>
    <xf numFmtId="202" fontId="6" fillId="0" borderId="0"/>
    <xf numFmtId="202" fontId="6" fillId="0" borderId="0"/>
    <xf numFmtId="202" fontId="6" fillId="0" borderId="0"/>
    <xf numFmtId="202" fontId="6" fillId="0" borderId="0"/>
    <xf numFmtId="202" fontId="6" fillId="0" borderId="0"/>
    <xf numFmtId="202" fontId="6" fillId="0" borderId="0"/>
    <xf numFmtId="202" fontId="6" fillId="0" borderId="0"/>
    <xf numFmtId="202" fontId="6" fillId="0" borderId="0"/>
    <xf numFmtId="203" fontId="50" fillId="0" borderId="0"/>
    <xf numFmtId="0" fontId="26" fillId="0" borderId="0" applyFont="0" applyFill="0" applyBorder="0" applyAlignment="0" applyProtection="0"/>
    <xf numFmtId="170" fontId="51" fillId="0" borderId="0" applyFont="0" applyFill="0" applyBorder="0" applyAlignment="0" applyProtection="0"/>
    <xf numFmtId="43" fontId="6" fillId="0" borderId="0" applyFont="0" applyFill="0" applyBorder="0" applyAlignment="0" applyProtection="0"/>
    <xf numFmtId="40" fontId="6" fillId="0" borderId="0" applyFont="0" applyFill="0" applyBorder="0" applyProtection="0">
      <alignment horizontal="right"/>
    </xf>
    <xf numFmtId="3" fontId="6" fillId="0" borderId="0" applyFill="0" applyBorder="0" applyAlignment="0" applyProtection="0"/>
    <xf numFmtId="3" fontId="2" fillId="0" borderId="0" applyFont="0" applyFill="0" applyBorder="0" applyAlignment="0" applyProtection="0"/>
    <xf numFmtId="3" fontId="20" fillId="0" borderId="0" applyFill="0" applyBorder="0" applyAlignment="0" applyProtection="0"/>
    <xf numFmtId="38" fontId="52" fillId="0" borderId="0" applyNumberFormat="0" applyFill="0" applyBorder="0">
      <alignment vertical="center"/>
    </xf>
    <xf numFmtId="0" fontId="53" fillId="0" borderId="0" applyNumberFormat="0" applyAlignment="0">
      <alignment horizontal="left"/>
    </xf>
    <xf numFmtId="7" fontId="6" fillId="0" borderId="0" applyFont="0" applyFill="0" applyBorder="0" applyAlignment="0" applyProtection="0"/>
    <xf numFmtId="204" fontId="50" fillId="0" borderId="0"/>
    <xf numFmtId="0" fontId="26" fillId="0" borderId="0" applyFont="0" applyFill="0" applyBorder="0" applyAlignment="0" applyProtection="0"/>
    <xf numFmtId="205" fontId="22" fillId="0" borderId="0" applyFont="0" applyFill="0" applyBorder="0" applyAlignment="0" applyProtection="0"/>
    <xf numFmtId="8" fontId="35" fillId="0" borderId="0" applyBorder="0"/>
    <xf numFmtId="206" fontId="6" fillId="0" borderId="0" applyNumberFormat="0">
      <alignment horizontal="right"/>
    </xf>
    <xf numFmtId="15" fontId="6" fillId="0" borderId="0" applyFont="0" applyFill="0" applyBorder="0" applyProtection="0">
      <alignment horizontal="right"/>
    </xf>
    <xf numFmtId="14" fontId="4" fillId="0" borderId="0" applyFill="0" applyBorder="0" applyAlignment="0"/>
    <xf numFmtId="15" fontId="6" fillId="0" borderId="0" applyFont="0" applyFill="0" applyBorder="0" applyProtection="0">
      <alignment horizontal="right"/>
    </xf>
    <xf numFmtId="207" fontId="20" fillId="0" borderId="0" applyFill="0" applyBorder="0" applyProtection="0">
      <alignment horizontal="left"/>
    </xf>
    <xf numFmtId="0" fontId="6" fillId="0" borderId="0">
      <alignment horizontal="left"/>
    </xf>
    <xf numFmtId="38" fontId="54" fillId="0" borderId="6">
      <alignment vertical="center"/>
    </xf>
    <xf numFmtId="208" fontId="34" fillId="0" borderId="0" applyFont="0" applyFill="0" applyBorder="0" applyAlignment="0" applyProtection="0"/>
    <xf numFmtId="4" fontId="55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5" fillId="0" borderId="7" applyNumberFormat="0" applyFont="0" applyFill="0" applyAlignment="0" applyProtection="0"/>
    <xf numFmtId="42" fontId="56" fillId="0" borderId="0" applyFill="0" applyBorder="0" applyAlignment="0" applyProtection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57" fillId="0" borderId="0" applyNumberFormat="0" applyAlignment="0">
      <alignment horizontal="left"/>
    </xf>
    <xf numFmtId="209" fontId="6" fillId="0" borderId="0" applyFont="0" applyFill="0" applyBorder="0" applyAlignment="0" applyProtection="0"/>
    <xf numFmtId="169" fontId="35" fillId="0" borderId="0" applyNumberFormat="0" applyFont="0" applyAlignment="0">
      <alignment vertical="center"/>
    </xf>
    <xf numFmtId="0" fontId="58" fillId="0" borderId="0">
      <alignment horizontal="center"/>
    </xf>
    <xf numFmtId="0" fontId="59" fillId="0" borderId="0" applyNumberFormat="0" applyFill="0" applyBorder="0" applyAlignment="0" applyProtection="0"/>
    <xf numFmtId="38" fontId="2" fillId="6" borderId="0" applyNumberFormat="0" applyBorder="0" applyAlignment="0" applyProtection="0"/>
    <xf numFmtId="0" fontId="5" fillId="7" borderId="8" applyAlignment="0" applyProtection="0"/>
    <xf numFmtId="0" fontId="60" fillId="0" borderId="3" applyFill="0" applyProtection="0">
      <alignment horizontal="centerContinuous"/>
    </xf>
    <xf numFmtId="41" fontId="61" fillId="0" borderId="0">
      <alignment horizontal="center"/>
    </xf>
    <xf numFmtId="0" fontId="6" fillId="0" borderId="0">
      <alignment horizontal="center"/>
    </xf>
    <xf numFmtId="0" fontId="6" fillId="0" borderId="0">
      <alignment horizontal="left"/>
    </xf>
    <xf numFmtId="0" fontId="6" fillId="0" borderId="0">
      <alignment horizontal="right"/>
    </xf>
    <xf numFmtId="0" fontId="62" fillId="8" borderId="0"/>
    <xf numFmtId="0" fontId="63" fillId="0" borderId="0">
      <alignment horizontal="center" vertical="center"/>
    </xf>
    <xf numFmtId="0" fontId="64" fillId="0" borderId="9" applyNumberFormat="0" applyAlignment="0" applyProtection="0">
      <alignment horizontal="left" vertical="center"/>
    </xf>
    <xf numFmtId="0" fontId="64" fillId="0" borderId="8">
      <alignment horizontal="left" vertical="center"/>
    </xf>
    <xf numFmtId="0" fontId="65" fillId="0" borderId="0">
      <alignment horizontal="center"/>
    </xf>
    <xf numFmtId="0" fontId="66" fillId="0" borderId="0" applyFill="0" applyBorder="0" applyProtection="0">
      <alignment horizontal="right"/>
    </xf>
    <xf numFmtId="0" fontId="67" fillId="0" borderId="10">
      <alignment horizontal="center"/>
    </xf>
    <xf numFmtId="0" fontId="67" fillId="0" borderId="0">
      <alignment horizontal="center"/>
    </xf>
    <xf numFmtId="10" fontId="40" fillId="0" borderId="0" applyNumberFormat="0" applyFill="0" applyBorder="0" applyAlignment="0" applyProtection="0">
      <alignment horizontal="right"/>
    </xf>
    <xf numFmtId="10" fontId="2" fillId="9" borderId="11" applyNumberFormat="0" applyBorder="0" applyAlignment="0" applyProtection="0"/>
    <xf numFmtId="0" fontId="9" fillId="0" borderId="0"/>
    <xf numFmtId="0" fontId="68" fillId="0" borderId="0"/>
    <xf numFmtId="0" fontId="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49" fontId="2" fillId="0" borderId="0" applyFont="0" applyFill="0" applyBorder="0" applyProtection="0">
      <alignment horizontal="left"/>
    </xf>
    <xf numFmtId="49" fontId="20" fillId="0" borderId="0" applyFill="0" applyBorder="0" applyProtection="0">
      <alignment horizontal="left"/>
    </xf>
    <xf numFmtId="49" fontId="20" fillId="0" borderId="3" applyFill="0" applyProtection="0">
      <alignment horizontal="left"/>
    </xf>
    <xf numFmtId="49" fontId="20" fillId="0" borderId="12" applyFill="0" applyProtection="0">
      <alignment horizontal="left"/>
    </xf>
    <xf numFmtId="0" fontId="69" fillId="0" borderId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165" fontId="6" fillId="0" borderId="0" applyNumberFormat="0" applyFont="0" applyFill="0" applyBorder="0" applyAlignment="0"/>
    <xf numFmtId="17" fontId="22" fillId="0" borderId="0"/>
    <xf numFmtId="0" fontId="27" fillId="0" borderId="0" applyNumberFormat="0" applyFill="0" applyBorder="0" applyProtection="0"/>
    <xf numFmtId="0" fontId="22" fillId="0" borderId="0" applyNumberFormat="0" applyFill="0" applyBorder="0" applyProtection="0"/>
    <xf numFmtId="38" fontId="70" fillId="0" borderId="0" applyNumberFormat="0" applyFill="0" applyBorder="0">
      <alignment horizontal="left" vertical="center"/>
    </xf>
    <xf numFmtId="164" fontId="6" fillId="0" borderId="0" applyFont="0" applyFill="0" applyBorder="0" applyAlignment="0" applyProtection="0"/>
    <xf numFmtId="38" fontId="71" fillId="0" borderId="0" applyFont="0" applyFill="0" applyBorder="0" applyAlignment="0" applyProtection="0"/>
    <xf numFmtId="40" fontId="71" fillId="0" borderId="0" applyFont="0" applyFill="0" applyBorder="0" applyAlignment="0" applyProtection="0"/>
    <xf numFmtId="169" fontId="72" fillId="0" borderId="0" applyFill="0" applyBorder="0">
      <alignment vertical="center"/>
    </xf>
    <xf numFmtId="210" fontId="27" fillId="0" borderId="0">
      <alignment horizontal="center"/>
    </xf>
    <xf numFmtId="211" fontId="71" fillId="0" borderId="0" applyFont="0" applyFill="0" applyBorder="0" applyAlignment="0" applyProtection="0"/>
    <xf numFmtId="212" fontId="71" fillId="0" borderId="0" applyFont="0" applyFill="0" applyBorder="0" applyAlignment="0" applyProtection="0"/>
    <xf numFmtId="7" fontId="6" fillId="0" borderId="0"/>
    <xf numFmtId="213" fontId="73" fillId="0" borderId="0" applyFont="0" applyFill="0" applyBorder="0" applyProtection="0">
      <alignment horizontal="right"/>
    </xf>
    <xf numFmtId="214" fontId="55" fillId="0" borderId="0" applyFont="0" applyFill="0" applyBorder="0" applyAlignment="0" applyProtection="0"/>
    <xf numFmtId="215" fontId="22" fillId="0" borderId="0" applyFont="0" applyFill="0" applyBorder="0" applyAlignment="0" applyProtection="0"/>
    <xf numFmtId="216" fontId="55" fillId="0" borderId="0" applyFont="0" applyFill="0" applyBorder="0" applyAlignment="0" applyProtection="0"/>
    <xf numFmtId="217" fontId="27" fillId="0" borderId="0" applyFont="0" applyFill="0" applyBorder="0" applyAlignment="0" applyProtection="0"/>
    <xf numFmtId="218" fontId="22" fillId="0" borderId="0" applyFont="0" applyFill="0" applyBorder="0" applyAlignment="0" applyProtection="0"/>
    <xf numFmtId="219" fontId="55" fillId="0" borderId="0" applyFont="0" applyFill="0" applyBorder="0" applyAlignment="0" applyProtection="0"/>
    <xf numFmtId="220" fontId="55" fillId="0" borderId="0" applyFont="0" applyFill="0" applyBorder="0" applyAlignment="0" applyProtection="0"/>
    <xf numFmtId="221" fontId="22" fillId="0" borderId="0" applyFont="0" applyFill="0" applyBorder="0" applyAlignment="0" applyProtection="0"/>
    <xf numFmtId="222" fontId="6" fillId="0" borderId="0"/>
    <xf numFmtId="0" fontId="10" fillId="10" borderId="0"/>
    <xf numFmtId="0" fontId="11" fillId="11" borderId="0"/>
    <xf numFmtId="0" fontId="12" fillId="0" borderId="0"/>
    <xf numFmtId="223" fontId="7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5" fillId="0" borderId="0">
      <alignment horizontal="center"/>
    </xf>
    <xf numFmtId="0" fontId="23" fillId="0" borderId="0">
      <alignment horizontal="center" vertical="center"/>
    </xf>
    <xf numFmtId="0" fontId="22" fillId="0" borderId="13"/>
    <xf numFmtId="0" fontId="22" fillId="0" borderId="14"/>
    <xf numFmtId="49" fontId="22" fillId="0" borderId="14">
      <alignment horizontal="left"/>
    </xf>
    <xf numFmtId="0" fontId="22" fillId="0" borderId="15"/>
    <xf numFmtId="0" fontId="22" fillId="0" borderId="3"/>
    <xf numFmtId="0" fontId="22" fillId="0" borderId="16"/>
    <xf numFmtId="0" fontId="22" fillId="6" borderId="17"/>
    <xf numFmtId="0" fontId="23" fillId="6" borderId="12">
      <alignment horizontal="left"/>
    </xf>
    <xf numFmtId="0" fontId="23" fillId="6" borderId="18">
      <alignment horizontal="left"/>
    </xf>
    <xf numFmtId="0" fontId="22" fillId="6" borderId="12"/>
    <xf numFmtId="0" fontId="22" fillId="0" borderId="0">
      <alignment horizontal="left"/>
    </xf>
    <xf numFmtId="0" fontId="23" fillId="6" borderId="12">
      <alignment horizontal="left"/>
    </xf>
    <xf numFmtId="0" fontId="39" fillId="6" borderId="12">
      <alignment horizontal="left"/>
    </xf>
    <xf numFmtId="0" fontId="22" fillId="6" borderId="18"/>
    <xf numFmtId="0" fontId="22" fillId="0" borderId="13">
      <alignment horizontal="left"/>
    </xf>
    <xf numFmtId="0" fontId="22" fillId="0" borderId="0">
      <alignment horizontal="left"/>
    </xf>
    <xf numFmtId="0" fontId="22" fillId="0" borderId="14">
      <alignment horizontal="center"/>
    </xf>
    <xf numFmtId="0" fontId="22" fillId="0" borderId="0">
      <alignment horizontal="left"/>
    </xf>
    <xf numFmtId="0" fontId="23" fillId="6" borderId="17">
      <alignment horizontal="left"/>
    </xf>
    <xf numFmtId="0" fontId="22" fillId="0" borderId="13">
      <alignment horizontal="left"/>
    </xf>
    <xf numFmtId="0" fontId="22" fillId="0" borderId="13">
      <alignment horizontal="right"/>
    </xf>
    <xf numFmtId="172" fontId="23" fillId="0" borderId="0"/>
    <xf numFmtId="0" fontId="22" fillId="0" borderId="13"/>
    <xf numFmtId="169" fontId="22" fillId="0" borderId="14"/>
    <xf numFmtId="0" fontId="22" fillId="0" borderId="13"/>
    <xf numFmtId="0" fontId="22" fillId="0" borderId="13">
      <alignment horizontal="left"/>
    </xf>
    <xf numFmtId="0" fontId="23" fillId="6" borderId="17"/>
    <xf numFmtId="0" fontId="76" fillId="6" borderId="13">
      <alignment horizontal="left"/>
    </xf>
    <xf numFmtId="0" fontId="22" fillId="6" borderId="14"/>
    <xf numFmtId="0" fontId="23" fillId="6" borderId="13">
      <alignment horizontal="left"/>
    </xf>
    <xf numFmtId="0" fontId="22" fillId="0" borderId="13">
      <alignment horizontal="left"/>
    </xf>
    <xf numFmtId="0" fontId="22" fillId="0" borderId="13">
      <alignment horizontal="left"/>
    </xf>
    <xf numFmtId="14" fontId="75" fillId="0" borderId="0">
      <alignment horizontal="center"/>
    </xf>
    <xf numFmtId="49" fontId="77" fillId="0" borderId="13">
      <alignment horizontal="left"/>
    </xf>
    <xf numFmtId="0" fontId="77" fillId="0" borderId="13"/>
    <xf numFmtId="0" fontId="23" fillId="6" borderId="13">
      <alignment horizontal="left"/>
    </xf>
    <xf numFmtId="0" fontId="23" fillId="6" borderId="13"/>
    <xf numFmtId="49" fontId="22" fillId="0" borderId="14">
      <alignment horizontal="left"/>
    </xf>
    <xf numFmtId="0" fontId="75" fillId="0" borderId="13"/>
    <xf numFmtId="0" fontId="75" fillId="0" borderId="0">
      <alignment horizontal="center"/>
    </xf>
    <xf numFmtId="14" fontId="75" fillId="0" borderId="0">
      <alignment horizontal="center"/>
    </xf>
    <xf numFmtId="0" fontId="75" fillId="0" borderId="15"/>
    <xf numFmtId="0" fontId="22" fillId="0" borderId="3">
      <alignment horizontal="center"/>
    </xf>
    <xf numFmtId="0" fontId="22" fillId="0" borderId="0"/>
    <xf numFmtId="0" fontId="75" fillId="0" borderId="3">
      <alignment horizontal="center"/>
    </xf>
    <xf numFmtId="14" fontId="75" fillId="0" borderId="3">
      <alignment horizontal="center"/>
    </xf>
    <xf numFmtId="0" fontId="23" fillId="0" borderId="0">
      <alignment horizontal="left" vertical="center" wrapText="1"/>
    </xf>
    <xf numFmtId="0" fontId="23" fillId="6" borderId="9">
      <alignment horizontal="left" wrapText="1"/>
    </xf>
    <xf numFmtId="0" fontId="23" fillId="0" borderId="0">
      <alignment horizontal="right" vertical="center"/>
    </xf>
    <xf numFmtId="172" fontId="23" fillId="0" borderId="0">
      <alignment horizontal="right"/>
    </xf>
    <xf numFmtId="14" fontId="78" fillId="0" borderId="0">
      <alignment horizontal="center"/>
    </xf>
    <xf numFmtId="0" fontId="23" fillId="6" borderId="19">
      <alignment horizontal="center" wrapText="1"/>
    </xf>
    <xf numFmtId="0" fontId="55" fillId="0" borderId="0">
      <alignment horizontal="center" vertical="center"/>
    </xf>
    <xf numFmtId="1" fontId="79" fillId="0" borderId="0">
      <alignment horizontal="center" wrapText="1"/>
    </xf>
    <xf numFmtId="0" fontId="23" fillId="6" borderId="9">
      <alignment horizontal="center" wrapText="1"/>
    </xf>
    <xf numFmtId="0" fontId="79" fillId="6" borderId="20">
      <alignment horizontal="center" wrapText="1"/>
    </xf>
    <xf numFmtId="0" fontId="79" fillId="6" borderId="19">
      <alignment horizontal="left" wrapText="1"/>
    </xf>
    <xf numFmtId="0" fontId="22" fillId="0" borderId="14">
      <alignment horizontal="left"/>
    </xf>
    <xf numFmtId="0" fontId="55" fillId="0" borderId="0">
      <alignment horizontal="center"/>
    </xf>
    <xf numFmtId="2" fontId="55" fillId="12" borderId="0">
      <alignment horizontal="center"/>
    </xf>
    <xf numFmtId="0" fontId="22" fillId="0" borderId="0">
      <alignment horizontal="left" vertical="top"/>
    </xf>
    <xf numFmtId="16" fontId="22" fillId="0" borderId="0"/>
    <xf numFmtId="0" fontId="22" fillId="12" borderId="0"/>
    <xf numFmtId="14" fontId="22" fillId="0" borderId="0">
      <alignment horizontal="center"/>
    </xf>
    <xf numFmtId="2" fontId="55" fillId="0" borderId="12">
      <alignment horizontal="center" vertical="center"/>
    </xf>
    <xf numFmtId="0" fontId="23" fillId="6" borderId="0">
      <alignment horizontal="center"/>
    </xf>
    <xf numFmtId="2" fontId="55" fillId="0" borderId="0">
      <alignment horizontal="center"/>
    </xf>
    <xf numFmtId="2" fontId="55" fillId="0" borderId="0">
      <alignment horizontal="center"/>
    </xf>
    <xf numFmtId="0" fontId="22" fillId="0" borderId="0">
      <alignment horizontal="left" vertical="top"/>
    </xf>
    <xf numFmtId="15" fontId="22" fillId="0" borderId="0">
      <alignment horizontal="left" vertical="top"/>
    </xf>
    <xf numFmtId="0" fontId="22" fillId="0" borderId="0">
      <alignment horizontal="left" vertical="top"/>
    </xf>
    <xf numFmtId="14" fontId="22" fillId="0" borderId="0">
      <alignment horizontal="center" vertical="top"/>
    </xf>
    <xf numFmtId="0" fontId="55" fillId="0" borderId="0"/>
    <xf numFmtId="0" fontId="79" fillId="0" borderId="3"/>
    <xf numFmtId="14" fontId="79" fillId="0" borderId="3"/>
    <xf numFmtId="2" fontId="55" fillId="0" borderId="3">
      <alignment horizontal="center"/>
    </xf>
    <xf numFmtId="0" fontId="22" fillId="0" borderId="0">
      <alignment horizontal="center"/>
    </xf>
    <xf numFmtId="2" fontId="55" fillId="0" borderId="3">
      <alignment horizontal="center"/>
    </xf>
    <xf numFmtId="0" fontId="55" fillId="0" borderId="3"/>
    <xf numFmtId="0" fontId="55" fillId="0" borderId="3">
      <alignment horizontal="center"/>
    </xf>
    <xf numFmtId="0" fontId="55" fillId="0" borderId="3">
      <alignment horizontal="center"/>
    </xf>
    <xf numFmtId="0" fontId="23" fillId="0" borderId="0">
      <alignment horizontal="left" vertical="top"/>
    </xf>
    <xf numFmtId="0" fontId="23" fillId="0" borderId="0">
      <alignment horizontal="left" vertical="top"/>
    </xf>
    <xf numFmtId="0" fontId="22" fillId="0" borderId="0">
      <alignment horizontal="center" vertical="top"/>
    </xf>
    <xf numFmtId="43" fontId="55" fillId="0" borderId="0">
      <alignment horizontal="left"/>
    </xf>
    <xf numFmtId="172" fontId="22" fillId="0" borderId="0"/>
    <xf numFmtId="0" fontId="22" fillId="0" borderId="0">
      <alignment horizontal="center"/>
    </xf>
    <xf numFmtId="0" fontId="75" fillId="0" borderId="0"/>
    <xf numFmtId="43" fontId="22" fillId="0" borderId="0"/>
    <xf numFmtId="1" fontId="22" fillId="0" borderId="0"/>
    <xf numFmtId="0" fontId="23" fillId="0" borderId="0"/>
    <xf numFmtId="43" fontId="22" fillId="0" borderId="0">
      <alignment horizontal="center"/>
    </xf>
    <xf numFmtId="43" fontId="22" fillId="0" borderId="21"/>
    <xf numFmtId="43" fontId="22" fillId="0" borderId="22"/>
    <xf numFmtId="0" fontId="22" fillId="0" borderId="10"/>
    <xf numFmtId="43" fontId="22" fillId="0" borderId="0"/>
    <xf numFmtId="1" fontId="79" fillId="0" borderId="16">
      <alignment horizontal="center" wrapText="1"/>
    </xf>
    <xf numFmtId="0" fontId="55" fillId="0" borderId="0">
      <alignment horizontal="center"/>
    </xf>
    <xf numFmtId="0" fontId="22" fillId="0" borderId="0">
      <alignment horizontal="left"/>
    </xf>
    <xf numFmtId="0" fontId="55" fillId="0" borderId="0"/>
    <xf numFmtId="43" fontId="22" fillId="0" borderId="0">
      <alignment horizontal="center"/>
    </xf>
    <xf numFmtId="0" fontId="23" fillId="0" borderId="3">
      <alignment horizontal="left" vertical="top"/>
    </xf>
    <xf numFmtId="0" fontId="22" fillId="0" borderId="3">
      <alignment horizontal="center" vertical="top"/>
    </xf>
    <xf numFmtId="14" fontId="22" fillId="0" borderId="3">
      <alignment horizontal="center" vertical="top"/>
    </xf>
    <xf numFmtId="15" fontId="22" fillId="0" borderId="3">
      <alignment horizontal="left" vertical="top"/>
    </xf>
    <xf numFmtId="0" fontId="25" fillId="0" borderId="0"/>
    <xf numFmtId="224" fontId="22" fillId="0" borderId="0">
      <alignment vertical="top"/>
    </xf>
    <xf numFmtId="0" fontId="22" fillId="0" borderId="3">
      <alignment horizontal="left" vertical="top"/>
    </xf>
    <xf numFmtId="0" fontId="22" fillId="0" borderId="0">
      <alignment horizontal="center" wrapText="1"/>
    </xf>
    <xf numFmtId="0" fontId="22" fillId="0" borderId="0">
      <alignment horizontal="center"/>
    </xf>
    <xf numFmtId="0" fontId="22" fillId="0" borderId="0">
      <alignment horizontal="center" vertical="top"/>
    </xf>
    <xf numFmtId="0" fontId="23" fillId="0" borderId="0"/>
    <xf numFmtId="14" fontId="22" fillId="0" borderId="0">
      <alignment horizontal="center"/>
    </xf>
    <xf numFmtId="14" fontId="22" fillId="0" borderId="0">
      <alignment horizontal="left" vertical="top"/>
    </xf>
    <xf numFmtId="41" fontId="22" fillId="0" borderId="0"/>
    <xf numFmtId="3" fontId="23" fillId="0" borderId="23">
      <alignment horizontal="right" vertical="center"/>
    </xf>
    <xf numFmtId="172" fontId="23" fillId="0" borderId="22">
      <alignment horizontal="right"/>
    </xf>
    <xf numFmtId="225" fontId="79" fillId="0" borderId="0">
      <alignment wrapText="1"/>
    </xf>
    <xf numFmtId="0" fontId="22" fillId="0" borderId="0">
      <alignment horizontal="center"/>
    </xf>
    <xf numFmtId="226" fontId="23" fillId="0" borderId="10"/>
    <xf numFmtId="226" fontId="23" fillId="0" borderId="0"/>
    <xf numFmtId="0" fontId="22" fillId="0" borderId="0">
      <alignment vertical="top"/>
    </xf>
    <xf numFmtId="3" fontId="23" fillId="0" borderId="21">
      <alignment horizontal="right" vertical="center"/>
    </xf>
    <xf numFmtId="0" fontId="79" fillId="0" borderId="15">
      <alignment horizontal="center" wrapText="1"/>
    </xf>
    <xf numFmtId="3" fontId="23" fillId="0" borderId="24">
      <alignment horizontal="right" vertical="center"/>
    </xf>
    <xf numFmtId="3" fontId="23" fillId="0" borderId="0">
      <alignment horizontal="right" vertical="center"/>
    </xf>
    <xf numFmtId="172" fontId="23" fillId="0" borderId="10">
      <alignment horizontal="right"/>
    </xf>
    <xf numFmtId="0" fontId="4" fillId="0" borderId="25">
      <alignment wrapText="1"/>
    </xf>
    <xf numFmtId="227" fontId="4" fillId="0" borderId="25">
      <alignment horizontal="right" wrapText="1"/>
    </xf>
    <xf numFmtId="4" fontId="22" fillId="0" borderId="0">
      <alignment horizontal="center"/>
    </xf>
    <xf numFmtId="0" fontId="23" fillId="6" borderId="9">
      <alignment horizontal="center"/>
    </xf>
    <xf numFmtId="0" fontId="23" fillId="6" borderId="20">
      <alignment horizontal="center"/>
    </xf>
    <xf numFmtId="14" fontId="22" fillId="0" borderId="0">
      <alignment horizontal="center" vertical="top"/>
    </xf>
    <xf numFmtId="0" fontId="22" fillId="13" borderId="0">
      <alignment vertical="top"/>
    </xf>
    <xf numFmtId="0" fontId="22" fillId="13" borderId="0"/>
    <xf numFmtId="0" fontId="4" fillId="0" borderId="25">
      <alignment wrapText="1"/>
    </xf>
    <xf numFmtId="228" fontId="26" fillId="0" borderId="0">
      <alignment horizontal="right" vertical="center" wrapText="1"/>
    </xf>
    <xf numFmtId="0" fontId="26" fillId="0" borderId="0">
      <alignment horizontal="right" vertical="center" wrapText="1"/>
    </xf>
    <xf numFmtId="0" fontId="4" fillId="0" borderId="0">
      <alignment wrapText="1"/>
    </xf>
    <xf numFmtId="172" fontId="22" fillId="0" borderId="0"/>
    <xf numFmtId="0" fontId="22" fillId="13" borderId="0">
      <alignment horizontal="center"/>
    </xf>
    <xf numFmtId="0" fontId="23" fillId="13" borderId="0"/>
    <xf numFmtId="0" fontId="22" fillId="13" borderId="0">
      <alignment horizontal="center" vertical="top"/>
    </xf>
    <xf numFmtId="0" fontId="22" fillId="0" borderId="0">
      <alignment vertical="top"/>
    </xf>
    <xf numFmtId="14" fontId="22" fillId="13" borderId="0">
      <alignment horizontal="center" vertical="top"/>
    </xf>
    <xf numFmtId="15" fontId="22" fillId="13" borderId="0">
      <alignment horizontal="left" vertical="top"/>
    </xf>
    <xf numFmtId="0" fontId="22" fillId="13" borderId="0">
      <alignment horizontal="left" vertical="top"/>
    </xf>
    <xf numFmtId="14" fontId="22" fillId="13" borderId="0">
      <alignment horizontal="left" vertical="top"/>
    </xf>
    <xf numFmtId="0" fontId="22" fillId="14" borderId="0">
      <alignment horizontal="center"/>
    </xf>
    <xf numFmtId="0" fontId="23" fillId="14" borderId="0"/>
    <xf numFmtId="0" fontId="22" fillId="14" borderId="0">
      <alignment horizontal="center" vertical="top"/>
    </xf>
    <xf numFmtId="14" fontId="22" fillId="14" borderId="0">
      <alignment horizontal="center" vertical="top"/>
    </xf>
    <xf numFmtId="0" fontId="22" fillId="14" borderId="0">
      <alignment vertical="top"/>
    </xf>
    <xf numFmtId="15" fontId="22" fillId="14" borderId="0">
      <alignment horizontal="left" vertical="top"/>
    </xf>
    <xf numFmtId="15" fontId="75" fillId="0" borderId="0">
      <alignment horizontal="left"/>
    </xf>
    <xf numFmtId="0" fontId="22" fillId="14" borderId="0">
      <alignment horizontal="left" vertical="top"/>
    </xf>
    <xf numFmtId="172" fontId="22" fillId="14" borderId="0">
      <alignment vertical="top"/>
    </xf>
    <xf numFmtId="14" fontId="22" fillId="14" borderId="0">
      <alignment horizontal="left" vertical="top"/>
    </xf>
    <xf numFmtId="0" fontId="22" fillId="14" borderId="0">
      <alignment horizontal="center"/>
    </xf>
    <xf numFmtId="0" fontId="22" fillId="14" borderId="0"/>
    <xf numFmtId="0" fontId="23" fillId="14" borderId="0">
      <alignment horizontal="left" vertical="top"/>
    </xf>
    <xf numFmtId="14" fontId="22" fillId="14" borderId="0">
      <alignment horizontal="center" vertical="top"/>
    </xf>
    <xf numFmtId="0" fontId="55" fillId="14" borderId="0">
      <alignment horizontal="center"/>
    </xf>
    <xf numFmtId="0" fontId="75" fillId="14" borderId="0">
      <alignment horizontal="center"/>
    </xf>
    <xf numFmtId="0" fontId="22" fillId="14" borderId="0"/>
    <xf numFmtId="0" fontId="55" fillId="0" borderId="0"/>
    <xf numFmtId="0" fontId="23" fillId="0" borderId="0">
      <alignment horizontal="center"/>
    </xf>
    <xf numFmtId="0" fontId="23" fillId="0" borderId="0">
      <alignment horizontal="center"/>
    </xf>
    <xf numFmtId="172" fontId="23" fillId="6" borderId="23">
      <alignment horizontal="center"/>
    </xf>
    <xf numFmtId="172" fontId="23" fillId="6" borderId="24">
      <alignment horizontal="center"/>
    </xf>
    <xf numFmtId="2" fontId="55" fillId="0" borderId="0"/>
    <xf numFmtId="0" fontId="55" fillId="0" borderId="0"/>
    <xf numFmtId="2" fontId="55" fillId="0" borderId="0">
      <alignment horizontal="center"/>
    </xf>
    <xf numFmtId="0" fontId="55" fillId="0" borderId="0">
      <alignment horizontal="center"/>
    </xf>
    <xf numFmtId="0" fontId="75" fillId="0" borderId="0">
      <alignment wrapText="1"/>
    </xf>
    <xf numFmtId="0" fontId="55" fillId="0" borderId="0">
      <alignment horizontal="center"/>
    </xf>
    <xf numFmtId="0" fontId="79" fillId="0" borderId="0">
      <alignment horizontal="left" vertical="center"/>
    </xf>
    <xf numFmtId="2" fontId="55" fillId="0" borderId="12">
      <alignment horizontal="center" vertical="center"/>
    </xf>
    <xf numFmtId="0" fontId="55" fillId="0" borderId="12">
      <alignment horizontal="center" vertical="center"/>
    </xf>
    <xf numFmtId="0" fontId="55" fillId="0" borderId="18">
      <alignment horizontal="center" vertical="center"/>
    </xf>
    <xf numFmtId="0" fontId="55" fillId="0" borderId="0">
      <alignment horizontal="center" vertical="center"/>
    </xf>
    <xf numFmtId="0" fontId="55" fillId="0" borderId="0">
      <alignment horizontal="left" vertical="center"/>
    </xf>
    <xf numFmtId="0" fontId="79" fillId="0" borderId="0">
      <alignment horizontal="left"/>
    </xf>
    <xf numFmtId="0" fontId="79" fillId="0" borderId="0">
      <alignment horizontal="left"/>
    </xf>
    <xf numFmtId="0" fontId="79" fillId="0" borderId="0">
      <alignment horizontal="center"/>
    </xf>
    <xf numFmtId="0" fontId="22" fillId="0" borderId="0">
      <alignment horizontal="center" vertical="center" wrapText="1"/>
    </xf>
    <xf numFmtId="0" fontId="79" fillId="0" borderId="0">
      <alignment horizontal="center" wrapText="1"/>
    </xf>
    <xf numFmtId="0" fontId="79" fillId="0" borderId="13">
      <alignment horizontal="center" wrapText="1"/>
    </xf>
    <xf numFmtId="1" fontId="79" fillId="0" borderId="14">
      <alignment horizontal="center" wrapText="1"/>
    </xf>
    <xf numFmtId="0" fontId="79" fillId="0" borderId="0">
      <alignment horizontal="center"/>
    </xf>
    <xf numFmtId="229" fontId="79" fillId="0" borderId="0">
      <alignment horizontal="center" wrapText="1"/>
    </xf>
    <xf numFmtId="43" fontId="79" fillId="0" borderId="0"/>
    <xf numFmtId="0" fontId="79" fillId="0" borderId="0"/>
    <xf numFmtId="0" fontId="55" fillId="0" borderId="0">
      <alignment wrapText="1"/>
    </xf>
    <xf numFmtId="0" fontId="79" fillId="0" borderId="0">
      <alignment horizontal="center" wrapText="1"/>
    </xf>
    <xf numFmtId="0" fontId="79" fillId="0" borderId="0">
      <alignment horizontal="center" wrapText="1"/>
    </xf>
    <xf numFmtId="43" fontId="22" fillId="0" borderId="0">
      <alignment horizontal="center" vertical="center" wrapText="1"/>
    </xf>
    <xf numFmtId="0" fontId="79" fillId="0" borderId="0">
      <alignment horizontal="center" wrapText="1"/>
    </xf>
    <xf numFmtId="230" fontId="79" fillId="0" borderId="0">
      <alignment horizontal="center" wrapText="1"/>
    </xf>
    <xf numFmtId="0" fontId="79" fillId="6" borderId="9">
      <alignment horizontal="center" wrapText="1"/>
    </xf>
    <xf numFmtId="2" fontId="79" fillId="6" borderId="9">
      <alignment horizontal="center" wrapText="1"/>
    </xf>
    <xf numFmtId="0" fontId="79" fillId="6" borderId="9">
      <alignment horizontal="center" wrapText="1"/>
    </xf>
    <xf numFmtId="0" fontId="79" fillId="0" borderId="0">
      <alignment horizontal="center" wrapText="1"/>
    </xf>
    <xf numFmtId="0" fontId="22" fillId="0" borderId="0"/>
    <xf numFmtId="0" fontId="22" fillId="0" borderId="0"/>
    <xf numFmtId="0" fontId="80" fillId="0" borderId="0">
      <alignment horizontal="left" vertical="center"/>
    </xf>
    <xf numFmtId="172" fontId="80" fillId="0" borderId="0">
      <alignment horizontal="left" vertical="center"/>
    </xf>
    <xf numFmtId="0" fontId="23" fillId="0" borderId="0">
      <alignment horizontal="center" vertical="center" wrapText="1"/>
    </xf>
    <xf numFmtId="0" fontId="80" fillId="0" borderId="0">
      <alignment horizontal="center" vertical="center"/>
    </xf>
    <xf numFmtId="0" fontId="23" fillId="0" borderId="23">
      <alignment horizontal="left"/>
    </xf>
    <xf numFmtId="41" fontId="23" fillId="0" borderId="26"/>
    <xf numFmtId="0" fontId="23" fillId="0" borderId="23"/>
    <xf numFmtId="41" fontId="23" fillId="0" borderId="0"/>
    <xf numFmtId="0" fontId="23" fillId="0" borderId="21"/>
    <xf numFmtId="172" fontId="23" fillId="0" borderId="27"/>
    <xf numFmtId="172" fontId="23" fillId="0" borderId="0"/>
    <xf numFmtId="43" fontId="23" fillId="0" borderId="27"/>
    <xf numFmtId="43" fontId="23" fillId="0" borderId="0"/>
    <xf numFmtId="0" fontId="22" fillId="0" borderId="0">
      <alignment wrapText="1"/>
    </xf>
    <xf numFmtId="0" fontId="23" fillId="0" borderId="22"/>
    <xf numFmtId="43" fontId="23" fillId="0" borderId="28"/>
    <xf numFmtId="0" fontId="23" fillId="0" borderId="0">
      <alignment horizontal="center"/>
    </xf>
    <xf numFmtId="0" fontId="23" fillId="6" borderId="23">
      <alignment horizontal="center"/>
    </xf>
    <xf numFmtId="172" fontId="23" fillId="6" borderId="24">
      <alignment horizontal="center"/>
    </xf>
    <xf numFmtId="0" fontId="23" fillId="6" borderId="24">
      <alignment horizontal="center"/>
    </xf>
    <xf numFmtId="0" fontId="23" fillId="6" borderId="26">
      <alignment horizontal="center"/>
    </xf>
    <xf numFmtId="0" fontId="23" fillId="6" borderId="22">
      <alignment horizontal="center"/>
    </xf>
    <xf numFmtId="172" fontId="23" fillId="6" borderId="10">
      <alignment horizontal="right"/>
    </xf>
    <xf numFmtId="0" fontId="23" fillId="6" borderId="10">
      <alignment horizontal="center"/>
    </xf>
    <xf numFmtId="0" fontId="22" fillId="0" borderId="0">
      <alignment horizontal="left" vertical="center" wrapText="1"/>
    </xf>
    <xf numFmtId="0" fontId="23" fillId="6" borderId="28">
      <alignment horizontal="center"/>
    </xf>
    <xf numFmtId="0" fontId="23" fillId="15" borderId="0">
      <alignment horizontal="center"/>
    </xf>
    <xf numFmtId="172" fontId="23" fillId="6" borderId="22">
      <alignment horizontal="center"/>
    </xf>
    <xf numFmtId="172" fontId="23" fillId="6" borderId="10">
      <alignment horizontal="center"/>
    </xf>
    <xf numFmtId="0" fontId="23" fillId="6" borderId="10">
      <alignment horizontal="center"/>
    </xf>
    <xf numFmtId="172" fontId="23" fillId="6" borderId="28">
      <alignment horizontal="center"/>
    </xf>
    <xf numFmtId="0" fontId="23" fillId="6" borderId="29">
      <alignment horizontal="center"/>
    </xf>
    <xf numFmtId="0" fontId="23" fillId="6" borderId="3">
      <alignment horizontal="center"/>
    </xf>
    <xf numFmtId="0" fontId="23" fillId="6" borderId="3">
      <alignment horizontal="center"/>
    </xf>
    <xf numFmtId="0" fontId="23" fillId="6" borderId="30">
      <alignment horizontal="center"/>
    </xf>
    <xf numFmtId="0" fontId="22" fillId="0" borderId="0"/>
    <xf numFmtId="0" fontId="23" fillId="6" borderId="21">
      <alignment horizontal="center"/>
    </xf>
    <xf numFmtId="0" fontId="23" fillId="6" borderId="0">
      <alignment horizontal="center"/>
    </xf>
    <xf numFmtId="0" fontId="23" fillId="6" borderId="27">
      <alignment horizontal="center"/>
    </xf>
    <xf numFmtId="0" fontId="39" fillId="0" borderId="0">
      <alignment horizontal="left"/>
    </xf>
    <xf numFmtId="49" fontId="22" fillId="0" borderId="0">
      <alignment horizontal="left"/>
    </xf>
    <xf numFmtId="0" fontId="39" fillId="0" borderId="0">
      <alignment horizontal="left"/>
    </xf>
    <xf numFmtId="15" fontId="75" fillId="15" borderId="0">
      <alignment horizontal="left"/>
    </xf>
    <xf numFmtId="0" fontId="22" fillId="0" borderId="0">
      <alignment horizontal="right"/>
    </xf>
    <xf numFmtId="49" fontId="22" fillId="0" borderId="0">
      <alignment horizontal="left"/>
    </xf>
    <xf numFmtId="49" fontId="22" fillId="0" borderId="0">
      <alignment horizontal="left"/>
    </xf>
    <xf numFmtId="10" fontId="75" fillId="0" borderId="0"/>
    <xf numFmtId="0" fontId="2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1" fillId="0" borderId="0">
      <alignment horizontal="left" vertical="top"/>
      <protection locked="0"/>
    </xf>
    <xf numFmtId="0" fontId="35" fillId="0" borderId="11" applyNumberFormat="0" applyFont="0" applyFill="0" applyAlignment="0" applyProtection="0"/>
    <xf numFmtId="40" fontId="82" fillId="15" borderId="0">
      <alignment horizontal="right"/>
    </xf>
    <xf numFmtId="0" fontId="83" fillId="15" borderId="0">
      <alignment horizontal="right"/>
    </xf>
    <xf numFmtId="0" fontId="84" fillId="15" borderId="14"/>
    <xf numFmtId="0" fontId="84" fillId="0" borderId="0" applyBorder="0">
      <alignment horizontal="centerContinuous"/>
    </xf>
    <xf numFmtId="231" fontId="85" fillId="0" borderId="0" applyFill="0">
      <alignment horizontal="center" vertical="center"/>
    </xf>
    <xf numFmtId="0" fontId="23" fillId="0" borderId="31" applyNumberFormat="0" applyAlignment="0" applyProtection="0"/>
    <xf numFmtId="0" fontId="22" fillId="16" borderId="0" applyNumberFormat="0" applyFont="0" applyBorder="0" applyAlignment="0" applyProtection="0"/>
    <xf numFmtId="0" fontId="2" fillId="17" borderId="32" applyNumberFormat="0" applyFont="0" applyBorder="0" applyAlignment="0" applyProtection="0">
      <alignment horizontal="center"/>
    </xf>
    <xf numFmtId="0" fontId="2" fillId="18" borderId="32" applyNumberFormat="0" applyFont="0" applyBorder="0" applyAlignment="0" applyProtection="0">
      <alignment horizontal="center"/>
    </xf>
    <xf numFmtId="0" fontId="22" fillId="0" borderId="33" applyNumberFormat="0" applyAlignment="0" applyProtection="0"/>
    <xf numFmtId="0" fontId="22" fillId="0" borderId="34" applyNumberFormat="0" applyAlignment="0" applyProtection="0"/>
    <xf numFmtId="0" fontId="23" fillId="0" borderId="35" applyNumberFormat="0" applyAlignment="0" applyProtection="0"/>
    <xf numFmtId="14" fontId="27" fillId="0" borderId="0">
      <alignment horizontal="center" wrapText="1"/>
      <protection locked="0"/>
    </xf>
    <xf numFmtId="9" fontId="1" fillId="0" borderId="0" applyFont="0" applyFill="0" applyBorder="0" applyAlignment="0" applyProtection="0"/>
    <xf numFmtId="9" fontId="55" fillId="0" borderId="0" applyFont="0" applyFill="0" applyBorder="0" applyAlignment="0" applyProtection="0"/>
    <xf numFmtId="232" fontId="86" fillId="0" borderId="0" applyFont="0" applyFill="0" applyBorder="0" applyAlignment="0" applyProtection="0"/>
    <xf numFmtId="169" fontId="55" fillId="0" borderId="0" applyFont="0" applyFill="0" applyBorder="0" applyAlignment="0" applyProtection="0"/>
    <xf numFmtId="233" fontId="55" fillId="0" borderId="0" applyFont="0" applyFill="0" applyBorder="0" applyAlignment="0" applyProtection="0"/>
    <xf numFmtId="234" fontId="55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 applyFont="0" applyFill="0" applyBorder="0" applyProtection="0">
      <alignment horizontal="right"/>
    </xf>
    <xf numFmtId="172" fontId="75" fillId="0" borderId="0">
      <alignment horizontal="right"/>
    </xf>
    <xf numFmtId="172" fontId="23" fillId="0" borderId="0">
      <alignment horizontal="left" vertical="center"/>
    </xf>
    <xf numFmtId="171" fontId="2" fillId="0" borderId="0"/>
    <xf numFmtId="172" fontId="75" fillId="0" borderId="0">
      <alignment horizontal="right"/>
    </xf>
    <xf numFmtId="172" fontId="75" fillId="0" borderId="0">
      <alignment horizontal="center"/>
    </xf>
    <xf numFmtId="170" fontId="75" fillId="0" borderId="0">
      <alignment horizontal="right"/>
    </xf>
    <xf numFmtId="172" fontId="75" fillId="0" borderId="3">
      <alignment horizontal="right"/>
    </xf>
    <xf numFmtId="172" fontId="75" fillId="0" borderId="3">
      <alignment horizontal="center"/>
    </xf>
    <xf numFmtId="170" fontId="75" fillId="0" borderId="3">
      <alignment horizontal="right"/>
    </xf>
    <xf numFmtId="43" fontId="75" fillId="0" borderId="3">
      <alignment horizontal="center"/>
    </xf>
    <xf numFmtId="235" fontId="75" fillId="0" borderId="12"/>
    <xf numFmtId="236" fontId="75" fillId="0" borderId="12">
      <alignment horizontal="center"/>
    </xf>
    <xf numFmtId="172" fontId="23" fillId="0" borderId="0">
      <alignment horizontal="right" vertical="center"/>
    </xf>
    <xf numFmtId="236" fontId="75" fillId="0" borderId="18">
      <alignment horizontal="center" wrapText="1"/>
    </xf>
    <xf numFmtId="236" fontId="75" fillId="0" borderId="0">
      <alignment horizontal="center"/>
    </xf>
    <xf numFmtId="236" fontId="75" fillId="0" borderId="14">
      <alignment horizontal="center" wrapText="1"/>
    </xf>
    <xf numFmtId="235" fontId="75" fillId="0" borderId="14">
      <alignment wrapText="1"/>
    </xf>
    <xf numFmtId="235" fontId="75" fillId="0" borderId="3"/>
    <xf numFmtId="235" fontId="75" fillId="0" borderId="16">
      <alignment wrapText="1"/>
    </xf>
    <xf numFmtId="237" fontId="23" fillId="0" borderId="0">
      <alignment horizontal="left"/>
    </xf>
    <xf numFmtId="238" fontId="23" fillId="0" borderId="0">
      <alignment horizontal="left"/>
    </xf>
    <xf numFmtId="239" fontId="23" fillId="0" borderId="0">
      <alignment horizontal="left"/>
    </xf>
    <xf numFmtId="172" fontId="22" fillId="0" borderId="0">
      <alignment vertical="top"/>
    </xf>
    <xf numFmtId="240" fontId="23" fillId="0" borderId="0">
      <alignment horizontal="center"/>
    </xf>
    <xf numFmtId="235" fontId="78" fillId="0" borderId="0"/>
    <xf numFmtId="172" fontId="55" fillId="0" borderId="0">
      <alignment horizontal="right"/>
    </xf>
    <xf numFmtId="172" fontId="55" fillId="0" borderId="0">
      <alignment horizontal="center"/>
    </xf>
    <xf numFmtId="236" fontId="22" fillId="0" borderId="0">
      <alignment horizontal="center" vertical="top"/>
    </xf>
    <xf numFmtId="172" fontId="20" fillId="0" borderId="3">
      <alignment horizontal="centerContinuous"/>
    </xf>
    <xf numFmtId="172" fontId="2" fillId="0" borderId="3">
      <alignment horizontal="center"/>
    </xf>
    <xf numFmtId="172" fontId="2" fillId="0" borderId="0"/>
    <xf numFmtId="172" fontId="2" fillId="0" borderId="3"/>
    <xf numFmtId="43" fontId="2" fillId="0" borderId="3"/>
    <xf numFmtId="43" fontId="20" fillId="0" borderId="0">
      <alignment horizontal="right"/>
    </xf>
    <xf numFmtId="170" fontId="23" fillId="0" borderId="0">
      <alignment horizontal="right" vertical="center"/>
    </xf>
    <xf numFmtId="165" fontId="79" fillId="0" borderId="0">
      <alignment horizontal="center" wrapText="1"/>
    </xf>
    <xf numFmtId="2" fontId="79" fillId="0" borderId="0">
      <alignment horizontal="center"/>
    </xf>
    <xf numFmtId="43" fontId="55" fillId="0" borderId="0"/>
    <xf numFmtId="0" fontId="2" fillId="0" borderId="0">
      <alignment horizontal="center"/>
    </xf>
    <xf numFmtId="43" fontId="22" fillId="0" borderId="0">
      <alignment horizontal="center" vertical="top"/>
    </xf>
    <xf numFmtId="235" fontId="22" fillId="0" borderId="0">
      <alignment horizontal="center" vertical="top"/>
    </xf>
    <xf numFmtId="236" fontId="22" fillId="0" borderId="0">
      <alignment horizontal="center" vertical="top" wrapText="1"/>
    </xf>
    <xf numFmtId="43" fontId="22" fillId="0" borderId="0">
      <alignment horizontal="left" vertical="top"/>
    </xf>
    <xf numFmtId="172" fontId="22" fillId="0" borderId="0">
      <alignment horizontal="right" vertical="top"/>
    </xf>
    <xf numFmtId="43" fontId="22" fillId="0" borderId="0">
      <alignment horizontal="center" vertical="top"/>
    </xf>
    <xf numFmtId="43" fontId="23" fillId="0" borderId="0">
      <alignment horizontal="center"/>
    </xf>
    <xf numFmtId="235" fontId="22" fillId="0" borderId="0">
      <alignment horizontal="center" vertical="top"/>
    </xf>
    <xf numFmtId="236" fontId="22" fillId="0" borderId="0">
      <alignment horizontal="center" vertical="top" wrapText="1"/>
    </xf>
    <xf numFmtId="172" fontId="22" fillId="0" borderId="0">
      <alignment horizontal="left" vertical="top"/>
    </xf>
    <xf numFmtId="43" fontId="22" fillId="0" borderId="0">
      <alignment horizontal="left" vertical="top"/>
    </xf>
    <xf numFmtId="172" fontId="2" fillId="0" borderId="0">
      <alignment horizontal="left"/>
    </xf>
    <xf numFmtId="172" fontId="20" fillId="0" borderId="0">
      <alignment horizontal="centerContinuous"/>
    </xf>
    <xf numFmtId="172" fontId="20" fillId="0" borderId="0">
      <alignment horizontal="left"/>
    </xf>
    <xf numFmtId="172" fontId="20" fillId="0" borderId="3">
      <alignment horizontal="left"/>
    </xf>
    <xf numFmtId="43" fontId="55" fillId="0" borderId="0"/>
    <xf numFmtId="43" fontId="55" fillId="0" borderId="3">
      <alignment horizontal="center"/>
    </xf>
    <xf numFmtId="235" fontId="23" fillId="0" borderId="0">
      <alignment horizontal="center"/>
    </xf>
    <xf numFmtId="43" fontId="55" fillId="0" borderId="3"/>
    <xf numFmtId="43" fontId="20" fillId="0" borderId="0"/>
    <xf numFmtId="172" fontId="2" fillId="14" borderId="0">
      <alignment horizontal="center"/>
    </xf>
    <xf numFmtId="172" fontId="2" fillId="14" borderId="0">
      <alignment horizontal="center"/>
    </xf>
    <xf numFmtId="172" fontId="20" fillId="14" borderId="0">
      <alignment horizontal="centerContinuous"/>
    </xf>
    <xf numFmtId="172" fontId="20" fillId="14" borderId="3">
      <alignment horizontal="center" wrapText="1"/>
    </xf>
    <xf numFmtId="172" fontId="2" fillId="19" borderId="0">
      <alignment horizontal="center"/>
    </xf>
    <xf numFmtId="172" fontId="2" fillId="19" borderId="0">
      <alignment horizontal="center"/>
    </xf>
    <xf numFmtId="172" fontId="20" fillId="19" borderId="0">
      <alignment horizontal="centerContinuous"/>
    </xf>
    <xf numFmtId="172" fontId="20" fillId="19" borderId="3">
      <alignment horizontal="centerContinuous"/>
    </xf>
    <xf numFmtId="235" fontId="23" fillId="0" borderId="0">
      <alignment horizontal="center" wrapText="1"/>
    </xf>
    <xf numFmtId="172" fontId="22" fillId="0" borderId="0"/>
    <xf numFmtId="43" fontId="22" fillId="0" borderId="0"/>
    <xf numFmtId="43" fontId="22" fillId="0" borderId="0">
      <alignment horizontal="center"/>
    </xf>
    <xf numFmtId="172" fontId="22" fillId="0" borderId="0"/>
    <xf numFmtId="171" fontId="22" fillId="0" borderId="0"/>
    <xf numFmtId="43" fontId="22" fillId="0" borderId="27"/>
    <xf numFmtId="172" fontId="22" fillId="0" borderId="3"/>
    <xf numFmtId="43" fontId="22" fillId="0" borderId="28"/>
    <xf numFmtId="171" fontId="22" fillId="0" borderId="10"/>
    <xf numFmtId="10" fontId="22" fillId="0" borderId="0"/>
    <xf numFmtId="237" fontId="23" fillId="0" borderId="0">
      <alignment horizontal="center"/>
    </xf>
    <xf numFmtId="43" fontId="22" fillId="0" borderId="0"/>
    <xf numFmtId="241" fontId="23" fillId="0" borderId="0">
      <alignment horizontal="center" vertical="top"/>
    </xf>
    <xf numFmtId="14" fontId="20" fillId="0" borderId="0">
      <alignment horizontal="center"/>
    </xf>
    <xf numFmtId="4" fontId="55" fillId="0" borderId="0">
      <alignment horizontal="right" vertical="top"/>
    </xf>
    <xf numFmtId="172" fontId="55" fillId="0" borderId="0">
      <alignment horizontal="center" vertical="top"/>
    </xf>
    <xf numFmtId="172" fontId="22" fillId="0" borderId="3">
      <alignment horizontal="right" vertical="top"/>
    </xf>
    <xf numFmtId="170" fontId="22" fillId="0" borderId="3">
      <alignment horizontal="center" vertical="top"/>
    </xf>
    <xf numFmtId="43" fontId="22" fillId="0" borderId="3">
      <alignment horizontal="center" vertical="top"/>
    </xf>
    <xf numFmtId="235" fontId="22" fillId="0" borderId="3">
      <alignment horizontal="center" vertical="top"/>
    </xf>
    <xf numFmtId="236" fontId="22" fillId="0" borderId="3">
      <alignment horizontal="center" vertical="top" wrapText="1"/>
    </xf>
    <xf numFmtId="237" fontId="23" fillId="0" borderId="0">
      <alignment horizontal="center" wrapText="1"/>
    </xf>
    <xf numFmtId="172" fontId="22" fillId="0" borderId="3">
      <alignment horizontal="center" vertical="top"/>
    </xf>
    <xf numFmtId="172" fontId="22" fillId="0" borderId="3">
      <alignment horizontal="left" vertical="top"/>
    </xf>
    <xf numFmtId="172" fontId="22" fillId="0" borderId="3">
      <alignment vertical="top"/>
    </xf>
    <xf numFmtId="43" fontId="22" fillId="0" borderId="3">
      <alignment horizontal="left" vertical="top"/>
    </xf>
    <xf numFmtId="236" fontId="22" fillId="0" borderId="3">
      <alignment horizontal="center" vertical="top"/>
    </xf>
    <xf numFmtId="43" fontId="2" fillId="0" borderId="0">
      <alignment horizontal="center"/>
    </xf>
    <xf numFmtId="172" fontId="23" fillId="0" borderId="24">
      <alignment horizontal="right" vertical="center"/>
    </xf>
    <xf numFmtId="239" fontId="23" fillId="0" borderId="24">
      <alignment horizontal="left"/>
    </xf>
    <xf numFmtId="242" fontId="23" fillId="0" borderId="24">
      <alignment horizontal="left"/>
    </xf>
    <xf numFmtId="170" fontId="23" fillId="0" borderId="24">
      <alignment horizontal="right" vertical="center"/>
    </xf>
    <xf numFmtId="172" fontId="23" fillId="0" borderId="0">
      <alignment horizontal="left"/>
    </xf>
    <xf numFmtId="172" fontId="23" fillId="0" borderId="10">
      <alignment horizontal="right" vertical="center"/>
    </xf>
    <xf numFmtId="239" fontId="23" fillId="0" borderId="10">
      <alignment horizontal="left"/>
    </xf>
    <xf numFmtId="242" fontId="23" fillId="0" borderId="10">
      <alignment horizontal="left"/>
    </xf>
    <xf numFmtId="170" fontId="23" fillId="0" borderId="10">
      <alignment horizontal="right"/>
    </xf>
    <xf numFmtId="243" fontId="23" fillId="0" borderId="28">
      <alignment horizontal="left"/>
    </xf>
    <xf numFmtId="172" fontId="23" fillId="0" borderId="10">
      <alignment horizontal="left" vertical="center"/>
    </xf>
    <xf numFmtId="171" fontId="2" fillId="0" borderId="0">
      <alignment horizontal="center"/>
    </xf>
    <xf numFmtId="43" fontId="2" fillId="14" borderId="0">
      <alignment horizontal="center"/>
    </xf>
    <xf numFmtId="43" fontId="2" fillId="19" borderId="0">
      <alignment horizontal="center"/>
    </xf>
    <xf numFmtId="242" fontId="23" fillId="0" borderId="0">
      <alignment horizontal="left"/>
    </xf>
    <xf numFmtId="169" fontId="20" fillId="0" borderId="0" applyFill="0" applyBorder="0" applyAlignment="0" applyProtection="0"/>
    <xf numFmtId="172" fontId="75" fillId="0" borderId="0">
      <alignment horizontal="center"/>
    </xf>
    <xf numFmtId="172" fontId="23" fillId="0" borderId="0">
      <alignment horizontal="right"/>
    </xf>
    <xf numFmtId="243" fontId="23" fillId="0" borderId="27">
      <alignment horizontal="left"/>
    </xf>
    <xf numFmtId="43" fontId="22" fillId="0" borderId="26">
      <alignment horizontal="center"/>
    </xf>
    <xf numFmtId="172" fontId="23" fillId="0" borderId="3">
      <alignment horizontal="right" vertical="center"/>
    </xf>
    <xf numFmtId="244" fontId="23" fillId="0" borderId="27">
      <alignment horizontal="left"/>
    </xf>
    <xf numFmtId="172" fontId="22" fillId="13" borderId="0"/>
    <xf numFmtId="172" fontId="22" fillId="13" borderId="0">
      <alignment horizontal="center" vertical="top"/>
    </xf>
    <xf numFmtId="172" fontId="22" fillId="0" borderId="10"/>
    <xf numFmtId="172" fontId="22" fillId="13" borderId="0">
      <alignment horizontal="center" vertical="top"/>
    </xf>
    <xf numFmtId="172" fontId="22" fillId="13" borderId="0">
      <alignment horizontal="right" vertical="top"/>
    </xf>
    <xf numFmtId="170" fontId="22" fillId="13" borderId="0">
      <alignment horizontal="center" vertical="top"/>
    </xf>
    <xf numFmtId="170" fontId="23" fillId="0" borderId="0">
      <alignment horizontal="right"/>
    </xf>
    <xf numFmtId="43" fontId="22" fillId="13" borderId="0">
      <alignment horizontal="center" vertical="top"/>
    </xf>
    <xf numFmtId="235" fontId="22" fillId="13" borderId="0">
      <alignment horizontal="center" vertical="top"/>
    </xf>
    <xf numFmtId="236" fontId="22" fillId="13" borderId="0">
      <alignment horizontal="center" vertical="top"/>
    </xf>
    <xf numFmtId="236" fontId="22" fillId="13" borderId="0">
      <alignment horizontal="center" vertical="top" wrapText="1"/>
    </xf>
    <xf numFmtId="172" fontId="22" fillId="13" borderId="0">
      <alignment horizontal="left" vertical="top"/>
    </xf>
    <xf numFmtId="43" fontId="22" fillId="13" borderId="0">
      <alignment horizontal="left" vertical="top"/>
    </xf>
    <xf numFmtId="43" fontId="22" fillId="13" borderId="0"/>
    <xf numFmtId="172" fontId="22" fillId="14" borderId="0">
      <alignment horizontal="center" vertical="top"/>
    </xf>
    <xf numFmtId="172" fontId="22" fillId="14" borderId="0">
      <alignment horizontal="right" vertical="top"/>
    </xf>
    <xf numFmtId="170" fontId="22" fillId="14" borderId="0">
      <alignment horizontal="center" vertical="top"/>
    </xf>
    <xf numFmtId="172" fontId="22" fillId="0" borderId="0">
      <alignment horizontal="right"/>
    </xf>
    <xf numFmtId="43" fontId="22" fillId="14" borderId="0">
      <alignment horizontal="center" vertical="top"/>
    </xf>
    <xf numFmtId="235" fontId="22" fillId="14" borderId="0">
      <alignment horizontal="center" vertical="top"/>
    </xf>
    <xf numFmtId="236" fontId="22" fillId="14" borderId="0">
      <alignment horizontal="center" vertical="top"/>
    </xf>
    <xf numFmtId="236" fontId="22" fillId="14" borderId="0">
      <alignment horizontal="center" vertical="top" wrapText="1"/>
    </xf>
    <xf numFmtId="172" fontId="22" fillId="14" borderId="0">
      <alignment horizontal="center" vertical="top"/>
    </xf>
    <xf numFmtId="172" fontId="22" fillId="14" borderId="0">
      <alignment horizontal="left" vertical="top"/>
    </xf>
    <xf numFmtId="172" fontId="22" fillId="14" borderId="0"/>
    <xf numFmtId="43" fontId="22" fillId="14" borderId="0">
      <alignment horizontal="left" vertical="top"/>
    </xf>
    <xf numFmtId="235" fontId="22" fillId="14" borderId="0">
      <alignment horizontal="center" vertical="top"/>
    </xf>
    <xf numFmtId="236" fontId="75" fillId="14" borderId="0">
      <alignment horizontal="center" wrapText="1"/>
    </xf>
    <xf numFmtId="172" fontId="22" fillId="0" borderId="0"/>
    <xf numFmtId="172" fontId="22" fillId="14" borderId="0">
      <alignment horizontal="left" vertical="top"/>
    </xf>
    <xf numFmtId="172" fontId="22" fillId="14" borderId="0">
      <alignment horizontal="right"/>
    </xf>
    <xf numFmtId="172" fontId="22" fillId="14" borderId="0">
      <alignment horizontal="right"/>
    </xf>
    <xf numFmtId="4" fontId="55" fillId="14" borderId="0">
      <alignment horizontal="right" vertical="top"/>
    </xf>
    <xf numFmtId="43" fontId="22" fillId="14" borderId="0">
      <alignment horizontal="center" vertical="top"/>
    </xf>
    <xf numFmtId="236" fontId="22" fillId="14" borderId="0">
      <alignment horizontal="center" vertical="top" wrapText="1"/>
    </xf>
    <xf numFmtId="43" fontId="22" fillId="14" borderId="0">
      <alignment horizontal="left" vertical="top"/>
    </xf>
    <xf numFmtId="172" fontId="23" fillId="6" borderId="9">
      <alignment horizontal="right" wrapText="1"/>
    </xf>
    <xf numFmtId="172" fontId="23" fillId="6" borderId="9">
      <alignment horizontal="center" wrapText="1"/>
    </xf>
    <xf numFmtId="170" fontId="23" fillId="6" borderId="9">
      <alignment horizontal="right" wrapText="1"/>
    </xf>
    <xf numFmtId="43" fontId="23" fillId="6" borderId="9">
      <alignment horizontal="center" wrapText="1"/>
    </xf>
    <xf numFmtId="235" fontId="23" fillId="6" borderId="9">
      <alignment horizontal="center" wrapText="1"/>
    </xf>
    <xf numFmtId="235" fontId="23" fillId="6" borderId="9">
      <alignment horizontal="center" wrapText="1"/>
    </xf>
    <xf numFmtId="207" fontId="24" fillId="0" borderId="0">
      <alignment horizontal="left" vertical="center" wrapText="1"/>
    </xf>
    <xf numFmtId="172" fontId="22" fillId="0" borderId="0">
      <alignment horizontal="right"/>
    </xf>
    <xf numFmtId="172" fontId="22" fillId="0" borderId="0"/>
    <xf numFmtId="170" fontId="22" fillId="0" borderId="0">
      <alignment horizontal="right"/>
    </xf>
    <xf numFmtId="43" fontId="22" fillId="0" borderId="0">
      <alignment horizontal="center"/>
    </xf>
    <xf numFmtId="235" fontId="22" fillId="0" borderId="0"/>
    <xf numFmtId="235" fontId="22" fillId="0" borderId="0">
      <alignment wrapText="1"/>
    </xf>
    <xf numFmtId="170" fontId="22" fillId="0" borderId="0">
      <alignment horizontal="center" vertical="top"/>
    </xf>
    <xf numFmtId="172" fontId="22" fillId="0" borderId="0">
      <alignment horizontal="center" vertical="top"/>
    </xf>
    <xf numFmtId="172" fontId="22" fillId="0" borderId="0">
      <alignment horizontal="center" vertical="top"/>
    </xf>
    <xf numFmtId="172" fontId="22" fillId="0" borderId="0">
      <alignment horizontal="left" vertical="top"/>
    </xf>
    <xf numFmtId="172" fontId="22" fillId="0" borderId="0">
      <alignment horizontal="right" vertical="center" wrapText="1"/>
    </xf>
    <xf numFmtId="172" fontId="22" fillId="0" borderId="0">
      <alignment horizontal="right" vertical="top"/>
    </xf>
    <xf numFmtId="170" fontId="22" fillId="0" borderId="0">
      <alignment horizontal="center" vertical="top"/>
    </xf>
    <xf numFmtId="170" fontId="75" fillId="0" borderId="0">
      <alignment horizontal="right"/>
    </xf>
    <xf numFmtId="43" fontId="75" fillId="0" borderId="0">
      <alignment horizontal="center"/>
    </xf>
    <xf numFmtId="235" fontId="75" fillId="0" borderId="0"/>
    <xf numFmtId="236" fontId="75" fillId="0" borderId="0">
      <alignment horizontal="center"/>
    </xf>
    <xf numFmtId="236" fontId="75" fillId="0" borderId="0">
      <alignment horizontal="center" wrapText="1"/>
    </xf>
    <xf numFmtId="235" fontId="75" fillId="0" borderId="0">
      <alignment wrapText="1"/>
    </xf>
    <xf numFmtId="43" fontId="55" fillId="0" borderId="0">
      <alignment horizontal="center"/>
    </xf>
    <xf numFmtId="43" fontId="55" fillId="0" borderId="0"/>
    <xf numFmtId="172" fontId="22" fillId="0" borderId="0">
      <alignment horizontal="center" vertical="center" wrapText="1"/>
    </xf>
    <xf numFmtId="43" fontId="55" fillId="0" borderId="17">
      <alignment horizontal="center" vertical="center"/>
    </xf>
    <xf numFmtId="43" fontId="55" fillId="0" borderId="12">
      <alignment horizontal="center" vertical="center"/>
    </xf>
    <xf numFmtId="43" fontId="79" fillId="0" borderId="12">
      <alignment horizontal="center" vertical="center"/>
    </xf>
    <xf numFmtId="43" fontId="79" fillId="0" borderId="13">
      <alignment horizontal="center"/>
    </xf>
    <xf numFmtId="43" fontId="79" fillId="0" borderId="0">
      <alignment horizontal="center"/>
    </xf>
    <xf numFmtId="2" fontId="79" fillId="0" borderId="0">
      <alignment horizontal="center"/>
    </xf>
    <xf numFmtId="43" fontId="79" fillId="0" borderId="14">
      <alignment horizontal="center"/>
    </xf>
    <xf numFmtId="43" fontId="79" fillId="0" borderId="0">
      <alignment horizontal="center"/>
    </xf>
    <xf numFmtId="172" fontId="79" fillId="0" borderId="0">
      <alignment horizontal="center" wrapText="1"/>
    </xf>
    <xf numFmtId="172" fontId="79" fillId="0" borderId="3">
      <alignment horizontal="center" wrapText="1"/>
    </xf>
    <xf numFmtId="170" fontId="22" fillId="0" borderId="0">
      <alignment horizontal="right" vertical="center" wrapText="1"/>
    </xf>
    <xf numFmtId="165" fontId="79" fillId="0" borderId="3">
      <alignment horizontal="center" wrapText="1"/>
    </xf>
    <xf numFmtId="43" fontId="87" fillId="0" borderId="0">
      <alignment horizontal="left"/>
    </xf>
    <xf numFmtId="43" fontId="79" fillId="0" borderId="0">
      <alignment horizontal="center" wrapText="1"/>
    </xf>
    <xf numFmtId="43" fontId="79" fillId="0" borderId="0">
      <alignment wrapText="1"/>
    </xf>
    <xf numFmtId="43" fontId="79" fillId="6" borderId="9">
      <alignment horizontal="right" wrapText="1"/>
    </xf>
    <xf numFmtId="43" fontId="79" fillId="6" borderId="9">
      <alignment horizontal="center" wrapText="1"/>
    </xf>
    <xf numFmtId="172" fontId="2" fillId="0" borderId="0"/>
    <xf numFmtId="172" fontId="2" fillId="0" borderId="0">
      <alignment horizontal="center"/>
    </xf>
    <xf numFmtId="172" fontId="2" fillId="0" borderId="0">
      <alignment horizontal="left"/>
    </xf>
    <xf numFmtId="172" fontId="2" fillId="0" borderId="0">
      <alignment horizontal="center"/>
    </xf>
    <xf numFmtId="43" fontId="23" fillId="0" borderId="0">
      <alignment horizontal="center" vertical="center" wrapText="1"/>
    </xf>
    <xf numFmtId="172" fontId="20" fillId="0" borderId="0">
      <alignment horizontal="center"/>
    </xf>
    <xf numFmtId="172" fontId="2" fillId="0" borderId="0"/>
    <xf numFmtId="172" fontId="80" fillId="0" borderId="0">
      <alignment horizontal="left" vertical="center"/>
    </xf>
    <xf numFmtId="172" fontId="23" fillId="0" borderId="27"/>
    <xf numFmtId="172" fontId="23" fillId="0" borderId="0"/>
    <xf numFmtId="43" fontId="23" fillId="0" borderId="0"/>
    <xf numFmtId="43" fontId="23" fillId="0" borderId="0">
      <alignment horizontal="center"/>
    </xf>
    <xf numFmtId="172" fontId="23" fillId="0" borderId="0">
      <alignment horizontal="center"/>
    </xf>
    <xf numFmtId="172" fontId="23" fillId="6" borderId="24">
      <alignment horizontal="center"/>
    </xf>
    <xf numFmtId="49" fontId="22" fillId="0" borderId="0">
      <alignment horizontal="left"/>
    </xf>
    <xf numFmtId="235" fontId="23" fillId="0" borderId="0">
      <alignment horizontal="center" vertical="center" wrapText="1"/>
    </xf>
    <xf numFmtId="49" fontId="22" fillId="0" borderId="13">
      <alignment horizontal="left"/>
    </xf>
    <xf numFmtId="49" fontId="22" fillId="0" borderId="15">
      <alignment horizontal="left"/>
    </xf>
    <xf numFmtId="172" fontId="77" fillId="0" borderId="14"/>
    <xf numFmtId="49" fontId="22" fillId="0" borderId="14">
      <alignment horizontal="left"/>
    </xf>
    <xf numFmtId="172" fontId="2" fillId="0" borderId="0">
      <alignment horizontal="center"/>
    </xf>
    <xf numFmtId="172" fontId="2" fillId="0" borderId="0"/>
    <xf numFmtId="172" fontId="2" fillId="0" borderId="0"/>
    <xf numFmtId="172" fontId="20" fillId="0" borderId="0">
      <alignment horizontal="right"/>
    </xf>
    <xf numFmtId="172" fontId="20" fillId="0" borderId="0">
      <alignment horizontal="center"/>
    </xf>
    <xf numFmtId="172" fontId="20" fillId="0" borderId="3"/>
    <xf numFmtId="172" fontId="23" fillId="0" borderId="0">
      <alignment horizontal="left" vertical="center" wrapText="1"/>
    </xf>
    <xf numFmtId="172" fontId="20" fillId="0" borderId="3">
      <alignment horizontal="center"/>
    </xf>
    <xf numFmtId="172" fontId="20" fillId="0" borderId="3">
      <alignment horizontal="center" wrapText="1"/>
    </xf>
    <xf numFmtId="172" fontId="20" fillId="0" borderId="0"/>
    <xf numFmtId="172" fontId="20" fillId="0" borderId="3">
      <alignment horizontal="center" wrapText="1"/>
    </xf>
    <xf numFmtId="172" fontId="20" fillId="0" borderId="0">
      <alignment horizontal="center"/>
    </xf>
    <xf numFmtId="172" fontId="20" fillId="0" borderId="3">
      <alignment horizontal="center"/>
    </xf>
    <xf numFmtId="172" fontId="20" fillId="0" borderId="0"/>
    <xf numFmtId="172" fontId="20" fillId="0" borderId="3">
      <alignment horizontal="left" wrapText="1"/>
    </xf>
    <xf numFmtId="236" fontId="2" fillId="0" borderId="0">
      <alignment horizontal="center"/>
    </xf>
    <xf numFmtId="236" fontId="2" fillId="0" borderId="0">
      <alignment horizontal="left"/>
    </xf>
    <xf numFmtId="0" fontId="88" fillId="0" borderId="0"/>
    <xf numFmtId="10" fontId="6" fillId="0" borderId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227" fontId="6" fillId="0" borderId="0"/>
    <xf numFmtId="0" fontId="89" fillId="6" borderId="0"/>
    <xf numFmtId="0" fontId="54" fillId="0" borderId="0" applyNumberFormat="0" applyFont="0" applyFill="0" applyBorder="0" applyAlignment="0" applyProtection="0">
      <alignment horizontal="left"/>
    </xf>
    <xf numFmtId="15" fontId="54" fillId="0" borderId="0" applyFont="0" applyFill="0" applyBorder="0" applyAlignment="0" applyProtection="0"/>
    <xf numFmtId="4" fontId="54" fillId="0" borderId="0" applyFont="0" applyFill="0" applyBorder="0" applyAlignment="0" applyProtection="0"/>
    <xf numFmtId="0" fontId="90" fillId="0" borderId="10">
      <alignment horizontal="center"/>
    </xf>
    <xf numFmtId="3" fontId="54" fillId="0" borderId="0" applyFont="0" applyFill="0" applyBorder="0" applyAlignment="0" applyProtection="0"/>
    <xf numFmtId="0" fontId="54" fillId="20" borderId="0" applyNumberFormat="0" applyFont="0" applyBorder="0" applyAlignment="0" applyProtection="0"/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245" fontId="91" fillId="0" borderId="0"/>
    <xf numFmtId="0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0" fontId="92" fillId="21" borderId="0" applyNumberFormat="0" applyFont="0" applyBorder="0" applyAlignment="0">
      <alignment horizontal="center"/>
    </xf>
    <xf numFmtId="14" fontId="41" fillId="0" borderId="0" applyNumberFormat="0" applyFill="0" applyBorder="0" applyAlignment="0" applyProtection="0">
      <alignment horizontal="left"/>
    </xf>
    <xf numFmtId="49" fontId="2" fillId="0" borderId="0" applyFont="0" applyFill="0" applyBorder="0" applyProtection="0">
      <alignment horizontal="right"/>
    </xf>
    <xf numFmtId="49" fontId="20" fillId="0" borderId="0" applyFill="0" applyBorder="0" applyProtection="0">
      <alignment horizontal="right"/>
    </xf>
    <xf numFmtId="49" fontId="20" fillId="0" borderId="3" applyFill="0" applyProtection="0">
      <alignment horizontal="right"/>
    </xf>
    <xf numFmtId="49" fontId="20" fillId="0" borderId="12" applyFill="0" applyProtection="0">
      <alignment horizontal="right"/>
    </xf>
    <xf numFmtId="0" fontId="64" fillId="0" borderId="0" applyFill="0" applyBorder="0" applyProtection="0">
      <alignment horizontal="left"/>
    </xf>
    <xf numFmtId="0" fontId="13" fillId="22" borderId="0"/>
    <xf numFmtId="164" fontId="6" fillId="0" borderId="0" applyFont="0" applyFill="0" applyBorder="0" applyAlignment="0" applyProtection="0"/>
    <xf numFmtId="0" fontId="92" fillId="1" borderId="8" applyNumberFormat="0" applyFont="0" applyAlignment="0">
      <alignment horizontal="center"/>
    </xf>
    <xf numFmtId="246" fontId="93" fillId="0" borderId="0" applyFont="0" applyFill="0" applyBorder="0" applyAlignment="0" applyProtection="0"/>
    <xf numFmtId="1" fontId="6" fillId="0" borderId="0"/>
    <xf numFmtId="0" fontId="2" fillId="0" borderId="0" applyFont="0" applyFill="0" applyBorder="0" applyAlignment="0" applyProtection="0"/>
    <xf numFmtId="0" fontId="20" fillId="0" borderId="0" applyFill="0" applyBorder="0" applyAlignment="0" applyProtection="0"/>
    <xf numFmtId="42" fontId="21" fillId="0" borderId="0" applyFill="0" applyBorder="0" applyAlignment="0" applyProtection="0"/>
    <xf numFmtId="0" fontId="94" fillId="0" borderId="0" applyNumberFormat="0" applyFill="0" applyBorder="0" applyAlignment="0">
      <alignment horizontal="center"/>
    </xf>
    <xf numFmtId="12" fontId="6" fillId="0" borderId="0" applyFont="0" applyFill="0" applyBorder="0" applyProtection="0">
      <alignment horizontal="right"/>
    </xf>
    <xf numFmtId="0" fontId="6" fillId="23" borderId="0" applyFont="0" applyFill="0" applyBorder="0" applyProtection="0">
      <alignment horizontal="right"/>
    </xf>
    <xf numFmtId="0" fontId="4" fillId="0" borderId="0">
      <alignment vertical="top"/>
    </xf>
    <xf numFmtId="0" fontId="79" fillId="0" borderId="0" applyNumberFormat="0" applyFill="0" applyBorder="0" applyProtection="0">
      <alignment horizontal="left"/>
    </xf>
    <xf numFmtId="0" fontId="22" fillId="0" borderId="0" applyNumberFormat="0" applyFill="0" applyBorder="0" applyProtection="0">
      <alignment horizontal="left"/>
    </xf>
    <xf numFmtId="0" fontId="22" fillId="0" borderId="0" applyNumberFormat="0" applyFill="0" applyBorder="0" applyProtection="0">
      <alignment horizontal="left"/>
    </xf>
    <xf numFmtId="0" fontId="23" fillId="0" borderId="0" applyNumberFormat="0" applyFill="0" applyBorder="0" applyProtection="0">
      <alignment horizontal="left"/>
    </xf>
    <xf numFmtId="0" fontId="23" fillId="0" borderId="0" applyFill="0" applyBorder="0" applyProtection="0">
      <alignment horizontal="left" wrapText="1"/>
    </xf>
    <xf numFmtId="0" fontId="23" fillId="0" borderId="0" applyNumberFormat="0" applyFill="0" applyBorder="0" applyProtection="0">
      <alignment horizontal="right" wrapText="1"/>
    </xf>
    <xf numFmtId="1" fontId="22" fillId="0" borderId="0" applyFill="0" applyBorder="0" applyProtection="0">
      <alignment horizontal="left"/>
    </xf>
    <xf numFmtId="49" fontId="22" fillId="0" borderId="0" applyFill="0" applyBorder="0" applyProtection="0">
      <alignment horizontal="left"/>
    </xf>
    <xf numFmtId="1" fontId="22" fillId="0" borderId="0" applyFill="0" applyBorder="0" applyProtection="0">
      <alignment horizontal="center"/>
    </xf>
    <xf numFmtId="37" fontId="22" fillId="0" borderId="0" applyFill="0" applyBorder="0" applyProtection="0">
      <alignment horizontal="right"/>
    </xf>
    <xf numFmtId="7" fontId="22" fillId="0" borderId="0" applyFill="0" applyBorder="0" applyProtection="0">
      <alignment horizontal="right"/>
    </xf>
    <xf numFmtId="247" fontId="22" fillId="0" borderId="0" applyFill="0" applyBorder="0" applyProtection="0">
      <alignment horizontal="left"/>
    </xf>
    <xf numFmtId="37" fontId="23" fillId="0" borderId="0" applyFill="0" applyBorder="0" applyProtection="0">
      <alignment horizontal="right"/>
    </xf>
    <xf numFmtId="7" fontId="23" fillId="0" borderId="0" applyFill="0" applyBorder="0" applyProtection="0">
      <alignment horizontal="right"/>
    </xf>
    <xf numFmtId="248" fontId="22" fillId="0" borderId="0" applyFill="0" applyBorder="0" applyProtection="0">
      <alignment horizontal="right"/>
    </xf>
    <xf numFmtId="249" fontId="22" fillId="0" borderId="0" applyFill="0" applyBorder="0" applyProtection="0">
      <alignment horizontal="right"/>
    </xf>
    <xf numFmtId="250" fontId="22" fillId="0" borderId="0" applyFill="0" applyBorder="0" applyProtection="0">
      <alignment horizontal="right"/>
    </xf>
    <xf numFmtId="14" fontId="22" fillId="0" borderId="0" applyFill="0" applyBorder="0" applyProtection="0">
      <alignment horizontal="right"/>
    </xf>
    <xf numFmtId="14" fontId="22" fillId="0" borderId="0" applyFill="0" applyBorder="0" applyProtection="0">
      <alignment horizontal="right"/>
    </xf>
    <xf numFmtId="251" fontId="22" fillId="0" borderId="0" applyFill="0" applyBorder="0" applyProtection="0">
      <alignment horizontal="left"/>
    </xf>
    <xf numFmtId="252" fontId="22" fillId="0" borderId="0" applyFill="0" applyBorder="0" applyProtection="0">
      <alignment horizontal="left"/>
    </xf>
    <xf numFmtId="248" fontId="23" fillId="0" borderId="0" applyFill="0" applyBorder="0" applyProtection="0">
      <alignment horizontal="right"/>
    </xf>
    <xf numFmtId="1" fontId="23" fillId="0" borderId="0" applyFill="0" applyBorder="0" applyProtection="0">
      <alignment horizontal="left"/>
    </xf>
    <xf numFmtId="247" fontId="23" fillId="0" borderId="0" applyFill="0" applyBorder="0" applyProtection="0">
      <alignment horizontal="left"/>
    </xf>
    <xf numFmtId="37" fontId="23" fillId="0" borderId="0" applyFill="0" applyBorder="0" applyProtection="0">
      <alignment horizontal="right"/>
    </xf>
    <xf numFmtId="1" fontId="95" fillId="0" borderId="0" applyFill="0" applyBorder="0" applyProtection="0">
      <alignment horizontal="left"/>
    </xf>
    <xf numFmtId="49" fontId="22" fillId="0" borderId="0" applyFill="0" applyBorder="0" applyProtection="0">
      <alignment horizontal="left"/>
    </xf>
    <xf numFmtId="252" fontId="22" fillId="0" borderId="0" applyFill="0" applyBorder="0" applyProtection="0">
      <alignment horizontal="left"/>
    </xf>
    <xf numFmtId="0" fontId="4" fillId="0" borderId="0" applyNumberFormat="0" applyBorder="0" applyAlignment="0"/>
    <xf numFmtId="0" fontId="14" fillId="0" borderId="0"/>
    <xf numFmtId="40" fontId="96" fillId="0" borderId="0" applyBorder="0">
      <alignment horizontal="right"/>
    </xf>
    <xf numFmtId="6" fontId="70" fillId="0" borderId="36" applyFill="0">
      <alignment vertical="center"/>
    </xf>
    <xf numFmtId="0" fontId="15" fillId="0" borderId="0"/>
    <xf numFmtId="0" fontId="97" fillId="0" borderId="0"/>
    <xf numFmtId="0" fontId="2" fillId="0" borderId="0"/>
    <xf numFmtId="49" fontId="4" fillId="0" borderId="0" applyFill="0" applyBorder="0" applyAlignment="0"/>
    <xf numFmtId="0" fontId="26" fillId="0" borderId="0" applyFill="0" applyBorder="0" applyAlignment="0"/>
    <xf numFmtId="201" fontId="6" fillId="0" borderId="0" applyFill="0" applyBorder="0" applyAlignment="0"/>
    <xf numFmtId="0" fontId="16" fillId="0" borderId="0"/>
    <xf numFmtId="0" fontId="17" fillId="0" borderId="0"/>
    <xf numFmtId="0" fontId="18" fillId="0" borderId="0">
      <alignment vertical="top"/>
    </xf>
    <xf numFmtId="253" fontId="70" fillId="0" borderId="0" applyFill="0" applyBorder="0">
      <alignment vertical="center"/>
    </xf>
    <xf numFmtId="0" fontId="22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38" fontId="98" fillId="0" borderId="0" applyNumberFormat="0" applyFill="0" applyBorder="0">
      <alignment horizontal="left" vertical="center"/>
    </xf>
    <xf numFmtId="38" fontId="99" fillId="0" borderId="0" applyNumberFormat="0" applyFill="0" applyBorder="0">
      <alignment horizontal="centerContinuous" vertical="center"/>
    </xf>
    <xf numFmtId="0" fontId="19" fillId="0" borderId="0">
      <alignment vertical="top"/>
    </xf>
    <xf numFmtId="0" fontId="100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Fill="0" applyBorder="0" applyAlignment="0" applyProtection="0"/>
    <xf numFmtId="0" fontId="16" fillId="0" borderId="0">
      <alignment wrapText="1"/>
    </xf>
    <xf numFmtId="0" fontId="101" fillId="0" borderId="0">
      <alignment horizontal="left"/>
      <protection locked="0"/>
    </xf>
    <xf numFmtId="164" fontId="6" fillId="0" borderId="0" applyFont="0" applyFill="0" applyBorder="0" applyAlignment="0" applyProtection="0">
      <alignment wrapText="1"/>
    </xf>
    <xf numFmtId="5" fontId="86" fillId="0" borderId="0">
      <alignment vertical="center"/>
    </xf>
    <xf numFmtId="223" fontId="26" fillId="0" borderId="0"/>
    <xf numFmtId="254" fontId="27" fillId="0" borderId="0" applyFill="0" applyBorder="0" applyAlignment="0" applyProtection="0"/>
    <xf numFmtId="14" fontId="22" fillId="0" borderId="0" applyFont="0" applyFill="0" applyBorder="0" applyProtection="0"/>
    <xf numFmtId="255" fontId="102" fillId="0" borderId="0" applyFill="0" applyBorder="0">
      <alignment vertical="center"/>
    </xf>
    <xf numFmtId="0" fontId="70" fillId="24" borderId="37" applyNumberFormat="0" applyFont="0" applyBorder="0" applyAlignment="0" applyProtection="0">
      <alignment horizontal="right"/>
    </xf>
    <xf numFmtId="256" fontId="21" fillId="0" borderId="0" applyFont="0" applyFill="0" applyBorder="0" applyAlignment="0" applyProtection="0"/>
    <xf numFmtId="255" fontId="103" fillId="0" borderId="0">
      <alignment horizontal="center"/>
    </xf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</cellStyleXfs>
  <cellXfs count="416">
    <xf numFmtId="0" fontId="0" fillId="0" borderId="0" xfId="0"/>
    <xf numFmtId="0" fontId="111" fillId="0" borderId="0" xfId="0" applyFont="1"/>
    <xf numFmtId="0" fontId="112" fillId="0" borderId="0" xfId="0" applyFont="1"/>
    <xf numFmtId="0" fontId="113" fillId="0" borderId="0" xfId="0" applyFont="1"/>
    <xf numFmtId="165" fontId="114" fillId="0" borderId="0" xfId="0" applyNumberFormat="1" applyFont="1"/>
    <xf numFmtId="0" fontId="115" fillId="0" borderId="0" xfId="0" applyFont="1"/>
    <xf numFmtId="0" fontId="111" fillId="0" borderId="0" xfId="0" applyFont="1" applyAlignment="1">
      <alignment horizontal="left"/>
    </xf>
    <xf numFmtId="165" fontId="115" fillId="0" borderId="0" xfId="0" applyNumberFormat="1" applyFont="1"/>
    <xf numFmtId="167" fontId="111" fillId="0" borderId="0" xfId="0" applyNumberFormat="1" applyFont="1"/>
    <xf numFmtId="0" fontId="116" fillId="26" borderId="0" xfId="0" applyFont="1" applyFill="1" applyAlignment="1">
      <alignment horizontal="left"/>
    </xf>
    <xf numFmtId="0" fontId="115" fillId="26" borderId="0" xfId="0" applyFont="1" applyFill="1"/>
    <xf numFmtId="0" fontId="115" fillId="26" borderId="38" xfId="0" applyFont="1" applyFill="1" applyBorder="1" applyAlignment="1">
      <alignment horizontal="centerContinuous"/>
    </xf>
    <xf numFmtId="168" fontId="115" fillId="26" borderId="0" xfId="0" applyNumberFormat="1" applyFont="1" applyFill="1" applyAlignment="1">
      <alignment horizontal="centerContinuous"/>
    </xf>
    <xf numFmtId="168" fontId="115" fillId="26" borderId="0" xfId="0" applyNumberFormat="1" applyFont="1" applyFill="1" applyAlignment="1">
      <alignment horizontal="center"/>
    </xf>
    <xf numFmtId="0" fontId="115" fillId="0" borderId="0" xfId="0" applyFont="1" applyAlignment="1">
      <alignment horizontal="left"/>
    </xf>
    <xf numFmtId="0" fontId="115" fillId="26" borderId="3" xfId="0" applyFont="1" applyFill="1" applyBorder="1"/>
    <xf numFmtId="0" fontId="111" fillId="26" borderId="3" xfId="0" applyFont="1" applyFill="1" applyBorder="1"/>
    <xf numFmtId="0" fontId="117" fillId="27" borderId="0" xfId="0" applyFont="1" applyFill="1" applyAlignment="1">
      <alignment horizontal="left" indent="1"/>
    </xf>
    <xf numFmtId="169" fontId="118" fillId="27" borderId="0" xfId="547" applyNumberFormat="1" applyFont="1" applyFill="1"/>
    <xf numFmtId="0" fontId="117" fillId="27" borderId="0" xfId="0" applyFont="1" applyFill="1" applyAlignment="1">
      <alignment horizontal="left"/>
    </xf>
    <xf numFmtId="43" fontId="113" fillId="0" borderId="0" xfId="162" applyFont="1" applyFill="1" applyBorder="1" applyAlignment="1">
      <alignment horizontal="center"/>
    </xf>
    <xf numFmtId="37" fontId="111" fillId="0" borderId="0" xfId="0" applyNumberFormat="1" applyFont="1"/>
    <xf numFmtId="0" fontId="115" fillId="0" borderId="39" xfId="0" applyFont="1" applyBorder="1"/>
    <xf numFmtId="0" fontId="111" fillId="0" borderId="3" xfId="0" applyFont="1" applyBorder="1"/>
    <xf numFmtId="165" fontId="113" fillId="0" borderId="0" xfId="0" applyNumberFormat="1" applyFont="1"/>
    <xf numFmtId="0" fontId="117" fillId="27" borderId="0" xfId="0" applyFont="1" applyFill="1"/>
    <xf numFmtId="169" fontId="117" fillId="27" borderId="0" xfId="547" applyNumberFormat="1" applyFont="1" applyFill="1"/>
    <xf numFmtId="257" fontId="115" fillId="0" borderId="0" xfId="0" applyNumberFormat="1" applyFont="1"/>
    <xf numFmtId="257" fontId="111" fillId="0" borderId="0" xfId="0" applyNumberFormat="1" applyFont="1"/>
    <xf numFmtId="0" fontId="111" fillId="0" borderId="0" xfId="269" applyFont="1"/>
    <xf numFmtId="166" fontId="115" fillId="0" borderId="0" xfId="0" applyNumberFormat="1" applyFont="1"/>
    <xf numFmtId="165" fontId="119" fillId="0" borderId="0" xfId="0" applyNumberFormat="1" applyFont="1"/>
    <xf numFmtId="165" fontId="111" fillId="0" borderId="0" xfId="0" applyNumberFormat="1" applyFont="1"/>
    <xf numFmtId="165" fontId="120" fillId="0" borderId="0" xfId="0" applyNumberFormat="1" applyFont="1"/>
    <xf numFmtId="169" fontId="117" fillId="27" borderId="0" xfId="0" applyNumberFormat="1" applyFont="1" applyFill="1"/>
    <xf numFmtId="172" fontId="115" fillId="28" borderId="8" xfId="162" applyNumberFormat="1" applyFont="1" applyFill="1" applyBorder="1"/>
    <xf numFmtId="168" fontId="115" fillId="26" borderId="3" xfId="0" applyNumberFormat="1" applyFont="1" applyFill="1" applyBorder="1" applyAlignment="1">
      <alignment horizontal="centerContinuous"/>
    </xf>
    <xf numFmtId="0" fontId="117" fillId="0" borderId="0" xfId="0" applyFont="1"/>
    <xf numFmtId="0" fontId="111" fillId="0" borderId="0" xfId="0" applyFont="1" applyAlignment="1">
      <alignment horizontal="right"/>
    </xf>
    <xf numFmtId="258" fontId="115" fillId="0" borderId="0" xfId="0" applyNumberFormat="1" applyFont="1" applyAlignment="1">
      <alignment horizontal="right"/>
    </xf>
    <xf numFmtId="258" fontId="111" fillId="0" borderId="0" xfId="0" applyNumberFormat="1" applyFont="1" applyAlignment="1">
      <alignment horizontal="right"/>
    </xf>
    <xf numFmtId="9" fontId="117" fillId="27" borderId="0" xfId="547" applyFont="1" applyFill="1" applyAlignment="1">
      <alignment horizontal="right"/>
    </xf>
    <xf numFmtId="37" fontId="111" fillId="0" borderId="0" xfId="0" applyNumberFormat="1" applyFont="1" applyAlignment="1">
      <alignment horizontal="right"/>
    </xf>
    <xf numFmtId="165" fontId="115" fillId="0" borderId="0" xfId="0" applyNumberFormat="1" applyFont="1" applyAlignment="1">
      <alignment horizontal="right"/>
    </xf>
    <xf numFmtId="9" fontId="111" fillId="0" borderId="0" xfId="547" applyFont="1"/>
    <xf numFmtId="9" fontId="111" fillId="0" borderId="0" xfId="547" applyFont="1" applyFill="1"/>
    <xf numFmtId="0" fontId="111" fillId="0" borderId="7" xfId="0" applyFont="1" applyBorder="1"/>
    <xf numFmtId="169" fontId="117" fillId="0" borderId="0" xfId="547" applyNumberFormat="1" applyFont="1" applyFill="1"/>
    <xf numFmtId="165" fontId="115" fillId="0" borderId="39" xfId="0" applyNumberFormat="1" applyFont="1" applyBorder="1"/>
    <xf numFmtId="259" fontId="115" fillId="0" borderId="39" xfId="0" applyNumberFormat="1" applyFont="1" applyBorder="1"/>
    <xf numFmtId="0" fontId="117" fillId="0" borderId="0" xfId="0" applyFont="1" applyAlignment="1">
      <alignment horizontal="left" indent="1"/>
    </xf>
    <xf numFmtId="1" fontId="111" fillId="0" borderId="0" xfId="0" applyNumberFormat="1" applyFont="1" applyAlignment="1">
      <alignment horizontal="right"/>
    </xf>
    <xf numFmtId="0" fontId="115" fillId="0" borderId="7" xfId="0" applyFont="1" applyBorder="1"/>
    <xf numFmtId="169" fontId="117" fillId="27" borderId="0" xfId="547" applyNumberFormat="1" applyFont="1" applyFill="1" applyAlignment="1">
      <alignment horizontal="right"/>
    </xf>
    <xf numFmtId="0" fontId="115" fillId="0" borderId="0" xfId="269" applyFont="1"/>
    <xf numFmtId="2" fontId="111" fillId="0" borderId="0" xfId="0" applyNumberFormat="1" applyFont="1"/>
    <xf numFmtId="0" fontId="112" fillId="0" borderId="8" xfId="0" applyFont="1" applyBorder="1"/>
    <xf numFmtId="0" fontId="115" fillId="26" borderId="8" xfId="0" applyFont="1" applyFill="1" applyBorder="1"/>
    <xf numFmtId="0" fontId="115" fillId="0" borderId="6" xfId="0" applyFont="1" applyBorder="1"/>
    <xf numFmtId="0" fontId="115" fillId="0" borderId="40" xfId="269" applyFont="1" applyBorder="1" applyAlignment="1">
      <alignment horizontal="left" wrapText="1"/>
    </xf>
    <xf numFmtId="0" fontId="111" fillId="0" borderId="21" xfId="269" applyFont="1" applyBorder="1" applyAlignment="1">
      <alignment horizontal="left" wrapText="1"/>
    </xf>
    <xf numFmtId="170" fontId="121" fillId="0" borderId="0" xfId="162" applyNumberFormat="1" applyFont="1" applyFill="1" applyBorder="1"/>
    <xf numFmtId="165" fontId="121" fillId="0" borderId="0" xfId="0" applyNumberFormat="1" applyFont="1"/>
    <xf numFmtId="170" fontId="121" fillId="0" borderId="0" xfId="162" applyNumberFormat="1" applyFont="1" applyFill="1"/>
    <xf numFmtId="170" fontId="111" fillId="0" borderId="0" xfId="162" applyNumberFormat="1" applyFont="1" applyFill="1" applyBorder="1"/>
    <xf numFmtId="170" fontId="115" fillId="0" borderId="0" xfId="162" applyNumberFormat="1" applyFont="1" applyFill="1" applyBorder="1"/>
    <xf numFmtId="165" fontId="111" fillId="29" borderId="0" xfId="0" applyNumberFormat="1" applyFont="1" applyFill="1"/>
    <xf numFmtId="169" fontId="115" fillId="0" borderId="0" xfId="547" applyNumberFormat="1" applyFont="1" applyFill="1" applyAlignment="1">
      <alignment horizontal="right"/>
    </xf>
    <xf numFmtId="170" fontId="115" fillId="0" borderId="0" xfId="162" applyNumberFormat="1" applyFont="1" applyFill="1"/>
    <xf numFmtId="168" fontId="115" fillId="26" borderId="3" xfId="0" applyNumberFormat="1" applyFont="1" applyFill="1" applyBorder="1" applyAlignment="1">
      <alignment horizontal="center" vertical="center"/>
    </xf>
    <xf numFmtId="170" fontId="111" fillId="0" borderId="0" xfId="162" applyNumberFormat="1" applyFont="1" applyAlignment="1">
      <alignment horizontal="right"/>
    </xf>
    <xf numFmtId="170" fontId="115" fillId="0" borderId="39" xfId="162" applyNumberFormat="1" applyFont="1" applyFill="1" applyBorder="1" applyAlignment="1">
      <alignment horizontal="right"/>
    </xf>
    <xf numFmtId="170" fontId="111" fillId="0" borderId="0" xfId="162" applyNumberFormat="1" applyFont="1" applyBorder="1"/>
    <xf numFmtId="170" fontId="111" fillId="0" borderId="7" xfId="162" applyNumberFormat="1" applyFont="1" applyBorder="1"/>
    <xf numFmtId="170" fontId="115" fillId="0" borderId="7" xfId="162" applyNumberFormat="1" applyFont="1" applyBorder="1"/>
    <xf numFmtId="170" fontId="111" fillId="0" borderId="0" xfId="162" applyNumberFormat="1" applyFont="1"/>
    <xf numFmtId="260" fontId="115" fillId="0" borderId="0" xfId="0" applyNumberFormat="1" applyFont="1" applyAlignment="1">
      <alignment horizontal="right"/>
    </xf>
    <xf numFmtId="172" fontId="111" fillId="0" borderId="27" xfId="162" applyNumberFormat="1" applyFont="1" applyFill="1" applyBorder="1" applyAlignment="1">
      <alignment horizontal="left" wrapText="1"/>
    </xf>
    <xf numFmtId="169" fontId="114" fillId="0" borderId="0" xfId="547" applyNumberFormat="1" applyFont="1" applyFill="1"/>
    <xf numFmtId="0" fontId="111" fillId="0" borderId="41" xfId="0" applyFont="1" applyBorder="1"/>
    <xf numFmtId="170" fontId="111" fillId="0" borderId="41" xfId="162" applyNumberFormat="1" applyFont="1" applyBorder="1"/>
    <xf numFmtId="170" fontId="114" fillId="0" borderId="0" xfId="0" applyNumberFormat="1" applyFont="1"/>
    <xf numFmtId="0" fontId="122" fillId="0" borderId="0" xfId="0" applyFont="1"/>
    <xf numFmtId="172" fontId="111" fillId="27" borderId="0" xfId="162" applyNumberFormat="1" applyFont="1" applyFill="1" applyBorder="1" applyAlignment="1">
      <alignment horizontal="center" wrapText="1"/>
    </xf>
    <xf numFmtId="170" fontId="111" fillId="27" borderId="0" xfId="162" applyNumberFormat="1" applyFont="1" applyFill="1" applyBorder="1" applyAlignment="1">
      <alignment horizontal="center" wrapText="1"/>
    </xf>
    <xf numFmtId="165" fontId="123" fillId="0" borderId="0" xfId="0" applyNumberFormat="1" applyFont="1"/>
    <xf numFmtId="165" fontId="124" fillId="0" borderId="0" xfId="0" applyNumberFormat="1" applyFont="1"/>
    <xf numFmtId="0" fontId="121" fillId="0" borderId="0" xfId="0" applyFont="1"/>
    <xf numFmtId="169" fontId="125" fillId="27" borderId="0" xfId="547" applyNumberFormat="1" applyFont="1" applyFill="1" applyBorder="1"/>
    <xf numFmtId="170" fontId="115" fillId="0" borderId="8" xfId="162" applyNumberFormat="1" applyFont="1" applyFill="1" applyBorder="1"/>
    <xf numFmtId="0" fontId="115" fillId="26" borderId="38" xfId="0" applyFont="1" applyFill="1" applyBorder="1" applyAlignment="1">
      <alignment horizontal="center"/>
    </xf>
    <xf numFmtId="165" fontId="121" fillId="29" borderId="0" xfId="0" applyNumberFormat="1" applyFont="1" applyFill="1"/>
    <xf numFmtId="168" fontId="115" fillId="26" borderId="3" xfId="0" applyNumberFormat="1" applyFont="1" applyFill="1" applyBorder="1" applyAlignment="1">
      <alignment horizontal="center"/>
    </xf>
    <xf numFmtId="169" fontId="125" fillId="27" borderId="0" xfId="547" applyNumberFormat="1" applyFont="1" applyFill="1"/>
    <xf numFmtId="0" fontId="115" fillId="27" borderId="42" xfId="269" applyFont="1" applyFill="1" applyBorder="1" applyAlignment="1">
      <alignment horizontal="right" wrapText="1"/>
    </xf>
    <xf numFmtId="172" fontId="111" fillId="27" borderId="13" xfId="162" applyNumberFormat="1" applyFont="1" applyFill="1" applyBorder="1" applyAlignment="1">
      <alignment horizontal="center" wrapText="1"/>
    </xf>
    <xf numFmtId="0" fontId="111" fillId="27" borderId="14" xfId="269" applyFont="1" applyFill="1" applyBorder="1" applyAlignment="1">
      <alignment horizontal="right" wrapText="1"/>
    </xf>
    <xf numFmtId="170" fontId="111" fillId="27" borderId="13" xfId="162" applyNumberFormat="1" applyFont="1" applyFill="1" applyBorder="1" applyAlignment="1">
      <alignment horizontal="center" wrapText="1"/>
    </xf>
    <xf numFmtId="170" fontId="115" fillId="28" borderId="43" xfId="162" applyNumberFormat="1" applyFont="1" applyFill="1" applyBorder="1"/>
    <xf numFmtId="258" fontId="115" fillId="28" borderId="42" xfId="270" applyNumberFormat="1" applyFont="1" applyFill="1" applyBorder="1"/>
    <xf numFmtId="170" fontId="111" fillId="28" borderId="13" xfId="162" applyNumberFormat="1" applyFont="1" applyFill="1" applyBorder="1"/>
    <xf numFmtId="258" fontId="111" fillId="28" borderId="14" xfId="270" applyNumberFormat="1" applyFont="1" applyFill="1" applyBorder="1"/>
    <xf numFmtId="170" fontId="115" fillId="28" borderId="13" xfId="162" applyNumberFormat="1" applyFont="1" applyFill="1" applyBorder="1"/>
    <xf numFmtId="0" fontId="111" fillId="0" borderId="14" xfId="269" applyFont="1" applyBorder="1"/>
    <xf numFmtId="165" fontId="111" fillId="0" borderId="15" xfId="0" applyNumberFormat="1" applyFont="1" applyBorder="1"/>
    <xf numFmtId="165" fontId="111" fillId="0" borderId="3" xfId="0" applyNumberFormat="1" applyFont="1" applyBorder="1"/>
    <xf numFmtId="0" fontId="111" fillId="0" borderId="16" xfId="269" applyFont="1" applyBorder="1"/>
    <xf numFmtId="0" fontId="115" fillId="27" borderId="11" xfId="269" applyFont="1" applyFill="1" applyBorder="1" applyAlignment="1">
      <alignment horizontal="left" wrapText="1"/>
    </xf>
    <xf numFmtId="0" fontId="115" fillId="27" borderId="32" xfId="269" applyFont="1" applyFill="1" applyBorder="1" applyAlignment="1">
      <alignment horizontal="left" wrapText="1"/>
    </xf>
    <xf numFmtId="0" fontId="111" fillId="27" borderId="32" xfId="269" applyFont="1" applyFill="1" applyBorder="1" applyAlignment="1">
      <alignment horizontal="left" wrapText="1"/>
    </xf>
    <xf numFmtId="0" fontId="115" fillId="28" borderId="11" xfId="270" applyFont="1" applyFill="1" applyBorder="1"/>
    <xf numFmtId="0" fontId="111" fillId="28" borderId="32" xfId="270" applyFont="1" applyFill="1" applyBorder="1"/>
    <xf numFmtId="0" fontId="115" fillId="28" borderId="32" xfId="270" applyFont="1" applyFill="1" applyBorder="1"/>
    <xf numFmtId="0" fontId="111" fillId="28" borderId="44" xfId="270" applyFont="1" applyFill="1" applyBorder="1"/>
    <xf numFmtId="0" fontId="126" fillId="0" borderId="0" xfId="269" applyFont="1"/>
    <xf numFmtId="170" fontId="126" fillId="0" borderId="0" xfId="269" applyNumberFormat="1" applyFont="1"/>
    <xf numFmtId="0" fontId="117" fillId="0" borderId="0" xfId="269" applyFont="1"/>
    <xf numFmtId="172" fontId="111" fillId="0" borderId="45" xfId="162" applyNumberFormat="1" applyFont="1" applyFill="1" applyBorder="1" applyAlignment="1">
      <alignment horizontal="left" wrapText="1"/>
    </xf>
    <xf numFmtId="165" fontId="111" fillId="0" borderId="0" xfId="0" applyNumberFormat="1" applyFont="1" applyAlignment="1">
      <alignment horizontal="right"/>
    </xf>
    <xf numFmtId="170" fontId="111" fillId="0" borderId="0" xfId="162" applyNumberFormat="1" applyFont="1" applyFill="1" applyBorder="1" applyAlignment="1">
      <alignment horizontal="center" wrapText="1"/>
    </xf>
    <xf numFmtId="0" fontId="111" fillId="30" borderId="3" xfId="0" applyFont="1" applyFill="1" applyBorder="1"/>
    <xf numFmtId="168" fontId="115" fillId="30" borderId="3" xfId="0" applyNumberFormat="1" applyFont="1" applyFill="1" applyBorder="1" applyAlignment="1">
      <alignment horizontal="centerContinuous"/>
    </xf>
    <xf numFmtId="168" fontId="115" fillId="30" borderId="3" xfId="0" applyNumberFormat="1" applyFont="1" applyFill="1" applyBorder="1" applyAlignment="1">
      <alignment horizontal="center" vertical="center"/>
    </xf>
    <xf numFmtId="170" fontId="121" fillId="0" borderId="0" xfId="0" applyNumberFormat="1" applyFont="1"/>
    <xf numFmtId="0" fontId="115" fillId="27" borderId="14" xfId="269" applyFont="1" applyFill="1" applyBorder="1" applyAlignment="1">
      <alignment horizontal="right" wrapText="1"/>
    </xf>
    <xf numFmtId="170" fontId="115" fillId="27" borderId="13" xfId="162" applyNumberFormat="1" applyFont="1" applyFill="1" applyBorder="1" applyAlignment="1">
      <alignment horizontal="center" wrapText="1"/>
    </xf>
    <xf numFmtId="170" fontId="115" fillId="27" borderId="0" xfId="162" applyNumberFormat="1" applyFont="1" applyFill="1" applyBorder="1" applyAlignment="1">
      <alignment horizontal="center" wrapText="1"/>
    </xf>
    <xf numFmtId="165" fontId="121" fillId="27" borderId="0" xfId="0" applyNumberFormat="1" applyFont="1" applyFill="1"/>
    <xf numFmtId="170" fontId="115" fillId="27" borderId="8" xfId="162" applyNumberFormat="1" applyFont="1" applyFill="1" applyBorder="1" applyAlignment="1">
      <alignment horizontal="center" wrapText="1"/>
    </xf>
    <xf numFmtId="170" fontId="115" fillId="27" borderId="43" xfId="162" applyNumberFormat="1" applyFont="1" applyFill="1" applyBorder="1" applyAlignment="1">
      <alignment horizontal="center" wrapText="1"/>
    </xf>
    <xf numFmtId="0" fontId="115" fillId="0" borderId="40" xfId="269" applyFont="1" applyBorder="1"/>
    <xf numFmtId="0" fontId="115" fillId="0" borderId="46" xfId="269" applyFont="1" applyBorder="1"/>
    <xf numFmtId="0" fontId="115" fillId="0" borderId="47" xfId="269" applyFont="1" applyBorder="1"/>
    <xf numFmtId="0" fontId="111" fillId="0" borderId="21" xfId="269" applyFont="1" applyBorder="1" applyAlignment="1">
      <alignment horizontal="left"/>
    </xf>
    <xf numFmtId="0" fontId="115" fillId="0" borderId="48" xfId="269" applyFont="1" applyBorder="1" applyAlignment="1">
      <alignment horizontal="left"/>
    </xf>
    <xf numFmtId="224" fontId="111" fillId="0" borderId="0" xfId="269" applyNumberFormat="1" applyFont="1"/>
    <xf numFmtId="4" fontId="115" fillId="0" borderId="0" xfId="0" applyNumberFormat="1" applyFont="1"/>
    <xf numFmtId="261" fontId="115" fillId="0" borderId="0" xfId="0" applyNumberFormat="1" applyFont="1"/>
    <xf numFmtId="169" fontId="111" fillId="0" borderId="0" xfId="547" applyNumberFormat="1" applyFont="1" applyFill="1"/>
    <xf numFmtId="169" fontId="115" fillId="0" borderId="0" xfId="547" applyNumberFormat="1" applyFont="1" applyFill="1"/>
    <xf numFmtId="170" fontId="127" fillId="28" borderId="43" xfId="162" applyNumberFormat="1" applyFont="1" applyFill="1" applyBorder="1"/>
    <xf numFmtId="170" fontId="111" fillId="0" borderId="0" xfId="269" applyNumberFormat="1" applyFont="1"/>
    <xf numFmtId="258" fontId="119" fillId="0" borderId="0" xfId="0" applyNumberFormat="1" applyFont="1" applyAlignment="1">
      <alignment horizontal="right"/>
    </xf>
    <xf numFmtId="258" fontId="128" fillId="0" borderId="0" xfId="0" applyNumberFormat="1" applyFont="1" applyAlignment="1">
      <alignment horizontal="right"/>
    </xf>
    <xf numFmtId="2" fontId="119" fillId="0" borderId="0" xfId="0" applyNumberFormat="1" applyFont="1"/>
    <xf numFmtId="1" fontId="119" fillId="0" borderId="0" xfId="0" applyNumberFormat="1" applyFont="1" applyAlignment="1">
      <alignment horizontal="right"/>
    </xf>
    <xf numFmtId="0" fontId="123" fillId="26" borderId="0" xfId="0" applyFont="1" applyFill="1"/>
    <xf numFmtId="170" fontId="121" fillId="0" borderId="45" xfId="269" applyNumberFormat="1" applyFont="1" applyBorder="1"/>
    <xf numFmtId="172" fontId="115" fillId="0" borderId="48" xfId="162" applyNumberFormat="1" applyFont="1" applyFill="1" applyBorder="1" applyAlignment="1">
      <alignment horizontal="left" wrapText="1"/>
    </xf>
    <xf numFmtId="172" fontId="115" fillId="0" borderId="20" xfId="162" applyNumberFormat="1" applyFont="1" applyFill="1" applyBorder="1" applyAlignment="1">
      <alignment horizontal="left" wrapText="1"/>
    </xf>
    <xf numFmtId="172" fontId="115" fillId="0" borderId="49" xfId="162" applyNumberFormat="1" applyFont="1" applyFill="1" applyBorder="1" applyAlignment="1">
      <alignment horizontal="left" wrapText="1"/>
    </xf>
    <xf numFmtId="172" fontId="115" fillId="0" borderId="50" xfId="162" applyNumberFormat="1" applyFont="1" applyFill="1" applyBorder="1" applyAlignment="1">
      <alignment horizontal="left" wrapText="1"/>
    </xf>
    <xf numFmtId="0" fontId="115" fillId="0" borderId="51" xfId="269" applyFont="1" applyBorder="1"/>
    <xf numFmtId="170" fontId="111" fillId="28" borderId="0" xfId="162" applyNumberFormat="1" applyFont="1" applyFill="1" applyBorder="1" applyAlignment="1">
      <alignment horizontal="center" wrapText="1"/>
    </xf>
    <xf numFmtId="170" fontId="115" fillId="28" borderId="8" xfId="162" applyNumberFormat="1" applyFont="1" applyFill="1" applyBorder="1"/>
    <xf numFmtId="170" fontId="121" fillId="28" borderId="0" xfId="162" applyNumberFormat="1" applyFont="1" applyFill="1" applyBorder="1"/>
    <xf numFmtId="170" fontId="124" fillId="28" borderId="0" xfId="162" applyNumberFormat="1" applyFont="1" applyFill="1" applyBorder="1"/>
    <xf numFmtId="0" fontId="111" fillId="28" borderId="52" xfId="270" applyFont="1" applyFill="1" applyBorder="1"/>
    <xf numFmtId="0" fontId="119" fillId="0" borderId="0" xfId="0" applyFont="1"/>
    <xf numFmtId="261" fontId="119" fillId="0" borderId="0" xfId="0" applyNumberFormat="1" applyFont="1"/>
    <xf numFmtId="168" fontId="115" fillId="26" borderId="3" xfId="0" applyNumberFormat="1" applyFont="1" applyFill="1" applyBorder="1" applyAlignment="1">
      <alignment horizontal="left" vertical="center"/>
    </xf>
    <xf numFmtId="169" fontId="111" fillId="0" borderId="0" xfId="547" applyNumberFormat="1" applyFont="1"/>
    <xf numFmtId="0" fontId="119" fillId="0" borderId="0" xfId="269" applyFont="1"/>
    <xf numFmtId="170" fontId="111" fillId="0" borderId="45" xfId="162" applyNumberFormat="1" applyFont="1" applyFill="1" applyBorder="1" applyAlignment="1">
      <alignment horizontal="left" wrapText="1"/>
    </xf>
    <xf numFmtId="170" fontId="111" fillId="0" borderId="27" xfId="162" applyNumberFormat="1" applyFont="1" applyFill="1" applyBorder="1" applyAlignment="1">
      <alignment horizontal="left" wrapText="1"/>
    </xf>
    <xf numFmtId="170" fontId="121" fillId="0" borderId="45" xfId="162" applyNumberFormat="1" applyFont="1" applyFill="1" applyBorder="1" applyAlignment="1">
      <alignment horizontal="left" wrapText="1"/>
    </xf>
    <xf numFmtId="170" fontId="111" fillId="0" borderId="27" xfId="269" applyNumberFormat="1" applyFont="1" applyBorder="1"/>
    <xf numFmtId="170" fontId="111" fillId="28" borderId="0" xfId="162" applyNumberFormat="1" applyFont="1" applyFill="1" applyBorder="1"/>
    <xf numFmtId="258" fontId="111" fillId="0" borderId="0" xfId="0" applyNumberFormat="1" applyFont="1"/>
    <xf numFmtId="0" fontId="123" fillId="0" borderId="0" xfId="0" applyFont="1"/>
    <xf numFmtId="3" fontId="111" fillId="0" borderId="0" xfId="269" applyNumberFormat="1" applyFont="1"/>
    <xf numFmtId="170" fontId="115" fillId="0" borderId="0" xfId="162" applyNumberFormat="1" applyFont="1" applyFill="1" applyBorder="1" applyAlignment="1">
      <alignment horizontal="center" wrapText="1"/>
    </xf>
    <xf numFmtId="170" fontId="115" fillId="0" borderId="8" xfId="162" applyNumberFormat="1" applyFont="1" applyFill="1" applyBorder="1" applyAlignment="1">
      <alignment horizontal="center" wrapText="1"/>
    </xf>
    <xf numFmtId="170" fontId="115" fillId="0" borderId="48" xfId="162" applyNumberFormat="1" applyFont="1" applyFill="1" applyBorder="1" applyAlignment="1">
      <alignment horizontal="left" wrapText="1"/>
    </xf>
    <xf numFmtId="170" fontId="115" fillId="0" borderId="49" xfId="162" applyNumberFormat="1" applyFont="1" applyFill="1" applyBorder="1" applyAlignment="1">
      <alignment horizontal="left" wrapText="1"/>
    </xf>
    <xf numFmtId="170" fontId="115" fillId="0" borderId="50" xfId="162" applyNumberFormat="1" applyFont="1" applyFill="1" applyBorder="1" applyAlignment="1">
      <alignment horizontal="left" wrapText="1"/>
    </xf>
    <xf numFmtId="172" fontId="126" fillId="0" borderId="0" xfId="269" applyNumberFormat="1" applyFont="1"/>
    <xf numFmtId="39" fontId="115" fillId="27" borderId="14" xfId="269" applyNumberFormat="1" applyFont="1" applyFill="1" applyBorder="1" applyAlignment="1">
      <alignment horizontal="right" wrapText="1"/>
    </xf>
    <xf numFmtId="39" fontId="115" fillId="27" borderId="42" xfId="269" applyNumberFormat="1" applyFont="1" applyFill="1" applyBorder="1" applyAlignment="1">
      <alignment horizontal="right" wrapText="1"/>
    </xf>
    <xf numFmtId="169" fontId="115" fillId="0" borderId="7" xfId="547" applyNumberFormat="1" applyFont="1" applyFill="1" applyBorder="1" applyAlignment="1">
      <alignment horizontal="right"/>
    </xf>
    <xf numFmtId="172" fontId="115" fillId="27" borderId="13" xfId="162" applyNumberFormat="1" applyFont="1" applyFill="1" applyBorder="1" applyAlignment="1">
      <alignment horizontal="center" wrapText="1"/>
    </xf>
    <xf numFmtId="172" fontId="115" fillId="27" borderId="0" xfId="162" applyNumberFormat="1" applyFont="1" applyFill="1" applyBorder="1" applyAlignment="1">
      <alignment horizontal="center" wrapText="1"/>
    </xf>
    <xf numFmtId="0" fontId="115" fillId="0" borderId="32" xfId="269" applyFont="1" applyBorder="1" applyAlignment="1">
      <alignment horizontal="left" wrapText="1"/>
    </xf>
    <xf numFmtId="172" fontId="115" fillId="0" borderId="13" xfId="162" applyNumberFormat="1" applyFont="1" applyFill="1" applyBorder="1" applyAlignment="1">
      <alignment horizontal="center" wrapText="1"/>
    </xf>
    <xf numFmtId="172" fontId="115" fillId="0" borderId="0" xfId="162" applyNumberFormat="1" applyFont="1" applyFill="1" applyBorder="1" applyAlignment="1">
      <alignment horizontal="center" wrapText="1"/>
    </xf>
    <xf numFmtId="0" fontId="111" fillId="0" borderId="14" xfId="269" applyFont="1" applyBorder="1" applyAlignment="1">
      <alignment horizontal="right" wrapText="1"/>
    </xf>
    <xf numFmtId="170" fontId="115" fillId="0" borderId="13" xfId="162" applyNumberFormat="1" applyFont="1" applyFill="1" applyBorder="1" applyAlignment="1">
      <alignment horizontal="center" wrapText="1"/>
    </xf>
    <xf numFmtId="0" fontId="115" fillId="0" borderId="14" xfId="269" applyFont="1" applyBorder="1" applyAlignment="1">
      <alignment horizontal="right" wrapText="1"/>
    </xf>
    <xf numFmtId="0" fontId="111" fillId="0" borderId="32" xfId="269" applyFont="1" applyBorder="1" applyAlignment="1">
      <alignment horizontal="left" wrapText="1"/>
    </xf>
    <xf numFmtId="39" fontId="115" fillId="0" borderId="14" xfId="269" applyNumberFormat="1" applyFont="1" applyBorder="1" applyAlignment="1">
      <alignment horizontal="right" wrapText="1"/>
    </xf>
    <xf numFmtId="0" fontId="115" fillId="0" borderId="11" xfId="269" applyFont="1" applyBorder="1" applyAlignment="1">
      <alignment horizontal="left" wrapText="1"/>
    </xf>
    <xf numFmtId="39" fontId="115" fillId="0" borderId="42" xfId="269" applyNumberFormat="1" applyFont="1" applyBorder="1" applyAlignment="1">
      <alignment horizontal="right" wrapText="1"/>
    </xf>
    <xf numFmtId="0" fontId="115" fillId="0" borderId="11" xfId="270" applyFont="1" applyBorder="1"/>
    <xf numFmtId="170" fontId="115" fillId="0" borderId="43" xfId="162" applyNumberFormat="1" applyFont="1" applyFill="1" applyBorder="1"/>
    <xf numFmtId="258" fontId="115" fillId="0" borderId="42" xfId="270" applyNumberFormat="1" applyFont="1" applyBorder="1"/>
    <xf numFmtId="0" fontId="111" fillId="0" borderId="32" xfId="270" applyFont="1" applyBorder="1"/>
    <xf numFmtId="170" fontId="111" fillId="0" borderId="13" xfId="162" applyNumberFormat="1" applyFont="1" applyFill="1" applyBorder="1"/>
    <xf numFmtId="258" fontId="111" fillId="0" borderId="14" xfId="270" applyNumberFormat="1" applyFont="1" applyBorder="1"/>
    <xf numFmtId="0" fontId="111" fillId="0" borderId="44" xfId="270" applyFont="1" applyBorder="1"/>
    <xf numFmtId="262" fontId="111" fillId="0" borderId="0" xfId="269" applyNumberFormat="1" applyFont="1"/>
    <xf numFmtId="260" fontId="111" fillId="0" borderId="0" xfId="0" applyNumberFormat="1" applyFont="1"/>
    <xf numFmtId="0" fontId="115" fillId="0" borderId="0" xfId="269" applyFont="1" applyAlignment="1">
      <alignment horizontal="left"/>
    </xf>
    <xf numFmtId="170" fontId="115" fillId="0" borderId="0" xfId="162" applyNumberFormat="1" applyFont="1" applyFill="1" applyBorder="1" applyAlignment="1">
      <alignment horizontal="left" wrapText="1"/>
    </xf>
    <xf numFmtId="170" fontId="111" fillId="0" borderId="27" xfId="162" applyNumberFormat="1" applyFont="1" applyFill="1" applyBorder="1" applyAlignment="1">
      <alignment horizontal="center" wrapText="1"/>
    </xf>
    <xf numFmtId="170" fontId="111" fillId="0" borderId="11" xfId="162" applyNumberFormat="1" applyFont="1" applyFill="1" applyBorder="1"/>
    <xf numFmtId="170" fontId="115" fillId="0" borderId="11" xfId="162" applyNumberFormat="1" applyFont="1" applyFill="1" applyBorder="1"/>
    <xf numFmtId="165" fontId="111" fillId="0" borderId="11" xfId="0" applyNumberFormat="1" applyFont="1" applyBorder="1"/>
    <xf numFmtId="168" fontId="115" fillId="0" borderId="0" xfId="0" applyNumberFormat="1" applyFont="1" applyAlignment="1">
      <alignment horizontal="center"/>
    </xf>
    <xf numFmtId="169" fontId="125" fillId="0" borderId="0" xfId="547" applyNumberFormat="1" applyFont="1" applyFill="1"/>
    <xf numFmtId="168" fontId="115" fillId="0" borderId="3" xfId="0" applyNumberFormat="1" applyFont="1" applyBorder="1" applyAlignment="1">
      <alignment horizontal="centerContinuous"/>
    </xf>
    <xf numFmtId="169" fontId="118" fillId="0" borderId="0" xfId="547" applyNumberFormat="1" applyFont="1" applyFill="1"/>
    <xf numFmtId="169" fontId="117" fillId="0" borderId="0" xfId="0" applyNumberFormat="1" applyFont="1"/>
    <xf numFmtId="168" fontId="115" fillId="0" borderId="3" xfId="0" applyNumberFormat="1" applyFont="1" applyBorder="1" applyAlignment="1">
      <alignment horizontal="center" vertical="center"/>
    </xf>
    <xf numFmtId="169" fontId="117" fillId="0" borderId="0" xfId="547" applyNumberFormat="1" applyFont="1" applyFill="1" applyAlignment="1">
      <alignment horizontal="right"/>
    </xf>
    <xf numFmtId="9" fontId="117" fillId="0" borderId="0" xfId="547" applyFont="1" applyFill="1" applyAlignment="1">
      <alignment horizontal="right"/>
    </xf>
    <xf numFmtId="170" fontId="111" fillId="0" borderId="0" xfId="162" applyNumberFormat="1" applyFont="1" applyFill="1" applyAlignment="1">
      <alignment horizontal="right"/>
    </xf>
    <xf numFmtId="170" fontId="115" fillId="0" borderId="7" xfId="162" applyNumberFormat="1" applyFont="1" applyFill="1" applyBorder="1"/>
    <xf numFmtId="170" fontId="111" fillId="0" borderId="41" xfId="162" applyNumberFormat="1" applyFont="1" applyFill="1" applyBorder="1"/>
    <xf numFmtId="170" fontId="111" fillId="0" borderId="0" xfId="162" applyNumberFormat="1" applyFont="1" applyFill="1"/>
    <xf numFmtId="170" fontId="111" fillId="0" borderId="7" xfId="162" applyNumberFormat="1" applyFont="1" applyFill="1" applyBorder="1"/>
    <xf numFmtId="39" fontId="115" fillId="0" borderId="0" xfId="0" applyNumberFormat="1" applyFont="1" applyAlignment="1">
      <alignment horizontal="right"/>
    </xf>
    <xf numFmtId="0" fontId="111" fillId="26" borderId="3" xfId="0" applyFont="1" applyFill="1" applyBorder="1" applyAlignment="1">
      <alignment horizontal="center"/>
    </xf>
    <xf numFmtId="43" fontId="113" fillId="0" borderId="0" xfId="174" applyFont="1" applyFill="1" applyBorder="1" applyAlignment="1">
      <alignment horizontal="center"/>
    </xf>
    <xf numFmtId="169" fontId="117" fillId="27" borderId="0" xfId="554" applyNumberFormat="1" applyFont="1" applyFill="1"/>
    <xf numFmtId="169" fontId="118" fillId="27" borderId="0" xfId="554" applyNumberFormat="1" applyFont="1" applyFill="1"/>
    <xf numFmtId="169" fontId="117" fillId="0" borderId="0" xfId="554" applyNumberFormat="1" applyFont="1" applyFill="1"/>
    <xf numFmtId="9" fontId="111" fillId="0" borderId="0" xfId="554" applyFont="1"/>
    <xf numFmtId="9" fontId="111" fillId="0" borderId="0" xfId="554" applyFont="1" applyFill="1"/>
    <xf numFmtId="169" fontId="114" fillId="0" borderId="0" xfId="554" applyNumberFormat="1" applyFont="1" applyFill="1"/>
    <xf numFmtId="170" fontId="121" fillId="0" borderId="0" xfId="174" applyNumberFormat="1" applyFont="1" applyFill="1" applyBorder="1"/>
    <xf numFmtId="170" fontId="114" fillId="0" borderId="0" xfId="174" applyNumberFormat="1" applyFont="1" applyFill="1"/>
    <xf numFmtId="170" fontId="115" fillId="0" borderId="0" xfId="174" applyNumberFormat="1" applyFont="1" applyFill="1" applyBorder="1"/>
    <xf numFmtId="169" fontId="115" fillId="0" borderId="0" xfId="554" applyNumberFormat="1" applyFont="1" applyFill="1" applyAlignment="1">
      <alignment horizontal="right"/>
    </xf>
    <xf numFmtId="169" fontId="117" fillId="27" borderId="0" xfId="554" applyNumberFormat="1" applyFont="1" applyFill="1" applyAlignment="1">
      <alignment horizontal="right"/>
    </xf>
    <xf numFmtId="9" fontId="117" fillId="27" borderId="0" xfId="554" applyFont="1" applyFill="1" applyAlignment="1">
      <alignment horizontal="right"/>
    </xf>
    <xf numFmtId="170" fontId="115" fillId="0" borderId="0" xfId="174" applyNumberFormat="1" applyFont="1" applyFill="1"/>
    <xf numFmtId="170" fontId="111" fillId="0" borderId="0" xfId="174" applyNumberFormat="1" applyFont="1"/>
    <xf numFmtId="170" fontId="115" fillId="0" borderId="39" xfId="174" applyNumberFormat="1" applyFont="1" applyFill="1" applyBorder="1" applyAlignment="1">
      <alignment horizontal="right"/>
    </xf>
    <xf numFmtId="170" fontId="111" fillId="0" borderId="0" xfId="174" applyNumberFormat="1" applyFont="1" applyBorder="1"/>
    <xf numFmtId="170" fontId="115" fillId="0" borderId="7" xfId="174" applyNumberFormat="1" applyFont="1" applyBorder="1"/>
    <xf numFmtId="170" fontId="111" fillId="0" borderId="41" xfId="174" applyNumberFormat="1" applyFont="1" applyBorder="1"/>
    <xf numFmtId="170" fontId="111" fillId="0" borderId="7" xfId="174" applyNumberFormat="1" applyFont="1" applyBorder="1"/>
    <xf numFmtId="169" fontId="111" fillId="0" borderId="0" xfId="554" applyNumberFormat="1" applyFont="1"/>
    <xf numFmtId="169" fontId="115" fillId="0" borderId="0" xfId="554" applyNumberFormat="1" applyFont="1" applyFill="1"/>
    <xf numFmtId="169" fontId="111" fillId="0" borderId="0" xfId="554" applyNumberFormat="1" applyFont="1" applyFill="1"/>
    <xf numFmtId="165" fontId="121" fillId="0" borderId="43" xfId="0" applyNumberFormat="1" applyFont="1" applyBorder="1"/>
    <xf numFmtId="0" fontId="115" fillId="0" borderId="45" xfId="269" applyFont="1" applyBorder="1"/>
    <xf numFmtId="0" fontId="115" fillId="0" borderId="27" xfId="269" applyFont="1" applyBorder="1"/>
    <xf numFmtId="170" fontId="115" fillId="0" borderId="53" xfId="162" applyNumberFormat="1" applyFont="1" applyFill="1" applyBorder="1" applyAlignment="1">
      <alignment horizontal="left" wrapText="1"/>
    </xf>
    <xf numFmtId="0" fontId="111" fillId="0" borderId="45" xfId="269" applyFont="1" applyBorder="1" applyAlignment="1">
      <alignment horizontal="left"/>
    </xf>
    <xf numFmtId="0" fontId="111" fillId="0" borderId="53" xfId="269" applyFont="1" applyBorder="1" applyAlignment="1">
      <alignment horizontal="left"/>
    </xf>
    <xf numFmtId="165" fontId="121" fillId="0" borderId="54" xfId="0" applyNumberFormat="1" applyFont="1" applyBorder="1"/>
    <xf numFmtId="165" fontId="121" fillId="0" borderId="45" xfId="0" applyNumberFormat="1" applyFont="1" applyBorder="1"/>
    <xf numFmtId="165" fontId="121" fillId="0" borderId="53" xfId="0" applyNumberFormat="1" applyFont="1" applyBorder="1"/>
    <xf numFmtId="170" fontId="115" fillId="0" borderId="24" xfId="162" applyNumberFormat="1" applyFont="1" applyFill="1" applyBorder="1" applyAlignment="1">
      <alignment horizontal="left" wrapText="1"/>
    </xf>
    <xf numFmtId="0" fontId="129" fillId="0" borderId="0" xfId="269" applyFont="1" applyAlignment="1">
      <alignment horizontal="left"/>
    </xf>
    <xf numFmtId="170" fontId="128" fillId="0" borderId="24" xfId="162" applyNumberFormat="1" applyFont="1" applyFill="1" applyBorder="1" applyAlignment="1">
      <alignment horizontal="left" wrapText="1"/>
    </xf>
    <xf numFmtId="170" fontId="111" fillId="0" borderId="0" xfId="174" applyNumberFormat="1" applyFont="1" applyAlignment="1">
      <alignment horizontal="right"/>
    </xf>
    <xf numFmtId="43" fontId="111" fillId="0" borderId="0" xfId="269" applyNumberFormat="1" applyFont="1"/>
    <xf numFmtId="0" fontId="111" fillId="0" borderId="21" xfId="269" applyFont="1" applyBorder="1"/>
    <xf numFmtId="0" fontId="111" fillId="0" borderId="24" xfId="269" applyFont="1" applyBorder="1"/>
    <xf numFmtId="0" fontId="111" fillId="0" borderId="55" xfId="269" applyFont="1" applyBorder="1"/>
    <xf numFmtId="165" fontId="111" fillId="0" borderId="54" xfId="269" applyNumberFormat="1" applyFont="1" applyBorder="1"/>
    <xf numFmtId="170" fontId="119" fillId="0" borderId="24" xfId="269" applyNumberFormat="1" applyFont="1" applyBorder="1"/>
    <xf numFmtId="259" fontId="111" fillId="0" borderId="27" xfId="269" applyNumberFormat="1" applyFont="1" applyBorder="1"/>
    <xf numFmtId="259" fontId="111" fillId="0" borderId="54" xfId="269" applyNumberFormat="1" applyFont="1" applyBorder="1"/>
    <xf numFmtId="259" fontId="111" fillId="0" borderId="27" xfId="162" applyNumberFormat="1" applyFont="1" applyFill="1" applyBorder="1" applyAlignment="1">
      <alignment horizontal="right" wrapText="1"/>
    </xf>
    <xf numFmtId="170" fontId="115" fillId="0" borderId="0" xfId="162" applyNumberFormat="1" applyFont="1" applyFill="1" applyBorder="1" applyAlignment="1">
      <alignment horizontal="right"/>
    </xf>
    <xf numFmtId="169" fontId="115" fillId="0" borderId="0" xfId="547" applyNumberFormat="1" applyFont="1" applyFill="1" applyBorder="1" applyAlignment="1">
      <alignment horizontal="right"/>
    </xf>
    <xf numFmtId="0" fontId="115" fillId="0" borderId="0" xfId="0" applyFont="1" applyAlignment="1">
      <alignment horizontal="centerContinuous"/>
    </xf>
    <xf numFmtId="168" fontId="115" fillId="0" borderId="0" xfId="0" applyNumberFormat="1" applyFont="1" applyAlignment="1">
      <alignment horizontal="centerContinuous"/>
    </xf>
    <xf numFmtId="1" fontId="111" fillId="0" borderId="0" xfId="0" applyNumberFormat="1" applyFont="1"/>
    <xf numFmtId="259" fontId="115" fillId="0" borderId="0" xfId="0" applyNumberFormat="1" applyFont="1"/>
    <xf numFmtId="39" fontId="115" fillId="0" borderId="0" xfId="0" applyNumberFormat="1" applyFont="1"/>
    <xf numFmtId="168" fontId="115" fillId="0" borderId="0" xfId="0" applyNumberFormat="1" applyFont="1" applyAlignment="1">
      <alignment horizontal="center" vertical="center"/>
    </xf>
    <xf numFmtId="0" fontId="115" fillId="0" borderId="0" xfId="0" applyFont="1" applyAlignment="1">
      <alignment horizontal="center"/>
    </xf>
    <xf numFmtId="3" fontId="0" fillId="0" borderId="0" xfId="0" applyNumberFormat="1"/>
    <xf numFmtId="0" fontId="111" fillId="26" borderId="0" xfId="0" applyFont="1" applyFill="1"/>
    <xf numFmtId="170" fontId="126" fillId="0" borderId="24" xfId="162" applyNumberFormat="1" applyFont="1" applyFill="1" applyBorder="1" applyAlignment="1">
      <alignment horizontal="left" wrapText="1"/>
    </xf>
    <xf numFmtId="4" fontId="111" fillId="0" borderId="0" xfId="269" applyNumberFormat="1" applyFont="1"/>
    <xf numFmtId="165" fontId="114" fillId="0" borderId="0" xfId="0" applyNumberFormat="1" applyFont="1" applyAlignment="1">
      <alignment wrapText="1"/>
    </xf>
    <xf numFmtId="165" fontId="127" fillId="0" borderId="0" xfId="0" applyNumberFormat="1" applyFont="1"/>
    <xf numFmtId="0" fontId="128" fillId="26" borderId="3" xfId="0" applyFont="1" applyFill="1" applyBorder="1" applyAlignment="1">
      <alignment horizontal="center"/>
    </xf>
    <xf numFmtId="258" fontId="128" fillId="31" borderId="0" xfId="0" applyNumberFormat="1" applyFont="1" applyFill="1" applyAlignment="1">
      <alignment horizontal="right"/>
    </xf>
    <xf numFmtId="258" fontId="119" fillId="31" borderId="0" xfId="0" applyNumberFormat="1" applyFont="1" applyFill="1" applyAlignment="1">
      <alignment horizontal="right"/>
    </xf>
    <xf numFmtId="0" fontId="115" fillId="0" borderId="0" xfId="270" applyFont="1"/>
    <xf numFmtId="258" fontId="115" fillId="0" borderId="0" xfId="270" applyNumberFormat="1" applyFont="1"/>
    <xf numFmtId="0" fontId="111" fillId="0" borderId="0" xfId="270" applyFont="1"/>
    <xf numFmtId="258" fontId="111" fillId="0" borderId="0" xfId="270" applyNumberFormat="1" applyFont="1"/>
    <xf numFmtId="0" fontId="115" fillId="0" borderId="0" xfId="269" applyFont="1" applyAlignment="1">
      <alignment horizontal="left" wrapText="1"/>
    </xf>
    <xf numFmtId="0" fontId="115" fillId="0" borderId="0" xfId="269" applyFont="1" applyAlignment="1">
      <alignment horizontal="right" wrapText="1"/>
    </xf>
    <xf numFmtId="0" fontId="115" fillId="0" borderId="0" xfId="269" applyFont="1" applyAlignment="1">
      <alignment horizontal="center" wrapText="1"/>
    </xf>
    <xf numFmtId="235" fontId="111" fillId="0" borderId="0" xfId="269" applyNumberFormat="1" applyFont="1"/>
    <xf numFmtId="0" fontId="111" fillId="0" borderId="0" xfId="269" applyFont="1" applyAlignment="1">
      <alignment horizontal="right" wrapText="1"/>
    </xf>
    <xf numFmtId="170" fontId="124" fillId="0" borderId="0" xfId="162" applyNumberFormat="1" applyFont="1" applyFill="1" applyBorder="1"/>
    <xf numFmtId="0" fontId="115" fillId="31" borderId="26" xfId="269" applyFont="1" applyFill="1" applyBorder="1" applyAlignment="1">
      <alignment horizontal="right" wrapText="1"/>
    </xf>
    <xf numFmtId="0" fontId="115" fillId="0" borderId="21" xfId="269" applyFont="1" applyBorder="1" applyAlignment="1">
      <alignment horizontal="left" wrapText="1"/>
    </xf>
    <xf numFmtId="0" fontId="115" fillId="0" borderId="27" xfId="269" applyFont="1" applyBorder="1" applyAlignment="1">
      <alignment horizontal="right" wrapText="1"/>
    </xf>
    <xf numFmtId="0" fontId="115" fillId="0" borderId="56" xfId="270" applyFont="1" applyBorder="1"/>
    <xf numFmtId="258" fontId="115" fillId="0" borderId="57" xfId="270" applyNumberFormat="1" applyFont="1" applyBorder="1"/>
    <xf numFmtId="0" fontId="111" fillId="0" borderId="21" xfId="270" applyFont="1" applyBorder="1"/>
    <xf numFmtId="258" fontId="111" fillId="0" borderId="27" xfId="270" applyNumberFormat="1" applyFont="1" applyBorder="1"/>
    <xf numFmtId="0" fontId="111" fillId="0" borderId="27" xfId="269" applyFont="1" applyBorder="1"/>
    <xf numFmtId="0" fontId="115" fillId="0" borderId="21" xfId="270" applyFont="1" applyBorder="1"/>
    <xf numFmtId="258" fontId="115" fillId="0" borderId="27" xfId="270" applyNumberFormat="1" applyFont="1" applyBorder="1"/>
    <xf numFmtId="0" fontId="111" fillId="0" borderId="22" xfId="270" applyFont="1" applyBorder="1"/>
    <xf numFmtId="165" fontId="111" fillId="0" borderId="10" xfId="0" applyNumberFormat="1" applyFont="1" applyBorder="1"/>
    <xf numFmtId="0" fontId="111" fillId="0" borderId="28" xfId="269" applyFont="1" applyBorder="1"/>
    <xf numFmtId="0" fontId="115" fillId="31" borderId="23" xfId="269" applyFont="1" applyFill="1" applyBorder="1" applyAlignment="1">
      <alignment wrapText="1"/>
    </xf>
    <xf numFmtId="0" fontId="115" fillId="31" borderId="24" xfId="269" applyFont="1" applyFill="1" applyBorder="1" applyAlignment="1">
      <alignment horizontal="right" wrapText="1"/>
    </xf>
    <xf numFmtId="0" fontId="115" fillId="31" borderId="23" xfId="269" applyFont="1" applyFill="1" applyBorder="1"/>
    <xf numFmtId="0" fontId="115" fillId="31" borderId="26" xfId="269" applyFont="1" applyFill="1" applyBorder="1" applyAlignment="1">
      <alignment horizontal="right"/>
    </xf>
    <xf numFmtId="0" fontId="111" fillId="0" borderId="22" xfId="269" applyFont="1" applyBorder="1"/>
    <xf numFmtId="258" fontId="115" fillId="0" borderId="28" xfId="270" applyNumberFormat="1" applyFont="1" applyBorder="1"/>
    <xf numFmtId="0" fontId="115" fillId="0" borderId="46" xfId="269" applyFont="1" applyBorder="1" applyAlignment="1">
      <alignment horizontal="right"/>
    </xf>
    <xf numFmtId="0" fontId="115" fillId="0" borderId="47" xfId="269" applyFont="1" applyBorder="1" applyAlignment="1">
      <alignment horizontal="right"/>
    </xf>
    <xf numFmtId="0" fontId="121" fillId="0" borderId="27" xfId="269" applyFont="1" applyBorder="1"/>
    <xf numFmtId="0" fontId="115" fillId="26" borderId="0" xfId="0" applyFont="1" applyFill="1" applyAlignment="1">
      <alignment horizontal="center"/>
    </xf>
    <xf numFmtId="0" fontId="115" fillId="32" borderId="0" xfId="0" applyFont="1" applyFill="1"/>
    <xf numFmtId="4" fontId="0" fillId="0" borderId="0" xfId="0" applyNumberFormat="1"/>
    <xf numFmtId="0" fontId="119" fillId="32" borderId="0" xfId="0" applyFont="1" applyFill="1" applyAlignment="1">
      <alignment horizontal="left"/>
    </xf>
    <xf numFmtId="165" fontId="111" fillId="32" borderId="0" xfId="0" applyNumberFormat="1" applyFont="1" applyFill="1"/>
    <xf numFmtId="0" fontId="115" fillId="26" borderId="0" xfId="0" applyFont="1" applyFill="1" applyAlignment="1">
      <alignment horizontal="centerContinuous"/>
    </xf>
    <xf numFmtId="168" fontId="128" fillId="26" borderId="0" xfId="0" applyNumberFormat="1" applyFont="1" applyFill="1" applyAlignment="1">
      <alignment horizontal="center"/>
    </xf>
    <xf numFmtId="168" fontId="128" fillId="0" borderId="0" xfId="0" applyNumberFormat="1" applyFont="1" applyAlignment="1">
      <alignment horizontal="center"/>
    </xf>
    <xf numFmtId="168" fontId="111" fillId="0" borderId="0" xfId="0" applyNumberFormat="1" applyFont="1" applyAlignment="1">
      <alignment horizontal="centerContinuous"/>
    </xf>
    <xf numFmtId="43" fontId="113" fillId="26" borderId="0" xfId="174" applyFont="1" applyFill="1" applyBorder="1" applyAlignment="1">
      <alignment horizontal="center"/>
    </xf>
    <xf numFmtId="43" fontId="113" fillId="26" borderId="0" xfId="162" applyFont="1" applyFill="1" applyBorder="1" applyAlignment="1">
      <alignment horizontal="center"/>
    </xf>
    <xf numFmtId="168" fontId="128" fillId="26" borderId="0" xfId="0" applyNumberFormat="1" applyFont="1" applyFill="1" applyAlignment="1">
      <alignment horizontal="centerContinuous"/>
    </xf>
    <xf numFmtId="168" fontId="115" fillId="26" borderId="0" xfId="0" applyNumberFormat="1" applyFont="1" applyFill="1" applyAlignment="1">
      <alignment horizontal="center" vertical="top"/>
    </xf>
    <xf numFmtId="3" fontId="119" fillId="0" borderId="0" xfId="0" applyNumberFormat="1" applyFont="1"/>
    <xf numFmtId="0" fontId="115" fillId="26" borderId="23" xfId="269" applyFont="1" applyFill="1" applyBorder="1" applyAlignment="1">
      <alignment wrapText="1"/>
    </xf>
    <xf numFmtId="0" fontId="115" fillId="26" borderId="24" xfId="269" applyFont="1" applyFill="1" applyBorder="1" applyAlignment="1">
      <alignment horizontal="center" wrapText="1"/>
    </xf>
    <xf numFmtId="0" fontId="115" fillId="26" borderId="26" xfId="269" applyFont="1" applyFill="1" applyBorder="1" applyAlignment="1">
      <alignment horizontal="center" wrapText="1"/>
    </xf>
    <xf numFmtId="0" fontId="115" fillId="26" borderId="40" xfId="269" applyFont="1" applyFill="1" applyBorder="1" applyAlignment="1">
      <alignment horizontal="left" wrapText="1"/>
    </xf>
    <xf numFmtId="0" fontId="115" fillId="26" borderId="47" xfId="269" applyFont="1" applyFill="1" applyBorder="1" applyAlignment="1">
      <alignment horizontal="center"/>
    </xf>
    <xf numFmtId="0" fontId="115" fillId="26" borderId="46" xfId="269" applyFont="1" applyFill="1" applyBorder="1" applyAlignment="1">
      <alignment horizontal="center" vertical="center"/>
    </xf>
    <xf numFmtId="0" fontId="115" fillId="26" borderId="47" xfId="269" applyFont="1" applyFill="1" applyBorder="1" applyAlignment="1">
      <alignment horizontal="center" vertical="center"/>
    </xf>
    <xf numFmtId="4" fontId="121" fillId="0" borderId="27" xfId="269" applyNumberFormat="1" applyFont="1" applyBorder="1"/>
    <xf numFmtId="0" fontId="115" fillId="26" borderId="26" xfId="269" applyFont="1" applyFill="1" applyBorder="1" applyAlignment="1">
      <alignment horizontal="center" vertical="center"/>
    </xf>
    <xf numFmtId="0" fontId="128" fillId="26" borderId="23" xfId="269" applyFont="1" applyFill="1" applyBorder="1"/>
    <xf numFmtId="0" fontId="115" fillId="26" borderId="40" xfId="269" applyFont="1" applyFill="1" applyBorder="1"/>
    <xf numFmtId="0" fontId="115" fillId="26" borderId="46" xfId="269" applyFont="1" applyFill="1" applyBorder="1"/>
    <xf numFmtId="43" fontId="115" fillId="0" borderId="0" xfId="162" applyFont="1" applyFill="1" applyBorder="1" applyAlignment="1">
      <alignment horizontal="center"/>
    </xf>
    <xf numFmtId="0" fontId="115" fillId="32" borderId="0" xfId="0" applyFont="1" applyFill="1" applyAlignment="1">
      <alignment horizontal="left"/>
    </xf>
    <xf numFmtId="165" fontId="113" fillId="32" borderId="0" xfId="0" applyNumberFormat="1" applyFont="1" applyFill="1"/>
    <xf numFmtId="165" fontId="113" fillId="29" borderId="0" xfId="0" applyNumberFormat="1" applyFont="1" applyFill="1"/>
    <xf numFmtId="165" fontId="126" fillId="0" borderId="0" xfId="0" applyNumberFormat="1" applyFont="1"/>
    <xf numFmtId="1" fontId="117" fillId="0" borderId="0" xfId="0" applyNumberFormat="1" applyFont="1"/>
    <xf numFmtId="257" fontId="115" fillId="0" borderId="0" xfId="0" applyNumberFormat="1" applyFont="1" applyAlignment="1">
      <alignment horizontal="left" indent="2"/>
    </xf>
    <xf numFmtId="0" fontId="111" fillId="32" borderId="0" xfId="0" applyFont="1" applyFill="1"/>
    <xf numFmtId="39" fontId="111" fillId="32" borderId="0" xfId="0" applyNumberFormat="1" applyFont="1" applyFill="1" applyAlignment="1">
      <alignment horizontal="right"/>
    </xf>
    <xf numFmtId="169" fontId="111" fillId="0" borderId="0" xfId="547" applyNumberFormat="1" applyFont="1" applyFill="1" applyAlignment="1">
      <alignment horizontal="right"/>
    </xf>
    <xf numFmtId="39" fontId="111" fillId="32" borderId="0" xfId="0" applyNumberFormat="1" applyFont="1" applyFill="1"/>
    <xf numFmtId="39" fontId="121" fillId="32" borderId="0" xfId="0" applyNumberFormat="1" applyFont="1" applyFill="1" applyAlignment="1">
      <alignment horizontal="right"/>
    </xf>
    <xf numFmtId="39" fontId="121" fillId="32" borderId="0" xfId="0" applyNumberFormat="1" applyFont="1" applyFill="1"/>
    <xf numFmtId="170" fontId="121" fillId="27" borderId="45" xfId="162" applyNumberFormat="1" applyFont="1" applyFill="1" applyBorder="1" applyAlignment="1">
      <alignment horizontal="left" wrapText="1"/>
    </xf>
    <xf numFmtId="170" fontId="111" fillId="27" borderId="27" xfId="162" applyNumberFormat="1" applyFont="1" applyFill="1" applyBorder="1" applyAlignment="1">
      <alignment horizontal="left" wrapText="1"/>
    </xf>
    <xf numFmtId="0" fontId="111" fillId="27" borderId="0" xfId="0" applyFont="1" applyFill="1"/>
    <xf numFmtId="165" fontId="111" fillId="27" borderId="0" xfId="0" applyNumberFormat="1" applyFont="1" applyFill="1"/>
    <xf numFmtId="165" fontId="114" fillId="27" borderId="0" xfId="0" applyNumberFormat="1" applyFont="1" applyFill="1"/>
    <xf numFmtId="0" fontId="115" fillId="27" borderId="0" xfId="0" applyFont="1" applyFill="1"/>
    <xf numFmtId="169" fontId="115" fillId="27" borderId="0" xfId="547" applyNumberFormat="1" applyFont="1" applyFill="1"/>
    <xf numFmtId="169" fontId="111" fillId="27" borderId="0" xfId="547" applyNumberFormat="1" applyFont="1" applyFill="1"/>
    <xf numFmtId="169" fontId="111" fillId="27" borderId="0" xfId="554" applyNumberFormat="1" applyFont="1" applyFill="1"/>
    <xf numFmtId="165" fontId="115" fillId="27" borderId="0" xfId="0" applyNumberFormat="1" applyFont="1" applyFill="1"/>
    <xf numFmtId="165" fontId="114" fillId="27" borderId="0" xfId="0" applyNumberFormat="1" applyFont="1" applyFill="1" applyAlignment="1">
      <alignment horizontal="right"/>
    </xf>
    <xf numFmtId="0" fontId="115" fillId="33" borderId="0" xfId="0" applyFont="1" applyFill="1"/>
    <xf numFmtId="0" fontId="111" fillId="0" borderId="0" xfId="0" applyFont="1" applyAlignment="1">
      <alignment horizontal="left" indent="1"/>
    </xf>
    <xf numFmtId="165" fontId="113" fillId="27" borderId="0" xfId="0" applyNumberFormat="1" applyFont="1" applyFill="1"/>
    <xf numFmtId="261" fontId="115" fillId="27" borderId="0" xfId="0" applyNumberFormat="1" applyFont="1" applyFill="1"/>
    <xf numFmtId="165" fontId="123" fillId="27" borderId="0" xfId="0" applyNumberFormat="1" applyFont="1" applyFill="1"/>
    <xf numFmtId="261" fontId="119" fillId="27" borderId="0" xfId="0" applyNumberFormat="1" applyFont="1" applyFill="1"/>
    <xf numFmtId="0" fontId="115" fillId="0" borderId="0" xfId="0" applyFont="1" applyAlignment="1">
      <alignment horizontal="left" indent="1"/>
    </xf>
    <xf numFmtId="165" fontId="122" fillId="0" borderId="0" xfId="0" applyNumberFormat="1" applyFont="1"/>
    <xf numFmtId="37" fontId="122" fillId="0" borderId="0" xfId="0" applyNumberFormat="1" applyFont="1"/>
    <xf numFmtId="43" fontId="115" fillId="0" borderId="0" xfId="174" applyFont="1" applyFill="1" applyBorder="1" applyAlignment="1">
      <alignment horizontal="center"/>
    </xf>
    <xf numFmtId="0" fontId="115" fillId="26" borderId="0" xfId="269" applyFont="1" applyFill="1" applyAlignment="1">
      <alignment horizontal="center" wrapText="1"/>
    </xf>
    <xf numFmtId="0" fontId="115" fillId="26" borderId="8" xfId="269" applyFont="1" applyFill="1" applyBorder="1" applyAlignment="1">
      <alignment wrapText="1"/>
    </xf>
    <xf numFmtId="0" fontId="115" fillId="26" borderId="8" xfId="269" applyFont="1" applyFill="1" applyBorder="1" applyAlignment="1">
      <alignment horizontal="center" wrapText="1"/>
    </xf>
    <xf numFmtId="0" fontId="115" fillId="26" borderId="8" xfId="269" applyFont="1" applyFill="1" applyBorder="1" applyAlignment="1">
      <alignment horizontal="center"/>
    </xf>
    <xf numFmtId="0" fontId="111" fillId="0" borderId="0" xfId="269" applyFont="1" applyAlignment="1">
      <alignment horizontal="left" wrapText="1"/>
    </xf>
    <xf numFmtId="0" fontId="115" fillId="0" borderId="8" xfId="270" applyFont="1" applyBorder="1"/>
    <xf numFmtId="258" fontId="115" fillId="0" borderId="8" xfId="270" applyNumberFormat="1" applyFont="1" applyBorder="1"/>
    <xf numFmtId="263" fontId="111" fillId="0" borderId="0" xfId="0" applyNumberFormat="1" applyFont="1" applyAlignment="1">
      <alignment horizontal="right"/>
    </xf>
    <xf numFmtId="170" fontId="126" fillId="0" borderId="0" xfId="162" applyNumberFormat="1" applyFont="1" applyFill="1" applyBorder="1" applyAlignment="1">
      <alignment horizontal="left" wrapText="1"/>
    </xf>
    <xf numFmtId="0" fontId="111" fillId="0" borderId="0" xfId="269" applyFont="1" applyAlignment="1">
      <alignment horizontal="center"/>
    </xf>
    <xf numFmtId="0" fontId="122" fillId="0" borderId="0" xfId="269" applyFont="1" applyAlignment="1">
      <alignment horizontal="left"/>
    </xf>
    <xf numFmtId="172" fontId="122" fillId="0" borderId="24" xfId="162" applyNumberFormat="1" applyFont="1" applyFill="1" applyBorder="1" applyAlignment="1">
      <alignment horizontal="left" wrapText="1"/>
    </xf>
    <xf numFmtId="172" fontId="122" fillId="0" borderId="24" xfId="269" applyNumberFormat="1" applyFont="1" applyBorder="1"/>
    <xf numFmtId="0" fontId="115" fillId="31" borderId="0" xfId="269" applyFont="1" applyFill="1" applyAlignment="1">
      <alignment horizontal="right" wrapText="1"/>
    </xf>
    <xf numFmtId="0" fontId="115" fillId="27" borderId="0" xfId="269" applyFont="1" applyFill="1" applyAlignment="1">
      <alignment horizontal="right" wrapText="1"/>
    </xf>
    <xf numFmtId="39" fontId="115" fillId="0" borderId="0" xfId="269" applyNumberFormat="1" applyFont="1" applyAlignment="1">
      <alignment horizontal="right" wrapText="1"/>
    </xf>
    <xf numFmtId="0" fontId="111" fillId="27" borderId="0" xfId="269" applyFont="1" applyFill="1" applyAlignment="1">
      <alignment horizontal="right" wrapText="1"/>
    </xf>
    <xf numFmtId="39" fontId="115" fillId="27" borderId="0" xfId="269" applyNumberFormat="1" applyFont="1" applyFill="1" applyAlignment="1">
      <alignment horizontal="right" wrapText="1"/>
    </xf>
    <xf numFmtId="258" fontId="115" fillId="28" borderId="0" xfId="270" applyNumberFormat="1" applyFont="1" applyFill="1"/>
    <xf numFmtId="258" fontId="111" fillId="28" borderId="0" xfId="270" applyNumberFormat="1" applyFont="1" applyFill="1"/>
    <xf numFmtId="0" fontId="111" fillId="27" borderId="0" xfId="0" applyFont="1" applyFill="1" applyAlignment="1">
      <alignment horizontal="left"/>
    </xf>
    <xf numFmtId="169" fontId="118" fillId="0" borderId="0" xfId="554" applyNumberFormat="1" applyFont="1" applyFill="1"/>
    <xf numFmtId="172" fontId="122" fillId="0" borderId="0" xfId="174" applyNumberFormat="1" applyFont="1" applyFill="1"/>
    <xf numFmtId="172" fontId="122" fillId="0" borderId="0" xfId="162" applyNumberFormat="1" applyFont="1" applyFill="1"/>
    <xf numFmtId="165" fontId="130" fillId="0" borderId="0" xfId="0" applyNumberFormat="1" applyFont="1"/>
    <xf numFmtId="0" fontId="130" fillId="0" borderId="0" xfId="0" applyFont="1"/>
    <xf numFmtId="3" fontId="47" fillId="0" borderId="0" xfId="0" applyNumberFormat="1" applyFont="1"/>
    <xf numFmtId="39" fontId="111" fillId="27" borderId="0" xfId="0" applyNumberFormat="1" applyFont="1" applyFill="1"/>
    <xf numFmtId="165" fontId="115" fillId="31" borderId="0" xfId="0" applyNumberFormat="1" applyFont="1" applyFill="1" applyAlignment="1">
      <alignment horizontal="right"/>
    </xf>
    <xf numFmtId="0" fontId="111" fillId="33" borderId="0" xfId="0" applyFont="1" applyFill="1"/>
    <xf numFmtId="170" fontId="123" fillId="0" borderId="0" xfId="162" applyNumberFormat="1" applyFont="1" applyFill="1" applyBorder="1"/>
    <xf numFmtId="0" fontId="111" fillId="0" borderId="0" xfId="269" applyFont="1" applyAlignment="1">
      <alignment horizontal="left" wrapText="1" indent="1"/>
    </xf>
    <xf numFmtId="0" fontId="122" fillId="0" borderId="0" xfId="269" applyFont="1"/>
    <xf numFmtId="172" fontId="122" fillId="0" borderId="0" xfId="269" applyNumberFormat="1" applyFont="1"/>
    <xf numFmtId="0" fontId="111" fillId="0" borderId="8" xfId="269" applyFont="1" applyBorder="1" applyAlignment="1">
      <alignment horizontal="left" wrapText="1"/>
    </xf>
    <xf numFmtId="0" fontId="115" fillId="0" borderId="10" xfId="269" applyFont="1" applyBorder="1" applyAlignment="1">
      <alignment horizontal="center"/>
    </xf>
    <xf numFmtId="0" fontId="115" fillId="0" borderId="0" xfId="269" applyFont="1" applyAlignment="1">
      <alignment horizontal="center" wrapText="1"/>
    </xf>
    <xf numFmtId="0" fontId="115" fillId="27" borderId="43" xfId="269" applyFont="1" applyFill="1" applyBorder="1" applyAlignment="1">
      <alignment horizontal="center" wrapText="1"/>
    </xf>
    <xf numFmtId="0" fontId="115" fillId="27" borderId="8" xfId="269" applyFont="1" applyFill="1" applyBorder="1" applyAlignment="1">
      <alignment horizontal="center" wrapText="1"/>
    </xf>
  </cellXfs>
  <cellStyles count="903">
    <cellStyle name="$" xfId="1" xr:uid="{3703DEF6-5F3C-4119-954D-19658C9A1AD3}"/>
    <cellStyle name="$_TSA Model - 1 8 06 - v2" xfId="2" xr:uid="{FC88C0E0-491F-4ACA-9265-938FF019C95D}"/>
    <cellStyle name="%" xfId="3" xr:uid="{4B19E486-E5B4-4047-B693-9EBBD3D55302}"/>
    <cellStyle name=";;;" xfId="4" xr:uid="{C56623B7-73A3-46CD-8468-47C1D3E9833E}"/>
    <cellStyle name="_%(SignOnly)" xfId="5" xr:uid="{6C80C703-A7B0-4800-951F-548705738558}"/>
    <cellStyle name="_%(SignSpaceOnly)" xfId="6" xr:uid="{7FD0CBBD-40C0-4953-A689-6E1E846C547B}"/>
    <cellStyle name="_0% CADR" xfId="7" xr:uid="{33A4B0B5-88F6-4A4D-8682-E284973C4266}"/>
    <cellStyle name="_0% IRR" xfId="8" xr:uid="{8399B4AC-C712-4563-BBDF-5D31A3E9F94A}"/>
    <cellStyle name="_1% CADR" xfId="9" xr:uid="{DC4F220B-0383-41C7-9654-CC091CDF08AC}"/>
    <cellStyle name="_10% CADR" xfId="10" xr:uid="{84F4BFBA-5C67-4A84-87D2-E4EE879D2E49}"/>
    <cellStyle name="_10% CDR" xfId="11" xr:uid="{A6424250-CB71-45FA-9334-D3DEF6657111}"/>
    <cellStyle name="_11% CADR" xfId="12" xr:uid="{29FCD169-4903-4260-A564-0E608E09D550}"/>
    <cellStyle name="_12% CADR" xfId="13" xr:uid="{F075DF39-8B8B-4B4B-8F22-7B5AFC286010}"/>
    <cellStyle name="_12% CDR" xfId="14" xr:uid="{F3619FAF-6CEE-45C6-9329-067458886635}"/>
    <cellStyle name="_13% CADR" xfId="15" xr:uid="{4245316A-30CF-4BE0-9451-697E1D653991}"/>
    <cellStyle name="_14% CADR" xfId="16" xr:uid="{DF69E0EF-436E-475A-A758-0F4BC0823BC6}"/>
    <cellStyle name="_14% CDR" xfId="17" xr:uid="{914D31ED-F72A-47B1-A67C-4EEECA96CC1C}"/>
    <cellStyle name="_16% CDR" xfId="18" xr:uid="{28FB349C-EF00-4506-85D7-6AC541FA1725}"/>
    <cellStyle name="_18% CDR" xfId="19" xr:uid="{94335CDB-3D2B-4738-88E7-8F0CB2240EE4}"/>
    <cellStyle name="_19.6% CDR BBB Break In Yield" xfId="20" xr:uid="{B8687476-1D03-48B1-BDF7-2AFEF225FF50}"/>
    <cellStyle name="_2% CADR" xfId="21" xr:uid="{D0A9B208-A016-461C-91EA-F168CFB1B0E3}"/>
    <cellStyle name="_20% CDR" xfId="22" xr:uid="{AE38144D-AAFE-4DD9-9341-05CE1B7E5F36}"/>
    <cellStyle name="_21.5% CDR BBB Break In Yield" xfId="23" xr:uid="{51E83578-D92C-4134-9CB6-75619FD56130}"/>
    <cellStyle name="_3% CADR" xfId="24" xr:uid="{F9F35432-BC28-479C-AD77-E99AEE7D09CF}"/>
    <cellStyle name="_3% CDR" xfId="25" xr:uid="{E096C402-A47A-43BA-AD56-DE3FB4BFE3E2}"/>
    <cellStyle name="_4% CADR" xfId="26" xr:uid="{CB2D7399-A88A-4297-9E5B-CFC971ABC4B3}"/>
    <cellStyle name="_5% CADR" xfId="27" xr:uid="{9DF8C2CA-5D2C-4223-9E8F-FFC5981620CA}"/>
    <cellStyle name="_5% CDR" xfId="28" xr:uid="{753372EF-257C-42A1-A32F-ED0433D160BF}"/>
    <cellStyle name="_6% CADR" xfId="29" xr:uid="{113DAF42-1C55-4892-A660-E700C9B33255}"/>
    <cellStyle name="_7% CADR" xfId="30" xr:uid="{C76223D7-9E5D-4E39-B202-B0E3859A0952}"/>
    <cellStyle name="_7% CDR" xfId="31" xr:uid="{9C992D3A-CEE3-4B17-B9B2-B50DD8985B3F}"/>
    <cellStyle name="_8% CADR" xfId="32" xr:uid="{F88E6FD0-1A78-4139-A003-128AC0B7DF21}"/>
    <cellStyle name="_8.0% CDR BB Break In Yield" xfId="33" xr:uid="{C86214CC-FF5A-490F-8F86-6550E83F2132}"/>
    <cellStyle name="_8.1% CDR BB Break In Yield" xfId="34" xr:uid="{0A89657B-4855-4011-AF13-13C101C037EF}"/>
    <cellStyle name="_9% CADR" xfId="35" xr:uid="{E18CDD5D-1D1E-4867-A5AF-0960A6B7B95C}"/>
    <cellStyle name="_Assets" xfId="36" xr:uid="{F8AC06F3-DBF8-43FE-9E4F-C704F0EC88B4}"/>
    <cellStyle name="_Assets_1" xfId="37" xr:uid="{68408D92-2D86-4F55-B536-D32E6ACF744B}"/>
    <cellStyle name="_Assets_1_COMPS - B2B Publishers" xfId="38" xr:uid="{F678D8FC-35F7-4F47-8F9C-2BBAD154F5F9}"/>
    <cellStyle name="_Assets_1_COMPS - Directories" xfId="39" xr:uid="{5D3415E0-5288-4478-9AB0-0858A4409C12}"/>
    <cellStyle name="_Assets_1_F&amp;W Servicing Model" xfId="40" xr:uid="{3D13BD2E-33B9-4DB9-B8E0-06B1A4EA5A6F}"/>
    <cellStyle name="_Assets_1_F&amp;W Servicing Model v2" xfId="41" xr:uid="{B5BBC817-E667-4730-ACC8-37E26E56526D}"/>
    <cellStyle name="_Assets_1_S&amp;P Analysis" xfId="42" xr:uid="{C525B4F6-2D0F-4EA3-A3CC-F08F238B082F}"/>
    <cellStyle name="_Assets_1_Univision Annual Model" xfId="43" xr:uid="{DF061985-2FC8-47EA-89F8-F6464C7764C2}"/>
    <cellStyle name="_Assets_1_Yell Servicing Model" xfId="44" xr:uid="{0C539E1F-D469-4982-B8A4-52A8A5349C4E}"/>
    <cellStyle name="_Assets_S&amp;P Analysis" xfId="45" xr:uid="{B8B91133-25A9-4F64-8B32-D3F9C87CA12B}"/>
    <cellStyle name="_Assets_S&amp;P Analysis_COMPS - B2B Publishers" xfId="46" xr:uid="{00D68EC2-E2AE-4C86-8773-FACD8C34F384}"/>
    <cellStyle name="_Assets_S&amp;P Analysis_COMPS - Directories" xfId="47" xr:uid="{04998C3A-F318-45D7-9E08-5878835AC6AB}"/>
    <cellStyle name="_Assets_S&amp;P Analysis_F&amp;W Servicing Model" xfId="48" xr:uid="{5D60CA8B-C7C2-4130-A41D-4D988639BF72}"/>
    <cellStyle name="_Assets_S&amp;P Analysis_F&amp;W Servicing Model v2" xfId="49" xr:uid="{933605A8-67F5-4DCF-80C2-6530428E43A9}"/>
    <cellStyle name="_Assets_S&amp;P Analysis_Univision Annual Model" xfId="50" xr:uid="{297B97AF-2B2F-481A-BA0E-BCC8E23AC999}"/>
    <cellStyle name="_Assets_S&amp;P Analysis_Yell Servicing Model" xfId="51" xr:uid="{8A851D1A-69B0-42C1-A988-C38D2926DF64}"/>
    <cellStyle name="_Assumptions" xfId="52" xr:uid="{9DD165A3-5322-4DFB-8289-BC619B2F32DC}"/>
    <cellStyle name="_Assumptions_1" xfId="53" xr:uid="{BD0C05F9-D8D1-46C5-B63C-3E2D5460C1D0}"/>
    <cellStyle name="_Assumptions_1_COMPS - B2B Publishers" xfId="54" xr:uid="{2B2B9D31-FB73-4901-BAAC-0176FDF51280}"/>
    <cellStyle name="_Assumptions_1_COMPS - Directories" xfId="55" xr:uid="{3314F547-9EA7-4417-BE95-2EA7EB33E82B}"/>
    <cellStyle name="_Assumptions_1_F&amp;W Servicing Model" xfId="56" xr:uid="{00943C46-F8F5-4FF9-AE06-8C66A763B0A0}"/>
    <cellStyle name="_Assumptions_1_F&amp;W Servicing Model v2" xfId="57" xr:uid="{B147C61F-D618-4A98-BC76-273B8934A1FF}"/>
    <cellStyle name="_Assumptions_1_Univision Annual Model" xfId="58" xr:uid="{AD77AB78-FA87-4BDE-BB5B-A89357730CF3}"/>
    <cellStyle name="_Assumptions_1_Yell Servicing Model" xfId="59" xr:uid="{DC282BD6-402A-402A-9425-25EEA49910F0}"/>
    <cellStyle name="_Blue Mountain TRS (7-5-05)" xfId="60" xr:uid="{0468B3CA-33CC-4D2D-BD62-3AA65A0EBF78}"/>
    <cellStyle name="_Book2" xfId="61" xr:uid="{9B1F322F-6692-4701-877E-21282E44453D}"/>
    <cellStyle name="_CDO of CDO" xfId="62" xr:uid="{9FC95D4E-70E0-4550-A25E-0D46D5DF6C2C}"/>
    <cellStyle name="_CLO Portfolio 10_07_2005" xfId="63" xr:uid="{2334B0EB-A3AE-4721-9B28-9F75B08AA201}"/>
    <cellStyle name="_Comma" xfId="64" xr:uid="{4719AEA9-3FEB-4C9F-80F4-3FAB8D869E93}"/>
    <cellStyle name="_Comma_dcf" xfId="65" xr:uid="{50CB8893-0B4A-4950-94E9-27F8BD56902C}"/>
    <cellStyle name="_Currency" xfId="66" xr:uid="{27A7CBE4-D735-41C8-9E8C-67E569891844}"/>
    <cellStyle name="_Currency_dcf" xfId="67" xr:uid="{5F225C78-778E-46BC-8546-80B5E714D6D9}"/>
    <cellStyle name="_CurrencySpace" xfId="68" xr:uid="{3A930035-0583-4B96-ACD8-EC5253F09B22}"/>
    <cellStyle name="_CurrencySpace_dcf" xfId="69" xr:uid="{F34AB082-53B3-40C1-B1ED-F5433D177AF0}"/>
    <cellStyle name="_Euro" xfId="70" xr:uid="{7C512958-AE0B-4BA9-B9A3-F7B615F2249E}"/>
    <cellStyle name="_EV8 Assumption List" xfId="71" xr:uid="{CB52B7FB-9826-40E6-8AFC-9CF3798CE758}"/>
    <cellStyle name="_Exhibit I Babson Warehouse 2006-II CLO 8 18 06" xfId="72" xr:uid="{93F1EF9A-BBA2-4967-B8CF-530A05C7DEC2}"/>
    <cellStyle name="_First PIK" xfId="73" xr:uid="{E2E69709-8E37-4EDC-AC19-D50CA455CA2B}"/>
    <cellStyle name="_Galaxy VI CLO - WestLB Request" xfId="74" xr:uid="{40C199C8-14E0-4FB2-B8C3-3D001EB773AB}"/>
    <cellStyle name="_Heading" xfId="75" xr:uid="{B97F27EC-CA73-43F6-B0DC-830BA9F7BB5B}"/>
    <cellStyle name="_Heading_prestemp" xfId="76" xr:uid="{EB74CE19-D48D-488C-9027-8E48C3C03046}"/>
    <cellStyle name="_Highlight" xfId="77" xr:uid="{95C8D030-C68E-4F42-A088-849B47853FA5}"/>
    <cellStyle name="_Model FINAL (2)" xfId="78" xr:uid="{A754F053-6108-4273-A1B9-3DAF593ACE32}"/>
    <cellStyle name="_Multiple" xfId="79" xr:uid="{D4DC3CB7-C2C5-4EF1-AFA1-EC6CE1121903}"/>
    <cellStyle name="_Multiple_dcf" xfId="80" xr:uid="{745A6795-9708-45FA-BB87-397C9D2682A9}"/>
    <cellStyle name="_MultipleSpace" xfId="81" xr:uid="{AB97CD97-0676-4AA9-9CB6-1F8327A0C435}"/>
    <cellStyle name="_MultipleSpace_dcf" xfId="82" xr:uid="{0A585015-1AE6-4B09-A690-35E1F6CFE3E3}"/>
    <cellStyle name="_Other Defafult Scenario 1" xfId="83" xr:uid="{FDEFA98A-0A3C-466D-8F24-01249C16A367}"/>
    <cellStyle name="_Other Default Scenario 2" xfId="84" xr:uid="{6A2830BD-9516-4547-A0FB-DF948CE0A373}"/>
    <cellStyle name="_Percent" xfId="85" xr:uid="{5F87CA18-9671-4EFC-8B96-67C4F1D4F9F9}"/>
    <cellStyle name="_PercentSpace" xfId="86" xr:uid="{C6938E18-0A84-4C77-94C4-9F9527B3AB04}"/>
    <cellStyle name="_Port" xfId="87" xr:uid="{E3A378C1-4954-4601-9D92-91CDBF1C956E}"/>
    <cellStyle name="_Port For S&amp;P" xfId="88" xr:uid="{9ABB765A-A46F-4F38-919E-CA1119825053}"/>
    <cellStyle name="_Port_COMPS - B2B Publishers" xfId="89" xr:uid="{CAC1ED9C-EDD1-4D70-AAE4-FEBA423D2DB0}"/>
    <cellStyle name="_Port_COMPS - Directories" xfId="90" xr:uid="{AC252A3C-28B4-4A67-AB1C-49859D50E201}"/>
    <cellStyle name="_Port_F&amp;W Servicing Model" xfId="91" xr:uid="{56E50AA9-A5B9-401A-AB60-B6E19736D1BB}"/>
    <cellStyle name="_Port_F&amp;W Servicing Model v2" xfId="92" xr:uid="{F31F9361-BB91-4FF3-B758-F391A40697FC}"/>
    <cellStyle name="_Port_Univision Annual Model" xfId="93" xr:uid="{4B7797AD-9947-4457-A3A1-F10C76BD8F39}"/>
    <cellStyle name="_Port_Yell Servicing Model" xfId="94" xr:uid="{469DBF34-CF1A-4E90-AECA-0B601CF66660}"/>
    <cellStyle name="_Pro Forma TTM 9.30.07 (CW NEIRB Acquisition)" xfId="95" xr:uid="{6823188E-06E1-492D-ACBB-25876D2FF35C}"/>
    <cellStyle name="_S&amp;P Analysis" xfId="96" xr:uid="{4E53496E-ECF9-4EBA-B31A-29F890803BC8}"/>
    <cellStyle name="_S&amp;P Analysis_COMPS - B2B Publishers" xfId="97" xr:uid="{4190228A-1BBC-4D5D-AB60-CFAAC6A7CB84}"/>
    <cellStyle name="_S&amp;P Analysis_COMPS - Directories" xfId="98" xr:uid="{AD7F7D78-7D3A-4C82-AA8A-D08BE5C47420}"/>
    <cellStyle name="_S&amp;P Analysis_F&amp;W Servicing Model" xfId="99" xr:uid="{299C7633-A463-4222-B7D5-B29F944BAF84}"/>
    <cellStyle name="_S&amp;P Analysis_F&amp;W Servicing Model v2" xfId="100" xr:uid="{25A8551C-284C-4956-A2B3-DB0793ED515E}"/>
    <cellStyle name="_S&amp;P Analysis_Univision Annual Model" xfId="101" xr:uid="{517E7A8D-F129-4D38-9345-9FC69942B8CE}"/>
    <cellStyle name="_S&amp;P Analysis_Yell Servicing Model" xfId="102" xr:uid="{66A1272F-FDA2-4C14-890F-08E0EA13194D}"/>
    <cellStyle name="_S&amp;P Hypothetical Port Summary" xfId="103" xr:uid="{881F603C-846D-4019-9392-2C3D6EC8838B}"/>
    <cellStyle name="_S&amp;P Port 80Div_2099WARF" xfId="104" xr:uid="{6519BD20-F8D7-46B9-B531-B27DF2E0F3AD}"/>
    <cellStyle name="_S&amp;P Stress Scenarios" xfId="105" xr:uid="{5D232FB5-891D-4E98-BEE3-5EC249D9A276}"/>
    <cellStyle name="_Sources and Uses" xfId="106" xr:uid="{688F4989-0BDF-4D23-AE1A-F0B48408B6E3}"/>
    <cellStyle name="_SubHeading" xfId="107" xr:uid="{E6F88D8C-F13F-456A-81A3-28729B018A3D}"/>
    <cellStyle name="_SubHeading_prestemp" xfId="108" xr:uid="{10C087A2-09F7-4D49-B0CC-7829D3850AF0}"/>
    <cellStyle name="_Table" xfId="109" xr:uid="{686DF49C-AFA3-4AC2-B97E-106EACF2F46D}"/>
    <cellStyle name="_TableHead" xfId="110" xr:uid="{26045F4B-0081-4240-A6F3-65C5E358933B}"/>
    <cellStyle name="_TableRowHead" xfId="111" xr:uid="{0A63BB05-1484-47A0-AE3C-587B9A25BBC2}"/>
    <cellStyle name="_TableSuperHead" xfId="112" xr:uid="{BCBD9D2D-B3D3-43C0-9E78-27D05A1EC39A}"/>
    <cellStyle name="£Currency [0]" xfId="113" xr:uid="{164A7932-062B-44E3-BC9F-915D1844B606}"/>
    <cellStyle name="£Currency [1]" xfId="114" xr:uid="{554EFC60-5647-4F9A-BCD8-8EC415327910}"/>
    <cellStyle name="£Currency [2]" xfId="115" xr:uid="{30273CA1-C4FF-4566-BE70-2321BF8118EC}"/>
    <cellStyle name="£Currency [p]" xfId="116" xr:uid="{EEB842FD-3DD2-4B39-B1DA-805E35596E0B}"/>
    <cellStyle name="£Currency [p2]" xfId="117" xr:uid="{D8CE3E32-2FD2-4A54-A1B5-0D0B66EB15B4}"/>
    <cellStyle name="£Pounds" xfId="118" xr:uid="{F471CA50-F446-4D93-A696-DCDF2FBCB37E}"/>
    <cellStyle name="Accounting $" xfId="119" xr:uid="{F48BDF4C-FA9F-4ED2-816D-AEE08E9A176D}"/>
    <cellStyle name="Across" xfId="120" xr:uid="{CE90FC07-D9C2-4F7C-A7EE-0B15A91FD756}"/>
    <cellStyle name="Adjustable" xfId="121" xr:uid="{FAD25A4B-CA6C-4F15-AE1D-DE844F2A7DB4}"/>
    <cellStyle name="AFE" xfId="122" xr:uid="{E015657B-206C-43C8-9B2D-3713C57500CA}"/>
    <cellStyle name="Andre's Title" xfId="123" xr:uid="{DB0F554B-27BD-47EF-8C95-0B3581A9E6B4}"/>
    <cellStyle name="args.style" xfId="124" xr:uid="{9424FD9C-5CDD-4CF5-8F23-CE03092B1C25}"/>
    <cellStyle name="Arial 10" xfId="125" xr:uid="{79E51505-8CD0-4EEF-B2D8-66529C8E60A0}"/>
    <cellStyle name="Arial 12" xfId="126" xr:uid="{2810D7FD-0906-4DA5-9D02-DE15F5FD13D2}"/>
    <cellStyle name="Best" xfId="127" xr:uid="{E190C3CF-A0F5-4CEC-9425-28172AC3FD33}"/>
    <cellStyle name="Blank [$]" xfId="128" xr:uid="{0D43DCEB-0795-4B8B-81AB-A620BD8D685D}"/>
    <cellStyle name="Blank [,]" xfId="129" xr:uid="{151C4041-A43B-48A8-A3B8-0C201C3C3B77}"/>
    <cellStyle name="BlankedZeros" xfId="130" xr:uid="{2003873A-5A9C-4059-8369-D756554E58BC}"/>
    <cellStyle name="blp_column_header" xfId="131" xr:uid="{354633EE-2088-4599-9B79-1173BE481998}"/>
    <cellStyle name="Blue" xfId="132" xr:uid="{65C8100C-64CB-4045-9AE7-4C6A32691E08}"/>
    <cellStyle name="bluepercent" xfId="133" xr:uid="{D8CC215C-5039-4645-B650-2496889B06BF}"/>
    <cellStyle name="Body" xfId="134" xr:uid="{ABAEAED3-E6BF-4553-94FB-44B52F16C58B}"/>
    <cellStyle name="Bold" xfId="135" xr:uid="{5C304F06-7633-4B49-BB98-31FB9D4E3FF5}"/>
    <cellStyle name="BoldItalic" xfId="136" xr:uid="{446021B1-AF7E-453B-B88C-A74F0EFB5AB2}"/>
    <cellStyle name="Bottom" xfId="137" xr:uid="{0317119E-1F6F-4F0B-9192-3AD7E323A566}"/>
    <cellStyle name="Bottom Edge" xfId="138" xr:uid="{02AEB3B3-99F0-4B14-B81E-04719C7D5148}"/>
    <cellStyle name="British Pound" xfId="139" xr:uid="{204BB7AA-01E4-4146-97FD-AEC79C2170FD}"/>
    <cellStyle name="Business Description" xfId="140" xr:uid="{526515D6-352F-4C0D-B655-97E27082631E}"/>
    <cellStyle name="c" xfId="141" xr:uid="{F52A6746-B20C-411D-85B4-545BF6469E9E}"/>
    <cellStyle name="Calc Currency (0)" xfId="142" xr:uid="{2E85BE31-0333-43F7-8A9B-19578E91442A}"/>
    <cellStyle name="Calc Currency (2)" xfId="143" xr:uid="{26C7B3A7-7180-469D-8AF1-F09A6F423109}"/>
    <cellStyle name="Calc Percent (0)" xfId="144" xr:uid="{9EFF7777-B46C-4D7D-988E-3AF284E5341E}"/>
    <cellStyle name="Calc Percent (1)" xfId="145" xr:uid="{7E1738BD-54F8-4AE5-8E43-80ADBC2874BC}"/>
    <cellStyle name="Calc Percent (2)" xfId="146" xr:uid="{2BEEBFAE-FF8A-4268-A596-AB078261FFE3}"/>
    <cellStyle name="Calc Units (0)" xfId="147" xr:uid="{59EBEE2A-08DB-4AA3-BB9A-2C90F174486C}"/>
    <cellStyle name="Calc Units (1)" xfId="148" xr:uid="{8D3287C2-DDE7-4241-99A1-2DFAB9F19158}"/>
    <cellStyle name="Calc Units (2)" xfId="149" xr:uid="{70CFB745-C093-47EE-8140-5D6F7179967C}"/>
    <cellStyle name="Case" xfId="150" xr:uid="{41EF0B8C-4F46-4C55-9BDE-968DB46A4413}"/>
    <cellStyle name="cc" xfId="151" xr:uid="{CD76EFCD-C81C-4DAE-B176-66C86FC42995}"/>
    <cellStyle name="Center" xfId="152" xr:uid="{A050700A-3678-4F2D-A350-F2C852B5AD5D}"/>
    <cellStyle name="CenterBold" xfId="153" xr:uid="{4E9F9418-0F16-46CB-B2D1-5C119C0F3F1E}"/>
    <cellStyle name="CenterItalic" xfId="154" xr:uid="{5CE86B96-4C40-4088-A8AA-BF8D18346A38}"/>
    <cellStyle name="Cents" xfId="155" xr:uid="{D2355DAE-A249-4895-A1AF-EDDE4731B91B}"/>
    <cellStyle name="ChartingText" xfId="156" xr:uid="{6D30DBF5-98B7-40FF-AFA3-A6B5465928D4}"/>
    <cellStyle name="Co. Names" xfId="157" xr:uid="{799ED2CA-833C-45D2-94F6-0F9FAD21D048}"/>
    <cellStyle name="Co. Names - Bold" xfId="158" xr:uid="{68E8EAB2-F442-41AE-8720-AC7049599A99}"/>
    <cellStyle name="Co. Names_Break-Up" xfId="159" xr:uid="{E5979F1C-0993-400F-BB24-0BF9E5853D66}"/>
    <cellStyle name="COL HEADINGS" xfId="160" xr:uid="{13655EF2-D948-4412-9E44-8F2D52E5DDFE}"/>
    <cellStyle name="ColumnHeaderNormal" xfId="161" xr:uid="{46FF3C81-A2CA-4AC6-867D-0A8511CB0F8F}"/>
    <cellStyle name="Comma" xfId="162" builtinId="3"/>
    <cellStyle name="Comma  - Style1" xfId="163" xr:uid="{2C3CA50D-9308-4BC7-BB7C-EC4E146E1B77}"/>
    <cellStyle name="Comma  - Style2" xfId="164" xr:uid="{01B522AA-26BF-406A-A0F4-7902A6F0F808}"/>
    <cellStyle name="Comma  - Style3" xfId="165" xr:uid="{EF76A757-8DBB-4C77-A00A-10877CA6161E}"/>
    <cellStyle name="Comma  - Style4" xfId="166" xr:uid="{C4393149-7F87-43E1-B89E-DC73EAF477A9}"/>
    <cellStyle name="Comma  - Style5" xfId="167" xr:uid="{731C81CE-4117-4F4F-AAD9-6620ADFBC12C}"/>
    <cellStyle name="Comma  - Style6" xfId="168" xr:uid="{DE295D8F-27EC-47B9-9977-641865AC1FCC}"/>
    <cellStyle name="Comma  - Style7" xfId="169" xr:uid="{F143CC22-2B76-4C91-8D40-90F6D6CC6767}"/>
    <cellStyle name="Comma  - Style8" xfId="170" xr:uid="{CA82FCB4-D811-46CF-847E-7C6B476E20D0}"/>
    <cellStyle name="Comma [0]; --" xfId="171" xr:uid="{2D71C20D-5561-4711-B59C-C22386942651}"/>
    <cellStyle name="Comma [00]" xfId="172" xr:uid="{0457BB26-E81E-4BA4-9427-1A11063CEF22}"/>
    <cellStyle name="Comma [1]" xfId="173" xr:uid="{F752A3F7-5C63-4D6B-B5DE-2A74C5449FA5}"/>
    <cellStyle name="Comma 2" xfId="174" xr:uid="{64E5A836-5CE8-4117-AA5C-CCD0E7CAEDA1}"/>
    <cellStyle name="Comma Cents" xfId="175" xr:uid="{45A9D5EA-C889-457D-9E32-5F5C5B334934}"/>
    <cellStyle name="Comma0" xfId="176" xr:uid="{8BE0C0C5-BDB7-41B5-B827-C509F9798AE9}"/>
    <cellStyle name="Commas" xfId="177" xr:uid="{9DDA371D-45F0-4605-9341-592306260A90}"/>
    <cellStyle name="CommasBold" xfId="178" xr:uid="{07EFE202-5701-47DD-98A8-CA6BF7706ACE}"/>
    <cellStyle name="CompanyTitle" xfId="179" xr:uid="{5E131254-B9B0-4E6D-A4FE-326B7BDC3ACC}"/>
    <cellStyle name="Copied" xfId="180" xr:uid="{0588ABD2-85C2-4CB6-AD43-D7774F02168F}"/>
    <cellStyle name="Currency $" xfId="181" xr:uid="{4977EC3D-D0E5-4F15-B116-EDD932878CF4}"/>
    <cellStyle name="Currency [0]; --" xfId="182" xr:uid="{517419BD-151F-46A6-800A-328F0477ADBD}"/>
    <cellStyle name="Currency [00]" xfId="183" xr:uid="{58FC495D-2054-464C-9322-2420DE20B4C4}"/>
    <cellStyle name="Currency [1]" xfId="184" xr:uid="{64C8EBB4-25E4-4468-8259-3BCB2AA4DEC2}"/>
    <cellStyle name="Currency [2]" xfId="185" xr:uid="{422B3B06-64F1-4C7D-9781-9155AC8EDEA1}"/>
    <cellStyle name="data" xfId="186" xr:uid="{66115ACB-9A80-44EF-8627-CE1B0504BA68}"/>
    <cellStyle name="Date" xfId="187" xr:uid="{DD86E352-F21F-43DF-9748-B50E89E26970}"/>
    <cellStyle name="Date Short" xfId="188" xr:uid="{34238670-2F42-4C2D-8689-965795BCDD71}"/>
    <cellStyle name="Date_COMPS - Directories" xfId="189" xr:uid="{0210BA37-6B10-41DA-8029-2FFE4D414E04}"/>
    <cellStyle name="DateLeftBold" xfId="190" xr:uid="{AFE55211-302B-4D0A-8083-DA0A5AC51B2C}"/>
    <cellStyle name="Default" xfId="191" xr:uid="{C33CAE0B-4D0F-4281-9E8A-6C5D399A7061}"/>
    <cellStyle name="DELTA" xfId="192" xr:uid="{C8653F89-E980-431F-A10A-CDD6DF1B81A3}"/>
    <cellStyle name="Dollars" xfId="193" xr:uid="{2FC815F9-F043-4180-8298-7422DB525C79}"/>
    <cellStyle name="Dollars []" xfId="194" xr:uid="{A4F1A8EA-6A61-4B59-A76B-873AFF021746}"/>
    <cellStyle name="Dollars_Pro Forma TTM 9.30.07 (CW NEIRB Acquisition)" xfId="195" xr:uid="{EC065F19-68B1-42DB-A4B7-27A75977CE94}"/>
    <cellStyle name="Double" xfId="196" xr:uid="{58BBA48B-403C-496D-BF57-F0BDD27A13A7}"/>
    <cellStyle name="Double Accounting" xfId="197" xr:uid="{089D4071-5C3F-4717-A75B-D07C9F72EFE2}"/>
    <cellStyle name="Enter Currency (0)" xfId="198" xr:uid="{356C1170-2420-4B22-83DC-EFBFD48EFAEE}"/>
    <cellStyle name="Enter Currency (2)" xfId="199" xr:uid="{69FBD045-EBFE-453E-9FCD-87D39B654C70}"/>
    <cellStyle name="Enter Units (0)" xfId="200" xr:uid="{39394CA8-8BAD-4691-8F86-736136D7AA05}"/>
    <cellStyle name="Enter Units (1)" xfId="201" xr:uid="{B408F27F-A118-46D5-8133-805150D39A26}"/>
    <cellStyle name="Enter Units (2)" xfId="202" xr:uid="{8B73E94D-F5F6-4AFD-9C5B-6013C28DB79E}"/>
    <cellStyle name="Entered" xfId="203" xr:uid="{505B12F8-4708-46BF-A03A-1D20FB0C93B7}"/>
    <cellStyle name="Euro" xfId="204" xr:uid="{25899A03-8651-4420-8CF4-5F27E163F128}"/>
    <cellStyle name="Fit" xfId="205" xr:uid="{FD8DA6E2-4CF1-4993-B1C8-5D0741264FDE}"/>
    <cellStyle name="Footer" xfId="206" xr:uid="{18742B66-AC6A-4E8A-BCF4-6BB5309C9C60}"/>
    <cellStyle name="Footnotes" xfId="207" xr:uid="{3CEC9F13-ABE3-4CDA-80BE-7E024C6D0FFE}"/>
    <cellStyle name="Grey" xfId="208" xr:uid="{277F9DC3-72C1-464F-9AC4-6E98BD6668D2}"/>
    <cellStyle name="GreybarHeader" xfId="209" xr:uid="{C090FCA6-59AB-432D-A1A1-C8E16FDFE0C0}"/>
    <cellStyle name="Grouped Head" xfId="210" xr:uid="{FDFCED4A-DD66-408B-ADEB-924AC91BAD3F}"/>
    <cellStyle name="h" xfId="211" xr:uid="{0206C9B8-7909-40DE-9C9D-27CD32193A55}"/>
    <cellStyle name="HAlignCenter" xfId="212" xr:uid="{12E1CAF4-0D6A-48F1-86B6-353FD729BAD7}"/>
    <cellStyle name="HAlignLeft" xfId="213" xr:uid="{99405F0C-E2CA-4B09-B120-A300D79A6006}"/>
    <cellStyle name="HAlignRight" xfId="214" xr:uid="{6C21305C-09FE-4B21-A877-429BE3049042}"/>
    <cellStyle name="Head 1" xfId="215" xr:uid="{098CFB8E-2FAB-4305-A1E1-9D6C12C9D3E9}"/>
    <cellStyle name="Header" xfId="216" xr:uid="{112DDC53-6765-4710-B14E-84B3B625CB9A}"/>
    <cellStyle name="Header1" xfId="217" xr:uid="{63829FC8-49A2-44FF-8699-5CCB7EE167FA}"/>
    <cellStyle name="Header2" xfId="218" xr:uid="{455D961E-B9FD-4C54-B5A1-757DD4F78116}"/>
    <cellStyle name="headers" xfId="219" xr:uid="{57EB03BA-4920-481A-AFBE-CA687D412595}"/>
    <cellStyle name="Heading" xfId="220" xr:uid="{1F9787F3-97F5-4EBB-91AB-9A530B07545C}"/>
    <cellStyle name="HEADINGS" xfId="221" xr:uid="{31793816-A069-429D-B385-3F23F3C7AF53}"/>
    <cellStyle name="HEADINGSTOP" xfId="222" xr:uid="{E3C2BFBF-50BA-41B1-8893-0855A90D7910}"/>
    <cellStyle name="imput" xfId="223" xr:uid="{7CED1B8B-A4A9-48CE-BFBB-3009B3CC028F}"/>
    <cellStyle name="Input [yellow]" xfId="224" xr:uid="{EC2BFFA3-0A72-4DA2-BDF9-F2149C52632C}"/>
    <cellStyle name="Invisible" xfId="225" xr:uid="{B276EF19-96CF-4E5E-BBA4-47800515477E}"/>
    <cellStyle name="ItalicHeader" xfId="226" xr:uid="{4723566A-457D-4013-80BE-48C5845A4AC5}"/>
    <cellStyle name="Item Descriptions" xfId="227" xr:uid="{590FCE2C-6D8D-4329-8A6A-08F93B927E8C}"/>
    <cellStyle name="Item Descriptions - Bold" xfId="228" xr:uid="{A60D36ED-C8AF-461F-B596-451504AB460B}"/>
    <cellStyle name="Item Descriptions_6079BX" xfId="229" xr:uid="{14C924B3-4612-40FE-98F3-1DFB9D622A8F}"/>
    <cellStyle name="Left" xfId="230" xr:uid="{CE454448-6D8C-42CA-B4A7-248FFEE06144}"/>
    <cellStyle name="LeftBold" xfId="231" xr:uid="{EE87D8F9-9608-4D70-A6DF-2319B0543967}"/>
    <cellStyle name="LeftBoldBottomRule" xfId="232" xr:uid="{32D5A658-E3B1-4E66-9B1F-8323D6BB215E}"/>
    <cellStyle name="LeftBoldCenterRule" xfId="233" xr:uid="{0B4268E5-D8B1-4EBE-980C-62E33C0D28A5}"/>
    <cellStyle name="Line" xfId="234" xr:uid="{AA842ED7-8E8A-4056-8CA6-2EAD44618735}"/>
    <cellStyle name="Link Currency (0)" xfId="235" xr:uid="{2DC25407-7F30-4512-9948-667AF2A13DCA}"/>
    <cellStyle name="Link Currency (2)" xfId="236" xr:uid="{33DE307D-E375-4780-B379-7E071CA7310C}"/>
    <cellStyle name="Link Units (0)" xfId="237" xr:uid="{DA0AACE8-3D7C-4F0C-8146-C063DB140E9A}"/>
    <cellStyle name="Link Units (1)" xfId="238" xr:uid="{908D5AD6-D960-45BF-9FC4-831B49B4C0E1}"/>
    <cellStyle name="Link Units (2)" xfId="239" xr:uid="{F5EC0CFD-40C8-41A8-A1F1-1E67FB8D9BE9}"/>
    <cellStyle name="locked" xfId="240" xr:uid="{F954AE18-7388-4625-8ADF-C4042D89B69C}"/>
    <cellStyle name="m&amp;a" xfId="241" xr:uid="{533EB31D-A52E-4F5F-9478-5B69B6D07694}"/>
    <cellStyle name="Map Labels" xfId="242" xr:uid="{91408ED5-D7C3-45D1-BFE7-C099E9BAD13F}"/>
    <cellStyle name="Map Legend" xfId="243" xr:uid="{5409196C-0A42-481A-9DED-CFF6E53973FE}"/>
    <cellStyle name="Merrill" xfId="244" xr:uid="{15C8860E-C1FD-4C40-9D81-DFF1B87BDA9B}"/>
    <cellStyle name="Millares_Inv Detail A7" xfId="245" xr:uid="{784AA104-2E68-4217-90EE-53D30C201161}"/>
    <cellStyle name="Milliers [0]_r00SC" xfId="246" xr:uid="{967941CA-882F-43ED-BC06-5B592320EF1E}"/>
    <cellStyle name="Milliers_r00SC" xfId="247" xr:uid="{2F54F74E-4033-49CD-8B28-4F3387CC183A}"/>
    <cellStyle name="Mix" xfId="248" xr:uid="{52A29856-138B-4B80-8445-30F91221DEC5}"/>
    <cellStyle name="mon" xfId="249" xr:uid="{A9C7F30B-675A-47F6-875C-BD6CD4040A78}"/>
    <cellStyle name="Monétaire [0]_r00SC" xfId="250" xr:uid="{24ECABF0-55DE-4923-9CDE-BFA607AB9597}"/>
    <cellStyle name="Monétaire_r00SC" xfId="251" xr:uid="{F75A0835-5D69-4B69-8147-8C94FBBAA604}"/>
    <cellStyle name="Money" xfId="252" xr:uid="{3EFF215C-6BA7-4006-A8B0-9028DB0AAE80}"/>
    <cellStyle name="Multiple" xfId="253" xr:uid="{21C9872E-873E-43DF-AE9B-D973D655CBF5}"/>
    <cellStyle name="Multiple []" xfId="254" xr:uid="{49C6ACBE-D22B-4AC4-B8B0-5154979D0A74}"/>
    <cellStyle name="Multiple [0]" xfId="255" xr:uid="{BB4BEEEF-C989-4A70-8552-27265C54D2D0}"/>
    <cellStyle name="Multiple [0] []" xfId="256" xr:uid="{930FD40C-679B-4AF9-AB45-CBA5C71D3E55}"/>
    <cellStyle name="Multiple [0]_New MA Public Comps and WACC Model" xfId="257" xr:uid="{088EA93F-3964-4CF9-B245-C7E2AA679DF4}"/>
    <cellStyle name="Multiple [1]" xfId="258" xr:uid="{43620A6C-7455-45FC-87E7-E50C2163544D}"/>
    <cellStyle name="Multiple [1] []" xfId="259" xr:uid="{2BA7D8AD-1FB3-4783-9F86-7C64C95817C8}"/>
    <cellStyle name="Multiple [1]_New MA Public Comps and WACC Model" xfId="260" xr:uid="{E811C98F-63D1-44E9-AED5-F56E8ED669CE}"/>
    <cellStyle name="Multiple_CapitalSum" xfId="261" xr:uid="{035644BB-BEFF-405C-90F0-FF743BD9C8E2}"/>
    <cellStyle name="N2Style" xfId="262" xr:uid="{980212D0-4597-47CF-81AF-F757D4FA8576}"/>
    <cellStyle name="NewColumnHeaderNormal" xfId="263" xr:uid="{968966D8-C64F-4DF1-B4D2-921ED7817749}"/>
    <cellStyle name="NewSectionHeaderNormal" xfId="264" xr:uid="{F4F3D078-353D-40CE-87B1-3121B04430A1}"/>
    <cellStyle name="NewTitleNormal" xfId="265" xr:uid="{2E52DCA0-79A6-4F13-B86A-6F8EFA92E859}"/>
    <cellStyle name="Normal" xfId="0" builtinId="0"/>
    <cellStyle name="Normal - Style1" xfId="266" xr:uid="{5CF6BAC8-FC1C-475E-8136-CD6142379EDF}"/>
    <cellStyle name="Normal 101" xfId="267" xr:uid="{27AC67D6-706F-4D9A-ACB7-4E4CB5BA0C6B}"/>
    <cellStyle name="Normal 103 2" xfId="268" xr:uid="{0E7E2785-82AA-4328-BE84-ECD908E15B7B}"/>
    <cellStyle name="Normal 2" xfId="269" xr:uid="{AAB6607B-7CE8-4365-9603-4D8FE3FBBD9B}"/>
    <cellStyle name="Normal 2 2" xfId="270" xr:uid="{53E4C7BF-969A-466D-B7F1-06E15CB0F994}"/>
    <cellStyle name="Normal 3 3" xfId="271" xr:uid="{A26287B3-A128-4AD8-9653-1EC1A0653CC0}"/>
    <cellStyle name="Normal1" xfId="272" xr:uid="{A6216941-B3DD-4EDA-8462-CC86BDAA7169}"/>
    <cellStyle name="Normal10" xfId="273" xr:uid="{4C4E20F0-758B-4245-86D5-870FC51CCF29}"/>
    <cellStyle name="Normal100" xfId="274" xr:uid="{C8BDFFB6-EC50-4FEE-BBAE-550739F3C9A8}"/>
    <cellStyle name="Normal101" xfId="275" xr:uid="{CA4694AB-8528-40C7-AED9-BB59B89CFFA0}"/>
    <cellStyle name="Normal102" xfId="276" xr:uid="{49D59276-5569-43F1-AD38-BFBDBF8DA2E4}"/>
    <cellStyle name="Normal103" xfId="277" xr:uid="{12722212-78E8-4D04-ABF4-4AE674445857}"/>
    <cellStyle name="Normal104" xfId="278" xr:uid="{12A31B90-0E7E-4C8E-8977-0572DEC4876B}"/>
    <cellStyle name="Normal105" xfId="279" xr:uid="{FCD4DDFE-B66A-4609-B3E8-2731484E02EF}"/>
    <cellStyle name="Normal106" xfId="280" xr:uid="{E47C1AA2-EE13-4148-B1BC-75C6B94888E8}"/>
    <cellStyle name="Normal107" xfId="281" xr:uid="{EEE11F69-DF36-477C-9DCC-0022232891CE}"/>
    <cellStyle name="Normal108" xfId="282" xr:uid="{B575A0B2-1671-44A9-B0BF-A3C56135DC83}"/>
    <cellStyle name="Normal109" xfId="283" xr:uid="{DF710FEF-5DC3-4B46-BF95-9366F88BF9F6}"/>
    <cellStyle name="Normal11" xfId="284" xr:uid="{1B6F2FC1-7BAE-4947-8997-1A7E54446A4C}"/>
    <cellStyle name="Normal110" xfId="285" xr:uid="{7B32EB2A-7AAC-4C9C-AA4F-05897E934A98}"/>
    <cellStyle name="Normal111" xfId="286" xr:uid="{5E439AFB-2C05-4701-BDA2-3474C521B348}"/>
    <cellStyle name="Normal112" xfId="287" xr:uid="{633C8FB2-CB61-487C-A39B-37B9829BD4EB}"/>
    <cellStyle name="Normal113" xfId="288" xr:uid="{C1047852-55FA-4A3B-AD7C-E41D82251A60}"/>
    <cellStyle name="Normal114" xfId="289" xr:uid="{509673C7-85A9-4132-B252-D3A15720F441}"/>
    <cellStyle name="Normal115" xfId="290" xr:uid="{46CADF04-7E7A-4B9C-B882-E0EC055F7130}"/>
    <cellStyle name="Normal116" xfId="291" xr:uid="{DC2789CF-4FEC-4B6E-83FB-1C70CF503C1B}"/>
    <cellStyle name="Normal117" xfId="292" xr:uid="{8A130C63-BE03-478E-B371-798D4C8D0B94}"/>
    <cellStyle name="Normal118" xfId="293" xr:uid="{28016B76-8ED3-4CB8-B5AC-BC3627C60AF4}"/>
    <cellStyle name="Normal119" xfId="294" xr:uid="{22E579AC-A9C6-4B79-9178-D40939CCBC90}"/>
    <cellStyle name="Normal12" xfId="295" xr:uid="{BE164851-FE1F-4685-8922-F33655FF5FD7}"/>
    <cellStyle name="Normal120" xfId="296" xr:uid="{FF00A7DC-20AC-44F0-B57F-87EE0470AE01}"/>
    <cellStyle name="Normal121" xfId="297" xr:uid="{6CCF19AA-3707-4E38-934E-F0325593B5CE}"/>
    <cellStyle name="Normal122" xfId="298" xr:uid="{0EA8A303-5B28-4460-8CA7-0ACC2462E98F}"/>
    <cellStyle name="Normal123" xfId="299" xr:uid="{86E4E584-2CB8-454D-BE74-A6D9B74F4329}"/>
    <cellStyle name="Normal124" xfId="300" xr:uid="{15864EEF-D1D2-4305-B0FD-C0B1B4A36F7D}"/>
    <cellStyle name="Normal125" xfId="301" xr:uid="{D0F5487C-BBCE-4AE6-889E-F8116AE004A6}"/>
    <cellStyle name="Normal126" xfId="302" xr:uid="{B58EC6D9-3A88-4F89-B74B-D238E1CD9A5E}"/>
    <cellStyle name="Normal127" xfId="303" xr:uid="{9A315222-37F6-4DB8-AD27-3F2A842A6373}"/>
    <cellStyle name="Normal128" xfId="304" xr:uid="{CE416FC1-1022-474C-A1DF-ECD46F32C95F}"/>
    <cellStyle name="Normal129" xfId="305" xr:uid="{75158817-1D89-4165-BF14-5E1A4395F323}"/>
    <cellStyle name="Normal13" xfId="306" xr:uid="{A2F7CD8E-6CE0-4AD5-B289-1B7B02D1D073}"/>
    <cellStyle name="Normal130" xfId="307" xr:uid="{DF8BCAA9-C62F-45AE-A50B-A29DCDA361BA}"/>
    <cellStyle name="Normal131" xfId="308" xr:uid="{35BE0E5C-B1F5-47AB-BB94-7F03E6B4BFE0}"/>
    <cellStyle name="Normal132" xfId="309" xr:uid="{844794B7-FC45-4E4C-B76B-40BC55434328}"/>
    <cellStyle name="Normal133" xfId="310" xr:uid="{E687848D-E7D7-4B16-84D6-83F8364E998B}"/>
    <cellStyle name="Normal134" xfId="311" xr:uid="{E20EB365-F305-4DBC-AA5A-0DBF8D78B73B}"/>
    <cellStyle name="Normal135" xfId="312" xr:uid="{FC053CFA-F459-401E-8AF3-B35326D221B0}"/>
    <cellStyle name="Normal136" xfId="313" xr:uid="{CEA797DE-8572-4343-ACC3-ABCE910D6E4B}"/>
    <cellStyle name="Normal137" xfId="314" xr:uid="{5EEE8FAA-6A3D-458A-B3E7-B9AFADD88E91}"/>
    <cellStyle name="Normal138" xfId="315" xr:uid="{38518C3C-2C35-4DA5-8AD6-991351558554}"/>
    <cellStyle name="Normal139" xfId="316" xr:uid="{ABBF6784-740C-4D56-A63C-43D35B02A33D}"/>
    <cellStyle name="Normal14" xfId="317" xr:uid="{59875924-73E5-4697-8ED1-93D32761EE1A}"/>
    <cellStyle name="Normal140" xfId="318" xr:uid="{4BB87082-068D-4101-9096-8A3FEB1433A1}"/>
    <cellStyle name="Normal141" xfId="319" xr:uid="{714D8A1B-4E56-468B-9B6F-2A0D0233DFA5}"/>
    <cellStyle name="Normal142" xfId="320" xr:uid="{3DE745D7-FA31-489C-85F9-41C48A761670}"/>
    <cellStyle name="Normal143" xfId="321" xr:uid="{BA7BA323-3A50-418B-8009-711762E65393}"/>
    <cellStyle name="Normal144" xfId="322" xr:uid="{A1FAB754-5DB2-4005-BA36-8AD79600D50A}"/>
    <cellStyle name="Normal145" xfId="323" xr:uid="{A6537498-EF43-4B0E-8E10-178E7104ADAA}"/>
    <cellStyle name="Normal146" xfId="324" xr:uid="{EA1BB9AD-B867-4774-96C9-6B53132F71A5}"/>
    <cellStyle name="Normal147" xfId="325" xr:uid="{EA336050-9029-42E5-A6CF-4BCC4B7209DA}"/>
    <cellStyle name="Normal148" xfId="326" xr:uid="{ED10FD1F-823E-4812-BBDA-BD0579DC5BE9}"/>
    <cellStyle name="Normal149" xfId="327" xr:uid="{DA683BD7-D0B2-4C1B-95A9-1B3D08208A91}"/>
    <cellStyle name="Normal15" xfId="328" xr:uid="{1FAFF86B-9403-426D-ACE9-500E2721AC75}"/>
    <cellStyle name="Normal150" xfId="329" xr:uid="{DE834D17-BD8B-4403-A026-586995CBF03E}"/>
    <cellStyle name="Normal151" xfId="330" xr:uid="{12687CF3-70F7-49DD-B92C-073D70AFB1C7}"/>
    <cellStyle name="Normal152" xfId="331" xr:uid="{BCAFAD7B-0764-49B2-B2FF-7936EF9B27DD}"/>
    <cellStyle name="Normal153" xfId="332" xr:uid="{774F2299-3B97-47A1-B2C0-C5FB95EA7993}"/>
    <cellStyle name="Normal154" xfId="333" xr:uid="{372B5EB7-D43A-4EC4-9E9C-BD18BD370CED}"/>
    <cellStyle name="Normal155" xfId="334" xr:uid="{092AD770-62FA-40C3-AD48-5FB3C2DAC3B6}"/>
    <cellStyle name="Normal156" xfId="335" xr:uid="{0EA570E1-4BB5-40E4-8DD8-F3F4342377AC}"/>
    <cellStyle name="Normal157" xfId="336" xr:uid="{3BF915E0-D67C-471C-8658-66555924B9C0}"/>
    <cellStyle name="Normal158" xfId="337" xr:uid="{FCC6BE70-A024-42E9-BBF2-1F49016F9A71}"/>
    <cellStyle name="Normal159" xfId="338" xr:uid="{9CF38DE6-2F64-4A22-AB80-33C45B1348D1}"/>
    <cellStyle name="Normal16" xfId="339" xr:uid="{FC97C5A8-B98B-443D-B12D-C8AEE0B167AD}"/>
    <cellStyle name="Normal160" xfId="340" xr:uid="{7DE4CDD7-B1F6-4EF0-B42F-AF31C85C6FBB}"/>
    <cellStyle name="Normal161" xfId="341" xr:uid="{2E1FAA89-E0F3-479F-A8F6-FC83300C9A83}"/>
    <cellStyle name="Normal162" xfId="342" xr:uid="{DDB44F22-C4B3-41C0-9676-761E857EF9CC}"/>
    <cellStyle name="Normal163" xfId="343" xr:uid="{FB754C1C-2A67-4766-84D9-C388F810A408}"/>
    <cellStyle name="Normal164" xfId="344" xr:uid="{04FABFC2-D330-4AC5-B4AC-ADC31A59E02E}"/>
    <cellStyle name="Normal165" xfId="345" xr:uid="{66342B10-4D88-40CC-BC6A-632BCD04D61B}"/>
    <cellStyle name="Normal166" xfId="346" xr:uid="{1DB26579-BF2F-4CC6-9526-FB3C7584E99E}"/>
    <cellStyle name="Normal167" xfId="347" xr:uid="{B1711C6A-1C30-477E-A450-40D078E3ADF8}"/>
    <cellStyle name="Normal168" xfId="348" xr:uid="{C49B482F-739C-420D-B36D-D87A6DD63F26}"/>
    <cellStyle name="Normal169" xfId="349" xr:uid="{4235E6E2-2FCD-42C8-8D80-F30794AC8540}"/>
    <cellStyle name="Normal17" xfId="350" xr:uid="{FE49DA73-F115-410B-A640-4D8B5FB5113B}"/>
    <cellStyle name="Normal170" xfId="351" xr:uid="{25A39F98-C5DE-4192-B8F8-EBEB0B673222}"/>
    <cellStyle name="Normal171" xfId="352" xr:uid="{268C3444-74F4-4AEC-8178-0921C8549663}"/>
    <cellStyle name="Normal172" xfId="353" xr:uid="{89CB68EC-D14B-4321-B0F5-1EB5D30A5D9C}"/>
    <cellStyle name="Normal173" xfId="354" xr:uid="{8DD2D971-D0A7-4B8E-9653-6EAEC45E321F}"/>
    <cellStyle name="Normal174" xfId="355" xr:uid="{D568CC48-2E28-459E-8B31-15DA15D60ED9}"/>
    <cellStyle name="Normal175" xfId="356" xr:uid="{BB484A03-1F05-44FB-9369-8C2CAA251771}"/>
    <cellStyle name="Normal176" xfId="357" xr:uid="{E21A2327-BC71-4128-8EA2-E05AF0E91454}"/>
    <cellStyle name="Normal177" xfId="358" xr:uid="{6D638B23-2045-4C28-9FF8-27DF77BD56B8}"/>
    <cellStyle name="Normal178" xfId="359" xr:uid="{B9148BBC-2FA6-4FAC-88BC-94F8B7A86B0D}"/>
    <cellStyle name="Normal179" xfId="360" xr:uid="{82140952-53E0-429E-B1D3-ABBE17FF5FF8}"/>
    <cellStyle name="Normal18" xfId="361" xr:uid="{A3498A08-18F9-4219-B54F-800CD72E4D28}"/>
    <cellStyle name="Normal180" xfId="362" xr:uid="{5935D5C4-E4BC-4E0C-89F5-13FE60D20800}"/>
    <cellStyle name="Normal181" xfId="363" xr:uid="{2048AB30-60F9-45A9-B8F4-115B27DDBE91}"/>
    <cellStyle name="Normal182" xfId="364" xr:uid="{D4995B73-A105-45A7-ADC6-470F8A09B5AD}"/>
    <cellStyle name="Normal183" xfId="365" xr:uid="{7D077201-FE3F-401C-A8DA-B64FD129E9DF}"/>
    <cellStyle name="Normal184" xfId="366" xr:uid="{10C27A0C-C162-4E43-A937-B3DAE8476E16}"/>
    <cellStyle name="Normal185" xfId="367" xr:uid="{7833D46F-A59B-4C69-B77D-6572B7447D3B}"/>
    <cellStyle name="Normal186" xfId="368" xr:uid="{FCD2250B-6B8C-4C14-86E3-46063F0FE446}"/>
    <cellStyle name="Normal187" xfId="369" xr:uid="{F0CF19AA-C301-4350-90ED-E28F1C30BB31}"/>
    <cellStyle name="Normal188" xfId="370" xr:uid="{79439909-929E-436E-B4D4-6502A22DFFCD}"/>
    <cellStyle name="Normal189" xfId="371" xr:uid="{F0805910-3E93-46CC-AE88-29E7E1EAE4C4}"/>
    <cellStyle name="Normal19" xfId="372" xr:uid="{82F49412-0998-4158-B54C-D0198CBCA507}"/>
    <cellStyle name="Normal190" xfId="373" xr:uid="{029B91C4-1E58-4E5D-B746-1DDD608594DE}"/>
    <cellStyle name="Normal191" xfId="374" xr:uid="{890C906B-16A1-4F4A-999F-5D43756CFDDB}"/>
    <cellStyle name="Normal192" xfId="375" xr:uid="{8896EB41-1644-438B-B7C9-1073C8396D3A}"/>
    <cellStyle name="Normal193" xfId="376" xr:uid="{E0B5B78C-2DDF-4B0A-8C7B-2411D387FEE3}"/>
    <cellStyle name="Normal194" xfId="377" xr:uid="{898F3D6D-698F-4428-905E-6B66C205D30E}"/>
    <cellStyle name="Normal195" xfId="378" xr:uid="{EC5FF87F-68A6-451B-8EC9-876C449DBA9E}"/>
    <cellStyle name="Normal196" xfId="379" xr:uid="{F025CC5B-3522-4E50-9CFC-355F7396773A}"/>
    <cellStyle name="Normal197" xfId="380" xr:uid="{4D12C297-A323-4654-9B3D-0FEE7602BC5D}"/>
    <cellStyle name="Normal198" xfId="381" xr:uid="{E46DC7A7-45FC-4FED-928F-A21AA7C4EDD9}"/>
    <cellStyle name="Normal199" xfId="382" xr:uid="{25BFF899-9F32-4AF0-B849-1D18D3D94675}"/>
    <cellStyle name="Normal2" xfId="383" xr:uid="{3F3DABD9-4F94-4FF5-9CBA-60380F0E8E27}"/>
    <cellStyle name="Normal20" xfId="384" xr:uid="{F7E55080-6671-4C87-BB8B-86F314AC443B}"/>
    <cellStyle name="Normal200" xfId="385" xr:uid="{55241EF6-C424-4DB1-9BED-2BDA0EBD9D4E}"/>
    <cellStyle name="Normal201" xfId="386" xr:uid="{9584D955-AC6D-43D1-ADCA-A415A152A1E3}"/>
    <cellStyle name="Normal202" xfId="387" xr:uid="{3701191A-AFC2-4DBC-8D1C-9174016C2F6D}"/>
    <cellStyle name="Normal203" xfId="388" xr:uid="{8E6DF40F-2119-4312-B5E5-5F84FD88782E}"/>
    <cellStyle name="Normal204" xfId="389" xr:uid="{8F94BF65-CA03-455C-8191-B98E22370D40}"/>
    <cellStyle name="Normal205" xfId="390" xr:uid="{C258C49A-89A8-464C-8394-8289C56C4A53}"/>
    <cellStyle name="Normal206" xfId="391" xr:uid="{6BDE405F-C035-487B-8F73-97265DCEBC3B}"/>
    <cellStyle name="Normal207" xfId="392" xr:uid="{7E3161C7-FAC1-43AB-81C1-C2962E7491EB}"/>
    <cellStyle name="Normal208" xfId="393" xr:uid="{F2A4705B-1779-4391-8954-2AF919FFB1AB}"/>
    <cellStyle name="Normal209" xfId="394" xr:uid="{9FC862F3-77E1-4783-A2E8-65750B4E6E40}"/>
    <cellStyle name="Normal21" xfId="395" xr:uid="{7ABFD97F-D28C-4E36-9CD4-3E93996CC2DB}"/>
    <cellStyle name="Normal210" xfId="396" xr:uid="{4D795AB7-BF22-4996-BD3B-961C010FEEC0}"/>
    <cellStyle name="Normal211" xfId="397" xr:uid="{2B3DB8DC-18B9-418C-BBC7-CB3B52D488EB}"/>
    <cellStyle name="Normal212" xfId="398" xr:uid="{C349AF10-81E0-4C17-9B86-91AAD662F92A}"/>
    <cellStyle name="Normal213" xfId="399" xr:uid="{89E0CEB7-CFDA-4711-9EB6-BAB8293BAF8C}"/>
    <cellStyle name="Normal214" xfId="400" xr:uid="{1A905709-D88C-4055-8D5C-15C7A91D327E}"/>
    <cellStyle name="Normal215" xfId="401" xr:uid="{6CC94A09-C1E1-42A0-8ADD-8B4A7E8D441C}"/>
    <cellStyle name="Normal216" xfId="402" xr:uid="{32E908A8-EDFD-4585-8ECA-C4D22308EC54}"/>
    <cellStyle name="Normal217" xfId="403" xr:uid="{49C17B56-0E81-495E-A795-4B9C83E1B0B4}"/>
    <cellStyle name="Normal218" xfId="404" xr:uid="{A0779296-6B4A-4CB9-AC2E-749665255BF9}"/>
    <cellStyle name="Normal219" xfId="405" xr:uid="{4E2DD8FE-16D3-457A-8CD5-4933E0890BC7}"/>
    <cellStyle name="Normal22" xfId="406" xr:uid="{B5770911-18DB-4A57-96C3-822D189B0A66}"/>
    <cellStyle name="Normal220" xfId="407" xr:uid="{48E470D9-3522-4A13-827A-1C502046B939}"/>
    <cellStyle name="Normal221" xfId="408" xr:uid="{182178EF-56A0-4FEA-A1CA-27F51E243DCB}"/>
    <cellStyle name="Normal222" xfId="409" xr:uid="{E8C9BC5A-4966-42FC-8D35-60B00BE03309}"/>
    <cellStyle name="Normal223" xfId="410" xr:uid="{B1F401CB-918D-4188-9841-23510BF4D498}"/>
    <cellStyle name="Normal224" xfId="411" xr:uid="{3C66986A-52C5-495B-BE83-AA5B28587D11}"/>
    <cellStyle name="Normal225" xfId="412" xr:uid="{3642E384-0500-40B6-A32B-13D467B874AD}"/>
    <cellStyle name="Normal226" xfId="413" xr:uid="{F0D2A9F2-2448-4C83-AEEB-7FF44BC84502}"/>
    <cellStyle name="Normal227" xfId="414" xr:uid="{4E625DCD-21CF-496D-B0B0-F9F094B2F9C5}"/>
    <cellStyle name="Normal228" xfId="415" xr:uid="{22743012-A33D-4C78-9561-B9A236977E48}"/>
    <cellStyle name="Normal229" xfId="416" xr:uid="{E3893174-8F36-45E9-AFF9-4D56675F860C}"/>
    <cellStyle name="Normal23" xfId="417" xr:uid="{C50E8460-1D2A-4300-AA75-BA79CC89CB33}"/>
    <cellStyle name="Normal230" xfId="418" xr:uid="{AA395997-A477-4413-AA7A-7AD7E5C2B735}"/>
    <cellStyle name="Normal231" xfId="419" xr:uid="{29ECE617-6134-446D-A19E-2053E7D13544}"/>
    <cellStyle name="Normal232" xfId="420" xr:uid="{126A48C2-94E8-4AB9-A2F2-58931913E8AF}"/>
    <cellStyle name="Normal233" xfId="421" xr:uid="{7DC27E3B-EF7F-4398-B941-4515366756B8}"/>
    <cellStyle name="Normal234" xfId="422" xr:uid="{49D50DA3-3AE6-4386-8ACC-74FB9C1C251A}"/>
    <cellStyle name="Normal235" xfId="423" xr:uid="{4022FBD0-F83F-48BB-853C-355ED94282D1}"/>
    <cellStyle name="Normal236" xfId="424" xr:uid="{EAF0BF19-BD63-4604-9970-7EC8B6811005}"/>
    <cellStyle name="Normal237" xfId="425" xr:uid="{48A1E770-235F-4CF1-9BEA-FD3275EB3BB9}"/>
    <cellStyle name="Normal238" xfId="426" xr:uid="{87E0DFA7-A17F-4CB6-BFFC-5F7CECFFD0AD}"/>
    <cellStyle name="Normal239" xfId="427" xr:uid="{E7189222-EC35-4BFF-B13B-E3686954813B}"/>
    <cellStyle name="Normal24" xfId="428" xr:uid="{6531B16A-E308-4B65-8289-3DD27FA13838}"/>
    <cellStyle name="Normal240" xfId="429" xr:uid="{B5D847AA-14BC-46B4-978F-2A5C76412037}"/>
    <cellStyle name="Normal241" xfId="430" xr:uid="{1E20C8C4-2CD7-4140-9788-C1548CDC6FDE}"/>
    <cellStyle name="Normal242" xfId="431" xr:uid="{A59D3914-3D4C-4759-9842-481BC0157937}"/>
    <cellStyle name="Normal243" xfId="432" xr:uid="{D22D83D0-F70B-4B02-ACA9-7A08FCB2BD17}"/>
    <cellStyle name="Normal244" xfId="433" xr:uid="{033C06D6-5109-4236-A4B8-65AE079A6334}"/>
    <cellStyle name="Normal245" xfId="434" xr:uid="{ECB4E683-5ADF-4395-AB05-84646ECE62F3}"/>
    <cellStyle name="Normal246" xfId="435" xr:uid="{625AAB1D-FF04-4537-AD8C-070A00220D25}"/>
    <cellStyle name="Normal247" xfId="436" xr:uid="{D82D87EF-E0D2-4B32-A209-F645A730FC02}"/>
    <cellStyle name="Normal248" xfId="437" xr:uid="{25C8BD78-2B12-47B6-877C-7C763E20BCC6}"/>
    <cellStyle name="Normal249" xfId="438" xr:uid="{D76ACE30-7FFD-40E5-881A-2944B7BA1C2D}"/>
    <cellStyle name="Normal25" xfId="439" xr:uid="{1A8D8F5F-8CA8-4FB0-B3E5-B56C3458E84B}"/>
    <cellStyle name="Normal250" xfId="440" xr:uid="{FA60FB4A-8758-47A0-91D2-ED3E203DC1E4}"/>
    <cellStyle name="Normal251" xfId="441" xr:uid="{67E7125C-51C5-40C5-823F-F942785E8A2F}"/>
    <cellStyle name="Normal252" xfId="442" xr:uid="{ED2F00E1-85B9-40FE-BC16-08598F727419}"/>
    <cellStyle name="Normal253" xfId="443" xr:uid="{7B8FE11C-4690-4323-B7C5-529207ADA21F}"/>
    <cellStyle name="Normal26" xfId="444" xr:uid="{7CF784BD-0202-4308-BA58-8F20850A507E}"/>
    <cellStyle name="Normal27" xfId="445" xr:uid="{EFB12528-6330-43EA-9127-EA1FBAFE3556}"/>
    <cellStyle name="Normal28" xfId="446" xr:uid="{8F103CAF-004E-4A17-A01C-F1A304F11E6C}"/>
    <cellStyle name="Normal29" xfId="447" xr:uid="{381E8959-F7FA-4DFB-8FD3-7376A24252CB}"/>
    <cellStyle name="Normal3" xfId="448" xr:uid="{984229EC-880E-496B-8C8D-F80DDE42A79D}"/>
    <cellStyle name="Normal30" xfId="449" xr:uid="{C5FB6E91-BECC-4C07-96BC-072A94F38169}"/>
    <cellStyle name="Normal31" xfId="450" xr:uid="{154B1F1C-B242-444C-B52B-8058B92700C7}"/>
    <cellStyle name="Normal32" xfId="451" xr:uid="{B07C8906-0706-4651-AC60-6B9F9F4AEC79}"/>
    <cellStyle name="Normal33" xfId="452" xr:uid="{785EDB09-28C2-4483-9118-1635CCCCBCB6}"/>
    <cellStyle name="Normal34" xfId="453" xr:uid="{9F577581-E951-4F5F-986E-284E8ED6CC43}"/>
    <cellStyle name="Normal35" xfId="454" xr:uid="{00C90DB7-8360-4E88-A594-BA525FBFFEE4}"/>
    <cellStyle name="Normal36" xfId="455" xr:uid="{9C8566C4-23B4-439A-A462-87995F9421C3}"/>
    <cellStyle name="Normal37" xfId="456" xr:uid="{5ED1D7A9-330A-4CE2-90FF-7AE7EA8057E7}"/>
    <cellStyle name="Normal38" xfId="457" xr:uid="{810BA608-CCDE-4CB2-9170-7EF921213FC6}"/>
    <cellStyle name="Normal39" xfId="458" xr:uid="{A74EA1A9-C6F3-41AE-930C-DA08A432BE16}"/>
    <cellStyle name="Normal4" xfId="459" xr:uid="{A9DED616-C7A4-4B71-853B-57B7983B1C9F}"/>
    <cellStyle name="Normal40" xfId="460" xr:uid="{79C7505B-510D-401E-BE40-E1F38CA10704}"/>
    <cellStyle name="Normal41" xfId="461" xr:uid="{A5555546-36B3-429B-A9E9-93C502355D97}"/>
    <cellStyle name="Normal42" xfId="462" xr:uid="{FEBD14A3-9975-45FA-BF6F-E1F441355286}"/>
    <cellStyle name="Normal43" xfId="463" xr:uid="{CD4C4A06-B587-4DFF-A397-934873FC38A4}"/>
    <cellStyle name="Normal44" xfId="464" xr:uid="{A12512D5-BA04-40EE-A514-C538F50E0654}"/>
    <cellStyle name="Normal45" xfId="465" xr:uid="{42415728-FAC5-48FB-B0C2-BB01B42F7D42}"/>
    <cellStyle name="Normal46" xfId="466" xr:uid="{7125246B-832A-4361-81DC-6BE1F094530F}"/>
    <cellStyle name="Normal47" xfId="467" xr:uid="{DA3A4140-37DB-4C22-A9F0-A618BD8E29DC}"/>
    <cellStyle name="Normal48" xfId="468" xr:uid="{C5BB39A4-C47D-4602-956B-AA4977CEE2A6}"/>
    <cellStyle name="Normal49" xfId="469" xr:uid="{A5558FE4-7B73-4C85-8305-822133F03753}"/>
    <cellStyle name="Normal5" xfId="470" xr:uid="{96AAD9AC-1514-4434-AC97-96BF56B5BD41}"/>
    <cellStyle name="Normal50" xfId="471" xr:uid="{82454BE9-AB5D-4D13-988C-385CB0C68A2E}"/>
    <cellStyle name="Normal51" xfId="472" xr:uid="{8506D874-7A8A-4896-9E93-BAC18D771260}"/>
    <cellStyle name="Normal52" xfId="473" xr:uid="{974EF282-773D-4AF8-AA31-22349FE0F216}"/>
    <cellStyle name="Normal53" xfId="474" xr:uid="{3EC346AE-AD9D-43C0-A8B7-6DD613F64FDA}"/>
    <cellStyle name="Normal54" xfId="475" xr:uid="{DE424AC5-CAE3-46C0-9FEC-30DFA0F5152E}"/>
    <cellStyle name="Normal55" xfId="476" xr:uid="{0ADFA721-33D1-46AB-9531-615222ED65F1}"/>
    <cellStyle name="Normal56" xfId="477" xr:uid="{6F131E8C-08B6-442C-862E-BE42A67862B1}"/>
    <cellStyle name="Normal57" xfId="478" xr:uid="{C34FBF6B-107B-461C-8CD9-51A738A74F21}"/>
    <cellStyle name="Normal58" xfId="479" xr:uid="{4E6AF917-40BE-476D-88D1-9636A1D782F4}"/>
    <cellStyle name="Normal59" xfId="480" xr:uid="{361EDE5C-FD56-4C37-872B-65AAF238422E}"/>
    <cellStyle name="Normal6" xfId="481" xr:uid="{F41CDCEB-725F-400F-A640-95E1B2EB0C07}"/>
    <cellStyle name="Normal60" xfId="482" xr:uid="{A68CEDED-21C4-4909-B70A-417F72EE6EBA}"/>
    <cellStyle name="Normal61" xfId="483" xr:uid="{1F236BEC-D0ED-4D34-A1C9-6ED37ADC2291}"/>
    <cellStyle name="Normal62" xfId="484" xr:uid="{5B9B7060-47A7-435C-AFE9-6BE2BB7DD8EA}"/>
    <cellStyle name="Normal63" xfId="485" xr:uid="{2FFC7CE7-27B6-4D92-9704-7EDE99D4E0C6}"/>
    <cellStyle name="Normal64" xfId="486" xr:uid="{D58150FD-8897-43CC-9299-DD25A6869567}"/>
    <cellStyle name="Normal65" xfId="487" xr:uid="{28983BB0-640B-4CAC-AFB3-13173053F410}"/>
    <cellStyle name="Normal66" xfId="488" xr:uid="{D2916AA8-F042-4486-A1F8-13F718C538D1}"/>
    <cellStyle name="Normal67" xfId="489" xr:uid="{3ECD4B0B-63DD-43E2-B868-543D6F22A652}"/>
    <cellStyle name="Normal68" xfId="490" xr:uid="{42A04B64-1C4D-4F06-B62B-6013858B76E5}"/>
    <cellStyle name="Normal69" xfId="491" xr:uid="{084D87C8-B82A-4873-A847-25D61FBD51CC}"/>
    <cellStyle name="Normal7" xfId="492" xr:uid="{78BAA568-84DF-4347-9075-0801877A6B36}"/>
    <cellStyle name="Normal70" xfId="493" xr:uid="{CFE470F1-D451-44FA-9F8C-A982751DEC80}"/>
    <cellStyle name="Normal71" xfId="494" xr:uid="{462C7BC7-8108-4F75-B078-FC219C361E68}"/>
    <cellStyle name="Normal72" xfId="495" xr:uid="{13B262C1-C3DB-4CA4-9FAC-593614E4151F}"/>
    <cellStyle name="Normal73" xfId="496" xr:uid="{35FC7896-5C20-4F04-8587-42F48CE105EB}"/>
    <cellStyle name="Normal74" xfId="497" xr:uid="{4EA97B82-87B6-49B6-B10B-DCB52CF2BEE8}"/>
    <cellStyle name="Normal75" xfId="498" xr:uid="{C195A263-9450-4288-A832-A17167B51D5E}"/>
    <cellStyle name="Normal76" xfId="499" xr:uid="{A7FAE6AA-4FB3-47BD-AFF1-991466CB48AF}"/>
    <cellStyle name="Normal77" xfId="500" xr:uid="{828ACEF6-C183-4D5C-A018-57177D57CC22}"/>
    <cellStyle name="Normal78" xfId="501" xr:uid="{7D12A746-EE92-4C29-B5F5-2E175BF86847}"/>
    <cellStyle name="Normal79" xfId="502" xr:uid="{53A2C65B-26AB-46E9-8BC7-3BEF4AA66929}"/>
    <cellStyle name="Normal8" xfId="503" xr:uid="{A39D37E5-95FB-4999-BEA8-8DF867B9372A}"/>
    <cellStyle name="Normal80" xfId="504" xr:uid="{F73328AB-3A91-451D-B588-EB6E45C94A0E}"/>
    <cellStyle name="Normal81" xfId="505" xr:uid="{FCE3AAD7-4FE0-4E03-8EFD-1D7B126FFAF7}"/>
    <cellStyle name="Normal82" xfId="506" xr:uid="{804DB5CD-2F25-4F87-BC35-CA57EC1C505C}"/>
    <cellStyle name="Normal83" xfId="507" xr:uid="{FBA986FB-CCB3-4877-8319-AC8152F60664}"/>
    <cellStyle name="Normal84" xfId="508" xr:uid="{1AF90D9D-6D62-40A0-B13C-F218791B3BA3}"/>
    <cellStyle name="Normal85" xfId="509" xr:uid="{210D7DD6-84FA-424F-BD4A-0F1B7FA9A513}"/>
    <cellStyle name="Normal86" xfId="510" xr:uid="{FA97267A-88C2-4C90-BCDF-C5AC929FFE5A}"/>
    <cellStyle name="Normal87" xfId="511" xr:uid="{096D5DC6-ED48-4265-8797-C66824B9A086}"/>
    <cellStyle name="Normal88" xfId="512" xr:uid="{8DF2426C-9032-4642-BC1B-A32658B9305D}"/>
    <cellStyle name="Normal89" xfId="513" xr:uid="{60736AF5-592D-4DE8-9BAB-284502927DDA}"/>
    <cellStyle name="Normal9" xfId="514" xr:uid="{0C3758A1-0EEE-4E70-B709-650B3F9D381A}"/>
    <cellStyle name="Normal90" xfId="515" xr:uid="{54535395-0195-46F5-A351-9D689BFF9F63}"/>
    <cellStyle name="Normal91" xfId="516" xr:uid="{15A954B2-BDB7-45AA-9495-4E941E6D5D0B}"/>
    <cellStyle name="Normal92" xfId="517" xr:uid="{A7819D65-B7EF-431A-9B81-770362290E6E}"/>
    <cellStyle name="Normal93" xfId="518" xr:uid="{F58DFC20-7BAE-42F0-ABDD-A95080C72A1B}"/>
    <cellStyle name="Normal94" xfId="519" xr:uid="{514281A3-BA38-43D2-9BBB-8E11CA033275}"/>
    <cellStyle name="Normal95" xfId="520" xr:uid="{88029804-D18B-4ED2-A8B7-1EE5FDF119F7}"/>
    <cellStyle name="Normal96" xfId="521" xr:uid="{AED6F656-3CD5-483A-9EDA-836F6E477A77}"/>
    <cellStyle name="Normal97" xfId="522" xr:uid="{B4B3E753-9073-46CC-A40F-298CCE988D93}"/>
    <cellStyle name="Normal98" xfId="523" xr:uid="{9810A973-5000-42EA-9BB8-DEA8D2C43341}"/>
    <cellStyle name="Normal99" xfId="524" xr:uid="{927F7B2D-DF88-4CFB-B9B4-ABCBC5ACCF87}"/>
    <cellStyle name="NotDeclared_1" xfId="525" xr:uid="{2EAB2B0F-6C0D-4BCB-A16E-EE0CE6CF9000}"/>
    <cellStyle name="Numbers" xfId="526" xr:uid="{3858ED12-4E2D-4FE5-A6D0-0A85A17F37B5}"/>
    <cellStyle name="Numbers - Bold" xfId="527" xr:uid="{93FA4CB1-FBAE-419D-AECA-DF944A5B0B48}"/>
    <cellStyle name="Numbers - Bold - Italic" xfId="528" xr:uid="{514C3B01-7CCB-4750-B92E-F63854B2D358}"/>
    <cellStyle name="Numbers - Bold_6079BX" xfId="529" xr:uid="{D7697743-ACE0-4737-81EE-C5E7ECD40350}"/>
    <cellStyle name="Numbers - Large" xfId="530" xr:uid="{E73376FF-D5B1-4A5C-A5EA-8079AE1527F4}"/>
    <cellStyle name="Numbers_6079BX" xfId="531" xr:uid="{CF430548-2E1B-4BA7-AF94-ED376BC87F50}"/>
    <cellStyle name="OSW_RowLabels" xfId="532" xr:uid="{BEED9784-9047-4667-8F1B-787625E6DDC4}"/>
    <cellStyle name="Outline" xfId="533" xr:uid="{B92EC724-16E3-45ED-BD22-8DB2D3747F70}"/>
    <cellStyle name="Output Amounts" xfId="534" xr:uid="{3FF7CDEC-4129-4D62-A469-B118094F4177}"/>
    <cellStyle name="Output Column Headings" xfId="535" xr:uid="{A527EC0A-2037-4FF1-B9B4-41C3E120B8A5}"/>
    <cellStyle name="Output Line Items" xfId="536" xr:uid="{1918A6A1-001C-4941-A4E4-C3E90428F1E6}"/>
    <cellStyle name="Output Report Heading" xfId="537" xr:uid="{EBA9B854-6743-4B2B-8146-2598E56E5030}"/>
    <cellStyle name="Page" xfId="538" xr:uid="{6C598BC7-4C52-4A94-8C3F-BDC39791006A}"/>
    <cellStyle name="PB Table Heading" xfId="539" xr:uid="{CE7530C0-EE5F-4357-A8C8-96386A7D7D8B}"/>
    <cellStyle name="PB Table Highlight1" xfId="540" xr:uid="{44EF7690-BF9F-4A17-94E1-499F6BD7355D}"/>
    <cellStyle name="PB Table Highlight2" xfId="541" xr:uid="{E161DE3C-926E-4048-A423-4ECE8432D5F5}"/>
    <cellStyle name="PB Table Highlight3" xfId="542" xr:uid="{3BDBE71E-4849-410D-BBF8-AC25EA3FD6F0}"/>
    <cellStyle name="PB Table Standard Row" xfId="543" xr:uid="{8605DF57-6484-4560-A2B7-4C22679F5555}"/>
    <cellStyle name="PB Table Subtotal Row" xfId="544" xr:uid="{E48CD88F-B119-4EC5-9417-E76F159ED15A}"/>
    <cellStyle name="PB Table Total Row" xfId="545" xr:uid="{7FAFC3C8-5B8B-43F6-A2DB-240E11743FBD}"/>
    <cellStyle name="Per cent" xfId="547" builtinId="5"/>
    <cellStyle name="per.style" xfId="546" xr:uid="{992E17F9-2D41-4F77-9266-FDF2DD9750D4}"/>
    <cellStyle name="Percent [0]" xfId="548" xr:uid="{C53139D0-C5B0-4695-B386-F158143E448C}"/>
    <cellStyle name="Percent [00]" xfId="549" xr:uid="{284348E2-5D7B-42E4-B492-C2A9AB5EC06A}"/>
    <cellStyle name="Percent [1]" xfId="550" xr:uid="{8E6E06AC-5BDA-4374-823F-6AB1014F6DC0}"/>
    <cellStyle name="Percent [1][]" xfId="551" xr:uid="{5CF20750-AF87-4EC0-84DE-D95C2E4B30C2}"/>
    <cellStyle name="Percent [1]_New MA Public Comps and WACC Model" xfId="552" xr:uid="{9E7D4CE8-E989-4662-8735-1EE6893A32F3}"/>
    <cellStyle name="Percent [2]" xfId="553" xr:uid="{A2F41158-1C79-4B8D-8499-931315948EAA}"/>
    <cellStyle name="Percent 2" xfId="554" xr:uid="{90948A26-3E98-4392-BAA3-F6DA8D5B6995}"/>
    <cellStyle name="Percent Comma" xfId="555" xr:uid="{6B8E4AD1-1921-4A7A-9827-63A13C90D3D1}"/>
    <cellStyle name="Percent1" xfId="556" xr:uid="{6EB072D0-1E6F-4772-BE3C-00E8620047C8}"/>
    <cellStyle name="Percent10" xfId="557" xr:uid="{CEAFEEA8-A459-405E-9F00-4CABB82BB09C}"/>
    <cellStyle name="Percent100" xfId="558" xr:uid="{171B83A7-0A73-42FB-A3D6-A59827C2FF59}"/>
    <cellStyle name="Percent101" xfId="559" xr:uid="{E9F31F53-2DEB-4FCA-A3BD-F09981CC50CD}"/>
    <cellStyle name="Percent102" xfId="560" xr:uid="{8C2E7E72-EE04-4F7F-B638-49F1A8EB6F57}"/>
    <cellStyle name="Percent103" xfId="561" xr:uid="{23A4D84F-A2B0-47A8-A8E0-43DC0D3B44A8}"/>
    <cellStyle name="Percent104" xfId="562" xr:uid="{BEAC703D-10C0-4F1D-B027-485F50EF4A2E}"/>
    <cellStyle name="Percent105" xfId="563" xr:uid="{030B7A94-FBAE-4533-A57A-8C017D1C86B6}"/>
    <cellStyle name="Percent106" xfId="564" xr:uid="{DE1B1776-ACB9-4D1D-B467-F0ACFAA0DDE7}"/>
    <cellStyle name="Percent107" xfId="565" xr:uid="{3925EE03-CD79-46EF-A2BC-B2B25C695368}"/>
    <cellStyle name="Percent108" xfId="566" xr:uid="{6E26AA86-C363-4BFE-8F2E-A82B4EC95899}"/>
    <cellStyle name="Percent109" xfId="567" xr:uid="{D793AC2C-BC27-4D8E-8096-BB5BB04840D2}"/>
    <cellStyle name="Percent11" xfId="568" xr:uid="{B31CBF06-FC23-4333-B86D-0EB2D911866A}"/>
    <cellStyle name="Percent110" xfId="569" xr:uid="{B348A8AE-83B8-4F83-9FF2-2ED641A99BF5}"/>
    <cellStyle name="Percent111" xfId="570" xr:uid="{4446E699-63F7-48BA-9EF5-9EA081EC3CF1}"/>
    <cellStyle name="Percent112" xfId="571" xr:uid="{B438BFC2-8CBF-4B00-BCB7-BCE5E5A56FDD}"/>
    <cellStyle name="Percent113" xfId="572" xr:uid="{498DD389-BB54-4C1C-8681-8AA6AEBBAA9A}"/>
    <cellStyle name="Percent114" xfId="573" xr:uid="{90D500E5-BCA0-45B2-A8B1-7B85337AE2A1}"/>
    <cellStyle name="Percent115" xfId="574" xr:uid="{BEC29A0D-31E6-454A-BFC0-428ED1391677}"/>
    <cellStyle name="Percent116" xfId="575" xr:uid="{6265A014-D506-42E0-98C9-5C4101690820}"/>
    <cellStyle name="Percent117" xfId="576" xr:uid="{B113EC9C-71C7-44FD-96CA-8E0FDF839938}"/>
    <cellStyle name="Percent118" xfId="577" xr:uid="{A366F279-5AD4-4C74-8329-9DDD29641F76}"/>
    <cellStyle name="Percent119" xfId="578" xr:uid="{14CEC53A-02F3-4F35-AA9E-E119D08A9134}"/>
    <cellStyle name="Percent12" xfId="579" xr:uid="{DFC52ACE-6C65-4A35-BD21-E00BCA126F99}"/>
    <cellStyle name="Percent120" xfId="580" xr:uid="{A96742CF-52F3-461B-A451-67FAEFF06548}"/>
    <cellStyle name="Percent121" xfId="581" xr:uid="{F1BE7512-DF2B-4AD6-AC2A-A16E9E5035C0}"/>
    <cellStyle name="Percent122" xfId="582" xr:uid="{9FFCC433-7A7B-4806-91B5-827EE50013CA}"/>
    <cellStyle name="Percent123" xfId="583" xr:uid="{BB2BE59A-040F-4DA5-8238-B7D6A805A5F6}"/>
    <cellStyle name="Percent124" xfId="584" xr:uid="{B465616B-A462-4EAE-9716-817A9B5E0F94}"/>
    <cellStyle name="Percent125" xfId="585" xr:uid="{3335F2B9-9034-4EE0-AF40-9EA32C4787D2}"/>
    <cellStyle name="Percent126" xfId="586" xr:uid="{A2CA3922-2833-4E7C-8978-422957B085A5}"/>
    <cellStyle name="Percent127" xfId="587" xr:uid="{330576CB-3272-42AB-9025-FD0AB2102548}"/>
    <cellStyle name="Percent128" xfId="588" xr:uid="{2D802526-5BB1-41EB-BFDB-CCC269F89BBE}"/>
    <cellStyle name="Percent129" xfId="589" xr:uid="{1B77B226-9679-442B-8971-06585E691318}"/>
    <cellStyle name="Percent13" xfId="590" xr:uid="{EB4BA1CD-F095-48DA-8F7C-0DABA534C6A9}"/>
    <cellStyle name="Percent130" xfId="591" xr:uid="{800AA831-B86D-4D88-86F4-D64C62DDCD3A}"/>
    <cellStyle name="Percent131" xfId="592" xr:uid="{903BE010-D037-4625-84D4-DA6A567B7295}"/>
    <cellStyle name="Percent132" xfId="593" xr:uid="{6BEE7921-6308-415F-B268-D1A4F478865B}"/>
    <cellStyle name="Percent133" xfId="594" xr:uid="{F91CF842-C965-485A-BB9D-C22E4F200151}"/>
    <cellStyle name="Percent134" xfId="595" xr:uid="{4316A505-7175-4067-AB35-BC23BB19395F}"/>
    <cellStyle name="Percent135" xfId="596" xr:uid="{1F1619D2-5A04-4034-8EBB-20AAEF9AEA7C}"/>
    <cellStyle name="Percent136" xfId="597" xr:uid="{CB780E2E-A818-47BE-BA65-235364B9E152}"/>
    <cellStyle name="Percent137" xfId="598" xr:uid="{550AE505-6B58-43D4-9E40-558C25384F55}"/>
    <cellStyle name="Percent138" xfId="599" xr:uid="{27390619-1D20-4B89-8A27-3CA25060B11C}"/>
    <cellStyle name="Percent139" xfId="600" xr:uid="{12A155CB-8F2C-4D01-AF00-9E453C9F1FDD}"/>
    <cellStyle name="Percent14" xfId="601" xr:uid="{EA2B4DE3-5203-42C0-8E61-607F2D5C0924}"/>
    <cellStyle name="Percent140" xfId="602" xr:uid="{DCEBF42C-969A-49C1-8D9A-709142938496}"/>
    <cellStyle name="Percent141" xfId="603" xr:uid="{01A1FAC4-5E5E-4E4D-BC38-DBCD2A9D5336}"/>
    <cellStyle name="Percent142" xfId="604" xr:uid="{395865DE-8A39-4ECC-B8DE-B6D437AB66E3}"/>
    <cellStyle name="Percent143" xfId="605" xr:uid="{86A4DB00-A18F-45ED-B863-43F740E631BD}"/>
    <cellStyle name="Percent144" xfId="606" xr:uid="{CB302BB5-1F1C-421D-9F83-ABF58E5250D5}"/>
    <cellStyle name="Percent145" xfId="607" xr:uid="{B4BD3BEE-F7F0-44D1-AF18-94EFB3E11276}"/>
    <cellStyle name="Percent146" xfId="608" xr:uid="{8971E316-B25D-47B6-A10B-3755C2965762}"/>
    <cellStyle name="Percent147" xfId="609" xr:uid="{1C34882D-516C-40EC-9D1D-7FF5CA0CA4BB}"/>
    <cellStyle name="Percent148" xfId="610" xr:uid="{5D4CBC35-2379-48A4-8F71-06D044746B3D}"/>
    <cellStyle name="Percent149" xfId="611" xr:uid="{372853CD-BD21-4737-A13A-E40272CB30EA}"/>
    <cellStyle name="Percent15" xfId="612" xr:uid="{D7E01B8A-FB09-41EA-8250-B6792F4208E1}"/>
    <cellStyle name="Percent150" xfId="613" xr:uid="{3BD59C23-B75A-419F-9B57-F8CB6838B02D}"/>
    <cellStyle name="Percent151" xfId="614" xr:uid="{DB612605-71FB-435D-82A0-C3F8F4E6D825}"/>
    <cellStyle name="Percent152" xfId="615" xr:uid="{D022EC5E-7450-45A8-BEFF-15785DA704E0}"/>
    <cellStyle name="Percent153" xfId="616" xr:uid="{70750D11-5380-4639-A53F-30A195FD4DA5}"/>
    <cellStyle name="Percent154" xfId="617" xr:uid="{2FE601A5-3F6A-4E40-8B7E-00BE47582944}"/>
    <cellStyle name="Percent155" xfId="618" xr:uid="{C291491D-B354-4F17-982F-8FD15C6EFBC0}"/>
    <cellStyle name="Percent156" xfId="619" xr:uid="{7BD76DDE-2E16-45AA-B3DD-A0B8C75A50EA}"/>
    <cellStyle name="Percent157" xfId="620" xr:uid="{A1D8CAF1-4232-440E-98E7-EFE92B2C75E8}"/>
    <cellStyle name="Percent158" xfId="621" xr:uid="{109DF4D4-E71E-4F61-9FBC-C9B011AE8BB8}"/>
    <cellStyle name="Percent159" xfId="622" xr:uid="{B52138C1-5635-4051-B29F-556C4B6842E5}"/>
    <cellStyle name="Percent16" xfId="623" xr:uid="{2692E960-B55E-4C96-A65A-9DCC6AE49CD4}"/>
    <cellStyle name="Percent160" xfId="624" xr:uid="{8F505BC5-F099-444F-9DE8-64D1255F6A91}"/>
    <cellStyle name="Percent161" xfId="625" xr:uid="{8F96415D-5850-4E7F-9656-2047B4F41AB6}"/>
    <cellStyle name="Percent162" xfId="626" xr:uid="{621CE77E-962D-4982-ABD9-4C99DE8D48F9}"/>
    <cellStyle name="Percent163" xfId="627" xr:uid="{B9293C66-D8CA-478B-915D-6234E80F5EE6}"/>
    <cellStyle name="Percent164" xfId="628" xr:uid="{481CD8D2-42F4-48F5-AFAB-73D8EDDFAC97}"/>
    <cellStyle name="Percent165" xfId="629" xr:uid="{BC47DBF5-E278-4AF1-A6D4-8F074962E4A3}"/>
    <cellStyle name="Percent166" xfId="630" xr:uid="{F6319BAC-482A-4562-BAE6-968CECB362FE}"/>
    <cellStyle name="Percent167" xfId="631" xr:uid="{BA51394C-76C3-4190-9719-B58D5A5023A1}"/>
    <cellStyle name="Percent168" xfId="632" xr:uid="{3FFFEC47-1E51-49BE-B509-9C1688274466}"/>
    <cellStyle name="Percent169" xfId="633" xr:uid="{3FB53272-BB85-4E49-B30A-94474674DB37}"/>
    <cellStyle name="Percent17" xfId="634" xr:uid="{7B2A5068-5BF4-46C2-8E76-16658D58CB5F}"/>
    <cellStyle name="Percent170" xfId="635" xr:uid="{74CAFF2B-AA4A-40D4-8CA3-5ADFE8C1168D}"/>
    <cellStyle name="Percent171" xfId="636" xr:uid="{646AD4EC-F87A-4A5C-BCA1-D7D42205D060}"/>
    <cellStyle name="Percent172" xfId="637" xr:uid="{EDBEA786-4BF6-40F4-9023-DF07E2E3F287}"/>
    <cellStyle name="Percent173" xfId="638" xr:uid="{1ADB8121-0B31-4F36-AF72-BEC62FA5A89A}"/>
    <cellStyle name="Percent174" xfId="639" xr:uid="{3EC069B6-C0FE-4404-9FDE-A49C23F020EF}"/>
    <cellStyle name="Percent175" xfId="640" xr:uid="{0A1B8B9B-AFAB-43B7-990D-85D20A939F8D}"/>
    <cellStyle name="Percent176" xfId="641" xr:uid="{4DCFBCBD-E8A5-4194-B57F-D883E898C7DF}"/>
    <cellStyle name="Percent177" xfId="642" xr:uid="{E735B29B-9D52-4A7A-A0F9-E569770C99CF}"/>
    <cellStyle name="Percent178" xfId="643" xr:uid="{94090CFE-6915-4E8A-9946-D35D0C42D8EF}"/>
    <cellStyle name="Percent179" xfId="644" xr:uid="{9CDBC6D0-4C44-4259-AA84-692947CA5651}"/>
    <cellStyle name="Percent18" xfId="645" xr:uid="{6E891B02-A8AA-4DB2-B241-BD90EB8473B9}"/>
    <cellStyle name="Percent180" xfId="646" xr:uid="{01BA6EBE-2C65-420A-B8B8-3788E45C1C3B}"/>
    <cellStyle name="Percent181" xfId="647" xr:uid="{A45EFEA0-9280-4559-8E4E-DE8EF11E2016}"/>
    <cellStyle name="Percent182" xfId="648" xr:uid="{A214FC03-483C-4446-9BD9-522E005371E8}"/>
    <cellStyle name="Percent183" xfId="649" xr:uid="{EAB9CCE1-C6DF-4C7C-8BE0-DF32B57E076C}"/>
    <cellStyle name="Percent184" xfId="650" xr:uid="{4966E7B9-6156-43B8-AAAE-F4D92C6145EE}"/>
    <cellStyle name="Percent185" xfId="651" xr:uid="{47E2A508-087C-4162-8F9F-C3211755F1E5}"/>
    <cellStyle name="Percent186" xfId="652" xr:uid="{7F9EAC27-0094-404B-972A-13F3D4B2F008}"/>
    <cellStyle name="Percent187" xfId="653" xr:uid="{63C8FCF7-DE8E-49FD-8D95-69950521BEDE}"/>
    <cellStyle name="Percent188" xfId="654" xr:uid="{B74F9D36-126E-4542-99FB-E492C447EA10}"/>
    <cellStyle name="Percent189" xfId="655" xr:uid="{3AD9501D-F951-4288-A330-2B6A504F5DB1}"/>
    <cellStyle name="Percent19" xfId="656" xr:uid="{7AADA738-9E6D-4024-AF88-9B71886D53B4}"/>
    <cellStyle name="Percent190" xfId="657" xr:uid="{49928BE8-E1EF-44FD-9D67-49DB67472DC1}"/>
    <cellStyle name="Percent191" xfId="658" xr:uid="{DB144270-F5F7-4DD5-9308-34F25F781168}"/>
    <cellStyle name="Percent192" xfId="659" xr:uid="{D3161F5C-542D-4C73-8AA1-34BC17A56E21}"/>
    <cellStyle name="Percent193" xfId="660" xr:uid="{E4665110-8510-49F0-975B-2D7B77FF60E1}"/>
    <cellStyle name="Percent194" xfId="661" xr:uid="{6759909C-2659-4647-9B10-FFE27FA61A5C}"/>
    <cellStyle name="Percent195" xfId="662" xr:uid="{735F1B74-54C2-4EC2-B3FF-659210AE814D}"/>
    <cellStyle name="Percent196" xfId="663" xr:uid="{8DE65866-4E08-42B4-9D36-C09C4B17BC28}"/>
    <cellStyle name="Percent197" xfId="664" xr:uid="{B85C3AF9-E206-4F35-B9D1-AD8EF694A5E5}"/>
    <cellStyle name="Percent198" xfId="665" xr:uid="{27A2506B-1272-4C80-A4B2-40BECBB8115A}"/>
    <cellStyle name="Percent199" xfId="666" xr:uid="{589C80AF-3146-4B69-A1CE-076A6CCBE888}"/>
    <cellStyle name="Percent1Bold" xfId="667" xr:uid="{045DBD08-51DB-45FC-8B39-4EE66FFEFAD5}"/>
    <cellStyle name="Percent2" xfId="668" xr:uid="{DC32B545-4D0E-4A70-92E1-537FB5E4F885}"/>
    <cellStyle name="Percent20" xfId="669" xr:uid="{76C380D6-0375-4E8F-937A-A15511C85607}"/>
    <cellStyle name="Percent200" xfId="670" xr:uid="{2E32C5D2-33E7-4297-933D-AD5C68AEE075}"/>
    <cellStyle name="Percent201" xfId="671" xr:uid="{2CF8735E-5B3D-4856-A561-A752654FFE0C}"/>
    <cellStyle name="Percent202" xfId="672" xr:uid="{A34D0A40-CC80-4913-8803-3079631D1C60}"/>
    <cellStyle name="Percent203" xfId="673" xr:uid="{A121F434-FBDC-4E14-BA97-4CB72032DC32}"/>
    <cellStyle name="Percent204" xfId="674" xr:uid="{285EA2D3-2421-4F43-B1DE-E5DFD2BB63D1}"/>
    <cellStyle name="Percent205" xfId="675" xr:uid="{5E0D39C0-A27A-4B48-ADD4-3A9F82CE5DA7}"/>
    <cellStyle name="Percent206" xfId="676" xr:uid="{BC618882-E86C-4B3F-9D92-08689BD9631E}"/>
    <cellStyle name="Percent207" xfId="677" xr:uid="{9569AD93-6133-41DB-9395-3EF3C782B7DA}"/>
    <cellStyle name="Percent208" xfId="678" xr:uid="{C4C6ED7C-BA69-4D80-9863-0490059B5051}"/>
    <cellStyle name="Percent209" xfId="679" xr:uid="{A828D968-C8C3-4A6F-B85A-5330179C8C39}"/>
    <cellStyle name="Percent21" xfId="680" xr:uid="{AB596CEB-5BB3-4C3D-A2C3-60A6ABD0E51E}"/>
    <cellStyle name="Percent210" xfId="681" xr:uid="{C79CBDE3-1BCA-42EB-A730-79614AFD9A0D}"/>
    <cellStyle name="Percent211" xfId="682" xr:uid="{A1600698-10B7-4068-994F-AECFF7ADEA1A}"/>
    <cellStyle name="Percent212" xfId="683" xr:uid="{959969EE-E2B7-4716-BF42-DCA21D42960D}"/>
    <cellStyle name="Percent213" xfId="684" xr:uid="{B2462B47-67B4-4B42-A357-271F61AABB6A}"/>
    <cellStyle name="Percent214" xfId="685" xr:uid="{69BDE11E-4301-49B9-8E81-2296C0521180}"/>
    <cellStyle name="Percent215" xfId="686" xr:uid="{9B86C684-013B-4EEA-9546-F285A3E580BF}"/>
    <cellStyle name="Percent216" xfId="687" xr:uid="{4BFF7837-47A8-4D83-B996-72A3B2029A55}"/>
    <cellStyle name="Percent217" xfId="688" xr:uid="{D5E086BD-D65F-4F75-AA87-95BFC4E3DF3D}"/>
    <cellStyle name="Percent218" xfId="689" xr:uid="{7FFE77E8-7210-48E2-AA19-0D3D5E8E5C9F}"/>
    <cellStyle name="Percent219" xfId="690" xr:uid="{10D23D4D-B3AE-45A8-A9A3-4D71279FCAF0}"/>
    <cellStyle name="Percent22" xfId="691" xr:uid="{4C688874-7A17-486F-AE65-E55DE3087B0D}"/>
    <cellStyle name="Percent220" xfId="692" xr:uid="{00370C8A-A44E-49E0-ABCD-2DE84CC1FC08}"/>
    <cellStyle name="Percent221" xfId="693" xr:uid="{707A3F76-99F4-4236-AD5D-8CFDBD89EF24}"/>
    <cellStyle name="Percent222" xfId="694" xr:uid="{236CA80E-3810-4321-8285-F0BE0A1A8C99}"/>
    <cellStyle name="Percent223" xfId="695" xr:uid="{891C7CF9-1E46-43F9-8DC7-B1ADF78752EC}"/>
    <cellStyle name="Percent224" xfId="696" xr:uid="{D8D3C66D-5C6C-4C7A-9905-BCD19321ED70}"/>
    <cellStyle name="Percent225" xfId="697" xr:uid="{B00E7A05-293A-4C47-932A-486BB5FD85FA}"/>
    <cellStyle name="Percent226" xfId="698" xr:uid="{3E6F5A26-DBC9-474C-869D-C3B7A4C5685B}"/>
    <cellStyle name="Percent227" xfId="699" xr:uid="{E6224729-AB32-4F0F-A2A1-8E963896F689}"/>
    <cellStyle name="Percent228" xfId="700" xr:uid="{E6FA734C-2DA5-4B54-843F-5799B84D4E4E}"/>
    <cellStyle name="Percent229" xfId="701" xr:uid="{DA35782E-87D2-4402-B82C-BBA3F497F37C}"/>
    <cellStyle name="Percent23" xfId="702" xr:uid="{65C8889C-DAC7-4309-844F-B5DEC82208D5}"/>
    <cellStyle name="Percent230" xfId="703" xr:uid="{1E13275A-4D6B-4BFA-BD3E-B16A00F45981}"/>
    <cellStyle name="Percent231" xfId="704" xr:uid="{6D0E9A76-3F2A-46C9-8F49-3CEA919CBEB8}"/>
    <cellStyle name="Percent232" xfId="705" xr:uid="{597AC9EB-676A-4300-8270-BD95B204ECD0}"/>
    <cellStyle name="Percent233" xfId="706" xr:uid="{CE3E4440-ABA4-4CAF-929B-EEC2B190291A}"/>
    <cellStyle name="Percent234" xfId="707" xr:uid="{0776435B-7C9B-42F8-B9A2-156E38967DCF}"/>
    <cellStyle name="Percent235" xfId="708" xr:uid="{BE7848BB-7E5C-4365-B941-1E9711AFC9C4}"/>
    <cellStyle name="Percent236" xfId="709" xr:uid="{021A0381-83E2-4057-9E6B-C8D67949FC45}"/>
    <cellStyle name="Percent24" xfId="710" xr:uid="{D10A5253-3F21-4D02-A3F8-B2743A386922}"/>
    <cellStyle name="Percent25" xfId="711" xr:uid="{C3C13B34-FC99-480F-89EA-D6C25FF1C571}"/>
    <cellStyle name="Percent26" xfId="712" xr:uid="{295EC447-9714-43D4-A1D3-6799252DB28B}"/>
    <cellStyle name="Percent27" xfId="713" xr:uid="{EA666544-A66D-4884-80AC-0BD1FBEC4E41}"/>
    <cellStyle name="Percent28" xfId="714" xr:uid="{3A9C7A51-42B6-4A0B-A8DA-EA43C18EC8FB}"/>
    <cellStyle name="Percent29" xfId="715" xr:uid="{980A7001-0078-4468-A0B3-D38B515C5487}"/>
    <cellStyle name="Percent3" xfId="716" xr:uid="{92ED24ED-429A-41A1-AC1F-DC9EDCE96C37}"/>
    <cellStyle name="Percent30" xfId="717" xr:uid="{64BEA529-B701-416F-A424-3DF48706EBC0}"/>
    <cellStyle name="Percent31" xfId="718" xr:uid="{FDFE4D9D-21DC-4663-952A-D5814C36F88A}"/>
    <cellStyle name="Percent32" xfId="719" xr:uid="{2F5E0425-BA77-4CB0-B2BD-F77761337C5F}"/>
    <cellStyle name="Percent33" xfId="720" xr:uid="{16A8F74E-6367-48E2-8C44-268635D1ACE1}"/>
    <cellStyle name="Percent34" xfId="721" xr:uid="{45510EFD-BF95-4A57-B7F8-2EBAE50A02A3}"/>
    <cellStyle name="Percent35" xfId="722" xr:uid="{6CCA46D7-1937-4926-8634-C85BEF8EA487}"/>
    <cellStyle name="Percent36" xfId="723" xr:uid="{51DDAE94-CFA5-4ABE-945D-4A68E276EA81}"/>
    <cellStyle name="Percent37" xfId="724" xr:uid="{B742F9BD-09A4-4EE2-A26C-16BC66682BD8}"/>
    <cellStyle name="Percent38" xfId="725" xr:uid="{D2379A84-F514-4268-9824-2B17586A8E03}"/>
    <cellStyle name="Percent39" xfId="726" xr:uid="{1EE21BB1-8DFA-4FDA-B448-9A1F78E5D2D4}"/>
    <cellStyle name="Percent4" xfId="727" xr:uid="{6B2F09E8-E636-46B4-BA30-0E9B30ED5501}"/>
    <cellStyle name="Percent40" xfId="728" xr:uid="{A2B4EC6F-F9B7-462E-95AF-AB2CBFB4D333}"/>
    <cellStyle name="Percent41" xfId="729" xr:uid="{6B9C696B-D9E8-43C7-9766-AFC9CC5C4DC0}"/>
    <cellStyle name="Percent42" xfId="730" xr:uid="{F4F29045-BA4E-4BEF-A419-01C721259163}"/>
    <cellStyle name="Percent43" xfId="731" xr:uid="{47DBDBB9-5BF2-489D-B093-28D7E2D7A519}"/>
    <cellStyle name="Percent44" xfId="732" xr:uid="{CB1E6A84-7F6E-4636-A470-5BFA7ED1A76D}"/>
    <cellStyle name="Percent45" xfId="733" xr:uid="{EDB92AD1-C5F9-4A34-8B57-B9C5F7D98600}"/>
    <cellStyle name="Percent46" xfId="734" xr:uid="{B9D850F4-549C-4DFF-AA8E-5478E0ECBE92}"/>
    <cellStyle name="Percent47" xfId="735" xr:uid="{30CF6FED-3142-4E66-9B30-7FD4C5ECD3A1}"/>
    <cellStyle name="Percent48" xfId="736" xr:uid="{7ADDA734-58CD-413E-9D51-B9F516A1A406}"/>
    <cellStyle name="Percent49" xfId="737" xr:uid="{89C018A8-6AF0-46AE-BD76-F24000027181}"/>
    <cellStyle name="Percent5" xfId="738" xr:uid="{DC770B2E-8E78-453A-8C0E-12BFAB611EC3}"/>
    <cellStyle name="Percent50" xfId="739" xr:uid="{B2910FA9-EB31-46BE-9D44-30DBE6AF77C0}"/>
    <cellStyle name="Percent51" xfId="740" xr:uid="{AF6832A0-7C98-489A-B64E-CC1C54104048}"/>
    <cellStyle name="Percent52" xfId="741" xr:uid="{2D98FFB0-4B36-491D-B95E-0DED965735E1}"/>
    <cellStyle name="Percent53" xfId="742" xr:uid="{6F767FB5-263A-42AF-8EC0-89FC89323D3B}"/>
    <cellStyle name="Percent54" xfId="743" xr:uid="{D56D8FFF-6912-4D4A-8F16-65E9511F3F68}"/>
    <cellStyle name="Percent55" xfId="744" xr:uid="{D27362F7-2EE4-480B-A2D5-93B8522E939D}"/>
    <cellStyle name="Percent56" xfId="745" xr:uid="{D977D8D3-F6E7-411E-991D-2D751EAD1551}"/>
    <cellStyle name="Percent57" xfId="746" xr:uid="{15CE286F-7384-42DE-909E-E3EFB432B0A6}"/>
    <cellStyle name="Percent58" xfId="747" xr:uid="{EB67DC5E-E3FE-48DB-946E-DFE1EB926B82}"/>
    <cellStyle name="Percent59" xfId="748" xr:uid="{DFC923A9-16A0-4722-BB4A-A77E8A415E49}"/>
    <cellStyle name="Percent6" xfId="749" xr:uid="{5E07A4E6-9FEC-4260-A4D8-5CA5EFA9D5CD}"/>
    <cellStyle name="Percent60" xfId="750" xr:uid="{B760B351-50F5-4D1E-B4BF-17CBED67F8F9}"/>
    <cellStyle name="Percent61" xfId="751" xr:uid="{56B16512-E274-4E3E-82CA-09F0C7FCB4F5}"/>
    <cellStyle name="Percent62" xfId="752" xr:uid="{D2566482-4428-456F-9DB6-E6CACC0129BF}"/>
    <cellStyle name="Percent63" xfId="753" xr:uid="{9528FC50-34A9-4313-AD26-2548FAF991BB}"/>
    <cellStyle name="Percent64" xfId="754" xr:uid="{0E965243-6D25-4324-B815-2AF66853C427}"/>
    <cellStyle name="Percent65" xfId="755" xr:uid="{B4AF4F66-ED06-4708-8C77-5C396915E5D0}"/>
    <cellStyle name="Percent66" xfId="756" xr:uid="{0A205D6A-AC00-4B3D-B897-109BA4D9B838}"/>
    <cellStyle name="Percent67" xfId="757" xr:uid="{BF99C484-8F9E-49E6-B091-097B06B22219}"/>
    <cellStyle name="Percent68" xfId="758" xr:uid="{872B7D52-6F07-4F83-BA40-6E8E2BE6295A}"/>
    <cellStyle name="Percent69" xfId="759" xr:uid="{0B7A09B6-E22B-4FA7-A322-59C07A0D79A0}"/>
    <cellStyle name="Percent7" xfId="760" xr:uid="{619CAEA2-7728-40C0-9FD3-DE481EE3FE22}"/>
    <cellStyle name="Percent70" xfId="761" xr:uid="{4F585208-F657-4901-9040-58BF27DA721E}"/>
    <cellStyle name="Percent71" xfId="762" xr:uid="{91B37503-6F7D-4379-AD41-45B655BFEDF1}"/>
    <cellStyle name="Percent72" xfId="763" xr:uid="{AB5F52D1-4266-43B5-BC93-98BC64EDFE98}"/>
    <cellStyle name="Percent73" xfId="764" xr:uid="{D288A1DE-75EF-4885-8582-5F52C8F4C4E6}"/>
    <cellStyle name="Percent74" xfId="765" xr:uid="{C5F2348B-3AC1-40C0-85C1-0BC333006E57}"/>
    <cellStyle name="Percent75" xfId="766" xr:uid="{82BE7FF4-D6D8-4D7E-B6A2-B77873345BA5}"/>
    <cellStyle name="Percent76" xfId="767" xr:uid="{808A7F28-0593-47F3-94DC-906D8287F641}"/>
    <cellStyle name="Percent77" xfId="768" xr:uid="{E51C6676-22D5-412E-BD65-01A84CC1EC8D}"/>
    <cellStyle name="Percent78" xfId="769" xr:uid="{9F748DDD-1D48-4D1D-A5F4-3312354857CA}"/>
    <cellStyle name="Percent79" xfId="770" xr:uid="{B7A3887D-1A65-4AA5-A224-3C87AD8D37CE}"/>
    <cellStyle name="Percent8" xfId="771" xr:uid="{39A4BFA9-2270-410B-AC30-6A96E245FEE3}"/>
    <cellStyle name="Percent80" xfId="772" xr:uid="{D26E7337-25E2-420D-8655-FA877401400B}"/>
    <cellStyle name="Percent81" xfId="773" xr:uid="{00634A1E-3FB5-4425-93DE-79DF884DD090}"/>
    <cellStyle name="Percent82" xfId="774" xr:uid="{C9B9061F-0291-4705-A9B7-462F2D4E39F3}"/>
    <cellStyle name="Percent83" xfId="775" xr:uid="{131441DE-0CE9-4267-A7D0-CF7BC771AC64}"/>
    <cellStyle name="Percent84" xfId="776" xr:uid="{1938448C-FA78-4BF0-9D68-49065BE5AEBE}"/>
    <cellStyle name="Percent85" xfId="777" xr:uid="{E60BCBFC-D737-429C-AF1D-B5C13787DE0A}"/>
    <cellStyle name="Percent86" xfId="778" xr:uid="{FBBFE9EB-DD70-4C6D-8019-5F95FCFA2FCD}"/>
    <cellStyle name="Percent87" xfId="779" xr:uid="{58218C92-44FB-4E0F-AFE6-F3F5CC15666B}"/>
    <cellStyle name="Percent88" xfId="780" xr:uid="{5E73E6E9-17A7-4A92-87C7-27BAFB845E70}"/>
    <cellStyle name="Percent89" xfId="781" xr:uid="{A274EA1D-87A1-4A10-9784-D4C2E4829671}"/>
    <cellStyle name="Percent9" xfId="782" xr:uid="{9AB85392-8708-4CEE-9D46-21EC579E36CF}"/>
    <cellStyle name="Percent90" xfId="783" xr:uid="{C36F774D-10AE-43BE-ADB9-D91745E600DF}"/>
    <cellStyle name="Percent91" xfId="784" xr:uid="{F2D40AF0-83BB-47F3-B175-30ACD036BB4F}"/>
    <cellStyle name="Percent92" xfId="785" xr:uid="{E8C33865-3AB4-4834-8FDA-46B0BEF29FEE}"/>
    <cellStyle name="Percent93" xfId="786" xr:uid="{6ED9996A-CD5C-44F8-97FC-19EA1096967B}"/>
    <cellStyle name="Percent94" xfId="787" xr:uid="{C4006F2C-4668-4150-B937-01C1EDD2F30F}"/>
    <cellStyle name="Percent95" xfId="788" xr:uid="{E5DA3809-E41A-4185-98CF-5B92E114F262}"/>
    <cellStyle name="Percent96" xfId="789" xr:uid="{DE23F469-FA82-47ED-9D3E-DD6C921A24A5}"/>
    <cellStyle name="Percent97" xfId="790" xr:uid="{62FA94DC-348E-4D0D-A9B8-6E1BDCF42EC1}"/>
    <cellStyle name="Percent98" xfId="791" xr:uid="{31577D6D-FCB9-4866-8790-017731E4B3ED}"/>
    <cellStyle name="Percent99" xfId="792" xr:uid="{C136D9F5-9985-4861-8D53-F695E5FF9972}"/>
    <cellStyle name="Percentage" xfId="793" xr:uid="{30F1ECCE-6CA1-4581-B433-9ADA67D45673}"/>
    <cellStyle name="PercentStyle" xfId="794" xr:uid="{14D33AB4-64DF-4502-B42E-0BD36B0CE5CC}"/>
    <cellStyle name="PrePop Currency (0)" xfId="795" xr:uid="{E27495D1-8903-428E-9220-303F71D32362}"/>
    <cellStyle name="PrePop Currency (2)" xfId="796" xr:uid="{DFE4CE69-9A68-408C-A0F5-AAD4117DF2BC}"/>
    <cellStyle name="PrePop Units (0)" xfId="797" xr:uid="{7C6C2A28-0484-488A-B854-DCC448743E72}"/>
    <cellStyle name="PrePop Units (1)" xfId="798" xr:uid="{733F8685-7706-4AD6-BD94-5BDF53B4E300}"/>
    <cellStyle name="PrePop Units (2)" xfId="799" xr:uid="{B6E93EB1-4753-4063-9B7B-4E9726CD9EDC}"/>
    <cellStyle name="Price" xfId="800" xr:uid="{EAC17436-D93C-4D89-95D0-34703E2462FA}"/>
    <cellStyle name="Product Header" xfId="801" xr:uid="{504330D3-2A77-4412-AD1E-3BD77223CB68}"/>
    <cellStyle name="PSChar" xfId="802" xr:uid="{A1DADB9C-D37E-4050-95C8-8EC80D15BA8B}"/>
    <cellStyle name="PSDate" xfId="803" xr:uid="{1873E94F-2023-421A-B167-19666C07FD14}"/>
    <cellStyle name="PSDec" xfId="804" xr:uid="{080BBC47-720B-4A67-8C51-53FEA6FF9D60}"/>
    <cellStyle name="PSHeading" xfId="805" xr:uid="{8E2D11AE-87CF-49CD-B236-F30BD9CAD342}"/>
    <cellStyle name="PSInt" xfId="806" xr:uid="{6E313863-A628-4E8C-97CA-16E8030589E0}"/>
    <cellStyle name="PSSpacer" xfId="807" xr:uid="{8C5F26A8-B6EE-4999-A371-83B3F657FBC2}"/>
    <cellStyle name="r" xfId="808" xr:uid="{0202D03B-DAD7-4BDD-8428-2B2237D7BCF7}"/>
    <cellStyle name="r_F&amp;W Servicing Model" xfId="809" xr:uid="{ECBBABC0-7CE1-48D6-89A1-D3DF335089F8}"/>
    <cellStyle name="r_F&amp;W Servicing Model v2" xfId="810" xr:uid="{0C9494E7-7A72-41A6-929A-5D4F3C4A209D}"/>
    <cellStyle name="r_Yell Servicing Model" xfId="811" xr:uid="{E3430B30-54C5-4EBB-B8D4-714C4E3CEE4C}"/>
    <cellStyle name="rate" xfId="812" xr:uid="{BBD777F7-B836-4C34-A85A-52915E3644F8}"/>
    <cellStyle name="Ratio" xfId="813" xr:uid="{7157CABA-4DA4-48A9-8B5A-243C8FD83CFA}"/>
    <cellStyle name="Ratio Comma" xfId="814" xr:uid="{44780DEE-CC3C-4B13-98D0-03B4470B9A03}"/>
    <cellStyle name="Ratio_Private" xfId="815" xr:uid="{00E46768-BC27-4CDE-AFF3-080363BEA780}"/>
    <cellStyle name="regstoresfromspecstores" xfId="816" xr:uid="{819A6043-0D4F-4374-9BC4-D99A628F2774}"/>
    <cellStyle name="RevList" xfId="817" xr:uid="{7BB124E1-CA23-4579-A0C2-44DDAC5AAE77}"/>
    <cellStyle name="Right" xfId="818" xr:uid="{6D9F7839-E8EE-4051-A7CF-10581BDAF2FD}"/>
    <cellStyle name="RightBold" xfId="819" xr:uid="{50E5D1DE-E831-4023-9812-197F27D8F97F}"/>
    <cellStyle name="RightBoldBottomRule" xfId="820" xr:uid="{FDE54533-D5F8-45FB-AFBA-DBCC82372AD2}"/>
    <cellStyle name="RightBoldCenterRule" xfId="821" xr:uid="{CBB5CA8E-7BA9-4F9A-ACB2-96CBA219B188}"/>
    <cellStyle name="Section" xfId="822" xr:uid="{441FC320-8641-4652-80D8-DBEFA7AD7FA1}"/>
    <cellStyle name="SectionHeaderNormal" xfId="823" xr:uid="{926B455F-BDAA-466A-A654-F298C68D48A3}"/>
    <cellStyle name="Separador de milhares 10" xfId="824" xr:uid="{BE14E0F5-0E20-4FF4-8C94-FE69553CAED3}"/>
    <cellStyle name="SHADEDSTORES" xfId="825" xr:uid="{D5B8B2B0-F60E-4CDF-AEF1-A9416F57944C}"/>
    <cellStyle name="Short $" xfId="826" xr:uid="{0BCE2623-A223-48BB-A360-00F6BBC0F6A0}"/>
    <cellStyle name="ShOut" xfId="827" xr:uid="{5C39CBF9-C981-444F-B16E-4599ABE0C033}"/>
    <cellStyle name="Simple" xfId="828" xr:uid="{95B19EE2-B76E-4B9C-BB3E-9F47003F39AE}"/>
    <cellStyle name="SimpleBold" xfId="829" xr:uid="{DE9ECE95-5787-43B9-A168-0A32C22BDBDF}"/>
    <cellStyle name="Single Accounting" xfId="830" xr:uid="{917D37EA-7600-489F-9241-7AE6200A0437}"/>
    <cellStyle name="specstores" xfId="831" xr:uid="{BB1DF16E-8C9D-41CA-82BD-C1F5E1DCF2EA}"/>
    <cellStyle name="Stock Comma" xfId="832" xr:uid="{DB87BE9E-C474-401D-A69A-FBC703FB1640}"/>
    <cellStyle name="Stock Price" xfId="833" xr:uid="{6A839011-627B-401B-8117-945F72E3E213}"/>
    <cellStyle name="Style 1" xfId="834" xr:uid="{FAFFF437-47E6-4458-BF98-8C053E154345}"/>
    <cellStyle name="Style 21" xfId="835" xr:uid="{B8D68A83-E186-47F2-A8AF-C4D89369A20E}"/>
    <cellStyle name="Style 22" xfId="836" xr:uid="{968CD5F3-E09C-4577-813F-5AADE4B841E7}"/>
    <cellStyle name="Style 23" xfId="837" xr:uid="{097C83F4-055D-42DA-984A-E5C780F5FBA3}"/>
    <cellStyle name="Style 24" xfId="838" xr:uid="{A4E5FBA2-FEDB-4D8B-9623-C8B74686F901}"/>
    <cellStyle name="Style 25" xfId="839" xr:uid="{B4D9C666-BB5F-4CA4-B908-75810EC36265}"/>
    <cellStyle name="Style 26" xfId="840" xr:uid="{B87720A6-4EE5-4223-88EE-7297875C0F2F}"/>
    <cellStyle name="Style 27" xfId="841" xr:uid="{090E3435-E4B3-4AB9-B795-979184DE4CAB}"/>
    <cellStyle name="Style 28" xfId="842" xr:uid="{1FDC9A92-B39E-4D35-99A7-06FFFFD19E13}"/>
    <cellStyle name="Style 29" xfId="843" xr:uid="{C6ADDBE8-21C4-48DE-9488-1610D79F9520}"/>
    <cellStyle name="Style 30" xfId="844" xr:uid="{02B9DD72-FDCA-486F-8E73-34D22D8569E6}"/>
    <cellStyle name="Style 31" xfId="845" xr:uid="{C309E316-16B8-4997-8724-C499F2DE3F6B}"/>
    <cellStyle name="Style 32" xfId="846" xr:uid="{5EE23BBF-D735-4A37-BCC4-5BF836F8D7A4}"/>
    <cellStyle name="Style 33" xfId="847" xr:uid="{3BF28EF3-26D5-4282-AFCC-868640B86C90}"/>
    <cellStyle name="Style 34" xfId="848" xr:uid="{3F474CB0-8F8D-446D-B492-4A28E16ADC86}"/>
    <cellStyle name="Style 35" xfId="849" xr:uid="{8068B9DF-E31D-49E2-A6ED-EBD15E562F2D}"/>
    <cellStyle name="Style 36" xfId="850" xr:uid="{502F6EE8-5D3B-41F8-B16F-1BB5A613B204}"/>
    <cellStyle name="Style 37" xfId="851" xr:uid="{B5C9DECD-8D0D-4EF5-8BCB-F5E27D4BDF5D}"/>
    <cellStyle name="Style 38" xfId="852" xr:uid="{80A3C5A6-A810-48C8-912C-8C642CA56C12}"/>
    <cellStyle name="Style 39" xfId="853" xr:uid="{56340281-37CF-45E9-91A6-95F88CD5C9BC}"/>
    <cellStyle name="Style 40" xfId="854" xr:uid="{077B9254-C5C5-4A36-A8C4-0D554275C87E}"/>
    <cellStyle name="Style 41" xfId="855" xr:uid="{64C41948-5673-4993-98A6-24E0C69031E1}"/>
    <cellStyle name="Style 42" xfId="856" xr:uid="{1FBE2CAD-01A6-4988-ACD5-BA697BEC9959}"/>
    <cellStyle name="Style 43" xfId="857" xr:uid="{414BAC56-598E-4A78-B0FD-44808691CF3B}"/>
    <cellStyle name="Style 44" xfId="858" xr:uid="{74E214E9-8DA4-4EC9-9862-9E953522D0D6}"/>
    <cellStyle name="Style 45" xfId="859" xr:uid="{5F3B6C6F-8C29-4504-B145-CA6DDEDC4BE3}"/>
    <cellStyle name="Style 46" xfId="860" xr:uid="{682BA003-0032-4CF4-81CE-52596CC1AD92}"/>
    <cellStyle name="Style 47" xfId="861" xr:uid="{373F9246-D530-42A7-BAFB-A081EB580B2F}"/>
    <cellStyle name="Style 48" xfId="862" xr:uid="{AEDA0277-E660-4441-8187-982C26294B42}"/>
    <cellStyle name="STYLE1" xfId="863" xr:uid="{F71D8054-5A2C-4BD3-923A-753B91923D1C}"/>
    <cellStyle name="SubScript" xfId="864" xr:uid="{E76EC092-FADA-4462-BB58-90D0E531F727}"/>
    <cellStyle name="Subtotal" xfId="865" xr:uid="{0A8CCF96-0C64-4023-92F0-49D10FC8B7B4}"/>
    <cellStyle name="Sum" xfId="866" xr:uid="{8E773C07-052D-4089-BFDA-1A15B4919657}"/>
    <cellStyle name="SuperScript" xfId="867" xr:uid="{615B9B04-660A-420F-9E74-F4596C22B4D9}"/>
    <cellStyle name="Table_Title" xfId="868" xr:uid="{71F04183-694C-4E24-B103-732CD1D73BCE}"/>
    <cellStyle name="Test" xfId="869" xr:uid="{83405B20-60F1-4047-B3DF-7CBD1A68A3E9}"/>
    <cellStyle name="Text Indent A" xfId="870" xr:uid="{29601151-90EA-4ACA-9E0B-B3FA6835D588}"/>
    <cellStyle name="Text Indent B" xfId="871" xr:uid="{D4E3B078-A0E8-407C-B910-4437A70311B0}"/>
    <cellStyle name="Text Indent C" xfId="872" xr:uid="{92E1ECE5-0DBF-45F0-90B6-ACA006E1FE8A}"/>
    <cellStyle name="TextBold" xfId="873" xr:uid="{33003282-520F-422B-B148-006B128BFFC7}"/>
    <cellStyle name="TextItalic" xfId="874" xr:uid="{23D36F7E-5835-4DEB-A4B7-530CAE890096}"/>
    <cellStyle name="TextNormal" xfId="875" xr:uid="{24649D99-1F38-4438-A73B-73B4A612126D}"/>
    <cellStyle name="Time" xfId="876" xr:uid="{A1E0020A-7F6B-4902-A302-7E6BB83E07E8}"/>
    <cellStyle name="Times 10" xfId="877" xr:uid="{C41510EC-13D5-4C63-94CD-D72CA22C71CC}"/>
    <cellStyle name="Times 12" xfId="878" xr:uid="{50FCC8BF-2C44-46F3-88E5-63ABAECBF4A7}"/>
    <cellStyle name="Title - PROJECT" xfId="879" xr:uid="{CFEAAEE6-EA03-421A-8ED5-D2B04E852A42}"/>
    <cellStyle name="Title - Underline" xfId="880" xr:uid="{FD0C41BE-5F22-44A1-AB40-1FF915694B5D}"/>
    <cellStyle name="Title1" xfId="881" xr:uid="{E1980F90-0AF0-41E9-8188-F5A4BBE2F552}"/>
    <cellStyle name="Title2" xfId="882" xr:uid="{E675542F-B12F-468B-AE87-F62171F3E641}"/>
    <cellStyle name="TitleNormal" xfId="883" xr:uid="{9396C6E2-5FC7-48CE-BE51-85FD221E6077}"/>
    <cellStyle name="Titles - Col. Headings" xfId="884" xr:uid="{3E61F769-F3F6-4367-A490-1BCC51064FE6}"/>
    <cellStyle name="Titles - Other" xfId="885" xr:uid="{CBD0D380-A473-4562-B4B7-9001B7E07536}"/>
    <cellStyle name="Top Edge" xfId="886" xr:uid="{6AAE1339-1F07-4767-A9E6-6F9A2638C5EB}"/>
    <cellStyle name="Total" xfId="887" builtinId="25" customBuiltin="1"/>
    <cellStyle name="ubordinated Debt" xfId="888" xr:uid="{CFC97CC8-BB25-42E0-898B-960BE2F76C30}"/>
    <cellStyle name="Vírgula 2" xfId="889" xr:uid="{4D9D2073-DFA5-4B6D-9204-5C5149D71845}"/>
    <cellStyle name="wheat merger's and acquisitions" xfId="890" xr:uid="{EE58A497-7CA3-4180-BF6C-AFB4E23E2917}"/>
    <cellStyle name="x" xfId="891" xr:uid="{68D01179-7624-42C9-B088-D4A4756B7C3E}"/>
    <cellStyle name="x_TSA Model - 1 8 06 - v2" xfId="892" xr:uid="{EA074422-32AF-471F-8E7B-AE2AA470F5C0}"/>
    <cellStyle name="Y2K Compliant Date Fmt" xfId="893" xr:uid="{ACCA4291-5D2A-4FB9-84E3-39588388E511}"/>
    <cellStyle name="Years" xfId="894" xr:uid="{E7958C3C-CE9B-4B6D-8E39-C8A483F7DA62}"/>
    <cellStyle name="yellow" xfId="895" xr:uid="{D9A52ABD-6B7C-4A97-8BA2-93238CFF1E39}"/>
    <cellStyle name="Yen" xfId="896" xr:uid="{68EB03DA-E775-4784-8D3F-3D79F0425975}"/>
    <cellStyle name="YYYY" xfId="897" xr:uid="{FAFF2BFB-77D4-4C93-827E-8F7C30FE2307}"/>
    <cellStyle name="桁区切り [0.00]_Appendix" xfId="898" xr:uid="{7E4E86BA-BEB0-49F8-9AA8-AF053E35A8E5}"/>
    <cellStyle name="桁区切り_Appendix" xfId="899" xr:uid="{C5E1724C-94D4-43C1-9886-1BF513D59566}"/>
    <cellStyle name="標準_Appendix" xfId="900" xr:uid="{D59A1892-A08B-492C-B4BF-F188818F6DF1}"/>
    <cellStyle name="通貨 [0.00]_Appendix" xfId="901" xr:uid="{171B41C7-963E-4A0F-B8FE-CEC9E21AB11D}"/>
    <cellStyle name="通貨_Appendix" xfId="902" xr:uid="{E1CE2A0F-13CF-4302-91FF-01445353CD9E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AEAEA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9" Type="http://schemas.openxmlformats.org/officeDocument/2006/relationships/calcChain" Target="calcChain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fice\Media\COMPS%20-%20B2B%20Publisher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_sfnt01\GBlank$\My%20Documents\TPG\LBO\Bally\BFT%20Forecast%20Mode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_sfnt01\GBlank$\Documents%20and%20Settings\GBlank\Local%20Settings\Temporary%20Internet%20Files\OLK39\TSA%20Model%20-%201%208%2006%20-%20v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ETG%20Templat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nk%20Loan%20Team\APPROVAL%20MEMOS\Endurance%20Media\BLT%20Work\EBM%20Quarterly%20Mode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Bank%20Loan%20Team\ELK%20TEAM\Models\Presentation\Draft%20Presentation%20Files\Presentation%20Info%2022%20(Adam%20Silver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Bank%20Loan%20Team\ELK%20TEAM\Models\Presentation\Draft%20Presentation%20Files\PresentationChartDat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s5\Barracuda\WCMP%20II\PORTFOLIO%20COMPANIES\Jobson%20Medical%20Information\Bank%20Correspondence\JMI%20Model%20(Wx%20Model%20-%20BMO%20Adjusted%205-18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CMP%20II\INACTIVE%20DEALS\Facts%20on%20File\Transaction%20Models\FOF%20Model%20v3%20(Asset%20Purchase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s5\Barracuda\Documents%20and%20Settings\nbk7h1e\Local%20Settings\Temporary%20Internet%20Files\OLK61\Bank%20Austria\Returns@@@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s5\Barracuda\Deals%20-%20In%20Process\TruCom\BridgeCom%20Budget%2020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fil01\data\Wicks\Wicks%20Model\JMI%20Model%20(Wx%20Model%20-%20BMO%20Adjusted%205-18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s5\Barracuda\Deals%20-%20In%20Process\Crescent%20Publishing%20Company,%20LLC\R0%20-%20Aug%202,%202001\CrescentPublishing%20Model%208-01%20R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s5\Barracuda\Credit%20Derivatives%20Group\Emerging\CBO\MFS\Jersey%20Street%20CLO\Warehouse\Warehouse%20Report\versions\August\Jersey%20Street%20CLO%208.7.06%20Committed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wicksgroup.com/PORTFOLIO%20COMPANIES/Bressler%20Outdoor/Financial%20Models/SubDebt%20Model%20-%20IRR%20-$30MM%20Equity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inous.studioholdings.net\temp\unzipped\7xbb01_\7b7k01_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s5\Barracuda\Falabella\Final\Falabella_New%20Model_1H17_v3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inous.studioholdings.net\temp\TEMP\Consolidated%2012-4-0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-neptune\accounting\Invoices\Invoice%2099\z.December%201999\DEC99Invoice%20Summary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s5\Barracuda\Rosetta%20Stone%20Model%20(91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s5\Barracuda\Documents%20and%20Settings\smarimow\My%20Documents\Companies\Univision\Model\Bank%20Model%20-%20Financing\Company%20Materials\Company%20Materials\Bank%20Model_9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nk%20Loan%20Team%20Research\_RAs\Takacs_G\PORTFOLIO%20-%20Takac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Kim\Local%20Settings\Temporary%20Internet%20Files\Content.IE5\YTHBT5P6\Spring%202002\Modeling\Problem%204%20workshee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s5\Barracuda\Documents%20and%20Settings\smarimow\My%20Documents\Companies\Univision\Model\Bank%20Model%20-%20Financing\Bank%20Model_2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NT14\USERS$\mm93223\My%20Documents\Templates\Servicing%20Template%20-%20MAB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s5\Barracuda\Documents%20and%20Settings\EMcKee\Local%20Settings\Temporary%20Internet%20Files\OLK12\65%20UVN%207-Year%20Model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Kim\Local%20Settings\Temporary%20Internet%20Files\Content.IE5\YTHBT5P6\windows\TEMP\financial%20forecast%207.27.98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s5\Barracuda\Beckett\Deals%20in%20process\UniFocus%20R6\Unifocus%20Model%204-02%20R6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s5\Barracuda\Documents%20and%20Settings\CRothbard\Local%20Settings\Temporary%20Internet%20Files\OLK146\JMI_WMI%20Financing%20Model%20(02-09-06)_vTD4%200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s5\Barracuda\Documents%20and%20Settings\jorr\Local%20Settings\Temporary%20Internet%20Files\OLK27\MC-DW-JOB%20Merger%20Model%20for%20Syndicate%20-%203.31.05%20rjf%205.03.05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s5\Barracuda\WCMP%20II\PORTFOLIO%20COMPANIES\Jobson%20Medical%20Information\Corporate%20Development\JMI_WMI%20Combination\2005.11\Oct%202005\MEDCON%20Projection%20Model%20September%202005%20(09-13-05)%20v2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inous.studioholdings.net\temp\M&amp;A_Deal\New%20Models\dcf.sh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 Page"/>
      <sheetName val="Deal Multiples"/>
      <sheetName val="Asset Coverage"/>
      <sheetName val="Status"/>
      <sheetName val="Output"/>
      <sheetName val="Graphs"/>
      <sheetName val="Inputs"/>
      <sheetName val="WARF"/>
      <sheetName val="Comps"/>
      <sheetName val="Magazines"/>
      <sheetName val="2"/>
      <sheetName val="4"/>
      <sheetName val="5"/>
      <sheetName val="6"/>
      <sheetName val="7"/>
      <sheetName val="8"/>
      <sheetName val="10"/>
      <sheetName val="11"/>
      <sheetName val="12"/>
      <sheetName val="14"/>
      <sheetName val="16"/>
      <sheetName val="1"/>
      <sheetName val="3"/>
      <sheetName val="9"/>
      <sheetName val="13"/>
      <sheetName val="15"/>
      <sheetName val="ARP"/>
      <sheetName val="CNG"/>
      <sheetName val="F&amp;W"/>
      <sheetName val="HNW"/>
      <sheetName val="IMO"/>
      <sheetName val="JMI"/>
      <sheetName val="MMH"/>
      <sheetName val="PRM"/>
      <sheetName val="RDA"/>
      <sheetName val="SRCE"/>
      <sheetName val="SPRG"/>
      <sheetName val="WNM"/>
      <sheetName val="RVDP"/>
      <sheetName val="SMTB"/>
      <sheetName val="TMN"/>
      <sheetName val="Portfolio"/>
      <sheetName val="LBO Summary"/>
      <sheetName val="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attrition"/>
      <sheetName val="Sheet1"/>
      <sheetName val="IncStmt"/>
      <sheetName val="CashFlow"/>
      <sheetName val="BalSht"/>
      <sheetName val="Allowance"/>
      <sheetName val="CashEBITDA"/>
      <sheetName val="FxdChg"/>
      <sheetName val="Ratio"/>
      <sheetName val="Module1"/>
      <sheetName val="LBO Summary"/>
      <sheetName val="Chart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Returns Summary"/>
      <sheetName val="Case Logic"/>
      <sheetName val="Option Summary"/>
      <sheetName val="TRANSACTION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nning Assumptions"/>
      <sheetName val="Tanning P&amp;L"/>
      <sheetName val="Tanning Balance Sheets"/>
      <sheetName val="Tanning Cash Flows"/>
      <sheetName val="Meta P&amp;L"/>
      <sheetName val="Meta Balance Sheet"/>
      <sheetName val="Meta Cash Flow"/>
      <sheetName val="Combined Balance Sheet"/>
      <sheetName val="Combined P&amp;L"/>
      <sheetName val="Combined Cash Flow"/>
      <sheetName val="Shares"/>
      <sheetName val="EssRet"/>
      <sheetName val="Meta Segments"/>
      <sheetName val="Capex"/>
      <sheetName val="Sheet5"/>
      <sheetName val="D"/>
      <sheetName val="TRANSAC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Qual. Analysis"/>
      <sheetName val="Inputs"/>
      <sheetName val="Base"/>
      <sheetName val="EV_DCF Analysis"/>
      <sheetName val="VeCTOR Import"/>
      <sheetName val="Annual Summary"/>
    </sheetNames>
    <sheetDataSet>
      <sheetData sheetId="0" refreshError="1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lections"/>
      <sheetName val="Calcs"/>
      <sheetName val="Account"/>
      <sheetName val="OCTrends"/>
      <sheetName val="ICTrends"/>
      <sheetName val="DivTrends"/>
      <sheetName val="WARFTrends"/>
      <sheetName val="WARFFitchTrends"/>
      <sheetName val="WASTrends"/>
      <sheetName val="WACTrends"/>
      <sheetName val="WALTrends"/>
      <sheetName val="Debt Structure"/>
      <sheetName val="Fund Schedule"/>
      <sheetName val="Principal"/>
      <sheetName val="Ineligible"/>
      <sheetName val="S&amp;P Industry"/>
      <sheetName val="Trade Activity Summary"/>
      <sheetName val="Sale Activity Bond"/>
      <sheetName val="Sale Activity"/>
      <sheetName val="Buy Activity Bond"/>
      <sheetName val="Buy Activity"/>
      <sheetName val="Default"/>
      <sheetName val="CCC"/>
      <sheetName val="CCCBond"/>
      <sheetName val="Presentation Info 22 (Adam Silv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M YTD 2000"/>
      <sheetName val="AUM_Chart"/>
      <sheetName val="Cap Structure"/>
      <sheetName val="TOP10"/>
      <sheetName val="DefaultHistory"/>
      <sheetName val="DefaultedSecuritySummary"/>
      <sheetName val="DefaultedSecuritySummary2"/>
      <sheetName val="DefaultedSecurityData"/>
      <sheetName val="Actual vs Covenant"/>
      <sheetName val="APEX"/>
      <sheetName val="APEX_MR"/>
      <sheetName val="APEX_SR"/>
      <sheetName val="APEX_MI"/>
      <sheetName val="APEX_SI"/>
      <sheetName val="ELC1"/>
      <sheetName val="ELC1_SR"/>
      <sheetName val="ELC1_MR"/>
      <sheetName val="ELC1_FR"/>
      <sheetName val="ELC1_SI"/>
      <sheetName val="ELC1_MI"/>
      <sheetName val="ELC2"/>
      <sheetName val="ELC2_SR"/>
      <sheetName val="ELC2_FR"/>
      <sheetName val="ELC2_SI"/>
      <sheetName val="ELC2_MI"/>
      <sheetName val="ELC3"/>
      <sheetName val="ELC3_MR"/>
      <sheetName val="ELC3_SR"/>
      <sheetName val="ELC3_FR"/>
      <sheetName val="ELC3_MI"/>
      <sheetName val="ELC3_SI"/>
      <sheetName val="ELC4"/>
      <sheetName val="ELC4_MR"/>
      <sheetName val="ELC4_SR"/>
      <sheetName val="ELC4_MI"/>
      <sheetName val="ELC4_SI"/>
      <sheetName val="ELC5"/>
      <sheetName val="ELC5_MR"/>
      <sheetName val="ELC5_SR"/>
      <sheetName val="ELC5_MI"/>
      <sheetName val="ELC5_SI"/>
      <sheetName val="TRYN"/>
      <sheetName val="TRYN_MR"/>
      <sheetName val="TRYN_SR"/>
      <sheetName val="TRYN_SI"/>
      <sheetName val="TRYN_MI"/>
      <sheetName val="SaleData"/>
      <sheetName val="SH_Results"/>
      <sheetName val="SH_APEX"/>
      <sheetName val="SH_ELC1"/>
      <sheetName val="SH_ELC2"/>
      <sheetName val="SH_ELC3"/>
      <sheetName val="SH_ELC4"/>
      <sheetName val="SH_ELC5"/>
      <sheetName val="SH_TRY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EBITDA SUM"/>
      <sheetName val="RIF SUM"/>
      <sheetName val="OBS"/>
      <sheetName val="AFS"/>
      <sheetName val="MIS"/>
      <sheetName val="MBS"/>
      <sheetName val="MCF"/>
      <sheetName val="MC-MIS"/>
      <sheetName val="ED-MIS"/>
      <sheetName val="MED PUB-MIS"/>
      <sheetName val="OPT-MIS"/>
      <sheetName val="REV"/>
      <sheetName val="EXP"/>
      <sheetName val="MODR"/>
      <sheetName val="D&amp;A"/>
      <sheetName val="DEBT"/>
      <sheetName val="COVS"/>
      <sheetName val="DISPLAY"/>
      <sheetName val="CONT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U"/>
      <sheetName val="BS"/>
      <sheetName val="IS"/>
      <sheetName val="CFS"/>
      <sheetName val="REV"/>
      <sheetName val="RATIO"/>
      <sheetName val="RETURN"/>
      <sheetName val="CONTROL"/>
      <sheetName val="D&amp;A"/>
    </sheetNames>
    <sheetDataSet>
      <sheetData sheetId="0" refreshError="1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s"/>
      <sheetName val="OC-IC"/>
      <sheetName val="Sources and Uses"/>
      <sheetName val="After Tax"/>
      <sheetName val="Tax Report"/>
      <sheetName val="Price Yield"/>
      <sheetName val="LIBOR"/>
      <sheetName val="Revolver"/>
      <sheetName val="PV Calc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DRIVER"/>
      <sheetName val="Sheet1"/>
      <sheetName val="Bcom IS-Mnthly"/>
      <sheetName val="Conversion Balance Sheet"/>
      <sheetName val="Bcom BS-Mnthly"/>
      <sheetName val="Bcom FAS95-Mnthly"/>
      <sheetName val="Bcom Rollup-Income"/>
      <sheetName val="Bcom Rollup- Balance"/>
      <sheetName val="Bcom Conversion Charge Adj"/>
      <sheetName val="Bcom Debt"/>
      <sheetName val="Bcom Fixed Assets"/>
      <sheetName val="Bcom Lines"/>
      <sheetName val="Bcom New AE Efficiency"/>
      <sheetName val="Bcom Rev"/>
      <sheetName val="Bcom COGS"/>
      <sheetName val="Bcom-SG&amp;A,Taxes"/>
      <sheetName val="Bcom HEADCOUNT"/>
      <sheetName val="MasterDriverTrucom"/>
      <sheetName val="TruCom IS"/>
      <sheetName val="TruCom BS"/>
      <sheetName val="TruCom FAS95-Mnthly"/>
      <sheetName val="TruCom Rev"/>
      <sheetName val="TruCom COGS"/>
      <sheetName val="TruCom Lines"/>
      <sheetName val="TruCom-SG&amp;A,Taxes"/>
      <sheetName val="TruCom HEADCOUNT"/>
      <sheetName val="TruCom Amort."/>
      <sheetName val="TruCom Fixed Assets"/>
      <sheetName val="TruCom Debt"/>
      <sheetName val="TruCom Debt worksheet"/>
      <sheetName val="Cap Tables"/>
      <sheetName val="TruCom Cash Acct. Recon."/>
      <sheetName val="MASTER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EBITDA SUM"/>
      <sheetName val="RIF SUM"/>
      <sheetName val="OBS"/>
      <sheetName val="AFS"/>
      <sheetName val="MIS"/>
      <sheetName val="MBS"/>
      <sheetName val="MCF"/>
      <sheetName val="MC-MIS"/>
      <sheetName val="ED-MIS"/>
      <sheetName val="MED PUB-MIS"/>
      <sheetName val="DISPLAY"/>
      <sheetName val="OPT-MIS"/>
      <sheetName val="REV"/>
      <sheetName val="EXP"/>
      <sheetName val="MODR"/>
      <sheetName val="D&amp;A"/>
      <sheetName val="DEBT"/>
      <sheetName val="COVS"/>
      <sheetName val="CONTR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M 2000 Rev Chart"/>
      <sheetName val="MCM 2001 Rev Chart"/>
      <sheetName val="MCM 1999 P&amp;L"/>
      <sheetName val="MCM 2000 P&amp;L"/>
      <sheetName val="MCM 2001 Plan"/>
      <sheetName val="MCM 2000 and 2001 Plan"/>
      <sheetName val="GSN Hist IS"/>
      <sheetName val="GSN Hist BS"/>
      <sheetName val="CC 2000 Detail"/>
      <sheetName val="CC 2000 IS"/>
      <sheetName val="CC 2000 BS"/>
      <sheetName val="CC 2000 CF"/>
      <sheetName val="Crescent Mo IS 9-00 to 6-01"/>
      <sheetName val="Crescent Qtr IS Sep00-Jun01"/>
      <sheetName val="Target P&amp;L RollUp"/>
      <sheetName val="Target P&amp;L RollUp June"/>
      <sheetName val="Target P&amp;L Pct Sales"/>
      <sheetName val="MASTER DRIVERS"/>
      <sheetName val="Summary"/>
      <sheetName val="IS Sum"/>
      <sheetName val="BS Sum"/>
      <sheetName val="CF Sum"/>
      <sheetName val="Covenants and Capitalization"/>
      <sheetName val="Ret Earn Reconcile"/>
      <sheetName val="GSN IS Sum"/>
      <sheetName val="Maine IS Sum"/>
      <sheetName val="Conversion BS"/>
      <sheetName val="Key Ratios"/>
      <sheetName val="MCG vs Vaxa"/>
      <sheetName val="Exhibits1"/>
      <sheetName val="Exhibits2"/>
      <sheetName val="IS"/>
      <sheetName val="BS"/>
      <sheetName val="CF"/>
      <sheetName val="Debt"/>
      <sheetName val="Fixed Assets"/>
      <sheetName val="Intangibles"/>
      <sheetName val="DCF"/>
      <sheetName val="Initial TTM EBITDA by Cluster"/>
      <sheetName val="Geographic Concentration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nX"/>
      <sheetName val="Portfolio Input"/>
      <sheetName val="Warehouse Summary"/>
      <sheetName val="Investor Summary"/>
      <sheetName val="Industry"/>
      <sheetName val="Rating"/>
      <sheetName val="Broad Loan Category"/>
      <sheetName val="Diversity Calc"/>
      <sheetName val="Vlookup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Pipeline"/>
      <sheetName val="Monthly Financials"/>
      <sheetName val="Quarterly Financials"/>
      <sheetName val="Yearly Financials"/>
      <sheetName val="Distributions"/>
      <sheetName val="Returns"/>
      <sheetName val="Operations"/>
      <sheetName val="Payroll"/>
      <sheetName val="Depreciation"/>
      <sheetName val="Debt"/>
      <sheetName val="Equ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s"/>
      <sheetName val="Model"/>
      <sheetName val="Portfolio Input"/>
    </sheetNames>
    <sheetDataSet>
      <sheetData sheetId="0"/>
      <sheetData sheetId="1" refreshError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italisation"/>
      <sheetName val="Model"/>
      <sheetName val="KPIS"/>
      <sheetName val="RV"/>
      <sheetName val="Sheet1"/>
      <sheetName val="Sheet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TransSum"/>
      <sheetName val="Consolidated"/>
      <sheetName val="JDPC Proj."/>
      <sheetName val="EG Proj."/>
      <sheetName val="KBB Proj. 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liminary"/>
      <sheetName val="Final"/>
    </sheetNames>
    <sheetDataSet>
      <sheetData sheetId="0" refreshError="1"/>
      <sheetData sheetId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01_05_v_Wicks_xls__01_05_v_Wic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BO Summary"/>
      <sheetName val="Financials"/>
      <sheetName val="Debt"/>
      <sheetName val="Cap"/>
      <sheetName val="Consolidated"/>
      <sheetName val="Television"/>
      <sheetName val="Corporate"/>
      <sheetName val="Capex"/>
      <sheetName val="Tax"/>
      <sheetName val="Adj 2006"/>
      <sheetName val="Credit"/>
      <sheetName val="For Banks"/>
      <sheetName val="_01_05_v_Wicks_xls__01_05_v_W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M Yields"/>
      <sheetName val="Vector Output"/>
      <sheetName val="Portfolio"/>
      <sheetName val="Action Items"/>
      <sheetName val="Defense Comps"/>
      <sheetName val="Telecom"/>
      <sheetName val="WARF"/>
      <sheetName val="Template"/>
      <sheetName val="1"/>
      <sheetName val="2"/>
      <sheetName val="3"/>
      <sheetName val="4"/>
      <sheetName val="Credit Breakdown"/>
      <sheetName val="Auto EVs"/>
      <sheetName val="WARF Tracker"/>
      <sheetName val="Deal Multiples"/>
      <sheetName val="Status"/>
      <sheetName val="Output"/>
      <sheetName val="Graphs"/>
      <sheetName val="Inputs"/>
      <sheetName val="LBO Summary"/>
      <sheetName val="Tanning Assumptions"/>
      <sheetName val="IncStmt"/>
      <sheetName val="BS"/>
      <sheetName val="DCF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y-by-night - Base"/>
      <sheetName val="Fly-by-night - problem 5"/>
      <sheetName val="Fly-by-night - problem 6"/>
      <sheetName val="Fly-by-night - Base with ltd"/>
      <sheetName val="Portfolio"/>
      <sheetName val="MASTER DRIVER"/>
      <sheetName val="LBO Summary"/>
      <sheetName val="IncStmt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BO Summary"/>
      <sheetName val="Financials"/>
      <sheetName val="Debt"/>
      <sheetName val="Cap"/>
      <sheetName val="Consolidated"/>
      <sheetName val="Television"/>
      <sheetName val="Corporate"/>
      <sheetName val="Capex"/>
      <sheetName val="Tax"/>
      <sheetName val="Credit"/>
      <sheetName val="Summary"/>
      <sheetName val="Segments"/>
      <sheetName val="Adjustments"/>
      <sheetName val="Fly-by-night - problem 5"/>
      <sheetName val="Inputs"/>
      <sheetName val="IncStm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al Info"/>
      <sheetName val="Qualitative Analysis"/>
      <sheetName val="Base"/>
      <sheetName val="EV_DCF Analysis"/>
      <sheetName val="VeCTOR Import"/>
      <sheetName val="Annual Summary"/>
      <sheetName val="LBO Summary"/>
      <sheetName val="Fly-by-night - problem 5"/>
      <sheetName val="Segment Info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UMMARY"/>
      <sheetName val="TRANSACTION"/>
      <sheetName val="Capital Structure"/>
      <sheetName val="DEBT DETAIL"/>
      <sheetName val="Sheet2"/>
      <sheetName val="Flat EBITDA"/>
      <sheetName val="Scenario Fan"/>
      <sheetName val="Sheet1"/>
      <sheetName val="Sheet1 (2)"/>
      <sheetName val="Case Comparison"/>
      <sheetName val="INCOME STATEMENT"/>
      <sheetName val="BALANCE SHEET"/>
      <sheetName val="CASH FLOW"/>
      <sheetName val="World Cup"/>
      <sheetName val="Taxes"/>
      <sheetName val="CAPEX &amp; INTANG"/>
      <sheetName val="Drivers"/>
      <sheetName val="WORKING CAPITAL"/>
      <sheetName val="Buildup"/>
      <sheetName val="S&amp;U"/>
      <sheetName val="TV Build"/>
      <sheetName val="TV Group"/>
      <sheetName val="UVN"/>
      <sheetName val="TLF"/>
      <sheetName val="Gala"/>
      <sheetName val="TV Station Group"/>
      <sheetName val="UTG"/>
      <sheetName val="TTG"/>
      <sheetName val="Radio Operating Build"/>
      <sheetName val="Radio Drivers"/>
      <sheetName val="Consolidated"/>
      <sheetName val="Market Build"/>
      <sheetName val="Other"/>
      <sheetName val="Overview"/>
      <sheetName val="Margin Bridge"/>
      <sheetName val="Projections Detail"/>
      <sheetName val="VeCTOR Import"/>
      <sheetName val="LBO Summary"/>
      <sheetName val="Fly-by-night - problem 5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reciation"/>
      <sheetName val="S&amp;U"/>
      <sheetName val="Sheet1"/>
      <sheetName val="1998 assump"/>
      <sheetName val="1997 assump"/>
      <sheetName val="******"/>
      <sheetName val="1998 P &amp; L"/>
      <sheetName val="1999 P &amp; L"/>
      <sheetName val="summ people"/>
      <sheetName val="people"/>
      <sheetName val="Sheet2"/>
      <sheetName val="B"/>
      <sheetName val="Sheet5"/>
      <sheetName val="Employees"/>
      <sheetName val="Reconcile"/>
      <sheetName val="D"/>
      <sheetName val="TRANSACTION"/>
      <sheetName val="VeCTOR Im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vCalcs Table"/>
      <sheetName val="IS Table"/>
      <sheetName val="BS Table"/>
      <sheetName val="SoCF Table"/>
      <sheetName val="RE &amp; DIVS Table"/>
      <sheetName val="Debt Table"/>
      <sheetName val="RE &amp; DIVS"/>
      <sheetName val="Debt"/>
      <sheetName val="BalSh Comb"/>
      <sheetName val="SoCF Comb"/>
      <sheetName val="IS Comb"/>
      <sheetName val="Covenant Summary"/>
      <sheetName val="UF P&amp;L-Mth"/>
      <sheetName val="Sheet1"/>
      <sheetName val="MASTER"/>
      <sheetName val="FC P&amp;L-Mth"/>
      <sheetName val="Headcount"/>
      <sheetName val="New FC Contracts"/>
      <sheetName val="UF Bal-Mth"/>
      <sheetName val="FC Bal-Mth"/>
      <sheetName val="Fixed Assets"/>
      <sheetName val="G&amp;A"/>
      <sheetName val="FC Contracts 2001"/>
      <sheetName val="End Model"/>
      <sheetName val="Combnd Hist BS"/>
      <sheetName val="UF Bal Sheet"/>
      <sheetName val="FC Bal Sheet"/>
      <sheetName val="UF P&amp;L Hist"/>
      <sheetName val="FC P&amp;L Hist"/>
      <sheetName val="UF2000"/>
      <sheetName val="UF2001"/>
      <sheetName val="FC2000"/>
      <sheetName val="FC2001"/>
      <sheetName val="vs. 2001 actuals"/>
      <sheetName val="Sheet3"/>
      <sheetName val="Equity Table"/>
      <sheetName val="Card Count Table"/>
      <sheetName val="BS Tables"/>
      <sheetName val="Concentr Table"/>
      <sheetName val="BS Analysis"/>
      <sheetName val="Table 5"/>
      <sheetName val="Table 4"/>
      <sheetName val="Table 3"/>
      <sheetName val="Table 2"/>
      <sheetName val="Table 1"/>
      <sheetName val="DCF"/>
      <sheetName val="top50hotels"/>
      <sheetName val="Sheet5"/>
      <sheetName val="D"/>
      <sheetName val="MASTER DRIVERS"/>
      <sheetName val="TRANSACTION"/>
      <sheetName val="VeCTOR Im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"/>
      <sheetName val="OBS - MEDCON"/>
      <sheetName val="OBS - REFI"/>
      <sheetName val="AFS"/>
      <sheetName val="MBS"/>
      <sheetName val="MMIS (2)"/>
      <sheetName val="WHEC"/>
      <sheetName val="MIS"/>
      <sheetName val="MCF"/>
      <sheetName val="PACING06"/>
      <sheetName val="D&amp;A"/>
      <sheetName val="D&amp;A (2)"/>
      <sheetName val="DEBT"/>
      <sheetName val="CHARTS&gt;&gt;&gt;"/>
      <sheetName val="S&amp;U_CAP_MERGER"/>
      <sheetName val="S&amp;U_CAP_REFI"/>
      <sheetName val="MEDCON IS"/>
      <sheetName val="SUM IS"/>
      <sheetName val="PF IS"/>
      <sheetName val="PF BS"/>
      <sheetName val="COVS"/>
      <sheetName val="ECF"/>
      <sheetName val="Bridge"/>
      <sheetName val="HoldCo INT"/>
      <sheetName val="PACING05"/>
      <sheetName val="MASTER"/>
      <sheetName val="Sheet5"/>
      <sheetName val="D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EBITDA SUM"/>
      <sheetName val="RIF SUM"/>
      <sheetName val="OBS"/>
      <sheetName val="AFS"/>
      <sheetName val="MIS"/>
      <sheetName val="MBS"/>
      <sheetName val="MCF"/>
      <sheetName val="MC-MIS"/>
      <sheetName val="ED-MIS"/>
      <sheetName val="MED PUB-MIS"/>
      <sheetName val="OPT-MIS"/>
      <sheetName val="REV"/>
      <sheetName val="EXP"/>
      <sheetName val="MODR"/>
      <sheetName val="D&amp;A"/>
      <sheetName val="DEBT"/>
      <sheetName val="COVS"/>
      <sheetName val="CONTROL"/>
      <sheetName val="OBS - REFI"/>
      <sheetName val="WHEC"/>
      <sheetName val="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"/>
      <sheetName val="AFS"/>
      <sheetName val="MIS"/>
      <sheetName val="MBS"/>
      <sheetName val="MCF"/>
      <sheetName val="DEBT"/>
      <sheetName val="D&amp;A"/>
      <sheetName val="COVS_ACTUAL"/>
      <sheetName val="COVS"/>
      <sheetName val="PACING05"/>
      <sheetName val="PACING06"/>
      <sheetName val="OBS - REFI"/>
      <sheetName val="WHEC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CF"/>
      <sheetName val="DCFnew"/>
      <sheetName val="COVS_ACTUAL"/>
      <sheetName val="D&amp;A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1CDCC-CEF6-471A-965D-A5E8768B4F84}">
  <sheetPr codeName="Sheet5"/>
  <dimension ref="B3:L1505"/>
  <sheetViews>
    <sheetView showGridLines="0" tabSelected="1" zoomScale="85" zoomScaleNormal="85" workbookViewId="0">
      <selection activeCell="Q7" sqref="Q7"/>
    </sheetView>
  </sheetViews>
  <sheetFormatPr defaultColWidth="11.42578125" defaultRowHeight="12.75"/>
  <cols>
    <col min="1" max="1" width="3.28515625" style="29" customWidth="1"/>
    <col min="2" max="2" width="7.7109375" style="29" customWidth="1"/>
    <col min="3" max="3" width="50.7109375" style="29" customWidth="1"/>
    <col min="4" max="8" width="12.7109375" style="29" customWidth="1"/>
    <col min="9" max="9" width="50.7109375" style="29" customWidth="1"/>
    <col min="10" max="10" width="12.7109375" style="29" customWidth="1"/>
    <col min="11" max="11" width="21.7109375" style="29" customWidth="1"/>
    <col min="12" max="12" width="11.140625" style="29" bestFit="1" customWidth="1"/>
    <col min="13" max="16384" width="11.42578125" style="29"/>
  </cols>
  <sheetData>
    <row r="3" spans="2:10">
      <c r="B3" s="54" t="s">
        <v>0</v>
      </c>
      <c r="I3" s="29" t="s">
        <v>1</v>
      </c>
      <c r="J3" s="384">
        <f>Model!$Q$211</f>
        <v>5.5744467361614362E-2</v>
      </c>
    </row>
    <row r="4" spans="2:10">
      <c r="B4" s="54"/>
      <c r="I4" s="29" t="s">
        <v>2</v>
      </c>
      <c r="J4" s="384">
        <f>Model!$Q$210</f>
        <v>5.4085873204396478E-2</v>
      </c>
    </row>
    <row r="5" spans="2:10" ht="13.5" thickBot="1">
      <c r="B5" s="54"/>
      <c r="I5" s="54"/>
      <c r="J5" s="76"/>
    </row>
    <row r="6" spans="2:10" ht="12.75" customHeight="1">
      <c r="C6" s="378" t="s">
        <v>3</v>
      </c>
      <c r="D6" s="379" t="s">
        <v>4</v>
      </c>
      <c r="E6" s="379" t="s">
        <v>5</v>
      </c>
      <c r="F6" s="380" t="s">
        <v>6</v>
      </c>
      <c r="G6" s="380" t="s">
        <v>7</v>
      </c>
      <c r="I6" s="340" t="s">
        <v>8</v>
      </c>
      <c r="J6" s="339" t="str">
        <f>D6</f>
        <v>MXN mn</v>
      </c>
    </row>
    <row r="7" spans="2:10" ht="12.75" customHeight="1">
      <c r="C7" s="289"/>
      <c r="D7" s="291"/>
      <c r="E7" s="291"/>
      <c r="F7" s="290"/>
      <c r="G7" s="290"/>
      <c r="I7" s="259" t="s">
        <v>9</v>
      </c>
      <c r="J7" s="338">
        <v>88557.8</v>
      </c>
    </row>
    <row r="8" spans="2:10" ht="12.75" customHeight="1">
      <c r="C8" s="381" t="s">
        <v>10</v>
      </c>
      <c r="D8" s="62">
        <v>0</v>
      </c>
      <c r="E8" s="32">
        <f>D8*$J3</f>
        <v>0</v>
      </c>
      <c r="F8" s="290"/>
      <c r="G8" s="290"/>
      <c r="I8" s="259" t="s">
        <v>11</v>
      </c>
      <c r="J8" s="338">
        <v>49752.4</v>
      </c>
    </row>
    <row r="9" spans="2:10" ht="12.75" customHeight="1" thickBot="1">
      <c r="C9" s="381"/>
      <c r="D9" s="62"/>
      <c r="E9" s="32"/>
      <c r="F9" s="290"/>
      <c r="G9" s="290"/>
      <c r="I9" s="312" t="s">
        <v>12</v>
      </c>
      <c r="J9" s="313">
        <f>J8/D21</f>
        <v>2.187694904319458</v>
      </c>
    </row>
    <row r="10" spans="2:10" ht="12.75" customHeight="1">
      <c r="C10" s="381" t="s">
        <v>13</v>
      </c>
      <c r="D10" s="32">
        <f>SUM(D11:D12)</f>
        <v>82048.136000000013</v>
      </c>
      <c r="E10" s="32">
        <f>SUM(E11:E12)</f>
        <v>4573.7296393332963</v>
      </c>
      <c r="F10" s="290"/>
      <c r="G10" s="290"/>
    </row>
    <row r="11" spans="2:10" ht="12.75" customHeight="1">
      <c r="C11" s="408" t="s">
        <v>14</v>
      </c>
      <c r="D11" s="62">
        <v>9949.3160000000007</v>
      </c>
      <c r="E11" s="32">
        <f>D11*J3</f>
        <v>554.61932103238757</v>
      </c>
      <c r="F11" s="290"/>
      <c r="G11" s="290"/>
    </row>
    <row r="12" spans="2:10" ht="12.75" customHeight="1">
      <c r="C12" s="408" t="s">
        <v>15</v>
      </c>
      <c r="D12" s="62">
        <v>72098.820000000007</v>
      </c>
      <c r="E12" s="32">
        <f>D12*J3</f>
        <v>4019.1103183009091</v>
      </c>
      <c r="F12" s="290"/>
      <c r="G12" s="290"/>
    </row>
    <row r="13" spans="2:10" ht="12.75" customHeight="1">
      <c r="C13" s="381"/>
      <c r="D13" s="62"/>
      <c r="E13" s="32"/>
      <c r="F13" s="290"/>
      <c r="G13" s="290"/>
    </row>
    <row r="14" spans="2:10" ht="12.75" customHeight="1">
      <c r="C14" s="381" t="s">
        <v>16</v>
      </c>
      <c r="D14" s="32">
        <f>Model!$BC$108</f>
        <v>6509.7000000000007</v>
      </c>
      <c r="E14" s="32">
        <f>D14*$J3</f>
        <v>362.87975918390106</v>
      </c>
      <c r="F14" s="290"/>
      <c r="G14" s="290"/>
      <c r="J14" s="135"/>
    </row>
    <row r="15" spans="2:10" ht="12.75" customHeight="1">
      <c r="C15" s="289"/>
      <c r="D15" s="291"/>
      <c r="E15" s="291"/>
      <c r="F15" s="290"/>
      <c r="G15" s="290"/>
    </row>
    <row r="16" spans="2:10">
      <c r="C16" s="382" t="s">
        <v>17</v>
      </c>
      <c r="D16" s="89">
        <f>SUM(D8,D10,D14)</f>
        <v>88557.83600000001</v>
      </c>
      <c r="E16" s="89">
        <f>SUM(E8,E10,E14)</f>
        <v>4936.6093985171974</v>
      </c>
      <c r="F16" s="383">
        <f>+D16/D21</f>
        <v>3.8940337864054451</v>
      </c>
      <c r="G16" s="383">
        <f>+E16/E21</f>
        <v>4.0134479939145526</v>
      </c>
      <c r="H16" s="199"/>
      <c r="I16" s="54"/>
    </row>
    <row r="17" spans="3:12">
      <c r="C17" s="287" t="s">
        <v>18</v>
      </c>
      <c r="D17" s="64">
        <f>Model!BC$113</f>
        <v>24976.799999999999</v>
      </c>
      <c r="E17" s="64">
        <f>D17*$J3</f>
        <v>1392.3184123975695</v>
      </c>
      <c r="F17" s="288"/>
      <c r="G17" s="288"/>
      <c r="I17" s="289"/>
      <c r="J17" s="413"/>
      <c r="K17" s="413"/>
      <c r="L17" s="290"/>
    </row>
    <row r="18" spans="3:12">
      <c r="C18" s="382" t="s">
        <v>19</v>
      </c>
      <c r="D18" s="89">
        <f>+D16-D17</f>
        <v>63581.036000000007</v>
      </c>
      <c r="E18" s="89">
        <f>+E16-E17</f>
        <v>3544.2909861196276</v>
      </c>
      <c r="F18" s="383">
        <f>+D18/D21</f>
        <v>2.7957627866907329</v>
      </c>
      <c r="G18" s="383">
        <f>+E18/E21</f>
        <v>2.88149748132067</v>
      </c>
      <c r="I18" s="289"/>
      <c r="J18" s="184"/>
      <c r="K18" s="184"/>
      <c r="L18" s="293"/>
    </row>
    <row r="19" spans="3:12">
      <c r="C19" s="287" t="s">
        <v>20</v>
      </c>
      <c r="D19" s="64">
        <f>Model!BC$120</f>
        <v>104339.7</v>
      </c>
      <c r="E19" s="64">
        <f>D19*$J3</f>
        <v>5816.3610011706342</v>
      </c>
      <c r="I19" s="285"/>
      <c r="J19" s="62"/>
      <c r="K19" s="65"/>
      <c r="L19" s="286"/>
    </row>
    <row r="20" spans="3:12">
      <c r="C20" s="382" t="s">
        <v>21</v>
      </c>
      <c r="D20" s="89">
        <f>D16+D19</f>
        <v>192897.53600000002</v>
      </c>
      <c r="E20" s="89">
        <f>E16+E19</f>
        <v>10752.970399687831</v>
      </c>
      <c r="F20" s="383">
        <f>D20/D21</f>
        <v>8.4820221047221693</v>
      </c>
      <c r="G20" s="383">
        <f>E20/E21</f>
        <v>8.7421312879671103</v>
      </c>
      <c r="I20" s="287"/>
      <c r="J20" s="64"/>
      <c r="K20" s="119"/>
      <c r="L20" s="288"/>
    </row>
    <row r="21" spans="3:12" s="54" customFormat="1">
      <c r="C21" s="285" t="s">
        <v>22</v>
      </c>
      <c r="D21" s="7">
        <f>Model!BC$85</f>
        <v>22741.928</v>
      </c>
      <c r="E21" s="7">
        <f>D21*J4</f>
        <v>1230.0170342315139</v>
      </c>
      <c r="I21" s="285"/>
      <c r="J21" s="407"/>
      <c r="K21" s="171"/>
      <c r="L21" s="286"/>
    </row>
    <row r="22" spans="3:12">
      <c r="C22" s="409" t="s">
        <v>23</v>
      </c>
      <c r="D22" s="410">
        <f>D16-Model!BC$116</f>
        <v>3.6000000007334165E-2</v>
      </c>
      <c r="K22" s="65"/>
      <c r="L22" s="286"/>
    </row>
    <row r="23" spans="3:12">
      <c r="C23" s="114"/>
      <c r="D23" s="176"/>
      <c r="K23" s="65"/>
      <c r="L23" s="286"/>
    </row>
    <row r="24" spans="3:12">
      <c r="C24" s="381" t="s">
        <v>24</v>
      </c>
      <c r="D24" s="62">
        <v>9733.4</v>
      </c>
      <c r="E24" s="32">
        <f>D24*J3</f>
        <v>542.58319861753716</v>
      </c>
      <c r="K24" s="65"/>
      <c r="L24" s="286"/>
    </row>
    <row r="25" spans="3:12">
      <c r="C25" s="381" t="s">
        <v>25</v>
      </c>
      <c r="D25" s="32">
        <f>D18-D24</f>
        <v>53847.636000000006</v>
      </c>
      <c r="E25" s="32">
        <f>E18-E24</f>
        <v>3001.7077875020905</v>
      </c>
      <c r="K25" s="65"/>
      <c r="L25" s="286"/>
    </row>
    <row r="26" spans="3:12">
      <c r="C26" s="411" t="s">
        <v>26</v>
      </c>
      <c r="D26" s="383">
        <f>D25/D21</f>
        <v>2.3677691706701389</v>
      </c>
      <c r="E26" s="383">
        <f>E25/E21</f>
        <v>2.4403790386346054</v>
      </c>
      <c r="I26" s="285"/>
      <c r="J26" s="65"/>
      <c r="K26" s="65"/>
      <c r="L26" s="286"/>
    </row>
    <row r="27" spans="3:12">
      <c r="C27" s="114"/>
      <c r="D27" s="176"/>
      <c r="I27" s="285"/>
      <c r="J27" s="65"/>
      <c r="K27" s="65"/>
      <c r="L27" s="286"/>
    </row>
    <row r="28" spans="3:12">
      <c r="C28" s="114"/>
      <c r="D28" s="176"/>
      <c r="I28" s="285"/>
      <c r="J28" s="65"/>
      <c r="K28" s="65"/>
      <c r="L28" s="286"/>
    </row>
    <row r="29" spans="3:12" ht="13.5" thickBot="1">
      <c r="D29" s="412"/>
      <c r="E29" s="412"/>
      <c r="I29" s="285"/>
      <c r="J29" s="119"/>
      <c r="K29" s="119"/>
    </row>
    <row r="30" spans="3:12">
      <c r="C30" s="334" t="s">
        <v>27</v>
      </c>
      <c r="D30" s="336" t="str">
        <f>D6</f>
        <v>MXN mn</v>
      </c>
      <c r="E30" s="336" t="str">
        <f>E6</f>
        <v>USD mn</v>
      </c>
      <c r="I30" s="285"/>
      <c r="J30" s="65"/>
      <c r="K30" s="65"/>
      <c r="L30" s="286"/>
    </row>
    <row r="31" spans="3:12">
      <c r="C31" s="60" t="s">
        <v>28</v>
      </c>
      <c r="D31" s="163">
        <f>D17</f>
        <v>24976.799999999999</v>
      </c>
      <c r="E31" s="203">
        <f>D31*$J3</f>
        <v>1392.3184123975695</v>
      </c>
    </row>
    <row r="32" spans="3:12">
      <c r="C32" s="60" t="s">
        <v>24</v>
      </c>
      <c r="D32" s="163">
        <f>D24</f>
        <v>9733.4</v>
      </c>
      <c r="E32" s="203">
        <f>D32*$J3</f>
        <v>542.58319861753716</v>
      </c>
    </row>
    <row r="33" spans="2:8" ht="13.5" thickBot="1">
      <c r="C33" s="152" t="s">
        <v>29</v>
      </c>
      <c r="D33" s="174">
        <f>SUM(D31:D32)</f>
        <v>34710.199999999997</v>
      </c>
      <c r="E33" s="174">
        <f>SUM(E31:E32)</f>
        <v>1934.9016110151067</v>
      </c>
    </row>
    <row r="35" spans="2:8" ht="13.5" thickBot="1">
      <c r="D35" s="412"/>
      <c r="E35" s="412"/>
    </row>
    <row r="36" spans="2:8">
      <c r="B36" s="386"/>
      <c r="C36" s="342" t="s">
        <v>30</v>
      </c>
      <c r="D36" s="335" t="str">
        <f>D30</f>
        <v>MXN mn</v>
      </c>
      <c r="E36" s="335" t="str">
        <f>E30</f>
        <v>USD mn</v>
      </c>
    </row>
    <row r="37" spans="2:8">
      <c r="B37" s="386"/>
      <c r="C37" s="246"/>
      <c r="D37" s="251"/>
      <c r="E37" s="203">
        <f>D37*$J3</f>
        <v>0</v>
      </c>
    </row>
    <row r="38" spans="2:8">
      <c r="B38" s="386"/>
      <c r="C38" s="246" t="s">
        <v>31</v>
      </c>
      <c r="D38" s="252"/>
      <c r="E38" s="247"/>
    </row>
    <row r="39" spans="2:8">
      <c r="B39" s="386">
        <v>2029</v>
      </c>
      <c r="C39" s="249" t="s">
        <v>32</v>
      </c>
      <c r="D39" s="252">
        <v>2469.4090000000001</v>
      </c>
      <c r="E39" s="203">
        <f>D39*$J3</f>
        <v>137.65588940297675</v>
      </c>
      <c r="H39" s="62"/>
    </row>
    <row r="40" spans="2:8">
      <c r="B40" s="386">
        <v>2029</v>
      </c>
      <c r="C40" s="249" t="s">
        <v>33</v>
      </c>
      <c r="D40" s="252">
        <v>7479.9070000000002</v>
      </c>
      <c r="E40" s="203">
        <f>D40*$J3</f>
        <v>416.96343162941082</v>
      </c>
      <c r="H40" s="62"/>
    </row>
    <row r="41" spans="2:8">
      <c r="B41" s="386"/>
      <c r="C41" s="249"/>
      <c r="D41" s="252"/>
      <c r="E41" s="203"/>
      <c r="H41" s="62"/>
    </row>
    <row r="42" spans="2:8">
      <c r="B42" s="386"/>
      <c r="C42" s="246" t="s">
        <v>34</v>
      </c>
      <c r="D42" s="252"/>
      <c r="E42" s="203"/>
      <c r="H42" s="62"/>
    </row>
    <row r="43" spans="2:8">
      <c r="B43" s="386">
        <v>2037</v>
      </c>
      <c r="C43" s="249" t="s">
        <v>35</v>
      </c>
      <c r="D43" s="252">
        <v>4485.3609999999999</v>
      </c>
      <c r="E43" s="203">
        <f>D43*$J3</f>
        <v>250.03405986955795</v>
      </c>
      <c r="H43" s="62"/>
    </row>
    <row r="44" spans="2:8">
      <c r="B44" s="386">
        <v>2043</v>
      </c>
      <c r="C44" s="249" t="s">
        <v>36</v>
      </c>
      <c r="D44" s="252">
        <v>6164.3040000000001</v>
      </c>
      <c r="E44" s="203">
        <f>D44*$J3</f>
        <v>343.62584313506886</v>
      </c>
      <c r="H44" s="62"/>
    </row>
    <row r="45" spans="2:8">
      <c r="B45" s="386">
        <v>2027</v>
      </c>
      <c r="C45" s="249" t="s">
        <v>37</v>
      </c>
      <c r="D45" s="252">
        <v>4494.7939999999999</v>
      </c>
      <c r="E45" s="203">
        <f>D45*$J3</f>
        <v>250.55989743018006</v>
      </c>
      <c r="H45" s="62"/>
    </row>
    <row r="46" spans="2:8">
      <c r="B46" s="386">
        <v>2032</v>
      </c>
      <c r="C46" s="249" t="s">
        <v>38</v>
      </c>
      <c r="D46" s="252">
        <v>5353.741</v>
      </c>
      <c r="E46" s="203">
        <f>D46*$J3</f>
        <v>298.44144043703665</v>
      </c>
      <c r="H46" s="62"/>
    </row>
    <row r="47" spans="2:8">
      <c r="B47" s="386">
        <v>2040</v>
      </c>
      <c r="C47" s="249" t="s">
        <v>39</v>
      </c>
      <c r="D47" s="252">
        <v>10633.156999999999</v>
      </c>
      <c r="E47" s="203">
        <f>D47*$J3</f>
        <v>592.73967333742121</v>
      </c>
      <c r="H47" s="62"/>
    </row>
    <row r="48" spans="2:8">
      <c r="B48" s="386">
        <v>2045</v>
      </c>
      <c r="C48" s="249" t="s">
        <v>40</v>
      </c>
      <c r="D48" s="252">
        <v>13751.370999999999</v>
      </c>
      <c r="E48" s="203">
        <f>D48*$J3</f>
        <v>766.56285188695017</v>
      </c>
      <c r="H48" s="62"/>
    </row>
    <row r="49" spans="2:8">
      <c r="B49" s="386">
        <v>2046</v>
      </c>
      <c r="C49" s="249" t="s">
        <v>41</v>
      </c>
      <c r="D49" s="252">
        <v>15661.618</v>
      </c>
      <c r="E49" s="203">
        <f>D49*$J3</f>
        <v>873.04855343107204</v>
      </c>
      <c r="H49" s="62"/>
    </row>
    <row r="50" spans="2:8">
      <c r="B50" s="386">
        <v>2049</v>
      </c>
      <c r="C50" s="249" t="s">
        <v>42</v>
      </c>
      <c r="D50" s="252">
        <v>11554.474</v>
      </c>
      <c r="E50" s="203">
        <f>D50*$J3</f>
        <v>644.09799877362173</v>
      </c>
      <c r="H50" s="62"/>
    </row>
    <row r="51" spans="2:8" ht="13.5" thickBot="1">
      <c r="B51" s="386"/>
      <c r="C51" s="250"/>
      <c r="D51" s="253"/>
      <c r="E51" s="203"/>
    </row>
    <row r="52" spans="2:8" ht="13.5" thickBot="1">
      <c r="C52" s="134" t="s">
        <v>43</v>
      </c>
      <c r="D52" s="248">
        <f>SUM(D39:D51)</f>
        <v>82048.135999999999</v>
      </c>
      <c r="E52" s="173">
        <f>SUM(E39:E51)</f>
        <v>4573.7296393332963</v>
      </c>
    </row>
    <row r="53" spans="2:8">
      <c r="C53" s="387" t="s">
        <v>44</v>
      </c>
      <c r="D53" s="388">
        <f>D52-D8-D10</f>
        <v>0</v>
      </c>
      <c r="E53" s="254"/>
    </row>
    <row r="54" spans="2:8">
      <c r="C54" s="255"/>
      <c r="D54" s="385"/>
      <c r="E54" s="202"/>
    </row>
    <row r="55" spans="2:8" ht="13.5" thickBot="1">
      <c r="D55" s="412"/>
      <c r="E55" s="412"/>
    </row>
    <row r="56" spans="2:8">
      <c r="C56" s="341" t="s">
        <v>45</v>
      </c>
      <c r="D56" s="336" t="str">
        <f>D36</f>
        <v>MXN mn</v>
      </c>
      <c r="E56" s="337" t="str">
        <f>E36</f>
        <v>USD mn</v>
      </c>
    </row>
    <row r="57" spans="2:8">
      <c r="C57" s="133">
        <v>2026</v>
      </c>
      <c r="D57" s="252"/>
      <c r="E57" s="264"/>
    </row>
    <row r="58" spans="2:8">
      <c r="C58" s="133">
        <v>2027</v>
      </c>
      <c r="D58" s="252">
        <f>D45</f>
        <v>4494.7939999999999</v>
      </c>
      <c r="E58" s="264">
        <f>D58*$J3</f>
        <v>250.55989743018006</v>
      </c>
    </row>
    <row r="59" spans="2:8">
      <c r="C59" s="133">
        <v>2029</v>
      </c>
      <c r="D59" s="252">
        <f>D39+D40</f>
        <v>9949.3160000000007</v>
      </c>
      <c r="E59" s="264">
        <f>D59*$J3</f>
        <v>554.61932103238757</v>
      </c>
    </row>
    <row r="60" spans="2:8">
      <c r="C60" s="133">
        <v>2032</v>
      </c>
      <c r="D60" s="252">
        <f>D46</f>
        <v>5353.741</v>
      </c>
      <c r="E60" s="264">
        <f>D60*$J3</f>
        <v>298.44144043703665</v>
      </c>
    </row>
    <row r="61" spans="2:8">
      <c r="C61" s="133">
        <v>2037</v>
      </c>
      <c r="D61" s="252">
        <f>D43</f>
        <v>4485.3609999999999</v>
      </c>
      <c r="E61" s="264">
        <f>D61*$J3</f>
        <v>250.03405986955795</v>
      </c>
    </row>
    <row r="62" spans="2:8" ht="13.5" thickBot="1">
      <c r="C62" s="133" t="s">
        <v>46</v>
      </c>
      <c r="D62" s="252">
        <f>D44+D47+D48+D49+D50</f>
        <v>57764.923999999999</v>
      </c>
      <c r="E62" s="264">
        <f>D62*$J3</f>
        <v>3220.0749205641341</v>
      </c>
      <c r="H62" s="292"/>
    </row>
    <row r="63" spans="2:8" ht="13.5" thickBot="1">
      <c r="C63" s="134" t="s">
        <v>43</v>
      </c>
      <c r="D63" s="173">
        <f>SUM(D57:D62)</f>
        <v>82048.135999999999</v>
      </c>
      <c r="E63" s="173">
        <f>SUM(E61:E62)</f>
        <v>3470.1089804336921</v>
      </c>
    </row>
    <row r="64" spans="2:8">
      <c r="C64" s="387" t="s">
        <v>44</v>
      </c>
      <c r="D64" s="389">
        <f>D63-D8-D10</f>
        <v>0</v>
      </c>
      <c r="E64" s="260"/>
    </row>
    <row r="70" spans="2:12">
      <c r="B70" s="54" t="s">
        <v>47</v>
      </c>
      <c r="I70" s="54" t="s">
        <v>1</v>
      </c>
      <c r="J70" s="384">
        <f>Model!$Q$211</f>
        <v>5.5744467361614362E-2</v>
      </c>
    </row>
    <row r="71" spans="2:12">
      <c r="B71" s="54"/>
      <c r="I71" s="54" t="s">
        <v>2</v>
      </c>
      <c r="J71" s="384">
        <f>Model!$Q$210</f>
        <v>5.4085873204396478E-2</v>
      </c>
    </row>
    <row r="72" spans="2:12" ht="13.5" thickBot="1">
      <c r="B72" s="54"/>
      <c r="I72" s="54"/>
      <c r="J72" s="76"/>
    </row>
    <row r="73" spans="2:12" ht="12.75" customHeight="1">
      <c r="C73" s="378" t="s">
        <v>48</v>
      </c>
      <c r="D73" s="379" t="s">
        <v>4</v>
      </c>
      <c r="E73" s="379" t="s">
        <v>5</v>
      </c>
      <c r="F73" s="380" t="s">
        <v>6</v>
      </c>
      <c r="G73" s="380" t="s">
        <v>7</v>
      </c>
      <c r="I73" s="340" t="s">
        <v>8</v>
      </c>
      <c r="J73" s="339" t="str">
        <f>D73</f>
        <v>MXN mn</v>
      </c>
    </row>
    <row r="74" spans="2:12" ht="12.75" customHeight="1">
      <c r="C74" s="289"/>
      <c r="D74" s="291"/>
      <c r="E74" s="291"/>
      <c r="F74" s="290"/>
      <c r="G74" s="290"/>
      <c r="I74" s="259" t="s">
        <v>9</v>
      </c>
      <c r="J74" s="338">
        <v>91430.2</v>
      </c>
    </row>
    <row r="75" spans="2:12" ht="12.75" customHeight="1">
      <c r="C75" s="381" t="s">
        <v>10</v>
      </c>
      <c r="D75" s="62">
        <v>3737</v>
      </c>
      <c r="E75" s="32">
        <f>D75*$J70</f>
        <v>208.31707453035287</v>
      </c>
      <c r="F75" s="290"/>
      <c r="G75" s="290"/>
      <c r="I75" s="259" t="s">
        <v>11</v>
      </c>
      <c r="J75" s="338">
        <v>49115.199999999997</v>
      </c>
    </row>
    <row r="76" spans="2:12" ht="12.75" customHeight="1" thickBot="1">
      <c r="C76" s="381" t="s">
        <v>13</v>
      </c>
      <c r="D76" s="62">
        <v>82257.2</v>
      </c>
      <c r="E76" s="32">
        <f>D76*$J70</f>
        <v>4585.3838006577844</v>
      </c>
      <c r="F76" s="290"/>
      <c r="G76" s="290"/>
      <c r="I76" s="312" t="s">
        <v>12</v>
      </c>
      <c r="J76" s="313">
        <f>J75/D84</f>
        <v>2.1927184276172373</v>
      </c>
    </row>
    <row r="77" spans="2:12" ht="12.75" customHeight="1">
      <c r="C77" s="381" t="s">
        <v>16</v>
      </c>
      <c r="D77" s="62">
        <f>1583.9+3852.1</f>
        <v>5436</v>
      </c>
      <c r="E77" s="32">
        <f>D77*$J70</f>
        <v>303.02692457773566</v>
      </c>
      <c r="F77" s="290"/>
      <c r="G77" s="290"/>
      <c r="J77" s="135"/>
    </row>
    <row r="78" spans="2:12" ht="12.75" customHeight="1">
      <c r="C78" s="289"/>
      <c r="D78" s="291"/>
      <c r="E78" s="291"/>
      <c r="F78" s="290"/>
      <c r="G78" s="290"/>
    </row>
    <row r="79" spans="2:12">
      <c r="C79" s="382" t="s">
        <v>17</v>
      </c>
      <c r="D79" s="89">
        <f>SUM(D75:D77)</f>
        <v>91430.2</v>
      </c>
      <c r="E79" s="89">
        <f>SUM(E75:E77)</f>
        <v>5096.727799765873</v>
      </c>
      <c r="F79" s="383">
        <f>+D79/D84</f>
        <v>4.0818460350508508</v>
      </c>
      <c r="G79" s="383">
        <f>+E79/E84</f>
        <v>4.2070196817591752</v>
      </c>
      <c r="H79" s="199"/>
      <c r="I79" s="54"/>
    </row>
    <row r="80" spans="2:12">
      <c r="C80" s="287" t="s">
        <v>18</v>
      </c>
      <c r="D80" s="64">
        <f>Model!BB$113</f>
        <v>36375.699999999997</v>
      </c>
      <c r="E80" s="64">
        <f>D80*$J70</f>
        <v>2027.7440214058754</v>
      </c>
      <c r="F80" s="288"/>
      <c r="G80" s="288"/>
      <c r="I80" s="289"/>
      <c r="J80" s="413"/>
      <c r="K80" s="413"/>
      <c r="L80" s="290"/>
    </row>
    <row r="81" spans="2:12">
      <c r="C81" s="382" t="s">
        <v>19</v>
      </c>
      <c r="D81" s="89">
        <f>+D79-D80</f>
        <v>55054.5</v>
      </c>
      <c r="E81" s="89">
        <f>+E79-E80</f>
        <v>3068.9837783599978</v>
      </c>
      <c r="F81" s="383">
        <f>+D81/D84</f>
        <v>2.4578748874738006</v>
      </c>
      <c r="G81" s="383">
        <f>+E81/E84</f>
        <v>2.5332479319678893</v>
      </c>
      <c r="I81" s="289"/>
      <c r="J81" s="184"/>
      <c r="K81" s="184"/>
      <c r="L81" s="293"/>
    </row>
    <row r="82" spans="2:12">
      <c r="C82" s="287" t="s">
        <v>20</v>
      </c>
      <c r="D82" s="64">
        <f>Model!BB$120</f>
        <v>102889</v>
      </c>
      <c r="E82" s="64">
        <f>D82*$J70</f>
        <v>5735.4925023691403</v>
      </c>
      <c r="I82" s="285"/>
      <c r="J82" s="62"/>
      <c r="K82" s="65"/>
      <c r="L82" s="286"/>
    </row>
    <row r="83" spans="2:12">
      <c r="C83" s="382" t="s">
        <v>21</v>
      </c>
      <c r="D83" s="89">
        <f>D79+D82</f>
        <v>194319.2</v>
      </c>
      <c r="E83" s="89">
        <f>D83*$J70</f>
        <v>10832.220302135014</v>
      </c>
      <c r="F83" s="383">
        <f>D83/D84</f>
        <v>8.6752632724663563</v>
      </c>
      <c r="G83" s="383">
        <f>E83/E84</f>
        <v>8.9412983778193365</v>
      </c>
      <c r="I83" s="287"/>
      <c r="J83" s="64"/>
      <c r="K83" s="119"/>
      <c r="L83" s="288"/>
    </row>
    <row r="84" spans="2:12">
      <c r="C84" s="287" t="s">
        <v>22</v>
      </c>
      <c r="D84" s="32">
        <f>Model!BB$85</f>
        <v>22399.227999999999</v>
      </c>
      <c r="E84" s="32">
        <f>D84*J71</f>
        <v>1211.4818054843672</v>
      </c>
      <c r="I84" s="287"/>
      <c r="J84" s="294"/>
      <c r="K84" s="119"/>
      <c r="L84" s="288"/>
    </row>
    <row r="85" spans="2:12">
      <c r="I85" s="287"/>
      <c r="J85" s="62"/>
      <c r="K85" s="119"/>
      <c r="L85" s="288"/>
    </row>
    <row r="86" spans="2:12">
      <c r="C86" s="114" t="s">
        <v>23</v>
      </c>
      <c r="D86" s="176">
        <f>D79-Model!BB$116</f>
        <v>0</v>
      </c>
      <c r="I86" s="285"/>
      <c r="J86" s="65"/>
      <c r="K86" s="65"/>
      <c r="L86" s="286"/>
    </row>
    <row r="87" spans="2:12" ht="13.5" thickBot="1">
      <c r="D87" s="412"/>
      <c r="E87" s="412"/>
      <c r="I87" s="285"/>
      <c r="J87" s="119"/>
      <c r="K87" s="119"/>
    </row>
    <row r="88" spans="2:12">
      <c r="C88" s="334" t="s">
        <v>49</v>
      </c>
      <c r="D88" s="336" t="str">
        <f>D73</f>
        <v>MXN mn</v>
      </c>
      <c r="E88" s="336" t="str">
        <f>E73</f>
        <v>USD mn</v>
      </c>
      <c r="I88" s="285"/>
      <c r="J88" s="65"/>
      <c r="K88" s="65"/>
      <c r="L88" s="286"/>
    </row>
    <row r="89" spans="2:12">
      <c r="C89" s="60" t="s">
        <v>28</v>
      </c>
      <c r="D89" s="163">
        <f>D80</f>
        <v>36375.699999999997</v>
      </c>
      <c r="E89" s="203">
        <f>D89*$J70</f>
        <v>2027.7440214058754</v>
      </c>
    </row>
    <row r="90" spans="2:12" ht="13.5" thickBot="1">
      <c r="C90" s="152" t="s">
        <v>29</v>
      </c>
      <c r="D90" s="174">
        <f>SUM(D89:D89)</f>
        <v>36375.699999999997</v>
      </c>
      <c r="E90" s="175">
        <f>SUM(E89:E89)</f>
        <v>2027.7440214058754</v>
      </c>
    </row>
    <row r="92" spans="2:12" ht="13.5" thickBot="1">
      <c r="D92" s="412"/>
      <c r="E92" s="412"/>
    </row>
    <row r="93" spans="2:12">
      <c r="B93" s="386"/>
      <c r="C93" s="342" t="s">
        <v>50</v>
      </c>
      <c r="D93" s="335" t="str">
        <f>D88</f>
        <v>MXN mn</v>
      </c>
      <c r="E93" s="335" t="str">
        <f>E88</f>
        <v>USD mn</v>
      </c>
    </row>
    <row r="94" spans="2:12">
      <c r="B94" s="386"/>
      <c r="C94" s="246"/>
      <c r="D94" s="251"/>
      <c r="E94" s="203">
        <f>D94*$J70</f>
        <v>0</v>
      </c>
    </row>
    <row r="95" spans="2:12">
      <c r="B95" s="386"/>
      <c r="C95" s="246" t="s">
        <v>31</v>
      </c>
      <c r="D95" s="252"/>
      <c r="E95" s="247"/>
    </row>
    <row r="96" spans="2:12">
      <c r="B96" s="386">
        <v>2029</v>
      </c>
      <c r="C96" s="249" t="s">
        <v>32</v>
      </c>
      <c r="D96" s="252">
        <v>2468.36</v>
      </c>
      <c r="E96" s="203">
        <f>D96*$J70</f>
        <v>137.59741345671443</v>
      </c>
      <c r="H96" s="62"/>
    </row>
    <row r="97" spans="2:8">
      <c r="B97" s="386">
        <v>2029</v>
      </c>
      <c r="C97" s="249" t="s">
        <v>33</v>
      </c>
      <c r="D97" s="252">
        <v>7476.7330000000002</v>
      </c>
      <c r="E97" s="203">
        <f>D97*$J70</f>
        <v>416.78649869000503</v>
      </c>
      <c r="H97" s="62"/>
    </row>
    <row r="98" spans="2:8">
      <c r="B98" s="386"/>
      <c r="C98" s="249"/>
      <c r="D98" s="252"/>
      <c r="E98" s="203"/>
      <c r="H98" s="62"/>
    </row>
    <row r="99" spans="2:8">
      <c r="B99" s="386"/>
      <c r="C99" s="246" t="s">
        <v>34</v>
      </c>
      <c r="D99" s="252"/>
      <c r="E99" s="203"/>
      <c r="H99" s="62"/>
    </row>
    <row r="100" spans="2:8">
      <c r="B100" s="386">
        <v>2037</v>
      </c>
      <c r="C100" s="249" t="s">
        <v>35</v>
      </c>
      <c r="D100" s="252">
        <v>4485.1679999999997</v>
      </c>
      <c r="E100" s="203">
        <f>D100*$J70</f>
        <v>250.02330118735713</v>
      </c>
      <c r="H100" s="62"/>
    </row>
    <row r="101" spans="2:8">
      <c r="B101" s="386">
        <v>2043</v>
      </c>
      <c r="C101" s="249" t="s">
        <v>36</v>
      </c>
      <c r="D101" s="252">
        <v>6163.8829999999998</v>
      </c>
      <c r="E101" s="203">
        <f>D101*$J70</f>
        <v>343.60237471430963</v>
      </c>
      <c r="H101" s="62"/>
    </row>
    <row r="102" spans="2:8">
      <c r="B102" s="386">
        <v>2027</v>
      </c>
      <c r="C102" s="249" t="s">
        <v>37</v>
      </c>
      <c r="D102" s="252">
        <v>4494.018</v>
      </c>
      <c r="E102" s="203">
        <f>D102*$J70</f>
        <v>250.51663972350747</v>
      </c>
      <c r="H102" s="62"/>
    </row>
    <row r="103" spans="2:8">
      <c r="B103" s="386">
        <v>2032</v>
      </c>
      <c r="C103" s="249" t="s">
        <v>38</v>
      </c>
      <c r="D103" s="252">
        <v>5373.8410000000003</v>
      </c>
      <c r="E103" s="203">
        <f>D103*$J70</f>
        <v>299.56190423100509</v>
      </c>
      <c r="H103" s="62"/>
    </row>
    <row r="104" spans="2:8">
      <c r="B104" s="386">
        <v>2040</v>
      </c>
      <c r="C104" s="249" t="s">
        <v>39</v>
      </c>
      <c r="D104" s="252">
        <v>10673.803</v>
      </c>
      <c r="E104" s="203">
        <f>D104*$J70</f>
        <v>595.00546295780146</v>
      </c>
      <c r="H104" s="62"/>
    </row>
    <row r="105" spans="2:8">
      <c r="B105" s="386">
        <v>2045</v>
      </c>
      <c r="C105" s="249" t="s">
        <v>40</v>
      </c>
      <c r="D105" s="252">
        <v>13803.602999999999</v>
      </c>
      <c r="E105" s="203">
        <f>D105*$J70</f>
        <v>769.47449690618203</v>
      </c>
      <c r="H105" s="62"/>
    </row>
    <row r="106" spans="2:8">
      <c r="B106" s="386">
        <v>2026</v>
      </c>
      <c r="C106" s="249" t="s">
        <v>51</v>
      </c>
      <c r="D106" s="252">
        <v>3736.982</v>
      </c>
      <c r="E106" s="203">
        <f>D106*$J70</f>
        <v>208.31607112994035</v>
      </c>
      <c r="H106" s="62"/>
    </row>
    <row r="107" spans="2:8">
      <c r="B107" s="386">
        <v>2046</v>
      </c>
      <c r="C107" s="249" t="s">
        <v>52</v>
      </c>
      <c r="D107" s="252">
        <v>15718.921</v>
      </c>
      <c r="E107" s="203">
        <f>D107*$J70</f>
        <v>876.24287864429459</v>
      </c>
      <c r="H107" s="62"/>
    </row>
    <row r="108" spans="2:8">
      <c r="B108" s="386">
        <v>2049</v>
      </c>
      <c r="C108" s="249" t="s">
        <v>53</v>
      </c>
      <c r="D108" s="252">
        <v>11598.828</v>
      </c>
      <c r="E108" s="203">
        <f>D108*$J70</f>
        <v>646.57048887897872</v>
      </c>
      <c r="H108" s="62"/>
    </row>
    <row r="109" spans="2:8" ht="13.5" thickBot="1">
      <c r="B109" s="386"/>
      <c r="C109" s="250"/>
      <c r="D109" s="253"/>
      <c r="E109" s="203"/>
    </row>
    <row r="110" spans="2:8" ht="13.5" thickBot="1">
      <c r="C110" s="134" t="s">
        <v>43</v>
      </c>
      <c r="D110" s="248">
        <f>SUM(D96:D109)</f>
        <v>85994.14</v>
      </c>
      <c r="E110" s="173">
        <f>SUM(E96:E109)</f>
        <v>4793.6975305200958</v>
      </c>
    </row>
    <row r="111" spans="2:8">
      <c r="C111" s="387" t="s">
        <v>44</v>
      </c>
      <c r="D111" s="388">
        <f>D110-D75-D76</f>
        <v>-5.9999999997671694E-2</v>
      </c>
      <c r="E111" s="254"/>
    </row>
    <row r="112" spans="2:8">
      <c r="C112" s="255"/>
      <c r="D112" s="385"/>
      <c r="E112" s="202"/>
    </row>
    <row r="113" spans="2:10" ht="13.5" thickBot="1">
      <c r="D113" s="412"/>
      <c r="E113" s="412"/>
    </row>
    <row r="114" spans="2:10">
      <c r="C114" s="341" t="s">
        <v>54</v>
      </c>
      <c r="D114" s="336" t="str">
        <f>D93</f>
        <v>MXN mn</v>
      </c>
      <c r="E114" s="337" t="str">
        <f>E93</f>
        <v>USD mn</v>
      </c>
    </row>
    <row r="115" spans="2:10">
      <c r="C115" s="133">
        <v>2026</v>
      </c>
      <c r="D115" s="252">
        <f>D106</f>
        <v>3736.982</v>
      </c>
      <c r="E115" s="264">
        <f>D115*$J70</f>
        <v>208.31607112994035</v>
      </c>
    </row>
    <row r="116" spans="2:10">
      <c r="C116" s="133">
        <v>2027</v>
      </c>
      <c r="D116" s="252">
        <f>D102</f>
        <v>4494.018</v>
      </c>
      <c r="E116" s="264">
        <f>D116*$J70</f>
        <v>250.51663972350747</v>
      </c>
    </row>
    <row r="117" spans="2:10">
      <c r="C117" s="133">
        <v>2029</v>
      </c>
      <c r="D117" s="252">
        <f>D96+D97</f>
        <v>9945.0930000000008</v>
      </c>
      <c r="E117" s="264">
        <f>D117*$J70</f>
        <v>554.38391214671947</v>
      </c>
    </row>
    <row r="118" spans="2:10">
      <c r="C118" s="133">
        <v>2032</v>
      </c>
      <c r="D118" s="252">
        <f>D103</f>
        <v>5373.8410000000003</v>
      </c>
      <c r="E118" s="264">
        <f>D118*$J70</f>
        <v>299.56190423100509</v>
      </c>
    </row>
    <row r="119" spans="2:10">
      <c r="C119" s="133">
        <v>2037</v>
      </c>
      <c r="D119" s="252">
        <f>D100</f>
        <v>4485.1679999999997</v>
      </c>
      <c r="E119" s="264">
        <f>D119*$J70</f>
        <v>250.02330118735713</v>
      </c>
    </row>
    <row r="120" spans="2:10" ht="13.5" thickBot="1">
      <c r="C120" s="133" t="s">
        <v>46</v>
      </c>
      <c r="D120" s="252">
        <f>D101+D104+D105+D107+D108</f>
        <v>57959.038</v>
      </c>
      <c r="E120" s="264">
        <f>D120*$J70</f>
        <v>3230.8957021015667</v>
      </c>
      <c r="H120" s="292"/>
    </row>
    <row r="121" spans="2:10" ht="13.5" thickBot="1">
      <c r="C121" s="134" t="s">
        <v>43</v>
      </c>
      <c r="D121" s="173">
        <f>SUM(D115:D120)</f>
        <v>85994.14</v>
      </c>
      <c r="E121" s="173">
        <f>SUM(E119:E120)</f>
        <v>3480.9190032889237</v>
      </c>
    </row>
    <row r="122" spans="2:10">
      <c r="C122" s="387" t="s">
        <v>44</v>
      </c>
      <c r="D122" s="389">
        <f>D121-D75-D76</f>
        <v>-5.9999999997671694E-2</v>
      </c>
      <c r="E122" s="260"/>
    </row>
    <row r="127" spans="2:10">
      <c r="B127" s="54" t="s">
        <v>55</v>
      </c>
      <c r="I127" s="54" t="s">
        <v>56</v>
      </c>
      <c r="J127" s="76">
        <f>Model!BA$211</f>
        <v>5.4609999999999999E-2</v>
      </c>
    </row>
    <row r="128" spans="2:10" ht="13.5" thickBot="1">
      <c r="B128" s="54"/>
      <c r="I128" s="54"/>
      <c r="J128" s="76"/>
    </row>
    <row r="129" spans="3:12" ht="12.75" customHeight="1">
      <c r="C129" s="331" t="s">
        <v>57</v>
      </c>
      <c r="D129" s="332" t="s">
        <v>58</v>
      </c>
      <c r="E129" s="332" t="s">
        <v>59</v>
      </c>
      <c r="F129" s="333" t="s">
        <v>60</v>
      </c>
      <c r="G129" s="377"/>
      <c r="I129" s="340" t="s">
        <v>8</v>
      </c>
      <c r="J129" s="339" t="s">
        <v>58</v>
      </c>
    </row>
    <row r="130" spans="3:12" ht="12.75" customHeight="1">
      <c r="C130" s="296"/>
      <c r="D130" s="291"/>
      <c r="E130" s="291"/>
      <c r="F130" s="297"/>
      <c r="G130" s="290"/>
      <c r="I130" s="259" t="s">
        <v>9</v>
      </c>
      <c r="J130" s="338">
        <v>91763.8</v>
      </c>
    </row>
    <row r="131" spans="3:12" ht="12.75" customHeight="1">
      <c r="C131" s="296" t="s">
        <v>10</v>
      </c>
      <c r="D131" s="62">
        <v>3802</v>
      </c>
      <c r="E131" s="32">
        <f>D131*$J127</f>
        <v>207.62721999999999</v>
      </c>
      <c r="F131" s="297"/>
      <c r="G131" s="290"/>
      <c r="I131" s="259" t="s">
        <v>11</v>
      </c>
      <c r="J131" s="338">
        <v>50086.3</v>
      </c>
    </row>
    <row r="132" spans="3:12" ht="12.75" customHeight="1" thickBot="1">
      <c r="C132" s="296" t="s">
        <v>13</v>
      </c>
      <c r="D132" s="62">
        <v>83259.100000000006</v>
      </c>
      <c r="E132" s="32">
        <f>D132*$J127</f>
        <v>4546.7794510000003</v>
      </c>
      <c r="F132" s="297"/>
      <c r="G132" s="290"/>
      <c r="I132" s="312" t="s">
        <v>12</v>
      </c>
      <c r="J132" s="313">
        <f>J131/D140</f>
        <v>2.2829885100537544</v>
      </c>
    </row>
    <row r="133" spans="3:12" ht="12.75" customHeight="1">
      <c r="C133" s="296" t="s">
        <v>16</v>
      </c>
      <c r="D133" s="62">
        <f>1265.7+3437</f>
        <v>4702.7</v>
      </c>
      <c r="E133" s="32">
        <f>D133*$J127</f>
        <v>256.81444699999997</v>
      </c>
      <c r="F133" s="297"/>
      <c r="G133" s="290"/>
      <c r="J133" s="135"/>
    </row>
    <row r="134" spans="3:12" ht="12.75" customHeight="1">
      <c r="C134" s="296"/>
      <c r="D134" s="291"/>
      <c r="E134" s="291"/>
      <c r="F134" s="297"/>
      <c r="G134" s="290"/>
    </row>
    <row r="135" spans="3:12">
      <c r="C135" s="298" t="s">
        <v>17</v>
      </c>
      <c r="D135" s="89">
        <f>SUM(D131:D133)</f>
        <v>91763.8</v>
      </c>
      <c r="E135" s="89">
        <f>SUM(E131:E133)</f>
        <v>5011.2211180000004</v>
      </c>
      <c r="F135" s="299">
        <f>+D135/D140</f>
        <v>4.1826946897429185</v>
      </c>
      <c r="G135" s="286"/>
      <c r="H135" s="199"/>
      <c r="I135" s="54"/>
    </row>
    <row r="136" spans="3:12">
      <c r="C136" s="300" t="s">
        <v>18</v>
      </c>
      <c r="D136" s="64">
        <f>Model!BA$113</f>
        <v>37856.775999999998</v>
      </c>
      <c r="E136" s="64">
        <f>D136*$J127</f>
        <v>2067.3585373599999</v>
      </c>
      <c r="F136" s="301"/>
      <c r="G136" s="288"/>
      <c r="I136" s="289"/>
      <c r="J136" s="413"/>
      <c r="K136" s="413"/>
      <c r="L136" s="290"/>
    </row>
    <row r="137" spans="3:12">
      <c r="C137" s="298" t="s">
        <v>19</v>
      </c>
      <c r="D137" s="89">
        <f>+D135-D136</f>
        <v>53907.024000000005</v>
      </c>
      <c r="E137" s="89">
        <f>+E135-E136</f>
        <v>2943.8625806400005</v>
      </c>
      <c r="F137" s="299">
        <f>+D137/D140</f>
        <v>2.4571413021762836</v>
      </c>
      <c r="G137" s="286"/>
      <c r="I137" s="289"/>
      <c r="J137" s="184"/>
      <c r="K137" s="184"/>
      <c r="L137" s="293"/>
    </row>
    <row r="138" spans="3:12">
      <c r="C138" s="300" t="s">
        <v>20</v>
      </c>
      <c r="D138" s="64">
        <f>Model!BA$120</f>
        <v>111092.1</v>
      </c>
      <c r="E138" s="64">
        <f>D138*$J127</f>
        <v>6066.7395809999998</v>
      </c>
      <c r="F138" s="302"/>
      <c r="I138" s="285"/>
      <c r="J138" s="62"/>
      <c r="K138" s="65"/>
      <c r="L138" s="286"/>
    </row>
    <row r="139" spans="3:12">
      <c r="C139" s="303" t="s">
        <v>21</v>
      </c>
      <c r="D139" s="65">
        <f>D135+D138</f>
        <v>202855.90000000002</v>
      </c>
      <c r="E139" s="65">
        <f>D139*$J127</f>
        <v>11077.960699000001</v>
      </c>
      <c r="F139" s="304">
        <f>D139/D140</f>
        <v>9.2463945010235022</v>
      </c>
      <c r="G139" s="286"/>
      <c r="I139" s="287"/>
      <c r="J139" s="64"/>
      <c r="K139" s="119"/>
      <c r="L139" s="288"/>
    </row>
    <row r="140" spans="3:12" ht="13.5" thickBot="1">
      <c r="C140" s="305" t="s">
        <v>22</v>
      </c>
      <c r="D140" s="306">
        <f>Model!BA$85</f>
        <v>21938.918999999998</v>
      </c>
      <c r="E140" s="306"/>
      <c r="F140" s="307"/>
      <c r="I140" s="287"/>
      <c r="J140" s="294"/>
      <c r="K140" s="119"/>
      <c r="L140" s="288"/>
    </row>
    <row r="141" spans="3:12">
      <c r="I141" s="287"/>
      <c r="J141" s="62"/>
      <c r="K141" s="119"/>
      <c r="L141" s="288"/>
    </row>
    <row r="142" spans="3:12">
      <c r="C142" s="114" t="s">
        <v>23</v>
      </c>
      <c r="D142" s="176">
        <f>D135-Model!BA$116</f>
        <v>0.13200000001234002</v>
      </c>
      <c r="I142" s="285"/>
      <c r="J142" s="65"/>
      <c r="K142" s="65"/>
      <c r="L142" s="286"/>
    </row>
    <row r="143" spans="3:12" ht="13.5" thickBot="1">
      <c r="D143" s="412"/>
      <c r="E143" s="412"/>
      <c r="I143" s="285"/>
      <c r="J143" s="119"/>
      <c r="K143" s="119"/>
    </row>
    <row r="144" spans="3:12">
      <c r="C144" s="334" t="s">
        <v>61</v>
      </c>
      <c r="D144" s="336" t="s">
        <v>58</v>
      </c>
      <c r="E144" s="337" t="s">
        <v>59</v>
      </c>
      <c r="I144" s="285"/>
      <c r="J144" s="65"/>
      <c r="K144" s="65"/>
      <c r="L144" s="286"/>
    </row>
    <row r="145" spans="3:11">
      <c r="C145" s="60"/>
      <c r="D145" s="117"/>
      <c r="E145" s="77"/>
      <c r="I145" s="287"/>
      <c r="J145" s="32"/>
      <c r="K145" s="32"/>
    </row>
    <row r="146" spans="3:11">
      <c r="C146" s="60" t="s">
        <v>28</v>
      </c>
      <c r="D146" s="163">
        <f>D136</f>
        <v>37856.775999999998</v>
      </c>
      <c r="E146" s="203">
        <f>D146*$J127</f>
        <v>2067.3585373599999</v>
      </c>
    </row>
    <row r="147" spans="3:11" ht="13.5" thickBot="1">
      <c r="C147" s="152" t="s">
        <v>29</v>
      </c>
      <c r="D147" s="174">
        <f>SUM(D145:D146)</f>
        <v>37856.775999999998</v>
      </c>
      <c r="E147" s="175">
        <f>SUM(E145:E146)</f>
        <v>2067.3585373599999</v>
      </c>
    </row>
    <row r="149" spans="3:11" ht="13.5" thickBot="1">
      <c r="D149" s="412"/>
      <c r="E149" s="412"/>
    </row>
    <row r="150" spans="3:11">
      <c r="C150" s="342" t="s">
        <v>50</v>
      </c>
      <c r="D150" s="335" t="s">
        <v>58</v>
      </c>
      <c r="E150" s="335" t="s">
        <v>59</v>
      </c>
    </row>
    <row r="151" spans="3:11">
      <c r="C151" s="246"/>
      <c r="D151" s="251">
        <v>0</v>
      </c>
      <c r="E151" s="203">
        <f>D151*$J127</f>
        <v>0</v>
      </c>
    </row>
    <row r="152" spans="3:11">
      <c r="C152" s="246" t="s">
        <v>31</v>
      </c>
      <c r="D152" s="252"/>
      <c r="E152" s="247"/>
    </row>
    <row r="153" spans="3:11">
      <c r="C153" s="249" t="s">
        <v>62</v>
      </c>
      <c r="D153" s="252">
        <v>2467.3110000000001</v>
      </c>
      <c r="E153" s="203">
        <f>D153*$J127</f>
        <v>134.73985371000001</v>
      </c>
      <c r="H153" s="62"/>
    </row>
    <row r="154" spans="3:11">
      <c r="C154" s="249" t="s">
        <v>63</v>
      </c>
      <c r="D154" s="252">
        <v>7473.558</v>
      </c>
      <c r="E154" s="203">
        <f>D154*$J127</f>
        <v>408.13100237999998</v>
      </c>
      <c r="H154" s="62"/>
    </row>
    <row r="155" spans="3:11">
      <c r="C155" s="249"/>
      <c r="D155" s="252"/>
      <c r="E155" s="203">
        <f>D155*$J127</f>
        <v>0</v>
      </c>
      <c r="H155" s="62"/>
    </row>
    <row r="156" spans="3:11">
      <c r="C156" s="246" t="s">
        <v>34</v>
      </c>
      <c r="D156" s="252"/>
      <c r="E156" s="203">
        <f>D156*$J127</f>
        <v>0</v>
      </c>
      <c r="H156" s="62"/>
    </row>
    <row r="157" spans="3:11">
      <c r="C157" s="249" t="s">
        <v>35</v>
      </c>
      <c r="D157" s="252">
        <v>4484.9840000000004</v>
      </c>
      <c r="E157" s="203">
        <f>D157*$J127</f>
        <v>244.92497624000001</v>
      </c>
      <c r="H157" s="62"/>
    </row>
    <row r="158" spans="3:11">
      <c r="C158" s="249" t="s">
        <v>36</v>
      </c>
      <c r="D158" s="252">
        <v>6163.5309999999999</v>
      </c>
      <c r="E158" s="203">
        <f>D158*$J127</f>
        <v>336.59042791000002</v>
      </c>
      <c r="H158" s="62"/>
    </row>
    <row r="159" spans="3:11">
      <c r="C159" s="249" t="s">
        <v>37</v>
      </c>
      <c r="D159" s="252">
        <v>4493.2920000000004</v>
      </c>
      <c r="E159" s="203">
        <f>D159*$J127</f>
        <v>245.37867612000002</v>
      </c>
      <c r="H159" s="62"/>
    </row>
    <row r="160" spans="3:11">
      <c r="C160" s="249" t="s">
        <v>38</v>
      </c>
      <c r="D160" s="252">
        <v>5467.4110000000001</v>
      </c>
      <c r="E160" s="247"/>
      <c r="H160" s="62"/>
    </row>
    <row r="161" spans="3:8">
      <c r="C161" s="249" t="s">
        <v>39</v>
      </c>
      <c r="D161" s="252">
        <v>10860.968999999999</v>
      </c>
      <c r="E161" s="203">
        <f>D161*$J127</f>
        <v>593.11751708999998</v>
      </c>
      <c r="H161" s="62"/>
    </row>
    <row r="162" spans="3:8">
      <c r="C162" s="249" t="s">
        <v>40</v>
      </c>
      <c r="D162" s="252">
        <v>14048.683999999999</v>
      </c>
      <c r="E162" s="203">
        <f>D162*$J127</f>
        <v>767.19863323999994</v>
      </c>
      <c r="H162" s="62"/>
    </row>
    <row r="163" spans="3:8">
      <c r="C163" s="249" t="s">
        <v>51</v>
      </c>
      <c r="D163" s="252">
        <v>3802.011</v>
      </c>
      <c r="E163" s="203">
        <f>D163*$J127</f>
        <v>207.62782070999998</v>
      </c>
      <c r="H163" s="62"/>
    </row>
    <row r="164" spans="3:8">
      <c r="C164" s="249" t="s">
        <v>52</v>
      </c>
      <c r="D164" s="252">
        <v>15994.541999999999</v>
      </c>
      <c r="E164" s="203">
        <f>D164*$J127</f>
        <v>873.46193861999996</v>
      </c>
      <c r="H164" s="62"/>
    </row>
    <row r="165" spans="3:8">
      <c r="C165" s="249" t="s">
        <v>53</v>
      </c>
      <c r="D165" s="252">
        <v>11804.772999999999</v>
      </c>
      <c r="E165" s="203">
        <f>D165*$J127</f>
        <v>644.65865352999992</v>
      </c>
      <c r="H165" s="62"/>
    </row>
    <row r="166" spans="3:8" ht="13.5" thickBot="1">
      <c r="C166" s="250"/>
      <c r="D166" s="253"/>
      <c r="E166" s="203"/>
    </row>
    <row r="167" spans="3:8" ht="13.5" thickBot="1">
      <c r="C167" s="134" t="s">
        <v>43</v>
      </c>
      <c r="D167" s="248">
        <f>SUM(D153:D166)</f>
        <v>87061.066000000006</v>
      </c>
      <c r="E167" s="173">
        <f>SUM(E153:E166)</f>
        <v>4455.82949955</v>
      </c>
    </row>
    <row r="168" spans="3:8">
      <c r="C168" s="255" t="s">
        <v>44</v>
      </c>
      <c r="D168" s="278">
        <f>D167-D131-D132</f>
        <v>-3.3999999999650754E-2</v>
      </c>
      <c r="E168" s="254"/>
    </row>
    <row r="169" spans="3:8" ht="13.5" thickBot="1">
      <c r="D169" s="412"/>
      <c r="E169" s="412"/>
    </row>
    <row r="170" spans="3:8">
      <c r="C170" s="341" t="s">
        <v>64</v>
      </c>
      <c r="D170" s="336" t="s">
        <v>58</v>
      </c>
      <c r="E170" s="337" t="s">
        <v>59</v>
      </c>
    </row>
    <row r="171" spans="3:8">
      <c r="C171" s="259" t="s">
        <v>65</v>
      </c>
      <c r="D171" s="252"/>
      <c r="E171" s="264">
        <f>D171*$J127</f>
        <v>0</v>
      </c>
    </row>
    <row r="172" spans="3:8">
      <c r="C172" s="259" t="s">
        <v>66</v>
      </c>
      <c r="D172" s="252">
        <f>4493.292</f>
        <v>4493.2920000000004</v>
      </c>
      <c r="E172" s="264">
        <f>D172*$J127</f>
        <v>245.37867612000002</v>
      </c>
    </row>
    <row r="173" spans="3:8">
      <c r="C173" s="259" t="s">
        <v>67</v>
      </c>
      <c r="D173" s="252"/>
      <c r="E173" s="264">
        <f>D173*$J127</f>
        <v>0</v>
      </c>
    </row>
    <row r="174" spans="3:8">
      <c r="C174" s="259" t="s">
        <v>68</v>
      </c>
      <c r="D174" s="252">
        <f>2467.311+7473.558</f>
        <v>9940.8690000000006</v>
      </c>
      <c r="E174" s="264">
        <f>D174*$J127</f>
        <v>542.87085609000007</v>
      </c>
    </row>
    <row r="175" spans="3:8">
      <c r="C175" s="259" t="s">
        <v>69</v>
      </c>
      <c r="D175" s="262">
        <f>4484.984+6163.531+5467.411+10860.969+14048.684+3802.011+15994.542+11804.773</f>
        <v>72626.904999999999</v>
      </c>
      <c r="E175" s="265">
        <f>D175*$J127</f>
        <v>3966.1552820499996</v>
      </c>
    </row>
    <row r="176" spans="3:8" ht="13.5" thickBot="1">
      <c r="C176" s="259"/>
      <c r="D176" s="252"/>
      <c r="E176" s="264">
        <f>D176*$J127</f>
        <v>0</v>
      </c>
      <c r="H176" s="292"/>
    </row>
    <row r="177" spans="2:12" ht="13.5" thickBot="1">
      <c r="C177" s="134" t="s">
        <v>43</v>
      </c>
      <c r="D177" s="173">
        <f>SUM(D171:D176)</f>
        <v>87061.065999999992</v>
      </c>
      <c r="E177" s="173">
        <f>SUM(E175:E176)</f>
        <v>3966.1552820499996</v>
      </c>
    </row>
    <row r="178" spans="2:12">
      <c r="C178" s="255" t="s">
        <v>44</v>
      </c>
      <c r="D178" s="263">
        <f>D177-D131-D132</f>
        <v>-3.4000000014202669E-2</v>
      </c>
      <c r="E178" s="260"/>
    </row>
    <row r="182" spans="2:12">
      <c r="B182" s="54" t="s">
        <v>70</v>
      </c>
      <c r="I182" s="54" t="s">
        <v>71</v>
      </c>
      <c r="J182" s="76">
        <f>Model!AZ$211</f>
        <v>5.3376034160661862E-2</v>
      </c>
    </row>
    <row r="183" spans="2:12" ht="13.5" thickBot="1">
      <c r="B183" s="54"/>
      <c r="I183" s="54"/>
      <c r="J183" s="76"/>
    </row>
    <row r="184" spans="2:12" ht="12.75" customHeight="1">
      <c r="C184" s="308" t="s">
        <v>72</v>
      </c>
      <c r="D184" s="309" t="s">
        <v>58</v>
      </c>
      <c r="E184" s="309" t="s">
        <v>59</v>
      </c>
      <c r="F184" s="295" t="s">
        <v>60</v>
      </c>
      <c r="G184" s="390"/>
      <c r="I184" s="310" t="s">
        <v>8</v>
      </c>
      <c r="J184" s="311" t="s">
        <v>58</v>
      </c>
    </row>
    <row r="185" spans="2:12" ht="12.75" customHeight="1">
      <c r="C185" s="296"/>
      <c r="D185" s="291"/>
      <c r="E185" s="291"/>
      <c r="F185" s="297"/>
      <c r="G185" s="290"/>
      <c r="I185" s="259" t="s">
        <v>9</v>
      </c>
      <c r="J185" s="316">
        <v>93503.7</v>
      </c>
    </row>
    <row r="186" spans="2:12" ht="12.75" customHeight="1">
      <c r="C186" s="296" t="s">
        <v>10</v>
      </c>
      <c r="D186" s="62">
        <v>3910</v>
      </c>
      <c r="E186" s="32">
        <f>D186*$J182</f>
        <v>208.70029356818787</v>
      </c>
      <c r="F186" s="297"/>
      <c r="G186" s="290"/>
      <c r="I186" s="259" t="s">
        <v>11</v>
      </c>
      <c r="J186" s="316">
        <v>51570.2</v>
      </c>
    </row>
    <row r="187" spans="2:12" ht="12.75" customHeight="1" thickBot="1">
      <c r="C187" s="296" t="s">
        <v>13</v>
      </c>
      <c r="D187" s="62">
        <v>84954.5</v>
      </c>
      <c r="E187" s="32">
        <f>D187*$J182</f>
        <v>4534.534294101948</v>
      </c>
      <c r="F187" s="297"/>
      <c r="G187" s="290"/>
      <c r="I187" s="312" t="s">
        <v>12</v>
      </c>
      <c r="J187" s="313">
        <f>J186/D195</f>
        <v>2.3490757695846658</v>
      </c>
    </row>
    <row r="188" spans="2:12" ht="12.75" customHeight="1">
      <c r="C188" s="296" t="s">
        <v>16</v>
      </c>
      <c r="D188" s="62">
        <f>4639.2</f>
        <v>4639.2</v>
      </c>
      <c r="E188" s="32">
        <f>D188*$J182</f>
        <v>247.6220976781425</v>
      </c>
      <c r="F188" s="297"/>
      <c r="G188" s="290"/>
      <c r="J188" s="135"/>
    </row>
    <row r="189" spans="2:12" ht="12.75" customHeight="1">
      <c r="C189" s="296"/>
      <c r="D189" s="291"/>
      <c r="E189" s="291"/>
      <c r="F189" s="297"/>
      <c r="G189" s="290"/>
    </row>
    <row r="190" spans="2:12">
      <c r="C190" s="298" t="s">
        <v>17</v>
      </c>
      <c r="D190" s="89">
        <f>SUM(D186:D188)</f>
        <v>93503.7</v>
      </c>
      <c r="E190" s="89">
        <f>SUM(E186:E188)</f>
        <v>4990.856685348278</v>
      </c>
      <c r="F190" s="299">
        <f>+D190/D195</f>
        <v>4.2591899204679002</v>
      </c>
      <c r="G190" s="286"/>
      <c r="H190" s="199"/>
      <c r="I190" s="54"/>
    </row>
    <row r="191" spans="2:12">
      <c r="C191" s="300" t="s">
        <v>18</v>
      </c>
      <c r="D191" s="64">
        <f>Model!AZ$113</f>
        <v>38449.22</v>
      </c>
      <c r="E191" s="64">
        <f>D191*$J182</f>
        <v>2052.2668801708032</v>
      </c>
      <c r="F191" s="301"/>
      <c r="G191" s="288"/>
      <c r="I191" s="289"/>
      <c r="J191" s="413"/>
      <c r="K191" s="413"/>
      <c r="L191" s="290"/>
    </row>
    <row r="192" spans="2:12">
      <c r="C192" s="298" t="s">
        <v>19</v>
      </c>
      <c r="D192" s="89">
        <f>+D190-D191</f>
        <v>55054.479999999996</v>
      </c>
      <c r="E192" s="89">
        <f>+E190-E191</f>
        <v>2938.5898051774748</v>
      </c>
      <c r="F192" s="299">
        <f>+D192/D195</f>
        <v>2.5077883152495741</v>
      </c>
      <c r="G192" s="286"/>
      <c r="I192" s="289"/>
      <c r="J192" s="184"/>
      <c r="K192" s="184"/>
      <c r="L192" s="293"/>
    </row>
    <row r="193" spans="3:12">
      <c r="C193" s="300" t="s">
        <v>20</v>
      </c>
      <c r="D193" s="64">
        <f>Model!AZ$120</f>
        <v>112552.7</v>
      </c>
      <c r="E193" s="64">
        <f>D193*$J182</f>
        <v>6007.6167600747258</v>
      </c>
      <c r="F193" s="302"/>
      <c r="I193" s="285"/>
      <c r="J193" s="62"/>
      <c r="K193" s="65"/>
      <c r="L193" s="286"/>
    </row>
    <row r="194" spans="3:12">
      <c r="C194" s="303" t="s">
        <v>21</v>
      </c>
      <c r="D194" s="65">
        <f>D190+D193</f>
        <v>206056.4</v>
      </c>
      <c r="E194" s="65">
        <f>D194*$J182</f>
        <v>10998.473445423004</v>
      </c>
      <c r="F194" s="304">
        <f>D194/D195</f>
        <v>9.3860814270226935</v>
      </c>
      <c r="G194" s="286"/>
      <c r="I194" s="287"/>
      <c r="J194" s="64"/>
      <c r="K194" s="119"/>
      <c r="L194" s="288"/>
    </row>
    <row r="195" spans="3:12" ht="13.5" thickBot="1">
      <c r="C195" s="305" t="s">
        <v>22</v>
      </c>
      <c r="D195" s="306">
        <f>Model!AZ$85</f>
        <v>21953.399999999998</v>
      </c>
      <c r="E195" s="306"/>
      <c r="F195" s="307"/>
      <c r="I195" s="287"/>
      <c r="J195" s="294"/>
      <c r="K195" s="119"/>
      <c r="L195" s="288"/>
    </row>
    <row r="196" spans="3:12">
      <c r="I196" s="287"/>
      <c r="J196" s="62"/>
      <c r="K196" s="119"/>
      <c r="L196" s="288"/>
    </row>
    <row r="197" spans="3:12">
      <c r="C197" s="114" t="s">
        <v>23</v>
      </c>
      <c r="D197" s="176">
        <f>D190-Model!AZ$116</f>
        <v>1.2000000002444722E-2</v>
      </c>
      <c r="I197" s="285"/>
      <c r="J197" s="65"/>
      <c r="K197" s="65"/>
      <c r="L197" s="286"/>
    </row>
    <row r="198" spans="3:12" ht="13.5" thickBot="1">
      <c r="D198" s="412"/>
      <c r="E198" s="412"/>
      <c r="I198" s="285"/>
      <c r="J198" s="119"/>
      <c r="K198" s="119"/>
    </row>
    <row r="199" spans="3:12">
      <c r="C199" s="59" t="s">
        <v>73</v>
      </c>
      <c r="D199" s="314" t="s">
        <v>58</v>
      </c>
      <c r="E199" s="315" t="s">
        <v>59</v>
      </c>
      <c r="I199" s="285"/>
      <c r="J199" s="65"/>
      <c r="K199" s="65"/>
      <c r="L199" s="286"/>
    </row>
    <row r="200" spans="3:12">
      <c r="C200" s="60"/>
      <c r="D200" s="117"/>
      <c r="E200" s="77"/>
      <c r="I200" s="287"/>
      <c r="J200" s="32"/>
      <c r="K200" s="32"/>
    </row>
    <row r="201" spans="3:12">
      <c r="C201" s="60" t="s">
        <v>28</v>
      </c>
      <c r="D201" s="163">
        <f>D191</f>
        <v>38449.22</v>
      </c>
      <c r="E201" s="203">
        <f>D201*$J182</f>
        <v>2052.2668801708032</v>
      </c>
    </row>
    <row r="202" spans="3:12">
      <c r="C202" s="60" t="s">
        <v>74</v>
      </c>
      <c r="D202" s="165">
        <v>0</v>
      </c>
      <c r="E202" s="203">
        <f>D202*$J182</f>
        <v>0</v>
      </c>
    </row>
    <row r="203" spans="3:12">
      <c r="C203" s="60" t="s">
        <v>75</v>
      </c>
      <c r="D203" s="165">
        <f>1000+(500/J182)</f>
        <v>10367.5</v>
      </c>
      <c r="E203" s="203">
        <f>D203*$J182</f>
        <v>553.3760341606619</v>
      </c>
    </row>
    <row r="204" spans="3:12" ht="13.5" thickBot="1">
      <c r="C204" s="152" t="s">
        <v>29</v>
      </c>
      <c r="D204" s="174">
        <f>SUM(D200:D203)</f>
        <v>48816.72</v>
      </c>
      <c r="E204" s="175">
        <f>SUM(E200:E203)</f>
        <v>2605.6429143314654</v>
      </c>
    </row>
    <row r="205" spans="3:12" ht="13.5" thickBot="1"/>
    <row r="206" spans="3:12">
      <c r="C206" s="130" t="s">
        <v>76</v>
      </c>
      <c r="D206" s="314" t="s">
        <v>58</v>
      </c>
      <c r="E206" s="315" t="s">
        <v>59</v>
      </c>
    </row>
    <row r="207" spans="3:12">
      <c r="C207" s="259" t="s">
        <v>77</v>
      </c>
      <c r="D207" s="252">
        <v>5115.2780000000002</v>
      </c>
      <c r="E207" s="264">
        <f>D207*$J182</f>
        <v>273.03325326928211</v>
      </c>
    </row>
    <row r="208" spans="3:12">
      <c r="C208" s="259" t="s">
        <v>78</v>
      </c>
      <c r="D208" s="252">
        <v>6437.0550000000003</v>
      </c>
      <c r="E208" s="264">
        <f>D208*$J182</f>
        <v>343.58446757405926</v>
      </c>
    </row>
    <row r="209" spans="3:8">
      <c r="C209" s="259" t="s">
        <v>79</v>
      </c>
      <c r="D209" s="252">
        <v>10751.700999999999</v>
      </c>
      <c r="E209" s="264">
        <f>D209*$J182</f>
        <v>573.88315986122223</v>
      </c>
    </row>
    <row r="210" spans="3:8">
      <c r="C210" s="259" t="s">
        <v>80</v>
      </c>
      <c r="D210" s="252">
        <v>72410.187999999995</v>
      </c>
      <c r="E210" s="264">
        <f>D210*$J182</f>
        <v>3864.9686682679471</v>
      </c>
    </row>
    <row r="211" spans="3:8">
      <c r="C211" s="261"/>
      <c r="D211" s="262">
        <f>SUM(D207:D210)</f>
        <v>94714.221999999994</v>
      </c>
      <c r="E211" s="265">
        <f>D211*$J182</f>
        <v>5055.4695489725109</v>
      </c>
    </row>
    <row r="212" spans="3:8" ht="13.5" thickBot="1">
      <c r="C212" s="259" t="s">
        <v>81</v>
      </c>
      <c r="D212" s="252">
        <v>-1210.5</v>
      </c>
      <c r="E212" s="264">
        <f>D212*$J182</f>
        <v>-64.611689351481189</v>
      </c>
      <c r="H212" s="292"/>
    </row>
    <row r="213" spans="3:8" ht="13.5" thickBot="1">
      <c r="C213" s="134" t="s">
        <v>43</v>
      </c>
      <c r="D213" s="173">
        <f>SUM(D211:D212)</f>
        <v>93503.721999999994</v>
      </c>
      <c r="E213" s="173">
        <f>SUM(E211:E212)</f>
        <v>4990.85785962103</v>
      </c>
    </row>
    <row r="214" spans="3:8">
      <c r="C214" s="255" t="s">
        <v>44</v>
      </c>
      <c r="D214" s="263">
        <f>D213-D190</f>
        <v>2.1999999997206032E-2</v>
      </c>
      <c r="E214" s="260"/>
    </row>
    <row r="215" spans="3:8" ht="13.5" thickBot="1">
      <c r="D215" s="412"/>
      <c r="E215" s="412"/>
    </row>
    <row r="216" spans="3:8">
      <c r="C216" s="131" t="s">
        <v>82</v>
      </c>
      <c r="D216" s="315" t="s">
        <v>58</v>
      </c>
      <c r="E216" s="315" t="s">
        <v>59</v>
      </c>
    </row>
    <row r="217" spans="3:8">
      <c r="C217" s="246" t="s">
        <v>83</v>
      </c>
      <c r="D217" s="251">
        <v>0</v>
      </c>
      <c r="E217" s="203">
        <f>D217*$J182</f>
        <v>0</v>
      </c>
    </row>
    <row r="218" spans="3:8">
      <c r="C218" s="246" t="s">
        <v>84</v>
      </c>
      <c r="D218" s="252"/>
      <c r="E218" s="247"/>
    </row>
    <row r="219" spans="3:8">
      <c r="C219" s="249" t="s">
        <v>85</v>
      </c>
      <c r="D219" s="252">
        <v>0</v>
      </c>
      <c r="E219" s="203">
        <f>D219*$J182</f>
        <v>0</v>
      </c>
      <c r="H219" s="62"/>
    </row>
    <row r="220" spans="3:8">
      <c r="C220" s="249" t="s">
        <v>86</v>
      </c>
      <c r="D220" s="252">
        <v>3909.9960000000001</v>
      </c>
      <c r="E220" s="203">
        <f>D220*$J182</f>
        <v>208.70008006405124</v>
      </c>
      <c r="H220" s="62"/>
    </row>
    <row r="221" spans="3:8">
      <c r="C221" s="249" t="s">
        <v>87</v>
      </c>
      <c r="D221" s="252">
        <v>5625.259</v>
      </c>
      <c r="E221" s="203">
        <f>D221*$J182</f>
        <v>300.2540165465706</v>
      </c>
      <c r="H221" s="62"/>
    </row>
    <row r="222" spans="3:8">
      <c r="C222" s="249" t="s">
        <v>88</v>
      </c>
      <c r="D222" s="252">
        <v>11176.938</v>
      </c>
      <c r="E222" s="203">
        <f>D222*$J182</f>
        <v>596.58062449959971</v>
      </c>
      <c r="H222" s="62"/>
    </row>
    <row r="223" spans="3:8">
      <c r="C223" s="249" t="s">
        <v>89</v>
      </c>
      <c r="D223" s="252">
        <v>14463.486999999999</v>
      </c>
      <c r="E223" s="203">
        <f>D223*$J182</f>
        <v>772.00357619428871</v>
      </c>
      <c r="H223" s="62"/>
    </row>
    <row r="224" spans="3:8">
      <c r="C224" s="249" t="s">
        <v>90</v>
      </c>
      <c r="D224" s="252">
        <v>16459.001</v>
      </c>
      <c r="E224" s="203">
        <f>D224*$J182</f>
        <v>878.51619962636778</v>
      </c>
      <c r="H224" s="62"/>
    </row>
    <row r="225" spans="3:8">
      <c r="C225" s="249" t="s">
        <v>91</v>
      </c>
      <c r="D225" s="252">
        <v>12152.62</v>
      </c>
      <c r="E225" s="203">
        <f>D225*$J182</f>
        <v>648.65866026154265</v>
      </c>
      <c r="H225" s="62"/>
    </row>
    <row r="226" spans="3:8">
      <c r="C226" s="246" t="s">
        <v>92</v>
      </c>
      <c r="D226" s="252"/>
      <c r="E226" s="247"/>
      <c r="H226" s="62"/>
    </row>
    <row r="227" spans="3:8">
      <c r="C227" s="249" t="s">
        <v>93</v>
      </c>
      <c r="D227" s="252">
        <v>4492.5659999999998</v>
      </c>
      <c r="E227" s="203">
        <f>D227*$J182</f>
        <v>239.79535628502799</v>
      </c>
      <c r="H227" s="62"/>
    </row>
    <row r="228" spans="3:8">
      <c r="C228" s="249" t="s">
        <v>94</v>
      </c>
      <c r="D228" s="252">
        <v>4484.8010000000004</v>
      </c>
      <c r="E228" s="203">
        <f>D228*$J182</f>
        <v>239.3808913797705</v>
      </c>
      <c r="H228" s="62"/>
    </row>
    <row r="229" spans="3:8">
      <c r="C229" s="249" t="s">
        <v>95</v>
      </c>
      <c r="D229" s="252">
        <v>6163.1540000000005</v>
      </c>
      <c r="E229" s="203">
        <f>D229*$J182</f>
        <v>328.96471844141979</v>
      </c>
      <c r="H229" s="62"/>
    </row>
    <row r="230" spans="3:8">
      <c r="C230" s="249" t="s">
        <v>96</v>
      </c>
      <c r="D230" s="252">
        <v>9936.6460000000006</v>
      </c>
      <c r="E230" s="203">
        <f>D230*$J182</f>
        <v>530.37875633840406</v>
      </c>
      <c r="H230" s="62"/>
    </row>
    <row r="231" spans="3:8">
      <c r="C231" s="249" t="s">
        <v>97</v>
      </c>
      <c r="D231" s="252">
        <v>0</v>
      </c>
      <c r="E231" s="203">
        <f>D231*$J182</f>
        <v>0</v>
      </c>
      <c r="H231" s="62"/>
    </row>
    <row r="232" spans="3:8" ht="13.5" thickBot="1">
      <c r="C232" s="250"/>
      <c r="D232" s="253"/>
      <c r="E232" s="203"/>
    </row>
    <row r="233" spans="3:8" ht="13.5" thickBot="1">
      <c r="C233" s="134" t="s">
        <v>43</v>
      </c>
      <c r="D233" s="248">
        <f>SUM(D219:D232)</f>
        <v>88864.467999999993</v>
      </c>
      <c r="E233" s="173">
        <f>SUM(E219:E232)</f>
        <v>4743.232879637043</v>
      </c>
    </row>
    <row r="234" spans="3:8">
      <c r="C234" s="255" t="s">
        <v>44</v>
      </c>
      <c r="D234" s="278">
        <f>D233-(Model!$AZ$106+Model!$AZ$107)</f>
        <v>0</v>
      </c>
      <c r="E234" s="254"/>
    </row>
    <row r="235" spans="3:8" ht="13.5" thickBot="1">
      <c r="D235" s="412"/>
      <c r="E235" s="412"/>
    </row>
    <row r="236" spans="3:8">
      <c r="C236" s="130" t="s">
        <v>98</v>
      </c>
      <c r="D236" s="314" t="s">
        <v>58</v>
      </c>
      <c r="E236" s="315" t="s">
        <v>59</v>
      </c>
      <c r="H236" s="258"/>
    </row>
    <row r="237" spans="3:8">
      <c r="C237" s="133" t="s">
        <v>99</v>
      </c>
      <c r="D237" s="252">
        <v>1404.8389999999999</v>
      </c>
      <c r="E237" s="203">
        <f>D237*$J182</f>
        <v>74.98473445423005</v>
      </c>
    </row>
    <row r="238" spans="3:8">
      <c r="C238" s="133" t="s">
        <v>100</v>
      </c>
      <c r="D238" s="252">
        <v>521.33699999999999</v>
      </c>
      <c r="E238" s="203">
        <f>D238*$J182</f>
        <v>27.826901521216971</v>
      </c>
    </row>
    <row r="239" spans="3:8">
      <c r="C239" s="133" t="s">
        <v>101</v>
      </c>
      <c r="D239" s="252">
        <v>2713.056</v>
      </c>
      <c r="E239" s="203">
        <f>D239*$J182</f>
        <v>144.81216973578864</v>
      </c>
    </row>
    <row r="240" spans="3:8" ht="13.5" thickBot="1">
      <c r="C240" s="133" t="s">
        <v>102</v>
      </c>
      <c r="D240" s="252">
        <v>-1203.42</v>
      </c>
      <c r="E240" s="203">
        <f>D240*$J182</f>
        <v>-64.233787029623699</v>
      </c>
    </row>
    <row r="241" spans="2:12" ht="13.5" thickBot="1">
      <c r="C241" s="134" t="s">
        <v>43</v>
      </c>
      <c r="D241" s="173">
        <f>SUM(D237:D240)</f>
        <v>3435.8119999999999</v>
      </c>
      <c r="E241" s="173">
        <f>SUM(E237:E240)</f>
        <v>183.39001868161196</v>
      </c>
    </row>
    <row r="246" spans="2:12">
      <c r="B246" s="54" t="s">
        <v>103</v>
      </c>
      <c r="I246" s="54" t="s">
        <v>104</v>
      </c>
      <c r="J246" s="76">
        <f>Model!AY$211</f>
        <v>4.8820000000000002E-2</v>
      </c>
    </row>
    <row r="247" spans="2:12" ht="13.5" thickBot="1">
      <c r="B247" s="54"/>
      <c r="I247" s="54"/>
      <c r="J247" s="76"/>
    </row>
    <row r="248" spans="2:12" ht="12.75" customHeight="1">
      <c r="C248" s="308" t="s">
        <v>105</v>
      </c>
      <c r="D248" s="309" t="s">
        <v>58</v>
      </c>
      <c r="E248" s="309" t="s">
        <v>106</v>
      </c>
      <c r="F248" s="295" t="s">
        <v>60</v>
      </c>
      <c r="G248" s="390"/>
      <c r="I248" s="310" t="s">
        <v>8</v>
      </c>
      <c r="J248" s="311" t="s">
        <v>58</v>
      </c>
    </row>
    <row r="249" spans="2:12" ht="12.75" customHeight="1">
      <c r="C249" s="296"/>
      <c r="D249" s="291"/>
      <c r="E249" s="291"/>
      <c r="F249" s="297"/>
      <c r="G249" s="290"/>
      <c r="I249" s="259" t="s">
        <v>9</v>
      </c>
      <c r="J249" s="316">
        <v>101973.4</v>
      </c>
    </row>
    <row r="250" spans="2:12" ht="12.75" customHeight="1">
      <c r="C250" s="296" t="s">
        <v>10</v>
      </c>
      <c r="D250" s="62">
        <v>4234.7690000000002</v>
      </c>
      <c r="E250" s="32">
        <f>D250*$J246</f>
        <v>206.74142258000003</v>
      </c>
      <c r="F250" s="297"/>
      <c r="G250" s="290"/>
      <c r="I250" s="259" t="s">
        <v>11</v>
      </c>
      <c r="J250" s="316">
        <v>55467.3</v>
      </c>
    </row>
    <row r="251" spans="2:12" ht="12.75" customHeight="1" thickBot="1">
      <c r="C251" s="296" t="s">
        <v>13</v>
      </c>
      <c r="D251" s="62">
        <v>92688.082999999999</v>
      </c>
      <c r="E251" s="32">
        <f>D251*$J246</f>
        <v>4525.0322120600003</v>
      </c>
      <c r="F251" s="297"/>
      <c r="G251" s="290"/>
      <c r="I251" s="312" t="s">
        <v>12</v>
      </c>
      <c r="J251" s="313">
        <f>J250/D259</f>
        <v>2.5040313843042368</v>
      </c>
    </row>
    <row r="252" spans="2:12" ht="12.75" customHeight="1">
      <c r="C252" s="296" t="s">
        <v>16</v>
      </c>
      <c r="D252" s="62">
        <f>1244.874+3805.874</f>
        <v>5050.7479999999996</v>
      </c>
      <c r="E252" s="32">
        <f>D252*$J246</f>
        <v>246.57751736</v>
      </c>
      <c r="F252" s="297"/>
      <c r="G252" s="290"/>
      <c r="J252" s="135"/>
    </row>
    <row r="253" spans="2:12" ht="12.75" customHeight="1">
      <c r="C253" s="296"/>
      <c r="D253" s="291"/>
      <c r="E253" s="291"/>
      <c r="F253" s="297"/>
      <c r="G253" s="290"/>
    </row>
    <row r="254" spans="2:12">
      <c r="C254" s="298" t="s">
        <v>17</v>
      </c>
      <c r="D254" s="89">
        <f>SUM(D250:D252)</f>
        <v>101973.6</v>
      </c>
      <c r="E254" s="89">
        <f>SUM(E250:E252)</f>
        <v>4978.3511520000011</v>
      </c>
      <c r="F254" s="299">
        <f>+D254/D259</f>
        <v>4.6035248654700434</v>
      </c>
      <c r="G254" s="286"/>
      <c r="H254" s="199"/>
      <c r="I254" s="54"/>
    </row>
    <row r="255" spans="2:12">
      <c r="C255" s="300" t="s">
        <v>18</v>
      </c>
      <c r="D255" s="64">
        <f>Model!AY$113</f>
        <v>43536.716</v>
      </c>
      <c r="E255" s="64">
        <f>D255*$J246</f>
        <v>2125.4624751199999</v>
      </c>
      <c r="F255" s="301"/>
      <c r="G255" s="288"/>
      <c r="I255" s="289"/>
      <c r="J255" s="413"/>
      <c r="K255" s="413"/>
      <c r="L255" s="290"/>
    </row>
    <row r="256" spans="2:12">
      <c r="C256" s="298" t="s">
        <v>19</v>
      </c>
      <c r="D256" s="89">
        <f>+D254-D255</f>
        <v>58436.884000000005</v>
      </c>
      <c r="E256" s="89">
        <f>+E254-E255</f>
        <v>2852.8886768800012</v>
      </c>
      <c r="F256" s="299">
        <f>+D256/D259</f>
        <v>2.6380911192170182</v>
      </c>
      <c r="G256" s="286"/>
      <c r="I256" s="289"/>
      <c r="J256" s="184"/>
      <c r="K256" s="184"/>
      <c r="L256" s="293"/>
    </row>
    <row r="257" spans="3:12">
      <c r="C257" s="300" t="s">
        <v>20</v>
      </c>
      <c r="D257" s="64">
        <f>Model!AY$120</f>
        <v>111814.80499999999</v>
      </c>
      <c r="E257" s="64">
        <f>D257*$J246</f>
        <v>5458.7987800999999</v>
      </c>
      <c r="F257" s="302"/>
      <c r="I257" s="285"/>
      <c r="J257" s="62"/>
      <c r="K257" s="65"/>
      <c r="L257" s="286"/>
    </row>
    <row r="258" spans="3:12">
      <c r="C258" s="303" t="s">
        <v>21</v>
      </c>
      <c r="D258" s="65">
        <f>D254+D257</f>
        <v>213788.405</v>
      </c>
      <c r="E258" s="65">
        <f>D258*$J246</f>
        <v>10437.149932100001</v>
      </c>
      <c r="F258" s="304">
        <f>D258/D259</f>
        <v>9.6513238560439181</v>
      </c>
      <c r="G258" s="286"/>
      <c r="I258" s="287"/>
      <c r="J258" s="64"/>
      <c r="K258" s="119"/>
      <c r="L258" s="288"/>
    </row>
    <row r="259" spans="3:12" ht="13.5" thickBot="1">
      <c r="C259" s="305" t="s">
        <v>22</v>
      </c>
      <c r="D259" s="306">
        <f>Model!AY$85</f>
        <v>22151.199999999997</v>
      </c>
      <c r="E259" s="306"/>
      <c r="F259" s="307"/>
      <c r="I259" s="287"/>
      <c r="J259" s="294"/>
      <c r="K259" s="119"/>
      <c r="L259" s="288"/>
    </row>
    <row r="260" spans="3:12">
      <c r="I260" s="287"/>
      <c r="J260" s="62"/>
      <c r="K260" s="119"/>
      <c r="L260" s="288"/>
    </row>
    <row r="261" spans="3:12">
      <c r="C261" s="114" t="s">
        <v>23</v>
      </c>
      <c r="D261" s="176">
        <f>D254-Model!AY$116</f>
        <v>0.27700000000186265</v>
      </c>
      <c r="I261" s="285"/>
      <c r="J261" s="65"/>
      <c r="K261" s="65"/>
      <c r="L261" s="286"/>
    </row>
    <row r="262" spans="3:12" ht="13.5" thickBot="1">
      <c r="D262" s="412"/>
      <c r="E262" s="412"/>
      <c r="I262" s="285"/>
      <c r="J262" s="119"/>
      <c r="K262" s="119"/>
    </row>
    <row r="263" spans="3:12">
      <c r="C263" s="59" t="s">
        <v>107</v>
      </c>
      <c r="D263" s="314" t="s">
        <v>58</v>
      </c>
      <c r="E263" s="315" t="s">
        <v>59</v>
      </c>
      <c r="I263" s="285"/>
      <c r="J263" s="65"/>
      <c r="K263" s="65"/>
      <c r="L263" s="286"/>
    </row>
    <row r="264" spans="3:12">
      <c r="C264" s="60"/>
      <c r="D264" s="117"/>
      <c r="E264" s="77"/>
      <c r="I264" s="287"/>
      <c r="J264" s="32"/>
      <c r="K264" s="32"/>
    </row>
    <row r="265" spans="3:12">
      <c r="C265" s="60" t="s">
        <v>28</v>
      </c>
      <c r="D265" s="163">
        <f>D255</f>
        <v>43536.716</v>
      </c>
      <c r="E265" s="203">
        <f>D265*$J246</f>
        <v>2125.4624751199999</v>
      </c>
    </row>
    <row r="266" spans="3:12">
      <c r="C266" s="60" t="s">
        <v>74</v>
      </c>
      <c r="D266" s="165">
        <v>0</v>
      </c>
      <c r="E266" s="203">
        <f>D266*$J246</f>
        <v>0</v>
      </c>
    </row>
    <row r="267" spans="3:12">
      <c r="C267" s="60" t="s">
        <v>75</v>
      </c>
      <c r="D267" s="165">
        <v>1000</v>
      </c>
      <c r="E267" s="203">
        <f>D267*$J246</f>
        <v>48.82</v>
      </c>
    </row>
    <row r="268" spans="3:12" ht="13.5" thickBot="1">
      <c r="C268" s="152" t="s">
        <v>29</v>
      </c>
      <c r="D268" s="174">
        <f>SUM(D264:D267)</f>
        <v>44536.716</v>
      </c>
      <c r="E268" s="175">
        <f>SUM(E264:E267)</f>
        <v>2174.2824751200001</v>
      </c>
    </row>
    <row r="269" spans="3:12" ht="13.5" thickBot="1"/>
    <row r="270" spans="3:12">
      <c r="C270" s="130" t="s">
        <v>108</v>
      </c>
      <c r="D270" s="314" t="s">
        <v>58</v>
      </c>
      <c r="E270" s="315" t="s">
        <v>59</v>
      </c>
    </row>
    <row r="271" spans="3:12">
      <c r="C271" s="259" t="s">
        <v>77</v>
      </c>
      <c r="D271" s="252">
        <v>5483.9170000000004</v>
      </c>
      <c r="E271" s="264">
        <f>D271*$J246</f>
        <v>267.72482794000001</v>
      </c>
    </row>
    <row r="272" spans="3:12">
      <c r="C272" s="259" t="s">
        <v>78</v>
      </c>
      <c r="D272" s="252">
        <v>9353.6779999999999</v>
      </c>
      <c r="E272" s="264">
        <f>D272*$J246</f>
        <v>456.64655995999999</v>
      </c>
    </row>
    <row r="273" spans="3:8">
      <c r="C273" s="259" t="s">
        <v>79</v>
      </c>
      <c r="D273" s="252">
        <v>10846.705</v>
      </c>
      <c r="E273" s="264">
        <f>D273*$J246</f>
        <v>529.53613810000002</v>
      </c>
    </row>
    <row r="274" spans="3:8">
      <c r="C274" s="259" t="s">
        <v>80</v>
      </c>
      <c r="D274" s="252">
        <v>77515.099000000002</v>
      </c>
      <c r="E274" s="264">
        <f>D274*$J246</f>
        <v>3784.2871331800002</v>
      </c>
    </row>
    <row r="275" spans="3:8">
      <c r="C275" s="261"/>
      <c r="D275" s="262">
        <f>SUM(D271:D274)</f>
        <v>103199.399</v>
      </c>
      <c r="E275" s="265">
        <f>D275*$J246</f>
        <v>5038.1946591800006</v>
      </c>
    </row>
    <row r="276" spans="3:8" ht="13.5" thickBot="1">
      <c r="C276" s="259" t="s">
        <v>81</v>
      </c>
      <c r="D276" s="252">
        <v>-1226.076</v>
      </c>
      <c r="E276" s="264">
        <f>D276*$J246</f>
        <v>-59.857030320000007</v>
      </c>
      <c r="H276" s="292"/>
    </row>
    <row r="277" spans="3:8" ht="13.5" thickBot="1">
      <c r="C277" s="134" t="s">
        <v>43</v>
      </c>
      <c r="D277" s="173">
        <f>SUM(D275:D276)</f>
        <v>101973.323</v>
      </c>
      <c r="E277" s="173">
        <f>SUM(E275:E276)</f>
        <v>4978.3376288600002</v>
      </c>
    </row>
    <row r="278" spans="3:8">
      <c r="C278" s="255" t="s">
        <v>44</v>
      </c>
      <c r="D278" s="263">
        <f>D277-D254</f>
        <v>-0.27700000000186265</v>
      </c>
      <c r="E278" s="260"/>
    </row>
    <row r="279" spans="3:8" ht="13.5" thickBot="1">
      <c r="D279" s="412"/>
      <c r="E279" s="412"/>
    </row>
    <row r="280" spans="3:8">
      <c r="C280" s="131" t="s">
        <v>109</v>
      </c>
      <c r="D280" s="315" t="s">
        <v>58</v>
      </c>
      <c r="E280" s="315" t="s">
        <v>59</v>
      </c>
    </row>
    <row r="281" spans="3:8">
      <c r="C281" s="246" t="s">
        <v>83</v>
      </c>
      <c r="D281" s="251">
        <v>0</v>
      </c>
      <c r="E281" s="203">
        <f>D281*$J246</f>
        <v>0</v>
      </c>
    </row>
    <row r="282" spans="3:8">
      <c r="C282" s="246" t="s">
        <v>84</v>
      </c>
      <c r="D282" s="252"/>
      <c r="E282" s="247"/>
    </row>
    <row r="283" spans="3:8">
      <c r="C283" s="249" t="s">
        <v>85</v>
      </c>
      <c r="D283" s="252">
        <v>0</v>
      </c>
      <c r="E283" s="203">
        <f>D283*$J246</f>
        <v>0</v>
      </c>
      <c r="H283" s="62"/>
    </row>
    <row r="284" spans="3:8">
      <c r="C284" s="249" t="s">
        <v>86</v>
      </c>
      <c r="D284" s="252">
        <v>4234.7690000000002</v>
      </c>
      <c r="E284" s="203">
        <f>D284*$J246</f>
        <v>206.74142258000003</v>
      </c>
      <c r="H284" s="62"/>
    </row>
    <row r="285" spans="3:8">
      <c r="C285" s="249" t="s">
        <v>87</v>
      </c>
      <c r="D285" s="252">
        <v>6097.6580000000004</v>
      </c>
      <c r="E285" s="203">
        <f>D285*$J246</f>
        <v>297.68766356000003</v>
      </c>
      <c r="H285" s="62"/>
    </row>
    <row r="286" spans="3:8">
      <c r="C286" s="249" t="s">
        <v>88</v>
      </c>
      <c r="D286" s="252">
        <v>12121.911</v>
      </c>
      <c r="E286" s="203">
        <f>D286*$J246</f>
        <v>591.79169502000002</v>
      </c>
      <c r="H286" s="62"/>
    </row>
    <row r="287" spans="3:8">
      <c r="C287" s="249" t="s">
        <v>89</v>
      </c>
      <c r="D287" s="252">
        <v>15707.296</v>
      </c>
      <c r="E287" s="203">
        <f>D287*$J246</f>
        <v>766.83019072000002</v>
      </c>
      <c r="H287" s="62"/>
    </row>
    <row r="288" spans="3:8">
      <c r="C288" s="249" t="s">
        <v>90</v>
      </c>
      <c r="D288" s="252">
        <v>17845.644</v>
      </c>
      <c r="E288" s="203">
        <f>D288*$J246</f>
        <v>871.22434008000005</v>
      </c>
      <c r="H288" s="62"/>
    </row>
    <row r="289" spans="3:8">
      <c r="C289" s="249" t="s">
        <v>91</v>
      </c>
      <c r="D289" s="252">
        <v>13193.897000000001</v>
      </c>
      <c r="E289" s="203">
        <f>D289*$J246</f>
        <v>644.12605154000005</v>
      </c>
      <c r="H289" s="62"/>
    </row>
    <row r="290" spans="3:8">
      <c r="C290" s="246" t="s">
        <v>92</v>
      </c>
      <c r="D290" s="252"/>
      <c r="E290" s="247"/>
      <c r="H290" s="62"/>
    </row>
    <row r="291" spans="3:8">
      <c r="C291" s="249" t="s">
        <v>93</v>
      </c>
      <c r="D291" s="252">
        <v>4491.8469999999998</v>
      </c>
      <c r="E291" s="203">
        <f>D291*$J246</f>
        <v>219.29197053999999</v>
      </c>
      <c r="H291" s="62"/>
    </row>
    <row r="292" spans="3:8">
      <c r="C292" s="249" t="s">
        <v>94</v>
      </c>
      <c r="D292" s="252">
        <v>4484.6220000000003</v>
      </c>
      <c r="E292" s="203">
        <f>D292*$J246</f>
        <v>218.93924604000003</v>
      </c>
      <c r="H292" s="62"/>
    </row>
    <row r="293" spans="3:8">
      <c r="C293" s="249" t="s">
        <v>95</v>
      </c>
      <c r="D293" s="252">
        <v>6162.7860000000001</v>
      </c>
      <c r="E293" s="203">
        <f>D293*$J246</f>
        <v>300.86721252000001</v>
      </c>
      <c r="H293" s="62"/>
    </row>
    <row r="294" spans="3:8">
      <c r="C294" s="249" t="s">
        <v>96</v>
      </c>
      <c r="D294" s="252">
        <v>9932.4220000000005</v>
      </c>
      <c r="E294" s="203">
        <f>D294*$J246</f>
        <v>484.90084204000004</v>
      </c>
      <c r="H294" s="62"/>
    </row>
    <row r="295" spans="3:8">
      <c r="C295" s="249" t="s">
        <v>97</v>
      </c>
      <c r="D295" s="252">
        <v>2650</v>
      </c>
      <c r="E295" s="203">
        <f>D295*$J246</f>
        <v>129.37300000000002</v>
      </c>
      <c r="H295" s="62"/>
    </row>
    <row r="296" spans="3:8" ht="13.5" thickBot="1">
      <c r="C296" s="250"/>
      <c r="D296" s="253"/>
      <c r="E296" s="203"/>
    </row>
    <row r="297" spans="3:8" ht="13.5" thickBot="1">
      <c r="C297" s="134" t="s">
        <v>43</v>
      </c>
      <c r="D297" s="248">
        <f>SUM(D283:D296)</f>
        <v>96922.851999999999</v>
      </c>
      <c r="E297" s="173">
        <f>SUM(E283:E296)</f>
        <v>4731.7736346399997</v>
      </c>
    </row>
    <row r="298" spans="3:8">
      <c r="C298" s="255" t="s">
        <v>44</v>
      </c>
      <c r="D298" s="278">
        <f>D297-(Model!$AY$106+Model!$AY$107)</f>
        <v>0</v>
      </c>
      <c r="E298" s="254"/>
    </row>
    <row r="299" spans="3:8" ht="13.5" thickBot="1">
      <c r="D299" s="412"/>
      <c r="E299" s="412"/>
    </row>
    <row r="300" spans="3:8">
      <c r="C300" s="130" t="s">
        <v>110</v>
      </c>
      <c r="D300" s="314" t="s">
        <v>58</v>
      </c>
      <c r="E300" s="315" t="s">
        <v>59</v>
      </c>
      <c r="H300" s="258"/>
    </row>
    <row r="301" spans="3:8">
      <c r="C301" s="133" t="s">
        <v>99</v>
      </c>
      <c r="D301" s="252">
        <v>1676.6079999999999</v>
      </c>
      <c r="E301" s="203">
        <f>D301*$J246</f>
        <v>81.852002560000003</v>
      </c>
    </row>
    <row r="302" spans="3:8">
      <c r="C302" s="133" t="s">
        <v>100</v>
      </c>
      <c r="D302" s="252">
        <v>564.46600000000001</v>
      </c>
      <c r="E302" s="203">
        <f>D302*$J246</f>
        <v>27.557230120000003</v>
      </c>
    </row>
    <row r="303" spans="3:8">
      <c r="C303" s="133" t="s">
        <v>101</v>
      </c>
      <c r="D303" s="252">
        <v>2809.3969999999999</v>
      </c>
      <c r="E303" s="203">
        <f>D303*$J246</f>
        <v>137.15476154000001</v>
      </c>
    </row>
    <row r="304" spans="3:8" ht="13.5" thickBot="1">
      <c r="C304" s="133" t="s">
        <v>102</v>
      </c>
      <c r="D304" s="252">
        <v>-1244.874</v>
      </c>
      <c r="E304" s="203">
        <f>D304*$J246</f>
        <v>-60.774748680000002</v>
      </c>
    </row>
    <row r="305" spans="2:12" ht="13.5" thickBot="1">
      <c r="C305" s="134" t="s">
        <v>43</v>
      </c>
      <c r="D305" s="173">
        <f>SUM(D301:D304)</f>
        <v>3805.5969999999998</v>
      </c>
      <c r="E305" s="173">
        <f>SUM(E301:E304)</f>
        <v>185.78924554000002</v>
      </c>
    </row>
    <row r="310" spans="2:12">
      <c r="B310" s="54" t="s">
        <v>111</v>
      </c>
      <c r="I310" s="54" t="s">
        <v>112</v>
      </c>
      <c r="J310" s="76">
        <f>Model!AX$211</f>
        <v>4.8009999999999997E-2</v>
      </c>
    </row>
    <row r="311" spans="2:12" ht="13.5" thickBot="1">
      <c r="B311" s="54"/>
      <c r="I311" s="54"/>
      <c r="J311" s="76"/>
    </row>
    <row r="312" spans="2:12">
      <c r="C312" s="308" t="s">
        <v>113</v>
      </c>
      <c r="D312" s="309" t="s">
        <v>58</v>
      </c>
      <c r="E312" s="309" t="s">
        <v>106</v>
      </c>
      <c r="F312" s="295" t="s">
        <v>60</v>
      </c>
      <c r="G312" s="390"/>
      <c r="I312" s="310" t="s">
        <v>8</v>
      </c>
      <c r="J312" s="311" t="s">
        <v>58</v>
      </c>
    </row>
    <row r="313" spans="2:12">
      <c r="C313" s="296"/>
      <c r="D313" s="291"/>
      <c r="E313" s="291"/>
      <c r="F313" s="297"/>
      <c r="G313" s="290"/>
      <c r="I313" s="259" t="s">
        <v>43</v>
      </c>
      <c r="J313" s="302">
        <v>102949.1</v>
      </c>
      <c r="L313" s="94" t="s">
        <v>60</v>
      </c>
    </row>
    <row r="314" spans="2:12">
      <c r="C314" s="296" t="s">
        <v>10</v>
      </c>
      <c r="D314" s="62">
        <v>4556.95</v>
      </c>
      <c r="E314" s="32">
        <f>D314*$J$310</f>
        <v>218.77916949999997</v>
      </c>
      <c r="F314" s="297"/>
      <c r="G314" s="290"/>
      <c r="I314" s="259" t="s">
        <v>11</v>
      </c>
      <c r="J314" s="302">
        <v>59647.9</v>
      </c>
      <c r="L314" s="96"/>
    </row>
    <row r="315" spans="2:12" ht="13.5" thickBot="1">
      <c r="C315" s="296" t="s">
        <v>13</v>
      </c>
      <c r="D315" s="62">
        <v>98398.222999999998</v>
      </c>
      <c r="E315" s="32">
        <f>D315*$J$310</f>
        <v>4724.0986862299997</v>
      </c>
      <c r="F315" s="297"/>
      <c r="G315" s="290"/>
      <c r="I315" s="312" t="s">
        <v>12</v>
      </c>
      <c r="J315" s="313">
        <f>J314/D323</f>
        <v>2.6773870654984204</v>
      </c>
      <c r="L315" s="99">
        <f>J379/J386</f>
        <v>4.2569402869979021</v>
      </c>
    </row>
    <row r="316" spans="2:12">
      <c r="C316" s="296" t="s">
        <v>16</v>
      </c>
      <c r="D316" s="62">
        <f>1242.957+4143.682</f>
        <v>5386.6390000000001</v>
      </c>
      <c r="E316" s="32">
        <f>D316*$J$310</f>
        <v>258.61253839</v>
      </c>
      <c r="F316" s="297"/>
      <c r="G316" s="290"/>
      <c r="J316" s="135"/>
      <c r="L316" s="101"/>
    </row>
    <row r="317" spans="2:12">
      <c r="C317" s="296"/>
      <c r="D317" s="291"/>
      <c r="E317" s="291"/>
      <c r="F317" s="297"/>
      <c r="G317" s="290"/>
      <c r="L317" s="101"/>
    </row>
    <row r="318" spans="2:12">
      <c r="C318" s="298" t="s">
        <v>17</v>
      </c>
      <c r="D318" s="89">
        <f>SUM(D314:D316)</f>
        <v>108341.81199999999</v>
      </c>
      <c r="E318" s="89">
        <f>SUM(E314:E316)</f>
        <v>5201.4903941199991</v>
      </c>
      <c r="F318" s="299">
        <f>+D318/D323</f>
        <v>4.8630876544096528</v>
      </c>
      <c r="G318" s="286"/>
      <c r="H318" s="199"/>
      <c r="I318" s="54"/>
      <c r="L318" s="101"/>
    </row>
    <row r="319" spans="2:12">
      <c r="C319" s="300" t="s">
        <v>18</v>
      </c>
      <c r="D319" s="64">
        <f>Model!AX$113</f>
        <v>46193.173000000003</v>
      </c>
      <c r="E319" s="64">
        <f>D319*$J$310</f>
        <v>2217.7342357299999</v>
      </c>
      <c r="F319" s="301"/>
      <c r="G319" s="288"/>
      <c r="I319" s="289"/>
      <c r="J319" s="413"/>
      <c r="K319" s="413"/>
      <c r="L319" s="99">
        <f>J383/J386</f>
        <v>2.6743936013054843</v>
      </c>
    </row>
    <row r="320" spans="2:12">
      <c r="C320" s="298" t="s">
        <v>19</v>
      </c>
      <c r="D320" s="89">
        <f>+D318-D319</f>
        <v>62148.638999999988</v>
      </c>
      <c r="E320" s="89">
        <f>+E318-E319</f>
        <v>2983.7561583899992</v>
      </c>
      <c r="F320" s="299">
        <f>+D320/D323</f>
        <v>2.7896365537920134</v>
      </c>
      <c r="G320" s="286"/>
      <c r="I320" s="289"/>
      <c r="J320" s="184"/>
      <c r="K320" s="184"/>
      <c r="L320" s="103"/>
    </row>
    <row r="321" spans="3:12">
      <c r="C321" s="300" t="s">
        <v>20</v>
      </c>
      <c r="D321" s="64">
        <f>Model!AX$120</f>
        <v>111695.625</v>
      </c>
      <c r="E321" s="64">
        <f>D321*$J$310</f>
        <v>5362.5069562499993</v>
      </c>
      <c r="F321" s="302"/>
      <c r="I321" s="285"/>
      <c r="J321" s="62"/>
      <c r="K321" s="65"/>
      <c r="L321" s="99">
        <f>J385/J386</f>
        <v>9.5304417287011702</v>
      </c>
    </row>
    <row r="322" spans="3:12">
      <c r="C322" s="303" t="s">
        <v>21</v>
      </c>
      <c r="D322" s="65">
        <f>D318+D321</f>
        <v>220037.43699999998</v>
      </c>
      <c r="E322" s="65">
        <f>D322*$J$310</f>
        <v>10563.997350369998</v>
      </c>
      <c r="F322" s="304">
        <f>D322/D323</f>
        <v>9.8767163261275499</v>
      </c>
      <c r="G322" s="286"/>
      <c r="I322" s="287"/>
      <c r="J322" s="64"/>
      <c r="K322" s="119"/>
      <c r="L322" s="106"/>
    </row>
    <row r="323" spans="3:12" ht="13.5" thickBot="1">
      <c r="C323" s="305" t="s">
        <v>22</v>
      </c>
      <c r="D323" s="306">
        <f>Model!AX$85</f>
        <v>22278.399999999998</v>
      </c>
      <c r="E323" s="306"/>
      <c r="F323" s="307"/>
      <c r="I323" s="287"/>
      <c r="J323" s="294"/>
      <c r="K323" s="119"/>
    </row>
    <row r="324" spans="3:12">
      <c r="I324" s="287"/>
      <c r="J324" s="62"/>
      <c r="K324" s="119"/>
    </row>
    <row r="325" spans="3:12">
      <c r="C325" s="114" t="s">
        <v>23</v>
      </c>
      <c r="D325" s="176">
        <f>D318-Model!AX$116</f>
        <v>0</v>
      </c>
      <c r="I325" s="285"/>
      <c r="J325" s="65"/>
      <c r="K325" s="65"/>
    </row>
    <row r="326" spans="3:12" ht="13.5" thickBot="1">
      <c r="D326" s="412"/>
      <c r="E326" s="412"/>
      <c r="I326" s="285"/>
      <c r="J326" s="119"/>
      <c r="K326" s="119"/>
    </row>
    <row r="327" spans="3:12">
      <c r="C327" s="59" t="s">
        <v>114</v>
      </c>
      <c r="D327" s="314" t="s">
        <v>58</v>
      </c>
      <c r="E327" s="315" t="s">
        <v>59</v>
      </c>
      <c r="I327" s="285"/>
      <c r="J327" s="65"/>
      <c r="K327" s="65"/>
    </row>
    <row r="328" spans="3:12">
      <c r="C328" s="60"/>
      <c r="D328" s="117"/>
      <c r="E328" s="77"/>
      <c r="I328" s="287"/>
      <c r="J328" s="32"/>
      <c r="K328" s="32"/>
    </row>
    <row r="329" spans="3:12">
      <c r="C329" s="60" t="s">
        <v>28</v>
      </c>
      <c r="D329" s="163">
        <f>D319</f>
        <v>46193.173000000003</v>
      </c>
      <c r="E329" s="203">
        <f>D329*$J$310</f>
        <v>2217.7342357299999</v>
      </c>
    </row>
    <row r="330" spans="3:12">
      <c r="C330" s="60" t="s">
        <v>74</v>
      </c>
      <c r="D330" s="165">
        <v>0</v>
      </c>
      <c r="E330" s="203">
        <f>D330*$J$310</f>
        <v>0</v>
      </c>
    </row>
    <row r="331" spans="3:12">
      <c r="C331" s="60" t="s">
        <v>75</v>
      </c>
      <c r="D331" s="165">
        <v>1000</v>
      </c>
      <c r="E331" s="203">
        <f>D331*$J$310</f>
        <v>48.01</v>
      </c>
    </row>
    <row r="332" spans="3:12" ht="13.5" thickBot="1">
      <c r="C332" s="152" t="s">
        <v>29</v>
      </c>
      <c r="D332" s="174">
        <f>SUM(D328:D331)</f>
        <v>47193.173000000003</v>
      </c>
      <c r="E332" s="175">
        <f>SUM(E328:E331)</f>
        <v>2265.7442357300001</v>
      </c>
    </row>
    <row r="333" spans="3:12" ht="13.5" thickBot="1"/>
    <row r="334" spans="3:12">
      <c r="C334" s="130" t="s">
        <v>115</v>
      </c>
      <c r="D334" s="314" t="s">
        <v>58</v>
      </c>
      <c r="E334" s="315" t="s">
        <v>59</v>
      </c>
    </row>
    <row r="335" spans="3:12">
      <c r="C335" s="259" t="s">
        <v>77</v>
      </c>
      <c r="D335" s="252">
        <f>4579.474+1242.957</f>
        <v>5822.4310000000005</v>
      </c>
      <c r="E335" s="264">
        <f t="shared" ref="E335:E340" si="0">D335*$J$310</f>
        <v>279.53491230999998</v>
      </c>
    </row>
    <row r="336" spans="3:12">
      <c r="C336" s="259" t="s">
        <v>78</v>
      </c>
      <c r="D336" s="252">
        <f>11478.669+2387.918</f>
        <v>13866.587</v>
      </c>
      <c r="E336" s="264">
        <f t="shared" si="0"/>
        <v>665.73484186999997</v>
      </c>
    </row>
    <row r="337" spans="3:8">
      <c r="C337" s="259" t="s">
        <v>79</v>
      </c>
      <c r="D337" s="252">
        <f>10000+865.556</f>
        <v>10865.556</v>
      </c>
      <c r="E337" s="264">
        <f t="shared" si="0"/>
        <v>521.65534356000001</v>
      </c>
    </row>
    <row r="338" spans="3:8">
      <c r="C338" s="259" t="s">
        <v>80</v>
      </c>
      <c r="D338" s="252">
        <f>78156.047+890.208</f>
        <v>79046.255000000005</v>
      </c>
      <c r="E338" s="264">
        <f t="shared" si="0"/>
        <v>3795.0107025500001</v>
      </c>
    </row>
    <row r="339" spans="3:8">
      <c r="C339" s="261"/>
      <c r="D339" s="262">
        <f>SUM(D335:D338)</f>
        <v>109600.829</v>
      </c>
      <c r="E339" s="265">
        <f t="shared" si="0"/>
        <v>5261.9358002899999</v>
      </c>
    </row>
    <row r="340" spans="3:8" ht="13.5" thickBot="1">
      <c r="C340" s="259" t="s">
        <v>81</v>
      </c>
      <c r="D340" s="252">
        <v>-1259.0170000000001</v>
      </c>
      <c r="E340" s="264">
        <f t="shared" si="0"/>
        <v>-60.445406169999998</v>
      </c>
      <c r="H340" s="292"/>
    </row>
    <row r="341" spans="3:8" ht="13.5" thickBot="1">
      <c r="C341" s="134" t="s">
        <v>43</v>
      </c>
      <c r="D341" s="173">
        <f>SUM(D339:D340)</f>
        <v>108341.81199999999</v>
      </c>
      <c r="E341" s="173">
        <f>SUM(E339:E340)</f>
        <v>5201.49039412</v>
      </c>
    </row>
    <row r="342" spans="3:8">
      <c r="C342" s="255" t="s">
        <v>44</v>
      </c>
      <c r="D342" s="263">
        <f>D341-D318</f>
        <v>0</v>
      </c>
      <c r="E342" s="260"/>
    </row>
    <row r="343" spans="3:8" ht="13.5" thickBot="1">
      <c r="D343" s="412"/>
      <c r="E343" s="412"/>
    </row>
    <row r="344" spans="3:8">
      <c r="C344" s="131" t="s">
        <v>116</v>
      </c>
      <c r="D344" s="315" t="s">
        <v>58</v>
      </c>
      <c r="E344" s="315" t="s">
        <v>59</v>
      </c>
    </row>
    <row r="345" spans="3:8">
      <c r="C345" s="246" t="s">
        <v>83</v>
      </c>
      <c r="D345" s="251">
        <v>4556.95</v>
      </c>
      <c r="E345" s="203">
        <f>D345*$J$310</f>
        <v>218.77916949999997</v>
      </c>
    </row>
    <row r="346" spans="3:8">
      <c r="C346" s="246" t="s">
        <v>84</v>
      </c>
      <c r="D346" s="252"/>
      <c r="E346" s="247"/>
    </row>
    <row r="347" spans="3:8">
      <c r="C347" s="249" t="s">
        <v>85</v>
      </c>
      <c r="D347" s="252">
        <v>4556.95</v>
      </c>
      <c r="E347" s="203">
        <f>D347*$J$310</f>
        <v>218.77916949999997</v>
      </c>
      <c r="H347" s="62"/>
    </row>
    <row r="348" spans="3:8">
      <c r="C348" s="249" t="s">
        <v>86</v>
      </c>
      <c r="D348" s="252">
        <v>4323.5219999999999</v>
      </c>
      <c r="E348" s="203">
        <f t="shared" ref="E348:E353" si="1">D348*$J$310</f>
        <v>207.57229121999998</v>
      </c>
      <c r="H348" s="62"/>
    </row>
    <row r="349" spans="3:8">
      <c r="C349" s="249" t="s">
        <v>87</v>
      </c>
      <c r="D349" s="252">
        <v>6226.2619999999997</v>
      </c>
      <c r="E349" s="203">
        <f t="shared" si="1"/>
        <v>298.92283861999999</v>
      </c>
      <c r="H349" s="62"/>
    </row>
    <row r="350" spans="3:8">
      <c r="C350" s="249" t="s">
        <v>88</v>
      </c>
      <c r="D350" s="252">
        <v>12379.847</v>
      </c>
      <c r="E350" s="203">
        <f t="shared" si="1"/>
        <v>594.3564544699999</v>
      </c>
      <c r="H350" s="62"/>
    </row>
    <row r="351" spans="3:8">
      <c r="C351" s="249" t="s">
        <v>89</v>
      </c>
      <c r="D351" s="252">
        <v>16045.656999999999</v>
      </c>
      <c r="E351" s="203">
        <f t="shared" si="1"/>
        <v>770.35199256999988</v>
      </c>
      <c r="H351" s="62"/>
    </row>
    <row r="352" spans="3:8">
      <c r="C352" s="249" t="s">
        <v>90</v>
      </c>
      <c r="D352" s="252">
        <v>18229.310000000001</v>
      </c>
      <c r="E352" s="203">
        <f t="shared" si="1"/>
        <v>875.18917310000006</v>
      </c>
      <c r="H352" s="62"/>
    </row>
    <row r="353" spans="3:8">
      <c r="C353" s="249" t="s">
        <v>91</v>
      </c>
      <c r="D353" s="252">
        <v>13477.395</v>
      </c>
      <c r="E353" s="203">
        <f t="shared" si="1"/>
        <v>647.04973395000002</v>
      </c>
      <c r="H353" s="62"/>
    </row>
    <row r="354" spans="3:8">
      <c r="C354" s="246" t="s">
        <v>92</v>
      </c>
      <c r="D354" s="252"/>
      <c r="E354" s="247"/>
      <c r="H354" s="62"/>
    </row>
    <row r="355" spans="3:8">
      <c r="C355" s="249" t="s">
        <v>93</v>
      </c>
      <c r="D355" s="252">
        <v>4491.1750000000002</v>
      </c>
      <c r="E355" s="203">
        <f t="shared" ref="E355:E360" si="2">D355*$J$310</f>
        <v>215.62131174999999</v>
      </c>
      <c r="H355" s="62"/>
    </row>
    <row r="356" spans="3:8">
      <c r="C356" s="249" t="s">
        <v>94</v>
      </c>
      <c r="D356" s="252">
        <v>4484.45</v>
      </c>
      <c r="E356" s="203">
        <f t="shared" si="2"/>
        <v>215.29844449999999</v>
      </c>
      <c r="H356" s="62"/>
    </row>
    <row r="357" spans="3:8">
      <c r="C357" s="249" t="s">
        <v>95</v>
      </c>
      <c r="D357" s="252">
        <v>6162.4070000000002</v>
      </c>
      <c r="E357" s="203">
        <f t="shared" si="2"/>
        <v>295.85716006999996</v>
      </c>
      <c r="H357" s="62"/>
    </row>
    <row r="358" spans="3:8">
      <c r="C358" s="249" t="s">
        <v>117</v>
      </c>
      <c r="D358" s="252">
        <v>9928.1980000000003</v>
      </c>
      <c r="E358" s="203">
        <f t="shared" si="2"/>
        <v>476.65278597999998</v>
      </c>
      <c r="H358" s="62"/>
    </row>
    <row r="359" spans="3:8">
      <c r="C359" s="249" t="s">
        <v>118</v>
      </c>
      <c r="D359" s="252">
        <v>2650</v>
      </c>
      <c r="E359" s="203">
        <f t="shared" si="2"/>
        <v>127.22649999999999</v>
      </c>
      <c r="H359" s="62"/>
    </row>
    <row r="360" spans="3:8" ht="13.5" thickBot="1">
      <c r="C360" s="250"/>
      <c r="D360" s="253"/>
      <c r="E360" s="203">
        <f t="shared" si="2"/>
        <v>0</v>
      </c>
    </row>
    <row r="361" spans="3:8" ht="13.5" thickBot="1">
      <c r="C361" s="134" t="s">
        <v>43</v>
      </c>
      <c r="D361" s="248">
        <f>SUM(D347:D360)</f>
        <v>102955.17300000001</v>
      </c>
      <c r="E361" s="173">
        <f>SUM(E347:E360)</f>
        <v>4942.8778557299993</v>
      </c>
    </row>
    <row r="362" spans="3:8">
      <c r="C362" s="255" t="s">
        <v>44</v>
      </c>
      <c r="D362" s="278">
        <f>D361-(Model!$AX$106+Model!$AX$107)</f>
        <v>0</v>
      </c>
      <c r="E362" s="254"/>
    </row>
    <row r="363" spans="3:8" ht="13.5" thickBot="1">
      <c r="D363" s="412"/>
      <c r="E363" s="412"/>
    </row>
    <row r="364" spans="3:8">
      <c r="C364" s="130" t="s">
        <v>119</v>
      </c>
      <c r="D364" s="314" t="s">
        <v>58</v>
      </c>
      <c r="E364" s="315" t="s">
        <v>59</v>
      </c>
      <c r="H364" s="258"/>
    </row>
    <row r="365" spans="3:8">
      <c r="C365" s="133" t="s">
        <v>99</v>
      </c>
      <c r="D365" s="252">
        <v>1866.7470000000001</v>
      </c>
      <c r="E365" s="203">
        <f>D365*$J$310</f>
        <v>89.622523470000004</v>
      </c>
    </row>
    <row r="366" spans="3:8">
      <c r="C366" s="133" t="s">
        <v>100</v>
      </c>
      <c r="D366" s="252">
        <v>538.35599999999999</v>
      </c>
      <c r="E366" s="203">
        <f>D366*$J$310</f>
        <v>25.846471559999998</v>
      </c>
    </row>
    <row r="367" spans="3:8">
      <c r="C367" s="133" t="s">
        <v>101</v>
      </c>
      <c r="D367" s="252">
        <v>2981.5360000000001</v>
      </c>
      <c r="E367" s="203">
        <f>D367*$J$310</f>
        <v>143.14354336</v>
      </c>
    </row>
    <row r="368" spans="3:8" ht="13.5" thickBot="1">
      <c r="C368" s="133" t="s">
        <v>102</v>
      </c>
      <c r="D368" s="252">
        <v>-1242.9570000000001</v>
      </c>
      <c r="E368" s="203">
        <f>D368*$J$310</f>
        <v>-59.674365569999999</v>
      </c>
    </row>
    <row r="369" spans="2:12" ht="13.5" thickBot="1">
      <c r="C369" s="134" t="s">
        <v>43</v>
      </c>
      <c r="D369" s="173">
        <f>SUM(D365:D368)</f>
        <v>4143.6819999999998</v>
      </c>
      <c r="E369" s="173">
        <f>SUM(E365:E368)</f>
        <v>198.93817282000001</v>
      </c>
    </row>
    <row r="371" spans="2:12">
      <c r="L371" s="94" t="s">
        <v>60</v>
      </c>
    </row>
    <row r="372" spans="2:12">
      <c r="L372" s="96"/>
    </row>
    <row r="373" spans="2:12">
      <c r="L373" s="99">
        <f>J437/J444</f>
        <v>3.8696630980967219</v>
      </c>
    </row>
    <row r="374" spans="2:12">
      <c r="B374" s="54" t="s">
        <v>120</v>
      </c>
      <c r="I374" s="54" t="s">
        <v>121</v>
      </c>
      <c r="J374" s="76">
        <f>Model!AV$211</f>
        <v>5.4510000000000003E-2</v>
      </c>
      <c r="L374" s="101"/>
    </row>
    <row r="375" spans="2:12">
      <c r="C375" s="107"/>
      <c r="D375" s="414" t="s">
        <v>122</v>
      </c>
      <c r="E375" s="415"/>
      <c r="F375" s="94" t="s">
        <v>60</v>
      </c>
      <c r="G375" s="391"/>
      <c r="L375" s="101"/>
    </row>
    <row r="376" spans="2:12">
      <c r="C376" s="192" t="s">
        <v>17</v>
      </c>
      <c r="D376" s="193">
        <f>+J379</f>
        <v>99420.9</v>
      </c>
      <c r="E376" s="172">
        <f>D376*$J374</f>
        <v>5419.4332590000004</v>
      </c>
      <c r="F376" s="194">
        <f>+D376/D381</f>
        <v>4.2569402869979021</v>
      </c>
      <c r="G376" s="286"/>
      <c r="H376" s="199"/>
      <c r="I376" s="54" t="s">
        <v>123</v>
      </c>
      <c r="L376" s="101"/>
    </row>
    <row r="377" spans="2:12">
      <c r="C377" s="195" t="s">
        <v>18</v>
      </c>
      <c r="D377" s="204">
        <f>Model!AV$113</f>
        <v>36960.400000000001</v>
      </c>
      <c r="E377" s="204">
        <f>D377*$J$374</f>
        <v>2014.7114040000001</v>
      </c>
      <c r="F377" s="197"/>
      <c r="G377" s="288"/>
      <c r="I377" s="107"/>
      <c r="J377" s="414" t="s">
        <v>122</v>
      </c>
      <c r="K377" s="415"/>
      <c r="L377" s="99">
        <f>J441/J444</f>
        <v>2.5141535980814651</v>
      </c>
    </row>
    <row r="378" spans="2:12">
      <c r="C378" s="192" t="s">
        <v>19</v>
      </c>
      <c r="D378" s="205">
        <f>+D376-D377</f>
        <v>62460.499999999993</v>
      </c>
      <c r="E378" s="205">
        <f>D378*$J$374</f>
        <v>3404.7218549999998</v>
      </c>
      <c r="F378" s="194">
        <f>+D378/D381</f>
        <v>2.6743936013054843</v>
      </c>
      <c r="G378" s="286"/>
      <c r="I378" s="108"/>
      <c r="J378" s="180" t="s">
        <v>124</v>
      </c>
      <c r="K378" s="181" t="s">
        <v>125</v>
      </c>
      <c r="L378" s="103"/>
    </row>
    <row r="379" spans="2:12">
      <c r="C379" s="195" t="s">
        <v>20</v>
      </c>
      <c r="D379" s="204">
        <f>Model!AV$120</f>
        <v>123162.7</v>
      </c>
      <c r="E379" s="204">
        <f>D379*$J$374</f>
        <v>6713.5987770000002</v>
      </c>
      <c r="F379" s="103"/>
      <c r="I379" s="110" t="s">
        <v>126</v>
      </c>
      <c r="J379" s="245">
        <v>99420.9</v>
      </c>
      <c r="K379" s="154">
        <f>J379*$J$432</f>
        <v>5997.0686879999994</v>
      </c>
      <c r="L379" s="99">
        <f>J443/J444</f>
        <v>9.1625679369797943</v>
      </c>
    </row>
    <row r="380" spans="2:12">
      <c r="C380" s="192" t="s">
        <v>21</v>
      </c>
      <c r="D380" s="205">
        <f>D376+D379</f>
        <v>222583.59999999998</v>
      </c>
      <c r="E380" s="205">
        <f>D380*$J$374</f>
        <v>12133.032035999999</v>
      </c>
      <c r="F380" s="194">
        <f>D380/D381</f>
        <v>9.5304417287011702</v>
      </c>
      <c r="G380" s="286"/>
      <c r="I380" s="157" t="s">
        <v>18</v>
      </c>
      <c r="J380" s="167">
        <f>D387</f>
        <v>36960.400000000001</v>
      </c>
      <c r="K380" s="153">
        <f>J380*$J$374</f>
        <v>2014.7114040000001</v>
      </c>
      <c r="L380" s="106"/>
    </row>
    <row r="381" spans="2:12">
      <c r="C381" s="198" t="s">
        <v>22</v>
      </c>
      <c r="D381" s="206">
        <f>Model!AV$85</f>
        <v>23355.013999999996</v>
      </c>
      <c r="E381" s="206"/>
      <c r="F381" s="106"/>
      <c r="I381" s="111" t="s">
        <v>127</v>
      </c>
      <c r="J381" s="156">
        <f>D388</f>
        <v>0</v>
      </c>
      <c r="K381" s="153">
        <f>J381*$J$374</f>
        <v>0</v>
      </c>
    </row>
    <row r="382" spans="2:12">
      <c r="I382" s="111" t="s">
        <v>128</v>
      </c>
      <c r="J382" s="62">
        <v>0</v>
      </c>
      <c r="K382" s="153">
        <f>J382*$J$374</f>
        <v>0</v>
      </c>
    </row>
    <row r="383" spans="2:12">
      <c r="C383" s="114" t="s">
        <v>23</v>
      </c>
      <c r="D383" s="176">
        <f>D376-Model!AV$116</f>
        <v>0</v>
      </c>
      <c r="I383" s="110" t="s">
        <v>19</v>
      </c>
      <c r="J383" s="154">
        <f>J379-J380-J381-J382</f>
        <v>62460.499999999993</v>
      </c>
      <c r="K383" s="154">
        <f>K379-K380-K381-K382</f>
        <v>3982.3572839999993</v>
      </c>
    </row>
    <row r="384" spans="2:12" ht="13.5" thickBot="1">
      <c r="D384" s="412"/>
      <c r="E384" s="412"/>
      <c r="I384" s="112" t="s">
        <v>20</v>
      </c>
      <c r="J384" s="119">
        <f>+D379</f>
        <v>123162.7</v>
      </c>
      <c r="K384" s="153">
        <f>J384*$J$374</f>
        <v>6713.5987770000002</v>
      </c>
    </row>
    <row r="385" spans="3:11">
      <c r="C385" s="59" t="s">
        <v>129</v>
      </c>
      <c r="D385" s="131" t="s">
        <v>58</v>
      </c>
      <c r="E385" s="132" t="s">
        <v>59</v>
      </c>
      <c r="I385" s="110" t="s">
        <v>21</v>
      </c>
      <c r="J385" s="154">
        <f>+J379+J384</f>
        <v>222583.59999999998</v>
      </c>
      <c r="K385" s="154">
        <f>+K379+K384</f>
        <v>12710.667464999999</v>
      </c>
    </row>
    <row r="386" spans="3:11">
      <c r="C386" s="60"/>
      <c r="D386" s="117"/>
      <c r="E386" s="77"/>
      <c r="I386" s="113" t="s">
        <v>22</v>
      </c>
      <c r="J386" s="105">
        <f>D381</f>
        <v>23355.013999999996</v>
      </c>
      <c r="K386" s="105"/>
    </row>
    <row r="387" spans="3:11">
      <c r="C387" s="60" t="s">
        <v>28</v>
      </c>
      <c r="D387" s="163">
        <f>D377</f>
        <v>36960.400000000001</v>
      </c>
      <c r="E387" s="203">
        <f>D387*$J$374</f>
        <v>2014.7114040000001</v>
      </c>
    </row>
    <row r="388" spans="3:11">
      <c r="C388" s="60" t="s">
        <v>74</v>
      </c>
      <c r="D388" s="165">
        <v>0</v>
      </c>
      <c r="E388" s="203">
        <f>D388*$J$432</f>
        <v>0</v>
      </c>
    </row>
    <row r="389" spans="3:11">
      <c r="C389" s="60" t="s">
        <v>75</v>
      </c>
      <c r="D389" s="165">
        <v>1000</v>
      </c>
      <c r="E389" s="203">
        <f>D389*$J$374</f>
        <v>54.510000000000005</v>
      </c>
    </row>
    <row r="390" spans="3:11" ht="13.5" thickBot="1">
      <c r="C390" s="152" t="s">
        <v>29</v>
      </c>
      <c r="D390" s="174">
        <f>SUM(D386:D389)</f>
        <v>37960.400000000001</v>
      </c>
      <c r="E390" s="175">
        <f>SUM(E386:E389)</f>
        <v>2069.2214040000003</v>
      </c>
    </row>
    <row r="391" spans="3:11" ht="13.5" thickBot="1"/>
    <row r="392" spans="3:11">
      <c r="C392" s="130" t="s">
        <v>130</v>
      </c>
      <c r="D392" s="131" t="s">
        <v>58</v>
      </c>
      <c r="E392" s="132" t="s">
        <v>59</v>
      </c>
    </row>
    <row r="393" spans="3:11">
      <c r="C393" s="259" t="s">
        <v>77</v>
      </c>
      <c r="D393" s="252">
        <v>5208.96</v>
      </c>
      <c r="E393" s="264">
        <f t="shared" ref="E393:E398" si="3">D393*$J$374</f>
        <v>283.94040960000001</v>
      </c>
    </row>
    <row r="394" spans="3:11">
      <c r="C394" s="259" t="s">
        <v>78</v>
      </c>
      <c r="D394" s="252">
        <v>8814.2790000000005</v>
      </c>
      <c r="E394" s="264">
        <f t="shared" si="3"/>
        <v>480.46634829000004</v>
      </c>
    </row>
    <row r="395" spans="3:11">
      <c r="C395" s="259" t="s">
        <v>79</v>
      </c>
      <c r="D395" s="252">
        <v>15586.518</v>
      </c>
      <c r="E395" s="264">
        <f t="shared" si="3"/>
        <v>849.62109618</v>
      </c>
    </row>
    <row r="396" spans="3:11">
      <c r="C396" s="259" t="s">
        <v>80</v>
      </c>
      <c r="D396" s="252">
        <v>71114.97</v>
      </c>
      <c r="E396" s="264">
        <f t="shared" si="3"/>
        <v>3876.4770147000004</v>
      </c>
    </row>
    <row r="397" spans="3:11">
      <c r="C397" s="261"/>
      <c r="D397" s="262">
        <f>SUM(D393:D396)</f>
        <v>100724.727</v>
      </c>
      <c r="E397" s="265">
        <f t="shared" si="3"/>
        <v>5490.50486877</v>
      </c>
    </row>
    <row r="398" spans="3:11" ht="13.5" thickBot="1">
      <c r="C398" s="259" t="s">
        <v>81</v>
      </c>
      <c r="D398" s="252">
        <v>-1303.8</v>
      </c>
      <c r="E398" s="264">
        <f t="shared" si="3"/>
        <v>-71.070138</v>
      </c>
    </row>
    <row r="399" spans="3:11" ht="13.5" thickBot="1">
      <c r="C399" s="134" t="s">
        <v>43</v>
      </c>
      <c r="D399" s="173">
        <f>SUM(D397:D398)</f>
        <v>99420.926999999996</v>
      </c>
      <c r="E399" s="173">
        <f>SUM(E397:E398)</f>
        <v>5419.43473077</v>
      </c>
    </row>
    <row r="400" spans="3:11">
      <c r="C400" s="255" t="s">
        <v>44</v>
      </c>
      <c r="D400" s="263">
        <f>D399-D376</f>
        <v>2.7000000001862645E-2</v>
      </c>
      <c r="E400" s="260"/>
    </row>
    <row r="401" spans="3:8" ht="13.5" thickBot="1">
      <c r="D401" s="412"/>
      <c r="E401" s="412"/>
    </row>
    <row r="402" spans="3:8">
      <c r="C402" s="131" t="s">
        <v>131</v>
      </c>
      <c r="D402" s="132" t="s">
        <v>58</v>
      </c>
      <c r="E402" s="132" t="s">
        <v>59</v>
      </c>
    </row>
    <row r="403" spans="3:8">
      <c r="C403" s="246" t="s">
        <v>83</v>
      </c>
      <c r="D403" s="251">
        <v>3996.14</v>
      </c>
      <c r="E403" s="203">
        <f t="shared" ref="E403:E418" si="4">D403*$J$374</f>
        <v>217.8295914</v>
      </c>
    </row>
    <row r="404" spans="3:8">
      <c r="C404" s="246" t="s">
        <v>84</v>
      </c>
      <c r="D404" s="252"/>
      <c r="E404" s="247">
        <f t="shared" si="4"/>
        <v>0</v>
      </c>
    </row>
    <row r="405" spans="3:8">
      <c r="C405" s="249" t="s">
        <v>85</v>
      </c>
      <c r="D405" s="252">
        <v>3996.14</v>
      </c>
      <c r="E405" s="203">
        <f t="shared" si="4"/>
        <v>217.8295914</v>
      </c>
      <c r="H405" s="279"/>
    </row>
    <row r="406" spans="3:8">
      <c r="C406" s="249" t="s">
        <v>86</v>
      </c>
      <c r="D406" s="252">
        <v>3796.3620000000001</v>
      </c>
      <c r="E406" s="203">
        <f t="shared" si="4"/>
        <v>206.93969262000002</v>
      </c>
      <c r="H406" s="279"/>
    </row>
    <row r="407" spans="3:8">
      <c r="C407" s="249" t="s">
        <v>87</v>
      </c>
      <c r="D407" s="252">
        <v>5463.6369999999997</v>
      </c>
      <c r="E407" s="203">
        <f t="shared" si="4"/>
        <v>297.82285287000002</v>
      </c>
      <c r="H407" s="279"/>
    </row>
    <row r="408" spans="3:8">
      <c r="C408" s="249" t="s">
        <v>88</v>
      </c>
      <c r="D408" s="252">
        <v>10858.058000000001</v>
      </c>
      <c r="E408" s="203">
        <f t="shared" si="4"/>
        <v>591.87274158000002</v>
      </c>
    </row>
    <row r="409" spans="3:8">
      <c r="C409" s="249" t="s">
        <v>89</v>
      </c>
      <c r="D409" s="252">
        <v>14043.045</v>
      </c>
      <c r="E409" s="203">
        <f t="shared" si="4"/>
        <v>765.48638295000001</v>
      </c>
    </row>
    <row r="410" spans="3:8">
      <c r="C410" s="249" t="s">
        <v>90</v>
      </c>
      <c r="D410" s="252">
        <v>16007.094999999999</v>
      </c>
      <c r="E410" s="203">
        <f t="shared" si="4"/>
        <v>872.54674845</v>
      </c>
    </row>
    <row r="411" spans="3:8">
      <c r="C411" s="249" t="s">
        <v>91</v>
      </c>
      <c r="D411" s="252">
        <v>11805.116</v>
      </c>
      <c r="E411" s="203">
        <f t="shared" si="4"/>
        <v>643.49687316000006</v>
      </c>
    </row>
    <row r="412" spans="3:8">
      <c r="C412" s="246" t="s">
        <v>92</v>
      </c>
      <c r="D412" s="252"/>
      <c r="E412" s="247">
        <f t="shared" si="4"/>
        <v>0</v>
      </c>
    </row>
    <row r="413" spans="3:8">
      <c r="C413" s="249" t="s">
        <v>93</v>
      </c>
      <c r="D413" s="252">
        <v>4489.8029999999999</v>
      </c>
      <c r="E413" s="203">
        <f t="shared" si="4"/>
        <v>244.73916153000002</v>
      </c>
    </row>
    <row r="414" spans="3:8">
      <c r="C414" s="249" t="s">
        <v>94</v>
      </c>
      <c r="D414" s="252">
        <v>4484.1090000000004</v>
      </c>
      <c r="E414" s="203">
        <f t="shared" si="4"/>
        <v>244.42878159000003</v>
      </c>
    </row>
    <row r="415" spans="3:8">
      <c r="C415" s="249" t="s">
        <v>95</v>
      </c>
      <c r="D415" s="252">
        <v>6161.6549999999997</v>
      </c>
      <c r="E415" s="203">
        <f t="shared" si="4"/>
        <v>335.87181405000001</v>
      </c>
    </row>
    <row r="416" spans="3:8">
      <c r="C416" s="249" t="s">
        <v>117</v>
      </c>
      <c r="D416" s="252">
        <v>9919.7510000000002</v>
      </c>
      <c r="E416" s="203">
        <f t="shared" si="4"/>
        <v>540.72562701000004</v>
      </c>
    </row>
    <row r="417" spans="2:12">
      <c r="C417" s="249" t="s">
        <v>118</v>
      </c>
      <c r="D417" s="252">
        <v>2650</v>
      </c>
      <c r="E417" s="203">
        <f t="shared" si="4"/>
        <v>144.45150000000001</v>
      </c>
    </row>
    <row r="418" spans="2:12" ht="13.5" thickBot="1">
      <c r="C418" s="250" t="s">
        <v>132</v>
      </c>
      <c r="D418" s="253"/>
      <c r="E418" s="203">
        <f t="shared" si="4"/>
        <v>0</v>
      </c>
    </row>
    <row r="419" spans="2:12" ht="13.5" thickBot="1">
      <c r="C419" s="134" t="s">
        <v>43</v>
      </c>
      <c r="D419" s="248">
        <f>SUM(D405:D418)</f>
        <v>93674.770999999993</v>
      </c>
      <c r="E419" s="173">
        <f>SUM(E405:E418)</f>
        <v>5106.2117672100003</v>
      </c>
    </row>
    <row r="420" spans="2:12">
      <c r="C420" s="255" t="s">
        <v>44</v>
      </c>
      <c r="D420" s="278">
        <f>D419-(Model!AV106+Model!AV107)</f>
        <v>7.0999999981722794E-2</v>
      </c>
      <c r="E420" s="254"/>
    </row>
    <row r="421" spans="2:12" ht="13.5" thickBot="1">
      <c r="D421" s="412"/>
      <c r="E421" s="412"/>
    </row>
    <row r="422" spans="2:12">
      <c r="C422" s="130" t="s">
        <v>133</v>
      </c>
      <c r="D422" s="131" t="s">
        <v>58</v>
      </c>
      <c r="E422" s="132" t="s">
        <v>59</v>
      </c>
      <c r="H422" s="258"/>
    </row>
    <row r="423" spans="2:12">
      <c r="C423" s="133" t="s">
        <v>99</v>
      </c>
      <c r="D423" s="252">
        <v>1905.5450000000001</v>
      </c>
      <c r="E423" s="203">
        <f>D423*$J$374</f>
        <v>103.87125795000001</v>
      </c>
    </row>
    <row r="424" spans="2:12" ht="12.95" customHeight="1">
      <c r="C424" s="133" t="s">
        <v>134</v>
      </c>
      <c r="D424" s="252">
        <v>503.726</v>
      </c>
      <c r="E424" s="203">
        <f>D424*$J$374</f>
        <v>27.458104260000002</v>
      </c>
    </row>
    <row r="425" spans="2:12">
      <c r="C425" s="133" t="s">
        <v>135</v>
      </c>
      <c r="D425" s="252">
        <v>3336.9029999999998</v>
      </c>
      <c r="E425" s="203">
        <f>D425*$J$374</f>
        <v>181.89458253000001</v>
      </c>
    </row>
    <row r="426" spans="2:12" ht="12.95" customHeight="1" thickBot="1">
      <c r="C426" s="133" t="s">
        <v>102</v>
      </c>
      <c r="D426" s="252">
        <v>-1183.5229999999999</v>
      </c>
      <c r="E426" s="203">
        <f>D426*$J$374</f>
        <v>-64.513838730000003</v>
      </c>
    </row>
    <row r="427" spans="2:12" ht="13.5" thickBot="1">
      <c r="C427" s="134" t="s">
        <v>43</v>
      </c>
      <c r="D427" s="173">
        <f>SUM(D423:D426)</f>
        <v>4562.6509999999998</v>
      </c>
      <c r="E427" s="173">
        <f>SUM(E423:E426)</f>
        <v>248.71010601000003</v>
      </c>
    </row>
    <row r="429" spans="2:12">
      <c r="L429" s="94" t="s">
        <v>60</v>
      </c>
    </row>
    <row r="430" spans="2:12">
      <c r="L430" s="96"/>
    </row>
    <row r="431" spans="2:12">
      <c r="L431" s="99">
        <f>J495/J502</f>
        <v>3.8201228627580739</v>
      </c>
    </row>
    <row r="432" spans="2:12">
      <c r="B432" s="54" t="s">
        <v>136</v>
      </c>
      <c r="I432" s="54" t="s">
        <v>137</v>
      </c>
      <c r="J432" s="76">
        <f>Model!AU$211</f>
        <v>6.0319999999999999E-2</v>
      </c>
      <c r="L432" s="101"/>
    </row>
    <row r="433" spans="3:12">
      <c r="C433" s="107"/>
      <c r="D433" s="414" t="s">
        <v>138</v>
      </c>
      <c r="E433" s="415"/>
      <c r="F433" s="94" t="s">
        <v>60</v>
      </c>
      <c r="G433" s="391"/>
      <c r="L433" s="101"/>
    </row>
    <row r="434" spans="3:12">
      <c r="C434" s="192" t="s">
        <v>17</v>
      </c>
      <c r="D434" s="193">
        <f>+J437</f>
        <v>93084.800000000003</v>
      </c>
      <c r="E434" s="172">
        <f>D434*$J432</f>
        <v>5614.8751359999997</v>
      </c>
      <c r="F434" s="194">
        <f>+D434/D439</f>
        <v>3.8696630980967219</v>
      </c>
      <c r="G434" s="286"/>
      <c r="H434" s="199"/>
      <c r="I434" s="54" t="s">
        <v>123</v>
      </c>
      <c r="L434" s="101"/>
    </row>
    <row r="435" spans="3:12">
      <c r="C435" s="195" t="s">
        <v>18</v>
      </c>
      <c r="D435" s="204">
        <f>Model!AU$113</f>
        <v>32606.799999999999</v>
      </c>
      <c r="E435" s="204">
        <f>D435*$J$432</f>
        <v>1966.8421759999999</v>
      </c>
      <c r="F435" s="197"/>
      <c r="G435" s="288"/>
      <c r="I435" s="107"/>
      <c r="J435" s="414" t="s">
        <v>138</v>
      </c>
      <c r="K435" s="415"/>
      <c r="L435" s="99">
        <f>J499/J502</f>
        <v>2.521082404155488</v>
      </c>
    </row>
    <row r="436" spans="3:12">
      <c r="C436" s="192" t="s">
        <v>19</v>
      </c>
      <c r="D436" s="205">
        <f>+D434-D435</f>
        <v>60478</v>
      </c>
      <c r="E436" s="205">
        <f>D436*$J$432</f>
        <v>3648.03296</v>
      </c>
      <c r="F436" s="194">
        <f>+D436/D439</f>
        <v>2.5141535980814651</v>
      </c>
      <c r="G436" s="286"/>
      <c r="I436" s="108"/>
      <c r="J436" s="180" t="s">
        <v>124</v>
      </c>
      <c r="K436" s="181" t="s">
        <v>125</v>
      </c>
      <c r="L436" s="103"/>
    </row>
    <row r="437" spans="3:12">
      <c r="C437" s="195" t="s">
        <v>20</v>
      </c>
      <c r="D437" s="204">
        <f>Model!AU$120</f>
        <v>127320.9</v>
      </c>
      <c r="E437" s="204">
        <f>D437*$J$432</f>
        <v>7679.9966879999993</v>
      </c>
      <c r="F437" s="103"/>
      <c r="I437" s="110" t="s">
        <v>126</v>
      </c>
      <c r="J437" s="245">
        <v>93084.800000000003</v>
      </c>
      <c r="K437" s="154">
        <f>J437*$J$432</f>
        <v>5614.8751359999997</v>
      </c>
      <c r="L437" s="99">
        <f>J501/J502</f>
        <v>9.1231856614935687</v>
      </c>
    </row>
    <row r="438" spans="3:12">
      <c r="C438" s="192" t="s">
        <v>21</v>
      </c>
      <c r="D438" s="205">
        <f>D434+D437</f>
        <v>220405.7</v>
      </c>
      <c r="E438" s="205">
        <f>D438*$J$432</f>
        <v>13294.871824</v>
      </c>
      <c r="F438" s="194">
        <f>D438/D439</f>
        <v>9.1625679369797943</v>
      </c>
      <c r="G438" s="286"/>
      <c r="I438" s="157" t="s">
        <v>18</v>
      </c>
      <c r="J438" s="167">
        <f>D445</f>
        <v>32606.799999999999</v>
      </c>
      <c r="K438" s="153">
        <f>J438*$J$432</f>
        <v>1966.8421759999999</v>
      </c>
      <c r="L438" s="106"/>
    </row>
    <row r="439" spans="3:12">
      <c r="C439" s="198" t="s">
        <v>22</v>
      </c>
      <c r="D439" s="206">
        <f>Model!AU$85</f>
        <v>24055.013999999996</v>
      </c>
      <c r="E439" s="206"/>
      <c r="F439" s="106"/>
      <c r="I439" s="111" t="s">
        <v>127</v>
      </c>
      <c r="J439" s="156">
        <f>D446</f>
        <v>0</v>
      </c>
      <c r="K439" s="153">
        <f>J439*$J$432</f>
        <v>0</v>
      </c>
    </row>
    <row r="440" spans="3:12">
      <c r="I440" s="111" t="s">
        <v>128</v>
      </c>
      <c r="J440" s="62">
        <v>0</v>
      </c>
      <c r="K440" s="153">
        <f>J440*$J$432</f>
        <v>0</v>
      </c>
    </row>
    <row r="441" spans="3:12">
      <c r="C441" s="114" t="s">
        <v>23</v>
      </c>
      <c r="D441" s="176">
        <f>D434-Model!AU$116</f>
        <v>0</v>
      </c>
      <c r="I441" s="110" t="s">
        <v>19</v>
      </c>
      <c r="J441" s="154">
        <f>J437-J438-J439-J440</f>
        <v>60478</v>
      </c>
      <c r="K441" s="154">
        <f>K437-K438-K439-K440</f>
        <v>3648.0329599999995</v>
      </c>
    </row>
    <row r="442" spans="3:12" ht="13.5" thickBot="1">
      <c r="D442" s="412"/>
      <c r="E442" s="412"/>
      <c r="I442" s="112" t="s">
        <v>20</v>
      </c>
      <c r="J442" s="119">
        <f>+D437</f>
        <v>127320.9</v>
      </c>
      <c r="K442" s="153">
        <f>J442*$J$432</f>
        <v>7679.9966879999993</v>
      </c>
    </row>
    <row r="443" spans="3:12">
      <c r="C443" s="59" t="s">
        <v>139</v>
      </c>
      <c r="D443" s="131" t="s">
        <v>58</v>
      </c>
      <c r="E443" s="132" t="s">
        <v>59</v>
      </c>
      <c r="I443" s="110" t="s">
        <v>21</v>
      </c>
      <c r="J443" s="154">
        <f>+J437+J442</f>
        <v>220405.7</v>
      </c>
      <c r="K443" s="154">
        <f>+K437+K442</f>
        <v>13294.871823999998</v>
      </c>
    </row>
    <row r="444" spans="3:12">
      <c r="C444" s="60"/>
      <c r="D444" s="117"/>
      <c r="E444" s="77"/>
      <c r="I444" s="113" t="s">
        <v>22</v>
      </c>
      <c r="J444" s="105">
        <f>D439</f>
        <v>24055.013999999996</v>
      </c>
      <c r="K444" s="105"/>
    </row>
    <row r="445" spans="3:12">
      <c r="C445" s="60" t="s">
        <v>28</v>
      </c>
      <c r="D445" s="163">
        <f>D435</f>
        <v>32606.799999999999</v>
      </c>
      <c r="E445" s="203">
        <f>D445*$J$432</f>
        <v>1966.8421759999999</v>
      </c>
    </row>
    <row r="446" spans="3:12">
      <c r="C446" s="60" t="s">
        <v>74</v>
      </c>
      <c r="D446" s="165">
        <v>0</v>
      </c>
      <c r="E446" s="203">
        <f>D446*$J$432</f>
        <v>0</v>
      </c>
    </row>
    <row r="447" spans="3:12">
      <c r="C447" s="60" t="s">
        <v>75</v>
      </c>
      <c r="D447" s="165">
        <v>1000</v>
      </c>
      <c r="E447" s="203">
        <f>D447*$J$432</f>
        <v>60.32</v>
      </c>
    </row>
    <row r="448" spans="3:12" ht="13.5" thickBot="1">
      <c r="C448" s="152" t="s">
        <v>29</v>
      </c>
      <c r="D448" s="174">
        <f>SUM(D444:D447)</f>
        <v>33606.800000000003</v>
      </c>
      <c r="E448" s="175">
        <f>SUM(E444:E447)</f>
        <v>2027.1621759999998</v>
      </c>
    </row>
    <row r="449" spans="3:8" ht="13.5" thickBot="1"/>
    <row r="450" spans="3:8">
      <c r="C450" s="130" t="s">
        <v>140</v>
      </c>
      <c r="D450" s="131" t="s">
        <v>58</v>
      </c>
      <c r="E450" s="132" t="s">
        <v>59</v>
      </c>
    </row>
    <row r="451" spans="3:8">
      <c r="C451" s="259" t="s">
        <v>77</v>
      </c>
      <c r="D451" s="252">
        <v>14774.534</v>
      </c>
      <c r="E451" s="264">
        <f>D451*$J$432</f>
        <v>891.19989088</v>
      </c>
    </row>
    <row r="452" spans="3:8">
      <c r="C452" s="259" t="s">
        <v>78</v>
      </c>
      <c r="D452" s="252">
        <v>8348.107</v>
      </c>
      <c r="E452" s="264">
        <f>D452*$J$432</f>
        <v>503.55781423999997</v>
      </c>
    </row>
    <row r="453" spans="3:8">
      <c r="C453" s="259" t="s">
        <v>79</v>
      </c>
      <c r="D453" s="252">
        <v>5792.0540000000001</v>
      </c>
      <c r="E453" s="264">
        <f>D453*$J$432</f>
        <v>349.37669727999997</v>
      </c>
    </row>
    <row r="454" spans="3:8">
      <c r="C454" s="259" t="s">
        <v>80</v>
      </c>
      <c r="D454" s="252">
        <v>65417.767999999996</v>
      </c>
      <c r="E454" s="264">
        <f>D454*$J$432</f>
        <v>3945.9997657599997</v>
      </c>
    </row>
    <row r="455" spans="3:8">
      <c r="C455" s="261"/>
      <c r="D455" s="262">
        <f>SUM(D451:D454)</f>
        <v>94332.462999999989</v>
      </c>
      <c r="E455" s="265">
        <f>SUM(E451:E454)</f>
        <v>5690.1341681599997</v>
      </c>
    </row>
    <row r="456" spans="3:8" ht="13.5" thickBot="1">
      <c r="C456" s="259" t="s">
        <v>81</v>
      </c>
      <c r="D456" s="252">
        <v>-1247.7</v>
      </c>
      <c r="E456" s="264">
        <f>D456*$J$432</f>
        <v>-75.261263999999997</v>
      </c>
    </row>
    <row r="457" spans="3:8" ht="13.5" thickBot="1">
      <c r="C457" s="134" t="s">
        <v>43</v>
      </c>
      <c r="D457" s="173">
        <f>SUM(D455:D456)</f>
        <v>93084.762999999992</v>
      </c>
      <c r="E457" s="173">
        <f>SUM(E455:E456)</f>
        <v>5614.87290416</v>
      </c>
    </row>
    <row r="458" spans="3:8">
      <c r="C458" s="255" t="s">
        <v>44</v>
      </c>
      <c r="D458" s="263">
        <f>D457-D434</f>
        <v>-3.7000000011175871E-2</v>
      </c>
      <c r="E458" s="260"/>
    </row>
    <row r="459" spans="3:8" ht="13.5" thickBot="1">
      <c r="D459" s="412"/>
      <c r="E459" s="412"/>
    </row>
    <row r="460" spans="3:8">
      <c r="C460" s="131" t="s">
        <v>141</v>
      </c>
      <c r="D460" s="132" t="s">
        <v>58</v>
      </c>
      <c r="E460" s="132" t="s">
        <v>59</v>
      </c>
    </row>
    <row r="461" spans="3:8">
      <c r="C461" s="246" t="s">
        <v>83</v>
      </c>
      <c r="D461" s="251">
        <v>13578.516</v>
      </c>
      <c r="E461" s="203">
        <f>D461*$J$432</f>
        <v>819.05608511999992</v>
      </c>
    </row>
    <row r="462" spans="3:8">
      <c r="C462" s="246" t="s">
        <v>84</v>
      </c>
      <c r="D462" s="252"/>
      <c r="E462" s="247"/>
    </row>
    <row r="463" spans="3:8">
      <c r="C463" s="249" t="s">
        <v>85</v>
      </c>
      <c r="D463" s="252">
        <v>3585.4119999999998</v>
      </c>
      <c r="E463" s="203">
        <f t="shared" ref="E463:E469" si="5">D463*$J$432</f>
        <v>216.27205183999999</v>
      </c>
      <c r="H463" s="279"/>
    </row>
    <row r="464" spans="3:8">
      <c r="C464" s="249" t="s">
        <v>86</v>
      </c>
      <c r="D464" s="252">
        <v>3421.4830000000002</v>
      </c>
      <c r="E464" s="203">
        <f t="shared" si="5"/>
        <v>206.38385456</v>
      </c>
      <c r="H464" s="279"/>
    </row>
    <row r="465" spans="3:8">
      <c r="C465" s="249" t="s">
        <v>87</v>
      </c>
      <c r="D465" s="252">
        <v>4927.04</v>
      </c>
      <c r="E465" s="203">
        <f t="shared" si="5"/>
        <v>297.1990528</v>
      </c>
      <c r="H465" s="279"/>
    </row>
    <row r="466" spans="3:8">
      <c r="C466" s="249" t="s">
        <v>88</v>
      </c>
      <c r="D466" s="252">
        <v>9781.3860000000004</v>
      </c>
      <c r="E466" s="203">
        <f t="shared" si="5"/>
        <v>590.01320352000005</v>
      </c>
    </row>
    <row r="467" spans="3:8">
      <c r="C467" s="249" t="s">
        <v>89</v>
      </c>
      <c r="D467" s="252">
        <v>12617.477999999999</v>
      </c>
      <c r="E467" s="203">
        <f t="shared" si="5"/>
        <v>761.08627295999997</v>
      </c>
    </row>
    <row r="468" spans="3:8">
      <c r="C468" s="249" t="s">
        <v>90</v>
      </c>
      <c r="D468" s="252">
        <v>14423.763999999999</v>
      </c>
      <c r="E468" s="203">
        <f t="shared" si="5"/>
        <v>870.04144447999988</v>
      </c>
    </row>
    <row r="469" spans="3:8">
      <c r="C469" s="249" t="s">
        <v>91</v>
      </c>
      <c r="D469" s="252">
        <v>10614.974</v>
      </c>
      <c r="E469" s="203">
        <f t="shared" si="5"/>
        <v>640.29523168000003</v>
      </c>
    </row>
    <row r="470" spans="3:8">
      <c r="C470" s="246" t="s">
        <v>92</v>
      </c>
      <c r="D470" s="252"/>
      <c r="E470" s="247"/>
    </row>
    <row r="471" spans="3:8">
      <c r="C471" s="249" t="s">
        <v>93</v>
      </c>
      <c r="D471" s="252">
        <v>4489.1440000000002</v>
      </c>
      <c r="E471" s="203">
        <f t="shared" ref="E471:E476" si="6">D471*$J$432</f>
        <v>270.78516608000001</v>
      </c>
    </row>
    <row r="472" spans="3:8">
      <c r="C472" s="249" t="s">
        <v>94</v>
      </c>
      <c r="D472" s="252">
        <v>4483.9449999999997</v>
      </c>
      <c r="E472" s="203">
        <f t="shared" si="6"/>
        <v>270.47156239999998</v>
      </c>
    </row>
    <row r="473" spans="3:8">
      <c r="C473" s="249" t="s">
        <v>95</v>
      </c>
      <c r="D473" s="252">
        <v>6161.3879999999999</v>
      </c>
      <c r="E473" s="203">
        <f t="shared" si="6"/>
        <v>371.65492416000001</v>
      </c>
    </row>
    <row r="474" spans="3:8">
      <c r="C474" s="249" t="s">
        <v>117</v>
      </c>
      <c r="D474" s="252">
        <v>9993.1039999999994</v>
      </c>
      <c r="E474" s="203">
        <f t="shared" si="6"/>
        <v>602.7840332799999</v>
      </c>
    </row>
    <row r="475" spans="3:8">
      <c r="C475" s="249" t="s">
        <v>118</v>
      </c>
      <c r="D475" s="252">
        <v>2650</v>
      </c>
      <c r="E475" s="203">
        <f t="shared" si="6"/>
        <v>159.84799999999998</v>
      </c>
    </row>
    <row r="476" spans="3:8" ht="13.5" thickBot="1">
      <c r="C476" s="250" t="s">
        <v>132</v>
      </c>
      <c r="D476" s="253"/>
      <c r="E476" s="203">
        <f t="shared" si="6"/>
        <v>0</v>
      </c>
    </row>
    <row r="477" spans="3:8" ht="13.5" thickBot="1">
      <c r="C477" s="134" t="s">
        <v>43</v>
      </c>
      <c r="D477" s="248">
        <f>SUM(D463:D476)</f>
        <v>87149.117999999988</v>
      </c>
      <c r="E477" s="173">
        <f>SUM(E463:E476)</f>
        <v>5256.8347977599988</v>
      </c>
    </row>
    <row r="478" spans="3:8">
      <c r="C478" s="255" t="s">
        <v>44</v>
      </c>
      <c r="D478" s="278">
        <f>D477-(Model!AU106+Model!AU107)</f>
        <v>1.799999998183921E-2</v>
      </c>
      <c r="E478" s="254"/>
    </row>
    <row r="479" spans="3:8" ht="13.5" thickBot="1">
      <c r="D479" s="412"/>
      <c r="E479" s="412"/>
    </row>
    <row r="480" spans="3:8">
      <c r="C480" s="130" t="s">
        <v>142</v>
      </c>
      <c r="D480" s="131" t="s">
        <v>58</v>
      </c>
      <c r="E480" s="132" t="s">
        <v>59</v>
      </c>
      <c r="H480" s="258"/>
    </row>
    <row r="481" spans="2:12">
      <c r="C481" s="133" t="s">
        <v>99</v>
      </c>
      <c r="D481" s="252">
        <v>1834.7639999999999</v>
      </c>
      <c r="E481" s="203">
        <f>D481*$J$432</f>
        <v>110.67296447999999</v>
      </c>
    </row>
    <row r="482" spans="2:12">
      <c r="C482" s="133" t="s">
        <v>134</v>
      </c>
      <c r="D482" s="252">
        <v>553.822</v>
      </c>
      <c r="E482" s="203">
        <f>D482*$J$432</f>
        <v>33.406543040000003</v>
      </c>
    </row>
    <row r="483" spans="2:12">
      <c r="C483" s="133" t="s">
        <v>135</v>
      </c>
      <c r="D483" s="252">
        <v>3547.1060000000002</v>
      </c>
      <c r="E483" s="203">
        <f>D483*$J$432</f>
        <v>213.96143392000002</v>
      </c>
    </row>
    <row r="484" spans="2:12" ht="13.5" thickBot="1">
      <c r="C484" s="133" t="s">
        <v>102</v>
      </c>
      <c r="D484" s="252">
        <v>-1143.932</v>
      </c>
      <c r="E484" s="203">
        <f>D484*$J$432</f>
        <v>-69.00197824</v>
      </c>
      <c r="L484" s="94" t="s">
        <v>60</v>
      </c>
    </row>
    <row r="485" spans="2:12" ht="13.5" thickBot="1">
      <c r="C485" s="134" t="s">
        <v>43</v>
      </c>
      <c r="D485" s="173">
        <f>SUM(D481:D484)</f>
        <v>4791.76</v>
      </c>
      <c r="E485" s="173">
        <f>SUM(E481:E484)</f>
        <v>289.03896320000001</v>
      </c>
      <c r="L485" s="96"/>
    </row>
    <row r="486" spans="2:12">
      <c r="L486" s="99">
        <f>J550/J557</f>
        <v>3.9233602263250127</v>
      </c>
    </row>
    <row r="487" spans="2:12">
      <c r="L487" s="101"/>
    </row>
    <row r="488" spans="2:12">
      <c r="L488" s="101"/>
    </row>
    <row r="489" spans="2:12">
      <c r="L489" s="101"/>
    </row>
    <row r="490" spans="2:12">
      <c r="B490" s="54" t="s">
        <v>143</v>
      </c>
      <c r="I490" s="54" t="s">
        <v>144</v>
      </c>
      <c r="J490" s="76">
        <f>Model!AT211</f>
        <v>5.8912938459544484E-2</v>
      </c>
      <c r="L490" s="99">
        <f>J554/J557</f>
        <v>2.6176718674749533</v>
      </c>
    </row>
    <row r="491" spans="2:12">
      <c r="C491" s="107"/>
      <c r="D491" s="414" t="s">
        <v>145</v>
      </c>
      <c r="E491" s="415"/>
      <c r="F491" s="94" t="s">
        <v>60</v>
      </c>
      <c r="G491" s="391"/>
      <c r="L491" s="103"/>
    </row>
    <row r="492" spans="2:12">
      <c r="C492" s="192" t="s">
        <v>17</v>
      </c>
      <c r="D492" s="193">
        <f>+J495</f>
        <v>95827.4</v>
      </c>
      <c r="E492" s="172">
        <f>D492*$J490</f>
        <v>5645.4737189381531</v>
      </c>
      <c r="F492" s="194">
        <f>+D492/D497</f>
        <v>3.8201228627580739</v>
      </c>
      <c r="G492" s="286"/>
      <c r="H492" s="199"/>
      <c r="I492" s="54" t="s">
        <v>123</v>
      </c>
      <c r="L492" s="99">
        <f>J556/J557</f>
        <v>9.6034027681163572</v>
      </c>
    </row>
    <row r="493" spans="2:12">
      <c r="C493" s="195" t="s">
        <v>18</v>
      </c>
      <c r="D493" s="204">
        <f>Model!AT113</f>
        <v>32586.3</v>
      </c>
      <c r="E493" s="204">
        <f>D493*$J$490</f>
        <v>1919.7546865242543</v>
      </c>
      <c r="F493" s="197"/>
      <c r="G493" s="288"/>
      <c r="I493" s="107"/>
      <c r="J493" s="414" t="s">
        <v>145</v>
      </c>
      <c r="K493" s="415"/>
      <c r="L493" s="106"/>
    </row>
    <row r="494" spans="2:12">
      <c r="C494" s="192" t="s">
        <v>19</v>
      </c>
      <c r="D494" s="205">
        <f>+D492-D493</f>
        <v>63241.099999999991</v>
      </c>
      <c r="E494" s="205">
        <f>D494*$J$490</f>
        <v>3725.7190324138983</v>
      </c>
      <c r="F494" s="194">
        <f>+D494/D497</f>
        <v>2.521082404155488</v>
      </c>
      <c r="G494" s="286"/>
      <c r="I494" s="108"/>
      <c r="J494" s="180" t="s">
        <v>124</v>
      </c>
      <c r="K494" s="181" t="s">
        <v>125</v>
      </c>
    </row>
    <row r="495" spans="2:12">
      <c r="C495" s="195" t="s">
        <v>20</v>
      </c>
      <c r="D495" s="204">
        <f>Model!AT120</f>
        <v>133026.79999999999</v>
      </c>
      <c r="E495" s="204">
        <f>D495*$J$490</f>
        <v>7836.9996818701311</v>
      </c>
      <c r="F495" s="103"/>
      <c r="I495" s="110" t="s">
        <v>126</v>
      </c>
      <c r="J495" s="245">
        <v>95827.4</v>
      </c>
      <c r="K495" s="154">
        <f>J495*$J$490</f>
        <v>5645.4737189381531</v>
      </c>
    </row>
    <row r="496" spans="2:12">
      <c r="C496" s="192" t="s">
        <v>21</v>
      </c>
      <c r="D496" s="205">
        <f>D492+D495</f>
        <v>228854.19999999998</v>
      </c>
      <c r="E496" s="205">
        <f>D496*$J$490</f>
        <v>13482.473400808285</v>
      </c>
      <c r="F496" s="194">
        <f>D496/D497</f>
        <v>9.1231856614935687</v>
      </c>
      <c r="G496" s="286"/>
      <c r="I496" s="157" t="s">
        <v>18</v>
      </c>
      <c r="J496" s="167">
        <f>D503</f>
        <v>32586.3</v>
      </c>
      <c r="K496" s="153">
        <f>J496*$J$490</f>
        <v>1919.7546865242543</v>
      </c>
    </row>
    <row r="497" spans="3:11">
      <c r="C497" s="198" t="s">
        <v>22</v>
      </c>
      <c r="D497" s="206">
        <f>Model!AT85</f>
        <v>25084.899999999998</v>
      </c>
      <c r="E497" s="206"/>
      <c r="F497" s="106"/>
      <c r="I497" s="111" t="s">
        <v>127</v>
      </c>
      <c r="J497" s="156">
        <f>D504</f>
        <v>0</v>
      </c>
      <c r="K497" s="153">
        <f>J497*$J$490</f>
        <v>0</v>
      </c>
    </row>
    <row r="498" spans="3:11">
      <c r="I498" s="111" t="s">
        <v>128</v>
      </c>
      <c r="J498" s="62">
        <v>0</v>
      </c>
      <c r="K498" s="153">
        <f>J498*$J$490</f>
        <v>0</v>
      </c>
    </row>
    <row r="499" spans="3:11">
      <c r="C499" s="114" t="s">
        <v>23</v>
      </c>
      <c r="D499" s="176">
        <f>D492-Model!AT116</f>
        <v>0</v>
      </c>
      <c r="I499" s="110" t="s">
        <v>19</v>
      </c>
      <c r="J499" s="154">
        <f>J495-J496-J497-J498</f>
        <v>63241.099999999991</v>
      </c>
      <c r="K499" s="154">
        <f>K495-K496-K497-K498</f>
        <v>3725.7190324138987</v>
      </c>
    </row>
    <row r="500" spans="3:11" ht="13.5" thickBot="1">
      <c r="D500" s="412"/>
      <c r="E500" s="412"/>
      <c r="I500" s="112" t="s">
        <v>20</v>
      </c>
      <c r="J500" s="119">
        <f>+D495</f>
        <v>133026.79999999999</v>
      </c>
      <c r="K500" s="153">
        <f>J500*$J$490</f>
        <v>7836.9996818701311</v>
      </c>
    </row>
    <row r="501" spans="3:11">
      <c r="C501" s="59" t="s">
        <v>146</v>
      </c>
      <c r="D501" s="131" t="s">
        <v>58</v>
      </c>
      <c r="E501" s="132" t="s">
        <v>59</v>
      </c>
      <c r="I501" s="110" t="s">
        <v>21</v>
      </c>
      <c r="J501" s="154">
        <f>+J495+J500</f>
        <v>228854.19999999998</v>
      </c>
      <c r="K501" s="154">
        <f>+K495+K500</f>
        <v>13482.473400808285</v>
      </c>
    </row>
    <row r="502" spans="3:11">
      <c r="C502" s="60"/>
      <c r="D502" s="117"/>
      <c r="E502" s="77"/>
      <c r="I502" s="113" t="s">
        <v>22</v>
      </c>
      <c r="J502" s="105">
        <f>D497</f>
        <v>25084.899999999998</v>
      </c>
      <c r="K502" s="105"/>
    </row>
    <row r="503" spans="3:11">
      <c r="C503" s="60" t="s">
        <v>28</v>
      </c>
      <c r="D503" s="163">
        <f>D493</f>
        <v>32586.3</v>
      </c>
      <c r="E503" s="203">
        <f>D503*$J$490</f>
        <v>1919.7546865242543</v>
      </c>
    </row>
    <row r="504" spans="3:11">
      <c r="C504" s="60" t="s">
        <v>74</v>
      </c>
      <c r="D504" s="165">
        <v>0</v>
      </c>
      <c r="E504" s="203">
        <f>D504*$J$490</f>
        <v>0</v>
      </c>
    </row>
    <row r="505" spans="3:11">
      <c r="C505" s="60" t="s">
        <v>75</v>
      </c>
      <c r="D505" s="165">
        <v>1000</v>
      </c>
      <c r="E505" s="203">
        <f>D505*$J$490</f>
        <v>58.912938459544485</v>
      </c>
    </row>
    <row r="506" spans="3:11" ht="13.5" thickBot="1">
      <c r="C506" s="152" t="s">
        <v>29</v>
      </c>
      <c r="D506" s="174">
        <f>SUM(D502:D505)</f>
        <v>33586.300000000003</v>
      </c>
      <c r="E506" s="175">
        <f>SUM(E502:E505)</f>
        <v>1978.6676249837988</v>
      </c>
    </row>
    <row r="507" spans="3:11" ht="13.5" thickBot="1"/>
    <row r="508" spans="3:11">
      <c r="C508" s="130" t="s">
        <v>147</v>
      </c>
      <c r="D508" s="131" t="s">
        <v>58</v>
      </c>
      <c r="E508" s="132" t="s">
        <v>59</v>
      </c>
    </row>
    <row r="509" spans="3:11">
      <c r="C509" s="259" t="s">
        <v>77</v>
      </c>
      <c r="D509" s="252">
        <v>11280.932000000001</v>
      </c>
      <c r="E509" s="264">
        <f>D509*$J$490</f>
        <v>664.5928526823061</v>
      </c>
    </row>
    <row r="510" spans="3:11">
      <c r="C510" s="259" t="s">
        <v>78</v>
      </c>
      <c r="D510" s="252">
        <v>12429.519</v>
      </c>
      <c r="E510" s="264">
        <f>D510*$J$490</f>
        <v>732.25948792873896</v>
      </c>
    </row>
    <row r="511" spans="3:11">
      <c r="C511" s="259" t="s">
        <v>79</v>
      </c>
      <c r="D511" s="252">
        <v>11240.120999999999</v>
      </c>
      <c r="E511" s="264">
        <f>D511*$J$490</f>
        <v>662.18855675083353</v>
      </c>
    </row>
    <row r="512" spans="3:11">
      <c r="C512" s="259" t="s">
        <v>148</v>
      </c>
      <c r="D512" s="252">
        <v>62155.211000000003</v>
      </c>
      <c r="E512" s="264">
        <f>D512*$J$490</f>
        <v>3661.7461205830027</v>
      </c>
    </row>
    <row r="513" spans="3:5">
      <c r="C513" s="261"/>
      <c r="D513" s="262">
        <f>SUM(D509:D512)</f>
        <v>97105.782999999996</v>
      </c>
      <c r="E513" s="265">
        <f>SUM(E509:E512)</f>
        <v>5720.7870179448819</v>
      </c>
    </row>
    <row r="514" spans="3:5" ht="13.5" thickBot="1">
      <c r="C514" s="259" t="s">
        <v>81</v>
      </c>
      <c r="D514" s="252">
        <v>-1278.374</v>
      </c>
      <c r="E514" s="264">
        <f>D514*$J$490</f>
        <v>-75.312768790281723</v>
      </c>
    </row>
    <row r="515" spans="3:5" ht="13.5" thickBot="1">
      <c r="C515" s="134" t="s">
        <v>43</v>
      </c>
      <c r="D515" s="173">
        <f>SUM(D513:D514)</f>
        <v>95827.409</v>
      </c>
      <c r="E515" s="173">
        <f>SUM(E513:E514)</f>
        <v>5645.4742491546003</v>
      </c>
    </row>
    <row r="516" spans="3:5">
      <c r="C516" s="255" t="s">
        <v>44</v>
      </c>
      <c r="D516" s="263">
        <f>D515-D492</f>
        <v>9.0000000054715201E-3</v>
      </c>
      <c r="E516" s="260"/>
    </row>
    <row r="517" spans="3:5" ht="13.5" thickBot="1">
      <c r="D517" s="412"/>
      <c r="E517" s="412"/>
    </row>
    <row r="518" spans="3:5">
      <c r="C518" s="131" t="s">
        <v>149</v>
      </c>
      <c r="D518" s="132" t="s">
        <v>58</v>
      </c>
      <c r="E518" s="132" t="s">
        <v>59</v>
      </c>
    </row>
    <row r="519" spans="3:5">
      <c r="C519" s="246" t="s">
        <v>83</v>
      </c>
      <c r="D519" s="251">
        <v>8721.6260000000002</v>
      </c>
      <c r="E519" s="203">
        <f>D519*$J$490</f>
        <v>513.81661580516311</v>
      </c>
    </row>
    <row r="520" spans="3:5">
      <c r="C520" s="246" t="s">
        <v>84</v>
      </c>
      <c r="D520" s="252"/>
      <c r="E520" s="247"/>
    </row>
    <row r="521" spans="3:5">
      <c r="C521" s="249" t="s">
        <v>85</v>
      </c>
      <c r="D521" s="252">
        <v>3656.6439999999998</v>
      </c>
      <c r="E521" s="203">
        <f>D521*$J$490</f>
        <v>215.42364294046257</v>
      </c>
    </row>
    <row r="522" spans="3:5">
      <c r="C522" s="249" t="s">
        <v>86</v>
      </c>
      <c r="D522" s="252">
        <v>3499.2049999999999</v>
      </c>
      <c r="E522" s="203">
        <f t="shared" ref="E522:E527" si="7">D522*$J$490</f>
        <v>206.14844882233035</v>
      </c>
    </row>
    <row r="523" spans="3:5">
      <c r="C523" s="249" t="s">
        <v>87</v>
      </c>
      <c r="D523" s="252">
        <v>5042.1980000000003</v>
      </c>
      <c r="E523" s="203">
        <f t="shared" si="7"/>
        <v>297.05070047483832</v>
      </c>
    </row>
    <row r="524" spans="3:5">
      <c r="C524" s="249" t="s">
        <v>88</v>
      </c>
      <c r="D524" s="252">
        <v>10012.922</v>
      </c>
      <c r="E524" s="203">
        <f t="shared" si="7"/>
        <v>589.89065758621905</v>
      </c>
    </row>
    <row r="525" spans="3:5">
      <c r="C525" s="249" t="s">
        <v>89</v>
      </c>
      <c r="D525" s="252">
        <v>12918.710999999999</v>
      </c>
      <c r="E525" s="203">
        <f t="shared" si="7"/>
        <v>761.07922611964034</v>
      </c>
    </row>
    <row r="526" spans="3:5">
      <c r="C526" s="249" t="s">
        <v>90</v>
      </c>
      <c r="D526" s="252">
        <v>14763.893</v>
      </c>
      <c r="E526" s="203">
        <f t="shared" si="7"/>
        <v>869.78431973229954</v>
      </c>
    </row>
    <row r="527" spans="3:5">
      <c r="C527" s="249" t="s">
        <v>91</v>
      </c>
      <c r="D527" s="252">
        <v>10873.69</v>
      </c>
      <c r="E527" s="203">
        <f t="shared" si="7"/>
        <v>640.60102979816429</v>
      </c>
    </row>
    <row r="528" spans="3:5">
      <c r="C528" s="246" t="s">
        <v>92</v>
      </c>
      <c r="D528" s="252"/>
      <c r="E528" s="247"/>
    </row>
    <row r="529" spans="3:12">
      <c r="C529" s="249" t="s">
        <v>93</v>
      </c>
      <c r="D529" s="252">
        <v>4488.34</v>
      </c>
      <c r="E529" s="203">
        <f t="shared" ref="E529:E534" si="8">D529*$J$490</f>
        <v>264.4212982055119</v>
      </c>
    </row>
    <row r="530" spans="3:12">
      <c r="C530" s="249" t="s">
        <v>94</v>
      </c>
      <c r="D530" s="252">
        <v>4483.6840000000002</v>
      </c>
      <c r="E530" s="203">
        <f t="shared" si="8"/>
        <v>264.14699956404428</v>
      </c>
    </row>
    <row r="531" spans="3:12">
      <c r="C531" s="249" t="s">
        <v>95</v>
      </c>
      <c r="D531" s="252">
        <v>6158.64</v>
      </c>
      <c r="E531" s="203">
        <f t="shared" si="8"/>
        <v>362.82357931448905</v>
      </c>
    </row>
    <row r="532" spans="3:12">
      <c r="C532" s="249" t="s">
        <v>117</v>
      </c>
      <c r="D532" s="252">
        <v>9987.9320000000007</v>
      </c>
      <c r="E532" s="203">
        <f t="shared" si="8"/>
        <v>588.41842325411505</v>
      </c>
    </row>
    <row r="533" spans="3:12">
      <c r="C533" s="249" t="s">
        <v>118</v>
      </c>
      <c r="D533" s="252">
        <v>2650</v>
      </c>
      <c r="E533" s="203">
        <f t="shared" si="8"/>
        <v>156.11928691779289</v>
      </c>
    </row>
    <row r="534" spans="3:12" ht="13.5" thickBot="1">
      <c r="C534" s="250" t="s">
        <v>132</v>
      </c>
      <c r="D534" s="253">
        <v>0</v>
      </c>
      <c r="E534" s="203">
        <f t="shared" si="8"/>
        <v>0</v>
      </c>
    </row>
    <row r="535" spans="3:12" ht="13.5" thickBot="1">
      <c r="C535" s="134" t="s">
        <v>43</v>
      </c>
      <c r="D535" s="248">
        <f>SUM(D521:D534)</f>
        <v>88535.858999999997</v>
      </c>
      <c r="E535" s="173">
        <f>SUM(E521:E534)</f>
        <v>5215.9076127299068</v>
      </c>
    </row>
    <row r="536" spans="3:12">
      <c r="C536" s="255" t="s">
        <v>44</v>
      </c>
      <c r="D536" s="278">
        <f>D535-(Model!AT106+Model!AT107)</f>
        <v>-4.0999999997438863E-2</v>
      </c>
      <c r="E536" s="254"/>
    </row>
    <row r="537" spans="3:12" ht="13.5" thickBot="1">
      <c r="D537" s="412"/>
      <c r="E537" s="412"/>
    </row>
    <row r="538" spans="3:12">
      <c r="C538" s="130" t="s">
        <v>150</v>
      </c>
      <c r="D538" s="131" t="s">
        <v>58</v>
      </c>
      <c r="E538" s="132" t="s">
        <v>59</v>
      </c>
      <c r="H538" s="258"/>
    </row>
    <row r="539" spans="3:12">
      <c r="C539" s="133" t="s">
        <v>99</v>
      </c>
      <c r="D539" s="252">
        <v>1994.4369999999999</v>
      </c>
      <c r="E539" s="203">
        <f>D539*$J$490</f>
        <v>117.49814424243851</v>
      </c>
      <c r="L539" s="94" t="s">
        <v>60</v>
      </c>
    </row>
    <row r="540" spans="3:12">
      <c r="C540" s="133" t="s">
        <v>134</v>
      </c>
      <c r="D540" s="252">
        <v>573.76099999999997</v>
      </c>
      <c r="E540" s="203">
        <f>D540*$J$490</f>
        <v>33.801946483486702</v>
      </c>
      <c r="L540" s="96"/>
    </row>
    <row r="541" spans="3:12">
      <c r="C541" s="133" t="s">
        <v>135</v>
      </c>
      <c r="D541" s="252">
        <v>4723.3519999999999</v>
      </c>
      <c r="E541" s="203">
        <f>D541*$J$490</f>
        <v>278.26654569876632</v>
      </c>
      <c r="L541" s="99">
        <f>J605/J612</f>
        <v>3.9588044909670708</v>
      </c>
    </row>
    <row r="542" spans="3:12" ht="13.5" thickBot="1">
      <c r="C542" s="133" t="s">
        <v>102</v>
      </c>
      <c r="D542" s="252">
        <v>1280.932</v>
      </c>
      <c r="E542" s="203">
        <f>D542*$J$490</f>
        <v>75.463468086861241</v>
      </c>
      <c r="L542" s="101"/>
    </row>
    <row r="543" spans="3:12" ht="13.5" thickBot="1">
      <c r="C543" s="134" t="s">
        <v>43</v>
      </c>
      <c r="D543" s="173">
        <f>SUM(D539:D542)</f>
        <v>8572.482</v>
      </c>
      <c r="E543" s="173">
        <f>SUM(E539:E542)</f>
        <v>505.03010451155274</v>
      </c>
      <c r="L543" s="101"/>
    </row>
    <row r="544" spans="3:12">
      <c r="L544" s="101"/>
    </row>
    <row r="545" spans="2:12">
      <c r="B545" s="54" t="s">
        <v>151</v>
      </c>
      <c r="I545" s="54" t="s">
        <v>152</v>
      </c>
      <c r="J545" s="76">
        <f>Model!AS211</f>
        <v>5.7408906417741649E-2</v>
      </c>
      <c r="L545" s="99">
        <f>J609/J612</f>
        <v>2.4657365168880632</v>
      </c>
    </row>
    <row r="546" spans="2:12">
      <c r="C546" s="107"/>
      <c r="D546" s="414" t="s">
        <v>153</v>
      </c>
      <c r="E546" s="415"/>
      <c r="F546" s="94" t="s">
        <v>60</v>
      </c>
      <c r="G546" s="391"/>
      <c r="L546" s="103"/>
    </row>
    <row r="547" spans="2:12">
      <c r="C547" s="192" t="s">
        <v>17</v>
      </c>
      <c r="D547" s="193">
        <f>+J550</f>
        <v>98221.9</v>
      </c>
      <c r="E547" s="172">
        <f>D547*$J545</f>
        <v>5638.811865272778</v>
      </c>
      <c r="F547" s="194">
        <f>+D547/D552</f>
        <v>3.9233602263250127</v>
      </c>
      <c r="G547" s="286"/>
      <c r="H547" s="199"/>
      <c r="I547" s="54" t="s">
        <v>123</v>
      </c>
      <c r="L547" s="99">
        <f>J611/J612</f>
        <v>9.4672897515488472</v>
      </c>
    </row>
    <row r="548" spans="2:12">
      <c r="C548" s="195" t="s">
        <v>18</v>
      </c>
      <c r="D548" s="204">
        <f>Model!AS113</f>
        <v>32688.1</v>
      </c>
      <c r="E548" s="204">
        <f>D548*$J$545</f>
        <v>1876.5880738737808</v>
      </c>
      <c r="F548" s="197"/>
      <c r="G548" s="288"/>
      <c r="I548" s="107"/>
      <c r="J548" s="414" t="s">
        <v>154</v>
      </c>
      <c r="K548" s="415"/>
      <c r="L548" s="106"/>
    </row>
    <row r="549" spans="2:12">
      <c r="C549" s="192" t="s">
        <v>19</v>
      </c>
      <c r="D549" s="205">
        <f>+D547-D548</f>
        <v>65533.799999999996</v>
      </c>
      <c r="E549" s="205">
        <f>D549*$J$545</f>
        <v>3762.2237913989975</v>
      </c>
      <c r="F549" s="194">
        <f>+D549/D552</f>
        <v>2.6176718674749533</v>
      </c>
      <c r="G549" s="286"/>
      <c r="I549" s="108"/>
      <c r="J549" s="180" t="s">
        <v>124</v>
      </c>
      <c r="K549" s="181" t="s">
        <v>125</v>
      </c>
    </row>
    <row r="550" spans="2:12">
      <c r="C550" s="195" t="s">
        <v>20</v>
      </c>
      <c r="D550" s="204">
        <f>Model!AS120</f>
        <v>142200.70000000001</v>
      </c>
      <c r="E550" s="204">
        <f>D550*$J$545</f>
        <v>8163.586678837356</v>
      </c>
      <c r="F550" s="103"/>
      <c r="I550" s="110" t="s">
        <v>126</v>
      </c>
      <c r="J550" s="245">
        <v>98221.9</v>
      </c>
      <c r="K550" s="154">
        <f>J550*$J$545</f>
        <v>5638.811865272778</v>
      </c>
    </row>
    <row r="551" spans="2:12">
      <c r="C551" s="192" t="s">
        <v>21</v>
      </c>
      <c r="D551" s="205">
        <f>D547+D550</f>
        <v>240422.6</v>
      </c>
      <c r="E551" s="205">
        <f>D551*$J$545</f>
        <v>13802.398544110134</v>
      </c>
      <c r="F551" s="194">
        <f>D551/D552</f>
        <v>9.6034027681163572</v>
      </c>
      <c r="G551" s="286"/>
      <c r="I551" s="157" t="s">
        <v>18</v>
      </c>
      <c r="J551" s="167">
        <f>D558</f>
        <v>32688.1</v>
      </c>
      <c r="K551" s="153">
        <f>J551*$J$545</f>
        <v>1876.5880738737808</v>
      </c>
    </row>
    <row r="552" spans="2:12">
      <c r="C552" s="198" t="s">
        <v>22</v>
      </c>
      <c r="D552" s="206">
        <f>Model!AS85</f>
        <v>25035.147000000008</v>
      </c>
      <c r="E552" s="206"/>
      <c r="F552" s="106"/>
      <c r="I552" s="111" t="s">
        <v>127</v>
      </c>
      <c r="J552" s="156">
        <f>D559</f>
        <v>0</v>
      </c>
      <c r="K552" s="153">
        <f>J552*$J$545</f>
        <v>0</v>
      </c>
    </row>
    <row r="553" spans="2:12">
      <c r="I553" s="111" t="s">
        <v>128</v>
      </c>
      <c r="J553" s="62">
        <v>0</v>
      </c>
      <c r="K553" s="153">
        <f>J553*$J$545</f>
        <v>0</v>
      </c>
    </row>
    <row r="554" spans="2:12">
      <c r="C554" s="114" t="s">
        <v>23</v>
      </c>
      <c r="D554" s="176">
        <f>D547-Model!AS116</f>
        <v>0</v>
      </c>
      <c r="I554" s="110" t="s">
        <v>19</v>
      </c>
      <c r="J554" s="154">
        <f>J550-J551-J552-J553</f>
        <v>65533.799999999996</v>
      </c>
      <c r="K554" s="154">
        <f>K550-K551-K552-K553</f>
        <v>3762.2237913989975</v>
      </c>
    </row>
    <row r="555" spans="2:12" ht="13.5" thickBot="1">
      <c r="D555" s="412"/>
      <c r="E555" s="412"/>
      <c r="I555" s="112" t="s">
        <v>20</v>
      </c>
      <c r="J555" s="119">
        <f>+D550</f>
        <v>142200.70000000001</v>
      </c>
      <c r="K555" s="153">
        <f>J555*$J$545</f>
        <v>8163.586678837356</v>
      </c>
    </row>
    <row r="556" spans="2:12">
      <c r="C556" s="59" t="s">
        <v>155</v>
      </c>
      <c r="D556" s="131" t="s">
        <v>58</v>
      </c>
      <c r="E556" s="132" t="s">
        <v>59</v>
      </c>
      <c r="I556" s="110" t="s">
        <v>21</v>
      </c>
      <c r="J556" s="154">
        <f>+J550+J555</f>
        <v>240422.6</v>
      </c>
      <c r="K556" s="154">
        <f>+K550+K555</f>
        <v>13802.398544110134</v>
      </c>
    </row>
    <row r="557" spans="2:12">
      <c r="C557" s="60"/>
      <c r="D557" s="117"/>
      <c r="E557" s="77"/>
      <c r="I557" s="113" t="s">
        <v>22</v>
      </c>
      <c r="J557" s="105">
        <f>D552</f>
        <v>25035.147000000008</v>
      </c>
      <c r="K557" s="105"/>
    </row>
    <row r="558" spans="2:12">
      <c r="C558" s="60" t="s">
        <v>28</v>
      </c>
      <c r="D558" s="163">
        <f>D548</f>
        <v>32688.1</v>
      </c>
      <c r="E558" s="203">
        <f>D558*$J$545</f>
        <v>1876.5880738737808</v>
      </c>
    </row>
    <row r="559" spans="2:12">
      <c r="C559" s="60" t="s">
        <v>74</v>
      </c>
      <c r="D559" s="165">
        <v>0</v>
      </c>
      <c r="E559" s="203">
        <f>D559*$J$545</f>
        <v>0</v>
      </c>
    </row>
    <row r="560" spans="2:12">
      <c r="C560" s="60" t="s">
        <v>75</v>
      </c>
      <c r="D560" s="165">
        <v>600</v>
      </c>
      <c r="E560" s="203">
        <f>D560*$J$545</f>
        <v>34.445343850644988</v>
      </c>
    </row>
    <row r="561" spans="3:5" ht="13.5" thickBot="1">
      <c r="C561" s="152" t="s">
        <v>29</v>
      </c>
      <c r="D561" s="174">
        <f>SUM(D557:D560)</f>
        <v>33288.1</v>
      </c>
      <c r="E561" s="175">
        <f>SUM(E557:E560)</f>
        <v>1911.0334177244258</v>
      </c>
    </row>
    <row r="562" spans="3:5" ht="13.5" thickBot="1"/>
    <row r="563" spans="3:5">
      <c r="C563" s="130" t="s">
        <v>156</v>
      </c>
      <c r="D563" s="131" t="s">
        <v>58</v>
      </c>
      <c r="E563" s="132" t="s">
        <v>59</v>
      </c>
    </row>
    <row r="564" spans="3:5">
      <c r="C564" s="259" t="s">
        <v>77</v>
      </c>
      <c r="D564" s="252">
        <v>11266.834000000001</v>
      </c>
      <c r="E564" s="264">
        <f>D564*$J$545</f>
        <v>646.81661873022983</v>
      </c>
    </row>
    <row r="565" spans="3:5">
      <c r="C565" s="259" t="s">
        <v>78</v>
      </c>
      <c r="D565" s="252">
        <v>10053.755999999999</v>
      </c>
      <c r="E565" s="266">
        <f>D565*$J$545</f>
        <v>577.17513735080854</v>
      </c>
    </row>
    <row r="566" spans="3:5">
      <c r="C566" s="259" t="s">
        <v>79</v>
      </c>
      <c r="D566" s="252">
        <v>8819.23</v>
      </c>
      <c r="E566" s="266">
        <f>D566*$J$545</f>
        <v>506.30234974653968</v>
      </c>
    </row>
    <row r="567" spans="3:5">
      <c r="C567" s="259" t="s">
        <v>148</v>
      </c>
      <c r="D567" s="252">
        <v>69345.928</v>
      </c>
      <c r="E567" s="266">
        <f>D567*$J$545</f>
        <v>3981.0738910034502</v>
      </c>
    </row>
    <row r="568" spans="3:5">
      <c r="C568" s="261"/>
      <c r="D568" s="262">
        <f>SUM(D564:D567)</f>
        <v>99485.747999999992</v>
      </c>
      <c r="E568" s="265">
        <f>SUM(E564:E567)</f>
        <v>5711.367996831028</v>
      </c>
    </row>
    <row r="569" spans="3:5" ht="13.5" thickBot="1">
      <c r="C569" s="259" t="s">
        <v>81</v>
      </c>
      <c r="D569" s="252">
        <v>-1263.8</v>
      </c>
      <c r="E569" s="264">
        <f>D569*$J$545</f>
        <v>-72.553375930741893</v>
      </c>
    </row>
    <row r="570" spans="3:5" ht="13.5" thickBot="1">
      <c r="C570" s="134" t="s">
        <v>43</v>
      </c>
      <c r="D570" s="173">
        <f>SUM(D568:D569)</f>
        <v>98221.947999999989</v>
      </c>
      <c r="E570" s="173">
        <f>SUM(E568:E569)</f>
        <v>5638.8146209002862</v>
      </c>
    </row>
    <row r="571" spans="3:5">
      <c r="C571" s="255" t="s">
        <v>44</v>
      </c>
      <c r="D571" s="263">
        <f>D570-D547</f>
        <v>4.7999999995226972E-2</v>
      </c>
      <c r="E571" s="260"/>
    </row>
    <row r="572" spans="3:5" ht="13.5" thickBot="1">
      <c r="D572" s="412"/>
      <c r="E572" s="412"/>
    </row>
    <row r="573" spans="3:5">
      <c r="C573" s="131" t="s">
        <v>157</v>
      </c>
      <c r="D573" s="132" t="s">
        <v>58</v>
      </c>
      <c r="E573" s="132" t="s">
        <v>59</v>
      </c>
    </row>
    <row r="574" spans="3:5">
      <c r="C574" s="246" t="s">
        <v>83</v>
      </c>
      <c r="D574" s="251"/>
      <c r="E574" s="203">
        <f>D574*$J$545</f>
        <v>0</v>
      </c>
    </row>
    <row r="575" spans="3:5">
      <c r="C575" s="246" t="s">
        <v>84</v>
      </c>
      <c r="D575" s="252"/>
      <c r="E575" s="247"/>
    </row>
    <row r="576" spans="3:5">
      <c r="C576" s="249" t="s">
        <v>85</v>
      </c>
      <c r="D576" s="252">
        <v>3761.28</v>
      </c>
      <c r="E576" s="203">
        <f>D576*$J$545</f>
        <v>215.93097153092333</v>
      </c>
    </row>
    <row r="577" spans="3:5">
      <c r="C577" s="249" t="s">
        <v>86</v>
      </c>
      <c r="D577" s="252">
        <v>3597.7919999999999</v>
      </c>
      <c r="E577" s="203">
        <f t="shared" ref="E577:E589" si="9">D577*$J$545</f>
        <v>206.54530423849957</v>
      </c>
    </row>
    <row r="578" spans="3:5">
      <c r="C578" s="249" t="s">
        <v>87</v>
      </c>
      <c r="D578" s="252">
        <v>5185.607</v>
      </c>
      <c r="E578" s="203">
        <f t="shared" si="9"/>
        <v>297.70002698218605</v>
      </c>
    </row>
    <row r="579" spans="3:5">
      <c r="C579" s="249" t="s">
        <v>88</v>
      </c>
      <c r="D579" s="252">
        <v>10299.030000000001</v>
      </c>
      <c r="E579" s="203">
        <f t="shared" si="9"/>
        <v>591.25604946351382</v>
      </c>
    </row>
    <row r="580" spans="3:5">
      <c r="C580" s="249" t="s">
        <v>89</v>
      </c>
      <c r="D580" s="252">
        <v>13329.088</v>
      </c>
      <c r="E580" s="203">
        <f t="shared" si="9"/>
        <v>765.20836562584316</v>
      </c>
    </row>
    <row r="581" spans="3:5">
      <c r="C581" s="249" t="s">
        <v>90</v>
      </c>
      <c r="D581" s="252">
        <v>15184.450999999999</v>
      </c>
      <c r="E581" s="203">
        <f t="shared" si="9"/>
        <v>871.7227264637836</v>
      </c>
    </row>
    <row r="582" spans="3:5">
      <c r="C582" s="249" t="s">
        <v>91</v>
      </c>
      <c r="D582" s="252">
        <v>11185.097</v>
      </c>
      <c r="E582" s="203">
        <f t="shared" si="9"/>
        <v>642.1241869463629</v>
      </c>
    </row>
    <row r="583" spans="3:5">
      <c r="C583" s="246" t="s">
        <v>92</v>
      </c>
      <c r="D583" s="252"/>
      <c r="E583" s="247"/>
    </row>
    <row r="584" spans="3:5">
      <c r="C584" s="249" t="s">
        <v>93</v>
      </c>
      <c r="D584" s="252">
        <v>4487.75</v>
      </c>
      <c r="E584" s="203">
        <f t="shared" si="9"/>
        <v>257.63681977622008</v>
      </c>
    </row>
    <row r="585" spans="3:5">
      <c r="C585" s="249" t="s">
        <v>94</v>
      </c>
      <c r="D585" s="252">
        <v>4483.5029999999997</v>
      </c>
      <c r="E585" s="203">
        <f t="shared" si="9"/>
        <v>257.3930041506639</v>
      </c>
    </row>
    <row r="586" spans="3:5">
      <c r="C586" s="249" t="s">
        <v>95</v>
      </c>
      <c r="D586" s="252">
        <v>6158.0479999999998</v>
      </c>
      <c r="E586" s="203">
        <f t="shared" si="9"/>
        <v>353.52680134796111</v>
      </c>
    </row>
    <row r="587" spans="3:5">
      <c r="C587" s="249" t="s">
        <v>117</v>
      </c>
      <c r="D587" s="252">
        <v>9982.759</v>
      </c>
      <c r="E587" s="203">
        <f t="shared" si="9"/>
        <v>573.09927722186819</v>
      </c>
    </row>
    <row r="588" spans="3:5">
      <c r="C588" s="249" t="s">
        <v>118</v>
      </c>
      <c r="D588" s="252">
        <v>3050</v>
      </c>
      <c r="E588" s="203">
        <f t="shared" si="9"/>
        <v>175.09716457411204</v>
      </c>
    </row>
    <row r="589" spans="3:5" ht="13.5" thickBot="1">
      <c r="C589" s="250" t="s">
        <v>132</v>
      </c>
      <c r="D589" s="253"/>
      <c r="E589" s="203">
        <f t="shared" si="9"/>
        <v>0</v>
      </c>
    </row>
    <row r="590" spans="3:5" ht="13.5" thickBot="1">
      <c r="C590" s="134" t="s">
        <v>43</v>
      </c>
      <c r="D590" s="248">
        <f>SUM(D576:D589)</f>
        <v>90704.404999999999</v>
      </c>
      <c r="E590" s="173">
        <f>SUM(E576:E589)</f>
        <v>5207.2406983219371</v>
      </c>
    </row>
    <row r="591" spans="3:5">
      <c r="C591" s="255" t="s">
        <v>44</v>
      </c>
      <c r="D591" s="256">
        <f>D590-(Model!AS106+Model!AS107)</f>
        <v>4.9999999901046976E-3</v>
      </c>
    </row>
    <row r="592" spans="3:5" ht="13.5" thickBot="1">
      <c r="D592" s="412"/>
      <c r="E592" s="412"/>
    </row>
    <row r="593" spans="2:12">
      <c r="C593" s="130" t="s">
        <v>158</v>
      </c>
      <c r="D593" s="131" t="s">
        <v>58</v>
      </c>
      <c r="E593" s="132" t="s">
        <v>59</v>
      </c>
      <c r="H593" s="258"/>
    </row>
    <row r="594" spans="2:12">
      <c r="C594" s="133" t="s">
        <v>99</v>
      </c>
      <c r="D594" s="252">
        <v>2168.7579999999998</v>
      </c>
      <c r="E594" s="203">
        <f>D594*$J$545</f>
        <v>124.50602506472853</v>
      </c>
    </row>
    <row r="595" spans="2:12">
      <c r="C595" s="133" t="s">
        <v>134</v>
      </c>
      <c r="D595" s="252">
        <v>507.74099999999999</v>
      </c>
      <c r="E595" s="203">
        <f>D595*$J$545</f>
        <v>29.148855553450563</v>
      </c>
      <c r="L595" s="94" t="s">
        <v>60</v>
      </c>
    </row>
    <row r="596" spans="2:12">
      <c r="C596" s="133" t="s">
        <v>135</v>
      </c>
      <c r="D596" s="252">
        <v>4841.0200000000004</v>
      </c>
      <c r="E596" s="203">
        <f>D596*$J$545</f>
        <v>277.91766414641569</v>
      </c>
      <c r="L596" s="96"/>
    </row>
    <row r="597" spans="2:12" ht="13.5" thickBot="1">
      <c r="C597" s="133" t="s">
        <v>102</v>
      </c>
      <c r="D597" s="252">
        <v>1266.8340000000001</v>
      </c>
      <c r="E597" s="203">
        <f>D597*$J$545</f>
        <v>72.727554552813331</v>
      </c>
      <c r="L597" s="99">
        <f>J661/J668</f>
        <v>4.0689255802288393</v>
      </c>
    </row>
    <row r="598" spans="2:12" ht="13.5" thickBot="1">
      <c r="C598" s="134" t="s">
        <v>43</v>
      </c>
      <c r="D598" s="173">
        <f>SUM(D594:D597)</f>
        <v>8784.353000000001</v>
      </c>
      <c r="E598" s="173">
        <f>SUM(E594:E597)</f>
        <v>504.30009931740813</v>
      </c>
      <c r="L598" s="101"/>
    </row>
    <row r="599" spans="2:12">
      <c r="C599" s="201"/>
      <c r="D599" s="202"/>
      <c r="E599" s="202"/>
      <c r="L599" s="101"/>
    </row>
    <row r="600" spans="2:12">
      <c r="B600" s="54" t="s">
        <v>159</v>
      </c>
      <c r="I600" s="54" t="s">
        <v>160</v>
      </c>
      <c r="J600" s="76">
        <f>Model!AR211</f>
        <v>5.8400640071015177E-2</v>
      </c>
      <c r="L600" s="101"/>
    </row>
    <row r="601" spans="2:12">
      <c r="C601" s="107"/>
      <c r="D601" s="414" t="s">
        <v>161</v>
      </c>
      <c r="E601" s="415"/>
      <c r="F601" s="94" t="s">
        <v>60</v>
      </c>
      <c r="G601" s="391"/>
      <c r="L601" s="99">
        <f>J665/J668</f>
        <v>2.4122913820542924</v>
      </c>
    </row>
    <row r="602" spans="2:12">
      <c r="C602" s="192" t="s">
        <v>17</v>
      </c>
      <c r="D602" s="193">
        <f>+J605</f>
        <v>103150.39999999999</v>
      </c>
      <c r="E602" s="172">
        <f>D602*$J600</f>
        <v>6024.0493835812431</v>
      </c>
      <c r="F602" s="194">
        <f>+D602/D607</f>
        <v>3.9588044909670708</v>
      </c>
      <c r="G602" s="286"/>
      <c r="H602" s="199"/>
      <c r="I602" s="54" t="s">
        <v>123</v>
      </c>
      <c r="L602" s="103"/>
    </row>
    <row r="603" spans="2:12">
      <c r="C603" s="195" t="s">
        <v>18</v>
      </c>
      <c r="D603" s="204">
        <f>Model!AR113</f>
        <v>38903.300000000003</v>
      </c>
      <c r="E603" s="204">
        <f>D603*$J$600</f>
        <v>2271.9776208747248</v>
      </c>
      <c r="F603" s="197"/>
      <c r="G603" s="288"/>
      <c r="I603" s="107"/>
      <c r="J603" s="414" t="s">
        <v>161</v>
      </c>
      <c r="K603" s="415"/>
      <c r="L603" s="99">
        <f>J667/J668</f>
        <v>9.5377769895838558</v>
      </c>
    </row>
    <row r="604" spans="2:12">
      <c r="C604" s="192" t="s">
        <v>19</v>
      </c>
      <c r="D604" s="205">
        <f>+D602-D603</f>
        <v>64247.099999999991</v>
      </c>
      <c r="E604" s="205">
        <f>D604*$J$600</f>
        <v>3752.0717627065187</v>
      </c>
      <c r="F604" s="194">
        <f>+D604/D607</f>
        <v>2.4657365168880632</v>
      </c>
      <c r="G604" s="286"/>
      <c r="I604" s="108"/>
      <c r="J604" s="180" t="s">
        <v>124</v>
      </c>
      <c r="K604" s="181" t="s">
        <v>125</v>
      </c>
      <c r="L604" s="106"/>
    </row>
    <row r="605" spans="2:12">
      <c r="C605" s="195" t="s">
        <v>20</v>
      </c>
      <c r="D605" s="204">
        <f>Model!AR120</f>
        <v>143528.79999999999</v>
      </c>
      <c r="E605" s="204">
        <f>D605*$J$600</f>
        <v>8382.1737886247229</v>
      </c>
      <c r="F605" s="103"/>
      <c r="I605" s="110" t="s">
        <v>126</v>
      </c>
      <c r="J605" s="245">
        <v>103150.39999999999</v>
      </c>
      <c r="K605" s="154">
        <f>J605*$J$711</f>
        <v>5296.2826042308488</v>
      </c>
    </row>
    <row r="606" spans="2:12">
      <c r="C606" s="192" t="s">
        <v>21</v>
      </c>
      <c r="D606" s="205">
        <f>D602+D605</f>
        <v>246679.19999999998</v>
      </c>
      <c r="E606" s="205">
        <f>D606*$J$600</f>
        <v>14406.223172205966</v>
      </c>
      <c r="F606" s="194">
        <f>D606/D607</f>
        <v>9.4672897515488472</v>
      </c>
      <c r="G606" s="286"/>
      <c r="I606" s="157" t="s">
        <v>18</v>
      </c>
      <c r="J606" s="167">
        <f>D613</f>
        <v>38903.300000000003</v>
      </c>
      <c r="K606" s="153">
        <f>J606*$J$600</f>
        <v>2271.9776208747248</v>
      </c>
    </row>
    <row r="607" spans="2:12">
      <c r="C607" s="198" t="s">
        <v>22</v>
      </c>
      <c r="D607" s="206">
        <f>Model!AR85</f>
        <v>26055.947000000004</v>
      </c>
      <c r="E607" s="206"/>
      <c r="F607" s="106"/>
      <c r="I607" s="111" t="s">
        <v>127</v>
      </c>
      <c r="J607" s="156">
        <f>D614</f>
        <v>0</v>
      </c>
      <c r="K607" s="153">
        <f>J607*$J$600</f>
        <v>0</v>
      </c>
    </row>
    <row r="608" spans="2:12">
      <c r="I608" s="111" t="s">
        <v>128</v>
      </c>
      <c r="J608" s="62">
        <v>0</v>
      </c>
      <c r="K608" s="153">
        <f>J608*$J$600</f>
        <v>0</v>
      </c>
    </row>
    <row r="609" spans="3:11">
      <c r="C609" s="114" t="s">
        <v>23</v>
      </c>
      <c r="D609" s="176">
        <f>D602-Model!AR116</f>
        <v>0</v>
      </c>
      <c r="I609" s="110" t="s">
        <v>19</v>
      </c>
      <c r="J609" s="154">
        <f>J605-J606-J607-J608</f>
        <v>64247.099999999991</v>
      </c>
      <c r="K609" s="154">
        <f>K605-K606-K607-K608</f>
        <v>3024.304983356124</v>
      </c>
    </row>
    <row r="610" spans="3:11" ht="13.5" thickBot="1">
      <c r="D610" s="412"/>
      <c r="E610" s="412"/>
      <c r="I610" s="112" t="s">
        <v>20</v>
      </c>
      <c r="J610" s="119">
        <f>+D605</f>
        <v>143528.79999999999</v>
      </c>
      <c r="K610" s="153">
        <f>J610*$J$600</f>
        <v>8382.1737886247229</v>
      </c>
    </row>
    <row r="611" spans="3:11">
      <c r="C611" s="59" t="s">
        <v>162</v>
      </c>
      <c r="D611" s="131" t="s">
        <v>58</v>
      </c>
      <c r="E611" s="132" t="s">
        <v>59</v>
      </c>
      <c r="I611" s="110" t="s">
        <v>21</v>
      </c>
      <c r="J611" s="154">
        <f>+J605+J610</f>
        <v>246679.19999999998</v>
      </c>
      <c r="K611" s="154">
        <f>+K605+K610</f>
        <v>13678.456392855573</v>
      </c>
    </row>
    <row r="612" spans="3:11">
      <c r="C612" s="60"/>
      <c r="D612" s="117"/>
      <c r="E612" s="77"/>
      <c r="I612" s="113" t="s">
        <v>22</v>
      </c>
      <c r="J612" s="105">
        <f>D607</f>
        <v>26055.947000000004</v>
      </c>
      <c r="K612" s="105"/>
    </row>
    <row r="613" spans="3:11">
      <c r="C613" s="60" t="s">
        <v>28</v>
      </c>
      <c r="D613" s="163">
        <f>D603</f>
        <v>38903.300000000003</v>
      </c>
      <c r="E613" s="203">
        <f>D613*$J$600</f>
        <v>2271.9776208747248</v>
      </c>
    </row>
    <row r="614" spans="3:11">
      <c r="C614" s="60" t="s">
        <v>74</v>
      </c>
      <c r="D614" s="165">
        <v>0</v>
      </c>
      <c r="E614" s="203">
        <f>D614*$J$600</f>
        <v>0</v>
      </c>
    </row>
    <row r="615" spans="3:11">
      <c r="C615" s="60" t="s">
        <v>75</v>
      </c>
      <c r="D615" s="165">
        <v>650</v>
      </c>
      <c r="E615" s="203">
        <f>D615*$J$600</f>
        <v>37.960416046159864</v>
      </c>
    </row>
    <row r="616" spans="3:11" ht="13.5" thickBot="1">
      <c r="C616" s="152" t="s">
        <v>29</v>
      </c>
      <c r="D616" s="174">
        <f>SUM(D612:D615)</f>
        <v>39553.300000000003</v>
      </c>
      <c r="E616" s="175">
        <f>SUM(E612:E615)</f>
        <v>2309.9380369208848</v>
      </c>
    </row>
    <row r="617" spans="3:11" ht="13.5" thickBot="1"/>
    <row r="618" spans="3:11">
      <c r="C618" s="130" t="s">
        <v>163</v>
      </c>
      <c r="D618" s="131" t="s">
        <v>58</v>
      </c>
      <c r="E618" s="132" t="s">
        <v>59</v>
      </c>
    </row>
    <row r="619" spans="3:11">
      <c r="C619" s="259" t="s">
        <v>77</v>
      </c>
      <c r="D619" s="252">
        <v>11289.468999999999</v>
      </c>
      <c r="E619" s="264">
        <f>D619*$J$600</f>
        <v>659.31221566188356</v>
      </c>
    </row>
    <row r="620" spans="3:11">
      <c r="C620" s="259" t="s">
        <v>78</v>
      </c>
      <c r="D620" s="252">
        <v>12242.761</v>
      </c>
      <c r="E620" s="266">
        <f>D620*$J$600</f>
        <v>714.98507863646182</v>
      </c>
    </row>
    <row r="621" spans="3:11">
      <c r="C621" s="259" t="s">
        <v>79</v>
      </c>
      <c r="D621" s="252">
        <v>9602.3230000000003</v>
      </c>
      <c r="E621" s="266">
        <f>D621*$J$600</f>
        <v>560.78180936863066</v>
      </c>
    </row>
    <row r="622" spans="3:11">
      <c r="C622" s="259" t="s">
        <v>164</v>
      </c>
      <c r="D622" s="252">
        <v>70965.861000000004</v>
      </c>
      <c r="E622" s="266">
        <f>D622*$J$600</f>
        <v>4144.4517055906936</v>
      </c>
    </row>
    <row r="623" spans="3:11">
      <c r="C623" s="261"/>
      <c r="D623" s="262">
        <f>SUM(D619:D622)</f>
        <v>104100.414</v>
      </c>
      <c r="E623" s="265">
        <f>SUM(E619:E622)</f>
        <v>6079.5308092576697</v>
      </c>
    </row>
    <row r="624" spans="3:11" ht="13.5" thickBot="1">
      <c r="C624" s="259" t="s">
        <v>81</v>
      </c>
      <c r="D624" s="252">
        <v>-950.07399999999996</v>
      </c>
      <c r="E624" s="264">
        <f>D624*$J$600</f>
        <v>-55.484929714829669</v>
      </c>
    </row>
    <row r="625" spans="3:5" ht="13.5" thickBot="1">
      <c r="C625" s="134" t="s">
        <v>43</v>
      </c>
      <c r="D625" s="173">
        <f>SUM(D623:D624)</f>
        <v>103150.34000000001</v>
      </c>
      <c r="E625" s="173">
        <f>SUM(E623:E624)</f>
        <v>6024.0458795428403</v>
      </c>
    </row>
    <row r="626" spans="3:5">
      <c r="C626" s="255" t="s">
        <v>44</v>
      </c>
      <c r="D626" s="263">
        <f>D625-D602</f>
        <v>-5.9999999983119778E-2</v>
      </c>
      <c r="E626" s="260"/>
    </row>
    <row r="627" spans="3:5" ht="13.5" thickBot="1">
      <c r="D627" s="412"/>
      <c r="E627" s="412"/>
    </row>
    <row r="628" spans="3:5">
      <c r="C628" s="131" t="s">
        <v>165</v>
      </c>
      <c r="D628" s="132" t="s">
        <v>58</v>
      </c>
      <c r="E628" s="132" t="s">
        <v>59</v>
      </c>
    </row>
    <row r="629" spans="3:5">
      <c r="C629" s="246" t="s">
        <v>83</v>
      </c>
      <c r="D629" s="251">
        <v>10000</v>
      </c>
      <c r="E629" s="203">
        <f>D629*$J$600</f>
        <v>584.00640071015175</v>
      </c>
    </row>
    <row r="630" spans="3:5">
      <c r="C630" s="246" t="s">
        <v>84</v>
      </c>
      <c r="D630" s="252"/>
      <c r="E630" s="247"/>
    </row>
    <row r="631" spans="3:5">
      <c r="C631" s="249" t="s">
        <v>85</v>
      </c>
      <c r="D631" s="252">
        <v>4568.0640000000003</v>
      </c>
      <c r="E631" s="203">
        <f t="shared" ref="E631:E637" si="10">D631*$J$600</f>
        <v>266.77786148536188</v>
      </c>
    </row>
    <row r="632" spans="3:5">
      <c r="C632" s="249" t="s">
        <v>86</v>
      </c>
      <c r="D632" s="252">
        <v>5143.83</v>
      </c>
      <c r="E632" s="203">
        <f t="shared" si="10"/>
        <v>300.40296441648997</v>
      </c>
    </row>
    <row r="633" spans="3:5">
      <c r="C633" s="249" t="s">
        <v>87</v>
      </c>
      <c r="D633" s="252">
        <v>5143.83</v>
      </c>
      <c r="E633" s="203">
        <f t="shared" si="10"/>
        <v>300.40296441648997</v>
      </c>
    </row>
    <row r="634" spans="3:5">
      <c r="C634" s="249" t="s">
        <v>88</v>
      </c>
      <c r="D634" s="252">
        <v>10287.66</v>
      </c>
      <c r="E634" s="203">
        <f t="shared" si="10"/>
        <v>600.80592883297993</v>
      </c>
    </row>
    <row r="635" spans="3:5">
      <c r="C635" s="249" t="s">
        <v>89</v>
      </c>
      <c r="D635" s="252">
        <v>15249.021000000001</v>
      </c>
      <c r="E635" s="203">
        <f t="shared" si="10"/>
        <v>890.55258685635192</v>
      </c>
    </row>
    <row r="636" spans="3:5">
      <c r="C636" s="249" t="s">
        <v>90</v>
      </c>
      <c r="D636" s="252">
        <v>15431.49</v>
      </c>
      <c r="E636" s="203">
        <f t="shared" si="10"/>
        <v>901.20889324946995</v>
      </c>
    </row>
    <row r="637" spans="3:5">
      <c r="C637" s="249" t="s">
        <v>91</v>
      </c>
      <c r="D637" s="252">
        <v>12039.82</v>
      </c>
      <c r="E637" s="203">
        <f t="shared" si="10"/>
        <v>703.13319433980996</v>
      </c>
    </row>
    <row r="638" spans="3:5">
      <c r="C638" s="246" t="s">
        <v>92</v>
      </c>
      <c r="D638" s="252"/>
      <c r="E638" s="247"/>
    </row>
    <row r="639" spans="3:5">
      <c r="C639" s="249" t="s">
        <v>93</v>
      </c>
      <c r="D639" s="252">
        <v>4500</v>
      </c>
      <c r="E639" s="203">
        <f t="shared" ref="E639:E644" si="11">D639*$J$600</f>
        <v>262.80288031956832</v>
      </c>
    </row>
    <row r="640" spans="3:5">
      <c r="C640" s="249" t="s">
        <v>94</v>
      </c>
      <c r="D640" s="252">
        <v>4500</v>
      </c>
      <c r="E640" s="203">
        <f t="shared" si="11"/>
        <v>262.80288031956832</v>
      </c>
    </row>
    <row r="641" spans="2:12">
      <c r="C641" s="249" t="s">
        <v>95</v>
      </c>
      <c r="D641" s="252">
        <v>6456.31</v>
      </c>
      <c r="E641" s="203">
        <f t="shared" si="11"/>
        <v>377.05263649689601</v>
      </c>
    </row>
    <row r="642" spans="2:12">
      <c r="C642" s="249" t="s">
        <v>117</v>
      </c>
      <c r="D642" s="252">
        <v>10000</v>
      </c>
      <c r="E642" s="203">
        <f t="shared" si="11"/>
        <v>584.00640071015175</v>
      </c>
    </row>
    <row r="643" spans="2:12">
      <c r="C643" s="249" t="s">
        <v>118</v>
      </c>
      <c r="D643" s="252">
        <v>3050</v>
      </c>
      <c r="E643" s="203">
        <f t="shared" si="11"/>
        <v>178.1219522165963</v>
      </c>
    </row>
    <row r="644" spans="2:12" ht="13.5" thickBot="1">
      <c r="C644" s="250" t="s">
        <v>132</v>
      </c>
      <c r="D644" s="253">
        <v>0</v>
      </c>
      <c r="E644" s="203">
        <f t="shared" si="11"/>
        <v>0</v>
      </c>
    </row>
    <row r="645" spans="2:12" ht="13.5" thickBot="1">
      <c r="C645" s="134" t="s">
        <v>43</v>
      </c>
      <c r="D645" s="248">
        <f>SUM(D631:D644)</f>
        <v>96370.024999999994</v>
      </c>
      <c r="E645" s="173">
        <f>SUM(E631:E644)</f>
        <v>5628.0711436597348</v>
      </c>
    </row>
    <row r="646" spans="2:12">
      <c r="C646" s="255" t="s">
        <v>44</v>
      </c>
      <c r="D646" s="256">
        <f>D645-(Model!AR107+Model!AR106)</f>
        <v>950.02499999999418</v>
      </c>
      <c r="E646" s="254"/>
    </row>
    <row r="647" spans="2:12" ht="13.5" thickBot="1">
      <c r="D647" s="412"/>
      <c r="E647" s="412"/>
    </row>
    <row r="648" spans="2:12">
      <c r="C648" s="130" t="s">
        <v>166</v>
      </c>
      <c r="D648" s="131" t="s">
        <v>58</v>
      </c>
      <c r="E648" s="132" t="s">
        <v>59</v>
      </c>
      <c r="H648" s="258"/>
    </row>
    <row r="649" spans="2:12">
      <c r="C649" s="133" t="s">
        <v>99</v>
      </c>
      <c r="D649" s="252">
        <v>2249.5889999999999</v>
      </c>
      <c r="E649" s="203">
        <f>D649*$J$600</f>
        <v>131.37743749671495</v>
      </c>
    </row>
    <row r="650" spans="2:12">
      <c r="C650" s="133" t="s">
        <v>134</v>
      </c>
      <c r="D650" s="252">
        <v>564.93200000000002</v>
      </c>
      <c r="E650" s="203">
        <f>D650*$J$600</f>
        <v>32.992390396598744</v>
      </c>
      <c r="L650" s="94" t="s">
        <v>60</v>
      </c>
    </row>
    <row r="651" spans="2:12">
      <c r="C651" s="133" t="s">
        <v>135</v>
      </c>
      <c r="D651" s="252">
        <v>4915.8680000000004</v>
      </c>
      <c r="E651" s="203">
        <f>D651*$J$600</f>
        <v>287.08983770462123</v>
      </c>
      <c r="L651" s="96"/>
    </row>
    <row r="652" spans="2:12" ht="13.5" thickBot="1">
      <c r="C652" s="133" t="s">
        <v>102</v>
      </c>
      <c r="D652" s="252">
        <v>1289.4690000000001</v>
      </c>
      <c r="E652" s="203">
        <f>D652*$J$600</f>
        <v>75.305814951731875</v>
      </c>
      <c r="L652" s="99">
        <f>J716/J723</f>
        <v>4.2914562625566788</v>
      </c>
    </row>
    <row r="653" spans="2:12" ht="13.5" thickBot="1">
      <c r="C653" s="134" t="s">
        <v>43</v>
      </c>
      <c r="D653" s="173">
        <f>SUM(D649:D652)</f>
        <v>9019.8580000000002</v>
      </c>
      <c r="E653" s="173">
        <f>SUM(E649:E652)</f>
        <v>526.76548054966679</v>
      </c>
      <c r="L653" s="101"/>
    </row>
    <row r="654" spans="2:12">
      <c r="C654" s="201"/>
      <c r="D654" s="202"/>
      <c r="E654" s="202"/>
      <c r="L654" s="101"/>
    </row>
    <row r="655" spans="2:12">
      <c r="L655" s="101"/>
    </row>
    <row r="656" spans="2:12">
      <c r="B656" s="54" t="s">
        <v>167</v>
      </c>
      <c r="I656" s="54" t="s">
        <v>168</v>
      </c>
      <c r="J656" s="76">
        <f>Model!AQ211</f>
        <v>5.5219999999999998E-2</v>
      </c>
      <c r="L656" s="99">
        <f>J720/J723</f>
        <v>2.3600506182399044</v>
      </c>
    </row>
    <row r="657" spans="3:12">
      <c r="C657" s="107"/>
      <c r="D657" s="414" t="s">
        <v>169</v>
      </c>
      <c r="E657" s="415"/>
      <c r="F657" s="94" t="s">
        <v>60</v>
      </c>
      <c r="G657" s="391"/>
      <c r="L657" s="103"/>
    </row>
    <row r="658" spans="3:12">
      <c r="C658" s="192" t="s">
        <v>17</v>
      </c>
      <c r="D658" s="193">
        <f>+J661</f>
        <v>106963.7</v>
      </c>
      <c r="E658" s="172">
        <f>D658*$J656</f>
        <v>5906.5355139999992</v>
      </c>
      <c r="F658" s="194">
        <f>+D658/D663</f>
        <v>4.0689255802288393</v>
      </c>
      <c r="G658" s="286"/>
      <c r="H658" s="199"/>
      <c r="I658" s="54" t="s">
        <v>123</v>
      </c>
      <c r="L658" s="99">
        <f>J722/J723</f>
        <v>9.6701145347032629</v>
      </c>
    </row>
    <row r="659" spans="3:12">
      <c r="C659" s="195" t="s">
        <v>18</v>
      </c>
      <c r="D659" s="204">
        <f>Model!AQ113</f>
        <v>43549.512000000002</v>
      </c>
      <c r="E659" s="204">
        <f>D659*$J$656</f>
        <v>2404.80405264</v>
      </c>
      <c r="F659" s="197"/>
      <c r="G659" s="288"/>
      <c r="I659" s="107"/>
      <c r="J659" s="414" t="s">
        <v>169</v>
      </c>
      <c r="K659" s="415"/>
      <c r="L659" s="106"/>
    </row>
    <row r="660" spans="3:12">
      <c r="C660" s="192" t="s">
        <v>19</v>
      </c>
      <c r="D660" s="205">
        <f>+D658-D659</f>
        <v>63414.187999999995</v>
      </c>
      <c r="E660" s="205">
        <f>D660*$J$656</f>
        <v>3501.7314613599997</v>
      </c>
      <c r="F660" s="194">
        <f>+D660/D663</f>
        <v>2.4122913820542924</v>
      </c>
      <c r="G660" s="286"/>
      <c r="I660" s="108"/>
      <c r="J660" s="180" t="s">
        <v>124</v>
      </c>
      <c r="K660" s="181" t="s">
        <v>125</v>
      </c>
    </row>
    <row r="661" spans="3:12">
      <c r="C661" s="195" t="s">
        <v>20</v>
      </c>
      <c r="D661" s="204">
        <f>Model!AQ120</f>
        <v>143764.87599999999</v>
      </c>
      <c r="E661" s="204">
        <f>D661*$J$656</f>
        <v>7938.6964527199989</v>
      </c>
      <c r="F661" s="103"/>
      <c r="I661" s="110" t="s">
        <v>126</v>
      </c>
      <c r="J661" s="245">
        <v>106963.7</v>
      </c>
      <c r="K661" s="154">
        <f>J661*$J$711</f>
        <v>5492.0774286301094</v>
      </c>
    </row>
    <row r="662" spans="3:12">
      <c r="C662" s="192" t="s">
        <v>21</v>
      </c>
      <c r="D662" s="205">
        <f>D658+D661</f>
        <v>250728.576</v>
      </c>
      <c r="E662" s="205">
        <f>D662*$J$656</f>
        <v>13845.231966719999</v>
      </c>
      <c r="F662" s="194">
        <f>D662/D663</f>
        <v>9.5377769895838558</v>
      </c>
      <c r="G662" s="286"/>
      <c r="I662" s="157" t="s">
        <v>18</v>
      </c>
      <c r="J662" s="167">
        <f>D669</f>
        <v>43549.512000000002</v>
      </c>
      <c r="K662" s="153">
        <f>J662*$J$711</f>
        <v>2236.0603820086262</v>
      </c>
    </row>
    <row r="663" spans="3:12">
      <c r="C663" s="198" t="s">
        <v>22</v>
      </c>
      <c r="D663" s="206">
        <f>Model!AQ85</f>
        <v>26287.947000000004</v>
      </c>
      <c r="E663" s="206"/>
      <c r="F663" s="106"/>
      <c r="I663" s="111" t="s">
        <v>127</v>
      </c>
      <c r="J663" s="156">
        <f>D670</f>
        <v>0</v>
      </c>
      <c r="K663" s="153">
        <f>J663*$J$711</f>
        <v>0</v>
      </c>
    </row>
    <row r="664" spans="3:12">
      <c r="I664" s="111" t="s">
        <v>128</v>
      </c>
      <c r="J664" s="62">
        <v>0</v>
      </c>
      <c r="K664" s="153">
        <f>J664*$J$711</f>
        <v>0</v>
      </c>
    </row>
    <row r="665" spans="3:12">
      <c r="C665" s="114" t="s">
        <v>23</v>
      </c>
      <c r="D665" s="176">
        <f>D658-Model!AQ116</f>
        <v>0</v>
      </c>
      <c r="I665" s="110" t="s">
        <v>19</v>
      </c>
      <c r="J665" s="154">
        <f>J661-J662-J663-J664</f>
        <v>63414.187999999995</v>
      </c>
      <c r="K665" s="154">
        <f>K661-K662-K663-K664</f>
        <v>3256.0170466214831</v>
      </c>
    </row>
    <row r="666" spans="3:12" ht="13.5" thickBot="1">
      <c r="D666" s="412"/>
      <c r="E666" s="412"/>
      <c r="I666" s="112" t="s">
        <v>20</v>
      </c>
      <c r="J666" s="119">
        <f>+D661</f>
        <v>143764.87599999999</v>
      </c>
      <c r="K666" s="153">
        <f>J666*$J$711</f>
        <v>7381.6428424727874</v>
      </c>
    </row>
    <row r="667" spans="3:12">
      <c r="C667" s="59" t="s">
        <v>170</v>
      </c>
      <c r="D667" s="131" t="s">
        <v>58</v>
      </c>
      <c r="E667" s="132" t="s">
        <v>59</v>
      </c>
      <c r="I667" s="110" t="s">
        <v>21</v>
      </c>
      <c r="J667" s="154">
        <f>+J661+J666</f>
        <v>250728.576</v>
      </c>
      <c r="K667" s="154">
        <f>+K661+K666</f>
        <v>12873.720271102897</v>
      </c>
    </row>
    <row r="668" spans="3:12">
      <c r="C668" s="60"/>
      <c r="D668" s="117"/>
      <c r="E668" s="77"/>
      <c r="I668" s="113" t="s">
        <v>22</v>
      </c>
      <c r="J668" s="105">
        <f>D663</f>
        <v>26287.947000000004</v>
      </c>
      <c r="K668" s="105"/>
    </row>
    <row r="669" spans="3:12">
      <c r="C669" s="60" t="s">
        <v>28</v>
      </c>
      <c r="D669" s="163">
        <f>D659</f>
        <v>43549.512000000002</v>
      </c>
      <c r="E669" s="203">
        <f>D669*$J$656</f>
        <v>2404.80405264</v>
      </c>
    </row>
    <row r="670" spans="3:12">
      <c r="C670" s="60" t="s">
        <v>74</v>
      </c>
      <c r="D670" s="165">
        <v>0</v>
      </c>
      <c r="E670" s="203">
        <f>D670*$J$711</f>
        <v>0</v>
      </c>
    </row>
    <row r="671" spans="3:12">
      <c r="C671" s="60" t="s">
        <v>75</v>
      </c>
      <c r="D671" s="165">
        <v>600</v>
      </c>
      <c r="E671" s="203">
        <f>D671*$J$656</f>
        <v>33.131999999999998</v>
      </c>
    </row>
    <row r="672" spans="3:12" ht="13.5" thickBot="1">
      <c r="C672" s="152" t="s">
        <v>29</v>
      </c>
      <c r="D672" s="174">
        <f>SUM(D668:D671)</f>
        <v>44149.512000000002</v>
      </c>
      <c r="E672" s="175">
        <f>SUM(E668:E671)</f>
        <v>2437.9360526400001</v>
      </c>
    </row>
    <row r="673" spans="3:5" ht="13.5" thickBot="1"/>
    <row r="674" spans="3:5">
      <c r="C674" s="130" t="s">
        <v>171</v>
      </c>
      <c r="D674" s="131" t="s">
        <v>58</v>
      </c>
      <c r="E674" s="132" t="s">
        <v>59</v>
      </c>
    </row>
    <row r="675" spans="3:5">
      <c r="C675" s="259" t="s">
        <v>77</v>
      </c>
      <c r="D675" s="252">
        <v>1358.4960000000001</v>
      </c>
      <c r="E675" s="264">
        <f>D675*$J$656</f>
        <v>75.016149120000009</v>
      </c>
    </row>
    <row r="676" spans="3:5">
      <c r="C676" s="259" t="s">
        <v>78</v>
      </c>
      <c r="D676" s="252">
        <f>20211.137+2573.026</f>
        <v>22784.163</v>
      </c>
      <c r="E676" s="266">
        <f>D676*$J$656</f>
        <v>1258.14148086</v>
      </c>
    </row>
    <row r="677" spans="3:5">
      <c r="C677" s="259" t="s">
        <v>79</v>
      </c>
      <c r="D677" s="252">
        <f>7550+2123.385</f>
        <v>9673.3850000000002</v>
      </c>
      <c r="E677" s="266">
        <f>D677*$J$656</f>
        <v>534.16431969999996</v>
      </c>
    </row>
    <row r="678" spans="3:5">
      <c r="C678" s="259" t="s">
        <v>164</v>
      </c>
      <c r="D678" s="252">
        <f>72122.731+1997.286</f>
        <v>74120.016999999993</v>
      </c>
      <c r="E678" s="266">
        <f>D678*$J$656</f>
        <v>4092.9073387399994</v>
      </c>
    </row>
    <row r="679" spans="3:5">
      <c r="C679" s="261"/>
      <c r="D679" s="262">
        <f>SUM(D675:D678)</f>
        <v>107936.06099999999</v>
      </c>
      <c r="E679" s="265">
        <f>SUM(E675:E678)</f>
        <v>5960.2292884199996</v>
      </c>
    </row>
    <row r="680" spans="3:5" ht="13.5" thickBot="1">
      <c r="C680" s="259" t="s">
        <v>81</v>
      </c>
      <c r="D680" s="252">
        <v>-972.40499999999997</v>
      </c>
      <c r="E680" s="264">
        <f>D680*$J$656</f>
        <v>-53.696204099999996</v>
      </c>
    </row>
    <row r="681" spans="3:5" ht="13.5" thickBot="1">
      <c r="C681" s="134" t="s">
        <v>43</v>
      </c>
      <c r="D681" s="173">
        <f>SUM(D679:D680)</f>
        <v>106963.65599999999</v>
      </c>
      <c r="E681" s="173">
        <f>SUM(E679:E680)</f>
        <v>5906.5330843199999</v>
      </c>
    </row>
    <row r="682" spans="3:5">
      <c r="C682" s="255" t="s">
        <v>44</v>
      </c>
      <c r="D682" s="263">
        <f>D681-D658</f>
        <v>-4.400000000896398E-2</v>
      </c>
      <c r="E682" s="260"/>
    </row>
    <row r="683" spans="3:5" ht="13.5" thickBot="1">
      <c r="D683" s="412"/>
      <c r="E683" s="412"/>
    </row>
    <row r="684" spans="3:5">
      <c r="C684" s="131" t="s">
        <v>172</v>
      </c>
      <c r="D684" s="132" t="s">
        <v>58</v>
      </c>
      <c r="E684" s="132" t="s">
        <v>59</v>
      </c>
    </row>
    <row r="685" spans="3:5">
      <c r="C685" s="246" t="s">
        <v>83</v>
      </c>
      <c r="D685" s="251">
        <v>0</v>
      </c>
      <c r="E685" s="203">
        <f>D685*$J$656</f>
        <v>0</v>
      </c>
    </row>
    <row r="686" spans="3:5">
      <c r="C686" s="246" t="s">
        <v>84</v>
      </c>
      <c r="D686" s="252"/>
      <c r="E686" s="247"/>
    </row>
    <row r="687" spans="3:5">
      <c r="C687" s="249" t="s">
        <v>85</v>
      </c>
      <c r="D687" s="252">
        <v>4761.902</v>
      </c>
      <c r="E687" s="203">
        <f>D687*$J$656</f>
        <v>262.95222844</v>
      </c>
    </row>
    <row r="688" spans="3:5">
      <c r="C688" s="249" t="s">
        <v>86</v>
      </c>
      <c r="D688" s="252">
        <v>5395.0029999999997</v>
      </c>
      <c r="E688" s="203">
        <f t="shared" ref="E688:E700" si="12">D688*$J$656</f>
        <v>297.91206566</v>
      </c>
    </row>
    <row r="689" spans="3:12" ht="12.75" customHeight="1">
      <c r="C689" s="249" t="s">
        <v>87</v>
      </c>
      <c r="D689" s="252">
        <v>5392.3540000000003</v>
      </c>
      <c r="E689" s="203">
        <f t="shared" si="12"/>
        <v>297.76578788</v>
      </c>
    </row>
    <row r="690" spans="3:12" ht="12.75" customHeight="1">
      <c r="C690" s="249" t="s">
        <v>88</v>
      </c>
      <c r="D690" s="252">
        <v>10710.346</v>
      </c>
      <c r="E690" s="203">
        <f t="shared" si="12"/>
        <v>591.42530611999996</v>
      </c>
    </row>
    <row r="691" spans="3:12" ht="12.75" customHeight="1">
      <c r="C691" s="249" t="s">
        <v>89</v>
      </c>
      <c r="D691" s="252">
        <v>15712.638000000001</v>
      </c>
      <c r="E691" s="203">
        <f t="shared" si="12"/>
        <v>867.65187035999998</v>
      </c>
    </row>
    <row r="692" spans="3:12">
      <c r="C692" s="249" t="s">
        <v>90</v>
      </c>
      <c r="D692" s="252">
        <v>16116.236999999999</v>
      </c>
      <c r="E692" s="203">
        <f t="shared" si="12"/>
        <v>889.93860713999993</v>
      </c>
    </row>
    <row r="693" spans="3:12">
      <c r="C693" s="249" t="s">
        <v>91</v>
      </c>
      <c r="D693" s="252">
        <v>12387.815000000001</v>
      </c>
      <c r="E693" s="203">
        <f t="shared" si="12"/>
        <v>684.05514430000005</v>
      </c>
    </row>
    <row r="694" spans="3:12">
      <c r="C694" s="246" t="s">
        <v>92</v>
      </c>
      <c r="D694" s="252"/>
      <c r="E694" s="247"/>
    </row>
    <row r="695" spans="3:12">
      <c r="C695" s="249" t="s">
        <v>93</v>
      </c>
      <c r="D695" s="252">
        <v>4489.1869999999999</v>
      </c>
      <c r="E695" s="203">
        <f t="shared" si="12"/>
        <v>247.89290613999998</v>
      </c>
    </row>
    <row r="696" spans="3:12">
      <c r="C696" s="249" t="s">
        <v>94</v>
      </c>
      <c r="D696" s="252">
        <v>4489.7290000000003</v>
      </c>
      <c r="E696" s="203">
        <f t="shared" si="12"/>
        <v>247.92283538000001</v>
      </c>
    </row>
    <row r="697" spans="3:12">
      <c r="C697" s="249" t="s">
        <v>95</v>
      </c>
      <c r="D697" s="252">
        <v>6433.8370000000004</v>
      </c>
      <c r="E697" s="203">
        <f t="shared" si="12"/>
        <v>355.27647913999999</v>
      </c>
      <c r="L697" s="94" t="s">
        <v>60</v>
      </c>
    </row>
    <row r="698" spans="3:12">
      <c r="C698" s="249" t="s">
        <v>117</v>
      </c>
      <c r="D698" s="252">
        <v>9972.4150000000009</v>
      </c>
      <c r="E698" s="203">
        <f t="shared" si="12"/>
        <v>550.67675630000008</v>
      </c>
      <c r="L698" s="96"/>
    </row>
    <row r="699" spans="3:12">
      <c r="C699" s="249" t="s">
        <v>118</v>
      </c>
      <c r="D699" s="252">
        <v>3050</v>
      </c>
      <c r="E699" s="203">
        <f t="shared" si="12"/>
        <v>168.42099999999999</v>
      </c>
      <c r="L699" s="99">
        <f>J763/J770</f>
        <v>3.5449719122236352</v>
      </c>
    </row>
    <row r="700" spans="3:12" ht="13.5" thickBot="1">
      <c r="C700" s="250" t="s">
        <v>132</v>
      </c>
      <c r="D700" s="253">
        <v>0</v>
      </c>
      <c r="E700" s="203">
        <f t="shared" si="12"/>
        <v>0</v>
      </c>
      <c r="L700" s="101"/>
    </row>
    <row r="701" spans="3:12" ht="13.5" thickBot="1">
      <c r="C701" s="134" t="s">
        <v>43</v>
      </c>
      <c r="D701" s="248">
        <f>SUM(D687:D700)</f>
        <v>98911.463000000018</v>
      </c>
      <c r="E701" s="173">
        <f>SUM(E687:E700)</f>
        <v>5461.8909868600012</v>
      </c>
      <c r="L701" s="101"/>
    </row>
    <row r="702" spans="3:12">
      <c r="C702" s="255" t="s">
        <v>44</v>
      </c>
      <c r="D702" s="256">
        <f>D701-(Model!AQ107+Model!AQ106)</f>
        <v>-3.699999998207204E-2</v>
      </c>
      <c r="E702" s="254"/>
      <c r="L702" s="101"/>
    </row>
    <row r="703" spans="3:12" ht="13.5" thickBot="1">
      <c r="D703" s="412"/>
      <c r="E703" s="412"/>
      <c r="L703" s="99">
        <f>J767/J770</f>
        <v>1.8134535346356833</v>
      </c>
    </row>
    <row r="704" spans="3:12">
      <c r="C704" s="130" t="s">
        <v>173</v>
      </c>
      <c r="D704" s="131" t="s">
        <v>58</v>
      </c>
      <c r="E704" s="132" t="s">
        <v>59</v>
      </c>
      <c r="H704" s="258"/>
      <c r="L704" s="103"/>
    </row>
    <row r="705" spans="2:12">
      <c r="C705" s="133" t="s">
        <v>99</v>
      </c>
      <c r="D705" s="252">
        <v>2482.877</v>
      </c>
      <c r="E705" s="203">
        <f>D705*$J$656</f>
        <v>137.10446794000001</v>
      </c>
      <c r="L705" s="99">
        <f>J769/J770</f>
        <v>8.259453081222647</v>
      </c>
    </row>
    <row r="706" spans="2:12">
      <c r="C706" s="133" t="s">
        <v>134</v>
      </c>
      <c r="D706" s="252">
        <v>589.995</v>
      </c>
      <c r="E706" s="203">
        <f>D706*$J$656</f>
        <v>32.579523899999998</v>
      </c>
      <c r="L706" s="106"/>
    </row>
    <row r="707" spans="2:12">
      <c r="C707" s="133" t="s">
        <v>135</v>
      </c>
      <c r="D707" s="252">
        <v>4979.3209999999999</v>
      </c>
      <c r="E707" s="203">
        <f>D707*$J$656</f>
        <v>274.95810561999997</v>
      </c>
    </row>
    <row r="708" spans="2:12" ht="13.5" thickBot="1">
      <c r="C708" s="133" t="s">
        <v>102</v>
      </c>
      <c r="D708" s="252">
        <v>1358.4960000000001</v>
      </c>
      <c r="E708" s="203">
        <f>D708*$J$656</f>
        <v>75.016149120000009</v>
      </c>
    </row>
    <row r="709" spans="2:12" ht="13.5" thickBot="1">
      <c r="C709" s="134" t="s">
        <v>43</v>
      </c>
      <c r="D709" s="173">
        <f>SUM(D705:D708)</f>
        <v>9410.6889999999985</v>
      </c>
      <c r="E709" s="173">
        <f>SUM(E705:E708)</f>
        <v>519.65824657999997</v>
      </c>
    </row>
    <row r="711" spans="2:12">
      <c r="B711" s="54" t="s">
        <v>174</v>
      </c>
      <c r="I711" s="54" t="s">
        <v>175</v>
      </c>
      <c r="J711" s="76">
        <f>Model!AP211</f>
        <v>5.1345245430273162E-2</v>
      </c>
    </row>
    <row r="712" spans="2:12">
      <c r="C712" s="107"/>
      <c r="D712" s="414" t="s">
        <v>176</v>
      </c>
      <c r="E712" s="415"/>
      <c r="F712" s="94" t="s">
        <v>60</v>
      </c>
      <c r="G712" s="391"/>
    </row>
    <row r="713" spans="2:12">
      <c r="C713" s="192" t="s">
        <v>17</v>
      </c>
      <c r="D713" s="193">
        <f>+J716</f>
        <v>113609.7</v>
      </c>
      <c r="E713" s="172">
        <f>D713*$J711</f>
        <v>5833.3179297597044</v>
      </c>
      <c r="F713" s="194">
        <f>+D713/D718</f>
        <v>4.2914562625566788</v>
      </c>
      <c r="G713" s="286"/>
      <c r="H713" s="199"/>
      <c r="I713" s="54" t="s">
        <v>123</v>
      </c>
    </row>
    <row r="714" spans="2:12">
      <c r="C714" s="195" t="s">
        <v>18</v>
      </c>
      <c r="D714" s="204">
        <f>Model!AP113</f>
        <v>51130.991999999998</v>
      </c>
      <c r="E714" s="204">
        <f>D714*$J$711</f>
        <v>2625.3333333333335</v>
      </c>
      <c r="F714" s="197"/>
      <c r="G714" s="288"/>
      <c r="I714" s="107"/>
      <c r="J714" s="414" t="s">
        <v>176</v>
      </c>
      <c r="K714" s="415"/>
    </row>
    <row r="715" spans="2:12">
      <c r="C715" s="192" t="s">
        <v>19</v>
      </c>
      <c r="D715" s="205">
        <f>+D713-D714</f>
        <v>62478.707999999999</v>
      </c>
      <c r="E715" s="205">
        <f>D715*$J$711</f>
        <v>3207.9845964263714</v>
      </c>
      <c r="F715" s="194">
        <f>+D715/D718</f>
        <v>2.3600506182399044</v>
      </c>
      <c r="G715" s="286"/>
      <c r="I715" s="108"/>
      <c r="J715" s="180" t="s">
        <v>124</v>
      </c>
      <c r="K715" s="181" t="s">
        <v>125</v>
      </c>
    </row>
    <row r="716" spans="2:12">
      <c r="C716" s="195" t="s">
        <v>20</v>
      </c>
      <c r="D716" s="204">
        <f>Model!AP120</f>
        <v>142391.70000000001</v>
      </c>
      <c r="E716" s="204">
        <f>D716*$J$711</f>
        <v>7311.1367837338275</v>
      </c>
      <c r="F716" s="103"/>
      <c r="I716" s="110" t="s">
        <v>126</v>
      </c>
      <c r="J716" s="245">
        <v>113609.7</v>
      </c>
      <c r="K716" s="154">
        <f>J716*$J$711</f>
        <v>5833.3179297597044</v>
      </c>
    </row>
    <row r="717" spans="2:12">
      <c r="C717" s="192" t="s">
        <v>21</v>
      </c>
      <c r="D717" s="205">
        <f>D713+D716</f>
        <v>256001.40000000002</v>
      </c>
      <c r="E717" s="205">
        <f>D717*$J$711</f>
        <v>13144.454713493533</v>
      </c>
      <c r="F717" s="194">
        <f>D717/D718</f>
        <v>9.6701145347032629</v>
      </c>
      <c r="G717" s="286"/>
      <c r="I717" s="157" t="s">
        <v>18</v>
      </c>
      <c r="J717" s="167">
        <f>D724</f>
        <v>51130.991999999998</v>
      </c>
      <c r="K717" s="153">
        <f>J717*$J$711</f>
        <v>2625.3333333333335</v>
      </c>
    </row>
    <row r="718" spans="2:12">
      <c r="C718" s="198" t="s">
        <v>22</v>
      </c>
      <c r="D718" s="206">
        <f>Model!AP85</f>
        <v>26473.461000000003</v>
      </c>
      <c r="E718" s="206"/>
      <c r="F718" s="106"/>
      <c r="I718" s="111" t="s">
        <v>127</v>
      </c>
      <c r="J718" s="156">
        <f>D725</f>
        <v>0</v>
      </c>
      <c r="K718" s="153">
        <f>J718*$J$711</f>
        <v>0</v>
      </c>
    </row>
    <row r="719" spans="2:12">
      <c r="I719" s="111" t="s">
        <v>128</v>
      </c>
      <c r="J719" s="62">
        <v>0</v>
      </c>
      <c r="K719" s="153">
        <f>J719*$J$711</f>
        <v>0</v>
      </c>
    </row>
    <row r="720" spans="2:12">
      <c r="C720" s="114" t="s">
        <v>23</v>
      </c>
      <c r="D720" s="176">
        <f>D713-Model!AP116</f>
        <v>5.0000000002910383E-2</v>
      </c>
      <c r="I720" s="110" t="s">
        <v>19</v>
      </c>
      <c r="J720" s="154">
        <f>J716-J717-J718-J719</f>
        <v>62478.707999999999</v>
      </c>
      <c r="K720" s="154">
        <f>K716-K717-K718-K719</f>
        <v>3207.9845964263709</v>
      </c>
    </row>
    <row r="721" spans="3:12" ht="13.5" thickBot="1">
      <c r="D721" s="412"/>
      <c r="E721" s="412"/>
      <c r="I721" s="112" t="s">
        <v>20</v>
      </c>
      <c r="J721" s="119">
        <f>+D716</f>
        <v>142391.70000000001</v>
      </c>
      <c r="K721" s="153">
        <f>J721*$J$711</f>
        <v>7311.1367837338275</v>
      </c>
    </row>
    <row r="722" spans="3:12" ht="12.75" customHeight="1">
      <c r="C722" s="59" t="s">
        <v>177</v>
      </c>
      <c r="D722" s="131" t="s">
        <v>58</v>
      </c>
      <c r="E722" s="132" t="s">
        <v>59</v>
      </c>
      <c r="I722" s="110" t="s">
        <v>21</v>
      </c>
      <c r="J722" s="154">
        <f>+J716+J721</f>
        <v>256001.40000000002</v>
      </c>
      <c r="K722" s="154">
        <f>+K716+K721</f>
        <v>13144.454713493531</v>
      </c>
    </row>
    <row r="723" spans="3:12" ht="12.75" customHeight="1">
      <c r="C723" s="60"/>
      <c r="D723" s="117"/>
      <c r="E723" s="77"/>
      <c r="I723" s="113" t="s">
        <v>22</v>
      </c>
      <c r="J723" s="105">
        <f>D718</f>
        <v>26473.461000000003</v>
      </c>
      <c r="K723" s="105"/>
    </row>
    <row r="724" spans="3:12" ht="12.75" customHeight="1">
      <c r="C724" s="60" t="s">
        <v>28</v>
      </c>
      <c r="D724" s="163">
        <f>D714</f>
        <v>51130.991999999998</v>
      </c>
      <c r="E724" s="203">
        <f>D724*$J$711</f>
        <v>2625.3333333333335</v>
      </c>
    </row>
    <row r="725" spans="3:12">
      <c r="C725" s="60" t="s">
        <v>74</v>
      </c>
      <c r="D725" s="165">
        <v>0</v>
      </c>
      <c r="E725" s="203">
        <f>D725*$J$711</f>
        <v>0</v>
      </c>
    </row>
    <row r="726" spans="3:12">
      <c r="C726" s="60" t="s">
        <v>75</v>
      </c>
      <c r="D726" s="356"/>
      <c r="E726" s="203">
        <f>D726*$J$711</f>
        <v>0</v>
      </c>
    </row>
    <row r="727" spans="3:12" ht="13.5" thickBot="1">
      <c r="C727" s="152" t="s">
        <v>29</v>
      </c>
      <c r="D727" s="174">
        <f>SUM(D723:D726)</f>
        <v>51130.991999999998</v>
      </c>
      <c r="E727" s="175">
        <f>SUM(E723:E726)</f>
        <v>2625.3333333333335</v>
      </c>
    </row>
    <row r="730" spans="3:12" ht="13.5" thickBot="1">
      <c r="D730" s="412"/>
      <c r="E730" s="412"/>
    </row>
    <row r="731" spans="3:12">
      <c r="C731" s="131" t="s">
        <v>178</v>
      </c>
      <c r="D731" s="132" t="s">
        <v>58</v>
      </c>
      <c r="E731" s="132" t="s">
        <v>59</v>
      </c>
    </row>
    <row r="732" spans="3:12">
      <c r="C732" s="246" t="s">
        <v>83</v>
      </c>
      <c r="D732" s="251">
        <v>1000</v>
      </c>
      <c r="E732" s="203">
        <f t="shared" ref="E732:E740" si="13">D732*$J$711</f>
        <v>51.34524543027316</v>
      </c>
      <c r="L732" s="94" t="s">
        <v>60</v>
      </c>
    </row>
    <row r="733" spans="3:12">
      <c r="C733" s="246" t="s">
        <v>84</v>
      </c>
      <c r="D733" s="252"/>
      <c r="E733" s="247"/>
      <c r="L733" s="96"/>
    </row>
    <row r="734" spans="3:12">
      <c r="C734" s="249" t="s">
        <v>85</v>
      </c>
      <c r="D734" s="252">
        <v>5142.6890000000003</v>
      </c>
      <c r="E734" s="203">
        <f t="shared" si="13"/>
        <v>264.05262887656608</v>
      </c>
      <c r="L734" s="99">
        <f>J798/J805</f>
        <v>3.362028330023541</v>
      </c>
    </row>
    <row r="735" spans="3:12">
      <c r="C735" s="249" t="s">
        <v>86</v>
      </c>
      <c r="D735" s="252">
        <v>5828.3109999999997</v>
      </c>
      <c r="E735" s="203">
        <f t="shared" si="13"/>
        <v>299.2560587389608</v>
      </c>
      <c r="L735" s="101"/>
    </row>
    <row r="736" spans="3:12">
      <c r="C736" s="249" t="s">
        <v>87</v>
      </c>
      <c r="D736" s="252">
        <v>5826.4629999999997</v>
      </c>
      <c r="E736" s="203">
        <f t="shared" si="13"/>
        <v>299.16117272540566</v>
      </c>
      <c r="L736" s="101"/>
    </row>
    <row r="737" spans="3:12">
      <c r="C737" s="249" t="s">
        <v>88</v>
      </c>
      <c r="D737" s="252">
        <v>11577.853999999999</v>
      </c>
      <c r="E737" s="203">
        <f t="shared" si="13"/>
        <v>594.46775518586981</v>
      </c>
      <c r="L737" s="101"/>
    </row>
    <row r="738" spans="3:12">
      <c r="C738" s="249" t="s">
        <v>89</v>
      </c>
      <c r="D738" s="252">
        <v>16997.260999999999</v>
      </c>
      <c r="E738" s="203">
        <f t="shared" si="13"/>
        <v>872.72853768741015</v>
      </c>
      <c r="L738" s="99">
        <f>J802/J805</f>
        <v>1.6245309235576233</v>
      </c>
    </row>
    <row r="739" spans="3:12">
      <c r="C739" s="249" t="s">
        <v>90</v>
      </c>
      <c r="D739" s="252">
        <v>17418.689999999999</v>
      </c>
      <c r="E739" s="203">
        <f t="shared" si="13"/>
        <v>894.36691312384471</v>
      </c>
      <c r="L739" s="103"/>
    </row>
    <row r="740" spans="3:12">
      <c r="C740" s="249" t="s">
        <v>91</v>
      </c>
      <c r="D740" s="252">
        <v>13402.35</v>
      </c>
      <c r="E740" s="203">
        <f t="shared" si="13"/>
        <v>688.14695009242155</v>
      </c>
      <c r="L740" s="99">
        <f>J804/J805</f>
        <v>5.8489017764457705</v>
      </c>
    </row>
    <row r="741" spans="3:12">
      <c r="C741" s="246" t="s">
        <v>92</v>
      </c>
      <c r="D741" s="252"/>
      <c r="E741" s="247"/>
      <c r="L741" s="106"/>
    </row>
    <row r="742" spans="3:12">
      <c r="C742" s="249" t="s">
        <v>93</v>
      </c>
      <c r="D742" s="252">
        <v>4488.5969999999998</v>
      </c>
      <c r="E742" s="203">
        <f t="shared" ref="E742:E747" si="14">D742*$J$711</f>
        <v>230.4681146025878</v>
      </c>
    </row>
    <row r="743" spans="3:12">
      <c r="C743" s="249" t="s">
        <v>94</v>
      </c>
      <c r="D743" s="252">
        <v>4489.5469999999996</v>
      </c>
      <c r="E743" s="203">
        <f t="shared" si="14"/>
        <v>230.51689258574658</v>
      </c>
    </row>
    <row r="744" spans="3:12">
      <c r="C744" s="249" t="s">
        <v>95</v>
      </c>
      <c r="D744" s="252">
        <v>6451.6450000000004</v>
      </c>
      <c r="E744" s="203">
        <f t="shared" si="14"/>
        <v>331.2612959539947</v>
      </c>
    </row>
    <row r="745" spans="3:12">
      <c r="C745" s="249" t="s">
        <v>117</v>
      </c>
      <c r="D745" s="252">
        <v>9967.2430000000004</v>
      </c>
      <c r="E745" s="203">
        <f t="shared" si="14"/>
        <v>511.77053809817221</v>
      </c>
    </row>
    <row r="746" spans="3:12">
      <c r="C746" s="249" t="s">
        <v>118</v>
      </c>
      <c r="D746" s="252">
        <v>3650</v>
      </c>
      <c r="E746" s="203">
        <f t="shared" si="14"/>
        <v>187.41014582049704</v>
      </c>
    </row>
    <row r="747" spans="3:12" ht="13.5" thickBot="1">
      <c r="C747" s="250" t="s">
        <v>132</v>
      </c>
      <c r="D747" s="253">
        <v>0</v>
      </c>
      <c r="E747" s="203">
        <f t="shared" si="14"/>
        <v>0</v>
      </c>
    </row>
    <row r="748" spans="3:12" ht="13.5" thickBot="1">
      <c r="C748" s="134" t="s">
        <v>43</v>
      </c>
      <c r="D748" s="248">
        <f>SUM(D734:D747)</f>
        <v>105240.65000000001</v>
      </c>
      <c r="E748" s="173">
        <f>SUM(E734:E747)</f>
        <v>5403.6070034914774</v>
      </c>
    </row>
    <row r="749" spans="3:12">
      <c r="C749" s="255" t="s">
        <v>44</v>
      </c>
      <c r="D749" s="256">
        <f>D748-(Model!K107+Model!K106)</f>
        <v>0</v>
      </c>
      <c r="E749" s="254"/>
    </row>
    <row r="750" spans="3:12" ht="13.5" thickBot="1">
      <c r="D750" s="412"/>
      <c r="E750" s="412"/>
    </row>
    <row r="751" spans="3:12">
      <c r="C751" s="130" t="s">
        <v>179</v>
      </c>
      <c r="D751" s="131" t="s">
        <v>58</v>
      </c>
      <c r="E751" s="132" t="s">
        <v>59</v>
      </c>
    </row>
    <row r="752" spans="3:12">
      <c r="C752" s="133" t="s">
        <v>99</v>
      </c>
      <c r="D752" s="252">
        <v>2807.1840000000002</v>
      </c>
      <c r="E752" s="203">
        <f>D752*$J$711</f>
        <v>144.13555144793594</v>
      </c>
    </row>
    <row r="753" spans="2:12">
      <c r="C753" s="133" t="s">
        <v>134</v>
      </c>
      <c r="D753" s="252">
        <v>608.25</v>
      </c>
      <c r="E753" s="203">
        <f>D753*$J$711</f>
        <v>31.230745532963653</v>
      </c>
    </row>
    <row r="754" spans="2:12">
      <c r="C754" s="133" t="s">
        <v>135</v>
      </c>
      <c r="D754" s="252">
        <v>4953.6379999999999</v>
      </c>
      <c r="E754" s="203">
        <f>D754*$J$711</f>
        <v>254.34575888272749</v>
      </c>
    </row>
    <row r="755" spans="2:12" ht="12.75" customHeight="1" thickBot="1">
      <c r="C755" s="133" t="s">
        <v>102</v>
      </c>
      <c r="D755" s="252">
        <v>1373.2329999999999</v>
      </c>
      <c r="E755" s="203">
        <f>D755*$J$711</f>
        <v>70.508985417950299</v>
      </c>
    </row>
    <row r="756" spans="2:12" ht="12.75" customHeight="1" thickBot="1">
      <c r="C756" s="134" t="s">
        <v>43</v>
      </c>
      <c r="D756" s="173">
        <f>SUM(D752:D755)</f>
        <v>9742.3050000000003</v>
      </c>
      <c r="E756" s="173">
        <f>SUM(E752:E755)</f>
        <v>500.22104128157741</v>
      </c>
    </row>
    <row r="757" spans="2:12" ht="12.75" customHeight="1"/>
    <row r="758" spans="2:12">
      <c r="B758" s="54" t="s">
        <v>180</v>
      </c>
      <c r="I758" s="54" t="s">
        <v>181</v>
      </c>
      <c r="J758" s="76">
        <f>Model!AO211</f>
        <v>4.9600714250285199E-2</v>
      </c>
    </row>
    <row r="759" spans="2:12">
      <c r="C759" s="107"/>
      <c r="D759" s="414" t="s">
        <v>182</v>
      </c>
      <c r="E759" s="415"/>
      <c r="F759" s="94" t="s">
        <v>60</v>
      </c>
      <c r="G759" s="391"/>
    </row>
    <row r="760" spans="2:12">
      <c r="C760" s="192" t="s">
        <v>17</v>
      </c>
      <c r="D760" s="193">
        <f>+J763</f>
        <v>116025.3</v>
      </c>
      <c r="E760" s="172">
        <f>D760*$J758</f>
        <v>5754.9377511036155</v>
      </c>
      <c r="F760" s="194">
        <f>+D760/D765</f>
        <v>3.5449719122236352</v>
      </c>
      <c r="G760" s="286"/>
      <c r="H760" s="199"/>
      <c r="I760" s="54" t="s">
        <v>123</v>
      </c>
    </row>
    <row r="761" spans="2:12">
      <c r="C761" s="195" t="s">
        <v>18</v>
      </c>
      <c r="D761" s="204">
        <f>Model!AO113</f>
        <v>53912.5</v>
      </c>
      <c r="E761" s="204">
        <f>D761*$J$758</f>
        <v>2674.0985070185006</v>
      </c>
      <c r="F761" s="197"/>
      <c r="G761" s="288"/>
      <c r="I761" s="107"/>
      <c r="J761" s="414" t="s">
        <v>182</v>
      </c>
      <c r="K761" s="415"/>
    </row>
    <row r="762" spans="2:12">
      <c r="C762" s="192" t="s">
        <v>19</v>
      </c>
      <c r="D762" s="205">
        <f>+D760-D761</f>
        <v>62112.800000000003</v>
      </c>
      <c r="E762" s="205">
        <f>D762*$J$758</f>
        <v>3080.8392440851148</v>
      </c>
      <c r="F762" s="194">
        <f>+D762/D765</f>
        <v>1.8977596385405961</v>
      </c>
      <c r="G762" s="286"/>
      <c r="I762" s="108"/>
      <c r="J762" s="180" t="s">
        <v>124</v>
      </c>
      <c r="K762" s="181" t="s">
        <v>125</v>
      </c>
    </row>
    <row r="763" spans="2:12">
      <c r="C763" s="195" t="s">
        <v>20</v>
      </c>
      <c r="D763" s="204">
        <f>Model!AO120</f>
        <v>154302.79999999999</v>
      </c>
      <c r="E763" s="204">
        <f>D763*$J$758</f>
        <v>7653.5290908189063</v>
      </c>
      <c r="F763" s="103"/>
      <c r="I763" s="110" t="s">
        <v>126</v>
      </c>
      <c r="J763" s="245">
        <v>116025.3</v>
      </c>
      <c r="K763" s="154">
        <f>J763*$J$758</f>
        <v>5754.9377511036155</v>
      </c>
    </row>
    <row r="764" spans="2:12">
      <c r="C764" s="192" t="s">
        <v>21</v>
      </c>
      <c r="D764" s="205">
        <f>D760+D763</f>
        <v>270328.09999999998</v>
      </c>
      <c r="E764" s="205">
        <f>D764*$J$758</f>
        <v>13408.466841922522</v>
      </c>
      <c r="F764" s="194">
        <f>D764/D765</f>
        <v>8.259453081222647</v>
      </c>
      <c r="G764" s="286"/>
      <c r="I764" s="157" t="s">
        <v>18</v>
      </c>
      <c r="J764" s="167">
        <f>D771</f>
        <v>53912.5</v>
      </c>
      <c r="K764" s="153">
        <f>J764*$J$758</f>
        <v>2674.0985070185006</v>
      </c>
    </row>
    <row r="765" spans="2:12">
      <c r="C765" s="198" t="s">
        <v>22</v>
      </c>
      <c r="D765" s="206">
        <f>Model!AO85</f>
        <v>32729.540000000012</v>
      </c>
      <c r="E765" s="206"/>
      <c r="F765" s="106"/>
      <c r="I765" s="111" t="s">
        <v>127</v>
      </c>
      <c r="J765" s="156">
        <f>D772</f>
        <v>0</v>
      </c>
      <c r="K765" s="153">
        <f>J765*$J$758</f>
        <v>0</v>
      </c>
    </row>
    <row r="766" spans="2:12">
      <c r="I766" s="111" t="s">
        <v>128</v>
      </c>
      <c r="J766" s="62">
        <v>2759.3</v>
      </c>
      <c r="K766" s="153">
        <f>J766*$J$758</f>
        <v>136.86325083081195</v>
      </c>
    </row>
    <row r="767" spans="2:12">
      <c r="C767" s="114" t="s">
        <v>23</v>
      </c>
      <c r="D767" s="176">
        <f>D760-Model!AO116</f>
        <v>0</v>
      </c>
      <c r="I767" s="110" t="s">
        <v>19</v>
      </c>
      <c r="J767" s="154">
        <f>J763-J764-J765-J766</f>
        <v>59353.5</v>
      </c>
      <c r="K767" s="154">
        <f>K763-K764-K765-K766</f>
        <v>2943.9759932543029</v>
      </c>
      <c r="L767" s="94" t="s">
        <v>60</v>
      </c>
    </row>
    <row r="768" spans="2:12" ht="13.5" thickBot="1">
      <c r="D768" s="412"/>
      <c r="E768" s="412"/>
      <c r="I768" s="112" t="s">
        <v>20</v>
      </c>
      <c r="J768" s="119">
        <f>+D763</f>
        <v>154302.79999999999</v>
      </c>
      <c r="K768" s="153">
        <f>J768*$J$758</f>
        <v>7653.5290908189063</v>
      </c>
      <c r="L768" s="96"/>
    </row>
    <row r="769" spans="3:12">
      <c r="C769" s="59" t="s">
        <v>183</v>
      </c>
      <c r="D769" s="131" t="s">
        <v>58</v>
      </c>
      <c r="E769" s="132" t="s">
        <v>59</v>
      </c>
      <c r="I769" s="110" t="s">
        <v>21</v>
      </c>
      <c r="J769" s="154">
        <f>+J763+J768</f>
        <v>270328.09999999998</v>
      </c>
      <c r="K769" s="154">
        <f>+K763+K768</f>
        <v>13408.466841922522</v>
      </c>
      <c r="L769" s="99">
        <f>J833/J840</f>
        <v>3.1069275528218285</v>
      </c>
    </row>
    <row r="770" spans="3:12">
      <c r="C770" s="60"/>
      <c r="D770" s="117"/>
      <c r="E770" s="77"/>
      <c r="I770" s="113" t="s">
        <v>22</v>
      </c>
      <c r="J770" s="105">
        <f>D765</f>
        <v>32729.540000000012</v>
      </c>
      <c r="K770" s="105"/>
      <c r="L770" s="101"/>
    </row>
    <row r="771" spans="3:12">
      <c r="C771" s="60" t="s">
        <v>28</v>
      </c>
      <c r="D771" s="163">
        <f>D761</f>
        <v>53912.5</v>
      </c>
      <c r="E771" s="203">
        <f>D771*$J$758</f>
        <v>2674.0985070185006</v>
      </c>
      <c r="L771" s="101"/>
    </row>
    <row r="772" spans="3:12">
      <c r="C772" s="60" t="s">
        <v>74</v>
      </c>
      <c r="D772" s="165">
        <v>0</v>
      </c>
      <c r="E772" s="203">
        <f>D772*$J$758</f>
        <v>0</v>
      </c>
      <c r="L772" s="101"/>
    </row>
    <row r="773" spans="3:12">
      <c r="C773" s="60" t="s">
        <v>75</v>
      </c>
      <c r="D773" s="356"/>
      <c r="E773" s="203">
        <f>D773*$J$758</f>
        <v>0</v>
      </c>
      <c r="L773" s="99">
        <f>J837/J840</f>
        <v>3.0086069651284708</v>
      </c>
    </row>
    <row r="774" spans="3:12" ht="13.5" thickBot="1">
      <c r="C774" s="152" t="s">
        <v>29</v>
      </c>
      <c r="D774" s="174">
        <f>SUM(D770:D773)</f>
        <v>53912.5</v>
      </c>
      <c r="E774" s="175">
        <f>SUM(E770:E773)</f>
        <v>2674.0985070185006</v>
      </c>
      <c r="L774" s="103"/>
    </row>
    <row r="775" spans="3:12">
      <c r="L775" s="99">
        <f>J839/J840</f>
        <v>6.9057365117948262</v>
      </c>
    </row>
    <row r="776" spans="3:12">
      <c r="L776" s="106"/>
    </row>
    <row r="777" spans="3:12" ht="13.5" thickBot="1">
      <c r="D777" s="412"/>
      <c r="E777" s="412"/>
    </row>
    <row r="778" spans="3:12">
      <c r="C778" s="130" t="s">
        <v>184</v>
      </c>
      <c r="D778" s="131" t="s">
        <v>58</v>
      </c>
      <c r="E778" s="132" t="s">
        <v>59</v>
      </c>
    </row>
    <row r="779" spans="3:12">
      <c r="C779" s="133" t="s">
        <v>185</v>
      </c>
      <c r="D779" s="127"/>
      <c r="E779" s="357">
        <f>D779*$J$793</f>
        <v>0</v>
      </c>
    </row>
    <row r="780" spans="3:12">
      <c r="C780" s="133" t="s">
        <v>186</v>
      </c>
      <c r="D780" s="127"/>
      <c r="E780" s="357">
        <f>D780*$J$793</f>
        <v>0</v>
      </c>
    </row>
    <row r="781" spans="3:12">
      <c r="C781" s="133" t="s">
        <v>187</v>
      </c>
      <c r="D781" s="127"/>
      <c r="E781" s="357">
        <f>D781*$J$793</f>
        <v>0</v>
      </c>
    </row>
    <row r="782" spans="3:12" ht="13.5" thickBot="1">
      <c r="C782" s="133" t="s">
        <v>188</v>
      </c>
      <c r="D782" s="127"/>
      <c r="E782" s="357">
        <f>D782*$J$793</f>
        <v>0</v>
      </c>
    </row>
    <row r="783" spans="3:12" ht="13.5" thickBot="1">
      <c r="C783" s="134" t="s">
        <v>43</v>
      </c>
      <c r="D783" s="173"/>
      <c r="E783" s="173">
        <f>SUM(E779:E782)</f>
        <v>0</v>
      </c>
    </row>
    <row r="784" spans="3:12" ht="13.5" thickBot="1">
      <c r="D784" s="412"/>
      <c r="E784" s="412"/>
    </row>
    <row r="785" spans="2:11">
      <c r="C785" s="130" t="s">
        <v>189</v>
      </c>
      <c r="D785" s="131" t="s">
        <v>58</v>
      </c>
      <c r="E785" s="132" t="s">
        <v>59</v>
      </c>
    </row>
    <row r="786" spans="2:11">
      <c r="C786" s="133" t="s">
        <v>185</v>
      </c>
      <c r="D786" s="127"/>
      <c r="E786" s="357">
        <f>D786*$J$793</f>
        <v>0</v>
      </c>
    </row>
    <row r="787" spans="2:11">
      <c r="C787" s="133" t="s">
        <v>186</v>
      </c>
      <c r="D787" s="127"/>
      <c r="E787" s="357">
        <f>D787*$J$793</f>
        <v>0</v>
      </c>
    </row>
    <row r="788" spans="2:11">
      <c r="C788" s="133" t="s">
        <v>187</v>
      </c>
      <c r="D788" s="127"/>
      <c r="E788" s="357">
        <f>D788*$J$793</f>
        <v>0</v>
      </c>
    </row>
    <row r="789" spans="2:11" ht="13.5" thickBot="1">
      <c r="C789" s="133" t="s">
        <v>188</v>
      </c>
      <c r="D789" s="127"/>
      <c r="E789" s="357">
        <f>D789*$J$793</f>
        <v>0</v>
      </c>
    </row>
    <row r="790" spans="2:11" ht="12.75" customHeight="1" thickBot="1">
      <c r="C790" s="134" t="s">
        <v>43</v>
      </c>
      <c r="D790" s="173"/>
      <c r="E790" s="173">
        <f>SUM(E786:E789)</f>
        <v>0</v>
      </c>
    </row>
    <row r="791" spans="2:11" ht="12.75" customHeight="1"/>
    <row r="792" spans="2:11" ht="12.75" customHeight="1"/>
    <row r="793" spans="2:11">
      <c r="B793" s="54" t="s">
        <v>190</v>
      </c>
      <c r="I793" s="54" t="s">
        <v>191</v>
      </c>
      <c r="J793" s="76">
        <f>Model!AN211</f>
        <v>4.9724031624484112E-2</v>
      </c>
    </row>
    <row r="794" spans="2:11">
      <c r="C794" s="107"/>
      <c r="D794" s="414" t="s">
        <v>192</v>
      </c>
      <c r="E794" s="415"/>
      <c r="F794" s="94" t="s">
        <v>60</v>
      </c>
      <c r="G794" s="391"/>
    </row>
    <row r="795" spans="2:11">
      <c r="C795" s="192" t="s">
        <v>17</v>
      </c>
      <c r="D795" s="193">
        <f>+J798</f>
        <v>122307</v>
      </c>
      <c r="E795" s="172">
        <f>D795*$J793</f>
        <v>6081.5971358957786</v>
      </c>
      <c r="F795" s="194">
        <f>+D795/D800</f>
        <v>3.362028330023541</v>
      </c>
      <c r="G795" s="286"/>
      <c r="H795" s="199"/>
      <c r="I795" s="54" t="s">
        <v>123</v>
      </c>
    </row>
    <row r="796" spans="2:11">
      <c r="C796" s="195" t="s">
        <v>18</v>
      </c>
      <c r="D796" s="204">
        <f>Model!AN113</f>
        <v>59892.2</v>
      </c>
      <c r="E796" s="204">
        <f>D796*$J$793</f>
        <v>2978.0816468599273</v>
      </c>
      <c r="F796" s="197"/>
      <c r="G796" s="288"/>
      <c r="I796" s="107"/>
      <c r="J796" s="414" t="s">
        <v>192</v>
      </c>
      <c r="K796" s="415"/>
    </row>
    <row r="797" spans="2:11">
      <c r="C797" s="192" t="s">
        <v>19</v>
      </c>
      <c r="D797" s="205">
        <f>+D795-D796</f>
        <v>62414.8</v>
      </c>
      <c r="E797" s="205">
        <f>D797*$J$793</f>
        <v>3103.5154890358513</v>
      </c>
      <c r="F797" s="194">
        <f>+D797/D800</f>
        <v>1.7156853312791034</v>
      </c>
      <c r="G797" s="286"/>
      <c r="I797" s="108"/>
      <c r="J797" s="180" t="s">
        <v>124</v>
      </c>
      <c r="K797" s="181" t="s">
        <v>125</v>
      </c>
    </row>
    <row r="798" spans="2:11">
      <c r="C798" s="195" t="s">
        <v>20</v>
      </c>
      <c r="D798" s="204">
        <f>Model!AN120</f>
        <v>90469.8</v>
      </c>
      <c r="E798" s="204">
        <f>D798*$J$793</f>
        <v>4498.5231962607531</v>
      </c>
      <c r="F798" s="103"/>
      <c r="I798" s="110" t="s">
        <v>126</v>
      </c>
      <c r="J798" s="245">
        <v>122307</v>
      </c>
      <c r="K798" s="154">
        <f>J798*$J$793</f>
        <v>6081.5971358957786</v>
      </c>
    </row>
    <row r="799" spans="2:11">
      <c r="C799" s="192" t="s">
        <v>21</v>
      </c>
      <c r="D799" s="205">
        <f>D795+D798</f>
        <v>212776.8</v>
      </c>
      <c r="E799" s="205">
        <f>D799*$J$793</f>
        <v>10580.12033215653</v>
      </c>
      <c r="F799" s="194">
        <f>D799/D800</f>
        <v>5.8489017764457705</v>
      </c>
      <c r="G799" s="286"/>
      <c r="I799" s="157" t="s">
        <v>18</v>
      </c>
      <c r="J799" s="167">
        <f>D806</f>
        <v>59892.2</v>
      </c>
      <c r="K799" s="153">
        <f>J799*$J$793</f>
        <v>2978.0816468599273</v>
      </c>
    </row>
    <row r="800" spans="2:11">
      <c r="C800" s="198" t="s">
        <v>22</v>
      </c>
      <c r="D800" s="206">
        <f>Model!AN85</f>
        <v>36378.932000000015</v>
      </c>
      <c r="E800" s="206"/>
      <c r="F800" s="106"/>
      <c r="I800" s="111" t="s">
        <v>127</v>
      </c>
      <c r="J800" s="156">
        <f>D807</f>
        <v>0</v>
      </c>
      <c r="K800" s="153">
        <f>J800*$J$793</f>
        <v>0</v>
      </c>
    </row>
    <row r="801" spans="3:12">
      <c r="I801" s="111" t="s">
        <v>128</v>
      </c>
      <c r="J801" s="62">
        <v>3316.1</v>
      </c>
      <c r="K801" s="153">
        <f>J801*$J$793</f>
        <v>164.88986126995175</v>
      </c>
    </row>
    <row r="802" spans="3:12">
      <c r="C802" s="114" t="s">
        <v>23</v>
      </c>
      <c r="D802" s="176">
        <f>D795-Model!AN116</f>
        <v>0</v>
      </c>
      <c r="I802" s="110" t="s">
        <v>19</v>
      </c>
      <c r="J802" s="154">
        <f>J798-J799-J800-J801</f>
        <v>59098.700000000004</v>
      </c>
      <c r="K802" s="154">
        <f>K798-K799-K800-K801</f>
        <v>2938.6256277658995</v>
      </c>
    </row>
    <row r="803" spans="3:12" ht="13.5" thickBot="1">
      <c r="D803" s="412"/>
      <c r="E803" s="412"/>
      <c r="I803" s="112" t="s">
        <v>20</v>
      </c>
      <c r="J803" s="119">
        <f>+D798</f>
        <v>90469.8</v>
      </c>
      <c r="K803" s="153">
        <f>J803*$J$793</f>
        <v>4498.5231962607531</v>
      </c>
      <c r="L803" s="94" t="s">
        <v>60</v>
      </c>
    </row>
    <row r="804" spans="3:12">
      <c r="C804" s="59" t="s">
        <v>193</v>
      </c>
      <c r="D804" s="131" t="s">
        <v>58</v>
      </c>
      <c r="E804" s="132" t="s">
        <v>59</v>
      </c>
      <c r="I804" s="110" t="s">
        <v>21</v>
      </c>
      <c r="J804" s="154">
        <f>+J798+J803</f>
        <v>212776.8</v>
      </c>
      <c r="K804" s="154">
        <f>+K798+K803</f>
        <v>10580.120332156532</v>
      </c>
      <c r="L804" s="96"/>
    </row>
    <row r="805" spans="3:12">
      <c r="C805" s="60"/>
      <c r="D805" s="117"/>
      <c r="E805" s="77"/>
      <c r="I805" s="113" t="s">
        <v>22</v>
      </c>
      <c r="J805" s="105">
        <f>D800</f>
        <v>36378.932000000015</v>
      </c>
      <c r="K805" s="105"/>
      <c r="L805" s="99">
        <f>J869/J876</f>
        <v>3.287563332928229</v>
      </c>
    </row>
    <row r="806" spans="3:12">
      <c r="C806" s="60" t="s">
        <v>28</v>
      </c>
      <c r="D806" s="163">
        <f>D796</f>
        <v>59892.2</v>
      </c>
      <c r="E806" s="203">
        <f>D806*$J$793</f>
        <v>2978.0816468599273</v>
      </c>
      <c r="L806" s="101"/>
    </row>
    <row r="807" spans="3:12">
      <c r="C807" s="60" t="s">
        <v>74</v>
      </c>
      <c r="D807" s="165">
        <v>0</v>
      </c>
      <c r="E807" s="203">
        <f>D807*$J$793</f>
        <v>0</v>
      </c>
      <c r="L807" s="101"/>
    </row>
    <row r="808" spans="3:12">
      <c r="C808" s="60" t="s">
        <v>75</v>
      </c>
      <c r="D808" s="356"/>
      <c r="E808" s="203">
        <f>D808*$J$793</f>
        <v>0</v>
      </c>
      <c r="L808" s="101"/>
    </row>
    <row r="809" spans="3:12" ht="13.5" thickBot="1">
      <c r="C809" s="152" t="s">
        <v>29</v>
      </c>
      <c r="D809" s="174">
        <f>SUM(D805:D808)</f>
        <v>59892.2</v>
      </c>
      <c r="E809" s="175">
        <f>SUM(E805:E808)</f>
        <v>2978.0816468599273</v>
      </c>
      <c r="L809" s="99">
        <f>J873/J876</f>
        <v>2.5143857332059256</v>
      </c>
    </row>
    <row r="810" spans="3:12">
      <c r="L810" s="103"/>
    </row>
    <row r="811" spans="3:12">
      <c r="L811" s="99">
        <f>J875/J876</f>
        <v>5.6120540728960089</v>
      </c>
    </row>
    <row r="812" spans="3:12" ht="13.5" thickBot="1">
      <c r="D812" s="412"/>
      <c r="E812" s="412"/>
      <c r="L812" s="106"/>
    </row>
    <row r="813" spans="3:12">
      <c r="C813" s="130" t="s">
        <v>194</v>
      </c>
      <c r="D813" s="131" t="s">
        <v>58</v>
      </c>
      <c r="E813" s="132" t="s">
        <v>59</v>
      </c>
    </row>
    <row r="814" spans="3:12">
      <c r="C814" s="133" t="s">
        <v>185</v>
      </c>
      <c r="D814" s="127"/>
      <c r="E814" s="357">
        <f>D814*$J$793</f>
        <v>0</v>
      </c>
    </row>
    <row r="815" spans="3:12">
      <c r="C815" s="133" t="s">
        <v>186</v>
      </c>
      <c r="D815" s="127"/>
      <c r="E815" s="357">
        <f>D815*$J$793</f>
        <v>0</v>
      </c>
    </row>
    <row r="816" spans="3:12">
      <c r="C816" s="133" t="s">
        <v>187</v>
      </c>
      <c r="D816" s="127"/>
      <c r="E816" s="357">
        <f>D816*$J$793</f>
        <v>0</v>
      </c>
    </row>
    <row r="817" spans="2:11" ht="13.5" thickBot="1">
      <c r="C817" s="133" t="s">
        <v>188</v>
      </c>
      <c r="D817" s="127"/>
      <c r="E817" s="357">
        <f>D817*$J$793</f>
        <v>0</v>
      </c>
    </row>
    <row r="818" spans="2:11" ht="13.5" thickBot="1">
      <c r="C818" s="134" t="s">
        <v>43</v>
      </c>
      <c r="D818" s="173"/>
      <c r="E818" s="173">
        <f>SUM(E814:E817)</f>
        <v>0</v>
      </c>
    </row>
    <row r="819" spans="2:11" ht="13.5" thickBot="1">
      <c r="D819" s="412"/>
      <c r="E819" s="412"/>
    </row>
    <row r="820" spans="2:11">
      <c r="C820" s="130" t="s">
        <v>195</v>
      </c>
      <c r="D820" s="131" t="s">
        <v>58</v>
      </c>
      <c r="E820" s="132" t="s">
        <v>59</v>
      </c>
    </row>
    <row r="821" spans="2:11">
      <c r="C821" s="133" t="s">
        <v>185</v>
      </c>
      <c r="D821" s="127"/>
      <c r="E821" s="357">
        <f>D821*$J$793</f>
        <v>0</v>
      </c>
    </row>
    <row r="822" spans="2:11">
      <c r="C822" s="133" t="s">
        <v>186</v>
      </c>
      <c r="D822" s="127"/>
      <c r="E822" s="357">
        <f>D822*$J$793</f>
        <v>0</v>
      </c>
    </row>
    <row r="823" spans="2:11">
      <c r="C823" s="133" t="s">
        <v>187</v>
      </c>
      <c r="D823" s="127"/>
      <c r="E823" s="357">
        <f>D823*$J$793</f>
        <v>0</v>
      </c>
    </row>
    <row r="824" spans="2:11" ht="12.75" customHeight="1" thickBot="1">
      <c r="C824" s="133" t="s">
        <v>188</v>
      </c>
      <c r="D824" s="127"/>
      <c r="E824" s="357">
        <f>D824*$J$793</f>
        <v>0</v>
      </c>
    </row>
    <row r="825" spans="2:11" ht="12.75" customHeight="1" thickBot="1">
      <c r="C825" s="134" t="s">
        <v>43</v>
      </c>
      <c r="D825" s="173"/>
      <c r="E825" s="173">
        <f>SUM(E821:E824)</f>
        <v>0</v>
      </c>
    </row>
    <row r="826" spans="2:11" ht="12.75" customHeight="1"/>
    <row r="828" spans="2:11">
      <c r="B828" s="54" t="s">
        <v>196</v>
      </c>
      <c r="I828" s="54" t="s">
        <v>197</v>
      </c>
      <c r="J828" s="76">
        <f>Model!AM211</f>
        <v>5.0299027719794179E-2</v>
      </c>
    </row>
    <row r="829" spans="2:11">
      <c r="C829" s="107"/>
      <c r="D829" s="414" t="s">
        <v>198</v>
      </c>
      <c r="E829" s="415"/>
      <c r="F829" s="94" t="s">
        <v>60</v>
      </c>
      <c r="G829" s="391"/>
    </row>
    <row r="830" spans="2:11">
      <c r="C830" s="192" t="s">
        <v>17</v>
      </c>
      <c r="D830" s="193">
        <f>+J833</f>
        <v>121877.1</v>
      </c>
      <c r="E830" s="172">
        <f>D830*$J828</f>
        <v>6130.2996313081276</v>
      </c>
      <c r="F830" s="194">
        <f>+D830/D835</f>
        <v>3.1069275528218285</v>
      </c>
      <c r="G830" s="286"/>
      <c r="H830" s="199"/>
      <c r="I830" s="54" t="s">
        <v>123</v>
      </c>
    </row>
    <row r="831" spans="2:11">
      <c r="C831" s="195" t="s">
        <v>18</v>
      </c>
      <c r="D831" s="204"/>
      <c r="E831" s="204">
        <f>D831*$J$828</f>
        <v>0</v>
      </c>
      <c r="F831" s="197"/>
      <c r="G831" s="288"/>
      <c r="I831" s="107"/>
      <c r="J831" s="414" t="s">
        <v>198</v>
      </c>
      <c r="K831" s="415"/>
    </row>
    <row r="832" spans="2:11">
      <c r="C832" s="192" t="s">
        <v>19</v>
      </c>
      <c r="D832" s="205">
        <f>+D830-D831</f>
        <v>121877.1</v>
      </c>
      <c r="E832" s="205">
        <f>D832*$J$828</f>
        <v>6130.2996313081276</v>
      </c>
      <c r="F832" s="194">
        <f>+D832/D835</f>
        <v>3.1069275528218285</v>
      </c>
      <c r="G832" s="286"/>
      <c r="I832" s="108"/>
      <c r="J832" s="180" t="s">
        <v>124</v>
      </c>
      <c r="K832" s="181" t="s">
        <v>125</v>
      </c>
    </row>
    <row r="833" spans="3:12">
      <c r="C833" s="195" t="s">
        <v>20</v>
      </c>
      <c r="D833" s="204">
        <f>Model!AM120</f>
        <v>149017.9</v>
      </c>
      <c r="E833" s="204">
        <f>D833*$J$828</f>
        <v>7495.4554828455166</v>
      </c>
      <c r="F833" s="103"/>
      <c r="I833" s="110" t="s">
        <v>126</v>
      </c>
      <c r="J833" s="245">
        <v>121877.1</v>
      </c>
      <c r="K833" s="154">
        <f>J833*$J$864</f>
        <v>5944.3254922426368</v>
      </c>
    </row>
    <row r="834" spans="3:12">
      <c r="C834" s="192" t="s">
        <v>21</v>
      </c>
      <c r="D834" s="205">
        <f>D830+D833</f>
        <v>270895</v>
      </c>
      <c r="E834" s="205">
        <f>D834*$J$828</f>
        <v>13625.755114153644</v>
      </c>
      <c r="F834" s="194">
        <f>D834/D835</f>
        <v>6.9057365117948262</v>
      </c>
      <c r="G834" s="286"/>
      <c r="I834" s="157" t="s">
        <v>18</v>
      </c>
      <c r="J834" s="167">
        <f>D841</f>
        <v>0</v>
      </c>
      <c r="K834" s="153">
        <f>J834*$J$828</f>
        <v>0</v>
      </c>
    </row>
    <row r="835" spans="3:12">
      <c r="C835" s="198" t="s">
        <v>22</v>
      </c>
      <c r="D835" s="206">
        <f>Model!AM85</f>
        <v>39227.532000000014</v>
      </c>
      <c r="E835" s="206"/>
      <c r="F835" s="106"/>
      <c r="I835" s="111" t="s">
        <v>127</v>
      </c>
      <c r="J835" s="156">
        <f>D842</f>
        <v>0</v>
      </c>
      <c r="K835" s="153">
        <f>J835*$J$828</f>
        <v>0</v>
      </c>
    </row>
    <row r="836" spans="3:12">
      <c r="I836" s="111" t="s">
        <v>128</v>
      </c>
      <c r="J836" s="62">
        <v>3856.8739999999998</v>
      </c>
      <c r="K836" s="153">
        <f>J836*$J$828</f>
        <v>193.99701223775344</v>
      </c>
      <c r="L836" s="94" t="s">
        <v>60</v>
      </c>
    </row>
    <row r="837" spans="3:12">
      <c r="C837" s="114" t="s">
        <v>23</v>
      </c>
      <c r="D837" s="176">
        <f>D830-Model!AM116</f>
        <v>0</v>
      </c>
      <c r="I837" s="110" t="s">
        <v>19</v>
      </c>
      <c r="J837" s="154">
        <f>J833-J834-J835-J836</f>
        <v>118020.22600000001</v>
      </c>
      <c r="K837" s="154">
        <f>K833-K834-K835-K836</f>
        <v>5750.3284800048832</v>
      </c>
      <c r="L837" s="96"/>
    </row>
    <row r="838" spans="3:12" ht="13.5" thickBot="1">
      <c r="D838" s="412"/>
      <c r="E838" s="412"/>
      <c r="I838" s="112" t="s">
        <v>20</v>
      </c>
      <c r="J838" s="119">
        <f>+D833</f>
        <v>149017.9</v>
      </c>
      <c r="K838" s="153">
        <f>J838*$J$864</f>
        <v>7268.066780145441</v>
      </c>
      <c r="L838" s="99">
        <f>J902/J909</f>
        <v>3.2965137526898296</v>
      </c>
    </row>
    <row r="839" spans="3:12">
      <c r="C839" s="59" t="s">
        <v>199</v>
      </c>
      <c r="D839" s="131" t="s">
        <v>58</v>
      </c>
      <c r="E839" s="132" t="s">
        <v>59</v>
      </c>
      <c r="I839" s="110" t="s">
        <v>21</v>
      </c>
      <c r="J839" s="154">
        <f>+J833+J838</f>
        <v>270895</v>
      </c>
      <c r="K839" s="154">
        <f>+K833+K838</f>
        <v>13212.392272388079</v>
      </c>
      <c r="L839" s="101"/>
    </row>
    <row r="840" spans="3:12">
      <c r="C840" s="60"/>
      <c r="D840" s="117"/>
      <c r="E840" s="77"/>
      <c r="I840" s="113" t="s">
        <v>22</v>
      </c>
      <c r="J840" s="105">
        <f>D835</f>
        <v>39227.532000000014</v>
      </c>
      <c r="K840" s="105"/>
      <c r="L840" s="101"/>
    </row>
    <row r="841" spans="3:12">
      <c r="C841" s="60" t="s">
        <v>28</v>
      </c>
      <c r="D841" s="163">
        <f>D831</f>
        <v>0</v>
      </c>
      <c r="E841" s="203">
        <f>D841*$J$828</f>
        <v>0</v>
      </c>
      <c r="L841" s="101"/>
    </row>
    <row r="842" spans="3:12">
      <c r="C842" s="60" t="s">
        <v>74</v>
      </c>
      <c r="D842" s="165">
        <v>0</v>
      </c>
      <c r="E842" s="203">
        <f>D842*$J$828</f>
        <v>0</v>
      </c>
      <c r="L842" s="99">
        <f>J906/J909</f>
        <v>2.5759480575404252</v>
      </c>
    </row>
    <row r="843" spans="3:12">
      <c r="C843" s="60" t="s">
        <v>75</v>
      </c>
      <c r="D843" s="165">
        <v>650</v>
      </c>
      <c r="E843" s="203">
        <f>D843*$J$828</f>
        <v>32.694368017866218</v>
      </c>
      <c r="L843" s="103"/>
    </row>
    <row r="844" spans="3:12" ht="13.5" thickBot="1">
      <c r="C844" s="152" t="s">
        <v>29</v>
      </c>
      <c r="D844" s="174">
        <f>SUM(D840:D843)</f>
        <v>650</v>
      </c>
      <c r="E844" s="175">
        <f>SUM(E840:E843)</f>
        <v>32.694368017866218</v>
      </c>
      <c r="L844" s="99">
        <f>J908/J909</f>
        <v>5.5834185087943728</v>
      </c>
    </row>
    <row r="845" spans="3:12">
      <c r="L845" s="106"/>
    </row>
    <row r="847" spans="3:12" ht="13.5" thickBot="1">
      <c r="D847" s="412"/>
      <c r="E847" s="412"/>
    </row>
    <row r="848" spans="3:12">
      <c r="C848" s="130" t="s">
        <v>200</v>
      </c>
      <c r="D848" s="131" t="s">
        <v>58</v>
      </c>
      <c r="E848" s="132" t="s">
        <v>59</v>
      </c>
    </row>
    <row r="849" spans="2:10">
      <c r="C849" s="133" t="s">
        <v>185</v>
      </c>
      <c r="D849" s="127"/>
      <c r="E849" s="357">
        <f>D849*$J$828</f>
        <v>0</v>
      </c>
    </row>
    <row r="850" spans="2:10">
      <c r="C850" s="133" t="s">
        <v>186</v>
      </c>
      <c r="D850" s="127"/>
      <c r="E850" s="357">
        <f>D850*$J$828</f>
        <v>0</v>
      </c>
    </row>
    <row r="851" spans="2:10">
      <c r="C851" s="133" t="s">
        <v>187</v>
      </c>
      <c r="D851" s="127"/>
      <c r="E851" s="357">
        <f>D851*$J$828</f>
        <v>0</v>
      </c>
    </row>
    <row r="852" spans="2:10" ht="13.5" thickBot="1">
      <c r="C852" s="133" t="s">
        <v>188</v>
      </c>
      <c r="D852" s="127"/>
      <c r="E852" s="357">
        <f>D852*$J$828</f>
        <v>0</v>
      </c>
    </row>
    <row r="853" spans="2:10" ht="13.5" thickBot="1">
      <c r="C853" s="134" t="s">
        <v>43</v>
      </c>
      <c r="D853" s="173"/>
      <c r="E853" s="173">
        <f>SUM(E849:E852)</f>
        <v>0</v>
      </c>
    </row>
    <row r="854" spans="2:10" ht="13.5" thickBot="1">
      <c r="D854" s="412"/>
      <c r="E854" s="412"/>
    </row>
    <row r="855" spans="2:10">
      <c r="C855" s="130" t="s">
        <v>201</v>
      </c>
      <c r="D855" s="131" t="s">
        <v>58</v>
      </c>
      <c r="E855" s="132" t="s">
        <v>59</v>
      </c>
    </row>
    <row r="856" spans="2:10">
      <c r="C856" s="133" t="s">
        <v>185</v>
      </c>
      <c r="D856" s="127"/>
      <c r="E856" s="357">
        <f>D856*$J$828</f>
        <v>0</v>
      </c>
    </row>
    <row r="857" spans="2:10">
      <c r="C857" s="133" t="s">
        <v>186</v>
      </c>
      <c r="D857" s="127"/>
      <c r="E857" s="357">
        <f>D857*$J$828</f>
        <v>0</v>
      </c>
    </row>
    <row r="858" spans="2:10">
      <c r="C858" s="133" t="s">
        <v>187</v>
      </c>
      <c r="D858" s="127"/>
      <c r="E858" s="357">
        <f>D858*$J$828</f>
        <v>0</v>
      </c>
    </row>
    <row r="859" spans="2:10" ht="13.5" thickBot="1">
      <c r="C859" s="133" t="s">
        <v>188</v>
      </c>
      <c r="D859" s="127"/>
      <c r="E859" s="357">
        <f>D859*$J$828</f>
        <v>0</v>
      </c>
    </row>
    <row r="860" spans="2:10" ht="13.5" thickBot="1">
      <c r="C860" s="134" t="s">
        <v>43</v>
      </c>
      <c r="D860" s="173"/>
      <c r="E860" s="173">
        <f>SUM(E856:E859)</f>
        <v>0</v>
      </c>
    </row>
    <row r="861" spans="2:10" ht="12.75" customHeight="1"/>
    <row r="863" spans="2:10" ht="13.15" customHeight="1"/>
    <row r="864" spans="2:10">
      <c r="B864" s="54" t="s">
        <v>202</v>
      </c>
      <c r="I864" s="54" t="s">
        <v>203</v>
      </c>
      <c r="J864" s="76">
        <f>Model!AL211</f>
        <v>4.8773112358618941E-2</v>
      </c>
    </row>
    <row r="865" spans="3:12">
      <c r="C865" s="107"/>
      <c r="D865" s="414" t="s">
        <v>204</v>
      </c>
      <c r="E865" s="415"/>
      <c r="F865" s="94" t="s">
        <v>60</v>
      </c>
      <c r="G865" s="391"/>
    </row>
    <row r="866" spans="3:12">
      <c r="C866" s="192" t="s">
        <v>17</v>
      </c>
      <c r="D866" s="193">
        <f>+J869</f>
        <v>135472.70000000001</v>
      </c>
      <c r="E866" s="172">
        <f>D866*$J$864</f>
        <v>6607.4252186254771</v>
      </c>
      <c r="F866" s="194">
        <f>+D866/D871</f>
        <v>3.287563332928229</v>
      </c>
      <c r="G866" s="286"/>
      <c r="H866" s="199"/>
      <c r="I866" s="54" t="s">
        <v>123</v>
      </c>
    </row>
    <row r="867" spans="3:12">
      <c r="C867" s="195" t="s">
        <v>18</v>
      </c>
      <c r="D867" s="204">
        <f>Model!AL113</f>
        <v>25593.362000000001</v>
      </c>
      <c r="E867" s="204">
        <f>D867*$J$864</f>
        <v>1248.2679204608085</v>
      </c>
      <c r="F867" s="197"/>
      <c r="G867" s="288"/>
      <c r="I867" s="107"/>
      <c r="J867" s="414" t="s">
        <v>204</v>
      </c>
      <c r="K867" s="415"/>
    </row>
    <row r="868" spans="3:12">
      <c r="C868" s="192" t="s">
        <v>19</v>
      </c>
      <c r="D868" s="205">
        <f>+D866-D867</f>
        <v>109879.33800000002</v>
      </c>
      <c r="E868" s="205">
        <f>D868*$J$864</f>
        <v>5359.1572981646686</v>
      </c>
      <c r="F868" s="194">
        <f>+D868/D871</f>
        <v>2.666480277245729</v>
      </c>
      <c r="G868" s="286"/>
      <c r="I868" s="108"/>
      <c r="J868" s="180" t="s">
        <v>124</v>
      </c>
      <c r="K868" s="181" t="s">
        <v>125</v>
      </c>
    </row>
    <row r="869" spans="3:12">
      <c r="C869" s="195" t="s">
        <v>20</v>
      </c>
      <c r="D869" s="204">
        <f>Model!AL120</f>
        <v>95786.759000000005</v>
      </c>
      <c r="E869" s="204">
        <f>D869*$J$864</f>
        <v>4671.8183591749539</v>
      </c>
      <c r="F869" s="103"/>
      <c r="I869" s="110" t="s">
        <v>126</v>
      </c>
      <c r="J869" s="140">
        <v>135472.70000000001</v>
      </c>
      <c r="K869" s="154">
        <f>J869*$J$864</f>
        <v>6607.4252186254771</v>
      </c>
      <c r="L869" s="94" t="s">
        <v>60</v>
      </c>
    </row>
    <row r="870" spans="3:12">
      <c r="C870" s="192" t="s">
        <v>21</v>
      </c>
      <c r="D870" s="205">
        <f>D866+D869</f>
        <v>231259.45900000003</v>
      </c>
      <c r="E870" s="205">
        <f>D870*$J$864</f>
        <v>11279.243577800431</v>
      </c>
      <c r="F870" s="194">
        <f>D870/D871</f>
        <v>5.6120540728960089</v>
      </c>
      <c r="G870" s="286"/>
      <c r="I870" s="157" t="s">
        <v>18</v>
      </c>
      <c r="J870" s="167">
        <f>D877</f>
        <v>25593.362000000001</v>
      </c>
      <c r="K870" s="153">
        <f>J870*$J$864</f>
        <v>1248.2679204608085</v>
      </c>
      <c r="L870" s="96"/>
    </row>
    <row r="871" spans="3:12">
      <c r="C871" s="198" t="s">
        <v>22</v>
      </c>
      <c r="D871" s="206">
        <f>Model!AL85</f>
        <v>41207.63200000002</v>
      </c>
      <c r="E871" s="206"/>
      <c r="F871" s="106"/>
      <c r="I871" s="111" t="s">
        <v>127</v>
      </c>
      <c r="J871" s="156">
        <f>D878</f>
        <v>196.6</v>
      </c>
      <c r="K871" s="153">
        <f>J871*$J$864</f>
        <v>9.5887938897044833</v>
      </c>
      <c r="L871" s="99">
        <f>J935/J942</f>
        <v>3.2363099998921254</v>
      </c>
    </row>
    <row r="872" spans="3:12">
      <c r="I872" s="111" t="s">
        <v>128</v>
      </c>
      <c r="J872" s="62">
        <v>6070.8559999999998</v>
      </c>
      <c r="K872" s="153">
        <f>J872*$J$864</f>
        <v>296.09454180099596</v>
      </c>
      <c r="L872" s="101"/>
    </row>
    <row r="873" spans="3:12">
      <c r="C873" s="114" t="s">
        <v>23</v>
      </c>
      <c r="D873" s="176">
        <f>D866-Model!AL116</f>
        <v>-9.9999998928979039E-4</v>
      </c>
      <c r="I873" s="110" t="s">
        <v>19</v>
      </c>
      <c r="J873" s="154">
        <f>J869-J870-J871-J872</f>
        <v>103611.88200000001</v>
      </c>
      <c r="K873" s="154">
        <f>K869-K870-K871-K872</f>
        <v>5053.4739624739677</v>
      </c>
      <c r="L873" s="101"/>
    </row>
    <row r="874" spans="3:12" ht="13.5" thickBot="1">
      <c r="D874" s="412"/>
      <c r="E874" s="412"/>
      <c r="I874" s="112" t="s">
        <v>20</v>
      </c>
      <c r="J874" s="119">
        <f>+D869</f>
        <v>95786.759000000005</v>
      </c>
      <c r="K874" s="153">
        <f>J874*$J$864</f>
        <v>4671.8183591749539</v>
      </c>
      <c r="L874" s="101"/>
    </row>
    <row r="875" spans="3:12">
      <c r="C875" s="59" t="s">
        <v>205</v>
      </c>
      <c r="D875" s="131" t="s">
        <v>58</v>
      </c>
      <c r="E875" s="132" t="s">
        <v>59</v>
      </c>
      <c r="I875" s="110" t="s">
        <v>21</v>
      </c>
      <c r="J875" s="154">
        <f>+J869+J874</f>
        <v>231259.45900000003</v>
      </c>
      <c r="K875" s="154">
        <f>+K869+K874</f>
        <v>11279.243577800431</v>
      </c>
      <c r="L875" s="99">
        <f>J939/J942</f>
        <v>2.4712946126191153</v>
      </c>
    </row>
    <row r="876" spans="3:12">
      <c r="C876" s="60"/>
      <c r="D876" s="117"/>
      <c r="E876" s="77"/>
      <c r="I876" s="113" t="s">
        <v>22</v>
      </c>
      <c r="J876" s="105">
        <f>D871</f>
        <v>41207.63200000002</v>
      </c>
      <c r="K876" s="105"/>
      <c r="L876" s="103"/>
    </row>
    <row r="877" spans="3:12">
      <c r="C877" s="60" t="s">
        <v>28</v>
      </c>
      <c r="D877" s="163">
        <f>D867</f>
        <v>25593.362000000001</v>
      </c>
      <c r="E877" s="203">
        <f>D877*$J$864</f>
        <v>1248.2679204608085</v>
      </c>
      <c r="L877" s="99">
        <f>J941/J942</f>
        <v>5.4695572574438653</v>
      </c>
    </row>
    <row r="878" spans="3:12">
      <c r="C878" s="60" t="s">
        <v>74</v>
      </c>
      <c r="D878" s="165">
        <v>196.6</v>
      </c>
      <c r="E878" s="203">
        <f>D878*$J$864</f>
        <v>9.5887938897044833</v>
      </c>
      <c r="L878" s="106"/>
    </row>
    <row r="879" spans="3:12">
      <c r="C879" s="60" t="s">
        <v>75</v>
      </c>
      <c r="D879" s="165">
        <v>618</v>
      </c>
      <c r="E879" s="203">
        <f>D879*$J$864</f>
        <v>30.141783437626504</v>
      </c>
    </row>
    <row r="880" spans="3:12" ht="13.5" thickBot="1">
      <c r="C880" s="152" t="s">
        <v>29</v>
      </c>
      <c r="D880" s="174">
        <f>SUM(D876:D879)</f>
        <v>26407.962</v>
      </c>
      <c r="E880" s="175">
        <f>SUM(E876:E879)</f>
        <v>1287.9984977881395</v>
      </c>
    </row>
    <row r="881" spans="3:5" ht="12.75" customHeight="1"/>
    <row r="882" spans="3:5" ht="12.75" customHeight="1"/>
    <row r="883" spans="3:5" ht="12.75" customHeight="1" thickBot="1">
      <c r="D883" s="412"/>
      <c r="E883" s="412"/>
    </row>
    <row r="884" spans="3:5" ht="12.75" customHeight="1">
      <c r="C884" s="130" t="s">
        <v>206</v>
      </c>
      <c r="D884" s="131" t="s">
        <v>58</v>
      </c>
      <c r="E884" s="132" t="s">
        <v>59</v>
      </c>
    </row>
    <row r="885" spans="3:5" ht="12.75" customHeight="1">
      <c r="C885" s="133" t="s">
        <v>185</v>
      </c>
      <c r="D885" s="127"/>
      <c r="E885" s="357">
        <f>D885*$J$930</f>
        <v>0</v>
      </c>
    </row>
    <row r="886" spans="3:5" ht="12.75" customHeight="1">
      <c r="C886" s="133" t="s">
        <v>186</v>
      </c>
      <c r="D886" s="127"/>
      <c r="E886" s="357">
        <f>D886*$J$930</f>
        <v>0</v>
      </c>
    </row>
    <row r="887" spans="3:5" ht="12.75" customHeight="1">
      <c r="C887" s="133" t="s">
        <v>187</v>
      </c>
      <c r="D887" s="127"/>
      <c r="E887" s="357">
        <f>D887*$J$930</f>
        <v>0</v>
      </c>
    </row>
    <row r="888" spans="3:5" ht="12.75" customHeight="1" thickBot="1">
      <c r="C888" s="133" t="s">
        <v>188</v>
      </c>
      <c r="D888" s="127"/>
      <c r="E888" s="357">
        <f>D888*$J$930</f>
        <v>0</v>
      </c>
    </row>
    <row r="889" spans="3:5" ht="12.75" customHeight="1" thickBot="1">
      <c r="C889" s="134" t="s">
        <v>43</v>
      </c>
      <c r="D889" s="173"/>
      <c r="E889" s="173">
        <f>SUM(E885:E888)</f>
        <v>0</v>
      </c>
    </row>
    <row r="890" spans="3:5" ht="12.75" customHeight="1" thickBot="1">
      <c r="D890" s="412"/>
      <c r="E890" s="412"/>
    </row>
    <row r="891" spans="3:5" ht="12.75" customHeight="1">
      <c r="C891" s="130" t="s">
        <v>207</v>
      </c>
      <c r="D891" s="131" t="s">
        <v>58</v>
      </c>
      <c r="E891" s="132" t="s">
        <v>59</v>
      </c>
    </row>
    <row r="892" spans="3:5" ht="12.75" customHeight="1">
      <c r="C892" s="133" t="s">
        <v>185</v>
      </c>
      <c r="D892" s="127"/>
      <c r="E892" s="357">
        <f>D892*$J$930</f>
        <v>0</v>
      </c>
    </row>
    <row r="893" spans="3:5">
      <c r="C893" s="133" t="s">
        <v>186</v>
      </c>
      <c r="D893" s="127"/>
      <c r="E893" s="357">
        <f>D893*$J$930</f>
        <v>0</v>
      </c>
    </row>
    <row r="894" spans="3:5">
      <c r="C894" s="133" t="s">
        <v>187</v>
      </c>
      <c r="D894" s="127"/>
      <c r="E894" s="357">
        <f>D894*$J$930</f>
        <v>0</v>
      </c>
    </row>
    <row r="895" spans="3:5" ht="13.5" thickBot="1">
      <c r="C895" s="133" t="s">
        <v>188</v>
      </c>
      <c r="D895" s="127"/>
      <c r="E895" s="357">
        <f>D895*$J$930</f>
        <v>0</v>
      </c>
    </row>
    <row r="896" spans="3:5" ht="13.5" thickBot="1">
      <c r="C896" s="134" t="s">
        <v>43</v>
      </c>
      <c r="D896" s="173"/>
      <c r="E896" s="173">
        <f>SUM(E892:E895)</f>
        <v>0</v>
      </c>
    </row>
    <row r="897" spans="2:12">
      <c r="B897" s="54" t="s">
        <v>208</v>
      </c>
      <c r="I897" s="54" t="s">
        <v>209</v>
      </c>
      <c r="J897" s="76">
        <f>Model!AK211</f>
        <v>4.8420053649419446E-2</v>
      </c>
    </row>
    <row r="898" spans="2:12">
      <c r="C898" s="107"/>
      <c r="D898" s="414" t="s">
        <v>210</v>
      </c>
      <c r="E898" s="415"/>
      <c r="F898" s="94" t="s">
        <v>60</v>
      </c>
      <c r="G898" s="391"/>
    </row>
    <row r="899" spans="2:12">
      <c r="C899" s="192" t="s">
        <v>17</v>
      </c>
      <c r="D899" s="193">
        <f>+J902</f>
        <v>134643.20000000001</v>
      </c>
      <c r="E899" s="172">
        <f>D899*$J$897</f>
        <v>6519.4309675295126</v>
      </c>
      <c r="F899" s="194">
        <f>+D899/D904</f>
        <v>3.2965137526898296</v>
      </c>
      <c r="G899" s="286"/>
      <c r="H899" s="199"/>
      <c r="I899" s="54" t="s">
        <v>123</v>
      </c>
    </row>
    <row r="900" spans="2:12">
      <c r="C900" s="195" t="s">
        <v>18</v>
      </c>
      <c r="D900" s="204">
        <f>Model!AK113</f>
        <v>21704.781999999999</v>
      </c>
      <c r="E900" s="204">
        <f>D900*$J$897</f>
        <v>1050.9467088889535</v>
      </c>
      <c r="F900" s="197"/>
      <c r="G900" s="288"/>
      <c r="I900" s="107"/>
      <c r="J900" s="414" t="s">
        <v>210</v>
      </c>
      <c r="K900" s="415"/>
    </row>
    <row r="901" spans="2:12">
      <c r="C901" s="192" t="s">
        <v>19</v>
      </c>
      <c r="D901" s="205">
        <f>+D899-D900</f>
        <v>112938.41800000001</v>
      </c>
      <c r="E901" s="205">
        <f>D901*$J$897</f>
        <v>5468.4842586405593</v>
      </c>
      <c r="F901" s="194">
        <f>+D901/D904</f>
        <v>2.7651084358068774</v>
      </c>
      <c r="G901" s="286"/>
      <c r="I901" s="108"/>
      <c r="J901" s="180" t="s">
        <v>124</v>
      </c>
      <c r="K901" s="181" t="s">
        <v>125</v>
      </c>
    </row>
    <row r="902" spans="2:12">
      <c r="C902" s="195" t="s">
        <v>20</v>
      </c>
      <c r="D902" s="204">
        <f>Model!AK120</f>
        <v>93406.61</v>
      </c>
      <c r="E902" s="204">
        <f>D902*$J$897</f>
        <v>4522.7530674103991</v>
      </c>
      <c r="F902" s="103"/>
      <c r="I902" s="110" t="s">
        <v>126</v>
      </c>
      <c r="J902" s="140">
        <v>134643.20000000001</v>
      </c>
      <c r="K902" s="154">
        <f>J902*$J$897</f>
        <v>6519.4309675295126</v>
      </c>
    </row>
    <row r="903" spans="2:12">
      <c r="C903" s="192" t="s">
        <v>21</v>
      </c>
      <c r="D903" s="205">
        <f>D899+D902</f>
        <v>228049.81</v>
      </c>
      <c r="E903" s="205">
        <f>D903*$J$897</f>
        <v>11042.184034939912</v>
      </c>
      <c r="F903" s="194">
        <f>D903/D904</f>
        <v>5.5834185087943728</v>
      </c>
      <c r="G903" s="286"/>
      <c r="I903" s="157" t="s">
        <v>18</v>
      </c>
      <c r="J903" s="167">
        <f>D910</f>
        <v>21704.781999999999</v>
      </c>
      <c r="K903" s="153">
        <f>J903*$J$897</f>
        <v>1050.9467088889535</v>
      </c>
    </row>
    <row r="904" spans="2:12">
      <c r="C904" s="198" t="s">
        <v>22</v>
      </c>
      <c r="D904" s="206">
        <f>Model!AK85</f>
        <v>40844.119000000013</v>
      </c>
      <c r="E904" s="206"/>
      <c r="F904" s="106"/>
      <c r="I904" s="111" t="s">
        <v>127</v>
      </c>
      <c r="J904" s="156">
        <f>D911</f>
        <v>9.6999999999999993</v>
      </c>
      <c r="K904" s="153">
        <f>J904*$J$897</f>
        <v>0.46967452039936858</v>
      </c>
      <c r="L904" s="94" t="s">
        <v>60</v>
      </c>
    </row>
    <row r="905" spans="2:12">
      <c r="I905" s="111" t="s">
        <v>128</v>
      </c>
      <c r="J905" s="62">
        <v>7716.3890000000001</v>
      </c>
      <c r="K905" s="153">
        <f>J905*$J$897</f>
        <v>373.62796935979009</v>
      </c>
      <c r="L905" s="96"/>
    </row>
    <row r="906" spans="2:12">
      <c r="C906" s="114" t="s">
        <v>23</v>
      </c>
      <c r="D906" s="176">
        <f>D899-Model!AK116</f>
        <v>-1.2999999977182597E-2</v>
      </c>
      <c r="I906" s="110" t="s">
        <v>19</v>
      </c>
      <c r="J906" s="154">
        <f>J902-J903-J904-J905</f>
        <v>105212.32900000001</v>
      </c>
      <c r="K906" s="154">
        <f>K902-K903-K904-K905</f>
        <v>5094.3866147603703</v>
      </c>
      <c r="L906" s="99">
        <f>J970/J977</f>
        <v>3.4215427853113871</v>
      </c>
    </row>
    <row r="907" spans="2:12" ht="13.5" thickBot="1">
      <c r="D907" s="412"/>
      <c r="E907" s="412"/>
      <c r="I907" s="112" t="s">
        <v>20</v>
      </c>
      <c r="J907" s="119">
        <f>+D902</f>
        <v>93406.61</v>
      </c>
      <c r="K907" s="153">
        <f>J907*$J$897</f>
        <v>4522.7530674103991</v>
      </c>
      <c r="L907" s="101"/>
    </row>
    <row r="908" spans="2:12">
      <c r="C908" s="59" t="s">
        <v>211</v>
      </c>
      <c r="D908" s="131" t="s">
        <v>58</v>
      </c>
      <c r="E908" s="132" t="s">
        <v>59</v>
      </c>
      <c r="I908" s="110" t="s">
        <v>21</v>
      </c>
      <c r="J908" s="154">
        <f>+J902+J907</f>
        <v>228049.81</v>
      </c>
      <c r="K908" s="154">
        <f>+K902+K907</f>
        <v>11042.184034939912</v>
      </c>
      <c r="L908" s="101"/>
    </row>
    <row r="909" spans="2:12">
      <c r="C909" s="60"/>
      <c r="D909" s="117"/>
      <c r="E909" s="77"/>
      <c r="I909" s="113" t="s">
        <v>22</v>
      </c>
      <c r="J909" s="105">
        <f>D904</f>
        <v>40844.119000000013</v>
      </c>
      <c r="K909" s="105"/>
      <c r="L909" s="101"/>
    </row>
    <row r="910" spans="2:12">
      <c r="C910" s="60" t="s">
        <v>28</v>
      </c>
      <c r="D910" s="163">
        <f>D900</f>
        <v>21704.781999999999</v>
      </c>
      <c r="E910" s="203">
        <f>D910*$J$897</f>
        <v>1050.9467088889535</v>
      </c>
      <c r="L910" s="99">
        <f>J974/J977</f>
        <v>2.5541523174103746</v>
      </c>
    </row>
    <row r="911" spans="2:12">
      <c r="C911" s="60" t="s">
        <v>74</v>
      </c>
      <c r="D911" s="165">
        <v>9.6999999999999993</v>
      </c>
      <c r="E911" s="203">
        <f>D911*$J$897</f>
        <v>0.46967452039936858</v>
      </c>
      <c r="L911" s="103"/>
    </row>
    <row r="912" spans="2:12">
      <c r="C912" s="60" t="s">
        <v>75</v>
      </c>
      <c r="D912" s="165">
        <v>618</v>
      </c>
      <c r="E912" s="203">
        <f>D912*$J$930</f>
        <v>30.998419983447448</v>
      </c>
      <c r="L912" s="99">
        <f>J976/J977</f>
        <v>5.6887301783956827</v>
      </c>
    </row>
    <row r="913" spans="3:12" ht="13.5" thickBot="1">
      <c r="C913" s="152" t="s">
        <v>29</v>
      </c>
      <c r="D913" s="174">
        <f>SUM(D909:D912)</f>
        <v>22332.482</v>
      </c>
      <c r="E913" s="175">
        <f>SUM(E909:E912)</f>
        <v>1082.4148033928004</v>
      </c>
      <c r="L913" s="106"/>
    </row>
    <row r="916" spans="3:12" ht="13.5" thickBot="1">
      <c r="D916" s="412"/>
      <c r="E916" s="412"/>
    </row>
    <row r="917" spans="3:12">
      <c r="C917" s="130" t="s">
        <v>212</v>
      </c>
      <c r="D917" s="131" t="s">
        <v>58</v>
      </c>
      <c r="E917" s="132" t="s">
        <v>59</v>
      </c>
    </row>
    <row r="918" spans="3:12">
      <c r="C918" s="133" t="s">
        <v>185</v>
      </c>
      <c r="D918" s="127"/>
      <c r="E918" s="357">
        <f>D918*$J$930</f>
        <v>0</v>
      </c>
    </row>
    <row r="919" spans="3:12">
      <c r="C919" s="133" t="s">
        <v>186</v>
      </c>
      <c r="D919" s="127"/>
      <c r="E919" s="357">
        <f>D919*$J$930</f>
        <v>0</v>
      </c>
    </row>
    <row r="920" spans="3:12">
      <c r="C920" s="133" t="s">
        <v>187</v>
      </c>
      <c r="D920" s="127"/>
      <c r="E920" s="357">
        <f>D920*$J$930</f>
        <v>0</v>
      </c>
    </row>
    <row r="921" spans="3:12" ht="13.5" thickBot="1">
      <c r="C921" s="133" t="s">
        <v>188</v>
      </c>
      <c r="D921" s="127"/>
      <c r="E921" s="357">
        <f>D921*$J$930</f>
        <v>0</v>
      </c>
    </row>
    <row r="922" spans="3:12" ht="13.5" thickBot="1">
      <c r="C922" s="134" t="s">
        <v>43</v>
      </c>
      <c r="D922" s="173"/>
      <c r="E922" s="173">
        <f>SUM(E918:E921)</f>
        <v>0</v>
      </c>
    </row>
    <row r="923" spans="3:12" ht="13.5" thickBot="1">
      <c r="D923" s="412"/>
      <c r="E923" s="412"/>
    </row>
    <row r="924" spans="3:12">
      <c r="C924" s="130" t="s">
        <v>213</v>
      </c>
      <c r="D924" s="131" t="s">
        <v>58</v>
      </c>
      <c r="E924" s="132" t="s">
        <v>59</v>
      </c>
    </row>
    <row r="925" spans="3:12">
      <c r="C925" s="133" t="s">
        <v>185</v>
      </c>
      <c r="D925" s="127"/>
      <c r="E925" s="357">
        <f>D925*$J$930</f>
        <v>0</v>
      </c>
    </row>
    <row r="926" spans="3:12">
      <c r="C926" s="133" t="s">
        <v>186</v>
      </c>
      <c r="D926" s="127"/>
      <c r="E926" s="357">
        <f>D926*$J$930</f>
        <v>0</v>
      </c>
    </row>
    <row r="927" spans="3:12" ht="12.75" customHeight="1">
      <c r="C927" s="133" t="s">
        <v>187</v>
      </c>
      <c r="D927" s="127"/>
      <c r="E927" s="357">
        <f>D927*$J$930</f>
        <v>0</v>
      </c>
    </row>
    <row r="928" spans="3:12" ht="13.5" thickBot="1">
      <c r="C928" s="133" t="s">
        <v>188</v>
      </c>
      <c r="D928" s="127"/>
      <c r="E928" s="357">
        <f>D928*$J$930</f>
        <v>0</v>
      </c>
    </row>
    <row r="929" spans="2:12" ht="13.15" customHeight="1" thickBot="1">
      <c r="C929" s="134" t="s">
        <v>43</v>
      </c>
      <c r="D929" s="173"/>
      <c r="E929" s="173">
        <f>SUM(E925:E928)</f>
        <v>0</v>
      </c>
    </row>
    <row r="930" spans="2:12">
      <c r="B930" s="54" t="s">
        <v>214</v>
      </c>
      <c r="I930" s="54" t="s">
        <v>215</v>
      </c>
      <c r="J930" s="76">
        <f>Model!AJ211</f>
        <v>5.0159255636646354E-2</v>
      </c>
    </row>
    <row r="931" spans="2:12">
      <c r="C931" s="107"/>
      <c r="D931" s="414" t="s">
        <v>216</v>
      </c>
      <c r="E931" s="415"/>
      <c r="F931" s="94" t="s">
        <v>60</v>
      </c>
      <c r="G931" s="391"/>
    </row>
    <row r="932" spans="2:12">
      <c r="C932" s="192" t="s">
        <v>17</v>
      </c>
      <c r="D932" s="193">
        <f>+J935</f>
        <v>131104.29999999999</v>
      </c>
      <c r="E932" s="172">
        <f>D932*$J$930</f>
        <v>6576.094098763574</v>
      </c>
      <c r="F932" s="194">
        <f>+D932/D937</f>
        <v>3.2363099998921254</v>
      </c>
      <c r="G932" s="286"/>
      <c r="H932" s="199"/>
      <c r="I932" s="54" t="s">
        <v>123</v>
      </c>
    </row>
    <row r="933" spans="2:12">
      <c r="C933" s="195" t="s">
        <v>18</v>
      </c>
      <c r="D933" s="204">
        <f>Model!AJ113</f>
        <v>26381.3</v>
      </c>
      <c r="E933" s="204">
        <f>D933*$J$930</f>
        <v>1323.2663707270583</v>
      </c>
      <c r="F933" s="197"/>
      <c r="G933" s="288"/>
      <c r="I933" s="107"/>
      <c r="J933" s="414" t="s">
        <v>216</v>
      </c>
      <c r="K933" s="415"/>
    </row>
    <row r="934" spans="2:12">
      <c r="C934" s="192" t="s">
        <v>19</v>
      </c>
      <c r="D934" s="205">
        <f>+D932-D933</f>
        <v>104722.99999999999</v>
      </c>
      <c r="E934" s="205">
        <f>D934*$J$930</f>
        <v>5252.8277280365155</v>
      </c>
      <c r="F934" s="194">
        <f>+D934/D937</f>
        <v>2.58508753808001</v>
      </c>
      <c r="G934" s="286"/>
      <c r="I934" s="108"/>
      <c r="J934" s="180" t="s">
        <v>124</v>
      </c>
      <c r="K934" s="181" t="s">
        <v>125</v>
      </c>
    </row>
    <row r="935" spans="2:12">
      <c r="C935" s="195" t="s">
        <v>20</v>
      </c>
      <c r="D935" s="204">
        <f>Model!AJ120</f>
        <v>90469.8</v>
      </c>
      <c r="E935" s="204">
        <f>D935*$J$930</f>
        <v>4537.8978255962684</v>
      </c>
      <c r="F935" s="103"/>
      <c r="I935" s="110" t="s">
        <v>126</v>
      </c>
      <c r="J935" s="140">
        <v>131104.29999999999</v>
      </c>
      <c r="K935" s="154">
        <f>J935*$J$930</f>
        <v>6576.094098763574</v>
      </c>
    </row>
    <row r="936" spans="2:12">
      <c r="C936" s="192" t="s">
        <v>21</v>
      </c>
      <c r="D936" s="205">
        <f>D932+D935</f>
        <v>221574.09999999998</v>
      </c>
      <c r="E936" s="205">
        <f>D936*$J$930</f>
        <v>11113.991924359842</v>
      </c>
      <c r="F936" s="194">
        <f>D936/D937</f>
        <v>5.4695572574438653</v>
      </c>
      <c r="G936" s="286"/>
      <c r="I936" s="157" t="s">
        <v>18</v>
      </c>
      <c r="J936" s="167">
        <f>D943</f>
        <v>26381.3</v>
      </c>
      <c r="K936" s="153">
        <f>J936*$J$930</f>
        <v>1323.2663707270583</v>
      </c>
    </row>
    <row r="937" spans="2:12">
      <c r="C937" s="198" t="s">
        <v>22</v>
      </c>
      <c r="D937" s="206">
        <f>Model!AJ85</f>
        <v>40510.427000000011</v>
      </c>
      <c r="E937" s="206"/>
      <c r="F937" s="106"/>
      <c r="I937" s="111" t="s">
        <v>127</v>
      </c>
      <c r="J937" s="156">
        <f>D944</f>
        <v>9.6999999999999993</v>
      </c>
      <c r="K937" s="153">
        <f>J937*$J$930</f>
        <v>0.48654477967546961</v>
      </c>
    </row>
    <row r="938" spans="2:12">
      <c r="I938" s="111" t="s">
        <v>128</v>
      </c>
      <c r="J938" s="62">
        <v>4600.1000000000004</v>
      </c>
      <c r="K938" s="153">
        <f>J938*$J$930</f>
        <v>230.73759185413692</v>
      </c>
      <c r="L938" s="94" t="s">
        <v>60</v>
      </c>
    </row>
    <row r="939" spans="2:12">
      <c r="C939" s="114" t="s">
        <v>23</v>
      </c>
      <c r="D939" s="176">
        <f>D932-Model!AJ116</f>
        <v>0</v>
      </c>
      <c r="I939" s="110" t="s">
        <v>19</v>
      </c>
      <c r="J939" s="154">
        <f>J935-J936-J937-J938</f>
        <v>100113.19999999998</v>
      </c>
      <c r="K939" s="154">
        <f>K935-K936-K937-K938</f>
        <v>5021.6035914027034</v>
      </c>
      <c r="L939" s="96"/>
    </row>
    <row r="940" spans="2:12" ht="13.5" thickBot="1">
      <c r="D940" s="412"/>
      <c r="E940" s="412"/>
      <c r="I940" s="112" t="s">
        <v>20</v>
      </c>
      <c r="J940" s="119">
        <f>+D935</f>
        <v>90469.8</v>
      </c>
      <c r="K940" s="153">
        <f>J940*$J$930</f>
        <v>4537.8978255962684</v>
      </c>
      <c r="L940" s="99">
        <f>J1004/J1011</f>
        <v>3.4198873656193784</v>
      </c>
    </row>
    <row r="941" spans="2:12">
      <c r="C941" s="59" t="s">
        <v>217</v>
      </c>
      <c r="D941" s="131" t="s">
        <v>58</v>
      </c>
      <c r="E941" s="132" t="s">
        <v>59</v>
      </c>
      <c r="I941" s="110" t="s">
        <v>21</v>
      </c>
      <c r="J941" s="154">
        <f>+J935+J940</f>
        <v>221574.09999999998</v>
      </c>
      <c r="K941" s="154">
        <f>+K935+K940</f>
        <v>11113.991924359842</v>
      </c>
      <c r="L941" s="101"/>
    </row>
    <row r="942" spans="2:12">
      <c r="C942" s="60"/>
      <c r="D942" s="117"/>
      <c r="E942" s="77"/>
      <c r="I942" s="113" t="s">
        <v>22</v>
      </c>
      <c r="J942" s="105">
        <f>D937</f>
        <v>40510.427000000011</v>
      </c>
      <c r="K942" s="105"/>
      <c r="L942" s="101"/>
    </row>
    <row r="943" spans="2:12">
      <c r="C943" s="60" t="s">
        <v>28</v>
      </c>
      <c r="D943" s="163">
        <f>D933</f>
        <v>26381.3</v>
      </c>
      <c r="E943" s="203">
        <f>D943*$J$930</f>
        <v>1323.2663707270583</v>
      </c>
      <c r="L943" s="101"/>
    </row>
    <row r="944" spans="2:12">
      <c r="C944" s="60" t="s">
        <v>74</v>
      </c>
      <c r="D944" s="165">
        <v>9.6999999999999993</v>
      </c>
      <c r="E944" s="203">
        <f>D944*$J$930</f>
        <v>0.48654477967546961</v>
      </c>
      <c r="L944" s="99">
        <f>J1008/J1011</f>
        <v>2.4966951453013695</v>
      </c>
    </row>
    <row r="945" spans="3:12">
      <c r="C945" s="60" t="s">
        <v>75</v>
      </c>
      <c r="D945" s="165">
        <v>618</v>
      </c>
      <c r="E945" s="203">
        <f>D945*$J$930</f>
        <v>30.998419983447448</v>
      </c>
      <c r="L945" s="103"/>
    </row>
    <row r="946" spans="3:12" ht="13.5" thickBot="1">
      <c r="C946" s="152" t="s">
        <v>29</v>
      </c>
      <c r="D946" s="174">
        <f>SUM(D942:D945)</f>
        <v>27009</v>
      </c>
      <c r="E946" s="175">
        <f>SUM(E942:E945)</f>
        <v>1354.7513354901814</v>
      </c>
      <c r="L946" s="99">
        <f>J1010/J1011</f>
        <v>5.7009060132426583</v>
      </c>
    </row>
    <row r="947" spans="3:12" ht="12.75" customHeight="1">
      <c r="L947" s="106"/>
    </row>
    <row r="948" spans="3:12" ht="12.75" customHeight="1"/>
    <row r="949" spans="3:12" ht="12.75" customHeight="1" thickBot="1">
      <c r="D949" s="412"/>
      <c r="E949" s="412"/>
    </row>
    <row r="950" spans="3:12" ht="12.75" customHeight="1">
      <c r="C950" s="130" t="s">
        <v>218</v>
      </c>
      <c r="D950" s="131" t="s">
        <v>58</v>
      </c>
      <c r="E950" s="132" t="s">
        <v>59</v>
      </c>
    </row>
    <row r="951" spans="3:12" ht="12.75" customHeight="1">
      <c r="C951" s="133" t="s">
        <v>185</v>
      </c>
      <c r="D951" s="127"/>
      <c r="E951" s="357">
        <f>D951*$J$930</f>
        <v>0</v>
      </c>
    </row>
    <row r="952" spans="3:12" ht="12.75" customHeight="1">
      <c r="C952" s="133" t="s">
        <v>186</v>
      </c>
      <c r="D952" s="127"/>
      <c r="E952" s="357">
        <f>D952*$J$930</f>
        <v>0</v>
      </c>
    </row>
    <row r="953" spans="3:12" ht="12.75" customHeight="1">
      <c r="C953" s="133" t="s">
        <v>187</v>
      </c>
      <c r="D953" s="127"/>
      <c r="E953" s="357">
        <f>D953*$J$930</f>
        <v>0</v>
      </c>
    </row>
    <row r="954" spans="3:12" ht="12.75" customHeight="1" thickBot="1">
      <c r="C954" s="133" t="s">
        <v>188</v>
      </c>
      <c r="D954" s="127"/>
      <c r="E954" s="357">
        <f>D954*$J$930</f>
        <v>0</v>
      </c>
    </row>
    <row r="955" spans="3:12" ht="12.75" customHeight="1" thickBot="1">
      <c r="C955" s="134" t="s">
        <v>43</v>
      </c>
      <c r="D955" s="173"/>
      <c r="E955" s="173">
        <f>SUM(E951:E954)</f>
        <v>0</v>
      </c>
    </row>
    <row r="956" spans="3:12" ht="12.75" customHeight="1" thickBot="1">
      <c r="D956" s="412"/>
      <c r="E956" s="412"/>
    </row>
    <row r="957" spans="3:12" ht="12.75" customHeight="1">
      <c r="C957" s="130" t="s">
        <v>219</v>
      </c>
      <c r="D957" s="131" t="s">
        <v>58</v>
      </c>
      <c r="E957" s="132" t="s">
        <v>59</v>
      </c>
    </row>
    <row r="958" spans="3:12" ht="12.75" customHeight="1">
      <c r="C958" s="133" t="s">
        <v>185</v>
      </c>
      <c r="D958" s="127"/>
      <c r="E958" s="357">
        <f>D958*$J$930</f>
        <v>0</v>
      </c>
    </row>
    <row r="959" spans="3:12">
      <c r="C959" s="133" t="s">
        <v>186</v>
      </c>
      <c r="D959" s="127"/>
      <c r="E959" s="357">
        <f>D959*$J$930</f>
        <v>0</v>
      </c>
    </row>
    <row r="960" spans="3:12">
      <c r="C960" s="133" t="s">
        <v>187</v>
      </c>
      <c r="D960" s="127"/>
      <c r="E960" s="357">
        <f>D960*$J$930</f>
        <v>0</v>
      </c>
    </row>
    <row r="961" spans="2:12" ht="13.5" thickBot="1">
      <c r="C961" s="133" t="s">
        <v>188</v>
      </c>
      <c r="D961" s="127"/>
      <c r="E961" s="357">
        <f>D961*$J$930</f>
        <v>0</v>
      </c>
    </row>
    <row r="962" spans="2:12" ht="13.5" thickBot="1">
      <c r="C962" s="134" t="s">
        <v>43</v>
      </c>
      <c r="D962" s="173"/>
      <c r="E962" s="173">
        <f>SUM(E958:E961)</f>
        <v>0</v>
      </c>
    </row>
    <row r="963" spans="2:12">
      <c r="C963" s="201"/>
      <c r="D963" s="202"/>
      <c r="E963" s="202"/>
    </row>
    <row r="965" spans="2:12">
      <c r="B965" s="54" t="s">
        <v>220</v>
      </c>
      <c r="I965" s="54" t="s">
        <v>221</v>
      </c>
      <c r="J965" s="76">
        <f>Model!AI211</f>
        <v>4.8935649620748721E-2</v>
      </c>
    </row>
    <row r="966" spans="2:12">
      <c r="C966" s="107"/>
      <c r="D966" s="414" t="s">
        <v>222</v>
      </c>
      <c r="E966" s="415"/>
      <c r="F966" s="94" t="s">
        <v>60</v>
      </c>
      <c r="G966" s="391"/>
    </row>
    <row r="967" spans="2:12">
      <c r="C967" s="192" t="s">
        <v>17</v>
      </c>
      <c r="D967" s="193">
        <v>133859.4</v>
      </c>
      <c r="E967" s="172">
        <f>D967*$J$965</f>
        <v>6550.4966968436511</v>
      </c>
      <c r="F967" s="194">
        <f>+D967/D972</f>
        <v>3.4215427853113871</v>
      </c>
      <c r="G967" s="286"/>
      <c r="H967" s="199"/>
      <c r="I967" s="54" t="s">
        <v>123</v>
      </c>
    </row>
    <row r="968" spans="2:12">
      <c r="C968" s="195" t="s">
        <v>18</v>
      </c>
      <c r="D968" s="204">
        <f>Model!AI113</f>
        <v>28862.206999999999</v>
      </c>
      <c r="E968" s="204">
        <f>D968*$J$965</f>
        <v>1412.3908490335209</v>
      </c>
      <c r="F968" s="197"/>
      <c r="G968" s="288"/>
      <c r="I968" s="107"/>
      <c r="J968" s="414" t="s">
        <v>222</v>
      </c>
      <c r="K968" s="415"/>
    </row>
    <row r="969" spans="2:12">
      <c r="C969" s="192" t="s">
        <v>19</v>
      </c>
      <c r="D969" s="205">
        <f>+D967-D968</f>
        <v>104997.193</v>
      </c>
      <c r="E969" s="205">
        <f>D969*$J$965</f>
        <v>5138.1058478101304</v>
      </c>
      <c r="F969" s="194">
        <f>+D969/D972</f>
        <v>2.683803962867735</v>
      </c>
      <c r="G969" s="286"/>
      <c r="I969" s="108"/>
      <c r="J969" s="180" t="s">
        <v>124</v>
      </c>
      <c r="K969" s="181" t="s">
        <v>125</v>
      </c>
    </row>
    <row r="970" spans="2:12">
      <c r="C970" s="195" t="s">
        <v>20</v>
      </c>
      <c r="D970" s="204">
        <f>Model!AI120</f>
        <v>88698.1</v>
      </c>
      <c r="E970" s="204">
        <f>D970*$J$965</f>
        <v>4340.4991436261325</v>
      </c>
      <c r="F970" s="103"/>
      <c r="I970" s="110" t="s">
        <v>126</v>
      </c>
      <c r="J970" s="140">
        <v>133859.4</v>
      </c>
      <c r="K970" s="154">
        <f>J970*$J$965</f>
        <v>6550.4966968436511</v>
      </c>
    </row>
    <row r="971" spans="2:12">
      <c r="C971" s="192" t="s">
        <v>21</v>
      </c>
      <c r="D971" s="205">
        <f>D967+D970</f>
        <v>222557.5</v>
      </c>
      <c r="E971" s="205">
        <f>D971*$J$965</f>
        <v>10890.995840469783</v>
      </c>
      <c r="F971" s="194">
        <f>D971/D972</f>
        <v>5.6887301783956827</v>
      </c>
      <c r="G971" s="286"/>
      <c r="I971" s="157" t="s">
        <v>18</v>
      </c>
      <c r="J971" s="167">
        <f>D978</f>
        <v>28862.206999999999</v>
      </c>
      <c r="K971" s="153">
        <f>J971*$J$965</f>
        <v>1412.3908490335209</v>
      </c>
    </row>
    <row r="972" spans="2:12">
      <c r="C972" s="198" t="s">
        <v>22</v>
      </c>
      <c r="D972" s="206">
        <f>Model!AI85</f>
        <v>39122.527000000016</v>
      </c>
      <c r="E972" s="206"/>
      <c r="F972" s="106"/>
      <c r="I972" s="111" t="s">
        <v>127</v>
      </c>
      <c r="J972" s="156">
        <f>D979</f>
        <v>0</v>
      </c>
      <c r="K972" s="153">
        <f>J972*$J$965</f>
        <v>0</v>
      </c>
    </row>
    <row r="973" spans="2:12">
      <c r="I973" s="111" t="s">
        <v>128</v>
      </c>
      <c r="J973" s="62">
        <v>5072.3</v>
      </c>
      <c r="K973" s="153">
        <f>J973*$J$965</f>
        <v>248.21629557132374</v>
      </c>
    </row>
    <row r="974" spans="2:12">
      <c r="C974" s="114" t="s">
        <v>23</v>
      </c>
      <c r="D974" s="176">
        <f>D967-Model!AI116</f>
        <v>0</v>
      </c>
      <c r="I974" s="110" t="s">
        <v>19</v>
      </c>
      <c r="J974" s="154">
        <f>J970-J971-J972-J973</f>
        <v>99924.892999999996</v>
      </c>
      <c r="K974" s="154">
        <f>K970-K971-K972-K973</f>
        <v>4889.8895522388066</v>
      </c>
      <c r="L974" s="94" t="s">
        <v>60</v>
      </c>
    </row>
    <row r="975" spans="2:12" ht="13.5" thickBot="1">
      <c r="D975" s="412"/>
      <c r="E975" s="412"/>
      <c r="I975" s="112" t="s">
        <v>20</v>
      </c>
      <c r="J975" s="119">
        <f>+D970</f>
        <v>88698.1</v>
      </c>
      <c r="K975" s="153">
        <f>J975*$J$965</f>
        <v>4340.4991436261325</v>
      </c>
      <c r="L975" s="96"/>
    </row>
    <row r="976" spans="2:12">
      <c r="C976" s="59" t="s">
        <v>223</v>
      </c>
      <c r="D976" s="131" t="s">
        <v>58</v>
      </c>
      <c r="E976" s="132" t="s">
        <v>59</v>
      </c>
      <c r="I976" s="110" t="s">
        <v>21</v>
      </c>
      <c r="J976" s="154">
        <f>+J970+J975</f>
        <v>222557.5</v>
      </c>
      <c r="K976" s="154">
        <f>+K970+K975</f>
        <v>10890.995840469783</v>
      </c>
      <c r="L976" s="99">
        <f>J1040/J1047</f>
        <v>4.2012953719132264</v>
      </c>
    </row>
    <row r="977" spans="3:12">
      <c r="C977" s="60"/>
      <c r="D977" s="117"/>
      <c r="E977" s="77"/>
      <c r="I977" s="113" t="s">
        <v>22</v>
      </c>
      <c r="J977" s="105">
        <f>D972</f>
        <v>39122.527000000016</v>
      </c>
      <c r="K977" s="105"/>
      <c r="L977" s="101"/>
    </row>
    <row r="978" spans="3:12">
      <c r="C978" s="60" t="s">
        <v>28</v>
      </c>
      <c r="D978" s="163">
        <f>D968</f>
        <v>28862.206999999999</v>
      </c>
      <c r="E978" s="203">
        <f>D978*$J$965</f>
        <v>1412.3908490335209</v>
      </c>
      <c r="L978" s="101"/>
    </row>
    <row r="979" spans="3:12">
      <c r="C979" s="60" t="s">
        <v>74</v>
      </c>
      <c r="D979" s="165">
        <v>0</v>
      </c>
      <c r="E979" s="203">
        <f>D979*$J$965</f>
        <v>0</v>
      </c>
      <c r="L979" s="101"/>
    </row>
    <row r="980" spans="3:12" ht="13.5" thickBot="1">
      <c r="C980" s="152" t="s">
        <v>29</v>
      </c>
      <c r="D980" s="174">
        <f>SUM(D977:D979)</f>
        <v>28862.206999999999</v>
      </c>
      <c r="E980" s="175">
        <f>SUM(E977:E979)</f>
        <v>1412.3908490335209</v>
      </c>
      <c r="L980" s="99">
        <f>J1044/J1047</f>
        <v>2.8057234526466601</v>
      </c>
    </row>
    <row r="981" spans="3:12">
      <c r="L981" s="103"/>
    </row>
    <row r="982" spans="3:12">
      <c r="L982" s="99">
        <f>J1046/J1047</f>
        <v>6.4645204956543507</v>
      </c>
    </row>
    <row r="983" spans="3:12" ht="13.5" thickBot="1">
      <c r="D983" s="412"/>
      <c r="E983" s="412"/>
      <c r="L983" s="106"/>
    </row>
    <row r="984" spans="3:12">
      <c r="C984" s="130" t="s">
        <v>224</v>
      </c>
      <c r="D984" s="131" t="s">
        <v>58</v>
      </c>
      <c r="E984" s="132" t="s">
        <v>59</v>
      </c>
    </row>
    <row r="985" spans="3:12">
      <c r="C985" s="133" t="s">
        <v>185</v>
      </c>
      <c r="D985" s="62"/>
      <c r="E985" s="164">
        <f>D985*$J$965</f>
        <v>0</v>
      </c>
    </row>
    <row r="986" spans="3:12" ht="12.75" customHeight="1">
      <c r="C986" s="133" t="s">
        <v>186</v>
      </c>
      <c r="D986" s="62"/>
      <c r="E986" s="164">
        <f>D986*$J$965</f>
        <v>0</v>
      </c>
    </row>
    <row r="987" spans="3:12">
      <c r="C987" s="133" t="s">
        <v>187</v>
      </c>
      <c r="D987" s="62"/>
      <c r="E987" s="164">
        <f>D987*$J$965</f>
        <v>0</v>
      </c>
    </row>
    <row r="988" spans="3:12" ht="13.5" thickBot="1">
      <c r="C988" s="133" t="s">
        <v>188</v>
      </c>
      <c r="D988" s="62"/>
      <c r="E988" s="164">
        <f>D988*$J$965</f>
        <v>0</v>
      </c>
    </row>
    <row r="989" spans="3:12" ht="13.5" thickBot="1">
      <c r="C989" s="134" t="s">
        <v>43</v>
      </c>
      <c r="D989" s="173"/>
      <c r="E989" s="173">
        <f>SUM(E985:E988)</f>
        <v>0</v>
      </c>
    </row>
    <row r="990" spans="3:12" ht="13.5" thickBot="1">
      <c r="D990" s="412"/>
      <c r="E990" s="412"/>
    </row>
    <row r="991" spans="3:12">
      <c r="C991" s="130" t="s">
        <v>225</v>
      </c>
      <c r="D991" s="131" t="s">
        <v>58</v>
      </c>
      <c r="E991" s="132" t="s">
        <v>59</v>
      </c>
    </row>
    <row r="992" spans="3:12">
      <c r="C992" s="133" t="s">
        <v>185</v>
      </c>
      <c r="D992" s="62"/>
      <c r="E992" s="164">
        <f>D992*$J$965</f>
        <v>0</v>
      </c>
    </row>
    <row r="993" spans="2:11">
      <c r="C993" s="133" t="s">
        <v>186</v>
      </c>
      <c r="D993" s="62"/>
      <c r="E993" s="164">
        <f>D993*$J$965</f>
        <v>0</v>
      </c>
    </row>
    <row r="994" spans="2:11">
      <c r="C994" s="133" t="s">
        <v>187</v>
      </c>
      <c r="D994" s="62"/>
      <c r="E994" s="164">
        <f>D994*$J$965</f>
        <v>0</v>
      </c>
    </row>
    <row r="995" spans="2:11" ht="13.5" thickBot="1">
      <c r="C995" s="133" t="s">
        <v>188</v>
      </c>
      <c r="D995" s="62"/>
      <c r="E995" s="164">
        <f>D995*$J$965</f>
        <v>0</v>
      </c>
    </row>
    <row r="996" spans="2:11" ht="13.5" thickBot="1">
      <c r="C996" s="134" t="s">
        <v>43</v>
      </c>
      <c r="D996" s="173"/>
      <c r="E996" s="173">
        <f>SUM(E992:E995)</f>
        <v>0</v>
      </c>
    </row>
    <row r="997" spans="2:11">
      <c r="C997" s="201"/>
      <c r="D997" s="202"/>
      <c r="E997" s="202"/>
    </row>
    <row r="999" spans="2:11">
      <c r="B999" s="54" t="s">
        <v>226</v>
      </c>
      <c r="I999" s="54" t="s">
        <v>227</v>
      </c>
      <c r="J999" s="76">
        <f>Model!AH211</f>
        <v>5.0150451354062181E-2</v>
      </c>
    </row>
    <row r="1000" spans="2:11">
      <c r="C1000" s="107"/>
      <c r="D1000" s="414" t="s">
        <v>228</v>
      </c>
      <c r="E1000" s="415"/>
      <c r="F1000" s="94" t="s">
        <v>60</v>
      </c>
      <c r="G1000" s="391"/>
    </row>
    <row r="1001" spans="2:11">
      <c r="C1001" s="192" t="s">
        <v>17</v>
      </c>
      <c r="D1001" s="193">
        <v>131845.29999999999</v>
      </c>
      <c r="E1001" s="172">
        <f>D1001*$J$999</f>
        <v>6612.1013039117342</v>
      </c>
      <c r="F1001" s="194">
        <f>+D1001/D1006</f>
        <v>3.4198873656193784</v>
      </c>
      <c r="G1001" s="286"/>
      <c r="H1001" s="199"/>
      <c r="I1001" s="54" t="s">
        <v>123</v>
      </c>
    </row>
    <row r="1002" spans="2:11">
      <c r="C1002" s="195" t="s">
        <v>18</v>
      </c>
      <c r="D1002" s="204">
        <f>Model!AH113</f>
        <v>29058.093000000001</v>
      </c>
      <c r="E1002" s="204">
        <f>D1002*$J$999</f>
        <v>1457.2764794383147</v>
      </c>
      <c r="F1002" s="197"/>
      <c r="G1002" s="288"/>
      <c r="I1002" s="107"/>
      <c r="J1002" s="414" t="s">
        <v>229</v>
      </c>
      <c r="K1002" s="415"/>
    </row>
    <row r="1003" spans="2:11">
      <c r="C1003" s="192" t="s">
        <v>19</v>
      </c>
      <c r="D1003" s="205">
        <f>+D1001-D1002</f>
        <v>102787.20699999999</v>
      </c>
      <c r="E1003" s="205">
        <f>D1003*$J$999</f>
        <v>5154.8248244734195</v>
      </c>
      <c r="F1003" s="194">
        <f>+D1003/D1006</f>
        <v>2.6661600418566587</v>
      </c>
      <c r="G1003" s="286"/>
      <c r="I1003" s="108"/>
      <c r="J1003" s="180" t="s">
        <v>124</v>
      </c>
      <c r="K1003" s="181" t="s">
        <v>125</v>
      </c>
    </row>
    <row r="1004" spans="2:11">
      <c r="C1004" s="195" t="s">
        <v>20</v>
      </c>
      <c r="D1004" s="204">
        <f>Model!AH120</f>
        <v>87939.032999999996</v>
      </c>
      <c r="E1004" s="204">
        <f>D1004*$J$999</f>
        <v>4410.1821965897689</v>
      </c>
      <c r="F1004" s="103"/>
      <c r="I1004" s="110" t="s">
        <v>126</v>
      </c>
      <c r="J1004" s="140">
        <v>131845.29999999999</v>
      </c>
      <c r="K1004" s="154">
        <f>J1004*$J$999</f>
        <v>6612.1013039117342</v>
      </c>
    </row>
    <row r="1005" spans="2:11">
      <c r="C1005" s="192" t="s">
        <v>21</v>
      </c>
      <c r="D1005" s="205">
        <f>D1001+D1004</f>
        <v>219784.33299999998</v>
      </c>
      <c r="E1005" s="205">
        <f>D1005*$J$999</f>
        <v>11022.283500501502</v>
      </c>
      <c r="F1005" s="194">
        <f>D1005/D1006</f>
        <v>5.7009060132426583</v>
      </c>
      <c r="G1005" s="286"/>
      <c r="I1005" s="157" t="s">
        <v>18</v>
      </c>
      <c r="J1005" s="167">
        <f>D1012</f>
        <v>29058.093000000001</v>
      </c>
      <c r="K1005" s="153">
        <f>J1005*$J$999</f>
        <v>1457.2764794383147</v>
      </c>
    </row>
    <row r="1006" spans="2:11" ht="12.75" customHeight="1">
      <c r="C1006" s="198" t="s">
        <v>22</v>
      </c>
      <c r="D1006" s="206">
        <f>Model!AH85</f>
        <v>38552.527000000009</v>
      </c>
      <c r="E1006" s="206"/>
      <c r="F1006" s="106"/>
      <c r="I1006" s="111" t="s">
        <v>127</v>
      </c>
      <c r="J1006" s="156">
        <f>D1013</f>
        <v>0</v>
      </c>
      <c r="K1006" s="153">
        <f>J1006*$J$999</f>
        <v>0</v>
      </c>
    </row>
    <row r="1007" spans="2:11" ht="12.75" customHeight="1">
      <c r="I1007" s="111" t="s">
        <v>128</v>
      </c>
      <c r="J1007" s="62">
        <v>6533.3</v>
      </c>
      <c r="K1007" s="153">
        <f>J1007*$J$999</f>
        <v>327.64794383149444</v>
      </c>
    </row>
    <row r="1008" spans="2:11" ht="12.75" customHeight="1">
      <c r="C1008" s="114" t="s">
        <v>23</v>
      </c>
      <c r="D1008" s="176">
        <f>D1001-Model!AH116</f>
        <v>-2.1999999997206032E-2</v>
      </c>
      <c r="I1008" s="110" t="s">
        <v>19</v>
      </c>
      <c r="J1008" s="154">
        <f>J1004-J1005-J1006-J1007</f>
        <v>96253.906999999992</v>
      </c>
      <c r="K1008" s="154">
        <f>K1004-K1005-K1006-K1007</f>
        <v>4827.176880641925</v>
      </c>
    </row>
    <row r="1009" spans="3:11" ht="12.75" customHeight="1" thickBot="1">
      <c r="D1009" s="412"/>
      <c r="E1009" s="412"/>
      <c r="I1009" s="112" t="s">
        <v>20</v>
      </c>
      <c r="J1009" s="119">
        <f>+D1004</f>
        <v>87939.032999999996</v>
      </c>
      <c r="K1009" s="153">
        <f>J1009*$J$999</f>
        <v>4410.1821965897689</v>
      </c>
    </row>
    <row r="1010" spans="3:11" ht="12.75" customHeight="1">
      <c r="C1010" s="59" t="s">
        <v>230</v>
      </c>
      <c r="D1010" s="131" t="s">
        <v>58</v>
      </c>
      <c r="E1010" s="132" t="s">
        <v>59</v>
      </c>
      <c r="I1010" s="110" t="s">
        <v>21</v>
      </c>
      <c r="J1010" s="154">
        <f>+J1004+J1009</f>
        <v>219784.33299999998</v>
      </c>
      <c r="K1010" s="154">
        <f>+K1004+K1009</f>
        <v>11022.283500501504</v>
      </c>
    </row>
    <row r="1011" spans="3:11" ht="12.75" customHeight="1">
      <c r="C1011" s="60"/>
      <c r="D1011" s="117"/>
      <c r="E1011" s="77"/>
      <c r="I1011" s="113" t="s">
        <v>22</v>
      </c>
      <c r="J1011" s="105">
        <f>D1006</f>
        <v>38552.527000000009</v>
      </c>
      <c r="K1011" s="105"/>
    </row>
    <row r="1012" spans="3:11" ht="12.75" customHeight="1">
      <c r="C1012" s="60" t="s">
        <v>28</v>
      </c>
      <c r="D1012" s="163">
        <f>D1002</f>
        <v>29058.093000000001</v>
      </c>
      <c r="E1012" s="203">
        <f>D1012*$J$999</f>
        <v>1457.2764794383147</v>
      </c>
    </row>
    <row r="1013" spans="3:11" ht="12.75" customHeight="1">
      <c r="C1013" s="60" t="s">
        <v>74</v>
      </c>
      <c r="D1013" s="165">
        <v>0</v>
      </c>
      <c r="E1013" s="203">
        <f>D1013*$J$999</f>
        <v>0</v>
      </c>
    </row>
    <row r="1014" spans="3:11" ht="12.75" customHeight="1" thickBot="1">
      <c r="C1014" s="152" t="s">
        <v>29</v>
      </c>
      <c r="D1014" s="174">
        <f>SUM(D1011:D1013)</f>
        <v>29058.093000000001</v>
      </c>
      <c r="E1014" s="175">
        <f>SUM(E1011:E1013)</f>
        <v>1457.2764794383147</v>
      </c>
    </row>
    <row r="1015" spans="3:11" ht="12.75" customHeight="1"/>
    <row r="1016" spans="3:11" ht="12.75" customHeight="1"/>
    <row r="1017" spans="3:11" ht="12.75" customHeight="1" thickBot="1">
      <c r="D1017" s="412"/>
      <c r="E1017" s="412"/>
    </row>
    <row r="1018" spans="3:11">
      <c r="C1018" s="130" t="s">
        <v>231</v>
      </c>
      <c r="D1018" s="131" t="s">
        <v>58</v>
      </c>
      <c r="E1018" s="132" t="s">
        <v>59</v>
      </c>
    </row>
    <row r="1019" spans="3:11">
      <c r="C1019" s="133" t="s">
        <v>185</v>
      </c>
      <c r="D1019" s="62"/>
      <c r="E1019" s="164">
        <f>D1019*$J$999</f>
        <v>0</v>
      </c>
    </row>
    <row r="1020" spans="3:11">
      <c r="C1020" s="133" t="s">
        <v>186</v>
      </c>
      <c r="D1020" s="62"/>
      <c r="E1020" s="164">
        <f>D1020*$J$999</f>
        <v>0</v>
      </c>
    </row>
    <row r="1021" spans="3:11">
      <c r="C1021" s="133" t="s">
        <v>187</v>
      </c>
      <c r="D1021" s="62"/>
      <c r="E1021" s="164">
        <f>D1021*$J$999</f>
        <v>0</v>
      </c>
    </row>
    <row r="1022" spans="3:11" ht="13.5" thickBot="1">
      <c r="C1022" s="133" t="s">
        <v>188</v>
      </c>
      <c r="D1022" s="62"/>
      <c r="E1022" s="164">
        <f>D1022*$J$999</f>
        <v>0</v>
      </c>
    </row>
    <row r="1023" spans="3:11" ht="13.5" thickBot="1">
      <c r="C1023" s="134" t="s">
        <v>43</v>
      </c>
      <c r="D1023" s="173"/>
      <c r="E1023" s="173">
        <f>SUM(E1019:E1022)</f>
        <v>0</v>
      </c>
    </row>
    <row r="1024" spans="3:11" ht="13.5" thickBot="1">
      <c r="D1024" s="412"/>
      <c r="E1024" s="412"/>
    </row>
    <row r="1025" spans="2:12">
      <c r="C1025" s="130" t="s">
        <v>232</v>
      </c>
      <c r="D1025" s="131" t="s">
        <v>58</v>
      </c>
      <c r="E1025" s="132" t="s">
        <v>59</v>
      </c>
    </row>
    <row r="1026" spans="2:12">
      <c r="C1026" s="133" t="s">
        <v>185</v>
      </c>
      <c r="D1026" s="62"/>
      <c r="E1026" s="164">
        <f>D1026*$J$999</f>
        <v>0</v>
      </c>
    </row>
    <row r="1027" spans="2:12">
      <c r="C1027" s="133" t="s">
        <v>186</v>
      </c>
      <c r="D1027" s="62"/>
      <c r="E1027" s="164">
        <f>D1027*$J$999</f>
        <v>0</v>
      </c>
    </row>
    <row r="1028" spans="2:12">
      <c r="C1028" s="133" t="s">
        <v>187</v>
      </c>
      <c r="D1028" s="62"/>
      <c r="E1028" s="164">
        <f>D1028*$J$999</f>
        <v>0</v>
      </c>
    </row>
    <row r="1029" spans="2:12" ht="13.5" thickBot="1">
      <c r="C1029" s="133" t="s">
        <v>188</v>
      </c>
      <c r="D1029" s="62"/>
      <c r="E1029" s="164">
        <f>D1029*$J$999</f>
        <v>0</v>
      </c>
    </row>
    <row r="1030" spans="2:12" ht="13.5" thickBot="1">
      <c r="C1030" s="134" t="s">
        <v>43</v>
      </c>
      <c r="D1030" s="173"/>
      <c r="E1030" s="173">
        <f>SUM(E1026:E1029)</f>
        <v>0</v>
      </c>
    </row>
    <row r="1031" spans="2:12">
      <c r="C1031" s="201"/>
      <c r="D1031" s="202"/>
      <c r="E1031" s="202"/>
    </row>
    <row r="1033" spans="2:12">
      <c r="B1033" s="54" t="s">
        <v>233</v>
      </c>
      <c r="I1033" s="54" t="s">
        <v>227</v>
      </c>
      <c r="J1033" s="76">
        <f>Model!AG211</f>
        <v>4.3333752226271526E-2</v>
      </c>
    </row>
    <row r="1034" spans="2:12">
      <c r="C1034" s="107"/>
      <c r="D1034" s="414" t="s">
        <v>229</v>
      </c>
      <c r="E1034" s="415"/>
      <c r="F1034" s="94" t="s">
        <v>60</v>
      </c>
      <c r="G1034" s="391"/>
    </row>
    <row r="1035" spans="2:12">
      <c r="C1035" s="182"/>
      <c r="D1035" s="183" t="s">
        <v>124</v>
      </c>
      <c r="E1035" s="184" t="s">
        <v>125</v>
      </c>
      <c r="F1035" s="185"/>
      <c r="G1035" s="293"/>
    </row>
    <row r="1036" spans="2:12">
      <c r="C1036" s="182" t="s">
        <v>234</v>
      </c>
      <c r="D1036" s="186"/>
      <c r="E1036" s="171"/>
      <c r="F1036" s="187"/>
      <c r="G1036" s="290"/>
    </row>
    <row r="1037" spans="2:12">
      <c r="C1037" s="188" t="s">
        <v>235</v>
      </c>
      <c r="D1037" s="62">
        <v>4351.7430000000004</v>
      </c>
      <c r="E1037" s="119">
        <f>D1037*$J$1033</f>
        <v>188.57735291441153</v>
      </c>
      <c r="F1037" s="189"/>
      <c r="G1037" s="392"/>
      <c r="I1037" s="54" t="s">
        <v>123</v>
      </c>
    </row>
    <row r="1038" spans="2:12">
      <c r="C1038" s="188" t="s">
        <v>236</v>
      </c>
      <c r="D1038" s="62">
        <v>5488.2309999999998</v>
      </c>
      <c r="E1038" s="119">
        <f>D1038*$J$1033</f>
        <v>237.82564231454239</v>
      </c>
      <c r="F1038" s="189"/>
      <c r="G1038" s="392"/>
      <c r="I1038" s="107"/>
      <c r="J1038" s="414" t="s">
        <v>229</v>
      </c>
      <c r="K1038" s="415"/>
    </row>
    <row r="1039" spans="2:12">
      <c r="C1039" s="188"/>
      <c r="D1039" s="62"/>
      <c r="E1039" s="119"/>
      <c r="F1039" s="189"/>
      <c r="G1039" s="392"/>
      <c r="I1039" s="108"/>
      <c r="J1039" s="180" t="s">
        <v>124</v>
      </c>
      <c r="K1039" s="181" t="s">
        <v>125</v>
      </c>
    </row>
    <row r="1040" spans="2:12">
      <c r="C1040" s="188"/>
      <c r="D1040" s="62"/>
      <c r="E1040" s="119"/>
      <c r="F1040" s="189"/>
      <c r="G1040" s="392"/>
      <c r="I1040" s="110" t="s">
        <v>126</v>
      </c>
      <c r="J1040" s="140">
        <v>156760.29999999999</v>
      </c>
      <c r="K1040" s="154">
        <f>J1040*$J$1033</f>
        <v>6793.0119991159918</v>
      </c>
      <c r="L1040" s="94" t="s">
        <v>60</v>
      </c>
    </row>
    <row r="1041" spans="3:12">
      <c r="C1041" s="188" t="s">
        <v>96</v>
      </c>
      <c r="D1041" s="62">
        <v>30641.204000000002</v>
      </c>
      <c r="E1041" s="119">
        <f>D1041*$J$1033</f>
        <v>1327.79834205064</v>
      </c>
      <c r="F1041" s="189"/>
      <c r="G1041" s="392"/>
      <c r="I1041" s="157" t="s">
        <v>18</v>
      </c>
      <c r="J1041" s="167">
        <f>D1078</f>
        <v>44852.2</v>
      </c>
      <c r="K1041" s="153">
        <f>J1041*$J$1033</f>
        <v>1943.6141216031756</v>
      </c>
      <c r="L1041" s="96"/>
    </row>
    <row r="1042" spans="3:12">
      <c r="C1042" s="188" t="s">
        <v>97</v>
      </c>
      <c r="D1042" s="62">
        <v>2750</v>
      </c>
      <c r="E1042" s="119">
        <f>D1042*$J$1033</f>
        <v>119.1678186222467</v>
      </c>
      <c r="F1042" s="189"/>
      <c r="G1042" s="392"/>
      <c r="I1042" s="111" t="s">
        <v>127</v>
      </c>
      <c r="J1042" s="156">
        <f>D1079</f>
        <v>0</v>
      </c>
      <c r="K1042" s="153">
        <f>J1042*$J$1033</f>
        <v>0</v>
      </c>
      <c r="L1042" s="99">
        <f>J1106/J1113</f>
        <v>4.3730560663722882</v>
      </c>
    </row>
    <row r="1043" spans="3:12">
      <c r="C1043" s="188" t="s">
        <v>237</v>
      </c>
      <c r="D1043" s="62">
        <v>912.60500000000002</v>
      </c>
      <c r="E1043" s="119">
        <f>D1043*$J$1033</f>
        <v>39.546598950456527</v>
      </c>
      <c r="F1043" s="189"/>
      <c r="G1043" s="392"/>
      <c r="I1043" s="111" t="s">
        <v>128</v>
      </c>
      <c r="J1043" s="62">
        <v>7219.9</v>
      </c>
      <c r="K1043" s="153">
        <f>J1043*$J$1033</f>
        <v>312.86535769845779</v>
      </c>
      <c r="L1043" s="101"/>
    </row>
    <row r="1044" spans="3:12">
      <c r="C1044" s="188"/>
      <c r="D1044" s="62"/>
      <c r="E1044" s="119"/>
      <c r="F1044" s="189"/>
      <c r="G1044" s="392"/>
      <c r="I1044" s="110" t="s">
        <v>19</v>
      </c>
      <c r="J1044" s="154">
        <f>J1040-J1041-J1042-J1043</f>
        <v>104688.2</v>
      </c>
      <c r="K1044" s="154">
        <f>K1040-K1041-K1042-K1043</f>
        <v>4536.5325198143582</v>
      </c>
      <c r="L1044" s="101"/>
    </row>
    <row r="1045" spans="3:12" ht="12.75" customHeight="1">
      <c r="C1045" s="182" t="s">
        <v>238</v>
      </c>
      <c r="D1045" s="62"/>
      <c r="E1045" s="119"/>
      <c r="F1045" s="189"/>
      <c r="G1045" s="392"/>
      <c r="I1045" s="112" t="s">
        <v>20</v>
      </c>
      <c r="J1045" s="119">
        <f>+D1070</f>
        <v>84446.3</v>
      </c>
      <c r="K1045" s="153">
        <f>J1045*$J$1033</f>
        <v>3659.3750406253935</v>
      </c>
      <c r="L1045" s="101"/>
    </row>
    <row r="1046" spans="3:12">
      <c r="C1046" s="188" t="s">
        <v>85</v>
      </c>
      <c r="D1046" s="62">
        <v>13091.508</v>
      </c>
      <c r="E1046" s="119">
        <f t="shared" ref="E1046:E1052" si="15">D1046*$J$1033</f>
        <v>567.30416394025144</v>
      </c>
      <c r="F1046" s="189"/>
      <c r="G1046" s="392"/>
      <c r="I1046" s="110" t="s">
        <v>21</v>
      </c>
      <c r="J1046" s="154">
        <f>+J1040+J1045</f>
        <v>241206.59999999998</v>
      </c>
      <c r="K1046" s="154">
        <f>+K1040+K1045</f>
        <v>10452.387039741385</v>
      </c>
      <c r="L1046" s="99">
        <f>J1110/J1113</f>
        <v>2.9092386689245626</v>
      </c>
    </row>
    <row r="1047" spans="3:12">
      <c r="C1047" s="188" t="s">
        <v>86</v>
      </c>
      <c r="D1047" s="62">
        <v>6606.2839999999997</v>
      </c>
      <c r="E1047" s="119">
        <f t="shared" si="15"/>
        <v>286.27507399238192</v>
      </c>
      <c r="F1047" s="189"/>
      <c r="G1047" s="392"/>
      <c r="I1047" s="113" t="s">
        <v>22</v>
      </c>
      <c r="J1047" s="105">
        <f>D1072</f>
        <v>37312.372999999992</v>
      </c>
      <c r="K1047" s="105"/>
      <c r="L1047" s="103"/>
    </row>
    <row r="1048" spans="3:12">
      <c r="C1048" s="188" t="s">
        <v>87</v>
      </c>
      <c r="D1048" s="62">
        <v>6611.6379999999999</v>
      </c>
      <c r="E1048" s="119">
        <f t="shared" si="15"/>
        <v>286.50708290180143</v>
      </c>
      <c r="F1048" s="189"/>
      <c r="G1048" s="392"/>
      <c r="L1048" s="99">
        <f>J1112/J1113</f>
        <v>6.5802163937160829</v>
      </c>
    </row>
    <row r="1049" spans="3:12">
      <c r="C1049" s="188" t="s">
        <v>88</v>
      </c>
      <c r="D1049" s="62">
        <v>13141.823</v>
      </c>
      <c r="E1049" s="119">
        <f t="shared" si="15"/>
        <v>569.48450168351633</v>
      </c>
      <c r="F1049" s="189"/>
      <c r="G1049" s="392"/>
      <c r="L1049" s="106"/>
    </row>
    <row r="1050" spans="3:12">
      <c r="C1050" s="188" t="s">
        <v>89</v>
      </c>
      <c r="D1050" s="62">
        <v>21689.304</v>
      </c>
      <c r="E1050" s="119">
        <f t="shared" si="15"/>
        <v>939.87892549627986</v>
      </c>
      <c r="F1050" s="189"/>
      <c r="G1050" s="392"/>
    </row>
    <row r="1051" spans="3:12">
      <c r="C1051" s="188" t="s">
        <v>90</v>
      </c>
      <c r="D1051" s="62">
        <v>19775.368999999999</v>
      </c>
      <c r="E1051" s="119">
        <f t="shared" si="15"/>
        <v>856.9409404290908</v>
      </c>
      <c r="F1051" s="189"/>
      <c r="G1051" s="392"/>
    </row>
    <row r="1052" spans="3:12">
      <c r="C1052" s="188" t="s">
        <v>91</v>
      </c>
      <c r="D1052" s="62">
        <v>16283.075999999999</v>
      </c>
      <c r="E1052" s="119">
        <f t="shared" si="15"/>
        <v>705.60678086554844</v>
      </c>
      <c r="F1052" s="189"/>
      <c r="G1052" s="392"/>
    </row>
    <row r="1053" spans="3:12">
      <c r="C1053" s="190" t="s">
        <v>239</v>
      </c>
      <c r="D1053" s="172">
        <f>SUM(D1046:D1052)</f>
        <v>97199.002000000008</v>
      </c>
      <c r="E1053" s="172">
        <f>SUM(E1046:E1052)</f>
        <v>4211.9974693088698</v>
      </c>
      <c r="F1053" s="191"/>
      <c r="G1053" s="392"/>
    </row>
    <row r="1054" spans="3:12">
      <c r="C1054" s="188"/>
      <c r="D1054" s="119"/>
      <c r="E1054" s="119"/>
      <c r="F1054" s="189"/>
      <c r="G1054" s="392"/>
    </row>
    <row r="1055" spans="3:12">
      <c r="C1055" s="182" t="s">
        <v>240</v>
      </c>
      <c r="D1055" s="119"/>
      <c r="E1055" s="119"/>
      <c r="F1055" s="189"/>
      <c r="G1055" s="392"/>
    </row>
    <row r="1056" spans="3:12">
      <c r="C1056" s="188" t="s">
        <v>241</v>
      </c>
      <c r="D1056" s="62">
        <v>0</v>
      </c>
      <c r="E1056" s="119">
        <f t="shared" ref="E1056:E1061" si="16">D1056*$J$1033</f>
        <v>0</v>
      </c>
      <c r="F1056" s="189"/>
      <c r="G1056" s="392"/>
    </row>
    <row r="1057" spans="3:9">
      <c r="C1057" s="188" t="s">
        <v>242</v>
      </c>
      <c r="D1057" s="62">
        <v>0</v>
      </c>
      <c r="E1057" s="119">
        <f t="shared" si="16"/>
        <v>0</v>
      </c>
      <c r="F1057" s="189"/>
      <c r="G1057" s="392"/>
    </row>
    <row r="1058" spans="3:9">
      <c r="C1058" s="188" t="s">
        <v>243</v>
      </c>
      <c r="D1058" s="62">
        <v>0</v>
      </c>
      <c r="E1058" s="119">
        <f t="shared" si="16"/>
        <v>0</v>
      </c>
      <c r="F1058" s="189"/>
      <c r="G1058" s="392"/>
    </row>
    <row r="1059" spans="3:9">
      <c r="C1059" s="188" t="s">
        <v>93</v>
      </c>
      <c r="D1059" s="62">
        <v>4483.2889999999998</v>
      </c>
      <c r="E1059" s="119">
        <f t="shared" si="16"/>
        <v>194.27773468476863</v>
      </c>
      <c r="F1059" s="189"/>
      <c r="G1059" s="392"/>
    </row>
    <row r="1060" spans="3:9">
      <c r="C1060" s="188" t="s">
        <v>94</v>
      </c>
      <c r="D1060" s="62">
        <v>4487.9160000000002</v>
      </c>
      <c r="E1060" s="119">
        <f t="shared" si="16"/>
        <v>194.47823995631961</v>
      </c>
      <c r="F1060" s="189"/>
      <c r="G1060" s="392"/>
      <c r="I1060" s="62"/>
    </row>
    <row r="1061" spans="3:9">
      <c r="C1061" s="188" t="s">
        <v>95</v>
      </c>
      <c r="D1061" s="62">
        <v>6446.317</v>
      </c>
      <c r="E1061" s="119">
        <f t="shared" si="16"/>
        <v>279.34310365000198</v>
      </c>
      <c r="F1061" s="189"/>
      <c r="G1061" s="392"/>
    </row>
    <row r="1062" spans="3:9">
      <c r="C1062" s="190" t="s">
        <v>244</v>
      </c>
      <c r="D1062" s="172">
        <f>SUM(D1056:D1061)</f>
        <v>15417.522000000001</v>
      </c>
      <c r="E1062" s="172">
        <f>SUM(E1056:E1061)</f>
        <v>668.09907829109022</v>
      </c>
      <c r="F1062" s="191"/>
      <c r="G1062" s="392"/>
    </row>
    <row r="1063" spans="3:9">
      <c r="C1063" s="182"/>
      <c r="D1063" s="171"/>
      <c r="E1063" s="171"/>
      <c r="F1063" s="187"/>
      <c r="G1063" s="290"/>
    </row>
    <row r="1064" spans="3:9" ht="12.75" customHeight="1">
      <c r="C1064" s="182" t="s">
        <v>245</v>
      </c>
      <c r="D1064" s="171"/>
      <c r="E1064" s="171"/>
      <c r="F1064" s="187"/>
      <c r="G1064" s="290"/>
    </row>
    <row r="1065" spans="3:9" ht="12.75" customHeight="1">
      <c r="C1065" s="182" t="s">
        <v>246</v>
      </c>
      <c r="D1065" s="62">
        <v>0</v>
      </c>
      <c r="E1065" s="119">
        <f>D1065*$J$1033</f>
        <v>0</v>
      </c>
      <c r="F1065" s="187"/>
      <c r="G1065" s="290"/>
    </row>
    <row r="1066" spans="3:9" ht="12.75" customHeight="1">
      <c r="C1066" s="182"/>
      <c r="D1066" s="171"/>
      <c r="E1066" s="171"/>
      <c r="F1066" s="187"/>
      <c r="G1066" s="290"/>
    </row>
    <row r="1067" spans="3:9" ht="12.75" customHeight="1">
      <c r="C1067" s="192" t="s">
        <v>17</v>
      </c>
      <c r="D1067" s="193">
        <f>D1053+D1062+D1065+D1037+D1038+D1040+D1042+D1043+D1041</f>
        <v>156760.307</v>
      </c>
      <c r="E1067" s="172">
        <f>E1053+E1062+E1065+E1037+E1038+E1040+E1042+E1043+E1041</f>
        <v>6793.0123024522572</v>
      </c>
      <c r="F1067" s="194">
        <f>+D1067/D1072</f>
        <v>4.201295559518555</v>
      </c>
      <c r="G1067" s="286"/>
      <c r="H1067" s="199"/>
    </row>
    <row r="1068" spans="3:9" ht="12.75" customHeight="1">
      <c r="C1068" s="195" t="s">
        <v>18</v>
      </c>
      <c r="D1068" s="204">
        <f>Model!AG113</f>
        <v>44852.2</v>
      </c>
      <c r="E1068" s="204">
        <f>D1068*$J$1033</f>
        <v>1943.6141216031756</v>
      </c>
      <c r="F1068" s="197"/>
      <c r="G1068" s="288"/>
    </row>
    <row r="1069" spans="3:9" ht="12.75" customHeight="1">
      <c r="C1069" s="192" t="s">
        <v>19</v>
      </c>
      <c r="D1069" s="205">
        <f>+D1067-D1068</f>
        <v>111908.107</v>
      </c>
      <c r="E1069" s="205">
        <f>D1069*$J$1033</f>
        <v>4849.3981808490826</v>
      </c>
      <c r="F1069" s="194">
        <f>+D1069/D1072</f>
        <v>2.999222456314961</v>
      </c>
      <c r="G1069" s="286"/>
    </row>
    <row r="1070" spans="3:9" ht="12.75" customHeight="1">
      <c r="C1070" s="195" t="s">
        <v>20</v>
      </c>
      <c r="D1070" s="204">
        <f>Model!AG120</f>
        <v>84446.3</v>
      </c>
      <c r="E1070" s="204">
        <f>D1070*$J$1033</f>
        <v>3659.3750406253935</v>
      </c>
      <c r="F1070" s="103"/>
    </row>
    <row r="1071" spans="3:9" ht="12.75" customHeight="1">
      <c r="C1071" s="192" t="s">
        <v>21</v>
      </c>
      <c r="D1071" s="205">
        <f>D1067+D1070</f>
        <v>241206.60700000002</v>
      </c>
      <c r="E1071" s="205">
        <f>D1071*$J$1033</f>
        <v>10452.387343077651</v>
      </c>
      <c r="F1071" s="194">
        <f>D1071/D1072</f>
        <v>6.4645206832596811</v>
      </c>
      <c r="G1071" s="286"/>
      <c r="I1071" s="141"/>
    </row>
    <row r="1072" spans="3:9" ht="12.75" customHeight="1">
      <c r="C1072" s="198" t="s">
        <v>22</v>
      </c>
      <c r="D1072" s="206">
        <f>Model!AG85</f>
        <v>37312.372999999992</v>
      </c>
      <c r="E1072" s="206"/>
      <c r="F1072" s="106"/>
    </row>
    <row r="1073" spans="3:5" ht="12.75" customHeight="1"/>
    <row r="1074" spans="3:5" ht="12.75" customHeight="1">
      <c r="C1074" s="114" t="s">
        <v>23</v>
      </c>
      <c r="D1074" s="176">
        <f>D1067-Model!AG116</f>
        <v>6.9999999832361937E-3</v>
      </c>
    </row>
    <row r="1075" spans="3:5" ht="12.75" customHeight="1" thickBot="1">
      <c r="D1075" s="412"/>
      <c r="E1075" s="412"/>
    </row>
    <row r="1076" spans="3:5">
      <c r="C1076" s="59" t="s">
        <v>230</v>
      </c>
      <c r="D1076" s="131" t="s">
        <v>58</v>
      </c>
      <c r="E1076" s="132" t="s">
        <v>59</v>
      </c>
    </row>
    <row r="1077" spans="3:5">
      <c r="C1077" s="60"/>
      <c r="D1077" s="117"/>
      <c r="E1077" s="77"/>
    </row>
    <row r="1078" spans="3:5">
      <c r="C1078" s="60" t="s">
        <v>28</v>
      </c>
      <c r="D1078" s="163">
        <f>D1068</f>
        <v>44852.2</v>
      </c>
      <c r="E1078" s="203">
        <f>D1078*$J$1033</f>
        <v>1943.6141216031756</v>
      </c>
    </row>
    <row r="1079" spans="3:5">
      <c r="C1079" s="60" t="s">
        <v>74</v>
      </c>
      <c r="D1079" s="165">
        <v>0</v>
      </c>
      <c r="E1079" s="203">
        <f>D1079*$J$1033</f>
        <v>0</v>
      </c>
    </row>
    <row r="1080" spans="3:5" ht="13.5" thickBot="1">
      <c r="C1080" s="152" t="s">
        <v>29</v>
      </c>
      <c r="D1080" s="174">
        <f>SUM(D1077:D1079)</f>
        <v>44852.2</v>
      </c>
      <c r="E1080" s="175">
        <f>SUM(E1077:E1079)</f>
        <v>1943.6141216031756</v>
      </c>
    </row>
    <row r="1083" spans="3:5" ht="13.5" thickBot="1">
      <c r="D1083" s="412"/>
      <c r="E1083" s="412"/>
    </row>
    <row r="1084" spans="3:5">
      <c r="C1084" s="130" t="s">
        <v>231</v>
      </c>
      <c r="D1084" s="131" t="s">
        <v>58</v>
      </c>
      <c r="E1084" s="132" t="s">
        <v>59</v>
      </c>
    </row>
    <row r="1085" spans="3:5">
      <c r="C1085" s="133" t="s">
        <v>185</v>
      </c>
      <c r="D1085" s="62">
        <v>15013.183999999999</v>
      </c>
      <c r="E1085" s="164">
        <f>D1085*$J$1033</f>
        <v>650.577595583424</v>
      </c>
    </row>
    <row r="1086" spans="3:5">
      <c r="C1086" s="133" t="s">
        <v>186</v>
      </c>
      <c r="D1086" s="62">
        <v>9421.027</v>
      </c>
      <c r="E1086" s="164">
        <f>D1086*$J$1033</f>
        <v>408.24844973501416</v>
      </c>
    </row>
    <row r="1087" spans="3:5">
      <c r="C1087" s="133" t="s">
        <v>187</v>
      </c>
      <c r="D1087" s="62">
        <v>23263.9</v>
      </c>
      <c r="E1087" s="164">
        <f>D1087*$J$1033</f>
        <v>1008.1120784167582</v>
      </c>
    </row>
    <row r="1088" spans="3:5" ht="13.5" thickBot="1">
      <c r="C1088" s="133" t="s">
        <v>188</v>
      </c>
      <c r="D1088" s="62">
        <v>100610.024</v>
      </c>
      <c r="E1088" s="164">
        <f>D1088*$J$1033</f>
        <v>4359.8098514952317</v>
      </c>
    </row>
    <row r="1089" spans="2:12" ht="13.5" thickBot="1">
      <c r="C1089" s="134" t="s">
        <v>43</v>
      </c>
      <c r="D1089" s="173">
        <f>SUM(D1085:D1088)</f>
        <v>148308.13500000001</v>
      </c>
      <c r="E1089" s="173">
        <f>SUM(E1085:E1088)</f>
        <v>6426.747975230428</v>
      </c>
    </row>
    <row r="1090" spans="2:12" ht="13.5" thickBot="1">
      <c r="D1090" s="412"/>
      <c r="E1090" s="412"/>
    </row>
    <row r="1091" spans="2:12">
      <c r="C1091" s="130" t="s">
        <v>232</v>
      </c>
      <c r="D1091" s="131" t="s">
        <v>58</v>
      </c>
      <c r="E1091" s="132" t="s">
        <v>59</v>
      </c>
    </row>
    <row r="1092" spans="2:12">
      <c r="C1092" s="133" t="s">
        <v>185</v>
      </c>
      <c r="D1092" s="62">
        <v>1328.463</v>
      </c>
      <c r="E1092" s="164">
        <f>D1092*$J$1033</f>
        <v>57.567286483769351</v>
      </c>
    </row>
    <row r="1093" spans="2:12">
      <c r="C1093" s="133" t="s">
        <v>186</v>
      </c>
      <c r="D1093" s="62">
        <v>2245.0169999999998</v>
      </c>
      <c r="E1093" s="164">
        <f>D1093*$J$1033</f>
        <v>97.28501042176741</v>
      </c>
    </row>
    <row r="1094" spans="2:12">
      <c r="C1094" s="133" t="s">
        <v>187</v>
      </c>
      <c r="D1094" s="62">
        <v>2362.4850000000001</v>
      </c>
      <c r="E1094" s="164">
        <f>D1094*$J$1033</f>
        <v>102.37533962828309</v>
      </c>
    </row>
    <row r="1095" spans="2:12" ht="13.5" thickBot="1">
      <c r="C1095" s="133" t="s">
        <v>188</v>
      </c>
      <c r="D1095" s="62">
        <v>3904.009</v>
      </c>
      <c r="E1095" s="164">
        <f>D1095*$J$1033</f>
        <v>169.17535869513407</v>
      </c>
    </row>
    <row r="1096" spans="2:12" ht="13.5" thickBot="1">
      <c r="C1096" s="134" t="s">
        <v>43</v>
      </c>
      <c r="D1096" s="173">
        <f>SUM(D1092:D1095)</f>
        <v>9839.9740000000002</v>
      </c>
      <c r="E1096" s="173">
        <f>SUM(E1092:E1095)</f>
        <v>426.40299522895396</v>
      </c>
    </row>
    <row r="1097" spans="2:12">
      <c r="C1097" s="201"/>
      <c r="D1097" s="202"/>
      <c r="E1097" s="202"/>
    </row>
    <row r="1099" spans="2:12">
      <c r="B1099" s="54" t="s">
        <v>247</v>
      </c>
      <c r="I1099" s="54" t="s">
        <v>227</v>
      </c>
      <c r="J1099" s="76">
        <f>Model!AF211</f>
        <v>4.3412764220936241E-2</v>
      </c>
      <c r="L1099" s="94" t="s">
        <v>60</v>
      </c>
    </row>
    <row r="1100" spans="2:12">
      <c r="C1100" s="107"/>
      <c r="D1100" s="414" t="s">
        <v>248</v>
      </c>
      <c r="E1100" s="415"/>
      <c r="F1100" s="94" t="s">
        <v>60</v>
      </c>
      <c r="G1100" s="391"/>
      <c r="L1100" s="96"/>
    </row>
    <row r="1101" spans="2:12">
      <c r="C1101" s="182"/>
      <c r="D1101" s="183" t="s">
        <v>124</v>
      </c>
      <c r="E1101" s="184" t="s">
        <v>125</v>
      </c>
      <c r="F1101" s="185"/>
      <c r="G1101" s="293"/>
      <c r="L1101" s="99">
        <f>J1165/J1172</f>
        <v>4.3482120249377498</v>
      </c>
    </row>
    <row r="1102" spans="2:12">
      <c r="C1102" s="182" t="s">
        <v>234</v>
      </c>
      <c r="D1102" s="186"/>
      <c r="E1102" s="171"/>
      <c r="F1102" s="187"/>
      <c r="G1102" s="290"/>
      <c r="L1102" s="101"/>
    </row>
    <row r="1103" spans="2:12" ht="12.75" customHeight="1">
      <c r="C1103" s="188" t="s">
        <v>235</v>
      </c>
      <c r="D1103" s="62">
        <v>4657.5200000000004</v>
      </c>
      <c r="E1103" s="119">
        <f>D1103*$J$1099</f>
        <v>202.19581761429498</v>
      </c>
      <c r="F1103" s="189"/>
      <c r="G1103" s="392"/>
      <c r="I1103" s="54" t="s">
        <v>123</v>
      </c>
      <c r="L1103" s="101"/>
    </row>
    <row r="1104" spans="2:12">
      <c r="C1104" s="188" t="s">
        <v>236</v>
      </c>
      <c r="D1104" s="62">
        <v>5421.81</v>
      </c>
      <c r="E1104" s="119">
        <f t="shared" ref="E1104:E1118" si="17">D1104*$J$1099</f>
        <v>235.37575918071434</v>
      </c>
      <c r="F1104" s="189"/>
      <c r="G1104" s="392"/>
      <c r="I1104" s="107"/>
      <c r="J1104" s="414" t="s">
        <v>248</v>
      </c>
      <c r="K1104" s="415"/>
      <c r="L1104" s="101"/>
    </row>
    <row r="1105" spans="3:12">
      <c r="C1105" s="188"/>
      <c r="D1105" s="62"/>
      <c r="E1105" s="119"/>
      <c r="F1105" s="189"/>
      <c r="G1105" s="392"/>
      <c r="I1105" s="108"/>
      <c r="J1105" s="180" t="s">
        <v>124</v>
      </c>
      <c r="K1105" s="181" t="s">
        <v>125</v>
      </c>
      <c r="L1105" s="99">
        <f>J1169/J1172</f>
        <v>2.9345061719167163</v>
      </c>
    </row>
    <row r="1106" spans="3:12">
      <c r="C1106" s="188"/>
      <c r="D1106" s="62"/>
      <c r="E1106" s="119"/>
      <c r="F1106" s="189"/>
      <c r="G1106" s="392"/>
      <c r="I1106" s="110" t="s">
        <v>126</v>
      </c>
      <c r="J1106" s="140">
        <f>153821.7+10079.3+0</f>
        <v>163901</v>
      </c>
      <c r="K1106" s="154">
        <f>J1106*$J$1099</f>
        <v>7115.3954685756707</v>
      </c>
      <c r="L1106" s="103"/>
    </row>
    <row r="1107" spans="3:12">
      <c r="C1107" s="188" t="s">
        <v>96</v>
      </c>
      <c r="D1107" s="62">
        <v>30623.778999999999</v>
      </c>
      <c r="E1107" s="119">
        <f t="shared" si="17"/>
        <v>1329.4628972810585</v>
      </c>
      <c r="F1107" s="189"/>
      <c r="G1107" s="392"/>
      <c r="I1107" s="157" t="s">
        <v>18</v>
      </c>
      <c r="J1107" s="167">
        <f>D1144</f>
        <v>45481.794000000002</v>
      </c>
      <c r="K1107" s="153">
        <f>J1107*$J$1099</f>
        <v>1974.4903992671927</v>
      </c>
      <c r="L1107" s="99">
        <f>J1171/J1172</f>
        <v>6.4635733486016607</v>
      </c>
    </row>
    <row r="1108" spans="3:12">
      <c r="C1108" s="188" t="s">
        <v>97</v>
      </c>
      <c r="D1108" s="62">
        <v>5500</v>
      </c>
      <c r="E1108" s="119">
        <f t="shared" si="17"/>
        <v>238.77020321514934</v>
      </c>
      <c r="F1108" s="189"/>
      <c r="G1108" s="392"/>
      <c r="I1108" s="111" t="s">
        <v>127</v>
      </c>
      <c r="J1108" s="156">
        <f>D1145</f>
        <v>0</v>
      </c>
      <c r="K1108" s="153">
        <f>J1108*$J$1099</f>
        <v>0</v>
      </c>
      <c r="L1108" s="106"/>
    </row>
    <row r="1109" spans="3:12">
      <c r="C1109" s="188" t="s">
        <v>237</v>
      </c>
      <c r="D1109" s="62">
        <v>973.10299999999995</v>
      </c>
      <c r="E1109" s="119">
        <f t="shared" si="17"/>
        <v>42.245091101685716</v>
      </c>
      <c r="F1109" s="189"/>
      <c r="G1109" s="392"/>
      <c r="I1109" s="111" t="s">
        <v>128</v>
      </c>
      <c r="J1109" s="62">
        <v>9381.7000000000007</v>
      </c>
      <c r="K1109" s="153">
        <f>J1109*$J$1099</f>
        <v>407.28553009155758</v>
      </c>
    </row>
    <row r="1110" spans="3:12">
      <c r="C1110" s="188"/>
      <c r="D1110" s="62"/>
      <c r="E1110" s="119"/>
      <c r="F1110" s="189"/>
      <c r="G1110" s="392"/>
      <c r="I1110" s="110" t="s">
        <v>19</v>
      </c>
      <c r="J1110" s="154">
        <f>J1106-J1107-J1108-J1109</f>
        <v>109037.50600000001</v>
      </c>
      <c r="K1110" s="154">
        <f>K1106-K1107-K1108-K1109</f>
        <v>4733.6195392169211</v>
      </c>
    </row>
    <row r="1111" spans="3:12">
      <c r="C1111" s="182" t="s">
        <v>238</v>
      </c>
      <c r="D1111" s="62"/>
      <c r="E1111" s="119"/>
      <c r="F1111" s="189"/>
      <c r="G1111" s="392"/>
      <c r="I1111" s="112" t="s">
        <v>20</v>
      </c>
      <c r="J1111" s="119">
        <f>+D1136</f>
        <v>82723.793000000005</v>
      </c>
      <c r="K1111" s="153">
        <f>J1111*$J$1099</f>
        <v>3591.268520970536</v>
      </c>
    </row>
    <row r="1112" spans="3:12">
      <c r="C1112" s="188" t="s">
        <v>85</v>
      </c>
      <c r="D1112" s="62">
        <v>13638.85</v>
      </c>
      <c r="E1112" s="119">
        <f t="shared" si="17"/>
        <v>592.10017929471621</v>
      </c>
      <c r="F1112" s="189"/>
      <c r="G1112" s="392"/>
      <c r="I1112" s="110" t="s">
        <v>21</v>
      </c>
      <c r="J1112" s="154">
        <f>+J1106+J1111</f>
        <v>246624.79300000001</v>
      </c>
      <c r="K1112" s="154">
        <f>+K1106+K1111</f>
        <v>10706.663989546207</v>
      </c>
    </row>
    <row r="1113" spans="3:12">
      <c r="C1113" s="188" t="s">
        <v>86</v>
      </c>
      <c r="D1113" s="62">
        <v>6883.5020000000004</v>
      </c>
      <c r="E1113" s="119">
        <f t="shared" si="17"/>
        <v>298.83184934034307</v>
      </c>
      <c r="F1113" s="189"/>
      <c r="G1113" s="392"/>
      <c r="I1113" s="113" t="s">
        <v>22</v>
      </c>
      <c r="J1113" s="105">
        <f>D1138</f>
        <v>37479.738999999994</v>
      </c>
      <c r="K1113" s="105"/>
    </row>
    <row r="1114" spans="3:12">
      <c r="C1114" s="188" t="s">
        <v>87</v>
      </c>
      <c r="D1114" s="62">
        <v>6889.6580000000004</v>
      </c>
      <c r="E1114" s="119">
        <f t="shared" si="17"/>
        <v>299.09909831688714</v>
      </c>
      <c r="F1114" s="189"/>
      <c r="G1114" s="392"/>
    </row>
    <row r="1115" spans="3:12">
      <c r="C1115" s="188" t="s">
        <v>88</v>
      </c>
      <c r="D1115" s="62">
        <v>13697.151</v>
      </c>
      <c r="E1115" s="119">
        <f t="shared" si="17"/>
        <v>594.6311868615611</v>
      </c>
      <c r="F1115" s="189"/>
      <c r="G1115" s="392"/>
    </row>
    <row r="1116" spans="3:12">
      <c r="C1116" s="188" t="s">
        <v>89</v>
      </c>
      <c r="D1116" s="62">
        <v>22613.276999999998</v>
      </c>
      <c r="E1116" s="119">
        <f t="shared" si="17"/>
        <v>981.70486266372029</v>
      </c>
      <c r="F1116" s="189"/>
      <c r="G1116" s="392"/>
    </row>
    <row r="1117" spans="3:12">
      <c r="C1117" s="188" t="s">
        <v>90</v>
      </c>
      <c r="D1117" s="62">
        <v>20609.55</v>
      </c>
      <c r="E1117" s="119">
        <f t="shared" si="17"/>
        <v>894.71753484959652</v>
      </c>
      <c r="F1117" s="189"/>
      <c r="G1117" s="392"/>
    </row>
    <row r="1118" spans="3:12">
      <c r="C1118" s="188" t="s">
        <v>91</v>
      </c>
      <c r="D1118" s="62">
        <v>16976.637999999999</v>
      </c>
      <c r="E1118" s="119">
        <f t="shared" si="17"/>
        <v>737.00278275818653</v>
      </c>
      <c r="F1118" s="189"/>
      <c r="G1118" s="392"/>
    </row>
    <row r="1119" spans="3:12">
      <c r="C1119" s="190" t="s">
        <v>239</v>
      </c>
      <c r="D1119" s="172">
        <f>SUM(D1112:D1118)</f>
        <v>101308.62599999999</v>
      </c>
      <c r="E1119" s="172">
        <f>SUM(E1112:E1118)</f>
        <v>4398.0874940850108</v>
      </c>
      <c r="F1119" s="191"/>
      <c r="G1119" s="392"/>
    </row>
    <row r="1120" spans="3:12">
      <c r="C1120" s="188"/>
      <c r="D1120" s="119"/>
      <c r="E1120" s="119"/>
      <c r="F1120" s="189"/>
      <c r="G1120" s="392"/>
    </row>
    <row r="1121" spans="3:9" ht="12.75" customHeight="1">
      <c r="C1121" s="182" t="s">
        <v>240</v>
      </c>
      <c r="D1121" s="119"/>
      <c r="E1121" s="119"/>
      <c r="F1121" s="189"/>
      <c r="G1121" s="392"/>
    </row>
    <row r="1122" spans="3:9" ht="12.75" customHeight="1">
      <c r="C1122" s="188" t="s">
        <v>241</v>
      </c>
      <c r="D1122" s="62">
        <v>0</v>
      </c>
      <c r="E1122" s="119">
        <f t="shared" ref="E1122:E1127" si="18">D1122*$J$1099</f>
        <v>0</v>
      </c>
      <c r="F1122" s="189"/>
      <c r="G1122" s="392"/>
    </row>
    <row r="1123" spans="3:9" ht="12.75" customHeight="1">
      <c r="C1123" s="188" t="s">
        <v>242</v>
      </c>
      <c r="D1123" s="62">
        <v>0</v>
      </c>
      <c r="E1123" s="119">
        <f t="shared" si="18"/>
        <v>0</v>
      </c>
      <c r="F1123" s="189"/>
      <c r="G1123" s="392"/>
    </row>
    <row r="1124" spans="3:9" ht="12.75" customHeight="1">
      <c r="C1124" s="188" t="s">
        <v>243</v>
      </c>
      <c r="D1124" s="62">
        <v>0</v>
      </c>
      <c r="E1124" s="119">
        <f t="shared" si="18"/>
        <v>0</v>
      </c>
      <c r="F1124" s="189"/>
      <c r="G1124" s="392"/>
    </row>
    <row r="1125" spans="3:9" ht="12.75" customHeight="1">
      <c r="C1125" s="188" t="s">
        <v>93</v>
      </c>
      <c r="D1125" s="62">
        <v>4482.6980000000003</v>
      </c>
      <c r="E1125" s="119">
        <f t="shared" si="18"/>
        <v>194.60631134766246</v>
      </c>
      <c r="F1125" s="189"/>
      <c r="G1125" s="392"/>
    </row>
    <row r="1126" spans="3:9" ht="12.75" customHeight="1">
      <c r="C1126" s="188" t="s">
        <v>94</v>
      </c>
      <c r="D1126" s="62">
        <v>4487.7340000000004</v>
      </c>
      <c r="E1126" s="119">
        <f t="shared" si="18"/>
        <v>194.82493802827909</v>
      </c>
      <c r="F1126" s="189"/>
      <c r="G1126" s="392"/>
      <c r="I1126" s="62"/>
    </row>
    <row r="1127" spans="3:9" ht="12.75" customHeight="1">
      <c r="C1127" s="188" t="s">
        <v>95</v>
      </c>
      <c r="D1127" s="62">
        <v>6445.7250000000004</v>
      </c>
      <c r="E1127" s="119">
        <f t="shared" si="18"/>
        <v>279.82673965799427</v>
      </c>
      <c r="F1127" s="189"/>
      <c r="G1127" s="392"/>
    </row>
    <row r="1128" spans="3:9" ht="12.75" customHeight="1">
      <c r="C1128" s="190" t="s">
        <v>244</v>
      </c>
      <c r="D1128" s="172">
        <f>SUM(D1122:D1127)</f>
        <v>15416.157000000001</v>
      </c>
      <c r="E1128" s="172">
        <f>SUM(E1122:E1127)</f>
        <v>669.25798903393581</v>
      </c>
      <c r="F1128" s="191"/>
      <c r="G1128" s="392"/>
    </row>
    <row r="1129" spans="3:9" ht="12.75" customHeight="1">
      <c r="C1129" s="182"/>
      <c r="D1129" s="171"/>
      <c r="E1129" s="171"/>
      <c r="F1129" s="187"/>
      <c r="G1129" s="290"/>
    </row>
    <row r="1130" spans="3:9" ht="12.75" customHeight="1">
      <c r="C1130" s="182" t="s">
        <v>245</v>
      </c>
      <c r="D1130" s="171"/>
      <c r="E1130" s="171"/>
      <c r="F1130" s="187"/>
      <c r="G1130" s="290"/>
    </row>
    <row r="1131" spans="3:9" ht="12.75" customHeight="1">
      <c r="C1131" s="182" t="s">
        <v>246</v>
      </c>
      <c r="D1131" s="62">
        <v>0</v>
      </c>
      <c r="E1131" s="119">
        <f>D1131*$J$1099</f>
        <v>0</v>
      </c>
      <c r="F1131" s="187"/>
      <c r="G1131" s="290"/>
    </row>
    <row r="1132" spans="3:9" ht="12.75" customHeight="1">
      <c r="C1132" s="182"/>
      <c r="D1132" s="171"/>
      <c r="E1132" s="171"/>
      <c r="F1132" s="187"/>
      <c r="G1132" s="290"/>
    </row>
    <row r="1133" spans="3:9">
      <c r="C1133" s="192" t="s">
        <v>17</v>
      </c>
      <c r="D1133" s="193">
        <f>D1119+D1128+D1131+D1103+D1104+D1106+D1108+D1109+D1107</f>
        <v>163900.99500000002</v>
      </c>
      <c r="E1133" s="172">
        <f>E1119+E1128+E1131+E1103+E1104+E1106+E1108+E1109+E1107</f>
        <v>7115.3952515118499</v>
      </c>
      <c r="F1133" s="194">
        <f>+D1133/D1138</f>
        <v>4.373055932966877</v>
      </c>
      <c r="G1133" s="286"/>
      <c r="H1133" s="199"/>
    </row>
    <row r="1134" spans="3:9">
      <c r="C1134" s="195" t="s">
        <v>18</v>
      </c>
      <c r="D1134" s="204">
        <f>Model!AF113</f>
        <v>45481.794000000002</v>
      </c>
      <c r="E1134" s="204">
        <f>D1134*$J$1099</f>
        <v>1974.4903992671927</v>
      </c>
      <c r="F1134" s="197"/>
      <c r="G1134" s="288"/>
    </row>
    <row r="1135" spans="3:9">
      <c r="C1135" s="192" t="s">
        <v>19</v>
      </c>
      <c r="D1135" s="205">
        <f>+D1133-D1134</f>
        <v>118419.20100000003</v>
      </c>
      <c r="E1135" s="205">
        <f>D1135*$J$1099</f>
        <v>5140.9048522446583</v>
      </c>
      <c r="F1135" s="194">
        <f>+D1135/D1138</f>
        <v>3.1595524451224182</v>
      </c>
      <c r="G1135" s="286"/>
    </row>
    <row r="1136" spans="3:9">
      <c r="C1136" s="195" t="s">
        <v>20</v>
      </c>
      <c r="D1136" s="204">
        <f>Model!AF120</f>
        <v>82723.793000000005</v>
      </c>
      <c r="E1136" s="204">
        <f>D1136*$J$1099</f>
        <v>3591.268520970536</v>
      </c>
      <c r="F1136" s="103"/>
    </row>
    <row r="1137" spans="3:9">
      <c r="C1137" s="192" t="s">
        <v>21</v>
      </c>
      <c r="D1137" s="205">
        <f>D1133+D1136</f>
        <v>246624.78800000003</v>
      </c>
      <c r="E1137" s="205">
        <f>D1137*$J$1099</f>
        <v>10706.663772482387</v>
      </c>
      <c r="F1137" s="194">
        <f>D1137/D1138</f>
        <v>6.5802162603106726</v>
      </c>
      <c r="G1137" s="286"/>
      <c r="I1137" s="141"/>
    </row>
    <row r="1138" spans="3:9">
      <c r="C1138" s="198" t="s">
        <v>22</v>
      </c>
      <c r="D1138" s="206">
        <f>Model!AF85</f>
        <v>37479.738999999994</v>
      </c>
      <c r="E1138" s="206"/>
      <c r="F1138" s="106"/>
    </row>
    <row r="1140" spans="3:9">
      <c r="C1140" s="114" t="s">
        <v>23</v>
      </c>
      <c r="D1140" s="176">
        <f>D1133-Model!AF116</f>
        <v>-4.9999999755527824E-3</v>
      </c>
    </row>
    <row r="1141" spans="3:9" ht="13.5" thickBot="1">
      <c r="D1141" s="412"/>
      <c r="E1141" s="412"/>
    </row>
    <row r="1142" spans="3:9">
      <c r="C1142" s="59" t="s">
        <v>249</v>
      </c>
      <c r="D1142" s="131" t="s">
        <v>58</v>
      </c>
      <c r="E1142" s="132" t="s">
        <v>59</v>
      </c>
    </row>
    <row r="1143" spans="3:9">
      <c r="C1143" s="60"/>
      <c r="D1143" s="117"/>
      <c r="E1143" s="77"/>
    </row>
    <row r="1144" spans="3:9">
      <c r="C1144" s="60" t="s">
        <v>28</v>
      </c>
      <c r="D1144" s="163">
        <f>D1134</f>
        <v>45481.794000000002</v>
      </c>
      <c r="E1144" s="203">
        <f>D1144*$J$1099</f>
        <v>1974.4903992671927</v>
      </c>
    </row>
    <row r="1145" spans="3:9">
      <c r="C1145" s="60" t="s">
        <v>74</v>
      </c>
      <c r="D1145" s="165">
        <v>0</v>
      </c>
      <c r="E1145" s="203">
        <f>D1145*$J$1099</f>
        <v>0</v>
      </c>
    </row>
    <row r="1146" spans="3:9" ht="13.5" thickBot="1">
      <c r="C1146" s="152" t="s">
        <v>29</v>
      </c>
      <c r="D1146" s="174">
        <f>SUM(D1143:D1145)</f>
        <v>45481.794000000002</v>
      </c>
      <c r="E1146" s="175">
        <f>SUM(E1143:E1145)</f>
        <v>1974.4903992671927</v>
      </c>
    </row>
    <row r="1149" spans="3:9" ht="13.5" thickBot="1">
      <c r="D1149" s="412"/>
      <c r="E1149" s="412"/>
    </row>
    <row r="1150" spans="3:9">
      <c r="C1150" s="130" t="s">
        <v>250</v>
      </c>
      <c r="D1150" s="131" t="s">
        <v>58</v>
      </c>
      <c r="E1150" s="132" t="s">
        <v>59</v>
      </c>
    </row>
    <row r="1151" spans="3:9">
      <c r="C1151" s="133" t="s">
        <v>185</v>
      </c>
      <c r="D1151" s="62">
        <v>2103.777</v>
      </c>
      <c r="E1151" s="164">
        <f>D1151*$J$1099</f>
        <v>91.330774874428585</v>
      </c>
    </row>
    <row r="1152" spans="3:9">
      <c r="C1152" s="133" t="s">
        <v>186</v>
      </c>
      <c r="D1152" s="62">
        <v>28984.381000000001</v>
      </c>
      <c r="E1152" s="164">
        <f>D1152*$J$1099</f>
        <v>1258.2920984427842</v>
      </c>
    </row>
    <row r="1153" spans="2:12">
      <c r="C1153" s="133" t="s">
        <v>187</v>
      </c>
      <c r="D1153" s="62">
        <v>26238.659</v>
      </c>
      <c r="E1153" s="164">
        <f>D1153*$J$1099</f>
        <v>1139.0927166405468</v>
      </c>
    </row>
    <row r="1154" spans="2:12" ht="13.5" thickBot="1">
      <c r="C1154" s="133" t="s">
        <v>188</v>
      </c>
      <c r="D1154" s="62">
        <v>108001.76</v>
      </c>
      <c r="E1154" s="164">
        <f>D1154*$J$1099</f>
        <v>4688.6549423261431</v>
      </c>
    </row>
    <row r="1155" spans="2:12" ht="13.5" thickBot="1">
      <c r="C1155" s="134" t="s">
        <v>43</v>
      </c>
      <c r="D1155" s="173">
        <f>SUM(D1151:D1154)</f>
        <v>165328.57699999999</v>
      </c>
      <c r="E1155" s="173">
        <f>SUM(E1151:E1154)</f>
        <v>7177.3705322839032</v>
      </c>
    </row>
    <row r="1156" spans="2:12">
      <c r="C1156" s="201"/>
      <c r="D1156" s="202"/>
      <c r="E1156" s="202"/>
    </row>
    <row r="1158" spans="2:12">
      <c r="B1158" s="54" t="s">
        <v>251</v>
      </c>
      <c r="I1158" s="54" t="s">
        <v>252</v>
      </c>
      <c r="J1158" s="76">
        <f>Model!AE211</f>
        <v>4.1903772177571422E-2</v>
      </c>
      <c r="L1158" s="94" t="s">
        <v>60</v>
      </c>
    </row>
    <row r="1159" spans="2:12">
      <c r="C1159" s="107"/>
      <c r="D1159" s="414" t="s">
        <v>253</v>
      </c>
      <c r="E1159" s="415"/>
      <c r="F1159" s="94" t="s">
        <v>60</v>
      </c>
      <c r="G1159" s="391"/>
      <c r="L1159" s="96"/>
    </row>
    <row r="1160" spans="2:12" ht="12.75" customHeight="1">
      <c r="C1160" s="182"/>
      <c r="D1160" s="183" t="s">
        <v>124</v>
      </c>
      <c r="E1160" s="184" t="s">
        <v>125</v>
      </c>
      <c r="F1160" s="185"/>
      <c r="G1160" s="293"/>
      <c r="L1160" s="99">
        <f>J1224/J1231</f>
        <v>3.3480965782131102</v>
      </c>
    </row>
    <row r="1161" spans="2:12">
      <c r="C1161" s="182" t="s">
        <v>234</v>
      </c>
      <c r="D1161" s="186"/>
      <c r="E1161" s="171"/>
      <c r="F1161" s="187"/>
      <c r="G1161" s="290"/>
      <c r="L1161" s="101"/>
    </row>
    <row r="1162" spans="2:12">
      <c r="C1162" s="188" t="s">
        <v>235</v>
      </c>
      <c r="D1162" s="62">
        <v>4950.433</v>
      </c>
      <c r="E1162" s="119">
        <f>D1162*$J$1158</f>
        <v>207.44181661233142</v>
      </c>
      <c r="F1162" s="189"/>
      <c r="G1162" s="392"/>
      <c r="I1162" s="54" t="s">
        <v>123</v>
      </c>
      <c r="L1162" s="101"/>
    </row>
    <row r="1163" spans="2:12">
      <c r="C1163" s="188" t="s">
        <v>236</v>
      </c>
      <c r="D1163" s="62">
        <v>5677.08</v>
      </c>
      <c r="E1163" s="119">
        <f t="shared" ref="E1163:E1177" si="19">D1163*$J$1158</f>
        <v>237.89106695384717</v>
      </c>
      <c r="F1163" s="189"/>
      <c r="G1163" s="392"/>
      <c r="I1163" s="107"/>
      <c r="J1163" s="414" t="s">
        <v>253</v>
      </c>
      <c r="K1163" s="415"/>
      <c r="L1163" s="101"/>
    </row>
    <row r="1164" spans="2:12">
      <c r="C1164" s="188"/>
      <c r="D1164" s="62"/>
      <c r="E1164" s="119"/>
      <c r="F1164" s="189"/>
      <c r="G1164" s="392"/>
      <c r="I1164" s="108"/>
      <c r="J1164" s="180" t="s">
        <v>124</v>
      </c>
      <c r="K1164" s="181" t="s">
        <v>125</v>
      </c>
      <c r="L1164" s="99">
        <f>J1228/J1231</f>
        <v>2.3842670496222738</v>
      </c>
    </row>
    <row r="1165" spans="2:12">
      <c r="C1165" s="188"/>
      <c r="D1165" s="62"/>
      <c r="E1165" s="119"/>
      <c r="F1165" s="189"/>
      <c r="G1165" s="392"/>
      <c r="I1165" s="110" t="s">
        <v>126</v>
      </c>
      <c r="J1165" s="140">
        <f>157783.8+10627.5+0</f>
        <v>168411.3</v>
      </c>
      <c r="K1165" s="154">
        <f>J1165*$J$1158</f>
        <v>7057.0687473286334</v>
      </c>
      <c r="L1165" s="103"/>
    </row>
    <row r="1166" spans="2:12">
      <c r="C1166" s="188" t="s">
        <v>96</v>
      </c>
      <c r="D1166" s="62">
        <v>30606.352999999999</v>
      </c>
      <c r="E1166" s="119">
        <f t="shared" si="19"/>
        <v>1282.5216432983295</v>
      </c>
      <c r="F1166" s="189"/>
      <c r="G1166" s="392"/>
      <c r="I1166" s="157" t="s">
        <v>18</v>
      </c>
      <c r="J1166" s="167">
        <f>D1203</f>
        <v>44940.269</v>
      </c>
      <c r="K1166" s="153">
        <f>J1166*$J$1158</f>
        <v>1883.1667937747754</v>
      </c>
      <c r="L1166" s="99">
        <f>J1230/J1231</f>
        <v>6.0316813654293444</v>
      </c>
    </row>
    <row r="1167" spans="2:12">
      <c r="C1167" s="188" t="s">
        <v>97</v>
      </c>
      <c r="D1167" s="62">
        <v>5500</v>
      </c>
      <c r="E1167" s="119">
        <f t="shared" si="19"/>
        <v>230.47074697664283</v>
      </c>
      <c r="F1167" s="189"/>
      <c r="G1167" s="392"/>
      <c r="I1167" s="111" t="s">
        <v>127</v>
      </c>
      <c r="J1167" s="156">
        <f>D1204</f>
        <v>0</v>
      </c>
      <c r="K1167" s="153">
        <f>J1167*$J$1158</f>
        <v>0</v>
      </c>
      <c r="L1167" s="106"/>
    </row>
    <row r="1168" spans="2:12">
      <c r="C1168" s="188" t="s">
        <v>237</v>
      </c>
      <c r="D1168" s="62">
        <v>1283.5899999999999</v>
      </c>
      <c r="E1168" s="119">
        <f t="shared" si="19"/>
        <v>53.787262929408897</v>
      </c>
      <c r="F1168" s="189"/>
      <c r="G1168" s="392"/>
      <c r="I1168" s="111" t="s">
        <v>128</v>
      </c>
      <c r="J1168" s="62">
        <v>9814.2000000000007</v>
      </c>
      <c r="K1168" s="153">
        <f>J1168*$J$1158</f>
        <v>411.25200090512146</v>
      </c>
    </row>
    <row r="1169" spans="3:11">
      <c r="C1169" s="188"/>
      <c r="D1169" s="62"/>
      <c r="E1169" s="119"/>
      <c r="F1169" s="189"/>
      <c r="G1169" s="392"/>
      <c r="I1169" s="110" t="s">
        <v>19</v>
      </c>
      <c r="J1169" s="154">
        <f>J1165-J1166-J1167-J1168</f>
        <v>113656.83099999999</v>
      </c>
      <c r="K1169" s="154">
        <f>K1165-K1166-K1167-K1168</f>
        <v>4762.6499526487369</v>
      </c>
    </row>
    <row r="1170" spans="3:11">
      <c r="C1170" s="182" t="s">
        <v>238</v>
      </c>
      <c r="D1170" s="62"/>
      <c r="E1170" s="119"/>
      <c r="F1170" s="189"/>
      <c r="G1170" s="392"/>
      <c r="I1170" s="112" t="s">
        <v>20</v>
      </c>
      <c r="J1170" s="119">
        <f>+D1195</f>
        <v>81930.399999999994</v>
      </c>
      <c r="K1170" s="153">
        <f>J1170*$J$1158</f>
        <v>3433.1928160172974</v>
      </c>
    </row>
    <row r="1171" spans="3:11">
      <c r="C1171" s="188" t="s">
        <v>85</v>
      </c>
      <c r="D1171" s="62">
        <v>14126.973</v>
      </c>
      <c r="E1171" s="119">
        <f t="shared" si="19"/>
        <v>591.97345815070264</v>
      </c>
      <c r="F1171" s="189"/>
      <c r="G1171" s="392"/>
      <c r="I1171" s="110" t="s">
        <v>21</v>
      </c>
      <c r="J1171" s="154">
        <f>+J1165+J1170</f>
        <v>250341.69999999998</v>
      </c>
      <c r="K1171" s="154">
        <f>+K1165+K1170</f>
        <v>10490.261563345932</v>
      </c>
    </row>
    <row r="1172" spans="3:11">
      <c r="C1172" s="188" t="s">
        <v>86</v>
      </c>
      <c r="D1172" s="62">
        <v>7131.11</v>
      </c>
      <c r="E1172" s="119">
        <f t="shared" si="19"/>
        <v>298.82040881320131</v>
      </c>
      <c r="F1172" s="189"/>
      <c r="G1172" s="392"/>
      <c r="I1172" s="113" t="s">
        <v>22</v>
      </c>
      <c r="J1172" s="105">
        <f>D1197</f>
        <v>38731.160999999993</v>
      </c>
      <c r="K1172" s="105"/>
    </row>
    <row r="1173" spans="3:11">
      <c r="C1173" s="188" t="s">
        <v>87</v>
      </c>
      <c r="D1173" s="62">
        <v>7138.0659999999998</v>
      </c>
      <c r="E1173" s="119">
        <f t="shared" si="19"/>
        <v>299.11189145246851</v>
      </c>
      <c r="F1173" s="189"/>
      <c r="G1173" s="392"/>
    </row>
    <row r="1174" spans="3:11">
      <c r="C1174" s="188" t="s">
        <v>88</v>
      </c>
      <c r="D1174" s="62">
        <v>14193.259</v>
      </c>
      <c r="E1174" s="119">
        <f t="shared" si="19"/>
        <v>594.75109159326519</v>
      </c>
      <c r="F1174" s="189"/>
      <c r="G1174" s="392"/>
    </row>
    <row r="1175" spans="3:11">
      <c r="C1175" s="188" t="s">
        <v>89</v>
      </c>
      <c r="D1175" s="62">
        <v>23438.547999999999</v>
      </c>
      <c r="E1175" s="119">
        <f t="shared" si="19"/>
        <v>982.16357556507228</v>
      </c>
      <c r="F1175" s="189"/>
      <c r="G1175" s="392"/>
    </row>
    <row r="1176" spans="3:11">
      <c r="C1176" s="188" t="s">
        <v>90</v>
      </c>
      <c r="D1176" s="62">
        <v>21354.904999999999</v>
      </c>
      <c r="E1176" s="119">
        <f t="shared" si="19"/>
        <v>894.85107399368076</v>
      </c>
      <c r="F1176" s="189"/>
      <c r="G1176" s="392"/>
    </row>
    <row r="1177" spans="3:11">
      <c r="C1177" s="188" t="s">
        <v>91</v>
      </c>
      <c r="D1177" s="62">
        <v>17596.174999999999</v>
      </c>
      <c r="E1177" s="119">
        <f t="shared" si="19"/>
        <v>737.34610839667778</v>
      </c>
      <c r="F1177" s="189"/>
      <c r="G1177" s="392"/>
    </row>
    <row r="1178" spans="3:11" ht="12.75" customHeight="1">
      <c r="C1178" s="190" t="s">
        <v>239</v>
      </c>
      <c r="D1178" s="172">
        <f>SUM(D1171:D1177)</f>
        <v>104979.03599999999</v>
      </c>
      <c r="E1178" s="172">
        <f>SUM(E1171:E1177)</f>
        <v>4399.0176079650682</v>
      </c>
      <c r="F1178" s="191"/>
      <c r="G1178" s="392"/>
    </row>
    <row r="1179" spans="3:11" ht="12.75" customHeight="1">
      <c r="C1179" s="188"/>
      <c r="D1179" s="119"/>
      <c r="E1179" s="119"/>
      <c r="F1179" s="189"/>
      <c r="G1179" s="392"/>
    </row>
    <row r="1180" spans="3:11" ht="12.75" customHeight="1">
      <c r="C1180" s="182" t="s">
        <v>240</v>
      </c>
      <c r="D1180" s="119"/>
      <c r="E1180" s="119"/>
      <c r="F1180" s="189"/>
      <c r="G1180" s="392"/>
    </row>
    <row r="1181" spans="3:11" ht="12.75" customHeight="1">
      <c r="C1181" s="188" t="s">
        <v>241</v>
      </c>
      <c r="D1181" s="62">
        <v>0</v>
      </c>
      <c r="E1181" s="119">
        <f t="shared" ref="E1181:E1186" si="20">D1181*$J$1158</f>
        <v>0</v>
      </c>
      <c r="F1181" s="189"/>
      <c r="G1181" s="392"/>
    </row>
    <row r="1182" spans="3:11" ht="12.75" customHeight="1">
      <c r="C1182" s="188" t="s">
        <v>242</v>
      </c>
      <c r="D1182" s="62">
        <v>0</v>
      </c>
      <c r="E1182" s="119">
        <f t="shared" si="20"/>
        <v>0</v>
      </c>
      <c r="F1182" s="189"/>
      <c r="G1182" s="392"/>
    </row>
    <row r="1183" spans="3:11" ht="12.75" customHeight="1">
      <c r="C1183" s="188" t="s">
        <v>243</v>
      </c>
      <c r="D1183" s="62">
        <v>0</v>
      </c>
      <c r="E1183" s="119">
        <f t="shared" si="20"/>
        <v>0</v>
      </c>
      <c r="F1183" s="189"/>
      <c r="G1183" s="392"/>
    </row>
    <row r="1184" spans="3:11" ht="12.75" customHeight="1">
      <c r="C1184" s="188" t="s">
        <v>93</v>
      </c>
      <c r="D1184" s="62">
        <v>4482.1090000000004</v>
      </c>
      <c r="E1184" s="119">
        <f t="shared" si="20"/>
        <v>187.81727441104249</v>
      </c>
      <c r="F1184" s="189"/>
      <c r="G1184" s="392"/>
    </row>
    <row r="1185" spans="3:9" ht="12.75" customHeight="1">
      <c r="C1185" s="188" t="s">
        <v>94</v>
      </c>
      <c r="D1185" s="62">
        <v>4487.5529999999999</v>
      </c>
      <c r="E1185" s="119">
        <f t="shared" si="20"/>
        <v>188.04539854677716</v>
      </c>
      <c r="F1185" s="189"/>
      <c r="G1185" s="392"/>
      <c r="I1185" s="62"/>
    </row>
    <row r="1186" spans="3:9" ht="12.75" customHeight="1">
      <c r="C1186" s="188" t="s">
        <v>95</v>
      </c>
      <c r="D1186" s="62">
        <v>6445.1319999999996</v>
      </c>
      <c r="E1186" s="119">
        <f t="shared" si="20"/>
        <v>270.07534298237522</v>
      </c>
      <c r="F1186" s="189"/>
      <c r="G1186" s="392"/>
    </row>
    <row r="1187" spans="3:9" ht="12.75" customHeight="1">
      <c r="C1187" s="190" t="s">
        <v>244</v>
      </c>
      <c r="D1187" s="172">
        <f>SUM(D1181:D1186)</f>
        <v>15414.794</v>
      </c>
      <c r="E1187" s="172">
        <f>SUM(E1181:E1186)</f>
        <v>645.93801594019487</v>
      </c>
      <c r="F1187" s="191"/>
      <c r="G1187" s="392"/>
    </row>
    <row r="1188" spans="3:9" ht="12.75" customHeight="1">
      <c r="C1188" s="182"/>
      <c r="D1188" s="171"/>
      <c r="E1188" s="171"/>
      <c r="F1188" s="187"/>
      <c r="G1188" s="290"/>
    </row>
    <row r="1189" spans="3:9" ht="12.75" customHeight="1">
      <c r="C1189" s="182" t="s">
        <v>245</v>
      </c>
      <c r="D1189" s="171"/>
      <c r="E1189" s="171"/>
      <c r="F1189" s="187"/>
      <c r="G1189" s="290"/>
    </row>
    <row r="1190" spans="3:9">
      <c r="C1190" s="182" t="s">
        <v>246</v>
      </c>
      <c r="D1190" s="62">
        <v>0</v>
      </c>
      <c r="E1190" s="119">
        <f>D1190*$J$1158</f>
        <v>0</v>
      </c>
      <c r="F1190" s="187"/>
      <c r="G1190" s="290"/>
    </row>
    <row r="1191" spans="3:9">
      <c r="C1191" s="182"/>
      <c r="D1191" s="171"/>
      <c r="E1191" s="171"/>
      <c r="F1191" s="187"/>
      <c r="G1191" s="290"/>
    </row>
    <row r="1192" spans="3:9">
      <c r="C1192" s="192" t="s">
        <v>17</v>
      </c>
      <c r="D1192" s="193">
        <f>D1178+D1187+D1190+D1162+D1163+D1165+D1167+D1168+D1166</f>
        <v>168411.28599999999</v>
      </c>
      <c r="E1192" s="172">
        <f>E1178+E1187+E1190+E1162+E1163+E1165+E1167+E1168+E1166</f>
        <v>7057.0681606758235</v>
      </c>
      <c r="F1192" s="194">
        <f>+D1192/D1197</f>
        <v>4.3482116634716945</v>
      </c>
      <c r="G1192" s="286"/>
      <c r="H1192" s="199"/>
    </row>
    <row r="1193" spans="3:9">
      <c r="C1193" s="195" t="s">
        <v>18</v>
      </c>
      <c r="D1193" s="196">
        <f>Model!AE113</f>
        <v>44940.269</v>
      </c>
      <c r="E1193" s="119">
        <f>D1193*$J$1158</f>
        <v>1883.1667937747754</v>
      </c>
      <c r="F1193" s="197"/>
      <c r="G1193" s="288"/>
    </row>
    <row r="1194" spans="3:9">
      <c r="C1194" s="192" t="s">
        <v>19</v>
      </c>
      <c r="D1194" s="193">
        <f>+D1192-D1193</f>
        <v>123471.01699999999</v>
      </c>
      <c r="E1194" s="172">
        <f>+E1192-E1193</f>
        <v>5173.9013669010483</v>
      </c>
      <c r="F1194" s="194">
        <f>+D1194/D1197</f>
        <v>3.1878986793088906</v>
      </c>
      <c r="G1194" s="286"/>
    </row>
    <row r="1195" spans="3:9">
      <c r="C1195" s="195" t="s">
        <v>20</v>
      </c>
      <c r="D1195" s="196">
        <f>Model!AE120</f>
        <v>81930.399999999994</v>
      </c>
      <c r="E1195" s="119">
        <f>D1195*$J$1158</f>
        <v>3433.1928160172974</v>
      </c>
      <c r="F1195" s="103"/>
    </row>
    <row r="1196" spans="3:9">
      <c r="C1196" s="192" t="s">
        <v>21</v>
      </c>
      <c r="D1196" s="193">
        <f>D1192+D1195</f>
        <v>250341.68599999999</v>
      </c>
      <c r="E1196" s="172">
        <f>E1192+E1195</f>
        <v>10490.26097669312</v>
      </c>
      <c r="F1196" s="194">
        <f>D1196/D1197</f>
        <v>6.4635729871356045</v>
      </c>
      <c r="G1196" s="286"/>
      <c r="I1196" s="141"/>
    </row>
    <row r="1197" spans="3:9">
      <c r="C1197" s="198" t="s">
        <v>22</v>
      </c>
      <c r="D1197" s="104">
        <f>Model!AE85</f>
        <v>38731.160999999993</v>
      </c>
      <c r="E1197" s="105"/>
      <c r="F1197" s="106"/>
    </row>
    <row r="1199" spans="3:9">
      <c r="C1199" s="114" t="s">
        <v>23</v>
      </c>
      <c r="D1199" s="176">
        <f>D1192-Model!AE116</f>
        <v>-1.3999999995576218E-2</v>
      </c>
    </row>
    <row r="1200" spans="3:9" ht="13.5" thickBot="1">
      <c r="D1200" s="412"/>
      <c r="E1200" s="412"/>
    </row>
    <row r="1201" spans="3:5">
      <c r="C1201" s="59" t="s">
        <v>254</v>
      </c>
      <c r="D1201" s="131" t="s">
        <v>58</v>
      </c>
      <c r="E1201" s="132" t="s">
        <v>59</v>
      </c>
    </row>
    <row r="1202" spans="3:5">
      <c r="C1202" s="60"/>
      <c r="D1202" s="117"/>
      <c r="E1202" s="77"/>
    </row>
    <row r="1203" spans="3:5">
      <c r="C1203" s="60" t="s">
        <v>28</v>
      </c>
      <c r="D1203" s="163">
        <f>D1193</f>
        <v>44940.269</v>
      </c>
      <c r="E1203" s="203">
        <f>D1203*$J$1158</f>
        <v>1883.1667937747754</v>
      </c>
    </row>
    <row r="1204" spans="3:5">
      <c r="C1204" s="60" t="s">
        <v>74</v>
      </c>
      <c r="D1204" s="165">
        <v>0</v>
      </c>
      <c r="E1204" s="203">
        <f>D1204*$J$1158</f>
        <v>0</v>
      </c>
    </row>
    <row r="1205" spans="3:5" ht="13.5" thickBot="1">
      <c r="C1205" s="152" t="s">
        <v>29</v>
      </c>
      <c r="D1205" s="174">
        <f>SUM(D1202:D1204)</f>
        <v>44940.269</v>
      </c>
      <c r="E1205" s="175">
        <f>SUM(E1202:E1204)</f>
        <v>1883.1667937747754</v>
      </c>
    </row>
    <row r="1208" spans="3:5" ht="13.5" thickBot="1">
      <c r="D1208" s="412"/>
      <c r="E1208" s="412"/>
    </row>
    <row r="1209" spans="3:5">
      <c r="C1209" s="130" t="s">
        <v>255</v>
      </c>
      <c r="D1209" s="131" t="s">
        <v>58</v>
      </c>
      <c r="E1209" s="132" t="s">
        <v>59</v>
      </c>
    </row>
    <row r="1210" spans="3:5">
      <c r="C1210" s="133" t="s">
        <v>185</v>
      </c>
      <c r="D1210" s="62">
        <v>1964.181</v>
      </c>
      <c r="E1210" s="164">
        <f>D1210*$J$1158</f>
        <v>82.306593139514419</v>
      </c>
    </row>
    <row r="1211" spans="3:5">
      <c r="C1211" s="133" t="s">
        <v>186</v>
      </c>
      <c r="D1211" s="62">
        <v>25879.767</v>
      </c>
      <c r="E1211" s="164">
        <f>D1211*$J$1158</f>
        <v>1084.459860376631</v>
      </c>
    </row>
    <row r="1212" spans="3:5">
      <c r="C1212" s="133" t="s">
        <v>187</v>
      </c>
      <c r="D1212" s="62">
        <v>15912.021000000001</v>
      </c>
      <c r="E1212" s="164">
        <f>D1212*$J$1158</f>
        <v>666.77370286873224</v>
      </c>
    </row>
    <row r="1213" spans="3:5" ht="13.5" thickBot="1">
      <c r="C1213" s="133" t="s">
        <v>188</v>
      </c>
      <c r="D1213" s="62">
        <v>126122.68799999999</v>
      </c>
      <c r="E1213" s="164">
        <f>D1213*$J$1158</f>
        <v>5285.0163843749206</v>
      </c>
    </row>
    <row r="1214" spans="3:5" ht="13.5" thickBot="1">
      <c r="C1214" s="134" t="s">
        <v>43</v>
      </c>
      <c r="D1214" s="173">
        <f>SUM(D1210:D1213)</f>
        <v>169878.65700000001</v>
      </c>
      <c r="E1214" s="173">
        <f>SUM(E1210:E1213)</f>
        <v>7118.5565407597987</v>
      </c>
    </row>
    <row r="1215" spans="3:5">
      <c r="C1215" s="201"/>
      <c r="D1215" s="202"/>
      <c r="E1215" s="202"/>
    </row>
    <row r="1217" spans="2:12">
      <c r="B1217" s="54" t="s">
        <v>256</v>
      </c>
      <c r="I1217" s="54" t="s">
        <v>257</v>
      </c>
      <c r="J1217" s="76">
        <f>Model!AD211</f>
        <v>5.295544329001578E-2</v>
      </c>
      <c r="L1217" s="94" t="s">
        <v>60</v>
      </c>
    </row>
    <row r="1218" spans="2:12">
      <c r="C1218" s="107"/>
      <c r="D1218" s="414" t="s">
        <v>258</v>
      </c>
      <c r="E1218" s="415"/>
      <c r="F1218" s="94" t="s">
        <v>60</v>
      </c>
      <c r="G1218" s="391"/>
      <c r="L1218" s="96"/>
    </row>
    <row r="1219" spans="2:12">
      <c r="C1219" s="182"/>
      <c r="D1219" s="183" t="s">
        <v>124</v>
      </c>
      <c r="E1219" s="184" t="s">
        <v>125</v>
      </c>
      <c r="F1219" s="185"/>
      <c r="G1219" s="293"/>
      <c r="L1219" s="99">
        <f>J1283/J1290</f>
        <v>3.7800486562975464</v>
      </c>
    </row>
    <row r="1220" spans="2:12">
      <c r="C1220" s="182" t="s">
        <v>234</v>
      </c>
      <c r="D1220" s="186"/>
      <c r="E1220" s="171"/>
      <c r="F1220" s="187"/>
      <c r="G1220" s="290"/>
      <c r="L1220" s="101"/>
    </row>
    <row r="1221" spans="2:12">
      <c r="C1221" s="188" t="s">
        <v>235</v>
      </c>
      <c r="D1221" s="62">
        <v>4014.567</v>
      </c>
      <c r="E1221" s="119">
        <f>D1221*$J$1217</f>
        <v>212.59317510246879</v>
      </c>
      <c r="F1221" s="189"/>
      <c r="G1221" s="392"/>
      <c r="I1221" s="54" t="s">
        <v>123</v>
      </c>
      <c r="L1221" s="101"/>
    </row>
    <row r="1222" spans="2:12">
      <c r="C1222" s="188" t="s">
        <v>236</v>
      </c>
      <c r="D1222" s="62">
        <v>5348.9530000000004</v>
      </c>
      <c r="E1222" s="119">
        <f>D1222*$J$1217</f>
        <v>283.25617725245979</v>
      </c>
      <c r="F1222" s="189"/>
      <c r="G1222" s="392"/>
      <c r="I1222" s="107"/>
      <c r="J1222" s="414" t="s">
        <v>258</v>
      </c>
      <c r="K1222" s="415"/>
      <c r="L1222" s="101"/>
    </row>
    <row r="1223" spans="2:12">
      <c r="C1223" s="188"/>
      <c r="D1223" s="62"/>
      <c r="E1223" s="119"/>
      <c r="F1223" s="189"/>
      <c r="G1223" s="392"/>
      <c r="I1223" s="108"/>
      <c r="J1223" s="180" t="s">
        <v>124</v>
      </c>
      <c r="K1223" s="181" t="s">
        <v>125</v>
      </c>
      <c r="L1223" s="99">
        <f>J1287/J1290</f>
        <v>2.4638792079673757</v>
      </c>
    </row>
    <row r="1224" spans="2:12">
      <c r="C1224" s="188" t="s">
        <v>96</v>
      </c>
      <c r="D1224" s="62">
        <v>5978.6409999999996</v>
      </c>
      <c r="E1224" s="119">
        <f>D1224*$J$1217</f>
        <v>316.60158442686321</v>
      </c>
      <c r="F1224" s="189"/>
      <c r="G1224" s="392"/>
      <c r="I1224" s="110" t="s">
        <v>126</v>
      </c>
      <c r="J1224" s="140">
        <f>120936.6+9363.6+1324.1</f>
        <v>131624.30000000002</v>
      </c>
      <c r="K1224" s="154">
        <f>J1224*$J$1217</f>
        <v>6970.223154238025</v>
      </c>
      <c r="L1224" s="103"/>
    </row>
    <row r="1225" spans="2:12">
      <c r="C1225" s="188" t="s">
        <v>96</v>
      </c>
      <c r="D1225" s="62">
        <v>9905.1759999999995</v>
      </c>
      <c r="E1225" s="119">
        <f>D1225*$J$1217</f>
        <v>524.53298594562534</v>
      </c>
      <c r="F1225" s="189"/>
      <c r="G1225" s="392"/>
      <c r="I1225" s="157" t="s">
        <v>18</v>
      </c>
      <c r="J1225" s="167">
        <f>D1262</f>
        <v>27451.996999999999</v>
      </c>
      <c r="K1225" s="153">
        <f>J1225*$J$1217</f>
        <v>1453.7326703311833</v>
      </c>
      <c r="L1225" s="99">
        <f>J1289/J1290</f>
        <v>6.4488826291902965</v>
      </c>
    </row>
    <row r="1226" spans="2:12">
      <c r="C1226" s="188" t="s">
        <v>97</v>
      </c>
      <c r="D1226" s="62">
        <v>5500</v>
      </c>
      <c r="E1226" s="119">
        <f>D1226*$J$1217</f>
        <v>291.2549380950868</v>
      </c>
      <c r="F1226" s="189"/>
      <c r="G1226" s="392"/>
      <c r="I1226" s="111" t="s">
        <v>127</v>
      </c>
      <c r="J1226" s="156">
        <f>D1263</f>
        <v>0</v>
      </c>
      <c r="K1226" s="153">
        <f>J1226*$J$1217</f>
        <v>0</v>
      </c>
      <c r="L1226" s="106"/>
    </row>
    <row r="1227" spans="2:12">
      <c r="C1227" s="188" t="s">
        <v>237</v>
      </c>
      <c r="D1227" s="62">
        <v>1344.058</v>
      </c>
      <c r="E1227" s="119">
        <f>D1227*$J$1217</f>
        <v>71.175187197492022</v>
      </c>
      <c r="F1227" s="189"/>
      <c r="G1227" s="392"/>
      <c r="I1227" s="111" t="s">
        <v>128</v>
      </c>
      <c r="J1227" s="155">
        <v>10439.200000000001</v>
      </c>
      <c r="K1227" s="153">
        <f>J1227*$J$1217</f>
        <v>552.81246359313275</v>
      </c>
    </row>
    <row r="1228" spans="2:12">
      <c r="C1228" s="188"/>
      <c r="D1228" s="171"/>
      <c r="E1228" s="171"/>
      <c r="F1228" s="189"/>
      <c r="G1228" s="392"/>
      <c r="I1228" s="110" t="s">
        <v>19</v>
      </c>
      <c r="J1228" s="154">
        <f>J1224-J1225-J1226-J1227</f>
        <v>93733.103000000017</v>
      </c>
      <c r="K1228" s="154">
        <f>K1224-K1225-K1226-K1227</f>
        <v>4963.6780203137096</v>
      </c>
    </row>
    <row r="1229" spans="2:12">
      <c r="C1229" s="182" t="s">
        <v>238</v>
      </c>
      <c r="D1229" s="119"/>
      <c r="E1229" s="119"/>
      <c r="F1229" s="189"/>
      <c r="G1229" s="392"/>
      <c r="I1229" s="112" t="s">
        <v>20</v>
      </c>
      <c r="J1229" s="119">
        <f>+D1254</f>
        <v>105500.23299999999</v>
      </c>
      <c r="K1229" s="153">
        <f>J1229*$J$1217</f>
        <v>5586.8116057149509</v>
      </c>
    </row>
    <row r="1230" spans="2:12">
      <c r="C1230" s="188" t="s">
        <v>85</v>
      </c>
      <c r="D1230" s="62">
        <v>11129.156000000001</v>
      </c>
      <c r="E1230" s="119">
        <f t="shared" ref="E1230:E1236" si="21">D1230*$J$1217</f>
        <v>589.3493894237389</v>
      </c>
      <c r="F1230" s="189"/>
      <c r="G1230" s="392"/>
      <c r="I1230" s="110" t="s">
        <v>21</v>
      </c>
      <c r="J1230" s="154">
        <f>+J1224+J1229</f>
        <v>237124.533</v>
      </c>
      <c r="K1230" s="154">
        <f>+K1224+K1229</f>
        <v>12557.034759952976</v>
      </c>
    </row>
    <row r="1231" spans="2:12">
      <c r="C1231" s="188" t="s">
        <v>86</v>
      </c>
      <c r="D1231" s="62">
        <v>5635.7479999999996</v>
      </c>
      <c r="E1231" s="119">
        <f t="shared" si="21"/>
        <v>298.44353361081983</v>
      </c>
      <c r="F1231" s="189"/>
      <c r="G1231" s="392"/>
      <c r="I1231" s="113" t="s">
        <v>22</v>
      </c>
      <c r="J1231" s="105">
        <f>D1256</f>
        <v>39313.172999999995</v>
      </c>
      <c r="K1231" s="105"/>
    </row>
    <row r="1232" spans="2:12">
      <c r="C1232" s="188" t="s">
        <v>87</v>
      </c>
      <c r="D1232" s="62">
        <v>5643.5039999999999</v>
      </c>
      <c r="E1232" s="119">
        <f t="shared" si="21"/>
        <v>298.8542560289772</v>
      </c>
      <c r="F1232" s="189"/>
      <c r="G1232" s="392"/>
    </row>
    <row r="1233" spans="3:9">
      <c r="C1233" s="188" t="s">
        <v>88</v>
      </c>
      <c r="D1233" s="62">
        <v>11203.427</v>
      </c>
      <c r="E1233" s="119">
        <f t="shared" si="21"/>
        <v>593.28244315233155</v>
      </c>
      <c r="F1233" s="189"/>
      <c r="G1233" s="392"/>
    </row>
    <row r="1234" spans="3:9">
      <c r="C1234" s="188" t="s">
        <v>89</v>
      </c>
      <c r="D1234" s="62">
        <v>18453.919999999998</v>
      </c>
      <c r="E1234" s="119">
        <f t="shared" si="21"/>
        <v>977.23551403848796</v>
      </c>
      <c r="F1234" s="189"/>
      <c r="G1234" s="392"/>
    </row>
    <row r="1235" spans="3:9">
      <c r="C1235" s="188" t="s">
        <v>90</v>
      </c>
      <c r="D1235" s="62">
        <v>16871.348000000002</v>
      </c>
      <c r="E1235" s="119">
        <f t="shared" si="21"/>
        <v>893.42971224012126</v>
      </c>
      <c r="F1235" s="189"/>
      <c r="G1235" s="392"/>
    </row>
    <row r="1236" spans="3:9">
      <c r="C1236" s="188" t="s">
        <v>91</v>
      </c>
      <c r="D1236" s="62">
        <v>13858.286</v>
      </c>
      <c r="E1236" s="119">
        <f t="shared" si="21"/>
        <v>733.87167836981962</v>
      </c>
      <c r="F1236" s="189"/>
      <c r="G1236" s="392"/>
    </row>
    <row r="1237" spans="3:9">
      <c r="C1237" s="190" t="s">
        <v>239</v>
      </c>
      <c r="D1237" s="172">
        <f>SUM(D1230:D1236)</f>
        <v>82795.388999999996</v>
      </c>
      <c r="E1237" s="172">
        <f>SUM(E1230:E1236)</f>
        <v>4384.4665268642966</v>
      </c>
      <c r="F1237" s="191"/>
      <c r="G1237" s="392"/>
    </row>
    <row r="1238" spans="3:9">
      <c r="C1238" s="188"/>
      <c r="D1238" s="119"/>
      <c r="E1238" s="119"/>
      <c r="F1238" s="189"/>
      <c r="G1238" s="392"/>
    </row>
    <row r="1239" spans="3:9">
      <c r="C1239" s="182" t="s">
        <v>240</v>
      </c>
      <c r="D1239" s="119"/>
      <c r="E1239" s="119"/>
      <c r="F1239" s="189"/>
      <c r="G1239" s="392"/>
    </row>
    <row r="1240" spans="3:9">
      <c r="C1240" s="188" t="s">
        <v>241</v>
      </c>
      <c r="D1240" s="62">
        <v>0</v>
      </c>
      <c r="E1240" s="119">
        <f t="shared" ref="E1240:E1245" si="22">D1240*$J$1217</f>
        <v>0</v>
      </c>
      <c r="F1240" s="189"/>
      <c r="G1240" s="392"/>
    </row>
    <row r="1241" spans="3:9">
      <c r="C1241" s="188" t="s">
        <v>242</v>
      </c>
      <c r="D1241" s="62">
        <v>0</v>
      </c>
      <c r="E1241" s="119">
        <f t="shared" si="22"/>
        <v>0</v>
      </c>
      <c r="F1241" s="189"/>
      <c r="G1241" s="392"/>
    </row>
    <row r="1242" spans="3:9">
      <c r="C1242" s="188" t="s">
        <v>243</v>
      </c>
      <c r="D1242" s="62">
        <v>0</v>
      </c>
      <c r="E1242" s="119">
        <f t="shared" si="22"/>
        <v>0</v>
      </c>
      <c r="F1242" s="189"/>
      <c r="G1242" s="392"/>
    </row>
    <row r="1243" spans="3:9">
      <c r="C1243" s="188" t="s">
        <v>93</v>
      </c>
      <c r="D1243" s="62">
        <v>4481.5190000000002</v>
      </c>
      <c r="E1243" s="119">
        <f t="shared" si="22"/>
        <v>237.32082525762823</v>
      </c>
      <c r="F1243" s="189"/>
      <c r="G1243" s="392"/>
    </row>
    <row r="1244" spans="3:9">
      <c r="C1244" s="188" t="s">
        <v>94</v>
      </c>
      <c r="D1244" s="62">
        <v>4487.3720000000003</v>
      </c>
      <c r="E1244" s="119">
        <f t="shared" si="22"/>
        <v>237.6307734672047</v>
      </c>
      <c r="F1244" s="189"/>
      <c r="G1244" s="392"/>
      <c r="I1244" s="62"/>
    </row>
    <row r="1245" spans="3:9">
      <c r="C1245" s="188" t="s">
        <v>95</v>
      </c>
      <c r="D1245" s="62">
        <v>6444.54</v>
      </c>
      <c r="E1245" s="119">
        <f t="shared" si="22"/>
        <v>341.27347250023831</v>
      </c>
      <c r="F1245" s="189"/>
      <c r="G1245" s="392"/>
    </row>
    <row r="1246" spans="3:9">
      <c r="C1246" s="190" t="s">
        <v>244</v>
      </c>
      <c r="D1246" s="172">
        <f>SUM(D1240:D1245)</f>
        <v>15413.431</v>
      </c>
      <c r="E1246" s="172">
        <f>SUM(E1240:E1245)</f>
        <v>816.22507122507125</v>
      </c>
      <c r="F1246" s="191"/>
      <c r="G1246" s="392"/>
    </row>
    <row r="1247" spans="3:9">
      <c r="C1247" s="182"/>
      <c r="D1247" s="171"/>
      <c r="E1247" s="171"/>
      <c r="F1247" s="187"/>
      <c r="G1247" s="290"/>
    </row>
    <row r="1248" spans="3:9">
      <c r="C1248" s="182" t="s">
        <v>245</v>
      </c>
      <c r="D1248" s="171"/>
      <c r="E1248" s="171"/>
      <c r="F1248" s="187"/>
      <c r="G1248" s="290"/>
    </row>
    <row r="1249" spans="3:9">
      <c r="C1249" s="182" t="s">
        <v>246</v>
      </c>
      <c r="D1249" s="62">
        <v>1324.0630000000001</v>
      </c>
      <c r="E1249" s="119">
        <f>D1249*$J$1217</f>
        <v>70.116343108908168</v>
      </c>
      <c r="F1249" s="187"/>
      <c r="G1249" s="290"/>
    </row>
    <row r="1250" spans="3:9">
      <c r="C1250" s="182"/>
      <c r="D1250" s="171"/>
      <c r="E1250" s="171"/>
      <c r="F1250" s="187"/>
      <c r="G1250" s="290"/>
    </row>
    <row r="1251" spans="3:9">
      <c r="C1251" s="192" t="s">
        <v>17</v>
      </c>
      <c r="D1251" s="193">
        <f>D1237+D1246+D1249+D1221+D1222+D1224+D1226+D1227+D1225</f>
        <v>131624.27799999999</v>
      </c>
      <c r="E1251" s="172">
        <f>E1237+E1246+E1249+E1221+E1222+E1224+E1226+E1227+E1225</f>
        <v>6970.221989218272</v>
      </c>
      <c r="F1251" s="194">
        <f>+D1251/D1256</f>
        <v>3.3480960186042479</v>
      </c>
      <c r="G1251" s="286"/>
      <c r="H1251" s="199"/>
    </row>
    <row r="1252" spans="3:9">
      <c r="C1252" s="195" t="s">
        <v>18</v>
      </c>
      <c r="D1252" s="196">
        <f>Model!AD113</f>
        <v>27451.996999999999</v>
      </c>
      <c r="E1252" s="119">
        <f>D1252*$J$1217</f>
        <v>1453.7326703311833</v>
      </c>
      <c r="F1252" s="197"/>
      <c r="G1252" s="288"/>
    </row>
    <row r="1253" spans="3:9">
      <c r="C1253" s="192" t="s">
        <v>19</v>
      </c>
      <c r="D1253" s="193">
        <f>+D1251-D1252</f>
        <v>104172.28099999999</v>
      </c>
      <c r="E1253" s="172">
        <f>+E1251-E1252</f>
        <v>5516.4893188870883</v>
      </c>
      <c r="F1253" s="194">
        <f>+D1253/D1256</f>
        <v>2.6498059823357427</v>
      </c>
      <c r="G1253" s="286"/>
    </row>
    <row r="1254" spans="3:9">
      <c r="C1254" s="195" t="s">
        <v>20</v>
      </c>
      <c r="D1254" s="196">
        <f>Model!AD120</f>
        <v>105500.23299999999</v>
      </c>
      <c r="E1254" s="119">
        <f>D1254*$J$1217</f>
        <v>5586.8116057149509</v>
      </c>
      <c r="F1254" s="103"/>
    </row>
    <row r="1255" spans="3:9">
      <c r="C1255" s="192" t="s">
        <v>21</v>
      </c>
      <c r="D1255" s="193">
        <f>D1251+D1254</f>
        <v>237124.511</v>
      </c>
      <c r="E1255" s="172">
        <f>E1251+E1254</f>
        <v>12557.033594933222</v>
      </c>
      <c r="F1255" s="194">
        <f>D1255/D1256</f>
        <v>6.031680805820482</v>
      </c>
      <c r="G1255" s="286"/>
      <c r="I1255" s="141"/>
    </row>
    <row r="1256" spans="3:9">
      <c r="C1256" s="198" t="s">
        <v>22</v>
      </c>
      <c r="D1256" s="104">
        <f>Model!AD85</f>
        <v>39313.172999999995</v>
      </c>
      <c r="E1256" s="105"/>
      <c r="F1256" s="106"/>
    </row>
    <row r="1258" spans="3:9">
      <c r="C1258" s="114" t="s">
        <v>23</v>
      </c>
      <c r="D1258" s="176">
        <f>D1251-Model!AD116</f>
        <v>-2.1999999997206032E-2</v>
      </c>
    </row>
    <row r="1259" spans="3:9" ht="13.5" thickBot="1">
      <c r="D1259" s="412"/>
      <c r="E1259" s="412"/>
    </row>
    <row r="1260" spans="3:9">
      <c r="C1260" s="59" t="s">
        <v>259</v>
      </c>
      <c r="D1260" s="131" t="s">
        <v>58</v>
      </c>
      <c r="E1260" s="132" t="s">
        <v>59</v>
      </c>
    </row>
    <row r="1261" spans="3:9">
      <c r="C1261" s="60"/>
      <c r="D1261" s="117"/>
      <c r="E1261" s="77"/>
    </row>
    <row r="1262" spans="3:9">
      <c r="C1262" s="60" t="s">
        <v>28</v>
      </c>
      <c r="D1262" s="163">
        <f>D1252</f>
        <v>27451.996999999999</v>
      </c>
      <c r="E1262" s="203">
        <f>D1262*$J$1217</f>
        <v>1453.7326703311833</v>
      </c>
    </row>
    <row r="1263" spans="3:9">
      <c r="C1263" s="60" t="s">
        <v>74</v>
      </c>
      <c r="D1263" s="165">
        <v>0</v>
      </c>
      <c r="E1263" s="203">
        <f>D1263*$J$1217</f>
        <v>0</v>
      </c>
    </row>
    <row r="1264" spans="3:9" ht="13.5" thickBot="1">
      <c r="C1264" s="152" t="s">
        <v>29</v>
      </c>
      <c r="D1264" s="174">
        <f>SUM(D1261:D1263)</f>
        <v>27451.996999999999</v>
      </c>
      <c r="E1264" s="175">
        <f>SUM(E1261:E1263)</f>
        <v>1453.7326703311833</v>
      </c>
    </row>
    <row r="1267" spans="2:12" ht="13.5" thickBot="1">
      <c r="D1267" s="412"/>
      <c r="E1267" s="412"/>
    </row>
    <row r="1268" spans="2:12">
      <c r="C1268" s="130" t="s">
        <v>260</v>
      </c>
      <c r="D1268" s="131" t="s">
        <v>58</v>
      </c>
      <c r="E1268" s="132" t="s">
        <v>59</v>
      </c>
    </row>
    <row r="1269" spans="2:12">
      <c r="C1269" s="133" t="s">
        <v>185</v>
      </c>
      <c r="D1269" s="147">
        <v>3074.3180000000002</v>
      </c>
      <c r="E1269" s="164">
        <f>D1269*$J$1217</f>
        <v>162.80187250447474</v>
      </c>
    </row>
    <row r="1270" spans="2:12">
      <c r="C1270" s="133" t="s">
        <v>186</v>
      </c>
      <c r="D1270" s="147">
        <v>11344.432000000001</v>
      </c>
      <c r="E1270" s="164">
        <f>D1270*$J$1217</f>
        <v>600.74942543344036</v>
      </c>
    </row>
    <row r="1271" spans="2:12">
      <c r="C1271" s="133" t="s">
        <v>187</v>
      </c>
      <c r="D1271" s="147">
        <v>15881.812</v>
      </c>
      <c r="E1271" s="164">
        <f>D1271*$J$1217</f>
        <v>841.02839470869208</v>
      </c>
    </row>
    <row r="1272" spans="2:12" ht="13.5" thickBot="1">
      <c r="C1272" s="133" t="s">
        <v>188</v>
      </c>
      <c r="D1272" s="147">
        <v>102765.31299999999</v>
      </c>
      <c r="E1272" s="164">
        <f>D1272*$J$1217</f>
        <v>5441.9827047522213</v>
      </c>
    </row>
    <row r="1273" spans="2:12" ht="13.5" thickBot="1">
      <c r="C1273" s="134" t="s">
        <v>43</v>
      </c>
      <c r="D1273" s="173">
        <f>SUM(D1269:D1272)</f>
        <v>133065.875</v>
      </c>
      <c r="E1273" s="173">
        <f>SUM(E1269:E1272)</f>
        <v>7046.5623973988286</v>
      </c>
    </row>
    <row r="1274" spans="2:12">
      <c r="C1274" s="201"/>
      <c r="D1274" s="202"/>
      <c r="E1274" s="202"/>
      <c r="L1274" s="94" t="s">
        <v>60</v>
      </c>
    </row>
    <row r="1275" spans="2:12">
      <c r="D1275" s="135"/>
      <c r="L1275" s="96"/>
    </row>
    <row r="1276" spans="2:12">
      <c r="B1276" s="54" t="s">
        <v>261</v>
      </c>
      <c r="I1276" s="54" t="s">
        <v>262</v>
      </c>
      <c r="J1276" s="76">
        <f>Model!AC211</f>
        <v>5.0660101117561834E-2</v>
      </c>
      <c r="L1276" s="99">
        <f>J1340/J1347</f>
        <v>3.8072856013718948</v>
      </c>
    </row>
    <row r="1277" spans="2:12">
      <c r="C1277" s="107"/>
      <c r="D1277" s="414" t="s">
        <v>263</v>
      </c>
      <c r="E1277" s="415"/>
      <c r="F1277" s="94" t="s">
        <v>60</v>
      </c>
      <c r="G1277" s="391"/>
      <c r="L1277" s="101"/>
    </row>
    <row r="1278" spans="2:12">
      <c r="C1278" s="182"/>
      <c r="D1278" s="183" t="s">
        <v>124</v>
      </c>
      <c r="E1278" s="184" t="s">
        <v>125</v>
      </c>
      <c r="F1278" s="185"/>
      <c r="G1278" s="293"/>
      <c r="L1278" s="101"/>
    </row>
    <row r="1279" spans="2:12">
      <c r="C1279" s="182" t="s">
        <v>234</v>
      </c>
      <c r="D1279" s="186"/>
      <c r="E1279" s="171"/>
      <c r="F1279" s="187"/>
      <c r="G1279" s="290"/>
      <c r="L1279" s="101"/>
    </row>
    <row r="1280" spans="2:12">
      <c r="C1280" s="188" t="s">
        <v>235</v>
      </c>
      <c r="D1280" s="62">
        <v>4296.3140000000003</v>
      </c>
      <c r="E1280" s="119">
        <f>D1280*$J$1276</f>
        <v>217.65170167279658</v>
      </c>
      <c r="F1280" s="189"/>
      <c r="G1280" s="392"/>
      <c r="I1280" s="54" t="s">
        <v>123</v>
      </c>
      <c r="L1280" s="99">
        <f>J1344/J1347</f>
        <v>2.4564804269019902</v>
      </c>
    </row>
    <row r="1281" spans="3:12">
      <c r="C1281" s="188" t="s">
        <v>236</v>
      </c>
      <c r="D1281" s="62">
        <v>5360.2039999999997</v>
      </c>
      <c r="E1281" s="119">
        <f>D1281*$J$1276</f>
        <v>271.54847665075943</v>
      </c>
      <c r="F1281" s="189"/>
      <c r="G1281" s="392"/>
      <c r="I1281" s="107"/>
      <c r="J1281" s="414" t="s">
        <v>263</v>
      </c>
      <c r="K1281" s="415"/>
      <c r="L1281" s="103"/>
    </row>
    <row r="1282" spans="3:12">
      <c r="C1282" s="188"/>
      <c r="D1282" s="62"/>
      <c r="E1282" s="119"/>
      <c r="F1282" s="189"/>
      <c r="G1282" s="392"/>
      <c r="I1282" s="108"/>
      <c r="J1282" s="180" t="s">
        <v>124</v>
      </c>
      <c r="K1282" s="181" t="s">
        <v>125</v>
      </c>
      <c r="L1282" s="99">
        <f>J1346/J1347</f>
        <v>6.4993795557735465</v>
      </c>
    </row>
    <row r="1283" spans="3:12">
      <c r="C1283" s="188" t="s">
        <v>96</v>
      </c>
      <c r="D1283" s="62">
        <v>5976.8549999999996</v>
      </c>
      <c r="E1283" s="119">
        <f>D1283*$J$1276</f>
        <v>302.788078665005</v>
      </c>
      <c r="F1283" s="189"/>
      <c r="G1283" s="392"/>
      <c r="I1283" s="110" t="s">
        <v>126</v>
      </c>
      <c r="J1283" s="140">
        <f>134767.7+9656.6+1315.2</f>
        <v>145739.50000000003</v>
      </c>
      <c r="K1283" s="154">
        <f>J1283*$J$1276</f>
        <v>7383.1778068229041</v>
      </c>
      <c r="L1283" s="106"/>
    </row>
    <row r="1284" spans="3:12">
      <c r="C1284" s="188" t="s">
        <v>96</v>
      </c>
      <c r="D1284" s="62">
        <v>9900.0040000000008</v>
      </c>
      <c r="E1284" s="119">
        <f>D1284*$J$1276</f>
        <v>501.53520370426668</v>
      </c>
      <c r="F1284" s="189"/>
      <c r="G1284" s="392"/>
      <c r="I1284" s="157" t="s">
        <v>18</v>
      </c>
      <c r="J1284" s="167">
        <f>D1321</f>
        <v>38710.917000000001</v>
      </c>
      <c r="K1284" s="153">
        <f>J1284*$J$1276</f>
        <v>1961.0989695735434</v>
      </c>
    </row>
    <row r="1285" spans="3:12">
      <c r="C1285" s="188" t="s">
        <v>97</v>
      </c>
      <c r="D1285" s="62">
        <v>5500</v>
      </c>
      <c r="E1285" s="119">
        <f>D1285*$J$1276</f>
        <v>278.6305561465901</v>
      </c>
      <c r="F1285" s="189"/>
      <c r="G1285" s="392"/>
      <c r="I1285" s="111" t="s">
        <v>127</v>
      </c>
      <c r="J1285" s="156">
        <f>D1322</f>
        <v>12.3</v>
      </c>
      <c r="K1285" s="153">
        <f>J1285*$J$1276</f>
        <v>0.62311924374601058</v>
      </c>
    </row>
    <row r="1286" spans="3:12">
      <c r="C1286" s="188" t="s">
        <v>237</v>
      </c>
      <c r="D1286" s="62">
        <v>1404.4590000000001</v>
      </c>
      <c r="E1286" s="119">
        <f>D1286*$J$1276</f>
        <v>71.150034955469778</v>
      </c>
      <c r="F1286" s="189"/>
      <c r="G1286" s="392"/>
      <c r="I1286" s="111" t="s">
        <v>128</v>
      </c>
      <c r="J1286" s="155">
        <v>12021.6</v>
      </c>
      <c r="K1286" s="153">
        <f>J1286*$J$1276</f>
        <v>609.01547159488132</v>
      </c>
    </row>
    <row r="1287" spans="3:12">
      <c r="C1287" s="188"/>
      <c r="D1287" s="171"/>
      <c r="E1287" s="171"/>
      <c r="F1287" s="189"/>
      <c r="G1287" s="392"/>
      <c r="I1287" s="110" t="s">
        <v>19</v>
      </c>
      <c r="J1287" s="154">
        <f>J1283-J1284-J1285-J1286</f>
        <v>94994.683000000019</v>
      </c>
      <c r="K1287" s="154">
        <f>K1283-K1284-K1285-K1286</f>
        <v>4812.4402464107334</v>
      </c>
    </row>
    <row r="1288" spans="3:12">
      <c r="C1288" s="182" t="s">
        <v>238</v>
      </c>
      <c r="D1288" s="119"/>
      <c r="E1288" s="119"/>
      <c r="F1288" s="189"/>
      <c r="G1288" s="392"/>
      <c r="I1288" s="112" t="s">
        <v>20</v>
      </c>
      <c r="J1288" s="119">
        <f>+D1313</f>
        <v>102896.69899999999</v>
      </c>
      <c r="K1288" s="153">
        <f>J1288*$J$1276</f>
        <v>5212.7571760033234</v>
      </c>
    </row>
    <row r="1289" spans="3:12">
      <c r="C1289" s="188" t="s">
        <v>85</v>
      </c>
      <c r="D1289" s="62">
        <v>11632.938</v>
      </c>
      <c r="E1289" s="119">
        <f t="shared" ref="E1289:E1295" si="23">D1289*$J$1276</f>
        <v>589.32581537432759</v>
      </c>
      <c r="F1289" s="189"/>
      <c r="G1289" s="392"/>
      <c r="I1289" s="110" t="s">
        <v>21</v>
      </c>
      <c r="J1289" s="154">
        <f>+J1283+J1288</f>
        <v>248636.19900000002</v>
      </c>
      <c r="K1289" s="154">
        <f>+K1283+K1288</f>
        <v>12595.934982826227</v>
      </c>
    </row>
    <row r="1290" spans="3:12">
      <c r="C1290" s="188" t="s">
        <v>86</v>
      </c>
      <c r="D1290" s="62">
        <v>5891.1859999999997</v>
      </c>
      <c r="E1290" s="119">
        <f t="shared" si="23"/>
        <v>298.44807846236461</v>
      </c>
      <c r="F1290" s="189"/>
      <c r="G1290" s="392"/>
      <c r="I1290" s="113" t="s">
        <v>22</v>
      </c>
      <c r="J1290" s="105">
        <f>D1315</f>
        <v>38554.927000000011</v>
      </c>
      <c r="K1290" s="105"/>
    </row>
    <row r="1291" spans="3:12">
      <c r="C1291" s="188" t="s">
        <v>87</v>
      </c>
      <c r="D1291" s="62">
        <v>5899.7420000000002</v>
      </c>
      <c r="E1291" s="119">
        <f t="shared" si="23"/>
        <v>298.88152628752653</v>
      </c>
      <c r="F1291" s="189"/>
      <c r="G1291" s="392"/>
    </row>
    <row r="1292" spans="3:12">
      <c r="C1292" s="188" t="s">
        <v>88</v>
      </c>
      <c r="D1292" s="62">
        <v>11715.194</v>
      </c>
      <c r="E1292" s="119">
        <f t="shared" si="23"/>
        <v>593.49291265185366</v>
      </c>
      <c r="F1292" s="189"/>
      <c r="G1292" s="392"/>
    </row>
    <row r="1293" spans="3:12">
      <c r="C1293" s="188" t="s">
        <v>89</v>
      </c>
      <c r="D1293" s="62">
        <v>19305.291000000001</v>
      </c>
      <c r="E1293" s="119">
        <f t="shared" si="23"/>
        <v>978.00799416395648</v>
      </c>
      <c r="F1293" s="189"/>
      <c r="G1293" s="392"/>
    </row>
    <row r="1294" spans="3:12">
      <c r="C1294" s="188" t="s">
        <v>90</v>
      </c>
      <c r="D1294" s="62">
        <v>17640.191999999999</v>
      </c>
      <c r="E1294" s="119">
        <f t="shared" si="23"/>
        <v>893.6539104532053</v>
      </c>
      <c r="F1294" s="189"/>
      <c r="G1294" s="392"/>
    </row>
    <row r="1295" spans="3:12">
      <c r="C1295" s="188" t="s">
        <v>91</v>
      </c>
      <c r="D1295" s="62">
        <v>14497.397999999999</v>
      </c>
      <c r="E1295" s="119">
        <f t="shared" si="23"/>
        <v>734.43964862153871</v>
      </c>
      <c r="F1295" s="189"/>
      <c r="G1295" s="392"/>
    </row>
    <row r="1296" spans="3:12">
      <c r="C1296" s="190" t="s">
        <v>239</v>
      </c>
      <c r="D1296" s="172">
        <f>SUM(D1289:D1295)</f>
        <v>86581.940999999992</v>
      </c>
      <c r="E1296" s="172">
        <f>SUM(E1289:E1295)</f>
        <v>4386.2498860147734</v>
      </c>
      <c r="F1296" s="191"/>
      <c r="G1296" s="392"/>
    </row>
    <row r="1297" spans="3:8">
      <c r="C1297" s="188"/>
      <c r="D1297" s="119"/>
      <c r="E1297" s="119"/>
      <c r="F1297" s="189"/>
      <c r="G1297" s="392"/>
    </row>
    <row r="1298" spans="3:8">
      <c r="C1298" s="182" t="s">
        <v>240</v>
      </c>
      <c r="D1298" s="119"/>
      <c r="E1298" s="119"/>
      <c r="F1298" s="189"/>
      <c r="G1298" s="392"/>
    </row>
    <row r="1299" spans="3:8">
      <c r="C1299" s="188" t="s">
        <v>241</v>
      </c>
      <c r="D1299" s="62">
        <v>9992.3590000000004</v>
      </c>
      <c r="E1299" s="119">
        <f t="shared" ref="E1299:E1304" si="24">D1299*$J$1276</f>
        <v>506.21391734297907</v>
      </c>
      <c r="F1299" s="189"/>
      <c r="G1299" s="392"/>
    </row>
    <row r="1300" spans="3:8">
      <c r="C1300" s="188" t="s">
        <v>242</v>
      </c>
      <c r="D1300" s="62">
        <v>0</v>
      </c>
      <c r="E1300" s="119">
        <f t="shared" si="24"/>
        <v>0</v>
      </c>
      <c r="F1300" s="189"/>
      <c r="G1300" s="392"/>
    </row>
    <row r="1301" spans="3:8">
      <c r="C1301" s="188" t="s">
        <v>243</v>
      </c>
      <c r="D1301" s="62">
        <v>0</v>
      </c>
      <c r="E1301" s="119">
        <f t="shared" si="24"/>
        <v>0</v>
      </c>
      <c r="F1301" s="189"/>
      <c r="G1301" s="392"/>
    </row>
    <row r="1302" spans="3:8">
      <c r="C1302" s="188" t="s">
        <v>93</v>
      </c>
      <c r="D1302" s="62">
        <v>4480.93</v>
      </c>
      <c r="E1302" s="119">
        <f t="shared" si="24"/>
        <v>227.00436690071638</v>
      </c>
      <c r="F1302" s="189"/>
      <c r="G1302" s="392"/>
    </row>
    <row r="1303" spans="3:8">
      <c r="C1303" s="188" t="s">
        <v>94</v>
      </c>
      <c r="D1303" s="62">
        <v>4487.1909999999998</v>
      </c>
      <c r="E1303" s="119">
        <f t="shared" si="24"/>
        <v>227.3215497938134</v>
      </c>
      <c r="F1303" s="189"/>
      <c r="G1303" s="392"/>
    </row>
    <row r="1304" spans="3:8">
      <c r="C1304" s="188" t="s">
        <v>95</v>
      </c>
      <c r="D1304" s="62">
        <v>6443.9480000000003</v>
      </c>
      <c r="E1304" s="119">
        <f t="shared" si="24"/>
        <v>326.45105727631034</v>
      </c>
      <c r="F1304" s="189"/>
      <c r="G1304" s="392"/>
    </row>
    <row r="1305" spans="3:8">
      <c r="C1305" s="190" t="s">
        <v>244</v>
      </c>
      <c r="D1305" s="172">
        <f>SUM(D1299:D1304)</f>
        <v>25404.428</v>
      </c>
      <c r="E1305" s="172">
        <f>SUM(E1299:E1304)</f>
        <v>1286.9908913138192</v>
      </c>
      <c r="F1305" s="191"/>
      <c r="G1305" s="392"/>
    </row>
    <row r="1306" spans="3:8">
      <c r="C1306" s="182"/>
      <c r="D1306" s="171"/>
      <c r="E1306" s="171"/>
      <c r="F1306" s="187"/>
      <c r="G1306" s="290"/>
    </row>
    <row r="1307" spans="3:8">
      <c r="C1307" s="182" t="s">
        <v>245</v>
      </c>
      <c r="D1307" s="171"/>
      <c r="E1307" s="171"/>
      <c r="F1307" s="187"/>
      <c r="G1307" s="290"/>
      <c r="H1307" s="29">
        <v>1315156</v>
      </c>
    </row>
    <row r="1308" spans="3:8">
      <c r="C1308" s="182" t="s">
        <v>246</v>
      </c>
      <c r="D1308" s="62">
        <v>1315.1559999999999</v>
      </c>
      <c r="E1308" s="119">
        <f>D1308*$J$1276</f>
        <v>66.625935945368155</v>
      </c>
      <c r="F1308" s="187"/>
      <c r="G1308" s="290"/>
      <c r="H1308" s="29">
        <v>134767687</v>
      </c>
    </row>
    <row r="1309" spans="3:8">
      <c r="C1309" s="182"/>
      <c r="D1309" s="171"/>
      <c r="E1309" s="171"/>
      <c r="F1309" s="187"/>
      <c r="G1309" s="290"/>
      <c r="H1309" s="29">
        <v>9656518</v>
      </c>
    </row>
    <row r="1310" spans="3:8">
      <c r="C1310" s="192" t="s">
        <v>17</v>
      </c>
      <c r="D1310" s="193">
        <f>D1296+D1305+D1308+D1280+D1281+D1283+D1285+D1286+D1284</f>
        <v>145739.36099999998</v>
      </c>
      <c r="E1310" s="172">
        <f>E1296+E1305+E1308+E1280+E1281+E1283+E1285+E1286+E1284</f>
        <v>7383.1707650688477</v>
      </c>
      <c r="F1310" s="194">
        <f>+D1310/D1315</f>
        <v>3.7800450510514501</v>
      </c>
      <c r="G1310" s="286"/>
      <c r="H1310" s="199"/>
    </row>
    <row r="1311" spans="3:8">
      <c r="C1311" s="195" t="s">
        <v>18</v>
      </c>
      <c r="D1311" s="196">
        <f>Model!AC113</f>
        <v>38710.917000000001</v>
      </c>
      <c r="E1311" s="119">
        <f>D1311*$J$1276</f>
        <v>1961.0989695735434</v>
      </c>
      <c r="F1311" s="197"/>
      <c r="G1311" s="288"/>
    </row>
    <row r="1312" spans="3:8">
      <c r="C1312" s="192" t="s">
        <v>19</v>
      </c>
      <c r="D1312" s="193">
        <f>+D1310-D1311</f>
        <v>107028.44399999997</v>
      </c>
      <c r="E1312" s="172">
        <f>+E1310-E1311</f>
        <v>5422.0717954953043</v>
      </c>
      <c r="F1312" s="194">
        <f>+D1312/D1315</f>
        <v>2.7759991349484321</v>
      </c>
      <c r="G1312" s="286"/>
    </row>
    <row r="1313" spans="3:9">
      <c r="C1313" s="195" t="s">
        <v>20</v>
      </c>
      <c r="D1313" s="196">
        <f>Model!AC120</f>
        <v>102896.69899999999</v>
      </c>
      <c r="E1313" s="119">
        <f>D1313*$J$1276</f>
        <v>5212.7571760033234</v>
      </c>
      <c r="F1313" s="103"/>
    </row>
    <row r="1314" spans="3:9">
      <c r="C1314" s="192" t="s">
        <v>21</v>
      </c>
      <c r="D1314" s="193">
        <f>D1310+D1313</f>
        <v>248636.05999999997</v>
      </c>
      <c r="E1314" s="172">
        <f>E1310+E1313</f>
        <v>12595.927941072172</v>
      </c>
      <c r="F1314" s="194">
        <f>D1314/D1315</f>
        <v>6.4488790239442002</v>
      </c>
      <c r="G1314" s="286"/>
      <c r="I1314" s="141"/>
    </row>
    <row r="1315" spans="3:9">
      <c r="C1315" s="198" t="s">
        <v>22</v>
      </c>
      <c r="D1315" s="104">
        <f>Model!AC85</f>
        <v>38554.927000000011</v>
      </c>
      <c r="E1315" s="105"/>
      <c r="F1315" s="106"/>
    </row>
    <row r="1317" spans="3:9">
      <c r="C1317" s="114" t="s">
        <v>23</v>
      </c>
      <c r="D1317" s="176">
        <f>D1310-Model!AC116</f>
        <v>-0.13900000005378388</v>
      </c>
    </row>
    <row r="1318" spans="3:9" ht="13.5" thickBot="1">
      <c r="D1318" s="412"/>
      <c r="E1318" s="412"/>
    </row>
    <row r="1319" spans="3:9">
      <c r="C1319" s="59" t="s">
        <v>264</v>
      </c>
      <c r="D1319" s="131" t="s">
        <v>58</v>
      </c>
      <c r="E1319" s="132" t="s">
        <v>59</v>
      </c>
    </row>
    <row r="1320" spans="3:9">
      <c r="C1320" s="60"/>
      <c r="D1320" s="117"/>
      <c r="E1320" s="77"/>
    </row>
    <row r="1321" spans="3:9">
      <c r="C1321" s="60" t="s">
        <v>28</v>
      </c>
      <c r="D1321" s="163">
        <f>D1311</f>
        <v>38710.917000000001</v>
      </c>
      <c r="E1321" s="164">
        <f>D1321*$J$1276</f>
        <v>1961.0989695735434</v>
      </c>
    </row>
    <row r="1322" spans="3:9">
      <c r="C1322" s="60" t="s">
        <v>74</v>
      </c>
      <c r="D1322" s="165">
        <v>12.3</v>
      </c>
      <c r="E1322" s="164">
        <f>D1322*$J$1276</f>
        <v>0.62311924374601058</v>
      </c>
    </row>
    <row r="1323" spans="3:9" ht="13.5" thickBot="1">
      <c r="C1323" s="152" t="s">
        <v>29</v>
      </c>
      <c r="D1323" s="174">
        <f>SUM(D1320:D1322)</f>
        <v>38723.217000000004</v>
      </c>
      <c r="E1323" s="175">
        <f>SUM(E1320:E1322)</f>
        <v>1961.7220888172894</v>
      </c>
    </row>
    <row r="1326" spans="3:9" ht="13.5" thickBot="1">
      <c r="D1326" s="412"/>
      <c r="E1326" s="412"/>
    </row>
    <row r="1327" spans="3:9">
      <c r="C1327" s="130" t="s">
        <v>265</v>
      </c>
      <c r="D1327" s="131" t="s">
        <v>58</v>
      </c>
      <c r="E1327" s="132" t="s">
        <v>59</v>
      </c>
    </row>
    <row r="1328" spans="3:9">
      <c r="C1328" s="133" t="s">
        <v>185</v>
      </c>
      <c r="D1328" s="147">
        <v>13021.407999999999</v>
      </c>
      <c r="E1328" s="164">
        <f>D1328*$J$1276</f>
        <v>659.66584597302858</v>
      </c>
    </row>
    <row r="1329" spans="2:12">
      <c r="C1329" s="133" t="s">
        <v>186</v>
      </c>
      <c r="D1329" s="147">
        <v>7096.5349999999999</v>
      </c>
      <c r="E1329" s="164">
        <f>D1329*$J$1276</f>
        <v>359.51118068431668</v>
      </c>
    </row>
    <row r="1330" spans="2:12">
      <c r="C1330" s="133" t="s">
        <v>187</v>
      </c>
      <c r="D1330" s="147">
        <v>19509.356</v>
      </c>
      <c r="E1330" s="164">
        <f>D1330*$J$1276</f>
        <v>988.34594769851162</v>
      </c>
    </row>
    <row r="1331" spans="2:12" ht="13.5" thickBot="1">
      <c r="C1331" s="133" t="s">
        <v>188</v>
      </c>
      <c r="D1331" s="147">
        <v>107590.709</v>
      </c>
      <c r="E1331" s="164">
        <f>D1331*$J$1276</f>
        <v>5450.55619725017</v>
      </c>
    </row>
    <row r="1332" spans="2:12" ht="13.5" thickBot="1">
      <c r="C1332" s="134" t="s">
        <v>43</v>
      </c>
      <c r="D1332" s="173">
        <f>SUM(D1328:D1331)</f>
        <v>147218.008</v>
      </c>
      <c r="E1332" s="173">
        <f>SUM(E1328:E1331)</f>
        <v>7458.0791716060266</v>
      </c>
      <c r="L1332" s="94" t="s">
        <v>60</v>
      </c>
    </row>
    <row r="1333" spans="2:12">
      <c r="D1333" s="135"/>
      <c r="L1333" s="96"/>
    </row>
    <row r="1334" spans="2:12">
      <c r="B1334" s="162"/>
      <c r="L1334" s="99">
        <f>J1398/J1405</f>
        <v>3.405301038345725</v>
      </c>
    </row>
    <row r="1335" spans="2:12">
      <c r="B1335" s="54" t="s">
        <v>266</v>
      </c>
      <c r="I1335" s="54" t="s">
        <v>267</v>
      </c>
      <c r="J1335" s="76">
        <f>Model!AB211</f>
        <v>5.203E-2</v>
      </c>
      <c r="L1335" s="101"/>
    </row>
    <row r="1336" spans="2:12">
      <c r="C1336" s="107"/>
      <c r="D1336" s="414" t="s">
        <v>268</v>
      </c>
      <c r="E1336" s="415"/>
      <c r="F1336" s="94" t="s">
        <v>60</v>
      </c>
      <c r="G1336" s="391"/>
      <c r="L1336" s="101"/>
    </row>
    <row r="1337" spans="2:12">
      <c r="C1337" s="108"/>
      <c r="D1337" s="95" t="s">
        <v>124</v>
      </c>
      <c r="E1337" s="83" t="s">
        <v>125</v>
      </c>
      <c r="F1337" s="96"/>
      <c r="G1337" s="393"/>
      <c r="I1337" s="54" t="s">
        <v>123</v>
      </c>
      <c r="L1337" s="101"/>
    </row>
    <row r="1338" spans="2:12">
      <c r="C1338" s="108" t="s">
        <v>234</v>
      </c>
      <c r="D1338" s="125"/>
      <c r="E1338" s="126"/>
      <c r="F1338" s="124"/>
      <c r="G1338" s="391"/>
      <c r="I1338" s="107"/>
      <c r="J1338" s="414" t="s">
        <v>268</v>
      </c>
      <c r="K1338" s="415"/>
      <c r="L1338" s="99">
        <f>J1402/J1405</f>
        <v>2.4284785367463928</v>
      </c>
    </row>
    <row r="1339" spans="2:12">
      <c r="C1339" s="109" t="s">
        <v>235</v>
      </c>
      <c r="D1339" s="127">
        <v>4271.5680000000002</v>
      </c>
      <c r="E1339" s="84">
        <f>D1339*$J$1335</f>
        <v>222.24968304000001</v>
      </c>
      <c r="F1339" s="177"/>
      <c r="G1339" s="394"/>
      <c r="I1339" s="108"/>
      <c r="J1339" s="95" t="s">
        <v>124</v>
      </c>
      <c r="K1339" s="83" t="s">
        <v>125</v>
      </c>
      <c r="L1339" s="103"/>
    </row>
    <row r="1340" spans="2:12">
      <c r="C1340" s="109" t="s">
        <v>236</v>
      </c>
      <c r="D1340" s="127">
        <v>5340.9350000000004</v>
      </c>
      <c r="E1340" s="84">
        <f>D1340*$J$1335</f>
        <v>277.88884805000004</v>
      </c>
      <c r="F1340" s="177"/>
      <c r="G1340" s="394"/>
      <c r="I1340" s="110" t="s">
        <v>126</v>
      </c>
      <c r="J1340" s="140">
        <f>133988.9+9612.5+1306.3</f>
        <v>144907.69999999998</v>
      </c>
      <c r="K1340" s="35">
        <f>J1340*$J$1335</f>
        <v>7539.5476309999995</v>
      </c>
      <c r="L1340" s="99">
        <f>J1404/J1405</f>
        <v>6.0782126940176653</v>
      </c>
    </row>
    <row r="1341" spans="2:12">
      <c r="C1341" s="109"/>
      <c r="D1341" s="127"/>
      <c r="E1341" s="84"/>
      <c r="F1341" s="177"/>
      <c r="G1341" s="394"/>
      <c r="I1341" s="157" t="s">
        <v>18</v>
      </c>
      <c r="J1341" s="167">
        <f>Model!AB113</f>
        <v>37918.1</v>
      </c>
      <c r="K1341" s="153">
        <f>J1341*$J$1335</f>
        <v>1972.878743</v>
      </c>
      <c r="L1341" s="106"/>
    </row>
    <row r="1342" spans="2:12">
      <c r="C1342" s="109" t="s">
        <v>96</v>
      </c>
      <c r="D1342" s="127">
        <v>5975.0690000000004</v>
      </c>
      <c r="E1342" s="84">
        <f>D1342*$J$1335</f>
        <v>310.88284007000004</v>
      </c>
      <c r="F1342" s="177"/>
      <c r="G1342" s="394"/>
      <c r="I1342" s="111" t="s">
        <v>127</v>
      </c>
      <c r="J1342" s="156">
        <f>D1380</f>
        <v>0</v>
      </c>
      <c r="K1342" s="153">
        <f>J1342*$J$1335</f>
        <v>0</v>
      </c>
    </row>
    <row r="1343" spans="2:12">
      <c r="C1343" s="109" t="s">
        <v>97</v>
      </c>
      <c r="D1343" s="127">
        <v>5500</v>
      </c>
      <c r="E1343" s="84">
        <f>D1343*$J$1335</f>
        <v>286.16500000000002</v>
      </c>
      <c r="F1343" s="177"/>
      <c r="G1343" s="394"/>
      <c r="I1343" s="111" t="s">
        <v>128</v>
      </c>
      <c r="J1343" s="155">
        <v>13494.4</v>
      </c>
      <c r="K1343" s="153">
        <f>J1343*$J$1335</f>
        <v>702.11363199999994</v>
      </c>
    </row>
    <row r="1344" spans="2:12">
      <c r="C1344" s="109" t="s">
        <v>237</v>
      </c>
      <c r="D1344" s="127">
        <v>2014.903</v>
      </c>
      <c r="E1344" s="84">
        <f>D1344*$J$1335</f>
        <v>104.83540309</v>
      </c>
      <c r="F1344" s="177"/>
      <c r="G1344" s="394"/>
      <c r="I1344" s="110" t="s">
        <v>19</v>
      </c>
      <c r="J1344" s="154">
        <f>J1340-J1341-J1342-J1343</f>
        <v>93495.199999999983</v>
      </c>
      <c r="K1344" s="154">
        <f>K1340-K1341-K1342-K1343</f>
        <v>4864.5552559999996</v>
      </c>
    </row>
    <row r="1345" spans="3:11">
      <c r="C1345" s="109"/>
      <c r="D1345" s="126"/>
      <c r="E1345" s="126"/>
      <c r="F1345" s="177"/>
      <c r="G1345" s="394"/>
      <c r="I1345" s="112" t="s">
        <v>20</v>
      </c>
      <c r="J1345" s="119">
        <f>+D1371</f>
        <v>102462.8</v>
      </c>
      <c r="K1345" s="153">
        <f>J1345*$J$1335</f>
        <v>5331.1394840000003</v>
      </c>
    </row>
    <row r="1346" spans="3:11">
      <c r="C1346" s="108" t="s">
        <v>238</v>
      </c>
      <c r="D1346" s="84"/>
      <c r="E1346" s="84"/>
      <c r="F1346" s="177"/>
      <c r="G1346" s="394"/>
      <c r="I1346" s="110" t="s">
        <v>21</v>
      </c>
      <c r="J1346" s="154">
        <f>+J1340+J1345</f>
        <v>247370.5</v>
      </c>
      <c r="K1346" s="154">
        <f>+K1340+K1345</f>
        <v>12870.687115000001</v>
      </c>
    </row>
    <row r="1347" spans="3:11">
      <c r="C1347" s="109" t="s">
        <v>85</v>
      </c>
      <c r="D1347" s="127">
        <v>11292.401</v>
      </c>
      <c r="E1347" s="84">
        <f t="shared" ref="E1347:E1353" si="25">D1347*$J$1335</f>
        <v>587.54362403000005</v>
      </c>
      <c r="F1347" s="177"/>
      <c r="G1347" s="394"/>
      <c r="I1347" s="113" t="s">
        <v>22</v>
      </c>
      <c r="J1347" s="105">
        <f>Model!AB85</f>
        <v>38060.633000000002</v>
      </c>
      <c r="K1347" s="105"/>
    </row>
    <row r="1348" spans="3:11">
      <c r="C1348" s="109" t="s">
        <v>86</v>
      </c>
      <c r="D1348" s="127">
        <v>5724.4639999999999</v>
      </c>
      <c r="E1348" s="84">
        <f t="shared" si="25"/>
        <v>297.84386191999999</v>
      </c>
      <c r="F1348" s="177"/>
      <c r="G1348" s="394"/>
    </row>
    <row r="1349" spans="3:11">
      <c r="C1349" s="109" t="s">
        <v>87</v>
      </c>
      <c r="D1349" s="127">
        <v>5733.8209999999999</v>
      </c>
      <c r="E1349" s="84">
        <f t="shared" si="25"/>
        <v>298.33070663000001</v>
      </c>
      <c r="F1349" s="177"/>
      <c r="G1349" s="394"/>
    </row>
    <row r="1350" spans="3:11">
      <c r="C1350" s="109" t="s">
        <v>88</v>
      </c>
      <c r="D1350" s="127">
        <v>11382.642</v>
      </c>
      <c r="E1350" s="84">
        <f t="shared" si="25"/>
        <v>592.23886326000002</v>
      </c>
      <c r="F1350" s="177"/>
      <c r="G1350" s="394"/>
    </row>
    <row r="1351" spans="3:11">
      <c r="C1351" s="109" t="s">
        <v>89</v>
      </c>
      <c r="D1351" s="127">
        <v>18749.463</v>
      </c>
      <c r="E1351" s="84">
        <f t="shared" si="25"/>
        <v>975.53455988999997</v>
      </c>
      <c r="F1351" s="177"/>
      <c r="G1351" s="394"/>
    </row>
    <row r="1352" spans="3:11">
      <c r="C1352" s="109" t="s">
        <v>90</v>
      </c>
      <c r="D1352" s="127">
        <v>17142.555</v>
      </c>
      <c r="E1352" s="84">
        <f t="shared" si="25"/>
        <v>891.92713664999997</v>
      </c>
      <c r="F1352" s="177"/>
      <c r="G1352" s="394"/>
    </row>
    <row r="1353" spans="3:11">
      <c r="C1353" s="109" t="s">
        <v>91</v>
      </c>
      <c r="D1353" s="127">
        <v>14081.109</v>
      </c>
      <c r="E1353" s="84">
        <f t="shared" si="25"/>
        <v>732.64010127000006</v>
      </c>
      <c r="F1353" s="177"/>
      <c r="G1353" s="394"/>
    </row>
    <row r="1354" spans="3:11">
      <c r="C1354" s="107" t="s">
        <v>239</v>
      </c>
      <c r="D1354" s="128">
        <f>SUM(D1347:D1353)</f>
        <v>84106.454999999987</v>
      </c>
      <c r="E1354" s="128">
        <f>SUM(E1347:E1353)</f>
        <v>4376.0588536499999</v>
      </c>
      <c r="F1354" s="178"/>
      <c r="G1354" s="394"/>
    </row>
    <row r="1355" spans="3:11">
      <c r="C1355" s="109"/>
      <c r="D1355" s="84"/>
      <c r="E1355" s="84"/>
      <c r="F1355" s="177"/>
      <c r="G1355" s="394"/>
    </row>
    <row r="1356" spans="3:11">
      <c r="C1356" s="108" t="s">
        <v>240</v>
      </c>
      <c r="D1356" s="84"/>
      <c r="E1356" s="84"/>
      <c r="F1356" s="177"/>
      <c r="G1356" s="394"/>
    </row>
    <row r="1357" spans="3:11">
      <c r="C1357" s="109" t="s">
        <v>241</v>
      </c>
      <c r="D1357" s="127">
        <v>9990.5959999999995</v>
      </c>
      <c r="E1357" s="84">
        <f t="shared" ref="E1357:E1362" si="26">D1357*$J$1335</f>
        <v>519.81070987999999</v>
      </c>
      <c r="F1357" s="177"/>
      <c r="G1357" s="394"/>
    </row>
    <row r="1358" spans="3:11">
      <c r="C1358" s="109" t="s">
        <v>242</v>
      </c>
      <c r="D1358" s="127">
        <v>5996.2070000000003</v>
      </c>
      <c r="E1358" s="84">
        <f t="shared" si="26"/>
        <v>311.98265021000003</v>
      </c>
      <c r="F1358" s="177"/>
      <c r="G1358" s="394"/>
    </row>
    <row r="1359" spans="3:11">
      <c r="C1359" s="109" t="s">
        <v>243</v>
      </c>
      <c r="D1359" s="127">
        <v>4994.973</v>
      </c>
      <c r="E1359" s="84">
        <f t="shared" si="26"/>
        <v>259.88844518999997</v>
      </c>
      <c r="F1359" s="177"/>
      <c r="G1359" s="394"/>
    </row>
    <row r="1360" spans="3:11">
      <c r="C1360" s="109" t="s">
        <v>93</v>
      </c>
      <c r="D1360" s="127">
        <v>4480.34</v>
      </c>
      <c r="E1360" s="84">
        <f t="shared" si="26"/>
        <v>233.11209020000001</v>
      </c>
      <c r="F1360" s="177"/>
      <c r="G1360" s="394"/>
    </row>
    <row r="1361" spans="3:9">
      <c r="C1361" s="109" t="s">
        <v>94</v>
      </c>
      <c r="D1361" s="127">
        <v>4487.009</v>
      </c>
      <c r="E1361" s="84">
        <f t="shared" si="26"/>
        <v>233.45907826999999</v>
      </c>
      <c r="F1361" s="177"/>
      <c r="G1361" s="394"/>
    </row>
    <row r="1362" spans="3:9">
      <c r="C1362" s="109" t="s">
        <v>95</v>
      </c>
      <c r="D1362" s="127">
        <v>6443.3559999999998</v>
      </c>
      <c r="E1362" s="84">
        <f t="shared" si="26"/>
        <v>335.24781267999998</v>
      </c>
      <c r="F1362" s="177"/>
      <c r="G1362" s="394"/>
    </row>
    <row r="1363" spans="3:9">
      <c r="C1363" s="107" t="s">
        <v>244</v>
      </c>
      <c r="D1363" s="128">
        <f>SUM(D1357:D1362)</f>
        <v>36392.481</v>
      </c>
      <c r="E1363" s="128">
        <f>SUM(E1357:E1362)</f>
        <v>1893.5007864299998</v>
      </c>
      <c r="F1363" s="178"/>
      <c r="G1363" s="394"/>
    </row>
    <row r="1364" spans="3:9">
      <c r="C1364" s="108"/>
      <c r="D1364" s="126"/>
      <c r="E1364" s="126"/>
      <c r="F1364" s="124"/>
      <c r="G1364" s="391"/>
    </row>
    <row r="1365" spans="3:9">
      <c r="C1365" s="108" t="s">
        <v>245</v>
      </c>
      <c r="D1365" s="126"/>
      <c r="E1365" s="126"/>
      <c r="F1365" s="124"/>
      <c r="G1365" s="391"/>
    </row>
    <row r="1366" spans="3:9">
      <c r="C1366" s="108" t="s">
        <v>246</v>
      </c>
      <c r="D1366" s="127">
        <v>1306.25</v>
      </c>
      <c r="E1366" s="84">
        <f>D1366*$J$1335</f>
        <v>67.964187499999994</v>
      </c>
      <c r="F1366" s="124"/>
      <c r="G1366" s="391"/>
    </row>
    <row r="1367" spans="3:9">
      <c r="C1367" s="108"/>
      <c r="D1367" s="126"/>
      <c r="E1367" s="126"/>
      <c r="F1367" s="124"/>
      <c r="G1367" s="391"/>
    </row>
    <row r="1368" spans="3:9">
      <c r="C1368" s="110" t="s">
        <v>17</v>
      </c>
      <c r="D1368" s="98">
        <f>D1354+D1363+D1366+D1339+D1340+D1342+D1343+D1344</f>
        <v>144907.66099999996</v>
      </c>
      <c r="E1368" s="172">
        <f>E1354+E1363+E1366+E1339+E1340+E1342+E1343+E1344</f>
        <v>7539.5456018299992</v>
      </c>
      <c r="F1368" s="99">
        <f>+D1368/D1373</f>
        <v>3.8072845766910905</v>
      </c>
      <c r="G1368" s="395"/>
    </row>
    <row r="1369" spans="3:9">
      <c r="C1369" s="111" t="s">
        <v>18</v>
      </c>
      <c r="D1369" s="100">
        <f>Model!AB113</f>
        <v>37918.1</v>
      </c>
      <c r="E1369" s="119">
        <f>D1369*$J$1335</f>
        <v>1972.878743</v>
      </c>
      <c r="F1369" s="101"/>
      <c r="G1369" s="396"/>
    </row>
    <row r="1370" spans="3:9">
      <c r="C1370" s="110" t="s">
        <v>19</v>
      </c>
      <c r="D1370" s="98">
        <f>+D1368-D1369</f>
        <v>106989.56099999996</v>
      </c>
      <c r="E1370" s="172">
        <f>+E1368-E1369</f>
        <v>5566.666858829999</v>
      </c>
      <c r="F1370" s="99">
        <f>+D1370/D1373</f>
        <v>2.8110294697410825</v>
      </c>
      <c r="G1370" s="395"/>
    </row>
    <row r="1371" spans="3:9">
      <c r="C1371" s="112" t="s">
        <v>20</v>
      </c>
      <c r="D1371" s="102">
        <f>Model!AB120</f>
        <v>102462.8</v>
      </c>
      <c r="E1371" s="171">
        <f>D1371*$J$1335</f>
        <v>5331.1394840000003</v>
      </c>
      <c r="F1371" s="103"/>
    </row>
    <row r="1372" spans="3:9">
      <c r="C1372" s="110" t="s">
        <v>21</v>
      </c>
      <c r="D1372" s="98">
        <f>D1368+D1371</f>
        <v>247370.46099999995</v>
      </c>
      <c r="E1372" s="172">
        <f>E1368+E1371</f>
        <v>12870.685085829999</v>
      </c>
      <c r="F1372" s="99">
        <f>D1372/D1373</f>
        <v>6.4993785310927423</v>
      </c>
      <c r="G1372" s="395"/>
      <c r="I1372" s="141"/>
    </row>
    <row r="1373" spans="3:9">
      <c r="C1373" s="113" t="s">
        <v>22</v>
      </c>
      <c r="D1373" s="104">
        <f>Model!AB85</f>
        <v>38060.633000000002</v>
      </c>
      <c r="E1373" s="105"/>
      <c r="F1373" s="106"/>
    </row>
    <row r="1375" spans="3:9">
      <c r="C1375" s="114" t="s">
        <v>23</v>
      </c>
      <c r="D1375" s="176">
        <f>D1368-Model!AB116</f>
        <v>-3.9000000018859282E-2</v>
      </c>
    </row>
    <row r="1376" spans="3:9" ht="13.5" thickBot="1">
      <c r="D1376" s="412"/>
      <c r="E1376" s="412"/>
    </row>
    <row r="1377" spans="2:12">
      <c r="C1377" s="59" t="s">
        <v>269</v>
      </c>
      <c r="D1377" s="131" t="s">
        <v>58</v>
      </c>
      <c r="E1377" s="132" t="s">
        <v>59</v>
      </c>
    </row>
    <row r="1378" spans="2:12">
      <c r="C1378" s="60"/>
      <c r="D1378" s="117"/>
      <c r="E1378" s="77"/>
    </row>
    <row r="1379" spans="2:12">
      <c r="C1379" s="60" t="s">
        <v>28</v>
      </c>
      <c r="D1379" s="163">
        <f>Model!AB113</f>
        <v>37918.1</v>
      </c>
      <c r="E1379" s="164">
        <f>D1379*$J$1335</f>
        <v>1972.878743</v>
      </c>
    </row>
    <row r="1380" spans="2:12">
      <c r="C1380" s="60" t="s">
        <v>74</v>
      </c>
      <c r="D1380" s="165">
        <v>0</v>
      </c>
      <c r="E1380" s="164">
        <f>D1380*$J$1335</f>
        <v>0</v>
      </c>
    </row>
    <row r="1381" spans="2:12" ht="13.5" thickBot="1">
      <c r="C1381" s="152" t="s">
        <v>29</v>
      </c>
      <c r="D1381" s="174">
        <f>SUM(D1378:D1380)</f>
        <v>37918.1</v>
      </c>
      <c r="E1381" s="175">
        <f>SUM(E1378:E1380)</f>
        <v>1972.878743</v>
      </c>
    </row>
    <row r="1384" spans="2:12" ht="13.5" thickBot="1">
      <c r="D1384" s="412"/>
      <c r="E1384" s="412"/>
    </row>
    <row r="1385" spans="2:12">
      <c r="C1385" s="130" t="s">
        <v>270</v>
      </c>
      <c r="D1385" s="131" t="s">
        <v>58</v>
      </c>
      <c r="E1385" s="132" t="s">
        <v>59</v>
      </c>
    </row>
    <row r="1386" spans="2:12">
      <c r="C1386" s="133" t="s">
        <v>185</v>
      </c>
      <c r="D1386" s="147">
        <v>3189.8319999999999</v>
      </c>
      <c r="E1386" s="164">
        <f>D1386*$J$1335</f>
        <v>165.96695896</v>
      </c>
    </row>
    <row r="1387" spans="2:12">
      <c r="C1387" s="133" t="s">
        <v>186</v>
      </c>
      <c r="D1387" s="147">
        <v>27520.752</v>
      </c>
      <c r="E1387" s="164">
        <f>D1387*$J$1335</f>
        <v>1431.90472656</v>
      </c>
    </row>
    <row r="1388" spans="2:12">
      <c r="C1388" s="133" t="s">
        <v>187</v>
      </c>
      <c r="D1388" s="147">
        <v>10336.246999999999</v>
      </c>
      <c r="E1388" s="164">
        <f>D1388*$J$1335</f>
        <v>537.79493141</v>
      </c>
    </row>
    <row r="1389" spans="2:12" ht="13.5" thickBot="1">
      <c r="C1389" s="133" t="s">
        <v>188</v>
      </c>
      <c r="D1389" s="147">
        <v>105274.25900000001</v>
      </c>
      <c r="E1389" s="164">
        <f>D1389*$J$1335</f>
        <v>5477.4196957700005</v>
      </c>
      <c r="L1389" s="94" t="s">
        <v>60</v>
      </c>
    </row>
    <row r="1390" spans="2:12" ht="13.5" thickBot="1">
      <c r="C1390" s="134" t="s">
        <v>43</v>
      </c>
      <c r="D1390" s="173">
        <f>SUM(D1386:D1389)</f>
        <v>146321.09</v>
      </c>
      <c r="E1390" s="173">
        <f>SUM(E1386:E1389)</f>
        <v>7613.0863127000011</v>
      </c>
      <c r="L1390" s="96"/>
    </row>
    <row r="1391" spans="2:12">
      <c r="D1391" s="135"/>
      <c r="L1391" s="99">
        <f>J1455/J1462</f>
        <v>3.3709944089182158</v>
      </c>
    </row>
    <row r="1392" spans="2:12">
      <c r="B1392" s="162"/>
      <c r="L1392" s="101"/>
    </row>
    <row r="1393" spans="2:12">
      <c r="B1393" s="54" t="s">
        <v>271</v>
      </c>
      <c r="I1393" s="54" t="s">
        <v>272</v>
      </c>
      <c r="J1393" s="76">
        <f>Model!AA211</f>
        <v>5.1480051480051477E-2</v>
      </c>
      <c r="L1393" s="101"/>
    </row>
    <row r="1394" spans="2:12">
      <c r="C1394" s="107"/>
      <c r="D1394" s="414" t="s">
        <v>273</v>
      </c>
      <c r="E1394" s="415"/>
      <c r="F1394" s="94" t="s">
        <v>60</v>
      </c>
      <c r="G1394" s="391"/>
      <c r="L1394" s="101"/>
    </row>
    <row r="1395" spans="2:12">
      <c r="C1395" s="108"/>
      <c r="D1395" s="95" t="s">
        <v>124</v>
      </c>
      <c r="E1395" s="83" t="s">
        <v>125</v>
      </c>
      <c r="F1395" s="96"/>
      <c r="G1395" s="393"/>
      <c r="I1395" s="54" t="s">
        <v>123</v>
      </c>
      <c r="L1395" s="99">
        <f>J1459/J1462</f>
        <v>2.1627270732096995</v>
      </c>
    </row>
    <row r="1396" spans="2:12">
      <c r="C1396" s="108" t="s">
        <v>234</v>
      </c>
      <c r="D1396" s="125"/>
      <c r="E1396" s="126"/>
      <c r="F1396" s="124"/>
      <c r="G1396" s="391"/>
      <c r="I1396" s="107"/>
      <c r="J1396" s="414" t="s">
        <v>273</v>
      </c>
      <c r="K1396" s="415"/>
      <c r="L1396" s="103"/>
    </row>
    <row r="1397" spans="2:12">
      <c r="C1397" s="109" t="s">
        <v>235</v>
      </c>
      <c r="D1397" s="127">
        <v>4419.1239999999998</v>
      </c>
      <c r="E1397" s="84">
        <f>D1397*$J$1393</f>
        <v>227.49673101673099</v>
      </c>
      <c r="F1397" s="124"/>
      <c r="G1397" s="391"/>
      <c r="I1397" s="108"/>
      <c r="J1397" s="95" t="s">
        <v>124</v>
      </c>
      <c r="K1397" s="83" t="s">
        <v>125</v>
      </c>
      <c r="L1397" s="99">
        <f>J1461/J1462</f>
        <v>6.0908317498272853</v>
      </c>
    </row>
    <row r="1398" spans="2:12">
      <c r="C1398" s="109" t="s">
        <v>236</v>
      </c>
      <c r="D1398" s="127">
        <v>5478.3419999999996</v>
      </c>
      <c r="E1398" s="84">
        <f>D1398*$J$1393</f>
        <v>282.02532818532814</v>
      </c>
      <c r="F1398" s="124"/>
      <c r="G1398" s="391"/>
      <c r="I1398" s="110" t="s">
        <v>126</v>
      </c>
      <c r="J1398" s="140">
        <f>121002+9897.5+1297.3</f>
        <v>132196.79999999999</v>
      </c>
      <c r="K1398" s="35">
        <f>J1398*$J$1393</f>
        <v>6805.4980694980686</v>
      </c>
      <c r="L1398" s="106"/>
    </row>
    <row r="1399" spans="2:12">
      <c r="C1399" s="109"/>
      <c r="D1399" s="127"/>
      <c r="E1399" s="84"/>
      <c r="F1399" s="124"/>
      <c r="G1399" s="391"/>
      <c r="I1399" s="157" t="s">
        <v>18</v>
      </c>
      <c r="J1399" s="167">
        <f>D1426</f>
        <v>23563.013999999999</v>
      </c>
      <c r="K1399" s="153">
        <f>J1399*$J$1393</f>
        <v>1213.0251737451736</v>
      </c>
    </row>
    <row r="1400" spans="2:12">
      <c r="C1400" s="109" t="s">
        <v>96</v>
      </c>
      <c r="D1400" s="127">
        <v>5973.2830000000004</v>
      </c>
      <c r="E1400" s="84">
        <f>D1400*$J$1393</f>
        <v>307.50491634491635</v>
      </c>
      <c r="F1400" s="96"/>
      <c r="G1400" s="393"/>
      <c r="I1400" s="111" t="s">
        <v>127</v>
      </c>
      <c r="J1400" s="156">
        <f>D1437</f>
        <v>31</v>
      </c>
      <c r="K1400" s="153">
        <f>J1400*$J$1393</f>
        <v>1.5958815958815957</v>
      </c>
    </row>
    <row r="1401" spans="2:12">
      <c r="C1401" s="109" t="s">
        <v>97</v>
      </c>
      <c r="D1401" s="127">
        <v>5500</v>
      </c>
      <c r="E1401" s="84">
        <f>D1401*$J$1393</f>
        <v>283.14028314028315</v>
      </c>
      <c r="F1401" s="96"/>
      <c r="G1401" s="393"/>
      <c r="I1401" s="111" t="s">
        <v>128</v>
      </c>
      <c r="J1401" s="155">
        <v>14327.1</v>
      </c>
      <c r="K1401" s="153">
        <f>J1401*$J$1393</f>
        <v>737.55984555984548</v>
      </c>
    </row>
    <row r="1402" spans="2:12">
      <c r="C1402" s="109" t="s">
        <v>237</v>
      </c>
      <c r="D1402" s="127">
        <v>2255.6289999999999</v>
      </c>
      <c r="E1402" s="84">
        <f>D1402*$J$1393</f>
        <v>116.11989703989703</v>
      </c>
      <c r="F1402" s="96"/>
      <c r="G1402" s="393"/>
      <c r="I1402" s="110" t="s">
        <v>19</v>
      </c>
      <c r="J1402" s="154">
        <f>J1398-J1399-J1400-J1401</f>
        <v>94275.685999999987</v>
      </c>
      <c r="K1402" s="154">
        <f>K1398-K1399-K1400-K1401</f>
        <v>4853.3171685971674</v>
      </c>
    </row>
    <row r="1403" spans="2:12">
      <c r="C1403" s="109"/>
      <c r="D1403" s="125"/>
      <c r="E1403" s="126"/>
      <c r="F1403" s="124"/>
      <c r="G1403" s="391"/>
      <c r="I1403" s="112" t="s">
        <v>20</v>
      </c>
      <c r="J1403" s="119">
        <f>D1428</f>
        <v>103764.796</v>
      </c>
      <c r="K1403" s="153">
        <f>J1403*$J$1393</f>
        <v>5341.8170398970396</v>
      </c>
    </row>
    <row r="1404" spans="2:12">
      <c r="C1404" s="108" t="s">
        <v>238</v>
      </c>
      <c r="D1404" s="97"/>
      <c r="E1404" s="84"/>
      <c r="F1404" s="96"/>
      <c r="G1404" s="393"/>
      <c r="I1404" s="110" t="s">
        <v>21</v>
      </c>
      <c r="J1404" s="154">
        <f>+J1398+J1403</f>
        <v>235961.59599999999</v>
      </c>
      <c r="K1404" s="154">
        <f>+K1398+K1403</f>
        <v>12147.315109395109</v>
      </c>
    </row>
    <row r="1405" spans="2:12">
      <c r="C1405" s="109" t="s">
        <v>85</v>
      </c>
      <c r="D1405" s="127">
        <v>11425.143</v>
      </c>
      <c r="E1405" s="84">
        <f t="shared" ref="E1405:E1410" si="27">D1405*$J$1393</f>
        <v>588.16694980694979</v>
      </c>
      <c r="F1405" s="96"/>
      <c r="G1405" s="393"/>
      <c r="I1405" s="113" t="s">
        <v>22</v>
      </c>
      <c r="J1405" s="105">
        <f>D1430</f>
        <v>38820.885000000002</v>
      </c>
      <c r="K1405" s="105"/>
    </row>
    <row r="1406" spans="2:12">
      <c r="C1406" s="109" t="s">
        <v>86</v>
      </c>
      <c r="D1406" s="127">
        <v>5794.3819999999996</v>
      </c>
      <c r="E1406" s="84">
        <f t="shared" si="27"/>
        <v>298.2950836550836</v>
      </c>
      <c r="F1406" s="96"/>
      <c r="G1406" s="393"/>
    </row>
    <row r="1407" spans="2:12">
      <c r="C1407" s="109" t="s">
        <v>87</v>
      </c>
      <c r="D1407" s="127">
        <v>5804.5389999999998</v>
      </c>
      <c r="E1407" s="84">
        <f t="shared" si="27"/>
        <v>298.81796653796653</v>
      </c>
      <c r="F1407" s="96"/>
      <c r="G1407" s="393"/>
    </row>
    <row r="1408" spans="2:12">
      <c r="C1408" s="109" t="s">
        <v>88</v>
      </c>
      <c r="D1408" s="127">
        <v>11523.37</v>
      </c>
      <c r="E1408" s="84">
        <f t="shared" si="27"/>
        <v>593.22368082368087</v>
      </c>
      <c r="F1408" s="96"/>
      <c r="G1408" s="393"/>
    </row>
    <row r="1409" spans="3:9">
      <c r="C1409" s="109" t="s">
        <v>89</v>
      </c>
      <c r="D1409" s="127">
        <v>18982.435000000001</v>
      </c>
      <c r="E1409" s="84">
        <f t="shared" si="27"/>
        <v>977.21673101673105</v>
      </c>
      <c r="F1409" s="96"/>
      <c r="G1409" s="393"/>
    </row>
    <row r="1410" spans="3:9">
      <c r="C1410" s="109" t="s">
        <v>90</v>
      </c>
      <c r="D1410" s="127">
        <v>17354.838</v>
      </c>
      <c r="E1410" s="84">
        <f t="shared" si="27"/>
        <v>893.4279536679536</v>
      </c>
      <c r="F1410" s="96"/>
      <c r="G1410" s="393"/>
    </row>
    <row r="1411" spans="3:9">
      <c r="C1411" s="107" t="s">
        <v>239</v>
      </c>
      <c r="D1411" s="128">
        <f>SUM(D1405:D1410)</f>
        <v>70884.707000000009</v>
      </c>
      <c r="E1411" s="128">
        <f>SUM(E1405:E1410)</f>
        <v>3649.1483655083653</v>
      </c>
      <c r="F1411" s="94"/>
      <c r="G1411" s="391"/>
    </row>
    <row r="1412" spans="3:9">
      <c r="C1412" s="109"/>
      <c r="D1412" s="97"/>
      <c r="E1412" s="84"/>
      <c r="F1412" s="96"/>
      <c r="G1412" s="393"/>
    </row>
    <row r="1413" spans="3:9">
      <c r="C1413" s="108" t="s">
        <v>240</v>
      </c>
      <c r="D1413" s="97"/>
      <c r="E1413" s="84"/>
      <c r="F1413" s="96"/>
      <c r="G1413" s="393"/>
    </row>
    <row r="1414" spans="3:9">
      <c r="C1414" s="109" t="s">
        <v>241</v>
      </c>
      <c r="D1414" s="127">
        <v>9988.8330000000005</v>
      </c>
      <c r="E1414" s="84">
        <f t="shared" ref="E1414:E1419" si="28">D1414*$J$1393</f>
        <v>514.2256370656371</v>
      </c>
      <c r="F1414" s="96"/>
      <c r="G1414" s="393"/>
    </row>
    <row r="1415" spans="3:9">
      <c r="C1415" s="109" t="s">
        <v>242</v>
      </c>
      <c r="D1415" s="127">
        <v>5995.69</v>
      </c>
      <c r="E1415" s="84">
        <f t="shared" si="28"/>
        <v>308.65842985842983</v>
      </c>
      <c r="F1415" s="96"/>
      <c r="G1415" s="393"/>
    </row>
    <row r="1416" spans="3:9">
      <c r="C1416" s="109" t="s">
        <v>243</v>
      </c>
      <c r="D1416" s="127">
        <v>4994.5420000000004</v>
      </c>
      <c r="E1416" s="84">
        <f t="shared" si="28"/>
        <v>257.11927927927928</v>
      </c>
      <c r="F1416" s="96"/>
      <c r="G1416" s="393"/>
    </row>
    <row r="1417" spans="3:9">
      <c r="C1417" s="109" t="s">
        <v>93</v>
      </c>
      <c r="D1417" s="127">
        <v>4479.75</v>
      </c>
      <c r="E1417" s="84">
        <f t="shared" si="28"/>
        <v>230.61776061776061</v>
      </c>
      <c r="F1417" s="96"/>
      <c r="G1417" s="393"/>
      <c r="I1417" s="127"/>
    </row>
    <row r="1418" spans="3:9">
      <c r="C1418" s="109" t="s">
        <v>94</v>
      </c>
      <c r="D1418" s="127">
        <v>4486.8280000000004</v>
      </c>
      <c r="E1418" s="84">
        <f t="shared" si="28"/>
        <v>230.98213642213642</v>
      </c>
      <c r="F1418" s="96"/>
      <c r="G1418" s="393"/>
    </row>
    <row r="1419" spans="3:9">
      <c r="C1419" s="109" t="s">
        <v>95</v>
      </c>
      <c r="D1419" s="127">
        <v>6442.7640000000001</v>
      </c>
      <c r="E1419" s="84">
        <f t="shared" si="28"/>
        <v>331.67382239382238</v>
      </c>
      <c r="F1419" s="96"/>
      <c r="G1419" s="393"/>
    </row>
    <row r="1420" spans="3:9">
      <c r="C1420" s="107" t="s">
        <v>244</v>
      </c>
      <c r="D1420" s="129">
        <f>SUM(D1414:D1419)</f>
        <v>36388.407000000007</v>
      </c>
      <c r="E1420" s="128">
        <f>SUM(E1414:E1419)</f>
        <v>1873.2770656370656</v>
      </c>
      <c r="F1420" s="94"/>
      <c r="G1420" s="391"/>
      <c r="I1420" s="170"/>
    </row>
    <row r="1421" spans="3:9">
      <c r="C1421" s="108"/>
      <c r="D1421" s="125"/>
      <c r="E1421" s="126"/>
      <c r="F1421" s="124"/>
      <c r="G1421" s="391"/>
      <c r="I1421" s="170"/>
    </row>
    <row r="1422" spans="3:9">
      <c r="C1422" s="108" t="s">
        <v>245</v>
      </c>
      <c r="D1422" s="125"/>
      <c r="E1422" s="126"/>
      <c r="F1422" s="124"/>
      <c r="G1422" s="391"/>
      <c r="I1422" s="170"/>
    </row>
    <row r="1423" spans="3:9">
      <c r="C1423" s="108" t="s">
        <v>246</v>
      </c>
      <c r="D1423" s="127">
        <v>1297.3440000000001</v>
      </c>
      <c r="E1423" s="84">
        <f>D1423*$J$1393</f>
        <v>66.787335907335901</v>
      </c>
      <c r="F1423" s="124"/>
      <c r="G1423" s="391"/>
    </row>
    <row r="1424" spans="3:9">
      <c r="C1424" s="108"/>
      <c r="D1424" s="125"/>
      <c r="E1424" s="126"/>
      <c r="F1424" s="124"/>
      <c r="G1424" s="391"/>
    </row>
    <row r="1425" spans="3:9">
      <c r="C1425" s="110" t="s">
        <v>17</v>
      </c>
      <c r="D1425" s="98">
        <f>D1411+D1420+D1423+D1397+D1398+D1400+D1401+D1402</f>
        <v>132196.83600000001</v>
      </c>
      <c r="E1425" s="89">
        <f>E1411+E1420+E1423+E1397+E1398+E1400+E1401+E1402</f>
        <v>6805.4999227799226</v>
      </c>
      <c r="F1425" s="99">
        <f>+D1425/D1430</f>
        <v>3.405301965681617</v>
      </c>
      <c r="G1425" s="395"/>
    </row>
    <row r="1426" spans="3:9">
      <c r="C1426" s="111" t="s">
        <v>18</v>
      </c>
      <c r="D1426" s="100">
        <f>Model!AA113</f>
        <v>23563.013999999999</v>
      </c>
      <c r="E1426" s="119">
        <f>D1426*$J$1393</f>
        <v>1213.0251737451736</v>
      </c>
      <c r="F1426" s="101"/>
      <c r="G1426" s="396"/>
    </row>
    <row r="1427" spans="3:9">
      <c r="C1427" s="110" t="s">
        <v>19</v>
      </c>
      <c r="D1427" s="98">
        <f>+D1425-D1426</f>
        <v>108633.82200000001</v>
      </c>
      <c r="E1427" s="89">
        <f>+E1425-E1426</f>
        <v>5592.474749034749</v>
      </c>
      <c r="F1427" s="99">
        <f>+D1427/D1430</f>
        <v>2.7983345047388797</v>
      </c>
      <c r="G1427" s="395"/>
    </row>
    <row r="1428" spans="3:9">
      <c r="C1428" s="112" t="s">
        <v>20</v>
      </c>
      <c r="D1428" s="102">
        <f>Model!AA120</f>
        <v>103764.796</v>
      </c>
      <c r="E1428" s="119">
        <f>D1428*$J$1393</f>
        <v>5341.8170398970396</v>
      </c>
      <c r="F1428" s="103"/>
    </row>
    <row r="1429" spans="3:9">
      <c r="C1429" s="110" t="s">
        <v>21</v>
      </c>
      <c r="D1429" s="98">
        <f>D1425+D1428</f>
        <v>235961.63200000001</v>
      </c>
      <c r="E1429" s="89">
        <f>E1425+E1428</f>
        <v>12147.316962676963</v>
      </c>
      <c r="F1429" s="99">
        <f>D1429/D1430</f>
        <v>6.0782136213535578</v>
      </c>
      <c r="G1429" s="395"/>
      <c r="I1429" s="141"/>
    </row>
    <row r="1430" spans="3:9">
      <c r="C1430" s="113" t="s">
        <v>22</v>
      </c>
      <c r="D1430" s="104">
        <f>Model!AA85</f>
        <v>38820.885000000002</v>
      </c>
      <c r="E1430" s="105"/>
      <c r="F1430" s="106"/>
    </row>
    <row r="1432" spans="3:9">
      <c r="C1432" s="114" t="s">
        <v>23</v>
      </c>
      <c r="D1432" s="115">
        <f>D1425-Model!AA116</f>
        <v>3.6000000021886081E-2</v>
      </c>
    </row>
    <row r="1433" spans="3:9" ht="13.5" thickBot="1">
      <c r="D1433" s="412"/>
      <c r="E1433" s="412"/>
    </row>
    <row r="1434" spans="3:9">
      <c r="C1434" s="59" t="s">
        <v>274</v>
      </c>
      <c r="D1434" s="131" t="s">
        <v>58</v>
      </c>
      <c r="E1434" s="132" t="s">
        <v>59</v>
      </c>
    </row>
    <row r="1435" spans="3:9">
      <c r="C1435" s="60"/>
      <c r="D1435" s="117"/>
      <c r="E1435" s="77"/>
    </row>
    <row r="1436" spans="3:9">
      <c r="C1436" s="60" t="s">
        <v>28</v>
      </c>
      <c r="D1436" s="163">
        <f>D1426</f>
        <v>23563.013999999999</v>
      </c>
      <c r="E1436" s="164">
        <f>D1436*$J$1393</f>
        <v>1213.0251737451736</v>
      </c>
    </row>
    <row r="1437" spans="3:9">
      <c r="C1437" s="60" t="s">
        <v>74</v>
      </c>
      <c r="D1437" s="165">
        <v>31</v>
      </c>
      <c r="E1437" s="164">
        <f>D1437*$J$1393</f>
        <v>1.5958815958815957</v>
      </c>
    </row>
    <row r="1438" spans="3:9" ht="13.5" thickBot="1">
      <c r="C1438" s="152" t="s">
        <v>29</v>
      </c>
      <c r="D1438" s="150">
        <f>SUM(D1435:D1437)</f>
        <v>23594.013999999999</v>
      </c>
      <c r="E1438" s="151">
        <f>SUM(E1435:E1437)</f>
        <v>1214.6210553410551</v>
      </c>
    </row>
    <row r="1441" spans="2:11" ht="13.5" thickBot="1">
      <c r="D1441" s="412"/>
      <c r="E1441" s="412"/>
    </row>
    <row r="1442" spans="2:11">
      <c r="C1442" s="130" t="s">
        <v>275</v>
      </c>
      <c r="D1442" s="131" t="s">
        <v>58</v>
      </c>
      <c r="E1442" s="132" t="s">
        <v>59</v>
      </c>
    </row>
    <row r="1443" spans="2:11">
      <c r="C1443" s="133" t="s">
        <v>185</v>
      </c>
      <c r="D1443" s="147">
        <v>3386.6489999999999</v>
      </c>
      <c r="E1443" s="166">
        <f>D1443*$J$1393</f>
        <v>174.34486486486486</v>
      </c>
    </row>
    <row r="1444" spans="2:11">
      <c r="C1444" s="133" t="s">
        <v>186</v>
      </c>
      <c r="D1444" s="147">
        <v>21608.974999999999</v>
      </c>
      <c r="E1444" s="166">
        <f>D1444*$J$1393</f>
        <v>1112.4311454311453</v>
      </c>
    </row>
    <row r="1445" spans="2:11">
      <c r="C1445" s="133" t="s">
        <v>187</v>
      </c>
      <c r="D1445" s="147">
        <v>16203.675999999999</v>
      </c>
      <c r="E1445" s="166">
        <f>D1445*$J$1393</f>
        <v>834.16607464607455</v>
      </c>
    </row>
    <row r="1446" spans="2:11" ht="13.5" thickBot="1">
      <c r="C1446" s="133" t="s">
        <v>188</v>
      </c>
      <c r="D1446" s="147">
        <v>92125.676000000007</v>
      </c>
      <c r="E1446" s="166">
        <f>D1446*$J$1393</f>
        <v>4742.6345431145428</v>
      </c>
    </row>
    <row r="1447" spans="2:11" ht="13.5" thickBot="1">
      <c r="C1447" s="134" t="s">
        <v>43</v>
      </c>
      <c r="D1447" s="148">
        <f>SUM(D1443:D1446)</f>
        <v>133324.97600000002</v>
      </c>
      <c r="E1447" s="149">
        <f>SUM(E1443:E1446)</f>
        <v>6863.5766280566277</v>
      </c>
    </row>
    <row r="1448" spans="2:11">
      <c r="D1448" s="135"/>
    </row>
    <row r="1449" spans="2:11">
      <c r="D1449" s="135"/>
    </row>
    <row r="1450" spans="2:11">
      <c r="B1450" s="54" t="s">
        <v>276</v>
      </c>
      <c r="I1450" s="54" t="s">
        <v>277</v>
      </c>
      <c r="J1450" s="76">
        <f>Model!Z211</f>
        <v>5.083108829360037E-2</v>
      </c>
    </row>
    <row r="1451" spans="2:11">
      <c r="C1451" s="107"/>
      <c r="D1451" s="414" t="s">
        <v>278</v>
      </c>
      <c r="E1451" s="415"/>
      <c r="F1451" s="94" t="s">
        <v>60</v>
      </c>
      <c r="G1451" s="391"/>
    </row>
    <row r="1452" spans="2:11">
      <c r="C1452" s="108"/>
      <c r="D1452" s="95" t="s">
        <v>124</v>
      </c>
      <c r="E1452" s="83" t="s">
        <v>125</v>
      </c>
      <c r="F1452" s="96"/>
      <c r="G1452" s="393"/>
      <c r="I1452" s="54" t="s">
        <v>123</v>
      </c>
    </row>
    <row r="1453" spans="2:11">
      <c r="C1453" s="108" t="s">
        <v>279</v>
      </c>
      <c r="D1453" s="125"/>
      <c r="E1453" s="126"/>
      <c r="F1453" s="124"/>
      <c r="G1453" s="391"/>
      <c r="I1453" s="107"/>
      <c r="J1453" s="414" t="s">
        <v>278</v>
      </c>
      <c r="K1453" s="415"/>
    </row>
    <row r="1454" spans="2:11">
      <c r="C1454" s="109" t="s">
        <v>235</v>
      </c>
      <c r="D1454" s="127">
        <v>4569.7730000000001</v>
      </c>
      <c r="E1454" s="126">
        <f>D1454*$J$1450</f>
        <v>232.28653484471104</v>
      </c>
      <c r="F1454" s="124"/>
      <c r="G1454" s="391"/>
      <c r="I1454" s="108"/>
      <c r="J1454" s="95" t="s">
        <v>124</v>
      </c>
      <c r="K1454" s="83" t="s">
        <v>125</v>
      </c>
    </row>
    <row r="1455" spans="2:11">
      <c r="C1455" s="109" t="s">
        <v>280</v>
      </c>
      <c r="D1455" s="127">
        <v>748.17100000000005</v>
      </c>
      <c r="E1455" s="84">
        <f>D1455*$J$1450</f>
        <v>38.030346159711286</v>
      </c>
      <c r="F1455" s="124"/>
      <c r="G1455" s="391"/>
      <c r="I1455" s="110" t="s">
        <v>126</v>
      </c>
      <c r="J1455" s="140">
        <f>121972+5317.9+2576.8</f>
        <v>129866.7</v>
      </c>
      <c r="K1455" s="35">
        <f>J1455*$J$1450</f>
        <v>6601.2656940985107</v>
      </c>
    </row>
    <row r="1456" spans="2:11">
      <c r="C1456" s="109"/>
      <c r="D1456" s="127"/>
      <c r="E1456" s="84"/>
      <c r="F1456" s="124"/>
      <c r="G1456" s="391"/>
      <c r="I1456" s="157" t="s">
        <v>18</v>
      </c>
      <c r="J1456" s="155">
        <f>D1483</f>
        <v>32068.291000000001</v>
      </c>
      <c r="K1456" s="119">
        <f>J1456*$J$1450</f>
        <v>1630.0661312458701</v>
      </c>
    </row>
    <row r="1457" spans="3:11">
      <c r="C1457" s="109" t="s">
        <v>96</v>
      </c>
      <c r="D1457" s="127">
        <v>5971.4970000000003</v>
      </c>
      <c r="E1457" s="84">
        <f>D1457*$J$1450</f>
        <v>303.53769125196976</v>
      </c>
      <c r="F1457" s="96"/>
      <c r="G1457" s="393"/>
      <c r="I1457" s="111" t="s">
        <v>127</v>
      </c>
      <c r="J1457" s="156">
        <f>D1494</f>
        <v>31</v>
      </c>
      <c r="K1457" s="153">
        <f>J1457*$J$1450</f>
        <v>1.5757637371016116</v>
      </c>
    </row>
    <row r="1458" spans="3:11">
      <c r="C1458" s="109" t="s">
        <v>97</v>
      </c>
      <c r="D1458" s="127">
        <v>5500</v>
      </c>
      <c r="E1458" s="84">
        <f>D1458*$J$1450</f>
        <v>279.57098561480205</v>
      </c>
      <c r="F1458" s="96"/>
      <c r="G1458" s="393"/>
      <c r="I1458" s="111" t="s">
        <v>128</v>
      </c>
      <c r="J1458" s="155">
        <v>14448.9</v>
      </c>
      <c r="K1458" s="119">
        <f>J1458*$J$1450</f>
        <v>734.45331164540232</v>
      </c>
    </row>
    <row r="1459" spans="3:11">
      <c r="C1459" s="109" t="s">
        <v>237</v>
      </c>
      <c r="D1459" s="127">
        <v>2332.1190000000001</v>
      </c>
      <c r="E1459" s="84">
        <f>D1459*$J$1450</f>
        <v>118.54414680018301</v>
      </c>
      <c r="F1459" s="96"/>
      <c r="G1459" s="393"/>
      <c r="I1459" s="110" t="s">
        <v>19</v>
      </c>
      <c r="J1459" s="154">
        <f>J1455-J1456-J1457-J1458</f>
        <v>83318.509000000005</v>
      </c>
      <c r="K1459" s="154">
        <f>K1455-K1456-K1457-K1458</f>
        <v>4235.1704874701363</v>
      </c>
    </row>
    <row r="1460" spans="3:11">
      <c r="C1460" s="109"/>
      <c r="D1460" s="125"/>
      <c r="E1460" s="126"/>
      <c r="F1460" s="124"/>
      <c r="G1460" s="391"/>
      <c r="I1460" s="112" t="s">
        <v>20</v>
      </c>
      <c r="J1460" s="119">
        <f>D1485</f>
        <v>104781.04</v>
      </c>
      <c r="K1460" s="119">
        <f>J1460*J1450</f>
        <v>5326.1342957352717</v>
      </c>
    </row>
    <row r="1461" spans="3:11">
      <c r="C1461" s="108" t="s">
        <v>238</v>
      </c>
      <c r="D1461" s="97"/>
      <c r="E1461" s="84"/>
      <c r="F1461" s="96"/>
      <c r="G1461" s="393"/>
      <c r="I1461" s="110" t="s">
        <v>21</v>
      </c>
      <c r="J1461" s="154">
        <f>+J1455+J1460</f>
        <v>234647.74</v>
      </c>
      <c r="K1461" s="154">
        <f>+K1455+K1460</f>
        <v>11927.399989833782</v>
      </c>
    </row>
    <row r="1462" spans="3:11">
      <c r="C1462" s="109" t="s">
        <v>85</v>
      </c>
      <c r="D1462" s="127">
        <v>11564.366</v>
      </c>
      <c r="E1462" s="84">
        <f>D1462*$J$1450</f>
        <v>587.82930920551019</v>
      </c>
      <c r="F1462" s="96"/>
      <c r="G1462" s="393"/>
      <c r="I1462" s="113" t="s">
        <v>22</v>
      </c>
      <c r="J1462" s="105">
        <f>D1487</f>
        <v>38524.745000000003</v>
      </c>
      <c r="K1462" s="105"/>
    </row>
    <row r="1463" spans="3:11">
      <c r="C1463" s="109" t="s">
        <v>86</v>
      </c>
      <c r="D1463" s="127">
        <v>5867.5410000000002</v>
      </c>
      <c r="E1463" s="84">
        <f t="shared" ref="E1463:E1485" si="29">D1463*$J$1450</f>
        <v>298.25349463732022</v>
      </c>
      <c r="F1463" s="96"/>
      <c r="G1463" s="393"/>
    </row>
    <row r="1464" spans="3:11">
      <c r="C1464" s="109" t="s">
        <v>87</v>
      </c>
      <c r="D1464" s="127">
        <v>5878.4979999999996</v>
      </c>
      <c r="E1464" s="84">
        <f t="shared" si="29"/>
        <v>298.81045087175318</v>
      </c>
      <c r="F1464" s="96"/>
      <c r="G1464" s="393"/>
    </row>
    <row r="1465" spans="3:11">
      <c r="C1465" s="109" t="s">
        <v>88</v>
      </c>
      <c r="D1465" s="127">
        <v>11670.576999999999</v>
      </c>
      <c r="E1465" s="84">
        <f t="shared" si="29"/>
        <v>593.22812992426168</v>
      </c>
      <c r="F1465" s="96"/>
      <c r="G1465" s="393"/>
    </row>
    <row r="1466" spans="3:11">
      <c r="C1466" s="109" t="s">
        <v>89</v>
      </c>
      <c r="D1466" s="127">
        <v>19226.205999999998</v>
      </c>
      <c r="E1466" s="84">
        <f t="shared" si="29"/>
        <v>977.28897473694906</v>
      </c>
      <c r="F1466" s="96"/>
      <c r="G1466" s="393"/>
    </row>
    <row r="1467" spans="3:11">
      <c r="C1467" s="109" t="s">
        <v>90</v>
      </c>
      <c r="D1467" s="127">
        <v>17576.841</v>
      </c>
      <c r="E1467" s="84">
        <f t="shared" si="29"/>
        <v>893.44995679357498</v>
      </c>
      <c r="F1467" s="96"/>
      <c r="G1467" s="393"/>
    </row>
    <row r="1468" spans="3:11">
      <c r="C1468" s="107" t="s">
        <v>239</v>
      </c>
      <c r="D1468" s="128">
        <f>SUM(D1462:D1467)</f>
        <v>71784.028999999995</v>
      </c>
      <c r="E1468" s="128">
        <f>SUM(E1462:E1467)</f>
        <v>3648.8603161693691</v>
      </c>
      <c r="F1468" s="94"/>
      <c r="G1468" s="391"/>
    </row>
    <row r="1469" spans="3:11">
      <c r="C1469" s="109"/>
      <c r="D1469" s="97"/>
      <c r="E1469" s="84"/>
      <c r="F1469" s="96"/>
      <c r="G1469" s="393"/>
    </row>
    <row r="1470" spans="3:11">
      <c r="C1470" s="108" t="s">
        <v>240</v>
      </c>
      <c r="D1470" s="97"/>
      <c r="E1470" s="84"/>
      <c r="F1470" s="96"/>
      <c r="G1470" s="393"/>
    </row>
    <row r="1471" spans="3:11">
      <c r="C1471" s="109" t="s">
        <v>241</v>
      </c>
      <c r="D1471" s="127">
        <v>9987.0689999999995</v>
      </c>
      <c r="E1471" s="84">
        <f t="shared" si="29"/>
        <v>507.65358613327913</v>
      </c>
      <c r="F1471" s="96"/>
      <c r="G1471" s="393"/>
    </row>
    <row r="1472" spans="3:11">
      <c r="C1472" s="109" t="s">
        <v>242</v>
      </c>
      <c r="D1472" s="127">
        <v>5995.1729999999998</v>
      </c>
      <c r="E1472" s="84">
        <f t="shared" si="29"/>
        <v>304.74116809840899</v>
      </c>
      <c r="F1472" s="96"/>
      <c r="G1472" s="393"/>
    </row>
    <row r="1473" spans="3:9">
      <c r="C1473" s="109" t="s">
        <v>243</v>
      </c>
      <c r="D1473" s="127">
        <v>4994.1109999999999</v>
      </c>
      <c r="E1473" s="84">
        <f t="shared" si="29"/>
        <v>253.85609718904084</v>
      </c>
      <c r="F1473" s="96"/>
      <c r="G1473" s="393"/>
    </row>
    <row r="1474" spans="3:9">
      <c r="C1474" s="109" t="s">
        <v>93</v>
      </c>
      <c r="D1474" s="127">
        <v>4479.16</v>
      </c>
      <c r="E1474" s="84">
        <f t="shared" si="29"/>
        <v>227.68057744116302</v>
      </c>
      <c r="F1474" s="96"/>
      <c r="G1474" s="393"/>
    </row>
    <row r="1475" spans="3:9">
      <c r="C1475" s="109" t="s">
        <v>94</v>
      </c>
      <c r="D1475" s="127">
        <v>4486.6469999999999</v>
      </c>
      <c r="E1475" s="84">
        <f t="shared" si="29"/>
        <v>228.06114979921722</v>
      </c>
      <c r="F1475" s="96"/>
      <c r="G1475" s="393"/>
    </row>
    <row r="1476" spans="3:9">
      <c r="C1476" s="109" t="s">
        <v>95</v>
      </c>
      <c r="D1476" s="127">
        <v>6442.1719999999996</v>
      </c>
      <c r="E1476" s="84">
        <f t="shared" si="29"/>
        <v>327.46261373456008</v>
      </c>
      <c r="F1476" s="96"/>
      <c r="G1476" s="393"/>
    </row>
    <row r="1477" spans="3:9">
      <c r="C1477" s="107" t="s">
        <v>244</v>
      </c>
      <c r="D1477" s="129">
        <f>SUM(D1471:D1476)</f>
        <v>36384.332000000002</v>
      </c>
      <c r="E1477" s="128">
        <f>SUM(E1471:E1476)</f>
        <v>1849.4551923956692</v>
      </c>
      <c r="F1477" s="94"/>
      <c r="G1477" s="391"/>
    </row>
    <row r="1478" spans="3:9">
      <c r="C1478" s="108"/>
      <c r="D1478" s="125"/>
      <c r="E1478" s="126"/>
      <c r="F1478" s="124"/>
      <c r="G1478" s="391"/>
    </row>
    <row r="1479" spans="3:9">
      <c r="C1479" s="108" t="s">
        <v>245</v>
      </c>
      <c r="D1479" s="125"/>
      <c r="E1479" s="126"/>
      <c r="F1479" s="124"/>
      <c r="G1479" s="391"/>
    </row>
    <row r="1480" spans="3:9">
      <c r="C1480" s="108" t="s">
        <v>246</v>
      </c>
      <c r="D1480" s="127">
        <v>2576.8739999999998</v>
      </c>
      <c r="E1480" s="84">
        <f t="shared" si="29"/>
        <v>130.98530981548316</v>
      </c>
      <c r="F1480" s="124"/>
      <c r="G1480" s="391"/>
    </row>
    <row r="1481" spans="3:9">
      <c r="C1481" s="108"/>
      <c r="D1481" s="125"/>
      <c r="E1481" s="126"/>
      <c r="F1481" s="124"/>
      <c r="G1481" s="391"/>
    </row>
    <row r="1482" spans="3:9">
      <c r="C1482" s="110" t="s">
        <v>17</v>
      </c>
      <c r="D1482" s="98">
        <f>D1468+D1477+D1480+D1454+D1455+D1457+D1458+D1459</f>
        <v>129866.79500000001</v>
      </c>
      <c r="E1482" s="98">
        <f>E1468+E1477+E1480+E1454+E1455+E1457+E1458+E1459</f>
        <v>6601.2705230518986</v>
      </c>
      <c r="F1482" s="99">
        <f>+D1482/D1487</f>
        <v>3.3709968748657522</v>
      </c>
      <c r="G1482" s="395"/>
    </row>
    <row r="1483" spans="3:9">
      <c r="C1483" s="111" t="s">
        <v>18</v>
      </c>
      <c r="D1483" s="100">
        <f>Model!Z113</f>
        <v>32068.291000000001</v>
      </c>
      <c r="E1483" s="119">
        <f t="shared" si="29"/>
        <v>1630.0661312458701</v>
      </c>
      <c r="F1483" s="101"/>
      <c r="G1483" s="396"/>
    </row>
    <row r="1484" spans="3:9">
      <c r="C1484" s="110" t="s">
        <v>19</v>
      </c>
      <c r="D1484" s="98">
        <f>+D1482-D1483</f>
        <v>97798.504000000015</v>
      </c>
      <c r="E1484" s="89">
        <f>+E1482-E1483</f>
        <v>4971.2043918060281</v>
      </c>
      <c r="F1484" s="99">
        <f>+D1484/D1487</f>
        <v>2.5385892625635811</v>
      </c>
      <c r="G1484" s="395"/>
    </row>
    <row r="1485" spans="3:9">
      <c r="C1485" s="112" t="s">
        <v>20</v>
      </c>
      <c r="D1485" s="102">
        <f>Model!Z120</f>
        <v>104781.04</v>
      </c>
      <c r="E1485" s="119">
        <f t="shared" si="29"/>
        <v>5326.1342957352717</v>
      </c>
      <c r="F1485" s="103"/>
    </row>
    <row r="1486" spans="3:9">
      <c r="C1486" s="110" t="s">
        <v>21</v>
      </c>
      <c r="D1486" s="98">
        <f>D1482+D1485</f>
        <v>234647.83500000002</v>
      </c>
      <c r="E1486" s="89">
        <f>E1482+E1485</f>
        <v>11927.40481878717</v>
      </c>
      <c r="F1486" s="99">
        <f>D1486/D1487</f>
        <v>6.0908342157748221</v>
      </c>
      <c r="G1486" s="395"/>
      <c r="I1486" s="141"/>
    </row>
    <row r="1487" spans="3:9">
      <c r="C1487" s="113" t="s">
        <v>22</v>
      </c>
      <c r="D1487" s="104">
        <f>Model!Z85</f>
        <v>38524.745000000003</v>
      </c>
      <c r="E1487" s="105"/>
      <c r="F1487" s="106"/>
    </row>
    <row r="1489" spans="3:5">
      <c r="C1489" s="114" t="s">
        <v>23</v>
      </c>
      <c r="D1489" s="115">
        <f>D1482-Model!Z116</f>
        <v>9.5000000015716068E-2</v>
      </c>
      <c r="E1489" s="116"/>
    </row>
    <row r="1490" spans="3:5" ht="13.5" thickBot="1">
      <c r="D1490" s="412"/>
      <c r="E1490" s="412"/>
    </row>
    <row r="1491" spans="3:5">
      <c r="C1491" s="59" t="s">
        <v>281</v>
      </c>
      <c r="D1491" s="131" t="s">
        <v>58</v>
      </c>
      <c r="E1491" s="132" t="s">
        <v>59</v>
      </c>
    </row>
    <row r="1492" spans="3:5">
      <c r="C1492" s="60"/>
      <c r="D1492" s="117"/>
      <c r="E1492" s="77"/>
    </row>
    <row r="1493" spans="3:5">
      <c r="C1493" s="60" t="s">
        <v>28</v>
      </c>
      <c r="D1493" s="163">
        <f>D1483</f>
        <v>32068.291000000001</v>
      </c>
      <c r="E1493" s="164">
        <f>D1493*$J$1450</f>
        <v>1630.0661312458701</v>
      </c>
    </row>
    <row r="1494" spans="3:5">
      <c r="C1494" s="60" t="s">
        <v>74</v>
      </c>
      <c r="D1494" s="165">
        <v>31</v>
      </c>
      <c r="E1494" s="164">
        <f>D1494*$J$1450</f>
        <v>1.5757637371016116</v>
      </c>
    </row>
    <row r="1495" spans="3:5" ht="13.5" thickBot="1">
      <c r="C1495" s="152" t="s">
        <v>29</v>
      </c>
      <c r="D1495" s="150">
        <f>SUM(D1492:D1494)</f>
        <v>32099.291000000001</v>
      </c>
      <c r="E1495" s="151">
        <f>SUM(E1492:E1494)</f>
        <v>1631.6418949829717</v>
      </c>
    </row>
    <row r="1498" spans="3:5" ht="13.5" thickBot="1">
      <c r="D1498" s="412"/>
      <c r="E1498" s="412"/>
    </row>
    <row r="1499" spans="3:5">
      <c r="C1499" s="130" t="s">
        <v>282</v>
      </c>
      <c r="D1499" s="131" t="s">
        <v>58</v>
      </c>
      <c r="E1499" s="132" t="s">
        <v>59</v>
      </c>
    </row>
    <row r="1500" spans="3:5">
      <c r="C1500" s="133" t="s">
        <v>185</v>
      </c>
      <c r="D1500" s="147">
        <v>2929.4250000000002</v>
      </c>
      <c r="E1500" s="166">
        <f>D1500*$J$1450</f>
        <v>148.90586082448027</v>
      </c>
    </row>
    <row r="1501" spans="3:5">
      <c r="C1501" s="133" t="s">
        <v>186</v>
      </c>
      <c r="D1501" s="147">
        <v>20903.844000000001</v>
      </c>
      <c r="E1501" s="166">
        <f>D1501*$J$1450</f>
        <v>1062.5651400396484</v>
      </c>
    </row>
    <row r="1502" spans="3:5">
      <c r="C1502" s="133" t="s">
        <v>187</v>
      </c>
      <c r="D1502" s="147">
        <v>16456.41</v>
      </c>
      <c r="E1502" s="166">
        <f>D1502*$J$1450</f>
        <v>836.49722970568803</v>
      </c>
    </row>
    <row r="1503" spans="3:5" ht="13.5" thickBot="1">
      <c r="C1503" s="133" t="s">
        <v>188</v>
      </c>
      <c r="D1503" s="147">
        <v>90729.777000000002</v>
      </c>
      <c r="E1503" s="166">
        <f>D1503*$J$1450</f>
        <v>4611.8933055456719</v>
      </c>
    </row>
    <row r="1504" spans="3:5" ht="13.5" thickBot="1">
      <c r="C1504" s="134" t="s">
        <v>43</v>
      </c>
      <c r="D1504" s="148">
        <f>SUM(D1500:D1503)</f>
        <v>131019.45600000001</v>
      </c>
      <c r="E1504" s="149">
        <f>SUM(E1500:E1503)</f>
        <v>6659.861536115488</v>
      </c>
    </row>
    <row r="1505" spans="4:4">
      <c r="D1505" s="135"/>
    </row>
  </sheetData>
  <mergeCells count="132">
    <mergeCell ref="D712:E712"/>
    <mergeCell ref="D610:E610"/>
    <mergeCell ref="D537:E537"/>
    <mergeCell ref="D491:E491"/>
    <mergeCell ref="J493:K493"/>
    <mergeCell ref="J603:K603"/>
    <mergeCell ref="D657:E657"/>
    <mergeCell ref="J659:K659"/>
    <mergeCell ref="D647:E647"/>
    <mergeCell ref="D546:E546"/>
    <mergeCell ref="D517:E517"/>
    <mergeCell ref="J548:K548"/>
    <mergeCell ref="D1498:E1498"/>
    <mergeCell ref="D1394:E1394"/>
    <mergeCell ref="J1396:K1396"/>
    <mergeCell ref="D1433:E1433"/>
    <mergeCell ref="D1441:E1441"/>
    <mergeCell ref="D1451:E1451"/>
    <mergeCell ref="J1453:K1453"/>
    <mergeCell ref="D1208:E1208"/>
    <mergeCell ref="J714:K714"/>
    <mergeCell ref="D721:E721"/>
    <mergeCell ref="D730:E730"/>
    <mergeCell ref="D750:E750"/>
    <mergeCell ref="D759:E759"/>
    <mergeCell ref="J761:K761"/>
    <mergeCell ref="D923:E923"/>
    <mergeCell ref="J1163:K1163"/>
    <mergeCell ref="D1075:E1075"/>
    <mergeCell ref="J831:K831"/>
    <mergeCell ref="D829:E829"/>
    <mergeCell ref="D819:E819"/>
    <mergeCell ref="D1384:E1384"/>
    <mergeCell ref="D1267:E1267"/>
    <mergeCell ref="D1376:E1376"/>
    <mergeCell ref="D1259:E1259"/>
    <mergeCell ref="D1490:E1490"/>
    <mergeCell ref="D1336:E1336"/>
    <mergeCell ref="D1318:E1318"/>
    <mergeCell ref="D1326:E1326"/>
    <mergeCell ref="D1277:E1277"/>
    <mergeCell ref="J1222:K1222"/>
    <mergeCell ref="J1002:K1002"/>
    <mergeCell ref="D1009:E1009"/>
    <mergeCell ref="J1038:K1038"/>
    <mergeCell ref="D1017:E1017"/>
    <mergeCell ref="D1024:E1024"/>
    <mergeCell ref="D1159:E1159"/>
    <mergeCell ref="D1218:E1218"/>
    <mergeCell ref="J1338:K1338"/>
    <mergeCell ref="J1104:K1104"/>
    <mergeCell ref="D1141:E1141"/>
    <mergeCell ref="D1149:E1149"/>
    <mergeCell ref="J1281:K1281"/>
    <mergeCell ref="D1083:E1083"/>
    <mergeCell ref="D1090:E1090"/>
    <mergeCell ref="D1034:E1034"/>
    <mergeCell ref="D1200:E1200"/>
    <mergeCell ref="D1100:E1100"/>
    <mergeCell ref="D975:E975"/>
    <mergeCell ref="D983:E983"/>
    <mergeCell ref="D990:E990"/>
    <mergeCell ref="D1000:E1000"/>
    <mergeCell ref="D931:E931"/>
    <mergeCell ref="D949:E949"/>
    <mergeCell ref="J968:K968"/>
    <mergeCell ref="D966:E966"/>
    <mergeCell ref="J900:K900"/>
    <mergeCell ref="D907:E907"/>
    <mergeCell ref="D916:E916"/>
    <mergeCell ref="D956:E956"/>
    <mergeCell ref="D898:E898"/>
    <mergeCell ref="D865:E865"/>
    <mergeCell ref="J867:K867"/>
    <mergeCell ref="D874:E874"/>
    <mergeCell ref="D883:E883"/>
    <mergeCell ref="D890:E890"/>
    <mergeCell ref="D940:E940"/>
    <mergeCell ref="D666:E666"/>
    <mergeCell ref="D683:E683"/>
    <mergeCell ref="D703:E703"/>
    <mergeCell ref="D479:E479"/>
    <mergeCell ref="D500:E500"/>
    <mergeCell ref="D279:E279"/>
    <mergeCell ref="D299:E299"/>
    <mergeCell ref="D442:E442"/>
    <mergeCell ref="J933:K933"/>
    <mergeCell ref="D803:E803"/>
    <mergeCell ref="D812:E812"/>
    <mergeCell ref="D794:E794"/>
    <mergeCell ref="D768:E768"/>
    <mergeCell ref="D777:E777"/>
    <mergeCell ref="D784:E784"/>
    <mergeCell ref="D854:E854"/>
    <mergeCell ref="D847:E847"/>
    <mergeCell ref="D838:E838"/>
    <mergeCell ref="J796:K796"/>
    <mergeCell ref="D555:E555"/>
    <mergeCell ref="D572:E572"/>
    <mergeCell ref="D592:E592"/>
    <mergeCell ref="D601:E601"/>
    <mergeCell ref="D627:E627"/>
    <mergeCell ref="J435:K435"/>
    <mergeCell ref="D459:E459"/>
    <mergeCell ref="D87:E87"/>
    <mergeCell ref="D92:E92"/>
    <mergeCell ref="D113:E113"/>
    <mergeCell ref="D421:E421"/>
    <mergeCell ref="J319:K319"/>
    <mergeCell ref="D326:E326"/>
    <mergeCell ref="D343:E343"/>
    <mergeCell ref="D363:E363"/>
    <mergeCell ref="J377:K377"/>
    <mergeCell ref="D384:E384"/>
    <mergeCell ref="D401:E401"/>
    <mergeCell ref="D375:E375"/>
    <mergeCell ref="D433:E433"/>
    <mergeCell ref="D149:E149"/>
    <mergeCell ref="D169:E169"/>
    <mergeCell ref="J255:K255"/>
    <mergeCell ref="D262:E262"/>
    <mergeCell ref="J191:K191"/>
    <mergeCell ref="D198:E198"/>
    <mergeCell ref="D215:E215"/>
    <mergeCell ref="D235:E235"/>
    <mergeCell ref="J80:K80"/>
    <mergeCell ref="J136:K136"/>
    <mergeCell ref="D143:E143"/>
    <mergeCell ref="J17:K17"/>
    <mergeCell ref="D29:E29"/>
    <mergeCell ref="D35:E35"/>
    <mergeCell ref="D55:E55"/>
  </mergeCells>
  <phoneticPr fontId="2" type="noConversion"/>
  <pageMargins left="0.7" right="0.7" top="0.75" bottom="0.75" header="0.3" footer="0.3"/>
  <pageSetup orientation="portrait" horizontalDpi="90" verticalDpi="9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43A8F-1FA2-4A19-B03A-0C46DD59E5B9}">
  <sheetPr>
    <pageSetUpPr fitToPage="1"/>
  </sheetPr>
  <dimension ref="A1:BN288"/>
  <sheetViews>
    <sheetView showGridLines="0" zoomScale="85" zoomScaleNormal="85" zoomScaleSheetLayoutView="100" workbookViewId="0">
      <pane xSplit="2" ySplit="6" topLeftCell="M7" activePane="bottomRight" state="frozen"/>
      <selection pane="bottomRight" activeCell="BE2" sqref="BE2"/>
      <selection pane="bottomLeft" activeCell="J25" sqref="J25"/>
      <selection pane="topRight" activeCell="J25" sqref="J25"/>
    </sheetView>
  </sheetViews>
  <sheetFormatPr defaultColWidth="11.42578125" defaultRowHeight="13.5" customHeight="1" outlineLevelRow="1" outlineLevelCol="1"/>
  <cols>
    <col min="1" max="1" width="2.7109375" style="1" customWidth="1"/>
    <col min="2" max="2" width="50.7109375" style="1" customWidth="1"/>
    <col min="3" max="7" width="12.7109375" style="1" hidden="1" customWidth="1" outlineLevel="1"/>
    <col min="8" max="8" width="12.7109375" style="1" hidden="1" customWidth="1" outlineLevel="1" collapsed="1"/>
    <col min="9" max="9" width="12.7109375" style="1" hidden="1" customWidth="1" outlineLevel="1"/>
    <col min="10" max="10" width="12.7109375" style="1" hidden="1" customWidth="1" outlineLevel="1" collapsed="1"/>
    <col min="11" max="11" width="12.7109375" style="1" hidden="1" customWidth="1" outlineLevel="1"/>
    <col min="12" max="12" width="12.7109375" style="1" hidden="1" customWidth="1" outlineLevel="1" collapsed="1"/>
    <col min="13" max="13" width="12.7109375" style="1" customWidth="1" collapsed="1"/>
    <col min="14" max="18" width="12.7109375" style="1" customWidth="1"/>
    <col min="19" max="22" width="12.7109375" style="1" hidden="1" customWidth="1" outlineLevel="1"/>
    <col min="23" max="23" width="12.7109375" style="1" hidden="1" customWidth="1" outlineLevel="1" collapsed="1"/>
    <col min="24" max="34" width="12.7109375" style="1" hidden="1" customWidth="1" outlineLevel="1"/>
    <col min="35" max="35" width="12.7109375" style="1" hidden="1" customWidth="1" outlineLevel="1" collapsed="1"/>
    <col min="36" max="38" width="12.7109375" style="1" hidden="1" customWidth="1" outlineLevel="1"/>
    <col min="39" max="39" width="12.7109375" style="1" hidden="1" customWidth="1" outlineLevel="1" collapsed="1"/>
    <col min="40" max="42" width="12.7109375" style="1" hidden="1" customWidth="1" outlineLevel="1"/>
    <col min="43" max="43" width="12.7109375" style="1" hidden="1" customWidth="1" outlineLevel="1" collapsed="1"/>
    <col min="44" max="46" width="12.7109375" style="1" hidden="1" customWidth="1" outlineLevel="1"/>
    <col min="47" max="47" width="12.7109375" style="1" customWidth="1" collapsed="1"/>
    <col min="48" max="57" width="12.7109375" style="1" customWidth="1"/>
    <col min="58" max="64" width="12.7109375" style="1" hidden="1" customWidth="1" outlineLevel="1"/>
    <col min="65" max="65" width="12.7109375" style="1" customWidth="1" collapsed="1"/>
    <col min="66" max="66" width="12.7109375" style="1" customWidth="1"/>
    <col min="67" max="16384" width="11.42578125" style="1"/>
  </cols>
  <sheetData>
    <row r="1" spans="1:64" ht="12.75"/>
    <row r="2" spans="1:64" s="5" customFormat="1" ht="21">
      <c r="A2" s="2"/>
      <c r="B2" s="9" t="s">
        <v>283</v>
      </c>
      <c r="C2" s="11" t="s">
        <v>284</v>
      </c>
      <c r="D2" s="11" t="s">
        <v>284</v>
      </c>
      <c r="E2" s="11" t="s">
        <v>284</v>
      </c>
      <c r="F2" s="11" t="s">
        <v>284</v>
      </c>
      <c r="G2" s="11" t="s">
        <v>284</v>
      </c>
      <c r="H2" s="11" t="s">
        <v>284</v>
      </c>
      <c r="I2" s="11" t="s">
        <v>284</v>
      </c>
      <c r="J2" s="11" t="s">
        <v>284</v>
      </c>
      <c r="K2" s="11" t="s">
        <v>284</v>
      </c>
      <c r="L2" s="11" t="s">
        <v>284</v>
      </c>
      <c r="M2" s="11" t="s">
        <v>284</v>
      </c>
      <c r="N2" s="11" t="s">
        <v>284</v>
      </c>
      <c r="O2" s="11" t="s">
        <v>284</v>
      </c>
      <c r="P2" s="11" t="s">
        <v>284</v>
      </c>
      <c r="Q2" s="13" t="s">
        <v>285</v>
      </c>
      <c r="R2" s="207"/>
      <c r="S2" s="11" t="s">
        <v>286</v>
      </c>
      <c r="T2" s="11" t="s">
        <v>286</v>
      </c>
      <c r="U2" s="11" t="s">
        <v>286</v>
      </c>
      <c r="V2" s="11" t="s">
        <v>286</v>
      </c>
      <c r="W2" s="11" t="s">
        <v>286</v>
      </c>
      <c r="X2" s="11" t="s">
        <v>286</v>
      </c>
      <c r="Y2" s="11" t="s">
        <v>286</v>
      </c>
      <c r="Z2" s="11" t="s">
        <v>286</v>
      </c>
      <c r="AA2" s="11" t="s">
        <v>286</v>
      </c>
      <c r="AB2" s="11" t="s">
        <v>286</v>
      </c>
      <c r="AC2" s="11" t="s">
        <v>286</v>
      </c>
      <c r="AD2" s="11" t="s">
        <v>286</v>
      </c>
      <c r="AE2" s="11" t="s">
        <v>286</v>
      </c>
      <c r="AF2" s="11" t="s">
        <v>286</v>
      </c>
      <c r="AG2" s="11" t="s">
        <v>286</v>
      </c>
      <c r="AH2" s="11" t="s">
        <v>286</v>
      </c>
      <c r="AI2" s="11" t="s">
        <v>286</v>
      </c>
      <c r="AJ2" s="90" t="s">
        <v>286</v>
      </c>
      <c r="AK2" s="11" t="s">
        <v>286</v>
      </c>
      <c r="AL2" s="11" t="s">
        <v>286</v>
      </c>
      <c r="AM2" s="11" t="s">
        <v>286</v>
      </c>
      <c r="AN2" s="90" t="s">
        <v>286</v>
      </c>
      <c r="AO2" s="11" t="s">
        <v>286</v>
      </c>
      <c r="AP2" s="11" t="s">
        <v>286</v>
      </c>
      <c r="AQ2" s="11" t="s">
        <v>286</v>
      </c>
      <c r="AR2" s="90" t="s">
        <v>286</v>
      </c>
      <c r="AS2" s="90" t="s">
        <v>286</v>
      </c>
      <c r="AT2" s="90" t="s">
        <v>286</v>
      </c>
      <c r="AU2" s="90" t="s">
        <v>286</v>
      </c>
      <c r="AV2" s="90" t="s">
        <v>286</v>
      </c>
      <c r="AW2" s="90" t="s">
        <v>286</v>
      </c>
      <c r="AX2" s="90" t="s">
        <v>286</v>
      </c>
      <c r="AY2" s="90" t="s">
        <v>286</v>
      </c>
      <c r="AZ2" s="90" t="s">
        <v>286</v>
      </c>
      <c r="BA2" s="90" t="s">
        <v>286</v>
      </c>
      <c r="BB2" s="90" t="s">
        <v>286</v>
      </c>
      <c r="BC2" s="90" t="s">
        <v>286</v>
      </c>
      <c r="BD2" s="269"/>
      <c r="BF2" s="11" t="s">
        <v>286</v>
      </c>
      <c r="BG2" s="11" t="s">
        <v>286</v>
      </c>
      <c r="BH2" s="11" t="s">
        <v>286</v>
      </c>
      <c r="BI2" s="11" t="s">
        <v>286</v>
      </c>
      <c r="BJ2" s="11" t="s">
        <v>286</v>
      </c>
      <c r="BK2" s="11" t="s">
        <v>286</v>
      </c>
      <c r="BL2" s="90" t="s">
        <v>286</v>
      </c>
    </row>
    <row r="3" spans="1:64" s="5" customFormat="1" ht="12.75">
      <c r="A3" s="2"/>
      <c r="B3" s="146" t="s">
        <v>58</v>
      </c>
      <c r="C3" s="12">
        <v>42735</v>
      </c>
      <c r="D3" s="12">
        <v>43100</v>
      </c>
      <c r="E3" s="12">
        <v>43465</v>
      </c>
      <c r="F3" s="12">
        <v>43830</v>
      </c>
      <c r="G3" s="12">
        <v>43830</v>
      </c>
      <c r="H3" s="12">
        <v>44196</v>
      </c>
      <c r="I3" s="12">
        <v>44561</v>
      </c>
      <c r="J3" s="12">
        <v>44561</v>
      </c>
      <c r="K3" s="12">
        <v>44926</v>
      </c>
      <c r="L3" s="12">
        <v>44926</v>
      </c>
      <c r="M3" s="12">
        <v>45291</v>
      </c>
      <c r="N3" s="12">
        <v>45291</v>
      </c>
      <c r="O3" s="12">
        <v>45657</v>
      </c>
      <c r="P3" s="12">
        <v>46022</v>
      </c>
      <c r="Q3" s="13">
        <f>BC3</f>
        <v>46112</v>
      </c>
      <c r="R3" s="207"/>
      <c r="S3" s="12">
        <v>42825</v>
      </c>
      <c r="T3" s="12">
        <v>42916</v>
      </c>
      <c r="U3" s="12">
        <v>43008</v>
      </c>
      <c r="V3" s="12">
        <v>43100</v>
      </c>
      <c r="W3" s="12">
        <v>43190</v>
      </c>
      <c r="X3" s="12">
        <v>43281</v>
      </c>
      <c r="Y3" s="12">
        <v>43373</v>
      </c>
      <c r="Z3" s="12">
        <v>43465</v>
      </c>
      <c r="AA3" s="12">
        <v>43555</v>
      </c>
      <c r="AB3" s="12">
        <v>43646</v>
      </c>
      <c r="AC3" s="12">
        <v>43738</v>
      </c>
      <c r="AD3" s="12">
        <v>43830</v>
      </c>
      <c r="AE3" s="12">
        <v>43921</v>
      </c>
      <c r="AF3" s="12">
        <v>44012</v>
      </c>
      <c r="AG3" s="12">
        <v>44104</v>
      </c>
      <c r="AH3" s="12">
        <v>44196</v>
      </c>
      <c r="AI3" s="12">
        <v>44286</v>
      </c>
      <c r="AJ3" s="13">
        <v>44377</v>
      </c>
      <c r="AK3" s="12">
        <v>44469</v>
      </c>
      <c r="AL3" s="12">
        <v>44561</v>
      </c>
      <c r="AM3" s="12">
        <v>44651</v>
      </c>
      <c r="AN3" s="13">
        <v>44742</v>
      </c>
      <c r="AO3" s="12">
        <v>44834</v>
      </c>
      <c r="AP3" s="12">
        <v>44926</v>
      </c>
      <c r="AQ3" s="12">
        <v>45016</v>
      </c>
      <c r="AR3" s="13">
        <v>45107</v>
      </c>
      <c r="AS3" s="13">
        <v>45199</v>
      </c>
      <c r="AT3" s="13">
        <v>45291</v>
      </c>
      <c r="AU3" s="13">
        <v>45382</v>
      </c>
      <c r="AV3" s="13">
        <v>45473</v>
      </c>
      <c r="AW3" s="13">
        <v>45565</v>
      </c>
      <c r="AX3" s="13">
        <v>45657</v>
      </c>
      <c r="AY3" s="13">
        <v>45747</v>
      </c>
      <c r="AZ3" s="13">
        <v>45838</v>
      </c>
      <c r="BA3" s="13">
        <v>45930</v>
      </c>
      <c r="BB3" s="13">
        <v>46022</v>
      </c>
      <c r="BC3" s="13">
        <v>46112</v>
      </c>
      <c r="BD3" s="270"/>
      <c r="BF3" s="12">
        <v>43830</v>
      </c>
      <c r="BG3" s="12">
        <v>44286</v>
      </c>
      <c r="BH3" s="12">
        <v>44377</v>
      </c>
      <c r="BI3" s="12">
        <v>44469</v>
      </c>
      <c r="BJ3" s="12">
        <v>44561</v>
      </c>
      <c r="BK3" s="12">
        <v>45016</v>
      </c>
      <c r="BL3" s="13">
        <v>45107</v>
      </c>
    </row>
    <row r="4" spans="1:64" s="5" customFormat="1" ht="12.75">
      <c r="B4" s="10"/>
      <c r="C4" s="13" t="s">
        <v>287</v>
      </c>
      <c r="D4" s="13" t="s">
        <v>287</v>
      </c>
      <c r="E4" s="13" t="s">
        <v>287</v>
      </c>
      <c r="F4" s="13" t="s">
        <v>287</v>
      </c>
      <c r="G4" s="13" t="s">
        <v>287</v>
      </c>
      <c r="H4" s="13" t="s">
        <v>287</v>
      </c>
      <c r="I4" s="13" t="s">
        <v>287</v>
      </c>
      <c r="J4" s="13" t="s">
        <v>287</v>
      </c>
      <c r="K4" s="13" t="s">
        <v>287</v>
      </c>
      <c r="L4" s="13" t="s">
        <v>287</v>
      </c>
      <c r="M4" s="13" t="s">
        <v>287</v>
      </c>
      <c r="N4" s="13" t="s">
        <v>287</v>
      </c>
      <c r="O4" s="13" t="s">
        <v>287</v>
      </c>
      <c r="P4" s="13" t="s">
        <v>287</v>
      </c>
      <c r="Q4" s="13" t="s">
        <v>287</v>
      </c>
      <c r="R4" s="207"/>
      <c r="S4" s="13" t="s">
        <v>287</v>
      </c>
      <c r="T4" s="13" t="s">
        <v>287</v>
      </c>
      <c r="U4" s="13" t="s">
        <v>287</v>
      </c>
      <c r="V4" s="13" t="s">
        <v>287</v>
      </c>
      <c r="W4" s="13" t="s">
        <v>287</v>
      </c>
      <c r="X4" s="13" t="s">
        <v>287</v>
      </c>
      <c r="Y4" s="13" t="s">
        <v>287</v>
      </c>
      <c r="Z4" s="13" t="s">
        <v>287</v>
      </c>
      <c r="AA4" s="13" t="s">
        <v>287</v>
      </c>
      <c r="AB4" s="13" t="s">
        <v>287</v>
      </c>
      <c r="AC4" s="13" t="s">
        <v>287</v>
      </c>
      <c r="AD4" s="13" t="s">
        <v>287</v>
      </c>
      <c r="AE4" s="13" t="s">
        <v>287</v>
      </c>
      <c r="AF4" s="13" t="s">
        <v>287</v>
      </c>
      <c r="AG4" s="13" t="s">
        <v>287</v>
      </c>
      <c r="AH4" s="13" t="s">
        <v>287</v>
      </c>
      <c r="AI4" s="13" t="s">
        <v>287</v>
      </c>
      <c r="AJ4" s="13" t="s">
        <v>287</v>
      </c>
      <c r="AK4" s="13" t="s">
        <v>287</v>
      </c>
      <c r="AL4" s="13" t="s">
        <v>287</v>
      </c>
      <c r="AM4" s="13" t="s">
        <v>287</v>
      </c>
      <c r="AN4" s="13" t="s">
        <v>287</v>
      </c>
      <c r="AO4" s="13" t="s">
        <v>287</v>
      </c>
      <c r="AP4" s="13" t="s">
        <v>287</v>
      </c>
      <c r="AQ4" s="13" t="s">
        <v>287</v>
      </c>
      <c r="AR4" s="13" t="s">
        <v>287</v>
      </c>
      <c r="AS4" s="13" t="s">
        <v>287</v>
      </c>
      <c r="AT4" s="13" t="s">
        <v>287</v>
      </c>
      <c r="AU4" s="13" t="s">
        <v>287</v>
      </c>
      <c r="AV4" s="13" t="s">
        <v>287</v>
      </c>
      <c r="AW4" s="13" t="s">
        <v>287</v>
      </c>
      <c r="AX4" s="13" t="s">
        <v>287</v>
      </c>
      <c r="AY4" s="13" t="s">
        <v>287</v>
      </c>
      <c r="AZ4" s="13" t="s">
        <v>287</v>
      </c>
      <c r="BA4" s="13" t="s">
        <v>287</v>
      </c>
      <c r="BB4" s="13" t="s">
        <v>287</v>
      </c>
      <c r="BC4" s="13" t="s">
        <v>287</v>
      </c>
      <c r="BD4" s="207"/>
      <c r="BF4" s="13" t="s">
        <v>287</v>
      </c>
      <c r="BG4" s="13" t="s">
        <v>287</v>
      </c>
      <c r="BH4" s="13" t="s">
        <v>287</v>
      </c>
      <c r="BI4" s="13" t="s">
        <v>287</v>
      </c>
      <c r="BJ4" s="13" t="s">
        <v>287</v>
      </c>
      <c r="BK4" s="13" t="s">
        <v>287</v>
      </c>
      <c r="BL4" s="13" t="s">
        <v>287</v>
      </c>
    </row>
    <row r="5" spans="1:64" s="5" customFormat="1" ht="12.75">
      <c r="A5" s="3"/>
      <c r="B5" s="3"/>
      <c r="C5" s="222" t="s">
        <v>288</v>
      </c>
      <c r="D5" s="20" t="s">
        <v>288</v>
      </c>
      <c r="E5" s="20" t="s">
        <v>288</v>
      </c>
      <c r="F5" s="20" t="s">
        <v>288</v>
      </c>
      <c r="G5" s="20" t="s">
        <v>288</v>
      </c>
      <c r="H5" s="20" t="s">
        <v>288</v>
      </c>
      <c r="I5" s="222" t="s">
        <v>288</v>
      </c>
      <c r="J5" s="20" t="s">
        <v>288</v>
      </c>
      <c r="K5" s="20" t="s">
        <v>288</v>
      </c>
      <c r="L5" s="20" t="s">
        <v>288</v>
      </c>
      <c r="M5" s="20" t="s">
        <v>288</v>
      </c>
      <c r="N5" s="20" t="s">
        <v>288</v>
      </c>
      <c r="O5" s="20" t="s">
        <v>288</v>
      </c>
      <c r="P5" s="20" t="s">
        <v>288</v>
      </c>
      <c r="Q5" s="343" t="s">
        <v>285</v>
      </c>
      <c r="R5" s="20"/>
      <c r="S5" s="20" t="s">
        <v>289</v>
      </c>
      <c r="T5" s="20" t="s">
        <v>290</v>
      </c>
      <c r="U5" s="20" t="s">
        <v>291</v>
      </c>
      <c r="V5" s="20" t="s">
        <v>292</v>
      </c>
      <c r="W5" s="20" t="s">
        <v>289</v>
      </c>
      <c r="X5" s="20" t="s">
        <v>290</v>
      </c>
      <c r="Y5" s="20" t="s">
        <v>291</v>
      </c>
      <c r="Z5" s="20" t="s">
        <v>292</v>
      </c>
      <c r="AA5" s="20" t="s">
        <v>289</v>
      </c>
      <c r="AB5" s="20" t="s">
        <v>290</v>
      </c>
      <c r="AC5" s="20" t="s">
        <v>291</v>
      </c>
      <c r="AD5" s="20" t="s">
        <v>292</v>
      </c>
      <c r="AE5" s="20" t="s">
        <v>289</v>
      </c>
      <c r="AF5" s="20" t="s">
        <v>290</v>
      </c>
      <c r="AG5" s="20" t="s">
        <v>291</v>
      </c>
      <c r="AH5" s="20" t="s">
        <v>292</v>
      </c>
      <c r="AI5" s="20" t="s">
        <v>289</v>
      </c>
      <c r="AJ5" s="20" t="s">
        <v>290</v>
      </c>
      <c r="AK5" s="20" t="s">
        <v>291</v>
      </c>
      <c r="AL5" s="20" t="s">
        <v>292</v>
      </c>
      <c r="AM5" s="20" t="s">
        <v>289</v>
      </c>
      <c r="AN5" s="20" t="s">
        <v>290</v>
      </c>
      <c r="AO5" s="20" t="s">
        <v>291</v>
      </c>
      <c r="AP5" s="20" t="s">
        <v>292</v>
      </c>
      <c r="AQ5" s="20" t="s">
        <v>289</v>
      </c>
      <c r="AR5" s="20" t="s">
        <v>290</v>
      </c>
      <c r="AS5" s="20" t="s">
        <v>291</v>
      </c>
      <c r="AT5" s="20" t="s">
        <v>292</v>
      </c>
      <c r="AU5" s="20" t="s">
        <v>289</v>
      </c>
      <c r="AV5" s="20" t="s">
        <v>290</v>
      </c>
      <c r="AW5" s="20" t="s">
        <v>291</v>
      </c>
      <c r="AX5" s="343" t="s">
        <v>292</v>
      </c>
      <c r="AY5" s="20" t="s">
        <v>289</v>
      </c>
      <c r="AZ5" s="20" t="s">
        <v>290</v>
      </c>
      <c r="BA5" s="20" t="s">
        <v>291</v>
      </c>
      <c r="BB5" s="343" t="s">
        <v>292</v>
      </c>
      <c r="BC5" s="20" t="s">
        <v>289</v>
      </c>
      <c r="BD5" s="20"/>
      <c r="BF5" s="20" t="s">
        <v>292</v>
      </c>
      <c r="BG5" s="20" t="s">
        <v>289</v>
      </c>
      <c r="BH5" s="20" t="s">
        <v>290</v>
      </c>
      <c r="BI5" s="20" t="s">
        <v>291</v>
      </c>
      <c r="BJ5" s="20" t="s">
        <v>292</v>
      </c>
      <c r="BK5" s="20" t="s">
        <v>289</v>
      </c>
      <c r="BL5" s="20" t="s">
        <v>290</v>
      </c>
    </row>
    <row r="6" spans="1:64" ht="12.75">
      <c r="A6" s="23"/>
      <c r="B6" s="15" t="s">
        <v>293</v>
      </c>
      <c r="C6" s="16"/>
      <c r="D6" s="16"/>
      <c r="E6" s="16"/>
      <c r="F6" s="16"/>
      <c r="G6" s="221" t="s">
        <v>294</v>
      </c>
      <c r="H6" s="16"/>
      <c r="I6" s="221"/>
      <c r="J6" s="282" t="s">
        <v>294</v>
      </c>
      <c r="K6" s="16"/>
      <c r="L6" s="282" t="s">
        <v>294</v>
      </c>
      <c r="M6" s="16"/>
      <c r="N6" s="282" t="s">
        <v>294</v>
      </c>
      <c r="O6" s="282"/>
      <c r="P6" s="282"/>
      <c r="Q6" s="120"/>
      <c r="R6" s="23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277"/>
      <c r="AU6" s="16"/>
      <c r="AV6" s="16"/>
      <c r="AW6" s="16"/>
      <c r="AX6" s="277"/>
      <c r="AY6" s="16"/>
      <c r="AZ6" s="16"/>
      <c r="BA6" s="16"/>
      <c r="BB6" s="277"/>
      <c r="BC6" s="16"/>
      <c r="BF6" s="282" t="s">
        <v>294</v>
      </c>
      <c r="BG6" s="282" t="s">
        <v>295</v>
      </c>
      <c r="BH6" s="282" t="s">
        <v>295</v>
      </c>
      <c r="BI6" s="282" t="s">
        <v>295</v>
      </c>
      <c r="BJ6" s="282" t="s">
        <v>295</v>
      </c>
      <c r="BK6" s="282" t="s">
        <v>295</v>
      </c>
      <c r="BL6" s="282" t="s">
        <v>295</v>
      </c>
    </row>
    <row r="7" spans="1:64" s="5" customFormat="1" ht="14.25" customHeight="1">
      <c r="B7" s="5" t="s">
        <v>296</v>
      </c>
      <c r="C7" s="24">
        <v>96287.400000000009</v>
      </c>
      <c r="D7" s="24">
        <v>93586.200000000012</v>
      </c>
      <c r="E7" s="24">
        <v>98548.7</v>
      </c>
      <c r="F7" s="24">
        <v>101492.181</v>
      </c>
      <c r="G7" s="24">
        <v>101757.181</v>
      </c>
      <c r="H7" s="24">
        <v>97361.634000000005</v>
      </c>
      <c r="I7" s="24">
        <v>103521.823</v>
      </c>
      <c r="J7" s="24">
        <v>73915.399999999994</v>
      </c>
      <c r="K7" s="24">
        <v>75526.608999999997</v>
      </c>
      <c r="L7" s="24">
        <v>68615.767999999996</v>
      </c>
      <c r="M7" s="24">
        <v>73767.899999999994</v>
      </c>
      <c r="N7" s="24">
        <v>66222.835999999996</v>
      </c>
      <c r="O7" s="24">
        <v>62260.864000000001</v>
      </c>
      <c r="P7" s="24">
        <v>58878.15</v>
      </c>
      <c r="Q7" s="7">
        <f>SUM(AZ7:BC7)</f>
        <v>58417.05</v>
      </c>
      <c r="R7" s="7"/>
      <c r="S7" s="24">
        <v>21954.299999999996</v>
      </c>
      <c r="T7" s="24">
        <v>22976.799999999999</v>
      </c>
      <c r="U7" s="24">
        <v>22663</v>
      </c>
      <c r="V7" s="85">
        <v>25992.099999999995</v>
      </c>
      <c r="W7" s="24">
        <v>22812</v>
      </c>
      <c r="X7" s="24">
        <v>24978.3</v>
      </c>
      <c r="Y7" s="24">
        <v>24023.1</v>
      </c>
      <c r="Z7" s="85">
        <v>26735.3</v>
      </c>
      <c r="AA7" s="24">
        <v>23395.199999999997</v>
      </c>
      <c r="AB7" s="24">
        <v>24307.600000000002</v>
      </c>
      <c r="AC7" s="24">
        <v>25786.149000000001</v>
      </c>
      <c r="AD7" s="7">
        <f>F7-AA7-AB7-AC7</f>
        <v>28003.231999999993</v>
      </c>
      <c r="AE7" s="24">
        <v>23228.799999999999</v>
      </c>
      <c r="AF7" s="24">
        <v>22407.200000000001</v>
      </c>
      <c r="AG7" s="24">
        <v>23943</v>
      </c>
      <c r="AH7" s="7">
        <f>H7-AE7-AF7-AG7</f>
        <v>27782.634000000005</v>
      </c>
      <c r="AI7" s="24">
        <v>23828.9</v>
      </c>
      <c r="AJ7" s="24">
        <v>24753.200000000001</v>
      </c>
      <c r="AK7" s="24">
        <v>26127.866999999998</v>
      </c>
      <c r="AL7" s="7">
        <f>I7-AI7-AJ7-AK7</f>
        <v>28811.856000000014</v>
      </c>
      <c r="AM7" s="24">
        <v>18609.2</v>
      </c>
      <c r="AN7" s="24">
        <v>18533.5</v>
      </c>
      <c r="AO7" s="24">
        <v>19251.7</v>
      </c>
      <c r="AP7" s="7">
        <f>K7-AM7-AN7-AO7</f>
        <v>19132.208999999999</v>
      </c>
      <c r="AQ7" s="24">
        <v>18519.633000000002</v>
      </c>
      <c r="AR7" s="24">
        <v>18520.2</v>
      </c>
      <c r="AS7" s="24">
        <v>16416</v>
      </c>
      <c r="AT7" s="7">
        <f>M7-AQ7-AR7-AS7</f>
        <v>20312.066999999995</v>
      </c>
      <c r="AU7" s="24">
        <v>15951.4</v>
      </c>
      <c r="AV7" s="24">
        <v>15720.3</v>
      </c>
      <c r="AW7" s="24">
        <v>15362.8</v>
      </c>
      <c r="AX7" s="7">
        <f>O7-SUM(AU7:AW7)</f>
        <v>15226.364000000001</v>
      </c>
      <c r="AY7" s="24">
        <v>14973.6</v>
      </c>
      <c r="AZ7" s="24">
        <v>14729.4</v>
      </c>
      <c r="BA7" s="24">
        <v>14627.085999999999</v>
      </c>
      <c r="BB7" s="7">
        <f>P7-SUM(AY7:BA7)</f>
        <v>14548.064000000006</v>
      </c>
      <c r="BC7" s="24">
        <v>14512.5</v>
      </c>
      <c r="BD7" s="24"/>
      <c r="BE7" s="136"/>
      <c r="BF7" s="7">
        <f>G7-AA7-AB7-AC7</f>
        <v>28268.231999999993</v>
      </c>
      <c r="BG7" s="24">
        <v>18022.3</v>
      </c>
      <c r="BH7" s="24">
        <v>18473.900000000001</v>
      </c>
      <c r="BI7" s="24">
        <v>18590.099999999999</v>
      </c>
      <c r="BJ7" s="7">
        <f>J7-BG7-BH7-BI7</f>
        <v>18829.099999999991</v>
      </c>
      <c r="BK7" s="24">
        <v>16753.3</v>
      </c>
      <c r="BL7" s="24">
        <v>16693.7</v>
      </c>
    </row>
    <row r="8" spans="1:64" s="5" customFormat="1" ht="14.25" customHeight="1">
      <c r="B8" s="1" t="s">
        <v>297</v>
      </c>
      <c r="C8" s="4">
        <v>0</v>
      </c>
      <c r="D8" s="4">
        <v>0</v>
      </c>
      <c r="E8" s="4">
        <v>2733.6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32">
        <f>SUM(AZ8:BC8)</f>
        <v>0</v>
      </c>
      <c r="R8" s="32"/>
      <c r="S8" s="4">
        <v>0</v>
      </c>
      <c r="T8" s="4">
        <v>0</v>
      </c>
      <c r="U8" s="4">
        <v>0</v>
      </c>
      <c r="V8" s="86">
        <f>D8-U8-T8-S8</f>
        <v>0</v>
      </c>
      <c r="W8" s="4">
        <v>0</v>
      </c>
      <c r="X8" s="4">
        <v>1723.5</v>
      </c>
      <c r="Y8" s="4">
        <v>1010.1</v>
      </c>
      <c r="Z8" s="86">
        <f>E8-Y8-X8-W8</f>
        <v>0</v>
      </c>
      <c r="AA8" s="4">
        <v>0</v>
      </c>
      <c r="AB8" s="4">
        <v>0</v>
      </c>
      <c r="AC8" s="4">
        <v>0</v>
      </c>
      <c r="AD8" s="32">
        <f>F8-AA8-AB8-AC8</f>
        <v>0</v>
      </c>
      <c r="AE8" s="4">
        <v>0</v>
      </c>
      <c r="AF8" s="4">
        <v>0</v>
      </c>
      <c r="AG8" s="4">
        <v>0</v>
      </c>
      <c r="AH8" s="32">
        <f>H8-AE8-AF8-AG8</f>
        <v>0</v>
      </c>
      <c r="AI8" s="4">
        <v>0</v>
      </c>
      <c r="AJ8" s="4">
        <v>0</v>
      </c>
      <c r="AK8" s="4">
        <v>0</v>
      </c>
      <c r="AL8" s="32">
        <f>I8-AI8-AJ8-AK8</f>
        <v>0</v>
      </c>
      <c r="AM8" s="4">
        <v>0</v>
      </c>
      <c r="AN8" s="4">
        <v>0</v>
      </c>
      <c r="AO8" s="4">
        <v>0</v>
      </c>
      <c r="AP8" s="32">
        <f>K8-AM8-AN8-AO8</f>
        <v>0</v>
      </c>
      <c r="AQ8" s="4">
        <v>0</v>
      </c>
      <c r="AR8" s="4">
        <v>0</v>
      </c>
      <c r="AS8" s="4">
        <v>0</v>
      </c>
      <c r="AT8" s="32">
        <f>M8-AQ8-AR8-AS8</f>
        <v>0</v>
      </c>
      <c r="AU8" s="4">
        <v>0</v>
      </c>
      <c r="AV8" s="4">
        <v>0</v>
      </c>
      <c r="AW8" s="4">
        <v>0</v>
      </c>
      <c r="AX8" s="32">
        <f>S8-AU8-AV8-AW8</f>
        <v>0</v>
      </c>
      <c r="AY8" s="4">
        <v>0</v>
      </c>
      <c r="AZ8" s="4">
        <v>0</v>
      </c>
      <c r="BA8" s="4">
        <v>0</v>
      </c>
      <c r="BB8" s="32">
        <f>P8-SUM(AY8:BA8)</f>
        <v>0</v>
      </c>
      <c r="BC8" s="4">
        <v>0</v>
      </c>
      <c r="BD8" s="4"/>
      <c r="BF8" s="32">
        <f>G8-AA8-AB8-AC8</f>
        <v>0</v>
      </c>
      <c r="BG8" s="4">
        <v>0</v>
      </c>
      <c r="BH8" s="4">
        <v>0</v>
      </c>
      <c r="BI8" s="4">
        <v>0</v>
      </c>
      <c r="BJ8" s="32">
        <f>J8-BG8-BH8-BI8</f>
        <v>0</v>
      </c>
      <c r="BK8" s="4">
        <v>0</v>
      </c>
      <c r="BL8" s="4">
        <v>0</v>
      </c>
    </row>
    <row r="9" spans="1:64" s="169" customFormat="1" ht="14.25" customHeight="1">
      <c r="B9" s="169" t="s">
        <v>298</v>
      </c>
      <c r="C9" s="85">
        <f>+C7+C8</f>
        <v>96287.400000000009</v>
      </c>
      <c r="D9" s="85">
        <f t="shared" ref="D9:AC9" si="0">+D7+D8</f>
        <v>93586.200000000012</v>
      </c>
      <c r="E9" s="85">
        <f t="shared" si="0"/>
        <v>101282.3</v>
      </c>
      <c r="F9" s="85">
        <f t="shared" ref="F9:K9" si="1">+F7+F8</f>
        <v>101492.181</v>
      </c>
      <c r="G9" s="85">
        <f t="shared" si="1"/>
        <v>101757.181</v>
      </c>
      <c r="H9" s="85">
        <f t="shared" si="1"/>
        <v>97361.634000000005</v>
      </c>
      <c r="I9" s="85">
        <f>+I7+I8</f>
        <v>103521.823</v>
      </c>
      <c r="J9" s="85">
        <f>+J7+J8</f>
        <v>73915.399999999994</v>
      </c>
      <c r="K9" s="85">
        <f t="shared" si="1"/>
        <v>75526.608999999997</v>
      </c>
      <c r="L9" s="85">
        <f t="shared" ref="L9:Q9" si="2">+L7+L8</f>
        <v>68615.767999999996</v>
      </c>
      <c r="M9" s="85">
        <f t="shared" si="2"/>
        <v>73767.899999999994</v>
      </c>
      <c r="N9" s="85">
        <f t="shared" si="2"/>
        <v>66222.835999999996</v>
      </c>
      <c r="O9" s="85">
        <f t="shared" si="2"/>
        <v>62260.864000000001</v>
      </c>
      <c r="P9" s="85">
        <f t="shared" si="2"/>
        <v>58878.15</v>
      </c>
      <c r="Q9" s="85">
        <f t="shared" si="2"/>
        <v>58417.05</v>
      </c>
      <c r="R9" s="85"/>
      <c r="S9" s="85">
        <f t="shared" si="0"/>
        <v>21954.299999999996</v>
      </c>
      <c r="T9" s="85">
        <f t="shared" si="0"/>
        <v>22976.799999999999</v>
      </c>
      <c r="U9" s="85">
        <f t="shared" si="0"/>
        <v>22663</v>
      </c>
      <c r="V9" s="85">
        <f t="shared" si="0"/>
        <v>25992.099999999995</v>
      </c>
      <c r="W9" s="85">
        <f t="shared" si="0"/>
        <v>22812</v>
      </c>
      <c r="X9" s="85">
        <f t="shared" si="0"/>
        <v>26701.8</v>
      </c>
      <c r="Y9" s="85">
        <f t="shared" si="0"/>
        <v>25033.199999999997</v>
      </c>
      <c r="Z9" s="85">
        <f t="shared" si="0"/>
        <v>26735.3</v>
      </c>
      <c r="AA9" s="85">
        <f t="shared" si="0"/>
        <v>23395.199999999997</v>
      </c>
      <c r="AB9" s="85">
        <f t="shared" si="0"/>
        <v>24307.600000000002</v>
      </c>
      <c r="AC9" s="85">
        <f t="shared" si="0"/>
        <v>25786.149000000001</v>
      </c>
      <c r="AD9" s="85">
        <f t="shared" ref="AD9:AI9" si="3">+AD7+AD8</f>
        <v>28003.231999999993</v>
      </c>
      <c r="AE9" s="85">
        <f t="shared" si="3"/>
        <v>23228.799999999999</v>
      </c>
      <c r="AF9" s="85">
        <f t="shared" si="3"/>
        <v>22407.200000000001</v>
      </c>
      <c r="AG9" s="85">
        <f t="shared" si="3"/>
        <v>23943</v>
      </c>
      <c r="AH9" s="85">
        <f t="shared" si="3"/>
        <v>27782.634000000005</v>
      </c>
      <c r="AI9" s="85">
        <f t="shared" si="3"/>
        <v>23828.9</v>
      </c>
      <c r="AJ9" s="85">
        <f t="shared" ref="AJ9:AO9" si="4">+AJ7+AJ8</f>
        <v>24753.200000000001</v>
      </c>
      <c r="AK9" s="85">
        <f t="shared" si="4"/>
        <v>26127.866999999998</v>
      </c>
      <c r="AL9" s="85">
        <f t="shared" si="4"/>
        <v>28811.856000000014</v>
      </c>
      <c r="AM9" s="85">
        <f t="shared" si="4"/>
        <v>18609.2</v>
      </c>
      <c r="AN9" s="85">
        <f t="shared" si="4"/>
        <v>18533.5</v>
      </c>
      <c r="AO9" s="85">
        <f t="shared" si="4"/>
        <v>19251.7</v>
      </c>
      <c r="AP9" s="85">
        <f t="shared" ref="AP9:AU9" si="5">+AP7+AP8</f>
        <v>19132.208999999999</v>
      </c>
      <c r="AQ9" s="85">
        <f t="shared" si="5"/>
        <v>18519.633000000002</v>
      </c>
      <c r="AR9" s="85">
        <f t="shared" si="5"/>
        <v>18520.2</v>
      </c>
      <c r="AS9" s="85">
        <f t="shared" si="5"/>
        <v>16416</v>
      </c>
      <c r="AT9" s="85">
        <f t="shared" si="5"/>
        <v>20312.066999999995</v>
      </c>
      <c r="AU9" s="85">
        <f t="shared" si="5"/>
        <v>15951.4</v>
      </c>
      <c r="AV9" s="85">
        <f t="shared" ref="AV9:BA9" si="6">+AV7+AV8</f>
        <v>15720.3</v>
      </c>
      <c r="AW9" s="85">
        <f t="shared" si="6"/>
        <v>15362.8</v>
      </c>
      <c r="AX9" s="85">
        <f t="shared" si="6"/>
        <v>15226.364000000001</v>
      </c>
      <c r="AY9" s="85">
        <f t="shared" si="6"/>
        <v>14973.6</v>
      </c>
      <c r="AZ9" s="85">
        <f t="shared" si="6"/>
        <v>14729.4</v>
      </c>
      <c r="BA9" s="85">
        <f t="shared" si="6"/>
        <v>14627.085999999999</v>
      </c>
      <c r="BB9" s="85">
        <f>+BB7+BB8</f>
        <v>14548.064000000006</v>
      </c>
      <c r="BC9" s="85">
        <f>+BC7+BC8</f>
        <v>14512.5</v>
      </c>
      <c r="BD9" s="85"/>
      <c r="BF9" s="85">
        <f t="shared" ref="BF9:BL9" si="7">+BF7+BF8</f>
        <v>28268.231999999993</v>
      </c>
      <c r="BG9" s="85">
        <f t="shared" si="7"/>
        <v>18022.3</v>
      </c>
      <c r="BH9" s="85">
        <f t="shared" si="7"/>
        <v>18473.900000000001</v>
      </c>
      <c r="BI9" s="85">
        <f t="shared" si="7"/>
        <v>18590.099999999999</v>
      </c>
      <c r="BJ9" s="85">
        <f t="shared" si="7"/>
        <v>18829.099999999991</v>
      </c>
      <c r="BK9" s="85">
        <f t="shared" si="7"/>
        <v>16753.3</v>
      </c>
      <c r="BL9" s="85">
        <f t="shared" si="7"/>
        <v>16693.7</v>
      </c>
    </row>
    <row r="10" spans="1:64" s="37" customFormat="1" ht="14.25" customHeight="1">
      <c r="B10" s="17" t="s">
        <v>299</v>
      </c>
      <c r="C10" s="223"/>
      <c r="D10" s="26">
        <f>D7/C7-1</f>
        <v>-2.80535147900971E-2</v>
      </c>
      <c r="E10" s="26">
        <f>E7/D7-1</f>
        <v>5.3025980326159017E-2</v>
      </c>
      <c r="F10" s="26">
        <f>F7/E7-1</f>
        <v>2.9868288470573434E-2</v>
      </c>
      <c r="G10" s="26">
        <f>G7/E7-1</f>
        <v>3.2557314302471774E-2</v>
      </c>
      <c r="H10" s="26">
        <f>H7/G7-1</f>
        <v>-4.3196430530047736E-2</v>
      </c>
      <c r="I10" s="223">
        <f>I7/H7-1</f>
        <v>6.3271216257525076E-2</v>
      </c>
      <c r="J10" s="26">
        <f>J7/H7-1</f>
        <v>-0.24081594604297629</v>
      </c>
      <c r="K10" s="26">
        <f>K7/J7-1</f>
        <v>2.1798015027991502E-2</v>
      </c>
      <c r="L10" s="26">
        <f>L7/J7-1</f>
        <v>-7.1698617608779713E-2</v>
      </c>
      <c r="M10" s="26">
        <f>M7/K7-1</f>
        <v>-2.3285952107289787E-2</v>
      </c>
      <c r="N10" s="26">
        <f>N7/L7-1</f>
        <v>-3.4874374648112938E-2</v>
      </c>
      <c r="O10" s="26">
        <f>O7/N7-1</f>
        <v>-5.9827881729498822E-2</v>
      </c>
      <c r="P10" s="26">
        <f>P7/O7-1</f>
        <v>-5.4331305135759123E-2</v>
      </c>
      <c r="Q10" s="26"/>
      <c r="R10" s="47"/>
      <c r="S10" s="26"/>
      <c r="T10" s="26"/>
      <c r="U10" s="26"/>
      <c r="V10" s="88"/>
      <c r="W10" s="26">
        <f t="shared" ref="W10:AK10" si="8">W7/S7-1</f>
        <v>3.9067517525040785E-2</v>
      </c>
      <c r="X10" s="26">
        <f t="shared" si="8"/>
        <v>8.7109606211482893E-2</v>
      </c>
      <c r="Y10" s="26">
        <f t="shared" si="8"/>
        <v>6.0014119931165233E-2</v>
      </c>
      <c r="Z10" s="26">
        <f t="shared" si="8"/>
        <v>2.8593303349864208E-2</v>
      </c>
      <c r="AA10" s="26">
        <f t="shared" si="8"/>
        <v>2.556549184639656E-2</v>
      </c>
      <c r="AB10" s="26">
        <f t="shared" si="8"/>
        <v>-2.685130693441895E-2</v>
      </c>
      <c r="AC10" s="26">
        <f t="shared" si="8"/>
        <v>7.33897373777741E-2</v>
      </c>
      <c r="AD10" s="26">
        <f t="shared" si="8"/>
        <v>4.7425388905304677E-2</v>
      </c>
      <c r="AE10" s="26">
        <f t="shared" si="8"/>
        <v>-7.1125700998494468E-3</v>
      </c>
      <c r="AF10" s="26">
        <f t="shared" si="8"/>
        <v>-7.8181309549276823E-2</v>
      </c>
      <c r="AG10" s="26">
        <f t="shared" si="8"/>
        <v>-7.1478257571535808E-2</v>
      </c>
      <c r="AH10" s="26">
        <f>AH7/BF7-1</f>
        <v>-1.7178223243674684E-2</v>
      </c>
      <c r="AI10" s="26">
        <f t="shared" si="8"/>
        <v>2.5834309133489608E-2</v>
      </c>
      <c r="AJ10" s="26">
        <f t="shared" si="8"/>
        <v>0.10469848977114493</v>
      </c>
      <c r="AK10" s="26">
        <f t="shared" si="8"/>
        <v>9.1252850519984996E-2</v>
      </c>
      <c r="AL10" s="26">
        <f>AL7/AH7-1</f>
        <v>3.7045515554788855E-2</v>
      </c>
      <c r="AM10" s="26">
        <f>AM7/BG7-1</f>
        <v>3.2565210877635087E-2</v>
      </c>
      <c r="AN10" s="26">
        <f t="shared" ref="AN10:BC10" si="9">AN7/AJ7-1</f>
        <v>-0.25126852285765078</v>
      </c>
      <c r="AO10" s="26">
        <f t="shared" si="9"/>
        <v>-0.26317368348514625</v>
      </c>
      <c r="AP10" s="26">
        <f t="shared" si="9"/>
        <v>-0.33596055040674955</v>
      </c>
      <c r="AQ10" s="26">
        <f t="shared" si="9"/>
        <v>-4.8130494594070816E-3</v>
      </c>
      <c r="AR10" s="26">
        <f t="shared" si="9"/>
        <v>-7.176194458682339E-4</v>
      </c>
      <c r="AS10" s="26">
        <f t="shared" si="9"/>
        <v>-0.14729608294332452</v>
      </c>
      <c r="AT10" s="26">
        <f t="shared" si="9"/>
        <v>6.1668676105304687E-2</v>
      </c>
      <c r="AU10" s="26">
        <f>AU7/BK7-1</f>
        <v>-4.7865196707514324E-2</v>
      </c>
      <c r="AV10" s="26">
        <f t="shared" si="9"/>
        <v>-0.15118087277675196</v>
      </c>
      <c r="AW10" s="26">
        <f t="shared" si="9"/>
        <v>-6.4156920077972801E-2</v>
      </c>
      <c r="AX10" s="26">
        <f t="shared" si="9"/>
        <v>-0.25037840806649536</v>
      </c>
      <c r="AY10" s="26">
        <f t="shared" si="9"/>
        <v>-6.1298694785410612E-2</v>
      </c>
      <c r="AZ10" s="26">
        <f t="shared" si="9"/>
        <v>-6.3033148222362168E-2</v>
      </c>
      <c r="BA10" s="26">
        <f t="shared" si="9"/>
        <v>-4.7889317051579172E-2</v>
      </c>
      <c r="BB10" s="26">
        <f t="shared" si="9"/>
        <v>-4.454773312919591E-2</v>
      </c>
      <c r="BC10" s="26">
        <f t="shared" si="9"/>
        <v>-3.0794197788107103E-2</v>
      </c>
      <c r="BD10" s="47"/>
      <c r="BF10" s="26"/>
      <c r="BG10" s="26"/>
      <c r="BH10" s="26"/>
      <c r="BI10" s="26"/>
      <c r="BJ10" s="26"/>
      <c r="BK10" s="26"/>
      <c r="BL10" s="26">
        <f>BL7/BH7-1</f>
        <v>-9.6362976956679502E-2</v>
      </c>
    </row>
    <row r="11" spans="1:64" s="37" customFormat="1" ht="14.25" customHeight="1">
      <c r="B11" s="17" t="s">
        <v>300</v>
      </c>
      <c r="C11" s="223"/>
      <c r="D11" s="26">
        <f>D9/C9-1</f>
        <v>-2.80535147900971E-2</v>
      </c>
      <c r="E11" s="26">
        <f>E9/D9-1</f>
        <v>8.2235415050509575E-2</v>
      </c>
      <c r="F11" s="26">
        <f>F9/E9-1</f>
        <v>2.0722376960238265E-3</v>
      </c>
      <c r="G11" s="26">
        <f>G9/E9-1</f>
        <v>4.6886869670217379E-3</v>
      </c>
      <c r="H11" s="26">
        <f>H9/G9-1</f>
        <v>-4.3196430530047736E-2</v>
      </c>
      <c r="I11" s="223">
        <f>I9/H9-1</f>
        <v>6.3271216257525076E-2</v>
      </c>
      <c r="J11" s="223">
        <f>J9/H9-1</f>
        <v>-0.24081594604297629</v>
      </c>
      <c r="K11" s="26">
        <f>K9/J9-1</f>
        <v>2.1798015027991502E-2</v>
      </c>
      <c r="L11" s="26">
        <f>L9/J9-1</f>
        <v>-7.1698617608779713E-2</v>
      </c>
      <c r="M11" s="26">
        <f>M9/K9-1</f>
        <v>-2.3285952107289787E-2</v>
      </c>
      <c r="N11" s="26">
        <f>N9/L9-1</f>
        <v>-3.4874374648112938E-2</v>
      </c>
      <c r="O11" s="26">
        <f>O9/N9-1</f>
        <v>-5.9827881729498822E-2</v>
      </c>
      <c r="P11" s="26">
        <f>P9/O9-1</f>
        <v>-5.4331305135759123E-2</v>
      </c>
      <c r="Q11" s="26"/>
      <c r="R11" s="47"/>
      <c r="S11" s="26"/>
      <c r="T11" s="26"/>
      <c r="U11" s="26"/>
      <c r="V11" s="88"/>
      <c r="W11" s="26">
        <f t="shared" ref="W11:AK11" si="10">W9/S9-1</f>
        <v>3.9067517525040785E-2</v>
      </c>
      <c r="X11" s="26">
        <f t="shared" si="10"/>
        <v>0.16212005153023923</v>
      </c>
      <c r="Y11" s="26">
        <f t="shared" si="10"/>
        <v>0.10458456515024483</v>
      </c>
      <c r="Z11" s="88">
        <f t="shared" si="10"/>
        <v>2.8593303349864208E-2</v>
      </c>
      <c r="AA11" s="26">
        <f t="shared" si="10"/>
        <v>2.556549184639656E-2</v>
      </c>
      <c r="AB11" s="26">
        <f t="shared" si="10"/>
        <v>-8.9664367196218842E-2</v>
      </c>
      <c r="AC11" s="26">
        <f t="shared" si="10"/>
        <v>3.007801639422869E-2</v>
      </c>
      <c r="AD11" s="26">
        <f t="shared" si="10"/>
        <v>4.7425388905304677E-2</v>
      </c>
      <c r="AE11" s="26">
        <f t="shared" si="10"/>
        <v>-7.1125700998494468E-3</v>
      </c>
      <c r="AF11" s="26">
        <f t="shared" si="10"/>
        <v>-7.8181309549276823E-2</v>
      </c>
      <c r="AG11" s="26">
        <f t="shared" si="10"/>
        <v>-7.1478257571535808E-2</v>
      </c>
      <c r="AH11" s="26">
        <f>AH9/BF9-1</f>
        <v>-1.7178223243674684E-2</v>
      </c>
      <c r="AI11" s="26">
        <f t="shared" si="10"/>
        <v>2.5834309133489608E-2</v>
      </c>
      <c r="AJ11" s="26">
        <f t="shared" si="10"/>
        <v>0.10469848977114493</v>
      </c>
      <c r="AK11" s="26">
        <f t="shared" si="10"/>
        <v>9.1252850519984996E-2</v>
      </c>
      <c r="AL11" s="26">
        <f>AL9/AH9-1</f>
        <v>3.7045515554788855E-2</v>
      </c>
      <c r="AM11" s="26">
        <f>AM9/BG9-1</f>
        <v>3.2565210877635087E-2</v>
      </c>
      <c r="AN11" s="26">
        <f t="shared" ref="AN11:BC11" si="11">AN9/AJ9-1</f>
        <v>-0.25126852285765078</v>
      </c>
      <c r="AO11" s="26">
        <f t="shared" si="11"/>
        <v>-0.26317368348514625</v>
      </c>
      <c r="AP11" s="26">
        <f t="shared" si="11"/>
        <v>-0.33596055040674955</v>
      </c>
      <c r="AQ11" s="26">
        <f t="shared" si="11"/>
        <v>-4.8130494594070816E-3</v>
      </c>
      <c r="AR11" s="26">
        <f t="shared" si="11"/>
        <v>-7.176194458682339E-4</v>
      </c>
      <c r="AS11" s="26">
        <f t="shared" si="11"/>
        <v>-0.14729608294332452</v>
      </c>
      <c r="AT11" s="26">
        <f t="shared" si="11"/>
        <v>6.1668676105304687E-2</v>
      </c>
      <c r="AU11" s="26">
        <f>AU9/BK9-1</f>
        <v>-4.7865196707514324E-2</v>
      </c>
      <c r="AV11" s="26">
        <f t="shared" si="11"/>
        <v>-0.15118087277675196</v>
      </c>
      <c r="AW11" s="26">
        <f t="shared" si="11"/>
        <v>-6.4156920077972801E-2</v>
      </c>
      <c r="AX11" s="26">
        <f t="shared" si="11"/>
        <v>-0.25037840806649536</v>
      </c>
      <c r="AY11" s="26">
        <f t="shared" si="11"/>
        <v>-6.1298694785410612E-2</v>
      </c>
      <c r="AZ11" s="26">
        <f t="shared" si="11"/>
        <v>-6.3033148222362168E-2</v>
      </c>
      <c r="BA11" s="26">
        <f t="shared" si="11"/>
        <v>-4.7889317051579172E-2</v>
      </c>
      <c r="BB11" s="26">
        <f t="shared" si="11"/>
        <v>-4.454773312919591E-2</v>
      </c>
      <c r="BC11" s="26">
        <f t="shared" si="11"/>
        <v>-3.0794197788107103E-2</v>
      </c>
      <c r="BD11" s="47"/>
      <c r="BF11" s="26"/>
      <c r="BG11" s="26"/>
      <c r="BH11" s="26"/>
      <c r="BI11" s="26"/>
      <c r="BJ11" s="26"/>
      <c r="BK11" s="26"/>
      <c r="BL11" s="26">
        <f>BL9/BH9-1</f>
        <v>-9.6362976956679502E-2</v>
      </c>
    </row>
    <row r="12" spans="1:64" ht="14.25" customHeight="1">
      <c r="B12" s="1" t="s">
        <v>301</v>
      </c>
      <c r="C12" s="4">
        <v>-52377.79</v>
      </c>
      <c r="D12" s="4">
        <v>-52983.38</v>
      </c>
      <c r="E12" s="4">
        <v>-57839.267999999996</v>
      </c>
      <c r="F12" s="4">
        <v>-58725.362000000001</v>
      </c>
      <c r="G12" s="4">
        <v>-59067.362000000001</v>
      </c>
      <c r="H12" s="4">
        <v>-56989.654999999999</v>
      </c>
      <c r="I12" s="4">
        <v>-59561.521000000001</v>
      </c>
      <c r="J12" s="4">
        <v>-46653.599999999999</v>
      </c>
      <c r="K12" s="4">
        <v>-48807.606</v>
      </c>
      <c r="L12" s="4">
        <v>-43357.747000000003</v>
      </c>
      <c r="M12" s="4">
        <v>-48893.599999999999</v>
      </c>
      <c r="N12" s="4">
        <v>-43297.440000000002</v>
      </c>
      <c r="O12" s="4">
        <v>-41117.033000000003</v>
      </c>
      <c r="P12" s="4">
        <v>-36394.735000000001</v>
      </c>
      <c r="Q12" s="32">
        <f>SUM(AZ12:BC12)</f>
        <v>-36021.235000000001</v>
      </c>
      <c r="R12" s="32"/>
      <c r="S12" s="4">
        <v>-12655.512000000001</v>
      </c>
      <c r="T12" s="4">
        <v>-12820.790999999999</v>
      </c>
      <c r="U12" s="4">
        <v>-12592.025</v>
      </c>
      <c r="V12" s="86">
        <f>D12-U12-T12-S12</f>
        <v>-14915.051999999998</v>
      </c>
      <c r="W12" s="4">
        <v>-13060.608</v>
      </c>
      <c r="X12" s="4">
        <v>-15079.753000000001</v>
      </c>
      <c r="Y12" s="4">
        <v>-14208.501</v>
      </c>
      <c r="Z12" s="86">
        <f>E12-Y12-X12-W12</f>
        <v>-15490.405999999992</v>
      </c>
      <c r="AA12" s="4">
        <v>-13264.014999999999</v>
      </c>
      <c r="AB12" s="4">
        <v>-13815.4</v>
      </c>
      <c r="AC12" s="4">
        <v>-14946.51</v>
      </c>
      <c r="AD12" s="32">
        <f>F12-AA12-AB12-AC12</f>
        <v>-16699.436999999998</v>
      </c>
      <c r="AE12" s="4">
        <v>-13738</v>
      </c>
      <c r="AF12" s="4">
        <v>-13941.8</v>
      </c>
      <c r="AG12" s="4">
        <v>-13871</v>
      </c>
      <c r="AH12" s="32">
        <f>H12-AE12-AF12-AG12</f>
        <v>-15438.855</v>
      </c>
      <c r="AI12" s="4">
        <v>-13884.6</v>
      </c>
      <c r="AJ12" s="4">
        <v>-14545.3</v>
      </c>
      <c r="AK12" s="4">
        <v>-15358.168</v>
      </c>
      <c r="AL12" s="32">
        <f>I12-AI12-AJ12-AK12</f>
        <v>-15773.453000000003</v>
      </c>
      <c r="AM12" s="4">
        <v>-11826.9</v>
      </c>
      <c r="AN12" s="4">
        <v>-11848.2</v>
      </c>
      <c r="AO12" s="4">
        <v>-12229.1</v>
      </c>
      <c r="AP12" s="32">
        <f>K12-AM12-AN12-AO12</f>
        <v>-12903.405999999997</v>
      </c>
      <c r="AQ12" s="4">
        <v>-12081.971</v>
      </c>
      <c r="AR12" s="4">
        <v>-12123.8</v>
      </c>
      <c r="AS12" s="4">
        <v>-11071.6</v>
      </c>
      <c r="AT12" s="32">
        <f>M12-AQ12-AR12-AS12</f>
        <v>-13616.229000000001</v>
      </c>
      <c r="AU12" s="4">
        <v>-10411.9</v>
      </c>
      <c r="AV12" s="4">
        <v>-10506.6</v>
      </c>
      <c r="AW12" s="4">
        <v>-9944.2999999999993</v>
      </c>
      <c r="AX12" s="32">
        <f>O12-SUM(AU12:AW12)</f>
        <v>-10254.233000000004</v>
      </c>
      <c r="AY12" s="4">
        <v>-9215.4</v>
      </c>
      <c r="AZ12" s="4">
        <v>-9019.7000000000007</v>
      </c>
      <c r="BA12" s="4">
        <v>-9258.7350000000006</v>
      </c>
      <c r="BB12" s="32">
        <f>P12-SUM(AY12:BA12)</f>
        <v>-8900.9000000000015</v>
      </c>
      <c r="BC12" s="4">
        <v>-8841.9</v>
      </c>
      <c r="BD12" s="4"/>
      <c r="BF12" s="32">
        <f>G12-AA12-AB12-AC12</f>
        <v>-17041.436999999998</v>
      </c>
      <c r="BG12" s="4">
        <v>-11383.2</v>
      </c>
      <c r="BH12" s="4">
        <v>-11899.8</v>
      </c>
      <c r="BI12" s="4">
        <v>-11505.9</v>
      </c>
      <c r="BJ12" s="32">
        <f>J12-BG12-BH12-BI12</f>
        <v>-11864.699999999995</v>
      </c>
      <c r="BK12" s="4">
        <v>-10714.7</v>
      </c>
      <c r="BL12" s="4">
        <v>-10797.7</v>
      </c>
    </row>
    <row r="13" spans="1:64" s="5" customFormat="1" ht="14.25" customHeight="1">
      <c r="B13" s="5" t="s">
        <v>302</v>
      </c>
      <c r="C13" s="7">
        <f t="shared" ref="C13:H13" si="12">C9+C12</f>
        <v>43909.610000000008</v>
      </c>
      <c r="D13" s="7">
        <f t="shared" si="12"/>
        <v>40602.820000000014</v>
      </c>
      <c r="E13" s="7">
        <f t="shared" si="12"/>
        <v>43443.032000000007</v>
      </c>
      <c r="F13" s="7">
        <f t="shared" si="12"/>
        <v>42766.818999999996</v>
      </c>
      <c r="G13" s="7">
        <f t="shared" si="12"/>
        <v>42689.818999999996</v>
      </c>
      <c r="H13" s="7">
        <f t="shared" si="12"/>
        <v>40371.979000000007</v>
      </c>
      <c r="I13" s="7">
        <f t="shared" ref="I13:Q13" si="13">I9+I12</f>
        <v>43960.302000000003</v>
      </c>
      <c r="J13" s="7">
        <f t="shared" si="13"/>
        <v>27261.799999999996</v>
      </c>
      <c r="K13" s="7">
        <f t="shared" si="13"/>
        <v>26719.002999999997</v>
      </c>
      <c r="L13" s="7">
        <f t="shared" si="13"/>
        <v>25258.020999999993</v>
      </c>
      <c r="M13" s="7">
        <f t="shared" si="13"/>
        <v>24874.299999999996</v>
      </c>
      <c r="N13" s="7">
        <f t="shared" si="13"/>
        <v>22925.395999999993</v>
      </c>
      <c r="O13" s="7">
        <f t="shared" si="13"/>
        <v>21143.830999999998</v>
      </c>
      <c r="P13" s="7">
        <f>P9+P12</f>
        <v>22483.415000000001</v>
      </c>
      <c r="Q13" s="85">
        <f t="shared" si="13"/>
        <v>22395.815000000002</v>
      </c>
      <c r="R13" s="85"/>
      <c r="S13" s="7">
        <f t="shared" ref="S13:Z13" si="14">S9+S12</f>
        <v>9298.787999999995</v>
      </c>
      <c r="T13" s="7">
        <f t="shared" si="14"/>
        <v>10156.009</v>
      </c>
      <c r="U13" s="7">
        <f t="shared" si="14"/>
        <v>10070.975</v>
      </c>
      <c r="V13" s="85">
        <f t="shared" si="14"/>
        <v>11077.047999999997</v>
      </c>
      <c r="W13" s="7">
        <f t="shared" si="14"/>
        <v>9751.3919999999998</v>
      </c>
      <c r="X13" s="7">
        <f t="shared" si="14"/>
        <v>11622.046999999999</v>
      </c>
      <c r="Y13" s="7">
        <f t="shared" si="14"/>
        <v>10824.698999999997</v>
      </c>
      <c r="Z13" s="85">
        <f t="shared" si="14"/>
        <v>11244.894000000008</v>
      </c>
      <c r="AA13" s="7">
        <f t="shared" ref="AA13:AG13" si="15">AA9+AA12</f>
        <v>10131.184999999998</v>
      </c>
      <c r="AB13" s="7">
        <f t="shared" si="15"/>
        <v>10492.200000000003</v>
      </c>
      <c r="AC13" s="7">
        <f t="shared" si="15"/>
        <v>10839.639000000001</v>
      </c>
      <c r="AD13" s="7">
        <f t="shared" si="15"/>
        <v>11303.794999999995</v>
      </c>
      <c r="AE13" s="7">
        <f t="shared" si="15"/>
        <v>9490.7999999999993</v>
      </c>
      <c r="AF13" s="7">
        <f t="shared" si="15"/>
        <v>8465.4000000000015</v>
      </c>
      <c r="AG13" s="7">
        <f t="shared" si="15"/>
        <v>10072</v>
      </c>
      <c r="AH13" s="7">
        <f t="shared" ref="AH13:AM13" si="16">AH9+AH12</f>
        <v>12343.779000000006</v>
      </c>
      <c r="AI13" s="7">
        <f t="shared" si="16"/>
        <v>9944.3000000000011</v>
      </c>
      <c r="AJ13" s="7">
        <f t="shared" si="16"/>
        <v>10207.900000000001</v>
      </c>
      <c r="AK13" s="7">
        <f t="shared" si="16"/>
        <v>10769.698999999999</v>
      </c>
      <c r="AL13" s="7">
        <f t="shared" si="16"/>
        <v>13038.403000000011</v>
      </c>
      <c r="AM13" s="7">
        <f t="shared" si="16"/>
        <v>6782.3000000000011</v>
      </c>
      <c r="AN13" s="7">
        <f t="shared" ref="AN13:AT13" si="17">AN9+AN12</f>
        <v>6685.2999999999993</v>
      </c>
      <c r="AO13" s="7">
        <f t="shared" si="17"/>
        <v>7022.6</v>
      </c>
      <c r="AP13" s="7">
        <f t="shared" si="17"/>
        <v>6228.8030000000017</v>
      </c>
      <c r="AQ13" s="7">
        <f t="shared" si="17"/>
        <v>6437.6620000000021</v>
      </c>
      <c r="AR13" s="7">
        <f t="shared" si="17"/>
        <v>6396.4000000000015</v>
      </c>
      <c r="AS13" s="7">
        <f t="shared" si="17"/>
        <v>5344.4</v>
      </c>
      <c r="AT13" s="7">
        <f t="shared" si="17"/>
        <v>6695.8379999999943</v>
      </c>
      <c r="AU13" s="7">
        <f t="shared" ref="AU13:AZ13" si="18">AU9+AU12</f>
        <v>5539.5</v>
      </c>
      <c r="AV13" s="7">
        <f t="shared" si="18"/>
        <v>5213.6999999999989</v>
      </c>
      <c r="AW13" s="7">
        <f t="shared" si="18"/>
        <v>5418.5</v>
      </c>
      <c r="AX13" s="7">
        <f t="shared" si="18"/>
        <v>4972.1309999999976</v>
      </c>
      <c r="AY13" s="7">
        <f t="shared" si="18"/>
        <v>5758.2000000000007</v>
      </c>
      <c r="AZ13" s="7">
        <f t="shared" si="18"/>
        <v>5709.6999999999989</v>
      </c>
      <c r="BA13" s="7">
        <f>BA9+BA12</f>
        <v>5368.3509999999987</v>
      </c>
      <c r="BB13" s="7">
        <f>BB9+BB12</f>
        <v>5647.1640000000043</v>
      </c>
      <c r="BC13" s="7">
        <f>BC9+BC12</f>
        <v>5670.6</v>
      </c>
      <c r="BD13" s="7"/>
      <c r="BF13" s="7">
        <f t="shared" ref="BF13:BL13" si="19">BF9+BF12</f>
        <v>11226.794999999995</v>
      </c>
      <c r="BG13" s="7">
        <f t="shared" si="19"/>
        <v>6639.0999999999985</v>
      </c>
      <c r="BH13" s="7">
        <f t="shared" si="19"/>
        <v>6574.1000000000022</v>
      </c>
      <c r="BI13" s="7">
        <f t="shared" si="19"/>
        <v>7084.1999999999989</v>
      </c>
      <c r="BJ13" s="7">
        <f t="shared" si="19"/>
        <v>6964.399999999996</v>
      </c>
      <c r="BK13" s="7">
        <f t="shared" si="19"/>
        <v>6038.5999999999985</v>
      </c>
      <c r="BL13" s="7">
        <f t="shared" si="19"/>
        <v>5896</v>
      </c>
    </row>
    <row r="14" spans="1:64" s="37" customFormat="1" ht="14.25" customHeight="1">
      <c r="B14" s="17" t="s">
        <v>303</v>
      </c>
      <c r="C14" s="224">
        <f t="shared" ref="C14:H14" si="20">C13/C9</f>
        <v>0.45602654137509169</v>
      </c>
      <c r="D14" s="18">
        <f t="shared" si="20"/>
        <v>0.43385477773432418</v>
      </c>
      <c r="E14" s="18">
        <f t="shared" si="20"/>
        <v>0.42893014870317919</v>
      </c>
      <c r="F14" s="18">
        <f t="shared" si="20"/>
        <v>0.42138043126691699</v>
      </c>
      <c r="G14" s="18">
        <f t="shared" si="20"/>
        <v>0.41952635264139243</v>
      </c>
      <c r="H14" s="18">
        <f t="shared" si="20"/>
        <v>0.41466003949769376</v>
      </c>
      <c r="I14" s="224">
        <f t="shared" ref="I14:Q14" si="21">I13/I9</f>
        <v>0.42464768032533584</v>
      </c>
      <c r="J14" s="18">
        <f t="shared" si="21"/>
        <v>0.36882435865868274</v>
      </c>
      <c r="K14" s="18">
        <f t="shared" si="21"/>
        <v>0.35376939801441365</v>
      </c>
      <c r="L14" s="18">
        <f t="shared" si="21"/>
        <v>0.36810811474120636</v>
      </c>
      <c r="M14" s="18">
        <f t="shared" si="21"/>
        <v>0.33719680240321331</v>
      </c>
      <c r="N14" s="18">
        <f t="shared" si="21"/>
        <v>0.34618565716515065</v>
      </c>
      <c r="O14" s="18">
        <f t="shared" si="21"/>
        <v>0.33960066792519933</v>
      </c>
      <c r="P14" s="18">
        <f>P13/P9</f>
        <v>0.38186347566966694</v>
      </c>
      <c r="Q14" s="93">
        <f t="shared" si="21"/>
        <v>0.38337805486583115</v>
      </c>
      <c r="R14" s="208"/>
      <c r="S14" s="18">
        <f t="shared" ref="S14:Z14" si="22">S13/S9</f>
        <v>0.42355201486724681</v>
      </c>
      <c r="T14" s="18">
        <f t="shared" si="22"/>
        <v>0.44201146373733508</v>
      </c>
      <c r="U14" s="18">
        <f t="shared" si="22"/>
        <v>0.44437960552442307</v>
      </c>
      <c r="V14" s="88">
        <f t="shared" si="22"/>
        <v>0.42616979774623825</v>
      </c>
      <c r="W14" s="18">
        <f t="shared" si="22"/>
        <v>0.42746764860599684</v>
      </c>
      <c r="X14" s="18">
        <f t="shared" si="22"/>
        <v>0.43525331625583291</v>
      </c>
      <c r="Y14" s="18">
        <f t="shared" si="22"/>
        <v>0.43241371458702837</v>
      </c>
      <c r="Z14" s="88">
        <f t="shared" si="22"/>
        <v>0.4206010031680964</v>
      </c>
      <c r="AA14" s="18">
        <f t="shared" ref="AA14:AG14" si="23">AA13/AA9</f>
        <v>0.43304545376829429</v>
      </c>
      <c r="AB14" s="18">
        <f t="shared" si="23"/>
        <v>0.43164277839029774</v>
      </c>
      <c r="AC14" s="18">
        <f t="shared" si="23"/>
        <v>0.42036672478701648</v>
      </c>
      <c r="AD14" s="18">
        <f t="shared" si="23"/>
        <v>0.40366037034582286</v>
      </c>
      <c r="AE14" s="18">
        <f t="shared" si="23"/>
        <v>0.40857900537264086</v>
      </c>
      <c r="AF14" s="18">
        <f t="shared" si="23"/>
        <v>0.37779820771894751</v>
      </c>
      <c r="AG14" s="18">
        <f t="shared" si="23"/>
        <v>0.4206657478177338</v>
      </c>
      <c r="AH14" s="18">
        <f t="shared" ref="AH14:AM14" si="24">AH13/AH9</f>
        <v>0.44429836998176642</v>
      </c>
      <c r="AI14" s="18">
        <f t="shared" si="24"/>
        <v>0.41732098418307184</v>
      </c>
      <c r="AJ14" s="18">
        <f t="shared" si="24"/>
        <v>0.41238708530614226</v>
      </c>
      <c r="AK14" s="18">
        <f t="shared" si="24"/>
        <v>0.41219204767078765</v>
      </c>
      <c r="AL14" s="18">
        <f t="shared" si="24"/>
        <v>0.45253603238888895</v>
      </c>
      <c r="AM14" s="18">
        <f t="shared" si="24"/>
        <v>0.36445951464866844</v>
      </c>
      <c r="AN14" s="18">
        <f t="shared" ref="AN14:AT14" si="25">AN13/AN9</f>
        <v>0.36071438206490947</v>
      </c>
      <c r="AO14" s="18">
        <f t="shared" si="25"/>
        <v>0.36477817543385782</v>
      </c>
      <c r="AP14" s="18">
        <f t="shared" si="25"/>
        <v>0.32556632639754257</v>
      </c>
      <c r="AQ14" s="18">
        <f t="shared" si="25"/>
        <v>0.34761282796478749</v>
      </c>
      <c r="AR14" s="18">
        <f t="shared" si="25"/>
        <v>0.34537424001900635</v>
      </c>
      <c r="AS14" s="18">
        <f t="shared" si="25"/>
        <v>0.32556042884990249</v>
      </c>
      <c r="AT14" s="18">
        <f t="shared" si="25"/>
        <v>0.32964828247169509</v>
      </c>
      <c r="AU14" s="18">
        <f t="shared" ref="AU14:AZ14" si="26">AU13/AU9</f>
        <v>0.3472735935403789</v>
      </c>
      <c r="AV14" s="18">
        <f t="shared" si="26"/>
        <v>0.33165397606915892</v>
      </c>
      <c r="AW14" s="18">
        <f t="shared" si="26"/>
        <v>0.3527026323326477</v>
      </c>
      <c r="AX14" s="18">
        <f t="shared" si="26"/>
        <v>0.32654749354474888</v>
      </c>
      <c r="AY14" s="18">
        <f t="shared" si="26"/>
        <v>0.38455682000320568</v>
      </c>
      <c r="AZ14" s="18">
        <f t="shared" si="26"/>
        <v>0.38763968661316817</v>
      </c>
      <c r="BA14" s="18">
        <f>BA13/BA9</f>
        <v>0.36701438687104176</v>
      </c>
      <c r="BB14" s="18">
        <f>BB13/BB9</f>
        <v>0.38817288678411105</v>
      </c>
      <c r="BC14" s="18">
        <f>BC13/BC9</f>
        <v>0.39073901808785533</v>
      </c>
      <c r="BD14" s="210"/>
      <c r="BF14" s="18">
        <f t="shared" ref="BF14:BL14" si="27">BF13/BF9</f>
        <v>0.39715235816658068</v>
      </c>
      <c r="BG14" s="18">
        <f t="shared" si="27"/>
        <v>0.36838250389794858</v>
      </c>
      <c r="BH14" s="18">
        <f t="shared" si="27"/>
        <v>0.35585880620767685</v>
      </c>
      <c r="BI14" s="18">
        <f t="shared" si="27"/>
        <v>0.38107379734374747</v>
      </c>
      <c r="BJ14" s="18">
        <f t="shared" si="27"/>
        <v>0.36987429032720626</v>
      </c>
      <c r="BK14" s="18">
        <f t="shared" si="27"/>
        <v>0.36044242029928425</v>
      </c>
      <c r="BL14" s="18">
        <f t="shared" si="27"/>
        <v>0.35318713047437056</v>
      </c>
    </row>
    <row r="15" spans="1:64" ht="14.25" customHeight="1">
      <c r="B15" s="1" t="s">
        <v>304</v>
      </c>
      <c r="C15" s="4">
        <v>-10900.695</v>
      </c>
      <c r="D15" s="4">
        <v>-10446.596</v>
      </c>
      <c r="E15" s="4">
        <v>-11023.466</v>
      </c>
      <c r="F15" s="4">
        <v>-11193.011</v>
      </c>
      <c r="G15" s="4">
        <v>-11099.011</v>
      </c>
      <c r="H15" s="4">
        <v>-10366.582</v>
      </c>
      <c r="I15" s="4">
        <v>-10460.245999999999</v>
      </c>
      <c r="J15" s="4">
        <v>-8099.6</v>
      </c>
      <c r="K15" s="4">
        <v>-9422.9159999999993</v>
      </c>
      <c r="L15" s="4">
        <v>-9155.4480000000003</v>
      </c>
      <c r="M15" s="4">
        <v>-9146.9</v>
      </c>
      <c r="N15" s="4">
        <v>-8848.1810000000005</v>
      </c>
      <c r="O15" s="4">
        <v>-8815.2109999999993</v>
      </c>
      <c r="P15" s="4">
        <v>-7721.8109999999997</v>
      </c>
      <c r="Q15" s="32">
        <f>SUM(AZ15:BC15)</f>
        <v>-7453.0109999999986</v>
      </c>
      <c r="R15" s="32"/>
      <c r="S15" s="4">
        <v>-2607.3679999999999</v>
      </c>
      <c r="T15" s="4">
        <v>-2490.2629999999999</v>
      </c>
      <c r="U15" s="4">
        <v>-2472.5210000000002</v>
      </c>
      <c r="V15" s="86">
        <f>D15-U15-T15-S15</f>
        <v>-2876.4439999999991</v>
      </c>
      <c r="W15" s="4">
        <v>-2581.37</v>
      </c>
      <c r="X15" s="4">
        <v>-2846.36</v>
      </c>
      <c r="Y15" s="4">
        <v>-2609.6790000000001</v>
      </c>
      <c r="Z15" s="86">
        <f>E15-Y15-X15-W15</f>
        <v>-2986.0569999999998</v>
      </c>
      <c r="AA15" s="4">
        <v>-2764.384</v>
      </c>
      <c r="AB15" s="4">
        <v>-2782.6</v>
      </c>
      <c r="AC15" s="4">
        <v>-2797.2379999999998</v>
      </c>
      <c r="AD15" s="32">
        <f>F15-AA15-AB15-AC15</f>
        <v>-2848.7890000000002</v>
      </c>
      <c r="AE15" s="4">
        <v>-2718</v>
      </c>
      <c r="AF15" s="4">
        <v>-2538.4</v>
      </c>
      <c r="AG15" s="4">
        <v>-2312.3000000000002</v>
      </c>
      <c r="AH15" s="32">
        <f>H15-AE15-AF15-AG15</f>
        <v>-2797.8820000000005</v>
      </c>
      <c r="AI15" s="4">
        <v>-2522.6</v>
      </c>
      <c r="AJ15" s="4">
        <v>-2571.9</v>
      </c>
      <c r="AK15" s="4">
        <v>-2642.442</v>
      </c>
      <c r="AL15" s="32">
        <f>I15-AI15-AJ15-AK15</f>
        <v>-2723.3039999999992</v>
      </c>
      <c r="AM15" s="4">
        <v>-2133.1999999999998</v>
      </c>
      <c r="AN15" s="4">
        <v>-2097.8000000000002</v>
      </c>
      <c r="AO15" s="4">
        <v>-2462.4</v>
      </c>
      <c r="AP15" s="32">
        <f>K15-AM15-AN15-AO15</f>
        <v>-2729.5159999999992</v>
      </c>
      <c r="AQ15" s="4">
        <v>-2238.4879999999998</v>
      </c>
      <c r="AR15" s="4">
        <v>-2212.9</v>
      </c>
      <c r="AS15" s="4">
        <v>-2065.6999999999998</v>
      </c>
      <c r="AT15" s="32">
        <f>M15-AQ15-AR15-AS15</f>
        <v>-2629.8120000000008</v>
      </c>
      <c r="AU15" s="4">
        <v>-2354.9</v>
      </c>
      <c r="AV15" s="4">
        <v>-2199.1</v>
      </c>
      <c r="AW15" s="4">
        <v>-2131.4</v>
      </c>
      <c r="AX15" s="32">
        <f>O15-SUM(AU15:AW15)</f>
        <v>-2129.8109999999997</v>
      </c>
      <c r="AY15" s="4">
        <v>-2029.4</v>
      </c>
      <c r="AZ15" s="4">
        <v>-2247.9</v>
      </c>
      <c r="BA15" s="4">
        <v>-1655.117</v>
      </c>
      <c r="BB15" s="32">
        <f>P15-SUM(AY15:BA15)</f>
        <v>-1789.3939999999993</v>
      </c>
      <c r="BC15" s="4">
        <v>-1760.6</v>
      </c>
      <c r="BD15" s="4"/>
      <c r="BF15" s="32">
        <f>G15-AA15-AB15-AC15</f>
        <v>-2754.7890000000002</v>
      </c>
      <c r="BG15" s="4">
        <v>-1977.1</v>
      </c>
      <c r="BH15" s="4">
        <v>-1970.6</v>
      </c>
      <c r="BI15" s="4">
        <v>-2034.5</v>
      </c>
      <c r="BJ15" s="32">
        <f>J15-BG15-BH15-BI15</f>
        <v>-2117.3999999999996</v>
      </c>
      <c r="BK15" s="4">
        <v>-2162.8000000000002</v>
      </c>
      <c r="BL15" s="4">
        <v>-2135.5</v>
      </c>
    </row>
    <row r="16" spans="1:64" ht="14.25" customHeight="1">
      <c r="B16" s="1" t="s">
        <v>305</v>
      </c>
      <c r="C16" s="4">
        <v>-13273.397000000001</v>
      </c>
      <c r="D16" s="4">
        <v>-13459.486999999999</v>
      </c>
      <c r="E16" s="4">
        <v>-13729.325000000001</v>
      </c>
      <c r="F16" s="4">
        <v>-13269.191000000001</v>
      </c>
      <c r="G16" s="4">
        <v>-13269.191000000001</v>
      </c>
      <c r="H16" s="4">
        <v>-12713.656999999999</v>
      </c>
      <c r="I16" s="4">
        <v>-13710.793</v>
      </c>
      <c r="J16" s="4">
        <v>-12189.5</v>
      </c>
      <c r="K16" s="4">
        <v>-12061.932000000001</v>
      </c>
      <c r="L16" s="4">
        <v>-11341.656999999999</v>
      </c>
      <c r="M16" s="4">
        <v>-12196.9</v>
      </c>
      <c r="N16" s="4">
        <v>-11305.619000000001</v>
      </c>
      <c r="O16" s="4">
        <v>-10592.581</v>
      </c>
      <c r="P16" s="4">
        <v>-9522.8880000000008</v>
      </c>
      <c r="Q16" s="32">
        <f>SUM(AZ16:BC16)</f>
        <v>-9170.9880000000012</v>
      </c>
      <c r="R16" s="32"/>
      <c r="S16" s="4">
        <v>-3250.5680000000002</v>
      </c>
      <c r="T16" s="4">
        <v>-3375.0390000000002</v>
      </c>
      <c r="U16" s="4">
        <v>-3419.8040000000001</v>
      </c>
      <c r="V16" s="86">
        <f>D16-U16-T16-S16</f>
        <v>-3414.0759999999982</v>
      </c>
      <c r="W16" s="4">
        <v>-3391.7510000000002</v>
      </c>
      <c r="X16" s="4">
        <v>-3391.337</v>
      </c>
      <c r="Y16" s="4">
        <v>-3440.7510000000002</v>
      </c>
      <c r="Z16" s="86">
        <f>E16-Y16-X16-W16</f>
        <v>-3505.4860000000008</v>
      </c>
      <c r="AA16" s="4">
        <v>-3707.54</v>
      </c>
      <c r="AB16" s="4">
        <v>-3316.6</v>
      </c>
      <c r="AC16" s="4">
        <v>-3057.2860000000001</v>
      </c>
      <c r="AD16" s="32">
        <f>F16-AA16-AB16-AC16</f>
        <v>-3187.7650000000012</v>
      </c>
      <c r="AE16" s="4">
        <v>-3631.1</v>
      </c>
      <c r="AF16" s="4">
        <v>-2940.3</v>
      </c>
      <c r="AG16" s="4">
        <v>-2856.6</v>
      </c>
      <c r="AH16" s="32">
        <f>H16-AE16-AF16-AG16</f>
        <v>-3285.6569999999988</v>
      </c>
      <c r="AI16" s="4">
        <v>-3728.3</v>
      </c>
      <c r="AJ16" s="4">
        <v>-3251.4</v>
      </c>
      <c r="AK16" s="4">
        <v>-3002.3649999999998</v>
      </c>
      <c r="AL16" s="32">
        <f>I16-AI16-AJ16-AK16</f>
        <v>-3728.7279999999992</v>
      </c>
      <c r="AM16" s="4">
        <v>-2843.4</v>
      </c>
      <c r="AN16" s="4">
        <v>-2994.9</v>
      </c>
      <c r="AO16" s="4">
        <v>-2906.7</v>
      </c>
      <c r="AP16" s="32">
        <f>K16-AM16-AN16-AO16</f>
        <v>-3316.9320000000016</v>
      </c>
      <c r="AQ16" s="4">
        <v>-2813.2469999999998</v>
      </c>
      <c r="AR16" s="4">
        <v>-3010.1</v>
      </c>
      <c r="AS16" s="4">
        <v>-2933.7</v>
      </c>
      <c r="AT16" s="32">
        <f>M16-AQ16-AR16-AS16</f>
        <v>-3439.8530000000001</v>
      </c>
      <c r="AU16" s="4">
        <v>-2551.9</v>
      </c>
      <c r="AV16" s="4">
        <v>-2395.5</v>
      </c>
      <c r="AW16" s="4">
        <v>-2603.1</v>
      </c>
      <c r="AX16" s="32">
        <f>O16-SUM(AU16:AW16)</f>
        <v>-3042.0810000000001</v>
      </c>
      <c r="AY16" s="4">
        <v>-2640.1</v>
      </c>
      <c r="AZ16" s="4">
        <v>-2234.1999999999998</v>
      </c>
      <c r="BA16" s="4">
        <v>-2740.6849999999999</v>
      </c>
      <c r="BB16" s="32">
        <f>P16-SUM(AY16:BA16)</f>
        <v>-1907.9030000000021</v>
      </c>
      <c r="BC16" s="4">
        <v>-2288.1999999999998</v>
      </c>
      <c r="BD16" s="4"/>
      <c r="BF16" s="32">
        <f>G16-AA16-AB16-AC16</f>
        <v>-3187.7650000000012</v>
      </c>
      <c r="BG16" s="4">
        <v>-2764.3</v>
      </c>
      <c r="BH16" s="4">
        <v>-2666.5</v>
      </c>
      <c r="BI16" s="4">
        <v>-2972.1</v>
      </c>
      <c r="BJ16" s="32">
        <f>J16-BG16-BH16-BI16</f>
        <v>-3786.6000000000008</v>
      </c>
      <c r="BK16" s="4">
        <v>-2584.1999999999998</v>
      </c>
      <c r="BL16" s="4">
        <v>-2772.7</v>
      </c>
    </row>
    <row r="17" spans="2:64" ht="14.25" customHeight="1">
      <c r="B17" s="1" t="s">
        <v>306</v>
      </c>
      <c r="C17" s="4">
        <v>0</v>
      </c>
      <c r="D17" s="4">
        <v>0</v>
      </c>
      <c r="E17" s="4">
        <v>1562.2840000000001</v>
      </c>
      <c r="F17" s="4">
        <v>0</v>
      </c>
      <c r="G17" s="4">
        <v>0</v>
      </c>
      <c r="H17" s="4">
        <v>233.62799999999999</v>
      </c>
      <c r="I17" s="4">
        <v>2393.9630000000002</v>
      </c>
      <c r="J17" s="4">
        <v>3716.2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32">
        <f>SUM(AZ17:BC17)</f>
        <v>0</v>
      </c>
      <c r="R17" s="32"/>
      <c r="S17" s="4">
        <v>0</v>
      </c>
      <c r="T17" s="4">
        <v>0</v>
      </c>
      <c r="U17" s="4">
        <v>0</v>
      </c>
      <c r="V17" s="86">
        <f>D17-U17-T17-S17</f>
        <v>0</v>
      </c>
      <c r="W17" s="4">
        <v>0</v>
      </c>
      <c r="X17" s="4">
        <v>3237.9229999999998</v>
      </c>
      <c r="Y17" s="4">
        <v>0</v>
      </c>
      <c r="Z17" s="86">
        <f>E17-Y17-X17-W17</f>
        <v>-1675.6389999999997</v>
      </c>
      <c r="AA17" s="4">
        <v>0</v>
      </c>
      <c r="AB17" s="4">
        <v>0</v>
      </c>
      <c r="AC17" s="4">
        <v>0</v>
      </c>
      <c r="AD17" s="32">
        <f>F17-AA17-AB17-AC17</f>
        <v>0</v>
      </c>
      <c r="AE17" s="4">
        <v>284.89999999999998</v>
      </c>
      <c r="AF17" s="4">
        <v>0</v>
      </c>
      <c r="AG17" s="4">
        <v>666</v>
      </c>
      <c r="AH17" s="32">
        <f>H17-AE17-AF17-AG17</f>
        <v>-717.27199999999993</v>
      </c>
      <c r="AI17" s="4">
        <v>0</v>
      </c>
      <c r="AJ17" s="4">
        <v>0</v>
      </c>
      <c r="AK17" s="4">
        <v>0</v>
      </c>
      <c r="AL17" s="32">
        <f>I17-AI17-AJ17-AK17</f>
        <v>2393.9630000000002</v>
      </c>
      <c r="AM17" s="4">
        <v>0</v>
      </c>
      <c r="AN17" s="4">
        <v>0</v>
      </c>
      <c r="AO17" s="4">
        <v>0</v>
      </c>
      <c r="AP17" s="32">
        <f>K17-AM17-AN17-AO17</f>
        <v>0</v>
      </c>
      <c r="AQ17" s="4">
        <v>0</v>
      </c>
      <c r="AR17" s="4">
        <v>0</v>
      </c>
      <c r="AS17" s="4">
        <v>0</v>
      </c>
      <c r="AT17" s="32">
        <f>M17-AQ17-AR17-AS17</f>
        <v>0</v>
      </c>
      <c r="AU17" s="4">
        <v>2293.1999999999998</v>
      </c>
      <c r="AV17" s="4">
        <v>0</v>
      </c>
      <c r="AW17" s="4">
        <v>0</v>
      </c>
      <c r="AX17" s="32">
        <f>O17-SUM(AU17:AW17)</f>
        <v>-2293.1999999999998</v>
      </c>
      <c r="AY17" s="4">
        <v>0</v>
      </c>
      <c r="AZ17" s="4">
        <v>0</v>
      </c>
      <c r="BA17" s="4">
        <v>0</v>
      </c>
      <c r="BB17" s="32">
        <f>P17-SUM(AY17:BA17)</f>
        <v>0</v>
      </c>
      <c r="BC17" s="4">
        <v>0</v>
      </c>
      <c r="BD17" s="4"/>
      <c r="BF17" s="32">
        <f>G17-AA17-AB17-AC17</f>
        <v>0</v>
      </c>
      <c r="BG17" s="4">
        <v>0</v>
      </c>
      <c r="BH17" s="4">
        <v>0</v>
      </c>
      <c r="BI17" s="4">
        <v>0</v>
      </c>
      <c r="BJ17" s="32">
        <f>J17-BG17-BH17-BI17</f>
        <v>3716.2</v>
      </c>
      <c r="BK17" s="4">
        <v>0</v>
      </c>
      <c r="BL17" s="4">
        <v>0</v>
      </c>
    </row>
    <row r="18" spans="2:64" ht="14.25" customHeight="1">
      <c r="B18" s="1" t="s">
        <v>307</v>
      </c>
      <c r="C18" s="4">
        <v>-3137.384</v>
      </c>
      <c r="D18" s="4">
        <v>-2453.5720000000001</v>
      </c>
      <c r="E18" s="4">
        <v>0</v>
      </c>
      <c r="F18" s="4">
        <v>-1095.587</v>
      </c>
      <c r="G18" s="4">
        <v>-1316.587</v>
      </c>
      <c r="H18" s="4">
        <v>0</v>
      </c>
      <c r="I18" s="4">
        <v>0</v>
      </c>
      <c r="J18" s="4">
        <v>0</v>
      </c>
      <c r="K18" s="4">
        <f>-846.654</f>
        <v>-846.654</v>
      </c>
      <c r="L18" s="4">
        <v>-1023.169</v>
      </c>
      <c r="M18" s="4">
        <f>-866.8</f>
        <v>-866.8</v>
      </c>
      <c r="N18" s="4">
        <v>-913.80100000000004</v>
      </c>
      <c r="O18" s="4">
        <v>-4554.8999999999996</v>
      </c>
      <c r="P18" s="4">
        <v>-1013.824</v>
      </c>
      <c r="Q18" s="32">
        <f>SUM(AZ18:BC18)</f>
        <v>-894.524</v>
      </c>
      <c r="R18" s="32"/>
      <c r="S18" s="4">
        <v>-410.74299999999999</v>
      </c>
      <c r="T18" s="4">
        <v>-385.60599999999999</v>
      </c>
      <c r="U18" s="4">
        <v>-500.50099999999998</v>
      </c>
      <c r="V18" s="86">
        <f>D18-U18-T18-S18</f>
        <v>-1156.7220000000002</v>
      </c>
      <c r="W18" s="4">
        <v>-154.08600000000001</v>
      </c>
      <c r="X18" s="4">
        <v>0</v>
      </c>
      <c r="Y18" s="4">
        <v>-432.46300000000002</v>
      </c>
      <c r="Z18" s="86">
        <f>E18-Y18-X18-W18</f>
        <v>586.54899999999998</v>
      </c>
      <c r="AA18" s="4">
        <v>-188.91</v>
      </c>
      <c r="AB18" s="4">
        <v>-283</v>
      </c>
      <c r="AC18" s="4">
        <v>-389.36200000000002</v>
      </c>
      <c r="AD18" s="32">
        <f>F18-AA18-AB18-AC18</f>
        <v>-234.315</v>
      </c>
      <c r="AE18" s="4">
        <v>0</v>
      </c>
      <c r="AF18" s="4">
        <v>-293.5</v>
      </c>
      <c r="AG18" s="4">
        <v>0</v>
      </c>
      <c r="AH18" s="32">
        <f>H18-AE18-AF18-AG18</f>
        <v>293.5</v>
      </c>
      <c r="AI18" s="4">
        <v>-152.9</v>
      </c>
      <c r="AJ18" s="4">
        <v>-398.9</v>
      </c>
      <c r="AK18" s="4">
        <v>-293.66199999999998</v>
      </c>
      <c r="AL18" s="32">
        <f>I18-AI18-AJ18-AK18</f>
        <v>845.46199999999999</v>
      </c>
      <c r="AM18" s="4">
        <v>-168.3</v>
      </c>
      <c r="AN18" s="4">
        <v>-40.9</v>
      </c>
      <c r="AO18" s="4">
        <v>-291.2</v>
      </c>
      <c r="AP18" s="32">
        <f>K18-AM18-AN18-AO18</f>
        <v>-346.25400000000008</v>
      </c>
      <c r="AQ18" s="4">
        <v>-182.18</v>
      </c>
      <c r="AR18" s="4">
        <v>-181.2</v>
      </c>
      <c r="AS18" s="4">
        <v>-726.6</v>
      </c>
      <c r="AT18" s="32">
        <f>M18-AQ18-AR18-AS18</f>
        <v>223.18000000000012</v>
      </c>
      <c r="AU18" s="4">
        <v>0</v>
      </c>
      <c r="AV18" s="4">
        <v>-529.6</v>
      </c>
      <c r="AW18" s="4">
        <v>-319.3</v>
      </c>
      <c r="AX18" s="32">
        <f>O18-SUM(AU18:AW18)</f>
        <v>-3705.9999999999995</v>
      </c>
      <c r="AY18" s="4">
        <v>-198.7</v>
      </c>
      <c r="AZ18" s="4">
        <v>-274.2</v>
      </c>
      <c r="BA18" s="4">
        <v>-43.753999999999998</v>
      </c>
      <c r="BB18" s="32">
        <f>P18-SUM(AY18:BA18)</f>
        <v>-497.16999999999996</v>
      </c>
      <c r="BC18" s="4">
        <v>-79.400000000000006</v>
      </c>
      <c r="BD18" s="4"/>
      <c r="BF18" s="32">
        <f>G18-AA18-AB18-AC18</f>
        <v>-455.31499999999988</v>
      </c>
      <c r="BG18" s="4">
        <v>-77.599999999999994</v>
      </c>
      <c r="BH18" s="4">
        <v>-278.3</v>
      </c>
      <c r="BI18" s="4">
        <v>-232.3</v>
      </c>
      <c r="BJ18" s="32">
        <f>J18-BG18-BH18-BI18</f>
        <v>588.20000000000005</v>
      </c>
      <c r="BK18" s="4">
        <v>-179.2</v>
      </c>
      <c r="BL18" s="4">
        <v>-194.8</v>
      </c>
    </row>
    <row r="19" spans="2:64" s="5" customFormat="1" ht="14.25" customHeight="1">
      <c r="B19" s="14" t="s">
        <v>308</v>
      </c>
      <c r="C19" s="7">
        <f t="shared" ref="C19:H19" si="28">C13+SUM(C15:C18)</f>
        <v>16598.134000000005</v>
      </c>
      <c r="D19" s="7">
        <f t="shared" si="28"/>
        <v>14243.165000000015</v>
      </c>
      <c r="E19" s="7">
        <f t="shared" si="28"/>
        <v>20252.525000000005</v>
      </c>
      <c r="F19" s="7">
        <f t="shared" si="28"/>
        <v>17209.029999999995</v>
      </c>
      <c r="G19" s="7">
        <f t="shared" si="28"/>
        <v>17005.029999999995</v>
      </c>
      <c r="H19" s="7">
        <f t="shared" si="28"/>
        <v>17525.368000000006</v>
      </c>
      <c r="I19" s="7">
        <f t="shared" ref="I19:Q19" si="29">I13+SUM(I15:I18)</f>
        <v>22183.226000000006</v>
      </c>
      <c r="J19" s="7">
        <f t="shared" si="29"/>
        <v>10688.899999999998</v>
      </c>
      <c r="K19" s="7">
        <f t="shared" si="29"/>
        <v>4387.5010000000002</v>
      </c>
      <c r="L19" s="7">
        <f t="shared" si="29"/>
        <v>3737.7469999999921</v>
      </c>
      <c r="M19" s="7">
        <f t="shared" si="29"/>
        <v>2663.6999999999971</v>
      </c>
      <c r="N19" s="7">
        <f t="shared" si="29"/>
        <v>1857.794999999991</v>
      </c>
      <c r="O19" s="7">
        <f t="shared" si="29"/>
        <v>-2818.8610000000044</v>
      </c>
      <c r="P19" s="7">
        <f>P13+SUM(P15:P18)</f>
        <v>4224.8919999999998</v>
      </c>
      <c r="Q19" s="85">
        <f t="shared" si="29"/>
        <v>4877.2920000000013</v>
      </c>
      <c r="R19" s="85"/>
      <c r="S19" s="7">
        <f t="shared" ref="S19:Z19" si="30">S13+SUM(S15:S18)</f>
        <v>3030.1089999999949</v>
      </c>
      <c r="T19" s="7">
        <f t="shared" si="30"/>
        <v>3905.1010000000006</v>
      </c>
      <c r="U19" s="7">
        <f t="shared" si="30"/>
        <v>3678.1489999999994</v>
      </c>
      <c r="V19" s="85">
        <f t="shared" si="30"/>
        <v>3629.8060000000005</v>
      </c>
      <c r="W19" s="7">
        <f t="shared" si="30"/>
        <v>3624.1849999999995</v>
      </c>
      <c r="X19" s="7">
        <f t="shared" si="30"/>
        <v>8622.2729999999974</v>
      </c>
      <c r="Y19" s="7">
        <f t="shared" si="30"/>
        <v>4341.8059999999969</v>
      </c>
      <c r="Z19" s="85">
        <f t="shared" si="30"/>
        <v>3664.2610000000068</v>
      </c>
      <c r="AA19" s="7">
        <f t="shared" ref="AA19:AG19" si="31">AA13+SUM(AA15:AA18)</f>
        <v>3470.3509999999978</v>
      </c>
      <c r="AB19" s="7">
        <f t="shared" si="31"/>
        <v>4110.0000000000027</v>
      </c>
      <c r="AC19" s="7">
        <f t="shared" si="31"/>
        <v>4595.7530000000015</v>
      </c>
      <c r="AD19" s="7">
        <f t="shared" si="31"/>
        <v>5032.9259999999931</v>
      </c>
      <c r="AE19" s="7">
        <f t="shared" si="31"/>
        <v>3426.5999999999985</v>
      </c>
      <c r="AF19" s="7">
        <f t="shared" si="31"/>
        <v>2693.2000000000007</v>
      </c>
      <c r="AG19" s="7">
        <f t="shared" si="31"/>
        <v>5569.1</v>
      </c>
      <c r="AH19" s="7">
        <f t="shared" ref="AH19:AM19" si="32">AH13+SUM(AH15:AH18)</f>
        <v>5836.4680000000071</v>
      </c>
      <c r="AI19" s="7">
        <f t="shared" si="32"/>
        <v>3540.5000000000018</v>
      </c>
      <c r="AJ19" s="7">
        <f t="shared" si="32"/>
        <v>3985.7000000000016</v>
      </c>
      <c r="AK19" s="7">
        <f t="shared" si="32"/>
        <v>4831.2299999999987</v>
      </c>
      <c r="AL19" s="7">
        <f t="shared" si="32"/>
        <v>9825.796000000013</v>
      </c>
      <c r="AM19" s="7">
        <f t="shared" si="32"/>
        <v>1637.4000000000005</v>
      </c>
      <c r="AN19" s="7">
        <f t="shared" ref="AN19:AT19" si="33">AN13+SUM(AN15:AN18)</f>
        <v>1551.6999999999989</v>
      </c>
      <c r="AO19" s="7">
        <f t="shared" si="33"/>
        <v>1362.3000000000002</v>
      </c>
      <c r="AP19" s="7">
        <f t="shared" si="33"/>
        <v>-163.89899999999852</v>
      </c>
      <c r="AQ19" s="7">
        <f t="shared" si="33"/>
        <v>1203.7470000000021</v>
      </c>
      <c r="AR19" s="7">
        <f t="shared" si="33"/>
        <v>992.20000000000164</v>
      </c>
      <c r="AS19" s="7">
        <f t="shared" si="33"/>
        <v>-381.60000000000036</v>
      </c>
      <c r="AT19" s="7">
        <f t="shared" si="33"/>
        <v>849.3529999999937</v>
      </c>
      <c r="AU19" s="7">
        <f t="shared" ref="AU19:AZ19" si="34">AU13+SUM(AU15:AU18)</f>
        <v>2925.8999999999996</v>
      </c>
      <c r="AV19" s="7">
        <f t="shared" si="34"/>
        <v>89.499999999998181</v>
      </c>
      <c r="AW19" s="7">
        <f t="shared" si="34"/>
        <v>364.69999999999982</v>
      </c>
      <c r="AX19" s="7">
        <f t="shared" si="34"/>
        <v>-6198.9610000000011</v>
      </c>
      <c r="AY19" s="7">
        <f t="shared" si="34"/>
        <v>890.00000000000091</v>
      </c>
      <c r="AZ19" s="7">
        <f t="shared" si="34"/>
        <v>953.39999999999873</v>
      </c>
      <c r="BA19" s="7">
        <f>BA13+SUM(BA15:BA18)</f>
        <v>928.79499999999916</v>
      </c>
      <c r="BB19" s="7">
        <f>BB13+SUM(BB15:BB18)</f>
        <v>1452.6970000000028</v>
      </c>
      <c r="BC19" s="7">
        <f>BC13+SUM(BC15:BC18)</f>
        <v>1542.4000000000005</v>
      </c>
      <c r="BD19" s="7"/>
      <c r="BF19" s="7">
        <f t="shared" ref="BF19:BL19" si="35">BF13+SUM(BF15:BF18)</f>
        <v>4828.9259999999931</v>
      </c>
      <c r="BG19" s="7">
        <f t="shared" si="35"/>
        <v>1820.0999999999985</v>
      </c>
      <c r="BH19" s="7">
        <f t="shared" si="35"/>
        <v>1658.7000000000016</v>
      </c>
      <c r="BI19" s="7">
        <f t="shared" si="35"/>
        <v>1845.2999999999984</v>
      </c>
      <c r="BJ19" s="7">
        <f t="shared" si="35"/>
        <v>5364.7999999999956</v>
      </c>
      <c r="BK19" s="7">
        <f t="shared" si="35"/>
        <v>1112.3999999999987</v>
      </c>
      <c r="BL19" s="7">
        <f t="shared" si="35"/>
        <v>793</v>
      </c>
    </row>
    <row r="20" spans="2:64" ht="14.25" customHeight="1">
      <c r="B20" s="6" t="s">
        <v>309</v>
      </c>
      <c r="C20" s="4">
        <v>1499.473</v>
      </c>
      <c r="D20" s="4">
        <v>3153.54</v>
      </c>
      <c r="E20" s="4">
        <v>1787.249</v>
      </c>
      <c r="F20" s="4">
        <v>2464.4029999999998</v>
      </c>
      <c r="G20" s="4">
        <v>2464.4029999999998</v>
      </c>
      <c r="H20" s="4">
        <v>4227.192</v>
      </c>
      <c r="I20" s="4">
        <v>620.22199999999998</v>
      </c>
      <c r="J20" s="4">
        <v>560</v>
      </c>
      <c r="K20" s="4">
        <v>2151.1089999999999</v>
      </c>
      <c r="L20" s="4">
        <v>2129.011</v>
      </c>
      <c r="M20" s="4">
        <v>3307.4</v>
      </c>
      <c r="N20" s="4">
        <v>3180.192</v>
      </c>
      <c r="O20" s="4">
        <v>4117.5829999999996</v>
      </c>
      <c r="P20" s="4">
        <v>3226.7179999999998</v>
      </c>
      <c r="Q20" s="32">
        <f>SUM(AZ20:BC20)</f>
        <v>2178.2180000000003</v>
      </c>
      <c r="R20" s="32"/>
      <c r="S20" s="4">
        <v>1504.788</v>
      </c>
      <c r="T20" s="4">
        <v>1116.1559999999999</v>
      </c>
      <c r="U20" s="4">
        <v>392.16</v>
      </c>
      <c r="V20" s="86">
        <f>D20-U20-T20-S20</f>
        <v>140.43600000000015</v>
      </c>
      <c r="W20" s="4">
        <v>1297.8499999999999</v>
      </c>
      <c r="X20" s="4">
        <v>1065.1489999999999</v>
      </c>
      <c r="Y20" s="4">
        <v>436.19499999999999</v>
      </c>
      <c r="Z20" s="86">
        <f>E20-Y20-X20-W20</f>
        <v>-1011.9449999999997</v>
      </c>
      <c r="AA20" s="4">
        <v>435.44499999999999</v>
      </c>
      <c r="AB20" s="4">
        <v>674</v>
      </c>
      <c r="AC20" s="4">
        <v>920.72299999999996</v>
      </c>
      <c r="AD20" s="32">
        <f>F20-AA20-AB20-AC20</f>
        <v>434.2349999999999</v>
      </c>
      <c r="AE20" s="4">
        <v>2422</v>
      </c>
      <c r="AF20" s="4">
        <v>2803</v>
      </c>
      <c r="AG20" s="4">
        <v>3353.1</v>
      </c>
      <c r="AH20" s="32">
        <f>H20-AE20-AF20-AG20</f>
        <v>-4350.9079999999994</v>
      </c>
      <c r="AI20" s="4">
        <v>121.3</v>
      </c>
      <c r="AJ20" s="4">
        <v>2156.6999999999998</v>
      </c>
      <c r="AK20" s="4">
        <v>186.03200000000001</v>
      </c>
      <c r="AL20" s="32">
        <f>I20-AI20-AJ20-AK20</f>
        <v>-1843.8099999999997</v>
      </c>
      <c r="AM20" s="4">
        <v>338.9</v>
      </c>
      <c r="AN20" s="4">
        <v>1146</v>
      </c>
      <c r="AO20" s="4">
        <v>1283.4000000000001</v>
      </c>
      <c r="AP20" s="32">
        <f>K20-AM20-AN20-AO20</f>
        <v>-617.19100000000026</v>
      </c>
      <c r="AQ20" s="4">
        <v>883.42</v>
      </c>
      <c r="AR20" s="4">
        <v>1318.3</v>
      </c>
      <c r="AS20" s="4">
        <v>905.4</v>
      </c>
      <c r="AT20" s="32">
        <f>M20-AQ20-AR20-AS20</f>
        <v>200.28000000000009</v>
      </c>
      <c r="AU20" s="4">
        <v>777.8</v>
      </c>
      <c r="AV20" s="4">
        <v>1282.7</v>
      </c>
      <c r="AW20" s="4">
        <v>1100.4000000000001</v>
      </c>
      <c r="AX20" s="32">
        <f>O20-SUM(AU20:AW20)</f>
        <v>956.68299999999954</v>
      </c>
      <c r="AY20" s="4">
        <v>1421.3</v>
      </c>
      <c r="AZ20" s="4">
        <v>1224.4000000000001</v>
      </c>
      <c r="BA20" s="4">
        <v>1159.194</v>
      </c>
      <c r="BB20" s="32">
        <f>P20-SUM(AY20:BA20)</f>
        <v>-578.17599999999993</v>
      </c>
      <c r="BC20" s="4">
        <v>372.8</v>
      </c>
      <c r="BD20" s="4"/>
      <c r="BF20" s="32">
        <f>G20-AA20-AB20-AC20</f>
        <v>434.2349999999999</v>
      </c>
      <c r="BG20" s="4">
        <v>181.1</v>
      </c>
      <c r="BH20" s="4">
        <v>1796</v>
      </c>
      <c r="BI20" s="4">
        <v>204</v>
      </c>
      <c r="BJ20" s="32">
        <f>J20-BG20-BH20-BI20</f>
        <v>-1621.1</v>
      </c>
      <c r="BK20" s="4">
        <v>885.2</v>
      </c>
      <c r="BL20" s="4">
        <v>1293.5999999999999</v>
      </c>
    </row>
    <row r="21" spans="2:64" ht="14.25" customHeight="1">
      <c r="B21" s="6" t="s">
        <v>310</v>
      </c>
      <c r="C21" s="4">
        <v>-11031.584999999999</v>
      </c>
      <c r="D21" s="4">
        <v>-9245.6710000000003</v>
      </c>
      <c r="E21" s="4">
        <v>-10566.966</v>
      </c>
      <c r="F21" s="4">
        <v>-11275.198</v>
      </c>
      <c r="G21" s="4">
        <v>-11275.198</v>
      </c>
      <c r="H21" s="4">
        <v>-10482.168</v>
      </c>
      <c r="I21" s="4">
        <v>-12290.187</v>
      </c>
      <c r="J21" s="4">
        <f>-12478</f>
        <v>-12478</v>
      </c>
      <c r="K21" s="4">
        <v>-11346.39</v>
      </c>
      <c r="L21" s="4">
        <v>-11385.380999999999</v>
      </c>
      <c r="M21" s="4">
        <v>-7931.7</v>
      </c>
      <c r="N21" s="4">
        <v>-8026.0929999999998</v>
      </c>
      <c r="O21" s="4">
        <v>-8812.7540000000008</v>
      </c>
      <c r="P21" s="4">
        <v>-7508.6</v>
      </c>
      <c r="Q21" s="32">
        <f>SUM(AZ21:BC21)</f>
        <v>-7669</v>
      </c>
      <c r="R21" s="32"/>
      <c r="S21" s="4">
        <v>-2286.444</v>
      </c>
      <c r="T21" s="4">
        <v>-2258.0770000000002</v>
      </c>
      <c r="U21" s="4">
        <v>-2313.8310000000001</v>
      </c>
      <c r="V21" s="86">
        <f>D21-U21-T21-S21</f>
        <v>-2387.319</v>
      </c>
      <c r="W21" s="4">
        <v>-3498.5189999999998</v>
      </c>
      <c r="X21" s="4">
        <v>-2840.3690000000001</v>
      </c>
      <c r="Y21" s="4">
        <v>-2925.538</v>
      </c>
      <c r="Z21" s="86">
        <f>E21-Y21-X21-W21</f>
        <v>-1302.5399999999995</v>
      </c>
      <c r="AA21" s="4">
        <v>-2709.5349999999999</v>
      </c>
      <c r="AB21" s="4">
        <v>-2942.5</v>
      </c>
      <c r="AC21" s="4">
        <v>-3790.9229999999998</v>
      </c>
      <c r="AD21" s="32">
        <f>F21-AA21-AB21-AC21</f>
        <v>-1832.2400000000007</v>
      </c>
      <c r="AE21" s="4">
        <v>-11129.6</v>
      </c>
      <c r="AF21" s="4">
        <v>-2891.9</v>
      </c>
      <c r="AG21" s="4">
        <v>-3043.5</v>
      </c>
      <c r="AH21" s="32">
        <f>H21-AE21-AF21-AG21</f>
        <v>6582.8320000000003</v>
      </c>
      <c r="AI21" s="4">
        <v>-4142.8999999999996</v>
      </c>
      <c r="AJ21" s="4">
        <v>-2810.1</v>
      </c>
      <c r="AK21" s="4">
        <v>-5078.375</v>
      </c>
      <c r="AL21" s="32">
        <f>I21-AI21-AJ21-AK21</f>
        <v>-258.8119999999999</v>
      </c>
      <c r="AM21" s="4">
        <v>-5228.6000000000004</v>
      </c>
      <c r="AN21" s="4">
        <v>-2214.9</v>
      </c>
      <c r="AO21" s="4">
        <v>-2306.6</v>
      </c>
      <c r="AP21" s="32">
        <f>K21-AM21-AN21-AO21</f>
        <v>-1596.2899999999991</v>
      </c>
      <c r="AQ21" s="4">
        <v>-3081.9949999999999</v>
      </c>
      <c r="AR21" s="4">
        <v>-2069.8000000000002</v>
      </c>
      <c r="AS21" s="4">
        <v>-1549.8</v>
      </c>
      <c r="AT21" s="32">
        <f>M21-AQ21-AR21-AS21</f>
        <v>-1230.1049999999998</v>
      </c>
      <c r="AU21" s="4">
        <v>-1911.2</v>
      </c>
      <c r="AV21" s="280">
        <v>-1872.7</v>
      </c>
      <c r="AW21" s="4">
        <v>-2359.6999999999998</v>
      </c>
      <c r="AX21" s="32">
        <f>O21-SUM(AU21:AW21)</f>
        <v>-2669.1540000000005</v>
      </c>
      <c r="AY21" s="4">
        <v>-1850</v>
      </c>
      <c r="AZ21" s="280">
        <v>-2896.8</v>
      </c>
      <c r="BA21" s="4">
        <v>-1834.5329999999999</v>
      </c>
      <c r="BB21" s="32">
        <f>P21-SUM(AY21:BA21)</f>
        <v>-927.26699999999983</v>
      </c>
      <c r="BC21" s="4">
        <v>-2010.4</v>
      </c>
      <c r="BD21" s="4"/>
      <c r="BF21" s="32">
        <f>G21-AA21-AB21-AC21</f>
        <v>-1832.2400000000007</v>
      </c>
      <c r="BG21" s="4">
        <v>-3797.1</v>
      </c>
      <c r="BH21" s="4">
        <v>-2802.3</v>
      </c>
      <c r="BI21" s="4">
        <v>-4702.7</v>
      </c>
      <c r="BJ21" s="32">
        <f>J21-BG21-BH21-BI21</f>
        <v>-1175.8999999999996</v>
      </c>
      <c r="BK21" s="4">
        <v>-3039.9</v>
      </c>
      <c r="BL21" s="280">
        <v>-2123.9</v>
      </c>
    </row>
    <row r="22" spans="2:64" ht="14.25" customHeight="1">
      <c r="B22" s="6" t="s">
        <v>311</v>
      </c>
      <c r="C22" s="4">
        <v>1139.604</v>
      </c>
      <c r="D22" s="4">
        <v>1913.2729999999999</v>
      </c>
      <c r="E22" s="4">
        <v>532.93299999999999</v>
      </c>
      <c r="F22" s="4">
        <v>581.02300000000002</v>
      </c>
      <c r="G22" s="4">
        <v>581.02300000000002</v>
      </c>
      <c r="H22" s="4">
        <v>-5739.6679999999997</v>
      </c>
      <c r="I22" s="4">
        <v>3558.8110000000001</v>
      </c>
      <c r="J22" s="4">
        <v>3671</v>
      </c>
      <c r="K22" s="4">
        <v>-8453.3019999999997</v>
      </c>
      <c r="L22" s="4">
        <v>-7378.2489999999998</v>
      </c>
      <c r="M22" s="4">
        <v>-6210.1</v>
      </c>
      <c r="N22" s="4">
        <v>-4086.6280000000002</v>
      </c>
      <c r="O22" s="4">
        <v>-182.577</v>
      </c>
      <c r="P22" s="4">
        <v>-578.34299999999996</v>
      </c>
      <c r="Q22" s="32">
        <f>SUM(AZ22:BC22)</f>
        <v>669.55699999999979</v>
      </c>
      <c r="R22" s="32"/>
      <c r="S22" s="4">
        <v>263.70999999999998</v>
      </c>
      <c r="T22" s="4">
        <v>86.956000000000003</v>
      </c>
      <c r="U22" s="4">
        <v>670.04100000000005</v>
      </c>
      <c r="V22" s="86">
        <f>D22-U22-T22-S22</f>
        <v>892.56600000000003</v>
      </c>
      <c r="W22" s="4">
        <v>107.096</v>
      </c>
      <c r="X22" s="4">
        <v>477.18799999999999</v>
      </c>
      <c r="Y22" s="4">
        <v>326.60899999999998</v>
      </c>
      <c r="Z22" s="86">
        <f>E22-Y22-X22-W22</f>
        <v>-377.96</v>
      </c>
      <c r="AA22" s="4">
        <v>165.821</v>
      </c>
      <c r="AB22" s="4">
        <v>163.80000000000001</v>
      </c>
      <c r="AC22" s="4">
        <v>159.917</v>
      </c>
      <c r="AD22" s="32">
        <f>F22-AA22-AB22-AC22</f>
        <v>91.484999999999985</v>
      </c>
      <c r="AE22" s="4">
        <v>-5348.6</v>
      </c>
      <c r="AF22" s="4">
        <v>137.6</v>
      </c>
      <c r="AG22" s="4">
        <v>-119.9</v>
      </c>
      <c r="AH22" s="32">
        <f>H22-AE22-AF22-AG22</f>
        <v>-408.76799999999935</v>
      </c>
      <c r="AI22" s="4">
        <v>51.8</v>
      </c>
      <c r="AJ22" s="4">
        <v>889.2</v>
      </c>
      <c r="AK22" s="4">
        <v>1240.248</v>
      </c>
      <c r="AL22" s="32">
        <f>I22-AI22-AJ22-AK22</f>
        <v>1377.5629999999996</v>
      </c>
      <c r="AM22" s="4">
        <v>465.4</v>
      </c>
      <c r="AN22" s="4">
        <v>4218.6000000000004</v>
      </c>
      <c r="AO22" s="4">
        <v>575.70000000000005</v>
      </c>
      <c r="AP22" s="32">
        <f>K22-AM22-AN22-AO22</f>
        <v>-13713.002</v>
      </c>
      <c r="AQ22" s="4">
        <v>96.756</v>
      </c>
      <c r="AR22" s="4">
        <v>24.9</v>
      </c>
      <c r="AS22" s="4">
        <v>588.79999999999995</v>
      </c>
      <c r="AT22" s="32">
        <f>M22-AQ22-AR22-AS22</f>
        <v>-6920.5560000000005</v>
      </c>
      <c r="AU22" s="4">
        <v>-356.6</v>
      </c>
      <c r="AV22" s="4">
        <v>338.3</v>
      </c>
      <c r="AW22" s="4">
        <v>1736.1</v>
      </c>
      <c r="AX22" s="32">
        <f>O22-SUM(AU22:AW22)</f>
        <v>-1900.377</v>
      </c>
      <c r="AY22" s="4">
        <v>91.2</v>
      </c>
      <c r="AZ22" s="4">
        <v>1211.5</v>
      </c>
      <c r="BA22" s="4">
        <v>843.03</v>
      </c>
      <c r="BB22" s="32">
        <f>P22-SUM(AY22:BA22)</f>
        <v>-2724.0729999999999</v>
      </c>
      <c r="BC22" s="4">
        <v>1339.1</v>
      </c>
      <c r="BD22" s="4"/>
      <c r="BF22" s="32">
        <f>G22-AA22-AB22-AC22</f>
        <v>91.484999999999985</v>
      </c>
      <c r="BG22" s="4">
        <v>51.8</v>
      </c>
      <c r="BH22" s="4">
        <v>888.4</v>
      </c>
      <c r="BI22" s="4">
        <v>1240.2</v>
      </c>
      <c r="BJ22" s="32">
        <f>J22-BG22-BH22-BI22</f>
        <v>1490.5999999999997</v>
      </c>
      <c r="BK22" s="4">
        <v>96.756</v>
      </c>
      <c r="BL22" s="4">
        <v>24.8</v>
      </c>
    </row>
    <row r="23" spans="2:64" s="5" customFormat="1" ht="14.25" customHeight="1">
      <c r="B23" s="5" t="s">
        <v>312</v>
      </c>
      <c r="C23" s="7">
        <f t="shared" ref="C23:H23" si="36">SUM(C19,C20,C21,C22)</f>
        <v>8205.6260000000038</v>
      </c>
      <c r="D23" s="7">
        <f t="shared" si="36"/>
        <v>10064.307000000015</v>
      </c>
      <c r="E23" s="7">
        <f t="shared" si="36"/>
        <v>12005.741000000005</v>
      </c>
      <c r="F23" s="7">
        <f t="shared" si="36"/>
        <v>8979.2579999999925</v>
      </c>
      <c r="G23" s="7">
        <f t="shared" si="36"/>
        <v>8775.2579999999925</v>
      </c>
      <c r="H23" s="7">
        <f t="shared" si="36"/>
        <v>5530.7240000000056</v>
      </c>
      <c r="I23" s="7">
        <f t="shared" ref="I23:Q23" si="37">SUM(I19,I20,I21,I22)</f>
        <v>14072.072000000007</v>
      </c>
      <c r="J23" s="7">
        <f t="shared" si="37"/>
        <v>2441.8999999999978</v>
      </c>
      <c r="K23" s="7">
        <f t="shared" si="37"/>
        <v>-13261.081999999999</v>
      </c>
      <c r="L23" s="7">
        <f t="shared" si="37"/>
        <v>-12896.872000000007</v>
      </c>
      <c r="M23" s="7">
        <f t="shared" si="37"/>
        <v>-8170.7000000000035</v>
      </c>
      <c r="N23" s="7">
        <f t="shared" si="37"/>
        <v>-7074.7340000000095</v>
      </c>
      <c r="O23" s="7">
        <f t="shared" si="37"/>
        <v>-7696.6090000000058</v>
      </c>
      <c r="P23" s="7">
        <f>SUM(P19,P20,P21,P22)</f>
        <v>-635.33300000000065</v>
      </c>
      <c r="Q23" s="7">
        <f t="shared" si="37"/>
        <v>56.067000000001826</v>
      </c>
      <c r="R23" s="7"/>
      <c r="S23" s="7">
        <f t="shared" ref="S23:Z23" si="38">SUM(S19,S20,S21,S22)</f>
        <v>2512.1629999999955</v>
      </c>
      <c r="T23" s="7">
        <f t="shared" si="38"/>
        <v>2850.1360000000004</v>
      </c>
      <c r="U23" s="7">
        <f t="shared" si="38"/>
        <v>2426.5189999999993</v>
      </c>
      <c r="V23" s="7">
        <f t="shared" si="38"/>
        <v>2275.4890000000005</v>
      </c>
      <c r="W23" s="7">
        <f t="shared" si="38"/>
        <v>1530.6120000000001</v>
      </c>
      <c r="X23" s="7">
        <f t="shared" si="38"/>
        <v>7324.2409999999963</v>
      </c>
      <c r="Y23" s="7">
        <f t="shared" si="38"/>
        <v>2179.0719999999965</v>
      </c>
      <c r="Z23" s="7">
        <f t="shared" si="38"/>
        <v>971.81600000000753</v>
      </c>
      <c r="AA23" s="7">
        <f t="shared" ref="AA23:AG23" si="39">SUM(AA19,AA20,AA21,AA22)</f>
        <v>1362.0819999999981</v>
      </c>
      <c r="AB23" s="7">
        <f t="shared" si="39"/>
        <v>2005.3000000000027</v>
      </c>
      <c r="AC23" s="7">
        <f t="shared" si="39"/>
        <v>1885.4700000000016</v>
      </c>
      <c r="AD23" s="7">
        <f t="shared" si="39"/>
        <v>3726.4059999999922</v>
      </c>
      <c r="AE23" s="7">
        <f t="shared" si="39"/>
        <v>-10629.600000000002</v>
      </c>
      <c r="AF23" s="7">
        <f>SUM(AF19,AF20,AF21,AF22)</f>
        <v>2741.9000000000005</v>
      </c>
      <c r="AG23" s="7">
        <f t="shared" si="39"/>
        <v>5758.8000000000011</v>
      </c>
      <c r="AH23" s="7">
        <f t="shared" ref="AH23:AM23" si="40">SUM(AH19,AH20,AH21,AH22)</f>
        <v>7659.6240000000089</v>
      </c>
      <c r="AI23" s="7">
        <f t="shared" si="40"/>
        <v>-429.29999999999762</v>
      </c>
      <c r="AJ23" s="7">
        <f t="shared" si="40"/>
        <v>4221.5000000000018</v>
      </c>
      <c r="AK23" s="7">
        <f t="shared" si="40"/>
        <v>1179.1349999999989</v>
      </c>
      <c r="AL23" s="7">
        <f t="shared" si="40"/>
        <v>9100.7370000000137</v>
      </c>
      <c r="AM23" s="7">
        <f t="shared" si="40"/>
        <v>-2786.8999999999996</v>
      </c>
      <c r="AN23" s="7">
        <f t="shared" ref="AN23:AT23" si="41">SUM(AN19,AN20,AN21,AN22)</f>
        <v>4701.3999999999996</v>
      </c>
      <c r="AO23" s="7">
        <f t="shared" si="41"/>
        <v>914.80000000000041</v>
      </c>
      <c r="AP23" s="7">
        <f t="shared" si="41"/>
        <v>-16090.381999999998</v>
      </c>
      <c r="AQ23" s="7">
        <f t="shared" si="41"/>
        <v>-898.07199999999773</v>
      </c>
      <c r="AR23" s="7">
        <f t="shared" si="41"/>
        <v>265.60000000000161</v>
      </c>
      <c r="AS23" s="7">
        <f t="shared" si="41"/>
        <v>-437.2000000000005</v>
      </c>
      <c r="AT23" s="7">
        <f t="shared" si="41"/>
        <v>-7101.0280000000066</v>
      </c>
      <c r="AU23" s="7">
        <f t="shared" ref="AU23:AZ23" si="42">SUM(AU19,AU20,AU21,AU22)</f>
        <v>1435.8999999999996</v>
      </c>
      <c r="AV23" s="7">
        <f t="shared" si="42"/>
        <v>-162.20000000000181</v>
      </c>
      <c r="AW23" s="7">
        <f t="shared" si="42"/>
        <v>841.5</v>
      </c>
      <c r="AX23" s="7">
        <f t="shared" si="42"/>
        <v>-9811.8090000000029</v>
      </c>
      <c r="AY23" s="7">
        <f t="shared" si="42"/>
        <v>552.50000000000114</v>
      </c>
      <c r="AZ23" s="7">
        <f t="shared" si="42"/>
        <v>492.49999999999864</v>
      </c>
      <c r="BA23" s="7">
        <f>SUM(BA19,BA20,BA21,BA22)</f>
        <v>1096.4859999999992</v>
      </c>
      <c r="BB23" s="7">
        <f>SUM(BB19,BB20,BB21,BB22)</f>
        <v>-2776.8189999999968</v>
      </c>
      <c r="BC23" s="7">
        <f>SUM(BC19,BC20,BC21,BC22)</f>
        <v>1243.9000000000003</v>
      </c>
      <c r="BD23" s="7"/>
      <c r="BF23" s="7">
        <f t="shared" ref="BF23:BL23" si="43">SUM(BF19,BF20,BF21,BF22)</f>
        <v>3522.4059999999922</v>
      </c>
      <c r="BG23" s="7">
        <f t="shared" si="43"/>
        <v>-1744.1000000000015</v>
      </c>
      <c r="BH23" s="7">
        <f t="shared" si="43"/>
        <v>1540.8000000000015</v>
      </c>
      <c r="BI23" s="7">
        <f t="shared" si="43"/>
        <v>-1413.2000000000014</v>
      </c>
      <c r="BJ23" s="7">
        <f t="shared" si="43"/>
        <v>4058.399999999996</v>
      </c>
      <c r="BK23" s="7">
        <f t="shared" si="43"/>
        <v>-945.54400000000135</v>
      </c>
      <c r="BL23" s="7">
        <f t="shared" si="43"/>
        <v>-12.500000000000181</v>
      </c>
    </row>
    <row r="24" spans="2:64" s="5" customFormat="1" ht="14.25" customHeight="1">
      <c r="B24" s="6" t="s">
        <v>313</v>
      </c>
      <c r="C24" s="4">
        <v>-2872.2350000000001</v>
      </c>
      <c r="D24" s="4">
        <v>-4037.931</v>
      </c>
      <c r="E24" s="4">
        <v>-4390.5039999999999</v>
      </c>
      <c r="F24" s="4">
        <v>-2776.4450000000002</v>
      </c>
      <c r="G24" s="4">
        <v>-2668.4450000000002</v>
      </c>
      <c r="H24" s="4">
        <v>-5227.8999999999996</v>
      </c>
      <c r="I24" s="4">
        <v>-7493.8180000000002</v>
      </c>
      <c r="J24" s="4">
        <v>-1673</v>
      </c>
      <c r="K24" s="4">
        <v>967.37699999999995</v>
      </c>
      <c r="L24" s="4">
        <v>1352.8889999999999</v>
      </c>
      <c r="M24" s="4">
        <v>-2440.9</v>
      </c>
      <c r="N24" s="4">
        <v>-2360.634</v>
      </c>
      <c r="O24" s="4">
        <v>-688.58699999999999</v>
      </c>
      <c r="P24" s="4">
        <v>-7926.3810000000003</v>
      </c>
      <c r="Q24" s="32">
        <f>SUM(AZ24:BC24)</f>
        <v>-7891.9809999999998</v>
      </c>
      <c r="R24" s="32"/>
      <c r="S24" s="4">
        <v>-798.01300000000003</v>
      </c>
      <c r="T24" s="4">
        <v>-968.58299999999997</v>
      </c>
      <c r="U24" s="4">
        <v>-906.00599999999997</v>
      </c>
      <c r="V24" s="86">
        <f>D24-U24-T24-S24</f>
        <v>-1365.3290000000002</v>
      </c>
      <c r="W24" s="4">
        <v>-535.71500000000003</v>
      </c>
      <c r="X24" s="4">
        <v>-2563.5</v>
      </c>
      <c r="Y24" s="4">
        <v>-699.48699999999997</v>
      </c>
      <c r="Z24" s="86">
        <f>E24-Y24-X24-W24</f>
        <v>-591.80199999999979</v>
      </c>
      <c r="AA24" s="4">
        <v>-503.98700000000002</v>
      </c>
      <c r="AB24" s="4">
        <v>-741.9</v>
      </c>
      <c r="AC24" s="4">
        <v>-726.78399999999999</v>
      </c>
      <c r="AD24" s="32">
        <f>F24-AA24-AB24-AC24</f>
        <v>-803.774</v>
      </c>
      <c r="AE24" s="4">
        <v>1725.9</v>
      </c>
      <c r="AF24" s="4">
        <v>-752.5</v>
      </c>
      <c r="AG24" s="4">
        <v>-2119.1999999999998</v>
      </c>
      <c r="AH24" s="32">
        <f>H24-AE24-AF24-AG24</f>
        <v>-4082.0999999999995</v>
      </c>
      <c r="AI24" s="4">
        <v>103.5</v>
      </c>
      <c r="AJ24" s="4">
        <v>-1800</v>
      </c>
      <c r="AK24" s="4">
        <v>-111.462</v>
      </c>
      <c r="AL24" s="32">
        <f>I24-AI24-AJ24-AK24</f>
        <v>-5685.8559999999998</v>
      </c>
      <c r="AM24" s="4">
        <v>878.1</v>
      </c>
      <c r="AN24" s="4">
        <v>-1510.9</v>
      </c>
      <c r="AO24" s="4">
        <v>-351.5</v>
      </c>
      <c r="AP24" s="32">
        <f>K24-AM24-AN24-AO24</f>
        <v>1951.6770000000001</v>
      </c>
      <c r="AQ24" s="4">
        <v>187.965</v>
      </c>
      <c r="AR24" s="4">
        <v>-93.1</v>
      </c>
      <c r="AS24" s="4">
        <v>-869</v>
      </c>
      <c r="AT24" s="32">
        <f>M24-AQ24-AR24-AS24</f>
        <v>-1666.7650000000003</v>
      </c>
      <c r="AU24" s="4">
        <v>-541</v>
      </c>
      <c r="AV24" s="4">
        <v>84.2</v>
      </c>
      <c r="AW24" s="4">
        <v>-171</v>
      </c>
      <c r="AX24" s="32">
        <f>O24-SUM(AU24:AW24)</f>
        <v>-60.787000000000035</v>
      </c>
      <c r="AY24" s="4">
        <v>-221</v>
      </c>
      <c r="AZ24" s="4">
        <v>60</v>
      </c>
      <c r="BA24" s="4">
        <v>-3008.1759999999999</v>
      </c>
      <c r="BB24" s="32">
        <f>P24-SUM(AY24:BA24)</f>
        <v>-4757.2049999999999</v>
      </c>
      <c r="BC24" s="4">
        <v>-186.6</v>
      </c>
      <c r="BD24" s="4"/>
      <c r="BF24" s="32">
        <f>G24-AA24-AB24-AC24</f>
        <v>-695.774</v>
      </c>
      <c r="BG24" s="4">
        <v>762.9</v>
      </c>
      <c r="BH24" s="4">
        <v>-419.6</v>
      </c>
      <c r="BI24" s="4">
        <v>-5</v>
      </c>
      <c r="BJ24" s="32">
        <f>J24-BG24-BH24-BI24</f>
        <v>-2011.3000000000002</v>
      </c>
      <c r="BK24" s="4">
        <v>232.2</v>
      </c>
      <c r="BL24" s="4">
        <v>-50.8</v>
      </c>
    </row>
    <row r="25" spans="2:64" s="5" customFormat="1" ht="14.25" customHeight="1">
      <c r="B25" s="14" t="s">
        <v>314</v>
      </c>
      <c r="C25" s="85">
        <f t="shared" ref="C25:H25" si="44">C23+C24</f>
        <v>5333.3910000000033</v>
      </c>
      <c r="D25" s="85">
        <f t="shared" si="44"/>
        <v>6026.3760000000148</v>
      </c>
      <c r="E25" s="85">
        <f t="shared" si="44"/>
        <v>7615.2370000000055</v>
      </c>
      <c r="F25" s="85">
        <f t="shared" si="44"/>
        <v>6202.8129999999928</v>
      </c>
      <c r="G25" s="85">
        <f t="shared" si="44"/>
        <v>6106.8129999999928</v>
      </c>
      <c r="H25" s="85">
        <f t="shared" si="44"/>
        <v>302.82400000000598</v>
      </c>
      <c r="I25" s="85">
        <f t="shared" ref="I25:Q25" si="45">I23+I24</f>
        <v>6578.2540000000072</v>
      </c>
      <c r="J25" s="85">
        <f t="shared" si="45"/>
        <v>768.89999999999782</v>
      </c>
      <c r="K25" s="85">
        <f t="shared" si="45"/>
        <v>-12293.704999999998</v>
      </c>
      <c r="L25" s="85">
        <f t="shared" si="45"/>
        <v>-11543.983000000007</v>
      </c>
      <c r="M25" s="85">
        <f t="shared" si="45"/>
        <v>-10611.600000000004</v>
      </c>
      <c r="N25" s="85">
        <f t="shared" si="45"/>
        <v>-9435.3680000000095</v>
      </c>
      <c r="O25" s="85">
        <f t="shared" si="45"/>
        <v>-8385.1960000000054</v>
      </c>
      <c r="P25" s="85">
        <f>P23+P24</f>
        <v>-8561.7140000000018</v>
      </c>
      <c r="Q25" s="85">
        <f t="shared" si="45"/>
        <v>-7835.9139999999979</v>
      </c>
      <c r="R25" s="85"/>
      <c r="S25" s="85">
        <f t="shared" ref="S25:Z25" si="46">S23+S24</f>
        <v>1714.1499999999955</v>
      </c>
      <c r="T25" s="85">
        <f t="shared" si="46"/>
        <v>1881.5530000000003</v>
      </c>
      <c r="U25" s="85">
        <f t="shared" si="46"/>
        <v>1520.5129999999995</v>
      </c>
      <c r="V25" s="85">
        <f t="shared" si="46"/>
        <v>910.16000000000031</v>
      </c>
      <c r="W25" s="85">
        <f t="shared" si="46"/>
        <v>994.89700000000005</v>
      </c>
      <c r="X25" s="85">
        <f t="shared" si="46"/>
        <v>4760.7409999999963</v>
      </c>
      <c r="Y25" s="85">
        <f t="shared" si="46"/>
        <v>1479.5849999999964</v>
      </c>
      <c r="Z25" s="85">
        <f t="shared" si="46"/>
        <v>380.01400000000774</v>
      </c>
      <c r="AA25" s="85">
        <f t="shared" ref="AA25:AG25" si="47">AA23+AA24</f>
        <v>858.09499999999798</v>
      </c>
      <c r="AB25" s="85">
        <f t="shared" si="47"/>
        <v>1263.4000000000028</v>
      </c>
      <c r="AC25" s="85">
        <f t="shared" si="47"/>
        <v>1158.6860000000015</v>
      </c>
      <c r="AD25" s="85">
        <f t="shared" si="47"/>
        <v>2922.6319999999923</v>
      </c>
      <c r="AE25" s="85">
        <f t="shared" si="47"/>
        <v>-8903.7000000000025</v>
      </c>
      <c r="AF25" s="85">
        <f>AF23+AF24</f>
        <v>1989.4000000000005</v>
      </c>
      <c r="AG25" s="85">
        <f t="shared" si="47"/>
        <v>3639.6000000000013</v>
      </c>
      <c r="AH25" s="85">
        <f t="shared" ref="AH25:AM25" si="48">AH23+AH24</f>
        <v>3577.5240000000094</v>
      </c>
      <c r="AI25" s="85">
        <f t="shared" si="48"/>
        <v>-325.79999999999762</v>
      </c>
      <c r="AJ25" s="85">
        <f t="shared" si="48"/>
        <v>2421.5000000000018</v>
      </c>
      <c r="AK25" s="85">
        <f t="shared" si="48"/>
        <v>1067.6729999999989</v>
      </c>
      <c r="AL25" s="85">
        <f t="shared" si="48"/>
        <v>3414.881000000014</v>
      </c>
      <c r="AM25" s="85">
        <f t="shared" si="48"/>
        <v>-1908.7999999999997</v>
      </c>
      <c r="AN25" s="85">
        <f t="shared" ref="AN25:AT25" si="49">AN23+AN24</f>
        <v>3190.4999999999995</v>
      </c>
      <c r="AO25" s="85">
        <f t="shared" si="49"/>
        <v>563.30000000000041</v>
      </c>
      <c r="AP25" s="85">
        <f t="shared" si="49"/>
        <v>-14138.704999999998</v>
      </c>
      <c r="AQ25" s="85">
        <f t="shared" si="49"/>
        <v>-710.1069999999977</v>
      </c>
      <c r="AR25" s="85">
        <f t="shared" si="49"/>
        <v>172.50000000000162</v>
      </c>
      <c r="AS25" s="85">
        <f t="shared" si="49"/>
        <v>-1306.2000000000005</v>
      </c>
      <c r="AT25" s="85">
        <f t="shared" si="49"/>
        <v>-8767.7930000000069</v>
      </c>
      <c r="AU25" s="85">
        <f t="shared" ref="AU25:AZ25" si="50">AU23+AU24</f>
        <v>894.89999999999964</v>
      </c>
      <c r="AV25" s="85">
        <f t="shared" si="50"/>
        <v>-78.000000000001805</v>
      </c>
      <c r="AW25" s="85">
        <f t="shared" si="50"/>
        <v>670.5</v>
      </c>
      <c r="AX25" s="85">
        <f t="shared" si="50"/>
        <v>-9872.5960000000032</v>
      </c>
      <c r="AY25" s="85">
        <f t="shared" si="50"/>
        <v>331.50000000000114</v>
      </c>
      <c r="AZ25" s="85">
        <f t="shared" si="50"/>
        <v>552.49999999999864</v>
      </c>
      <c r="BA25" s="85">
        <f>BA23+BA24</f>
        <v>-1911.6900000000007</v>
      </c>
      <c r="BB25" s="85">
        <f>BB23+BB24</f>
        <v>-7534.0239999999967</v>
      </c>
      <c r="BC25" s="85">
        <f>BC23+BC24</f>
        <v>1057.3000000000004</v>
      </c>
      <c r="BD25" s="85"/>
      <c r="BF25" s="85">
        <f t="shared" ref="BF25:BL25" si="51">BF23+BF24</f>
        <v>2826.6319999999923</v>
      </c>
      <c r="BG25" s="85">
        <f t="shared" si="51"/>
        <v>-981.20000000000152</v>
      </c>
      <c r="BH25" s="85">
        <f t="shared" si="51"/>
        <v>1121.2000000000016</v>
      </c>
      <c r="BI25" s="85">
        <f t="shared" si="51"/>
        <v>-1418.2000000000014</v>
      </c>
      <c r="BJ25" s="85">
        <f t="shared" si="51"/>
        <v>2047.0999999999958</v>
      </c>
      <c r="BK25" s="85">
        <f t="shared" si="51"/>
        <v>-713.34400000000142</v>
      </c>
      <c r="BL25" s="85">
        <f t="shared" si="51"/>
        <v>-63.300000000000182</v>
      </c>
    </row>
    <row r="26" spans="2:64" s="5" customFormat="1" ht="14.25" customHeight="1">
      <c r="B26" s="6" t="s">
        <v>315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6585.9</v>
      </c>
      <c r="K26" s="4">
        <v>55922.582999999999</v>
      </c>
      <c r="L26" s="4">
        <v>56827.807000000001</v>
      </c>
      <c r="M26" s="4">
        <v>0</v>
      </c>
      <c r="N26" s="4">
        <v>628.11599999999999</v>
      </c>
      <c r="O26" s="4">
        <v>56.816000000000003</v>
      </c>
      <c r="P26" s="4">
        <v>0</v>
      </c>
      <c r="Q26" s="32">
        <f>SUM(AZ26:BC26)</f>
        <v>0</v>
      </c>
      <c r="R26" s="32"/>
      <c r="S26" s="4">
        <v>0</v>
      </c>
      <c r="T26" s="4">
        <v>0</v>
      </c>
      <c r="U26" s="4">
        <v>0</v>
      </c>
      <c r="V26" s="86">
        <f>D26-U26-T26-S26</f>
        <v>0</v>
      </c>
      <c r="W26" s="4">
        <v>0</v>
      </c>
      <c r="X26" s="4">
        <v>0</v>
      </c>
      <c r="Y26" s="4">
        <v>0</v>
      </c>
      <c r="Z26" s="86">
        <f>E26-Y26-X26-W26</f>
        <v>0</v>
      </c>
      <c r="AA26" s="4">
        <v>0</v>
      </c>
      <c r="AB26" s="4">
        <v>0</v>
      </c>
      <c r="AC26" s="4">
        <v>0</v>
      </c>
      <c r="AD26" s="32">
        <f>F26-AA26-AB26-AC26</f>
        <v>0</v>
      </c>
      <c r="AE26" s="4">
        <v>0</v>
      </c>
      <c r="AF26" s="4">
        <v>0</v>
      </c>
      <c r="AG26" s="4">
        <v>0</v>
      </c>
      <c r="AH26" s="32">
        <f>H26-AE26-AF26-AG26</f>
        <v>0</v>
      </c>
      <c r="AI26" s="4">
        <v>0</v>
      </c>
      <c r="AJ26" s="4">
        <v>0</v>
      </c>
      <c r="AK26" s="4">
        <v>0</v>
      </c>
      <c r="AL26" s="32">
        <f>I26-AI26-AJ26-AK26</f>
        <v>0</v>
      </c>
      <c r="AM26" s="4">
        <v>54765.4</v>
      </c>
      <c r="AN26" s="4">
        <v>98.9</v>
      </c>
      <c r="AO26" s="4">
        <v>739.4</v>
      </c>
      <c r="AP26" s="32">
        <f>K26-AM26-AN26-AO26</f>
        <v>318.8829999999972</v>
      </c>
      <c r="AQ26" s="4">
        <v>0</v>
      </c>
      <c r="AR26" s="4">
        <v>0</v>
      </c>
      <c r="AS26" s="4">
        <v>0</v>
      </c>
      <c r="AT26" s="32">
        <f>M26-AQ26-AR26-AS26</f>
        <v>0</v>
      </c>
      <c r="AU26" s="4">
        <v>56.8</v>
      </c>
      <c r="AV26" s="4">
        <v>0</v>
      </c>
      <c r="AW26" s="4">
        <v>0</v>
      </c>
      <c r="AX26" s="32">
        <f>O26-SUM(AU26:AW26)</f>
        <v>1.6000000000005343E-2</v>
      </c>
      <c r="AY26" s="4">
        <v>0</v>
      </c>
      <c r="AZ26" s="4">
        <v>0</v>
      </c>
      <c r="BA26" s="4">
        <v>0</v>
      </c>
      <c r="BB26" s="32">
        <f>P26-SUM(AY26:BA26)</f>
        <v>0</v>
      </c>
      <c r="BC26" s="4">
        <v>0</v>
      </c>
      <c r="BD26" s="4"/>
      <c r="BE26" s="4"/>
      <c r="BF26" s="32">
        <f>G26-AA26-AB26-AC26</f>
        <v>0</v>
      </c>
      <c r="BG26" s="4">
        <v>655.4</v>
      </c>
      <c r="BH26" s="4">
        <v>1300.4000000000001</v>
      </c>
      <c r="BI26" s="4">
        <v>2485.9</v>
      </c>
      <c r="BJ26" s="32">
        <f>J26-BG26-BH26-BI26</f>
        <v>2144.2000000000003</v>
      </c>
      <c r="BK26" s="4">
        <v>3.2</v>
      </c>
      <c r="BL26" s="4">
        <v>235.8</v>
      </c>
    </row>
    <row r="27" spans="2:64" s="5" customFormat="1" ht="14.25" customHeight="1">
      <c r="B27" s="5" t="s">
        <v>316</v>
      </c>
      <c r="C27" s="7">
        <f t="shared" ref="C27:H27" si="52">C25+C26</f>
        <v>5333.3910000000033</v>
      </c>
      <c r="D27" s="7">
        <f t="shared" si="52"/>
        <v>6026.3760000000148</v>
      </c>
      <c r="E27" s="7">
        <f t="shared" si="52"/>
        <v>7615.2370000000055</v>
      </c>
      <c r="F27" s="7">
        <f t="shared" si="52"/>
        <v>6202.8129999999928</v>
      </c>
      <c r="G27" s="7">
        <f t="shared" si="52"/>
        <v>6106.8129999999928</v>
      </c>
      <c r="H27" s="7">
        <f t="shared" si="52"/>
        <v>302.82400000000598</v>
      </c>
      <c r="I27" s="7">
        <f t="shared" ref="I27:Q27" si="53">I25+I26</f>
        <v>6578.2540000000072</v>
      </c>
      <c r="J27" s="7">
        <f t="shared" si="53"/>
        <v>7354.7999999999975</v>
      </c>
      <c r="K27" s="7">
        <f t="shared" si="53"/>
        <v>43628.877999999997</v>
      </c>
      <c r="L27" s="7">
        <f t="shared" si="53"/>
        <v>45283.823999999993</v>
      </c>
      <c r="M27" s="7">
        <f t="shared" si="53"/>
        <v>-10611.600000000004</v>
      </c>
      <c r="N27" s="7">
        <f t="shared" si="53"/>
        <v>-8807.2520000000095</v>
      </c>
      <c r="O27" s="7">
        <f t="shared" si="53"/>
        <v>-8328.3800000000047</v>
      </c>
      <c r="P27" s="7">
        <f>P25+P26</f>
        <v>-8561.7140000000018</v>
      </c>
      <c r="Q27" s="85">
        <f t="shared" si="53"/>
        <v>-7835.9139999999979</v>
      </c>
      <c r="R27" s="85"/>
      <c r="S27" s="7">
        <f t="shared" ref="S27:Z27" si="54">S25+S26</f>
        <v>1714.1499999999955</v>
      </c>
      <c r="T27" s="7">
        <f t="shared" si="54"/>
        <v>1881.5530000000003</v>
      </c>
      <c r="U27" s="7">
        <f t="shared" si="54"/>
        <v>1520.5129999999995</v>
      </c>
      <c r="V27" s="85">
        <f t="shared" si="54"/>
        <v>910.16000000000031</v>
      </c>
      <c r="W27" s="7">
        <f t="shared" si="54"/>
        <v>994.89700000000005</v>
      </c>
      <c r="X27" s="7">
        <f t="shared" si="54"/>
        <v>4760.7409999999963</v>
      </c>
      <c r="Y27" s="7">
        <f t="shared" si="54"/>
        <v>1479.5849999999964</v>
      </c>
      <c r="Z27" s="85">
        <f t="shared" si="54"/>
        <v>380.01400000000774</v>
      </c>
      <c r="AA27" s="7">
        <f t="shared" ref="AA27:AG27" si="55">AA25+AA26</f>
        <v>858.09499999999798</v>
      </c>
      <c r="AB27" s="7">
        <f t="shared" si="55"/>
        <v>1263.4000000000028</v>
      </c>
      <c r="AC27" s="7">
        <f t="shared" si="55"/>
        <v>1158.6860000000015</v>
      </c>
      <c r="AD27" s="7">
        <f t="shared" si="55"/>
        <v>2922.6319999999923</v>
      </c>
      <c r="AE27" s="7">
        <f t="shared" si="55"/>
        <v>-8903.7000000000025</v>
      </c>
      <c r="AF27" s="7">
        <f t="shared" si="55"/>
        <v>1989.4000000000005</v>
      </c>
      <c r="AG27" s="7">
        <f t="shared" si="55"/>
        <v>3639.6000000000013</v>
      </c>
      <c r="AH27" s="7">
        <f t="shared" ref="AH27:AM27" si="56">AH25+AH26</f>
        <v>3577.5240000000094</v>
      </c>
      <c r="AI27" s="7">
        <f t="shared" si="56"/>
        <v>-325.79999999999762</v>
      </c>
      <c r="AJ27" s="7">
        <f t="shared" si="56"/>
        <v>2421.5000000000018</v>
      </c>
      <c r="AK27" s="7">
        <f t="shared" si="56"/>
        <v>1067.6729999999989</v>
      </c>
      <c r="AL27" s="7">
        <f t="shared" si="56"/>
        <v>3414.881000000014</v>
      </c>
      <c r="AM27" s="7">
        <f t="shared" si="56"/>
        <v>52856.6</v>
      </c>
      <c r="AN27" s="7">
        <f t="shared" ref="AN27:AT27" si="57">AN25+AN26</f>
        <v>3289.3999999999996</v>
      </c>
      <c r="AO27" s="7">
        <f t="shared" si="57"/>
        <v>1302.7000000000003</v>
      </c>
      <c r="AP27" s="7">
        <f t="shared" si="57"/>
        <v>-13819.822</v>
      </c>
      <c r="AQ27" s="7">
        <f t="shared" si="57"/>
        <v>-710.1069999999977</v>
      </c>
      <c r="AR27" s="7">
        <f t="shared" si="57"/>
        <v>172.50000000000162</v>
      </c>
      <c r="AS27" s="7">
        <f t="shared" si="57"/>
        <v>-1306.2000000000005</v>
      </c>
      <c r="AT27" s="7">
        <f t="shared" si="57"/>
        <v>-8767.7930000000069</v>
      </c>
      <c r="AU27" s="7">
        <f t="shared" ref="AU27:AZ27" si="58">AU25+AU26</f>
        <v>951.69999999999959</v>
      </c>
      <c r="AV27" s="7">
        <f t="shared" si="58"/>
        <v>-78.000000000001805</v>
      </c>
      <c r="AW27" s="7">
        <f t="shared" si="58"/>
        <v>670.5</v>
      </c>
      <c r="AX27" s="7">
        <f t="shared" si="58"/>
        <v>-9872.5800000000036</v>
      </c>
      <c r="AY27" s="7">
        <f t="shared" si="58"/>
        <v>331.50000000000114</v>
      </c>
      <c r="AZ27" s="7">
        <f t="shared" si="58"/>
        <v>552.49999999999864</v>
      </c>
      <c r="BA27" s="7">
        <f>BA25+BA26</f>
        <v>-1911.6900000000007</v>
      </c>
      <c r="BB27" s="7">
        <f>BB25+BB26</f>
        <v>-7534.0239999999967</v>
      </c>
      <c r="BC27" s="7">
        <f>BC25+BC26</f>
        <v>1057.3000000000004</v>
      </c>
      <c r="BD27" s="7"/>
      <c r="BF27" s="7">
        <f t="shared" ref="BF27:BL27" si="59">BF25+BF26</f>
        <v>2826.6319999999923</v>
      </c>
      <c r="BG27" s="7">
        <f t="shared" si="59"/>
        <v>-325.80000000000155</v>
      </c>
      <c r="BH27" s="7">
        <f t="shared" si="59"/>
        <v>2421.6000000000017</v>
      </c>
      <c r="BI27" s="7">
        <f t="shared" si="59"/>
        <v>1067.6999999999987</v>
      </c>
      <c r="BJ27" s="7">
        <f t="shared" si="59"/>
        <v>4191.2999999999956</v>
      </c>
      <c r="BK27" s="7">
        <f t="shared" si="59"/>
        <v>-710.14400000000137</v>
      </c>
      <c r="BL27" s="7">
        <f t="shared" si="59"/>
        <v>172.49999999999983</v>
      </c>
    </row>
    <row r="28" spans="2:64" s="37" customFormat="1" ht="13.5" customHeight="1">
      <c r="B28" s="50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H28" s="62"/>
      <c r="AI28" s="62"/>
      <c r="AJ28" s="62"/>
      <c r="AL28" s="62"/>
      <c r="AN28" s="62"/>
      <c r="AP28" s="62"/>
      <c r="AR28" s="62"/>
      <c r="AT28" s="62"/>
      <c r="AU28" s="62"/>
      <c r="AV28" s="62"/>
      <c r="AX28" s="62"/>
      <c r="AY28" s="62"/>
      <c r="AZ28" s="62"/>
      <c r="BB28" s="62"/>
      <c r="BC28" s="62"/>
      <c r="BF28" s="62"/>
      <c r="BJ28" s="62"/>
      <c r="BL28" s="62"/>
    </row>
    <row r="29" spans="2:64" s="5" customFormat="1" ht="13.5" customHeight="1">
      <c r="B29" s="344" t="s">
        <v>317</v>
      </c>
      <c r="C29" s="345"/>
      <c r="D29" s="345"/>
      <c r="E29" s="345"/>
      <c r="F29" s="345"/>
      <c r="G29" s="345"/>
      <c r="H29" s="345"/>
      <c r="I29" s="345"/>
      <c r="J29" s="345"/>
      <c r="K29" s="345"/>
      <c r="L29" s="345"/>
      <c r="M29" s="345"/>
      <c r="N29" s="345"/>
      <c r="O29" s="345"/>
      <c r="P29" s="345"/>
      <c r="Q29" s="345"/>
      <c r="R29" s="24"/>
      <c r="S29" s="345"/>
      <c r="T29" s="345"/>
      <c r="U29" s="345"/>
      <c r="V29" s="345"/>
      <c r="W29" s="345"/>
      <c r="X29" s="345"/>
      <c r="Y29" s="345"/>
      <c r="Z29" s="345"/>
      <c r="AA29" s="345"/>
      <c r="AB29" s="345"/>
      <c r="AC29" s="345"/>
      <c r="AD29" s="345"/>
      <c r="AE29" s="345"/>
      <c r="AF29" s="345"/>
      <c r="AG29" s="345"/>
      <c r="AH29" s="345"/>
      <c r="AI29" s="345"/>
      <c r="AJ29" s="345"/>
      <c r="AK29" s="345"/>
      <c r="AL29" s="345"/>
      <c r="AM29" s="345"/>
      <c r="AN29" s="345"/>
      <c r="AO29" s="345"/>
      <c r="AP29" s="345"/>
      <c r="AQ29" s="345"/>
      <c r="AR29" s="345"/>
      <c r="AS29" s="345"/>
      <c r="AT29" s="345"/>
      <c r="AU29" s="345"/>
      <c r="AV29" s="345"/>
      <c r="AW29" s="345"/>
      <c r="AX29" s="345"/>
      <c r="AY29" s="345"/>
      <c r="AZ29" s="345"/>
      <c r="BA29" s="345"/>
      <c r="BB29" s="345"/>
      <c r="BC29" s="345"/>
      <c r="BD29" s="24"/>
      <c r="BF29" s="346"/>
      <c r="BG29" s="346"/>
      <c r="BH29" s="346"/>
      <c r="BI29" s="346"/>
      <c r="BJ29" s="346"/>
      <c r="BK29" s="346"/>
      <c r="BL29" s="346"/>
    </row>
    <row r="30" spans="2:64" s="37" customFormat="1" ht="13.5" customHeight="1">
      <c r="B30" s="358" t="str">
        <f>B12</f>
        <v>COGS</v>
      </c>
      <c r="C30" s="223">
        <f t="shared" ref="C30:Q30" si="60">-C12/C9</f>
        <v>0.54397345862490831</v>
      </c>
      <c r="D30" s="26">
        <f t="shared" si="60"/>
        <v>0.56614522226567587</v>
      </c>
      <c r="E30" s="26">
        <f t="shared" si="60"/>
        <v>0.57106985129682086</v>
      </c>
      <c r="F30" s="26">
        <f t="shared" si="60"/>
        <v>0.57861956873308307</v>
      </c>
      <c r="G30" s="26">
        <f t="shared" si="60"/>
        <v>0.58047364735860763</v>
      </c>
      <c r="H30" s="26">
        <f t="shared" si="60"/>
        <v>0.58533996050230619</v>
      </c>
      <c r="I30" s="223">
        <f t="shared" si="60"/>
        <v>0.57535231967466416</v>
      </c>
      <c r="J30" s="26">
        <f t="shared" si="60"/>
        <v>0.63117564134131732</v>
      </c>
      <c r="K30" s="26">
        <f t="shared" si="60"/>
        <v>0.64623060198558635</v>
      </c>
      <c r="L30" s="26">
        <f t="shared" si="60"/>
        <v>0.6318918852587937</v>
      </c>
      <c r="M30" s="26">
        <f t="shared" si="60"/>
        <v>0.66280319759678674</v>
      </c>
      <c r="N30" s="26">
        <f t="shared" si="60"/>
        <v>0.6538143428348494</v>
      </c>
      <c r="O30" s="26">
        <f t="shared" si="60"/>
        <v>0.66039933207480062</v>
      </c>
      <c r="P30" s="26">
        <f t="shared" si="60"/>
        <v>0.61813652433033306</v>
      </c>
      <c r="Q30" s="26">
        <f t="shared" si="60"/>
        <v>0.6166219451341689</v>
      </c>
      <c r="R30" s="4"/>
      <c r="S30" s="26">
        <f t="shared" ref="S30:BB30" si="61">-S12/S9</f>
        <v>0.57644798513275319</v>
      </c>
      <c r="T30" s="26">
        <f t="shared" si="61"/>
        <v>0.55798853626266498</v>
      </c>
      <c r="U30" s="26">
        <f t="shared" si="61"/>
        <v>0.55562039447557687</v>
      </c>
      <c r="V30" s="26">
        <f t="shared" si="61"/>
        <v>0.5738302022537618</v>
      </c>
      <c r="W30" s="26">
        <f t="shared" si="61"/>
        <v>0.57253235139400316</v>
      </c>
      <c r="X30" s="26">
        <f t="shared" si="61"/>
        <v>0.56474668374416714</v>
      </c>
      <c r="Y30" s="26">
        <f t="shared" si="61"/>
        <v>0.56758628541297163</v>
      </c>
      <c r="Z30" s="26">
        <f t="shared" si="61"/>
        <v>0.57939899683190355</v>
      </c>
      <c r="AA30" s="26">
        <f t="shared" si="61"/>
        <v>0.56695454623170571</v>
      </c>
      <c r="AB30" s="26">
        <f t="shared" si="61"/>
        <v>0.56835722160970226</v>
      </c>
      <c r="AC30" s="26">
        <f t="shared" si="61"/>
        <v>0.57963327521298347</v>
      </c>
      <c r="AD30" s="26">
        <f t="shared" si="61"/>
        <v>0.59633962965417719</v>
      </c>
      <c r="AE30" s="26">
        <f t="shared" si="61"/>
        <v>0.5914209946273592</v>
      </c>
      <c r="AF30" s="26">
        <f t="shared" si="61"/>
        <v>0.62220179228105243</v>
      </c>
      <c r="AG30" s="26">
        <f t="shared" si="61"/>
        <v>0.5793342521822662</v>
      </c>
      <c r="AH30" s="26">
        <f t="shared" si="61"/>
        <v>0.55570163001823358</v>
      </c>
      <c r="AI30" s="26">
        <f t="shared" si="61"/>
        <v>0.58267901581692816</v>
      </c>
      <c r="AJ30" s="26">
        <f t="shared" si="61"/>
        <v>0.58761291469385768</v>
      </c>
      <c r="AK30" s="26">
        <f t="shared" si="61"/>
        <v>0.58780795232921235</v>
      </c>
      <c r="AL30" s="26">
        <f t="shared" si="61"/>
        <v>0.54746396761111105</v>
      </c>
      <c r="AM30" s="26">
        <f t="shared" si="61"/>
        <v>0.63554048535133156</v>
      </c>
      <c r="AN30" s="26">
        <f t="shared" si="61"/>
        <v>0.63928561793509053</v>
      </c>
      <c r="AO30" s="26">
        <f t="shared" si="61"/>
        <v>0.63522182456614218</v>
      </c>
      <c r="AP30" s="26">
        <f t="shared" si="61"/>
        <v>0.67443367360245743</v>
      </c>
      <c r="AQ30" s="26">
        <f t="shared" si="61"/>
        <v>0.65238717203521246</v>
      </c>
      <c r="AR30" s="26">
        <f t="shared" si="61"/>
        <v>0.6546257599809937</v>
      </c>
      <c r="AS30" s="26">
        <f t="shared" si="61"/>
        <v>0.67443957115009745</v>
      </c>
      <c r="AT30" s="26">
        <f t="shared" si="61"/>
        <v>0.67035171752830491</v>
      </c>
      <c r="AU30" s="26">
        <f t="shared" si="61"/>
        <v>0.6527264064596211</v>
      </c>
      <c r="AV30" s="26">
        <f t="shared" si="61"/>
        <v>0.66834602393084108</v>
      </c>
      <c r="AW30" s="26">
        <f t="shared" si="61"/>
        <v>0.64729736766735224</v>
      </c>
      <c r="AX30" s="26">
        <f t="shared" si="61"/>
        <v>0.67345250645525112</v>
      </c>
      <c r="AY30" s="26">
        <f t="shared" si="61"/>
        <v>0.61544317999679432</v>
      </c>
      <c r="AZ30" s="26">
        <f t="shared" si="61"/>
        <v>0.61236031338683183</v>
      </c>
      <c r="BA30" s="26">
        <f t="shared" si="61"/>
        <v>0.63298561312895818</v>
      </c>
      <c r="BB30" s="26">
        <f t="shared" si="61"/>
        <v>0.6118271132158889</v>
      </c>
      <c r="BC30" s="26">
        <f>-BC12/BC9</f>
        <v>0.60926098191214473</v>
      </c>
      <c r="BD30" s="47"/>
      <c r="BF30" s="26">
        <f t="shared" ref="BF30:BL30" si="62">-BF12/BF9</f>
        <v>0.60284764183341932</v>
      </c>
      <c r="BG30" s="26">
        <f t="shared" si="62"/>
        <v>0.63161749610205142</v>
      </c>
      <c r="BH30" s="26">
        <f t="shared" si="62"/>
        <v>0.64414119379232315</v>
      </c>
      <c r="BI30" s="26">
        <f t="shared" si="62"/>
        <v>0.61892620265625253</v>
      </c>
      <c r="BJ30" s="26">
        <f t="shared" si="62"/>
        <v>0.6301257096727938</v>
      </c>
      <c r="BK30" s="26">
        <f t="shared" si="62"/>
        <v>0.63955757970071581</v>
      </c>
      <c r="BL30" s="26">
        <f t="shared" si="62"/>
        <v>0.64681286952562944</v>
      </c>
    </row>
    <row r="31" spans="2:64" s="37" customFormat="1" ht="13.5" customHeight="1">
      <c r="B31" s="358" t="str">
        <f>B15</f>
        <v>Distribution costs</v>
      </c>
      <c r="C31" s="223">
        <f t="shared" ref="C31:Q31" si="63">-C15/C9</f>
        <v>0.11320998386081667</v>
      </c>
      <c r="D31" s="26">
        <f t="shared" si="63"/>
        <v>0.11162538921336691</v>
      </c>
      <c r="E31" s="26">
        <f t="shared" si="63"/>
        <v>0.10883901728140059</v>
      </c>
      <c r="F31" s="26">
        <f t="shared" si="63"/>
        <v>0.11028446615015595</v>
      </c>
      <c r="G31" s="26">
        <f t="shared" si="63"/>
        <v>0.10907349133423813</v>
      </c>
      <c r="H31" s="26">
        <f t="shared" si="63"/>
        <v>0.1064750207458515</v>
      </c>
      <c r="I31" s="223">
        <f t="shared" si="63"/>
        <v>0.10104387361880209</v>
      </c>
      <c r="J31" s="26">
        <f t="shared" si="63"/>
        <v>0.1095793298825414</v>
      </c>
      <c r="K31" s="26">
        <f t="shared" si="63"/>
        <v>0.12476286337706489</v>
      </c>
      <c r="L31" s="26">
        <f t="shared" si="63"/>
        <v>0.13343067150396101</v>
      </c>
      <c r="M31" s="26">
        <f t="shared" si="63"/>
        <v>0.12399566749222901</v>
      </c>
      <c r="N31" s="26">
        <f t="shared" si="63"/>
        <v>0.13361223309735634</v>
      </c>
      <c r="O31" s="26">
        <f t="shared" si="63"/>
        <v>0.14158510553274684</v>
      </c>
      <c r="P31" s="26">
        <f t="shared" si="63"/>
        <v>0.13114900858807554</v>
      </c>
      <c r="Q31" s="26">
        <f t="shared" si="63"/>
        <v>0.12758280330828067</v>
      </c>
      <c r="R31" s="4"/>
      <c r="S31" s="26">
        <f t="shared" ref="S31:BB31" si="64">-S15/S9</f>
        <v>0.11876343130958401</v>
      </c>
      <c r="T31" s="26">
        <f t="shared" si="64"/>
        <v>0.10838162842519411</v>
      </c>
      <c r="U31" s="26">
        <f t="shared" si="64"/>
        <v>0.10909945726514585</v>
      </c>
      <c r="V31" s="26">
        <f t="shared" si="64"/>
        <v>0.1106660870033587</v>
      </c>
      <c r="W31" s="26">
        <f t="shared" si="64"/>
        <v>0.11315842539014553</v>
      </c>
      <c r="X31" s="26">
        <f t="shared" si="64"/>
        <v>0.10659805705982368</v>
      </c>
      <c r="Y31" s="26">
        <f t="shared" si="64"/>
        <v>0.10424871770289058</v>
      </c>
      <c r="Z31" s="26">
        <f t="shared" si="64"/>
        <v>0.11168967619589082</v>
      </c>
      <c r="AA31" s="26">
        <f t="shared" si="64"/>
        <v>0.11816030638763508</v>
      </c>
      <c r="AB31" s="26">
        <f t="shared" si="64"/>
        <v>0.11447448534614688</v>
      </c>
      <c r="AC31" s="26">
        <f t="shared" si="64"/>
        <v>0.10847831523815361</v>
      </c>
      <c r="AD31" s="26">
        <f t="shared" si="64"/>
        <v>0.10173072165384342</v>
      </c>
      <c r="AE31" s="26">
        <f t="shared" si="64"/>
        <v>0.117009918721587</v>
      </c>
      <c r="AF31" s="26">
        <f t="shared" si="64"/>
        <v>0.11328501553072227</v>
      </c>
      <c r="AG31" s="26">
        <f t="shared" si="64"/>
        <v>9.657519943198431E-2</v>
      </c>
      <c r="AH31" s="26">
        <f t="shared" si="64"/>
        <v>0.1007061461487057</v>
      </c>
      <c r="AI31" s="26">
        <f t="shared" si="64"/>
        <v>0.1058630486510078</v>
      </c>
      <c r="AJ31" s="26">
        <f t="shared" si="64"/>
        <v>0.10390171775770406</v>
      </c>
      <c r="AK31" s="26">
        <f t="shared" si="64"/>
        <v>0.10113500654301402</v>
      </c>
      <c r="AL31" s="26">
        <f t="shared" si="64"/>
        <v>9.4520255828017388E-2</v>
      </c>
      <c r="AM31" s="26">
        <f t="shared" si="64"/>
        <v>0.11463147260494808</v>
      </c>
      <c r="AN31" s="26">
        <f t="shared" si="64"/>
        <v>0.11318962958966197</v>
      </c>
      <c r="AO31" s="26">
        <f t="shared" si="64"/>
        <v>0.12790558755850132</v>
      </c>
      <c r="AP31" s="26">
        <f t="shared" si="64"/>
        <v>0.14266601415445543</v>
      </c>
      <c r="AQ31" s="26">
        <f t="shared" si="64"/>
        <v>0.12087107773679963</v>
      </c>
      <c r="AR31" s="26">
        <f t="shared" si="64"/>
        <v>0.119485750693837</v>
      </c>
      <c r="AS31" s="26">
        <f t="shared" si="64"/>
        <v>0.12583455165692006</v>
      </c>
      <c r="AT31" s="26">
        <f t="shared" si="64"/>
        <v>0.12947042760345373</v>
      </c>
      <c r="AU31" s="26">
        <f t="shared" si="64"/>
        <v>0.14762967513823239</v>
      </c>
      <c r="AV31" s="26">
        <f t="shared" si="64"/>
        <v>0.13988918786537152</v>
      </c>
      <c r="AW31" s="26">
        <f t="shared" si="64"/>
        <v>0.13873773010128362</v>
      </c>
      <c r="AX31" s="26">
        <f t="shared" si="64"/>
        <v>0.13987653257205723</v>
      </c>
      <c r="AY31" s="26">
        <f t="shared" si="64"/>
        <v>0.13553186942351872</v>
      </c>
      <c r="AZ31" s="26">
        <f t="shared" si="64"/>
        <v>0.15261314106480917</v>
      </c>
      <c r="BA31" s="26">
        <f t="shared" si="64"/>
        <v>0.11315425369072145</v>
      </c>
      <c r="BB31" s="26">
        <f t="shared" si="64"/>
        <v>0.12299877152038914</v>
      </c>
      <c r="BC31" s="26">
        <f>-BC15/BC9</f>
        <v>0.12131610680447889</v>
      </c>
      <c r="BD31" s="47"/>
      <c r="BF31" s="26">
        <f t="shared" ref="BF31:BL31" si="65">-BF15/BF9</f>
        <v>9.7451761397741504E-2</v>
      </c>
      <c r="BG31" s="26">
        <f t="shared" si="65"/>
        <v>0.10970297908701997</v>
      </c>
      <c r="BH31" s="26">
        <f t="shared" si="65"/>
        <v>0.10666940927470646</v>
      </c>
      <c r="BI31" s="26">
        <f t="shared" si="65"/>
        <v>0.10943997073711277</v>
      </c>
      <c r="BJ31" s="26">
        <f t="shared" si="65"/>
        <v>0.11245359576400363</v>
      </c>
      <c r="BK31" s="26">
        <f t="shared" si="65"/>
        <v>0.12909695403293681</v>
      </c>
      <c r="BL31" s="26">
        <f t="shared" si="65"/>
        <v>0.12792250968928398</v>
      </c>
    </row>
    <row r="32" spans="2:64" s="37" customFormat="1" ht="13.5" customHeight="1">
      <c r="B32" s="358" t="s">
        <v>318</v>
      </c>
      <c r="C32" s="223">
        <f t="shared" ref="C32:Q32" si="66">-C16/C9</f>
        <v>0.13785185808319675</v>
      </c>
      <c r="D32" s="26">
        <f t="shared" si="66"/>
        <v>0.14381914213847766</v>
      </c>
      <c r="E32" s="26">
        <f t="shared" si="66"/>
        <v>0.13555502787752649</v>
      </c>
      <c r="F32" s="26">
        <f t="shared" si="66"/>
        <v>0.13074101737945706</v>
      </c>
      <c r="G32" s="26">
        <f t="shared" si="66"/>
        <v>0.13040053654788256</v>
      </c>
      <c r="H32" s="26">
        <f t="shared" si="66"/>
        <v>0.13058179569993658</v>
      </c>
      <c r="I32" s="223">
        <f t="shared" si="66"/>
        <v>0.13244350420683762</v>
      </c>
      <c r="J32" s="26">
        <f t="shared" si="66"/>
        <v>0.16491150693901407</v>
      </c>
      <c r="K32" s="26">
        <f t="shared" si="66"/>
        <v>0.15970440298729685</v>
      </c>
      <c r="L32" s="26">
        <f t="shared" si="66"/>
        <v>0.16529228383773245</v>
      </c>
      <c r="M32" s="26">
        <f t="shared" si="66"/>
        <v>0.16534156455585697</v>
      </c>
      <c r="N32" s="26">
        <f t="shared" si="66"/>
        <v>0.17072085224498693</v>
      </c>
      <c r="O32" s="26">
        <f t="shared" si="66"/>
        <v>0.17013225193919571</v>
      </c>
      <c r="P32" s="26">
        <f t="shared" si="66"/>
        <v>0.16173891333202556</v>
      </c>
      <c r="Q32" s="26">
        <f t="shared" si="66"/>
        <v>0.1569916317239573</v>
      </c>
      <c r="R32" s="47"/>
      <c r="S32" s="26">
        <f t="shared" ref="S32:BB32" si="67">-S16/S9</f>
        <v>0.14806065326610282</v>
      </c>
      <c r="T32" s="26">
        <f t="shared" si="67"/>
        <v>0.14688899237491732</v>
      </c>
      <c r="U32" s="26">
        <f t="shared" si="67"/>
        <v>0.15089811587168514</v>
      </c>
      <c r="V32" s="26">
        <f t="shared" si="67"/>
        <v>0.13135052573666608</v>
      </c>
      <c r="W32" s="26">
        <f t="shared" si="67"/>
        <v>0.14868275469051379</v>
      </c>
      <c r="X32" s="26">
        <f t="shared" si="67"/>
        <v>0.12700780471728498</v>
      </c>
      <c r="Y32" s="26">
        <f t="shared" si="67"/>
        <v>0.13744750970710898</v>
      </c>
      <c r="Z32" s="26">
        <f t="shared" si="67"/>
        <v>0.13111825937992097</v>
      </c>
      <c r="AA32" s="26">
        <f t="shared" si="67"/>
        <v>0.15847438790863086</v>
      </c>
      <c r="AB32" s="26">
        <f t="shared" si="67"/>
        <v>0.13644292320097418</v>
      </c>
      <c r="AC32" s="26">
        <f t="shared" si="67"/>
        <v>0.11856310921029735</v>
      </c>
      <c r="AD32" s="26">
        <f t="shared" si="67"/>
        <v>0.11383561011814644</v>
      </c>
      <c r="AE32" s="26">
        <f t="shared" si="67"/>
        <v>0.15631888001102082</v>
      </c>
      <c r="AF32" s="26">
        <f t="shared" si="67"/>
        <v>0.13122121460958977</v>
      </c>
      <c r="AG32" s="26">
        <f t="shared" si="67"/>
        <v>0.11930835734870317</v>
      </c>
      <c r="AH32" s="26">
        <f t="shared" si="67"/>
        <v>0.11826297679334501</v>
      </c>
      <c r="AI32" s="26">
        <f t="shared" si="67"/>
        <v>0.15646127181699532</v>
      </c>
      <c r="AJ32" s="26">
        <f t="shared" si="67"/>
        <v>0.13135271399253429</v>
      </c>
      <c r="AK32" s="26">
        <f t="shared" si="67"/>
        <v>0.11491045174104721</v>
      </c>
      <c r="AL32" s="26">
        <f t="shared" si="67"/>
        <v>0.12941644578537381</v>
      </c>
      <c r="AM32" s="26">
        <f t="shared" si="67"/>
        <v>0.15279539152677171</v>
      </c>
      <c r="AN32" s="26">
        <f t="shared" si="67"/>
        <v>0.16159387055871799</v>
      </c>
      <c r="AO32" s="26">
        <f t="shared" si="67"/>
        <v>0.15098406893936639</v>
      </c>
      <c r="AP32" s="26">
        <f t="shared" si="67"/>
        <v>0.17336900302521271</v>
      </c>
      <c r="AQ32" s="26">
        <f t="shared" si="67"/>
        <v>0.15190619598131344</v>
      </c>
      <c r="AR32" s="26">
        <f t="shared" si="67"/>
        <v>0.16253064221768662</v>
      </c>
      <c r="AS32" s="26">
        <f t="shared" si="67"/>
        <v>0.17870979532163742</v>
      </c>
      <c r="AT32" s="26">
        <f t="shared" si="67"/>
        <v>0.16935021925636623</v>
      </c>
      <c r="AU32" s="26">
        <f t="shared" si="67"/>
        <v>0.15997968830322104</v>
      </c>
      <c r="AV32" s="26">
        <f t="shared" si="67"/>
        <v>0.15238258811854735</v>
      </c>
      <c r="AW32" s="26">
        <f t="shared" si="67"/>
        <v>0.16944176842763037</v>
      </c>
      <c r="AX32" s="26">
        <f t="shared" si="67"/>
        <v>0.199790376743916</v>
      </c>
      <c r="AY32" s="26">
        <f t="shared" si="67"/>
        <v>0.17631698455949135</v>
      </c>
      <c r="AZ32" s="26">
        <f t="shared" si="67"/>
        <v>0.15168302850082147</v>
      </c>
      <c r="BA32" s="26">
        <f t="shared" si="67"/>
        <v>0.1873705398327459</v>
      </c>
      <c r="BB32" s="26">
        <f t="shared" si="67"/>
        <v>0.13114480387218541</v>
      </c>
      <c r="BC32" s="26">
        <f>-BC16/BC9</f>
        <v>0.15767097329888027</v>
      </c>
      <c r="BD32" s="47"/>
      <c r="BF32" s="26">
        <f t="shared" ref="BF32:BL32" si="68">-BF16/BF9</f>
        <v>0.11276846036922303</v>
      </c>
      <c r="BG32" s="26">
        <f t="shared" si="68"/>
        <v>0.15338219872047409</v>
      </c>
      <c r="BH32" s="26">
        <f t="shared" si="68"/>
        <v>0.14433876983203328</v>
      </c>
      <c r="BI32" s="26">
        <f t="shared" si="68"/>
        <v>0.15987541756095988</v>
      </c>
      <c r="BJ32" s="26">
        <f t="shared" si="68"/>
        <v>0.20110361090014939</v>
      </c>
      <c r="BK32" s="26">
        <f t="shared" si="68"/>
        <v>0.15425020742182136</v>
      </c>
      <c r="BL32" s="26">
        <f t="shared" si="68"/>
        <v>0.16609259780635807</v>
      </c>
    </row>
    <row r="33" spans="1:64" s="37" customFormat="1" ht="13.5" customHeight="1">
      <c r="B33" s="358" t="str">
        <f>B18</f>
        <v>Other expense</v>
      </c>
      <c r="C33" s="223">
        <f t="shared" ref="C33:Q33" si="69">-C18/C9</f>
        <v>3.2583536371321685E-2</v>
      </c>
      <c r="D33" s="26">
        <f t="shared" si="69"/>
        <v>2.6217241430894725E-2</v>
      </c>
      <c r="E33" s="26">
        <f t="shared" si="69"/>
        <v>0</v>
      </c>
      <c r="F33" s="26">
        <f t="shared" si="69"/>
        <v>1.0794792162363719E-2</v>
      </c>
      <c r="G33" s="26">
        <f t="shared" si="69"/>
        <v>1.2938516840398713E-2</v>
      </c>
      <c r="H33" s="26">
        <f t="shared" si="69"/>
        <v>0</v>
      </c>
      <c r="I33" s="223">
        <f t="shared" si="69"/>
        <v>0</v>
      </c>
      <c r="J33" s="26">
        <f t="shared" si="69"/>
        <v>0</v>
      </c>
      <c r="K33" s="26">
        <f t="shared" si="69"/>
        <v>1.121000944183791E-2</v>
      </c>
      <c r="L33" s="26">
        <f t="shared" si="69"/>
        <v>1.4911572512020852E-2</v>
      </c>
      <c r="M33" s="26">
        <f t="shared" si="69"/>
        <v>1.1750368385164821E-2</v>
      </c>
      <c r="N33" s="26">
        <f t="shared" si="69"/>
        <v>1.3798880494939844E-2</v>
      </c>
      <c r="O33" s="26">
        <f t="shared" si="69"/>
        <v>7.3158316595156786E-2</v>
      </c>
      <c r="P33" s="26">
        <f t="shared" si="69"/>
        <v>1.7219019279647883E-2</v>
      </c>
      <c r="Q33" s="26">
        <f t="shared" si="69"/>
        <v>1.5312721200402963E-2</v>
      </c>
      <c r="R33" s="47"/>
      <c r="S33" s="26">
        <f t="shared" ref="S33:BB33" si="70">-S18/S9</f>
        <v>1.8709000059213915E-2</v>
      </c>
      <c r="T33" s="26">
        <f t="shared" si="70"/>
        <v>1.6782406601441455E-2</v>
      </c>
      <c r="U33" s="26">
        <f t="shared" si="70"/>
        <v>2.2084498963067554E-2</v>
      </c>
      <c r="V33" s="26">
        <f t="shared" si="70"/>
        <v>4.4502829705949133E-2</v>
      </c>
      <c r="W33" s="26">
        <f t="shared" si="70"/>
        <v>6.7546028406102058E-3</v>
      </c>
      <c r="X33" s="26">
        <f t="shared" si="70"/>
        <v>0</v>
      </c>
      <c r="Y33" s="26">
        <f t="shared" si="70"/>
        <v>1.727557803237301E-2</v>
      </c>
      <c r="Z33" s="26">
        <f t="shared" si="70"/>
        <v>-2.1939121685561787E-2</v>
      </c>
      <c r="AA33" s="26">
        <f t="shared" si="70"/>
        <v>8.0747332786212569E-3</v>
      </c>
      <c r="AB33" s="26">
        <f t="shared" si="70"/>
        <v>1.1642449275123829E-2</v>
      </c>
      <c r="AC33" s="26">
        <f t="shared" si="70"/>
        <v>1.5099656796367694E-2</v>
      </c>
      <c r="AD33" s="26">
        <f t="shared" si="70"/>
        <v>8.367427016995754E-3</v>
      </c>
      <c r="AE33" s="26">
        <f t="shared" si="70"/>
        <v>0</v>
      </c>
      <c r="AF33" s="26">
        <f t="shared" si="70"/>
        <v>1.3098468349459103E-2</v>
      </c>
      <c r="AG33" s="26">
        <f t="shared" si="70"/>
        <v>0</v>
      </c>
      <c r="AH33" s="26">
        <f t="shared" si="70"/>
        <v>-1.0564153132492763E-2</v>
      </c>
      <c r="AI33" s="26">
        <f t="shared" si="70"/>
        <v>6.4165781886700605E-3</v>
      </c>
      <c r="AJ33" s="26">
        <f t="shared" si="70"/>
        <v>1.6115088150218962E-2</v>
      </c>
      <c r="AK33" s="26">
        <f t="shared" si="70"/>
        <v>1.123941728576619E-2</v>
      </c>
      <c r="AL33" s="26">
        <f t="shared" si="70"/>
        <v>-2.9344239399225081E-2</v>
      </c>
      <c r="AM33" s="26">
        <f t="shared" si="70"/>
        <v>9.0439137630849258E-3</v>
      </c>
      <c r="AN33" s="26">
        <f t="shared" si="70"/>
        <v>2.2068146869182832E-3</v>
      </c>
      <c r="AO33" s="26">
        <f t="shared" si="70"/>
        <v>1.512593693024512E-2</v>
      </c>
      <c r="AP33" s="26">
        <f t="shared" si="70"/>
        <v>1.8097962446469204E-2</v>
      </c>
      <c r="AQ33" s="26">
        <f t="shared" si="70"/>
        <v>9.8371279819637891E-3</v>
      </c>
      <c r="AR33" s="26">
        <f t="shared" si="70"/>
        <v>9.7839116208248283E-3</v>
      </c>
      <c r="AS33" s="26">
        <f t="shared" si="70"/>
        <v>4.4261695906432752E-2</v>
      </c>
      <c r="AT33" s="26">
        <f t="shared" si="70"/>
        <v>-1.0987557297836806E-2</v>
      </c>
      <c r="AU33" s="26">
        <f t="shared" si="70"/>
        <v>0</v>
      </c>
      <c r="AV33" s="26">
        <f t="shared" si="70"/>
        <v>3.3688924511618736E-2</v>
      </c>
      <c r="AW33" s="26">
        <f t="shared" si="70"/>
        <v>2.0783971671830659E-2</v>
      </c>
      <c r="AX33" s="26">
        <f t="shared" si="70"/>
        <v>0.24339362962818958</v>
      </c>
      <c r="AY33" s="26">
        <f t="shared" si="70"/>
        <v>1.3270021905219852E-2</v>
      </c>
      <c r="AZ33" s="26">
        <f t="shared" si="70"/>
        <v>1.8615829565359076E-2</v>
      </c>
      <c r="BA33" s="26">
        <f t="shared" si="70"/>
        <v>2.9912998392160953E-3</v>
      </c>
      <c r="BB33" s="26">
        <f t="shared" si="70"/>
        <v>3.4174306629390673E-2</v>
      </c>
      <c r="BC33" s="26">
        <f>-BC18/BC9</f>
        <v>5.4711455641688203E-3</v>
      </c>
      <c r="BD33" s="47"/>
      <c r="BF33" s="26">
        <f t="shared" ref="BF33:BL33" si="71">-BF18/BF9</f>
        <v>1.6106950020786586E-2</v>
      </c>
      <c r="BG33" s="26">
        <f t="shared" si="71"/>
        <v>4.3057767321596019E-3</v>
      </c>
      <c r="BH33" s="26">
        <f t="shared" si="71"/>
        <v>1.5064496397620426E-2</v>
      </c>
      <c r="BI33" s="26">
        <f t="shared" si="71"/>
        <v>1.2495898354500516E-2</v>
      </c>
      <c r="BJ33" s="26">
        <f t="shared" si="71"/>
        <v>-3.1238880243877845E-2</v>
      </c>
      <c r="BK33" s="26">
        <f t="shared" si="71"/>
        <v>1.0696400112216698E-2</v>
      </c>
      <c r="BL33" s="26">
        <f t="shared" si="71"/>
        <v>1.1669072763976831E-2</v>
      </c>
    </row>
    <row r="34" spans="1:64" s="37" customFormat="1" ht="13.5" customHeight="1">
      <c r="B34" s="358" t="str">
        <f>B17</f>
        <v>Other income</v>
      </c>
      <c r="C34" s="223">
        <f t="shared" ref="C34:Q34" si="72">C17/C12</f>
        <v>0</v>
      </c>
      <c r="D34" s="26">
        <f t="shared" si="72"/>
        <v>0</v>
      </c>
      <c r="E34" s="26">
        <f t="shared" si="72"/>
        <v>-2.7010784438004993E-2</v>
      </c>
      <c r="F34" s="26">
        <f t="shared" si="72"/>
        <v>0</v>
      </c>
      <c r="G34" s="26">
        <f t="shared" si="72"/>
        <v>0</v>
      </c>
      <c r="H34" s="26">
        <f t="shared" si="72"/>
        <v>-4.0994808619213433E-3</v>
      </c>
      <c r="I34" s="223">
        <f t="shared" si="72"/>
        <v>-4.0193113940122517E-2</v>
      </c>
      <c r="J34" s="26">
        <f t="shared" si="72"/>
        <v>-7.9655160587821738E-2</v>
      </c>
      <c r="K34" s="26">
        <f t="shared" si="72"/>
        <v>0</v>
      </c>
      <c r="L34" s="26">
        <f t="shared" si="72"/>
        <v>0</v>
      </c>
      <c r="M34" s="26">
        <f t="shared" si="72"/>
        <v>0</v>
      </c>
      <c r="N34" s="26">
        <f t="shared" si="72"/>
        <v>0</v>
      </c>
      <c r="O34" s="26">
        <f t="shared" si="72"/>
        <v>0</v>
      </c>
      <c r="P34" s="26">
        <f t="shared" si="72"/>
        <v>0</v>
      </c>
      <c r="Q34" s="26">
        <f t="shared" si="72"/>
        <v>0</v>
      </c>
      <c r="R34" s="47"/>
      <c r="S34" s="26">
        <f t="shared" ref="S34:AH34" si="73">S17/S12</f>
        <v>0</v>
      </c>
      <c r="T34" s="26">
        <f t="shared" si="73"/>
        <v>0</v>
      </c>
      <c r="U34" s="26">
        <f t="shared" si="73"/>
        <v>0</v>
      </c>
      <c r="V34" s="26">
        <f t="shared" si="73"/>
        <v>0</v>
      </c>
      <c r="W34" s="26">
        <f t="shared" si="73"/>
        <v>0</v>
      </c>
      <c r="X34" s="26">
        <f t="shared" si="73"/>
        <v>-0.21471989627416307</v>
      </c>
      <c r="Y34" s="26">
        <f t="shared" si="73"/>
        <v>0</v>
      </c>
      <c r="Z34" s="26">
        <f t="shared" si="73"/>
        <v>0.10817269734569905</v>
      </c>
      <c r="AA34" s="26">
        <f t="shared" si="73"/>
        <v>0</v>
      </c>
      <c r="AB34" s="26">
        <f t="shared" si="73"/>
        <v>0</v>
      </c>
      <c r="AC34" s="26">
        <f t="shared" si="73"/>
        <v>0</v>
      </c>
      <c r="AD34" s="26">
        <f t="shared" si="73"/>
        <v>0</v>
      </c>
      <c r="AE34" s="26">
        <f t="shared" si="73"/>
        <v>-2.0738098704323773E-2</v>
      </c>
      <c r="AF34" s="26">
        <f t="shared" si="73"/>
        <v>0</v>
      </c>
      <c r="AG34" s="26">
        <f t="shared" si="73"/>
        <v>-4.8013841828274818E-2</v>
      </c>
      <c r="AH34" s="26">
        <f t="shared" si="73"/>
        <v>4.6458885713998865E-2</v>
      </c>
      <c r="AI34" s="26">
        <f>AI18/AI12</f>
        <v>1.1012200567535255E-2</v>
      </c>
      <c r="AJ34" s="26">
        <f>AJ18/AJ12</f>
        <v>2.7424666387080361E-2</v>
      </c>
      <c r="AK34" s="26">
        <f>AK17/AK12</f>
        <v>0</v>
      </c>
      <c r="AL34" s="26">
        <f>AL17/AL12</f>
        <v>-0.15177165076029958</v>
      </c>
      <c r="AM34" s="26">
        <f>AM17/AM12</f>
        <v>0</v>
      </c>
      <c r="AN34" s="26">
        <f>AN18/AN12</f>
        <v>3.4520011478536821E-3</v>
      </c>
      <c r="AO34" s="26">
        <f>AO17/AO12</f>
        <v>0</v>
      </c>
      <c r="AP34" s="26">
        <f>AP17/AP12</f>
        <v>0</v>
      </c>
      <c r="AQ34" s="26">
        <f>AQ17/AQ12</f>
        <v>0</v>
      </c>
      <c r="AR34" s="26">
        <f>AR18/AR12</f>
        <v>1.4945809069763605E-2</v>
      </c>
      <c r="AS34" s="26">
        <f>AS17/AS12</f>
        <v>0</v>
      </c>
      <c r="AT34" s="26">
        <f>AT17/AT12</f>
        <v>0</v>
      </c>
      <c r="AU34" s="26">
        <f>AU17/AU12</f>
        <v>-0.2202479854781548</v>
      </c>
      <c r="AV34" s="26">
        <f>AV18/AV12</f>
        <v>5.0406411208192947E-2</v>
      </c>
      <c r="AW34" s="26">
        <f>AW17/AW12</f>
        <v>0</v>
      </c>
      <c r="AX34" s="26">
        <f>AX17/AX12</f>
        <v>0.22363447368515996</v>
      </c>
      <c r="AY34" s="26">
        <f>AY17/AY12</f>
        <v>0</v>
      </c>
      <c r="AZ34" s="26">
        <f>AZ18/AZ12</f>
        <v>3.040012417264432E-2</v>
      </c>
      <c r="BA34" s="26">
        <f>BA17/BA12</f>
        <v>0</v>
      </c>
      <c r="BB34" s="26">
        <f>BB17/BB12</f>
        <v>0</v>
      </c>
      <c r="BC34" s="26">
        <f>BC17/BC12</f>
        <v>0</v>
      </c>
      <c r="BD34" s="47"/>
      <c r="BF34" s="26">
        <f>BF17/BF12</f>
        <v>0</v>
      </c>
      <c r="BG34" s="26">
        <f>BG18/BG12</f>
        <v>6.8170637430599468E-3</v>
      </c>
      <c r="BH34" s="26">
        <f>BH18/BH12</f>
        <v>2.3386947679792939E-2</v>
      </c>
      <c r="BI34" s="26">
        <f>BI18/BI12</f>
        <v>2.0189641835927655E-2</v>
      </c>
      <c r="BJ34" s="26">
        <f>BJ18/BJ12</f>
        <v>-4.9575631916525517E-2</v>
      </c>
      <c r="BK34" s="26">
        <f>BK17/BK12</f>
        <v>0</v>
      </c>
      <c r="BL34" s="26">
        <f>BL17/BL12</f>
        <v>0</v>
      </c>
    </row>
    <row r="35" spans="1:64" s="37" customFormat="1" ht="13.5" customHeight="1">
      <c r="B35" s="358" t="str">
        <f>B19</f>
        <v>Operating Profit</v>
      </c>
      <c r="C35" s="223">
        <f t="shared" ref="C35:Q35" si="74">C19/C9</f>
        <v>0.17238116305975656</v>
      </c>
      <c r="D35" s="26">
        <f t="shared" si="74"/>
        <v>0.15219300495158489</v>
      </c>
      <c r="E35" s="26">
        <f t="shared" si="74"/>
        <v>0.1999611481966741</v>
      </c>
      <c r="F35" s="26">
        <f t="shared" si="74"/>
        <v>0.16956015557494025</v>
      </c>
      <c r="G35" s="26">
        <f t="shared" si="74"/>
        <v>0.16711380791887304</v>
      </c>
      <c r="H35" s="26">
        <f t="shared" si="74"/>
        <v>0.18000281301770268</v>
      </c>
      <c r="I35" s="223">
        <f t="shared" si="74"/>
        <v>0.21428550384009376</v>
      </c>
      <c r="J35" s="26">
        <f t="shared" si="74"/>
        <v>0.1446099189072913</v>
      </c>
      <c r="K35" s="26">
        <f t="shared" si="74"/>
        <v>5.8092122208214067E-2</v>
      </c>
      <c r="L35" s="26">
        <f t="shared" si="74"/>
        <v>5.4473586887491987E-2</v>
      </c>
      <c r="M35" s="26">
        <f t="shared" si="74"/>
        <v>3.6109201969962507E-2</v>
      </c>
      <c r="N35" s="26">
        <f t="shared" si="74"/>
        <v>2.8053691327867492E-2</v>
      </c>
      <c r="O35" s="26">
        <f t="shared" si="74"/>
        <v>-4.5275006141900061E-2</v>
      </c>
      <c r="P35" s="26">
        <f t="shared" si="74"/>
        <v>7.1756534469917949E-2</v>
      </c>
      <c r="Q35" s="26">
        <f t="shared" si="74"/>
        <v>8.3490898633190161E-2</v>
      </c>
      <c r="R35" s="47"/>
      <c r="S35" s="26">
        <f t="shared" ref="S35:BB35" si="75">S19/S9</f>
        <v>0.13801893023234607</v>
      </c>
      <c r="T35" s="26">
        <f t="shared" si="75"/>
        <v>0.1699584363357822</v>
      </c>
      <c r="U35" s="26">
        <f t="shared" si="75"/>
        <v>0.16229753342452452</v>
      </c>
      <c r="V35" s="26">
        <f t="shared" si="75"/>
        <v>0.13965035530026434</v>
      </c>
      <c r="W35" s="26">
        <f t="shared" si="75"/>
        <v>0.1588718656847273</v>
      </c>
      <c r="X35" s="26">
        <f t="shared" si="75"/>
        <v>0.32290980383344936</v>
      </c>
      <c r="Y35" s="26">
        <f t="shared" si="75"/>
        <v>0.17344190914465579</v>
      </c>
      <c r="Z35" s="26">
        <f t="shared" si="75"/>
        <v>0.13705703695114724</v>
      </c>
      <c r="AA35" s="26">
        <f t="shared" si="75"/>
        <v>0.14833602619340713</v>
      </c>
      <c r="AB35" s="26">
        <f t="shared" si="75"/>
        <v>0.16908292056805288</v>
      </c>
      <c r="AC35" s="26">
        <f t="shared" si="75"/>
        <v>0.17822564354219783</v>
      </c>
      <c r="AD35" s="26">
        <f t="shared" si="75"/>
        <v>0.17972661155683725</v>
      </c>
      <c r="AE35" s="26">
        <f t="shared" si="75"/>
        <v>0.14751515360242451</v>
      </c>
      <c r="AF35" s="26">
        <f t="shared" si="75"/>
        <v>0.12019350922917636</v>
      </c>
      <c r="AG35" s="26">
        <f t="shared" si="75"/>
        <v>0.23259825418702754</v>
      </c>
      <c r="AH35" s="26">
        <f t="shared" si="75"/>
        <v>0.21007612165210851</v>
      </c>
      <c r="AI35" s="26">
        <f t="shared" si="75"/>
        <v>0.14858008552639868</v>
      </c>
      <c r="AJ35" s="26">
        <f t="shared" si="75"/>
        <v>0.16101756540568499</v>
      </c>
      <c r="AK35" s="26">
        <f t="shared" si="75"/>
        <v>0.18490717210096022</v>
      </c>
      <c r="AL35" s="26">
        <f t="shared" si="75"/>
        <v>0.34103308027084434</v>
      </c>
      <c r="AM35" s="26">
        <f t="shared" si="75"/>
        <v>8.7988736753863706E-2</v>
      </c>
      <c r="AN35" s="26">
        <f t="shared" si="75"/>
        <v>8.372406722961119E-2</v>
      </c>
      <c r="AO35" s="26">
        <f t="shared" si="75"/>
        <v>7.0762582005744951E-2</v>
      </c>
      <c r="AP35" s="26">
        <f t="shared" si="75"/>
        <v>-8.5666532285946975E-3</v>
      </c>
      <c r="AQ35" s="26">
        <f t="shared" si="75"/>
        <v>6.499842626471064E-2</v>
      </c>
      <c r="AR35" s="26">
        <f t="shared" si="75"/>
        <v>5.3573935486657898E-2</v>
      </c>
      <c r="AS35" s="26">
        <f t="shared" si="75"/>
        <v>-2.3245614035087743E-2</v>
      </c>
      <c r="AT35" s="26">
        <f t="shared" si="75"/>
        <v>4.1815192909711939E-2</v>
      </c>
      <c r="AU35" s="26">
        <f t="shared" si="75"/>
        <v>0.18342590619005225</v>
      </c>
      <c r="AV35" s="26">
        <f t="shared" si="75"/>
        <v>5.6932755736212532E-3</v>
      </c>
      <c r="AW35" s="26">
        <f t="shared" si="75"/>
        <v>2.3739162131903028E-2</v>
      </c>
      <c r="AX35" s="26">
        <f t="shared" si="75"/>
        <v>-0.40712024223248572</v>
      </c>
      <c r="AY35" s="26">
        <f t="shared" si="75"/>
        <v>5.9437944114975751E-2</v>
      </c>
      <c r="AZ35" s="26">
        <f t="shared" si="75"/>
        <v>6.4727687482178414E-2</v>
      </c>
      <c r="BA35" s="26">
        <f t="shared" si="75"/>
        <v>6.3498293508358339E-2</v>
      </c>
      <c r="BB35" s="26">
        <f t="shared" si="75"/>
        <v>9.985500476214583E-2</v>
      </c>
      <c r="BC35" s="26">
        <f>BC19/BC9</f>
        <v>0.10628079242032734</v>
      </c>
      <c r="BD35" s="47"/>
      <c r="BF35" s="26">
        <f t="shared" ref="BF35:BL35" si="76">BF19/BF9</f>
        <v>0.17082518637882957</v>
      </c>
      <c r="BG35" s="26">
        <f t="shared" si="76"/>
        <v>0.10099154935829492</v>
      </c>
      <c r="BH35" s="26">
        <f t="shared" si="76"/>
        <v>8.9786130703316647E-2</v>
      </c>
      <c r="BI35" s="26">
        <f t="shared" si="76"/>
        <v>9.9262510691174255E-2</v>
      </c>
      <c r="BJ35" s="26">
        <f t="shared" si="76"/>
        <v>0.28492068128588188</v>
      </c>
      <c r="BK35" s="26">
        <f t="shared" si="76"/>
        <v>6.6398858732309385E-2</v>
      </c>
      <c r="BL35" s="26">
        <f t="shared" si="76"/>
        <v>4.750295021475167E-2</v>
      </c>
    </row>
    <row r="36" spans="1:64" s="37" customFormat="1" ht="13.5" customHeight="1">
      <c r="B36" s="358" t="s">
        <v>319</v>
      </c>
      <c r="C36" s="223">
        <f t="shared" ref="C36:Q36" si="77">C20/C113</f>
        <v>3.1537256181544966E-2</v>
      </c>
      <c r="D36" s="26">
        <f t="shared" si="77"/>
        <v>8.1413299395334177E-2</v>
      </c>
      <c r="E36" s="26">
        <f t="shared" si="77"/>
        <v>5.5732592672306736E-2</v>
      </c>
      <c r="F36" s="26">
        <f t="shared" si="77"/>
        <v>8.9771356160355101E-2</v>
      </c>
      <c r="G36" s="26">
        <f t="shared" si="77"/>
        <v>8.9770479776441023E-2</v>
      </c>
      <c r="H36" s="26">
        <f t="shared" si="77"/>
        <v>0.14547382720538474</v>
      </c>
      <c r="I36" s="223">
        <f t="shared" si="77"/>
        <v>2.4233705599131523E-2</v>
      </c>
      <c r="J36" s="26">
        <f t="shared" si="77"/>
        <v>2.1681727723960632E-2</v>
      </c>
      <c r="K36" s="26">
        <f t="shared" si="77"/>
        <v>4.2070550870595275E-2</v>
      </c>
      <c r="L36" s="26">
        <f t="shared" si="77"/>
        <v>4.1638366805009375E-2</v>
      </c>
      <c r="M36" s="26">
        <f t="shared" si="77"/>
        <v>0.10149664122652771</v>
      </c>
      <c r="N36" s="26">
        <f t="shared" si="77"/>
        <v>9.7592914813894191E-2</v>
      </c>
      <c r="O36" s="26">
        <f t="shared" si="77"/>
        <v>8.9138345183605361E-2</v>
      </c>
      <c r="P36" s="26">
        <f t="shared" si="77"/>
        <v>8.8705317011081572E-2</v>
      </c>
      <c r="Q36" s="26">
        <f t="shared" si="77"/>
        <v>8.7209650555715723E-2</v>
      </c>
      <c r="R36" s="47"/>
      <c r="S36" s="26">
        <f>SUM(S20:S20)/S113</f>
        <v>3.4562411869223771E-2</v>
      </c>
      <c r="T36" s="26">
        <f>SUM(S20:T20)/T113</f>
        <v>6.3580082450161404E-2</v>
      </c>
      <c r="U36" s="26">
        <f>SUM(S20:U20)/U113</f>
        <v>7.7941452339813214E-2</v>
      </c>
      <c r="V36" s="26">
        <f t="shared" ref="V36:BC36" si="78">SUM(S20:V20)/V113</f>
        <v>8.1413299395334177E-2</v>
      </c>
      <c r="W36" s="26">
        <f t="shared" si="78"/>
        <v>7.8147900782414681E-2</v>
      </c>
      <c r="X36" s="26">
        <f t="shared" si="78"/>
        <v>6.4933856312358318E-2</v>
      </c>
      <c r="Y36" s="26">
        <f t="shared" si="78"/>
        <v>6.9287171772285119E-2</v>
      </c>
      <c r="Z36" s="26">
        <f t="shared" si="78"/>
        <v>5.5732592672306742E-2</v>
      </c>
      <c r="AA36" s="26">
        <f t="shared" si="78"/>
        <v>3.9249817531831883E-2</v>
      </c>
      <c r="AB36" s="26">
        <f t="shared" si="78"/>
        <v>1.4074940463789066E-2</v>
      </c>
      <c r="AC36" s="26">
        <f t="shared" si="78"/>
        <v>2.6303251870783639E-2</v>
      </c>
      <c r="AD36" s="26">
        <f t="shared" si="78"/>
        <v>8.9771356160355101E-2</v>
      </c>
      <c r="AE36" s="26">
        <f t="shared" si="78"/>
        <v>9.9041641250522991E-2</v>
      </c>
      <c r="AF36" s="26">
        <f t="shared" si="78"/>
        <v>0.14467234955595637</v>
      </c>
      <c r="AG36" s="26">
        <f t="shared" si="78"/>
        <v>0.20093406789410553</v>
      </c>
      <c r="AH36" s="26">
        <f t="shared" si="78"/>
        <v>0.14547382720538476</v>
      </c>
      <c r="AI36" s="26">
        <f t="shared" si="78"/>
        <v>6.6747910165012705E-2</v>
      </c>
      <c r="AJ36" s="26">
        <f t="shared" si="78"/>
        <v>4.8526494145474268E-2</v>
      </c>
      <c r="AK36" s="26">
        <f t="shared" si="78"/>
        <v>-8.6933653606841091E-2</v>
      </c>
      <c r="AL36" s="26">
        <f t="shared" si="78"/>
        <v>2.4233705599131541E-2</v>
      </c>
      <c r="AM36" s="26">
        <f t="shared" si="78"/>
        <v>1.3718596467568909E-2</v>
      </c>
      <c r="AN36" s="26">
        <f t="shared" si="78"/>
        <v>-2.8864860532757139E-3</v>
      </c>
      <c r="AO36" s="26">
        <f t="shared" si="78"/>
        <v>1.7147971249710185E-2</v>
      </c>
      <c r="AP36" s="26">
        <f t="shared" si="78"/>
        <v>4.2070550870595275E-2</v>
      </c>
      <c r="AQ36" s="26">
        <f t="shared" si="78"/>
        <v>6.189802999399855E-2</v>
      </c>
      <c r="AR36" s="26">
        <f t="shared" si="78"/>
        <v>7.3719427400760346E-2</v>
      </c>
      <c r="AS36" s="26">
        <f t="shared" si="78"/>
        <v>7.6172337945613233E-2</v>
      </c>
      <c r="AT36" s="26">
        <f t="shared" si="78"/>
        <v>0.10149664122652771</v>
      </c>
      <c r="AU36" s="26">
        <f t="shared" si="78"/>
        <v>9.8193628322926496E-2</v>
      </c>
      <c r="AV36" s="26">
        <f t="shared" si="78"/>
        <v>8.5664116189218736E-2</v>
      </c>
      <c r="AW36" s="26">
        <f t="shared" si="78"/>
        <v>8.1912671779537316E-2</v>
      </c>
      <c r="AX36" s="26">
        <f t="shared" si="78"/>
        <v>8.9138345183605361E-2</v>
      </c>
      <c r="AY36" s="26">
        <f t="shared" si="78"/>
        <v>0.10935788082867802</v>
      </c>
      <c r="AZ36" s="26">
        <f t="shared" si="78"/>
        <v>0.12231153193744891</v>
      </c>
      <c r="BA36" s="26">
        <f t="shared" si="78"/>
        <v>0.12577872452741351</v>
      </c>
      <c r="BB36" s="26">
        <f t="shared" si="78"/>
        <v>8.8705317011081572E-2</v>
      </c>
      <c r="BC36" s="26">
        <f t="shared" si="78"/>
        <v>8.7209650555715723E-2</v>
      </c>
      <c r="BD36" s="47"/>
      <c r="BF36" s="26">
        <f>SUM(AA20:AC20, BF20)/AD113</f>
        <v>8.9771356160355101E-2</v>
      </c>
      <c r="BG36" s="26">
        <f>SUM(AF20:AH20,BG20)/AI113</f>
        <v>6.8819823792407864E-2</v>
      </c>
      <c r="BH36" s="26">
        <f>SUM(AG20:AI20,BH20)/AJ113</f>
        <v>3.4853930625101885E-2</v>
      </c>
      <c r="BI36" s="26">
        <f>SUM(AH20:AJ20,BI20)/AK113</f>
        <v>-8.6105817602775261E-2</v>
      </c>
      <c r="BJ36" s="26">
        <f>SUM(AI20:AK20, BJ20)/AL113</f>
        <v>3.2935571340725001E-2</v>
      </c>
      <c r="BK36" s="26">
        <f>SUM(BH20:BK20)/AQ113</f>
        <v>2.902673168875004E-2</v>
      </c>
      <c r="BL36" s="26">
        <f>SUM(BI20:BL20)/AR113</f>
        <v>1.9579315893510318E-2</v>
      </c>
    </row>
    <row r="37" spans="1:64" s="37" customFormat="1" ht="13.5" customHeight="1">
      <c r="B37" s="358" t="s">
        <v>320</v>
      </c>
      <c r="C37" s="223">
        <f t="shared" ref="C37:Q37" si="79">-C21/C110</f>
        <v>7.979885331851877E-2</v>
      </c>
      <c r="D37" s="26">
        <f t="shared" si="79"/>
        <v>7.0252175227894578E-2</v>
      </c>
      <c r="E37" s="26">
        <f t="shared" si="79"/>
        <v>8.1367787123257929E-2</v>
      </c>
      <c r="F37" s="26">
        <f t="shared" si="79"/>
        <v>8.5661978829137189E-2</v>
      </c>
      <c r="G37" s="26">
        <f t="shared" si="79"/>
        <v>8.5661993146887369E-2</v>
      </c>
      <c r="H37" s="26">
        <f t="shared" si="79"/>
        <v>7.9503526109178158E-2</v>
      </c>
      <c r="I37" s="223">
        <f t="shared" si="79"/>
        <v>9.0720764473427015E-2</v>
      </c>
      <c r="J37" s="26">
        <f t="shared" si="79"/>
        <v>9.2107117580832759E-2</v>
      </c>
      <c r="K37" s="26">
        <f t="shared" si="79"/>
        <v>9.9871709841549555E-2</v>
      </c>
      <c r="L37" s="26">
        <f t="shared" si="79"/>
        <v>0.10021491132135342</v>
      </c>
      <c r="M37" s="26">
        <f t="shared" si="79"/>
        <v>8.2770689802707784E-2</v>
      </c>
      <c r="N37" s="26">
        <f t="shared" si="79"/>
        <v>8.3755721223783594E-2</v>
      </c>
      <c r="O37" s="26">
        <f t="shared" si="79"/>
        <v>8.1342132250843302E-2</v>
      </c>
      <c r="P37" s="26">
        <f t="shared" si="79"/>
        <v>8.2123849668927773E-2</v>
      </c>
      <c r="Q37" s="26">
        <f t="shared" si="79"/>
        <v>8.6598808913500552E-2</v>
      </c>
      <c r="R37" s="47"/>
      <c r="S37" s="26">
        <f>-SUM(S21:S21)/S110</f>
        <v>1.7808708060107904E-2</v>
      </c>
      <c r="T37" s="26">
        <f>-SUM(S21:T21)/T110</f>
        <v>3.6198141393930662E-2</v>
      </c>
      <c r="U37" s="26">
        <f>-SUM(S21:U21)/U110</f>
        <v>5.4786958529247774E-2</v>
      </c>
      <c r="V37" s="26">
        <f t="shared" ref="V37:BC37" si="80">-SUM(S21:V21)/V110</f>
        <v>7.0266110253167632E-2</v>
      </c>
      <c r="W37" s="26">
        <f t="shared" si="80"/>
        <v>8.3896475428116679E-2</v>
      </c>
      <c r="X37" s="26">
        <f t="shared" si="80"/>
        <v>8.448140152938359E-2</v>
      </c>
      <c r="Y37" s="26">
        <f t="shared" si="80"/>
        <v>9.2383030074299738E-2</v>
      </c>
      <c r="Z37" s="26">
        <f t="shared" si="80"/>
        <v>8.1367787123257915E-2</v>
      </c>
      <c r="AA37" s="26">
        <f t="shared" si="80"/>
        <v>7.3965345605945088E-2</v>
      </c>
      <c r="AB37" s="26">
        <f t="shared" si="80"/>
        <v>6.8182111785640098E-2</v>
      </c>
      <c r="AC37" s="26">
        <f t="shared" si="80"/>
        <v>7.3730855396100553E-2</v>
      </c>
      <c r="AD37" s="26">
        <f t="shared" si="80"/>
        <v>8.5661978829137189E-2</v>
      </c>
      <c r="AE37" s="26">
        <f t="shared" si="80"/>
        <v>0.11694739604765239</v>
      </c>
      <c r="AF37" s="26">
        <f t="shared" si="80"/>
        <v>0.11985688311846786</v>
      </c>
      <c r="AG37" s="26">
        <f t="shared" si="80"/>
        <v>0.12054863380588067</v>
      </c>
      <c r="AH37" s="26">
        <f t="shared" si="80"/>
        <v>7.9503526109178158E-2</v>
      </c>
      <c r="AI37" s="26">
        <f t="shared" si="80"/>
        <v>2.6112981232546979E-2</v>
      </c>
      <c r="AJ37" s="26">
        <f t="shared" si="80"/>
        <v>2.6037803489282949E-2</v>
      </c>
      <c r="AK37" s="26">
        <f t="shared" si="80"/>
        <v>4.0466525408896774E-2</v>
      </c>
      <c r="AL37" s="26">
        <f t="shared" si="80"/>
        <v>9.0720764473427015E-2</v>
      </c>
      <c r="AM37" s="26">
        <f t="shared" si="80"/>
        <v>0.10974897663301801</v>
      </c>
      <c r="AN37" s="26">
        <f t="shared" si="80"/>
        <v>0.1044967745100444</v>
      </c>
      <c r="AO37" s="26">
        <f t="shared" si="80"/>
        <v>8.6264909463711792E-2</v>
      </c>
      <c r="AP37" s="26">
        <f t="shared" si="80"/>
        <v>9.9871709841549555E-2</v>
      </c>
      <c r="AQ37" s="26">
        <f t="shared" si="80"/>
        <v>8.6008477642415135E-2</v>
      </c>
      <c r="AR37" s="26">
        <f t="shared" si="80"/>
        <v>8.7781385239417378E-2</v>
      </c>
      <c r="AS37" s="26">
        <f t="shared" si="80"/>
        <v>8.4481006781583309E-2</v>
      </c>
      <c r="AT37" s="26">
        <f t="shared" si="80"/>
        <v>8.2770689802707784E-2</v>
      </c>
      <c r="AU37" s="26">
        <f t="shared" si="80"/>
        <v>7.2631675633400936E-2</v>
      </c>
      <c r="AV37" s="26">
        <f t="shared" si="80"/>
        <v>6.6020373985751474E-2</v>
      </c>
      <c r="AW37" s="26">
        <f t="shared" si="80"/>
        <v>7.098516799243719E-2</v>
      </c>
      <c r="AX37" s="26">
        <f t="shared" si="80"/>
        <v>8.1342132250843302E-2</v>
      </c>
      <c r="AY37" s="26">
        <f t="shared" si="80"/>
        <v>8.5821994836826093E-2</v>
      </c>
      <c r="AZ37" s="26">
        <f t="shared" si="80"/>
        <v>0.10454832540936781</v>
      </c>
      <c r="BA37" s="26">
        <f t="shared" si="80"/>
        <v>0.10080772926383023</v>
      </c>
      <c r="BB37" s="26">
        <f t="shared" si="80"/>
        <v>8.2123849668927773E-2</v>
      </c>
      <c r="BC37" s="26">
        <f t="shared" si="80"/>
        <v>8.6598808913500552E-2</v>
      </c>
      <c r="BD37" s="47"/>
      <c r="BF37" s="26">
        <f>-SUM(AA21:AC21,BF21)/AD110</f>
        <v>8.5661978829137189E-2</v>
      </c>
      <c r="BG37" s="26">
        <f>SUM(AF21:AH21,BG21)/AI110</f>
        <v>-2.3529673672525047E-2</v>
      </c>
      <c r="BH37" s="26">
        <f>SUM(AG21:AI21,BH21)/AJ110</f>
        <v>-2.5978308873164335E-2</v>
      </c>
      <c r="BI37" s="26">
        <f>SUM(AH21:AJ21,BI21)/AK110</f>
        <v>-3.7676373631992867E-2</v>
      </c>
      <c r="BJ37" s="26">
        <f>-SUM(AE21:AG21,BJ21)/AH110</f>
        <v>0.13835075619899509</v>
      </c>
      <c r="BK37" s="26">
        <f>-SUM(BH21:BK21)/AQ110</f>
        <v>0.10957736129172793</v>
      </c>
      <c r="BL37" s="26">
        <f>-SUM(BI21:BL21)/AR110</f>
        <v>0.10705145108501761</v>
      </c>
    </row>
    <row r="38" spans="1:64" s="37" customFormat="1" ht="13.5" customHeight="1">
      <c r="B38" s="358" t="str">
        <f>B23</f>
        <v>Profit before tax</v>
      </c>
      <c r="C38" s="223">
        <f t="shared" ref="C38:Q38" si="81">C23/C9</f>
        <v>8.5220143030136891E-2</v>
      </c>
      <c r="D38" s="26">
        <f t="shared" si="81"/>
        <v>0.10754050276643366</v>
      </c>
      <c r="E38" s="26">
        <f t="shared" si="81"/>
        <v>0.11853740485751217</v>
      </c>
      <c r="F38" s="26">
        <f t="shared" si="81"/>
        <v>8.8472411485570432E-2</v>
      </c>
      <c r="G38" s="26">
        <f t="shared" si="81"/>
        <v>8.6237235679710825E-2</v>
      </c>
      <c r="H38" s="26">
        <f t="shared" si="81"/>
        <v>5.6805989924121503E-2</v>
      </c>
      <c r="I38" s="223">
        <f t="shared" si="81"/>
        <v>0.13593338672175437</v>
      </c>
      <c r="J38" s="26">
        <f t="shared" si="81"/>
        <v>3.3036417309518694E-2</v>
      </c>
      <c r="K38" s="26">
        <f t="shared" si="81"/>
        <v>-0.17558158873517013</v>
      </c>
      <c r="L38" s="26">
        <f t="shared" si="81"/>
        <v>-0.1879578466570542</v>
      </c>
      <c r="M38" s="26">
        <f t="shared" si="81"/>
        <v>-0.11076226922550329</v>
      </c>
      <c r="N38" s="26">
        <f t="shared" si="81"/>
        <v>-0.1068322413736556</v>
      </c>
      <c r="O38" s="26">
        <f t="shared" si="81"/>
        <v>-0.12361873102178611</v>
      </c>
      <c r="P38" s="26">
        <f t="shared" si="81"/>
        <v>-1.0790641349974492E-2</v>
      </c>
      <c r="Q38" s="26">
        <f t="shared" si="81"/>
        <v>9.5977116269996211E-4</v>
      </c>
      <c r="R38" s="47"/>
      <c r="S38" s="26">
        <f t="shared" ref="S38:BB38" si="82">S23/S9</f>
        <v>0.11442692319955526</v>
      </c>
      <c r="T38" s="26">
        <f t="shared" si="82"/>
        <v>0.12404407924515165</v>
      </c>
      <c r="U38" s="26">
        <f t="shared" si="82"/>
        <v>0.10706962891055903</v>
      </c>
      <c r="V38" s="26">
        <f t="shared" si="82"/>
        <v>8.7545408027823873E-2</v>
      </c>
      <c r="W38" s="26">
        <f t="shared" si="82"/>
        <v>6.7096791162546035E-2</v>
      </c>
      <c r="X38" s="26">
        <f t="shared" si="82"/>
        <v>0.27429765034566944</v>
      </c>
      <c r="Y38" s="26">
        <f t="shared" si="82"/>
        <v>8.704728121055226E-2</v>
      </c>
      <c r="Z38" s="26">
        <f t="shared" si="82"/>
        <v>3.6349545357636071E-2</v>
      </c>
      <c r="AA38" s="26">
        <f t="shared" si="82"/>
        <v>5.8220575160716652E-2</v>
      </c>
      <c r="AB38" s="26">
        <f t="shared" si="82"/>
        <v>8.2496832266451742E-2</v>
      </c>
      <c r="AC38" s="26">
        <f t="shared" si="82"/>
        <v>7.3119487520218768E-2</v>
      </c>
      <c r="AD38" s="26">
        <f t="shared" si="82"/>
        <v>0.13307056842581574</v>
      </c>
      <c r="AE38" s="26">
        <f t="shared" si="82"/>
        <v>-0.45760435321669662</v>
      </c>
      <c r="AF38" s="26">
        <f t="shared" si="82"/>
        <v>0.12236691777642902</v>
      </c>
      <c r="AG38" s="26">
        <f t="shared" si="82"/>
        <v>0.2405212379401078</v>
      </c>
      <c r="AH38" s="26">
        <f t="shared" si="82"/>
        <v>0.27569826532646285</v>
      </c>
      <c r="AI38" s="26">
        <f t="shared" si="82"/>
        <v>-1.8015938629143503E-2</v>
      </c>
      <c r="AJ38" s="26">
        <f t="shared" si="82"/>
        <v>0.17054360648320224</v>
      </c>
      <c r="AK38" s="26">
        <f t="shared" si="82"/>
        <v>4.5129401493049504E-2</v>
      </c>
      <c r="AL38" s="26">
        <f t="shared" si="82"/>
        <v>0.3158677802637917</v>
      </c>
      <c r="AM38" s="26">
        <f t="shared" si="82"/>
        <v>-0.14975925886120842</v>
      </c>
      <c r="AN38" s="26">
        <f t="shared" si="82"/>
        <v>0.25367038066204439</v>
      </c>
      <c r="AO38" s="26">
        <f t="shared" si="82"/>
        <v>4.7517881537734348E-2</v>
      </c>
      <c r="AP38" s="26">
        <f t="shared" si="82"/>
        <v>-0.84101015204255813</v>
      </c>
      <c r="AQ38" s="26">
        <f t="shared" si="82"/>
        <v>-4.8492969596103642E-2</v>
      </c>
      <c r="AR38" s="26">
        <f t="shared" si="82"/>
        <v>1.4341097828317275E-2</v>
      </c>
      <c r="AS38" s="26">
        <f t="shared" si="82"/>
        <v>-2.6632553606237848E-2</v>
      </c>
      <c r="AT38" s="26">
        <f t="shared" si="82"/>
        <v>-0.34959652309142186</v>
      </c>
      <c r="AU38" s="26">
        <f t="shared" si="82"/>
        <v>9.0017177175671079E-2</v>
      </c>
      <c r="AV38" s="26">
        <f t="shared" si="82"/>
        <v>-1.0317869251859176E-2</v>
      </c>
      <c r="AW38" s="26">
        <f t="shared" si="82"/>
        <v>5.4775171192751326E-2</v>
      </c>
      <c r="AX38" s="26">
        <f t="shared" si="82"/>
        <v>-0.64439606198827259</v>
      </c>
      <c r="AY38" s="26">
        <f t="shared" si="82"/>
        <v>3.6898274296094533E-2</v>
      </c>
      <c r="AZ38" s="26">
        <f t="shared" si="82"/>
        <v>3.3436528303936251E-2</v>
      </c>
      <c r="BA38" s="26">
        <f t="shared" si="82"/>
        <v>7.4962709592327495E-2</v>
      </c>
      <c r="BB38" s="26">
        <f t="shared" si="82"/>
        <v>-0.19087206380175367</v>
      </c>
      <c r="BC38" s="26">
        <f>BC23/BC9</f>
        <v>8.5712316968130947E-2</v>
      </c>
      <c r="BD38" s="47"/>
      <c r="BF38" s="26">
        <f t="shared" ref="BF38:BL38" si="83">BF23/BF9</f>
        <v>0.1246065194314237</v>
      </c>
      <c r="BG38" s="26">
        <f t="shared" si="83"/>
        <v>-9.6774551527829503E-2</v>
      </c>
      <c r="BH38" s="26">
        <f t="shared" si="83"/>
        <v>8.3404153968571954E-2</v>
      </c>
      <c r="BI38" s="26">
        <f t="shared" si="83"/>
        <v>-7.6018956326216719E-2</v>
      </c>
      <c r="BJ38" s="26">
        <f t="shared" si="83"/>
        <v>0.21553871401182201</v>
      </c>
      <c r="BK38" s="26">
        <f t="shared" si="83"/>
        <v>-5.6439268681394199E-2</v>
      </c>
      <c r="BL38" s="26">
        <f t="shared" si="83"/>
        <v>-7.4878546996772323E-4</v>
      </c>
    </row>
    <row r="39" spans="1:64" s="37" customFormat="1" ht="13.5" customHeight="1">
      <c r="B39" s="397" t="s">
        <v>321</v>
      </c>
      <c r="C39" s="223">
        <f t="shared" ref="C39:Q39" si="84">-C24/C23</f>
        <v>0.35003240459655349</v>
      </c>
      <c r="D39" s="26">
        <f t="shared" si="84"/>
        <v>0.40121301943591287</v>
      </c>
      <c r="E39" s="26">
        <f t="shared" si="84"/>
        <v>0.36570037617836315</v>
      </c>
      <c r="F39" s="26">
        <f t="shared" si="84"/>
        <v>0.30920650681826967</v>
      </c>
      <c r="G39" s="26">
        <f t="shared" si="84"/>
        <v>0.30408735560823424</v>
      </c>
      <c r="H39" s="26">
        <f t="shared" si="84"/>
        <v>0.9452469513937044</v>
      </c>
      <c r="I39" s="223">
        <f t="shared" si="84"/>
        <v>0.5325312434444619</v>
      </c>
      <c r="J39" s="26">
        <f t="shared" si="84"/>
        <v>0.68512224087800544</v>
      </c>
      <c r="K39" s="26">
        <f t="shared" si="84"/>
        <v>7.2948572371394738E-2</v>
      </c>
      <c r="L39" s="26">
        <f t="shared" si="84"/>
        <v>0.10490055263012607</v>
      </c>
      <c r="M39" s="26">
        <f t="shared" si="84"/>
        <v>-0.2987381742078401</v>
      </c>
      <c r="N39" s="26">
        <f t="shared" si="84"/>
        <v>-0.33367106098971311</v>
      </c>
      <c r="O39" s="26">
        <f t="shared" si="84"/>
        <v>-8.9466283138457406E-2</v>
      </c>
      <c r="P39" s="26">
        <f t="shared" si="84"/>
        <v>-12.475947259153848</v>
      </c>
      <c r="Q39" s="26">
        <f t="shared" si="84"/>
        <v>140.75982306882378</v>
      </c>
      <c r="R39" s="47"/>
      <c r="S39" s="26">
        <f t="shared" ref="S39:BB39" si="85">-S24/S23</f>
        <v>0.31765972192091096</v>
      </c>
      <c r="T39" s="26">
        <f t="shared" si="85"/>
        <v>0.3398374674050641</v>
      </c>
      <c r="U39" s="26">
        <f t="shared" si="85"/>
        <v>0.37337684147538108</v>
      </c>
      <c r="V39" s="26">
        <f t="shared" si="85"/>
        <v>0.60001564498883531</v>
      </c>
      <c r="W39" s="26">
        <f t="shared" si="85"/>
        <v>0.3500005226667503</v>
      </c>
      <c r="X39" s="26">
        <f t="shared" si="85"/>
        <v>0.35000213674017572</v>
      </c>
      <c r="Y39" s="26">
        <f t="shared" si="85"/>
        <v>0.32100224315672043</v>
      </c>
      <c r="Z39" s="26">
        <f t="shared" si="85"/>
        <v>0.60896507157733071</v>
      </c>
      <c r="AA39" s="26">
        <f t="shared" si="85"/>
        <v>0.37001223127535693</v>
      </c>
      <c r="AB39" s="26">
        <f t="shared" si="85"/>
        <v>0.36996958061137936</v>
      </c>
      <c r="AC39" s="26">
        <f t="shared" si="85"/>
        <v>0.38546569290415617</v>
      </c>
      <c r="AD39" s="26">
        <f t="shared" si="85"/>
        <v>0.2156968403335551</v>
      </c>
      <c r="AE39" s="26">
        <f t="shared" si="85"/>
        <v>0.16236735154662449</v>
      </c>
      <c r="AF39" s="26">
        <f t="shared" si="85"/>
        <v>0.27444472810824605</v>
      </c>
      <c r="AG39" s="26">
        <f t="shared" si="85"/>
        <v>0.36799333194415496</v>
      </c>
      <c r="AH39" s="26">
        <f t="shared" si="85"/>
        <v>0.53293738700489668</v>
      </c>
      <c r="AI39" s="26">
        <f t="shared" si="85"/>
        <v>0.24109014675052545</v>
      </c>
      <c r="AJ39" s="26">
        <f t="shared" si="85"/>
        <v>0.42638872438706604</v>
      </c>
      <c r="AK39" s="26">
        <f t="shared" si="85"/>
        <v>9.452861631619798E-2</v>
      </c>
      <c r="AL39" s="26">
        <f t="shared" si="85"/>
        <v>0.62476874125688842</v>
      </c>
      <c r="AM39" s="26">
        <f t="shared" si="85"/>
        <v>0.31508127309914247</v>
      </c>
      <c r="AN39" s="26">
        <f t="shared" si="85"/>
        <v>0.32137235717020468</v>
      </c>
      <c r="AO39" s="26">
        <f t="shared" si="85"/>
        <v>0.38423699169217296</v>
      </c>
      <c r="AP39" s="26">
        <f t="shared" si="85"/>
        <v>0.12129463427282214</v>
      </c>
      <c r="AQ39" s="26">
        <f t="shared" si="85"/>
        <v>0.20929836360559118</v>
      </c>
      <c r="AR39" s="26">
        <f t="shared" si="85"/>
        <v>0.3505271084337328</v>
      </c>
      <c r="AS39" s="26">
        <f t="shared" si="85"/>
        <v>-1.987648673376027</v>
      </c>
      <c r="AT39" s="26">
        <f t="shared" si="85"/>
        <v>-0.2347216487528283</v>
      </c>
      <c r="AU39" s="26">
        <f t="shared" si="85"/>
        <v>0.37676718434431378</v>
      </c>
      <c r="AV39" s="26">
        <f t="shared" si="85"/>
        <v>0.51911220715165884</v>
      </c>
      <c r="AW39" s="26">
        <f t="shared" si="85"/>
        <v>0.20320855614973263</v>
      </c>
      <c r="AX39" s="26">
        <f t="shared" si="85"/>
        <v>-6.1952897778584986E-3</v>
      </c>
      <c r="AY39" s="26">
        <f t="shared" si="85"/>
        <v>0.39999999999999919</v>
      </c>
      <c r="AZ39" s="26">
        <f t="shared" si="85"/>
        <v>-0.12182741116751303</v>
      </c>
      <c r="BA39" s="26">
        <f t="shared" si="85"/>
        <v>2.7434695928630206</v>
      </c>
      <c r="BB39" s="26">
        <f t="shared" si="85"/>
        <v>-1.7131851229770487</v>
      </c>
      <c r="BC39" s="26">
        <f>-BC24/BC23</f>
        <v>0.15001205884717417</v>
      </c>
      <c r="BD39" s="47"/>
      <c r="BF39" s="26">
        <f t="shared" ref="BF39:BL39" si="86">-BF24/BF23</f>
        <v>0.19752805326813591</v>
      </c>
      <c r="BG39" s="26">
        <f t="shared" si="86"/>
        <v>0.43741757926724345</v>
      </c>
      <c r="BH39" s="26">
        <f t="shared" si="86"/>
        <v>0.27232606438213891</v>
      </c>
      <c r="BI39" s="26">
        <f t="shared" si="86"/>
        <v>-3.5380696292102993E-3</v>
      </c>
      <c r="BJ39" s="26">
        <f t="shared" si="86"/>
        <v>0.49558939483540365</v>
      </c>
      <c r="BK39" s="26">
        <f t="shared" si="86"/>
        <v>0.24557291886998348</v>
      </c>
      <c r="BL39" s="26">
        <f t="shared" si="86"/>
        <v>-4.0639999999999405</v>
      </c>
    </row>
    <row r="40" spans="1:64" s="37" customFormat="1" ht="13.5" customHeight="1">
      <c r="B40" s="1"/>
      <c r="C40" s="225"/>
      <c r="D40" s="47"/>
      <c r="E40" s="47"/>
      <c r="F40" s="47"/>
      <c r="G40" s="47"/>
      <c r="H40" s="47"/>
      <c r="I40" s="225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F40" s="47"/>
      <c r="BG40" s="47"/>
      <c r="BH40" s="47"/>
      <c r="BI40" s="47"/>
      <c r="BJ40" s="47"/>
      <c r="BK40" s="47"/>
      <c r="BL40" s="47"/>
    </row>
    <row r="41" spans="1:64" s="37" customFormat="1" ht="13.5" customHeight="1">
      <c r="B41" s="25" t="s">
        <v>322</v>
      </c>
      <c r="C41" s="223">
        <f t="shared" ref="C41:Q41" si="87">-C63/C9</f>
        <v>0.27387149305101183</v>
      </c>
      <c r="D41" s="26">
        <f t="shared" si="87"/>
        <v>0.16934222139588953</v>
      </c>
      <c r="E41" s="26">
        <f t="shared" si="87"/>
        <v>0.17253715604799652</v>
      </c>
      <c r="F41" s="26">
        <f t="shared" si="87"/>
        <v>0.17860273393868636</v>
      </c>
      <c r="G41" s="26">
        <f t="shared" si="87"/>
        <v>0.1781376097673146</v>
      </c>
      <c r="H41" s="26">
        <f t="shared" si="87"/>
        <v>0.1911566213032127</v>
      </c>
      <c r="I41" s="223">
        <f t="shared" si="87"/>
        <v>0.21826724399936429</v>
      </c>
      <c r="J41" s="26">
        <f t="shared" si="87"/>
        <v>0.30569303555145483</v>
      </c>
      <c r="K41" s="26">
        <f t="shared" si="87"/>
        <v>0.22576445872209089</v>
      </c>
      <c r="L41" s="26">
        <f t="shared" si="87"/>
        <v>0.24850299715365715</v>
      </c>
      <c r="M41" s="26">
        <f t="shared" si="87"/>
        <v>0.19871980902262368</v>
      </c>
      <c r="N41" s="26">
        <f t="shared" si="87"/>
        <v>0.22136084597766245</v>
      </c>
      <c r="O41" s="26">
        <f t="shared" si="87"/>
        <v>0.13603126355586714</v>
      </c>
      <c r="P41" s="26">
        <f t="shared" si="87"/>
        <v>0.20471650349068371</v>
      </c>
      <c r="Q41" s="26">
        <f t="shared" si="87"/>
        <v>0.21771655706681525</v>
      </c>
      <c r="R41" s="47"/>
      <c r="S41" s="26">
        <f t="shared" ref="S41:BB41" si="88">-S63/S9</f>
        <v>0.19874225094856135</v>
      </c>
      <c r="T41" s="26">
        <f t="shared" si="88"/>
        <v>0.13048300894815643</v>
      </c>
      <c r="U41" s="26">
        <f t="shared" si="88"/>
        <v>0.15764325111415081</v>
      </c>
      <c r="V41" s="26">
        <f t="shared" si="88"/>
        <v>0.18906117628048524</v>
      </c>
      <c r="W41" s="26">
        <f t="shared" si="88"/>
        <v>0.12477976503594598</v>
      </c>
      <c r="X41" s="26">
        <f t="shared" si="88"/>
        <v>0.14097866061464021</v>
      </c>
      <c r="Y41" s="26">
        <f t="shared" si="88"/>
        <v>0.20665695955770735</v>
      </c>
      <c r="Z41" s="26">
        <f t="shared" si="88"/>
        <v>0.21285771994329594</v>
      </c>
      <c r="AA41" s="26">
        <f t="shared" si="88"/>
        <v>0.1760311944330461</v>
      </c>
      <c r="AB41" s="26">
        <f t="shared" si="88"/>
        <v>0.14224892626174526</v>
      </c>
      <c r="AC41" s="26">
        <f t="shared" si="88"/>
        <v>0.16261819475253952</v>
      </c>
      <c r="AD41" s="26">
        <f t="shared" si="88"/>
        <v>0.22702625896896469</v>
      </c>
      <c r="AE41" s="26">
        <f t="shared" si="88"/>
        <v>0.18522338648574183</v>
      </c>
      <c r="AF41" s="26">
        <f t="shared" si="88"/>
        <v>0.19387005069798996</v>
      </c>
      <c r="AG41" s="26">
        <f t="shared" si="88"/>
        <v>0.21675224491500641</v>
      </c>
      <c r="AH41" s="26">
        <f t="shared" si="88"/>
        <v>0.17187067288148414</v>
      </c>
      <c r="AI41" s="26">
        <f t="shared" si="88"/>
        <v>0.22115393492775579</v>
      </c>
      <c r="AJ41" s="26">
        <f t="shared" si="88"/>
        <v>0.21467531470678541</v>
      </c>
      <c r="AK41" s="26">
        <f t="shared" si="88"/>
        <v>0.25992393485468973</v>
      </c>
      <c r="AL41" s="26">
        <f t="shared" si="88"/>
        <v>0.18118961166542003</v>
      </c>
      <c r="AM41" s="26">
        <f t="shared" si="88"/>
        <v>0.24450288029576767</v>
      </c>
      <c r="AN41" s="26">
        <f t="shared" si="88"/>
        <v>0.25400145682143149</v>
      </c>
      <c r="AO41" s="26">
        <f t="shared" si="88"/>
        <v>0.20667702073063671</v>
      </c>
      <c r="AP41" s="26">
        <f t="shared" si="88"/>
        <v>0.19939156006501904</v>
      </c>
      <c r="AQ41" s="26">
        <f t="shared" si="88"/>
        <v>0.21180581710231511</v>
      </c>
      <c r="AR41" s="26">
        <f t="shared" si="88"/>
        <v>-0.61998050776989444</v>
      </c>
      <c r="AS41" s="26">
        <f t="shared" si="88"/>
        <v>1.1106895711500975</v>
      </c>
      <c r="AT41" s="26">
        <f t="shared" si="88"/>
        <v>0.19622129052646395</v>
      </c>
      <c r="AU41" s="26">
        <f t="shared" si="88"/>
        <v>0.12771060847323745</v>
      </c>
      <c r="AV41" s="26">
        <f t="shared" si="88"/>
        <v>7.9691736162795859E-2</v>
      </c>
      <c r="AW41" s="26">
        <f t="shared" si="88"/>
        <v>0.15218632020204653</v>
      </c>
      <c r="AX41" s="26">
        <f t="shared" si="88"/>
        <v>0.18661546512351865</v>
      </c>
      <c r="AY41" s="26">
        <f t="shared" si="88"/>
        <v>0.11841788213923171</v>
      </c>
      <c r="AZ41" s="26">
        <f t="shared" si="88"/>
        <v>0.14130385487528344</v>
      </c>
      <c r="BA41" s="26">
        <f t="shared" si="88"/>
        <v>0.24558753534367678</v>
      </c>
      <c r="BB41" s="26">
        <f t="shared" si="88"/>
        <v>0.31664941809439379</v>
      </c>
      <c r="BC41" s="26">
        <f>-BC63/BC9</f>
        <v>0.16800496124031009</v>
      </c>
      <c r="BD41" s="47"/>
      <c r="BF41" s="47">
        <f t="shared" ref="BF41:BL41" si="89">-BF63/BF9</f>
        <v>0</v>
      </c>
      <c r="BG41" s="47">
        <f t="shared" si="89"/>
        <v>0</v>
      </c>
      <c r="BH41" s="47">
        <f t="shared" si="89"/>
        <v>0</v>
      </c>
      <c r="BI41" s="47">
        <f t="shared" si="89"/>
        <v>0</v>
      </c>
      <c r="BJ41" s="47">
        <f t="shared" si="89"/>
        <v>0</v>
      </c>
      <c r="BK41" s="47">
        <f t="shared" si="89"/>
        <v>0</v>
      </c>
      <c r="BL41" s="47">
        <f t="shared" si="89"/>
        <v>0</v>
      </c>
    </row>
    <row r="42" spans="1:64" s="37" customFormat="1" ht="13.5" customHeight="1">
      <c r="B42" s="25" t="s">
        <v>323</v>
      </c>
      <c r="C42" s="223">
        <f t="shared" ref="C42:Q42" si="90">C46/C9</f>
        <v>0.17634532659517235</v>
      </c>
      <c r="D42" s="26">
        <f t="shared" si="90"/>
        <v>0.19772963321515349</v>
      </c>
      <c r="E42" s="26">
        <f t="shared" si="90"/>
        <v>0.19583386238266706</v>
      </c>
      <c r="F42" s="26">
        <f t="shared" si="90"/>
        <v>0.20699679318153583</v>
      </c>
      <c r="G42" s="26">
        <f t="shared" si="90"/>
        <v>0.20646008265500201</v>
      </c>
      <c r="H42" s="26">
        <f t="shared" si="90"/>
        <v>0.21836925004771385</v>
      </c>
      <c r="I42" s="223">
        <f t="shared" si="90"/>
        <v>0.20689713897329645</v>
      </c>
      <c r="J42" s="26">
        <f t="shared" si="90"/>
        <v>0.28976869502160579</v>
      </c>
      <c r="K42" s="26">
        <f t="shared" si="90"/>
        <v>0.28121620024010346</v>
      </c>
      <c r="L42" s="26">
        <f t="shared" si="90"/>
        <v>0.30953972562108467</v>
      </c>
      <c r="M42" s="26">
        <f t="shared" si="90"/>
        <v>0.29219213235024993</v>
      </c>
      <c r="N42" s="26">
        <f t="shared" si="90"/>
        <v>0.32419559923407687</v>
      </c>
      <c r="O42" s="26">
        <f t="shared" si="90"/>
        <v>0.32994018521811713</v>
      </c>
      <c r="P42" s="26">
        <f t="shared" si="90"/>
        <v>0.2914580706085364</v>
      </c>
      <c r="Q42" s="26">
        <f t="shared" si="90"/>
        <v>0.29049929772215471</v>
      </c>
      <c r="R42" s="47"/>
      <c r="S42" s="26">
        <f t="shared" ref="S42:BB42" si="91">S46/S9</f>
        <v>0.20696779218649652</v>
      </c>
      <c r="T42" s="26">
        <f t="shared" si="91"/>
        <v>0.19927444204588982</v>
      </c>
      <c r="U42" s="26">
        <f t="shared" si="91"/>
        <v>0.20338048802012085</v>
      </c>
      <c r="V42" s="26">
        <f t="shared" si="91"/>
        <v>0.1836339118424444</v>
      </c>
      <c r="W42" s="26">
        <f t="shared" si="91"/>
        <v>0.21045068385060497</v>
      </c>
      <c r="X42" s="26">
        <f t="shared" si="91"/>
        <v>0.18156543753604623</v>
      </c>
      <c r="Y42" s="26">
        <f t="shared" si="91"/>
        <v>0.20124486681686718</v>
      </c>
      <c r="Z42" s="26">
        <f t="shared" si="91"/>
        <v>0.19254603464333675</v>
      </c>
      <c r="AA42" s="26">
        <f t="shared" si="91"/>
        <v>0.22294962214471348</v>
      </c>
      <c r="AB42" s="26">
        <f t="shared" si="91"/>
        <v>0.20895612894732513</v>
      </c>
      <c r="AC42" s="26">
        <f t="shared" si="91"/>
        <v>0.20636082572857237</v>
      </c>
      <c r="AD42" s="26">
        <f t="shared" si="91"/>
        <v>0.19255391663362281</v>
      </c>
      <c r="AE42" s="26">
        <f t="shared" si="91"/>
        <v>0.22177211048353768</v>
      </c>
      <c r="AF42" s="26">
        <f t="shared" si="91"/>
        <v>0.23359009604055839</v>
      </c>
      <c r="AG42" s="26">
        <f t="shared" si="91"/>
        <v>0.2186818694399198</v>
      </c>
      <c r="AH42" s="26">
        <f t="shared" si="91"/>
        <v>0.20297884642615235</v>
      </c>
      <c r="AI42" s="26">
        <f t="shared" si="91"/>
        <v>0.2169550419868311</v>
      </c>
      <c r="AJ42" s="26">
        <f t="shared" si="91"/>
        <v>0.21104746053035567</v>
      </c>
      <c r="AK42" s="26">
        <f t="shared" si="91"/>
        <v>0.20467801677037015</v>
      </c>
      <c r="AL42" s="26">
        <f t="shared" si="91"/>
        <v>0.19702545368823154</v>
      </c>
      <c r="AM42" s="26">
        <f t="shared" si="91"/>
        <v>0.27284353975452996</v>
      </c>
      <c r="AN42" s="26">
        <f t="shared" si="91"/>
        <v>0.27881943507702267</v>
      </c>
      <c r="AO42" s="26">
        <f t="shared" si="91"/>
        <v>0.26853732397658386</v>
      </c>
      <c r="AP42" s="26">
        <f t="shared" si="91"/>
        <v>0.30443980619279254</v>
      </c>
      <c r="AQ42" s="26">
        <f t="shared" si="91"/>
        <v>0.28681232506065313</v>
      </c>
      <c r="AR42" s="26">
        <f t="shared" si="91"/>
        <v>0.28912754721871253</v>
      </c>
      <c r="AS42" s="26">
        <f t="shared" si="91"/>
        <v>0.33245004873294348</v>
      </c>
      <c r="AT42" s="26">
        <f t="shared" si="91"/>
        <v>0.26735540996393931</v>
      </c>
      <c r="AU42" s="26">
        <f t="shared" si="91"/>
        <v>0.31564627556201963</v>
      </c>
      <c r="AV42" s="26">
        <f t="shared" si="91"/>
        <v>0.33135499958652193</v>
      </c>
      <c r="AW42" s="26">
        <f t="shared" si="91"/>
        <v>0.31944046658161274</v>
      </c>
      <c r="AX42" s="26">
        <f t="shared" si="91"/>
        <v>0.35404782126579926</v>
      </c>
      <c r="AY42" s="26">
        <f t="shared" si="91"/>
        <v>0.29730993214724583</v>
      </c>
      <c r="AZ42" s="26">
        <f t="shared" si="91"/>
        <v>0.29890559018018387</v>
      </c>
      <c r="BA42" s="26">
        <f t="shared" si="91"/>
        <v>0.3147906561840137</v>
      </c>
      <c r="BB42" s="26">
        <f t="shared" si="91"/>
        <v>0.25443536679519668</v>
      </c>
      <c r="BC42" s="26">
        <f>BC46/BC9</f>
        <v>0.29363652024117137</v>
      </c>
      <c r="BD42" s="47"/>
      <c r="BF42" s="47">
        <f t="shared" ref="BF42:BL42" si="92">BF46/BF9</f>
        <v>0.19075731372234372</v>
      </c>
      <c r="BG42" s="47">
        <f t="shared" si="92"/>
        <v>0.25846867491940539</v>
      </c>
      <c r="BH42" s="47">
        <f t="shared" si="92"/>
        <v>0.275686238422856</v>
      </c>
      <c r="BI42" s="47">
        <f t="shared" si="92"/>
        <v>0.27108514747096574</v>
      </c>
      <c r="BJ42" s="47">
        <f t="shared" si="92"/>
        <v>0.35199074836290639</v>
      </c>
      <c r="BK42" s="47">
        <f t="shared" si="92"/>
        <v>0.31177738117266451</v>
      </c>
      <c r="BL42" s="47">
        <f t="shared" si="92"/>
        <v>0.31203388104494506</v>
      </c>
    </row>
    <row r="43" spans="1:64" s="37" customFormat="1" ht="13.5" customHeight="1">
      <c r="C43" s="225"/>
      <c r="D43" s="47"/>
      <c r="E43" s="47"/>
      <c r="F43" s="47"/>
      <c r="G43" s="47"/>
      <c r="H43" s="47"/>
      <c r="I43" s="225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W43" s="47"/>
      <c r="X43" s="47"/>
      <c r="AA43" s="47"/>
      <c r="AB43" s="47"/>
      <c r="AC43" s="47"/>
      <c r="AD43" s="47"/>
      <c r="AE43" s="47"/>
      <c r="AH43" s="47"/>
      <c r="AI43" s="47"/>
      <c r="AJ43" s="47"/>
      <c r="AL43" s="47"/>
      <c r="AN43" s="47"/>
      <c r="AP43" s="47"/>
      <c r="AR43" s="47"/>
      <c r="AT43" s="47"/>
      <c r="AU43" s="47"/>
      <c r="AV43" s="47"/>
      <c r="AX43" s="47"/>
      <c r="AY43" s="47"/>
      <c r="AZ43" s="47"/>
      <c r="BB43" s="47"/>
      <c r="BC43" s="47"/>
      <c r="BF43" s="47"/>
      <c r="BJ43" s="47"/>
      <c r="BL43" s="47"/>
    </row>
    <row r="44" spans="1:64" ht="13.5" customHeight="1">
      <c r="A44" s="23"/>
      <c r="B44" s="15" t="s">
        <v>324</v>
      </c>
      <c r="C44" s="36">
        <f>+C3</f>
        <v>42735</v>
      </c>
      <c r="D44" s="36">
        <f>+D3</f>
        <v>43100</v>
      </c>
      <c r="E44" s="36">
        <f t="shared" ref="E44:P44" si="93">E3</f>
        <v>43465</v>
      </c>
      <c r="F44" s="36">
        <f t="shared" si="93"/>
        <v>43830</v>
      </c>
      <c r="G44" s="36">
        <f t="shared" si="93"/>
        <v>43830</v>
      </c>
      <c r="H44" s="36">
        <f t="shared" si="93"/>
        <v>44196</v>
      </c>
      <c r="I44" s="36">
        <f t="shared" si="93"/>
        <v>44561</v>
      </c>
      <c r="J44" s="36">
        <f t="shared" si="93"/>
        <v>44561</v>
      </c>
      <c r="K44" s="36">
        <f t="shared" si="93"/>
        <v>44926</v>
      </c>
      <c r="L44" s="36">
        <f t="shared" si="93"/>
        <v>44926</v>
      </c>
      <c r="M44" s="36">
        <f t="shared" si="93"/>
        <v>45291</v>
      </c>
      <c r="N44" s="36">
        <f t="shared" si="93"/>
        <v>45291</v>
      </c>
      <c r="O44" s="36">
        <f t="shared" si="93"/>
        <v>45657</v>
      </c>
      <c r="P44" s="36">
        <f t="shared" si="93"/>
        <v>46022</v>
      </c>
      <c r="Q44" s="121">
        <f>+Q3</f>
        <v>46112</v>
      </c>
      <c r="R44" s="209" t="s">
        <v>325</v>
      </c>
      <c r="S44" s="36">
        <f>+S3</f>
        <v>42825</v>
      </c>
      <c r="T44" s="36">
        <f>+T3</f>
        <v>42916</v>
      </c>
      <c r="U44" s="36">
        <f>+U3</f>
        <v>43008</v>
      </c>
      <c r="V44" s="36">
        <f>+V3</f>
        <v>43100</v>
      </c>
      <c r="W44" s="36">
        <f>+W3</f>
        <v>43190</v>
      </c>
      <c r="X44" s="36">
        <f>X3</f>
        <v>43281</v>
      </c>
      <c r="Y44" s="36">
        <f>Y3</f>
        <v>43373</v>
      </c>
      <c r="Z44" s="36">
        <f>Z3</f>
        <v>43465</v>
      </c>
      <c r="AA44" s="36">
        <f>+AA3</f>
        <v>43555</v>
      </c>
      <c r="AB44" s="36">
        <f>AB3</f>
        <v>43646</v>
      </c>
      <c r="AC44" s="36">
        <f t="shared" ref="AC44:BB44" si="94">+AC3</f>
        <v>43738</v>
      </c>
      <c r="AD44" s="36">
        <f t="shared" si="94"/>
        <v>43830</v>
      </c>
      <c r="AE44" s="36">
        <f t="shared" si="94"/>
        <v>43921</v>
      </c>
      <c r="AF44" s="36">
        <f t="shared" si="94"/>
        <v>44012</v>
      </c>
      <c r="AG44" s="36">
        <f t="shared" si="94"/>
        <v>44104</v>
      </c>
      <c r="AH44" s="36">
        <f t="shared" si="94"/>
        <v>44196</v>
      </c>
      <c r="AI44" s="36">
        <f t="shared" si="94"/>
        <v>44286</v>
      </c>
      <c r="AJ44" s="36">
        <f t="shared" si="94"/>
        <v>44377</v>
      </c>
      <c r="AK44" s="36">
        <f t="shared" si="94"/>
        <v>44469</v>
      </c>
      <c r="AL44" s="36">
        <f t="shared" si="94"/>
        <v>44561</v>
      </c>
      <c r="AM44" s="36">
        <f t="shared" si="94"/>
        <v>44651</v>
      </c>
      <c r="AN44" s="36">
        <f t="shared" si="94"/>
        <v>44742</v>
      </c>
      <c r="AO44" s="36">
        <f t="shared" si="94"/>
        <v>44834</v>
      </c>
      <c r="AP44" s="36">
        <f t="shared" si="94"/>
        <v>44926</v>
      </c>
      <c r="AQ44" s="36">
        <f t="shared" si="94"/>
        <v>45016</v>
      </c>
      <c r="AR44" s="92">
        <f t="shared" si="94"/>
        <v>45107</v>
      </c>
      <c r="AS44" s="92">
        <f t="shared" si="94"/>
        <v>45199</v>
      </c>
      <c r="AT44" s="92">
        <f t="shared" si="94"/>
        <v>45291</v>
      </c>
      <c r="AU44" s="92">
        <f t="shared" si="94"/>
        <v>45382</v>
      </c>
      <c r="AV44" s="92">
        <f t="shared" si="94"/>
        <v>45473</v>
      </c>
      <c r="AW44" s="92">
        <f t="shared" si="94"/>
        <v>45565</v>
      </c>
      <c r="AX44" s="92">
        <f t="shared" si="94"/>
        <v>45657</v>
      </c>
      <c r="AY44" s="92">
        <f t="shared" si="94"/>
        <v>45747</v>
      </c>
      <c r="AZ44" s="92">
        <f t="shared" si="94"/>
        <v>45838</v>
      </c>
      <c r="BA44" s="92">
        <f t="shared" si="94"/>
        <v>45930</v>
      </c>
      <c r="BB44" s="92">
        <f t="shared" si="94"/>
        <v>46022</v>
      </c>
      <c r="BC44" s="92">
        <f>+BC3</f>
        <v>46112</v>
      </c>
      <c r="BD44" s="270"/>
      <c r="BF44" s="36">
        <f t="shared" ref="BF44:BL44" si="95">+BF3</f>
        <v>43830</v>
      </c>
      <c r="BG44" s="36">
        <f t="shared" si="95"/>
        <v>44286</v>
      </c>
      <c r="BH44" s="36">
        <f t="shared" si="95"/>
        <v>44377</v>
      </c>
      <c r="BI44" s="36">
        <f t="shared" si="95"/>
        <v>44469</v>
      </c>
      <c r="BJ44" s="36">
        <f t="shared" si="95"/>
        <v>44561</v>
      </c>
      <c r="BK44" s="36">
        <f t="shared" si="95"/>
        <v>45016</v>
      </c>
      <c r="BL44" s="92">
        <f t="shared" si="95"/>
        <v>45107</v>
      </c>
    </row>
    <row r="45" spans="1:64" s="5" customFormat="1" ht="13.5" customHeight="1">
      <c r="B45" s="14" t="s">
        <v>326</v>
      </c>
      <c r="C45" s="7">
        <f t="shared" ref="C45:Q45" si="96">C19</f>
        <v>16598.134000000005</v>
      </c>
      <c r="D45" s="7">
        <f t="shared" si="96"/>
        <v>14243.165000000015</v>
      </c>
      <c r="E45" s="7">
        <f t="shared" si="96"/>
        <v>20252.525000000005</v>
      </c>
      <c r="F45" s="7">
        <f t="shared" si="96"/>
        <v>17209.029999999995</v>
      </c>
      <c r="G45" s="7">
        <f t="shared" si="96"/>
        <v>17005.029999999995</v>
      </c>
      <c r="H45" s="7">
        <f t="shared" si="96"/>
        <v>17525.368000000006</v>
      </c>
      <c r="I45" s="7">
        <f t="shared" si="96"/>
        <v>22183.226000000006</v>
      </c>
      <c r="J45" s="7">
        <f t="shared" si="96"/>
        <v>10688.899999999998</v>
      </c>
      <c r="K45" s="7">
        <f t="shared" si="96"/>
        <v>4387.5010000000002</v>
      </c>
      <c r="L45" s="7">
        <f t="shared" si="96"/>
        <v>3737.7469999999921</v>
      </c>
      <c r="M45" s="7">
        <f t="shared" si="96"/>
        <v>2663.6999999999971</v>
      </c>
      <c r="N45" s="7">
        <f t="shared" si="96"/>
        <v>1857.794999999991</v>
      </c>
      <c r="O45" s="7">
        <f t="shared" si="96"/>
        <v>-2818.8610000000044</v>
      </c>
      <c r="P45" s="7">
        <f t="shared" si="96"/>
        <v>4224.8919999999998</v>
      </c>
      <c r="Q45" s="85">
        <f t="shared" si="96"/>
        <v>4877.2920000000013</v>
      </c>
      <c r="R45" s="85"/>
      <c r="S45" s="7">
        <f t="shared" ref="S45:BB45" si="97">S19</f>
        <v>3030.1089999999949</v>
      </c>
      <c r="T45" s="7">
        <f t="shared" si="97"/>
        <v>3905.1010000000006</v>
      </c>
      <c r="U45" s="7">
        <f t="shared" si="97"/>
        <v>3678.1489999999994</v>
      </c>
      <c r="V45" s="7">
        <f t="shared" si="97"/>
        <v>3629.8060000000005</v>
      </c>
      <c r="W45" s="7">
        <f t="shared" si="97"/>
        <v>3624.1849999999995</v>
      </c>
      <c r="X45" s="7">
        <f t="shared" si="97"/>
        <v>8622.2729999999974</v>
      </c>
      <c r="Y45" s="7">
        <f t="shared" si="97"/>
        <v>4341.8059999999969</v>
      </c>
      <c r="Z45" s="7">
        <f t="shared" si="97"/>
        <v>3664.2610000000068</v>
      </c>
      <c r="AA45" s="7">
        <f t="shared" si="97"/>
        <v>3470.3509999999978</v>
      </c>
      <c r="AB45" s="7">
        <f t="shared" si="97"/>
        <v>4110.0000000000027</v>
      </c>
      <c r="AC45" s="7">
        <f t="shared" si="97"/>
        <v>4595.7530000000015</v>
      </c>
      <c r="AD45" s="7">
        <f t="shared" si="97"/>
        <v>5032.9259999999931</v>
      </c>
      <c r="AE45" s="7">
        <f t="shared" si="97"/>
        <v>3426.5999999999985</v>
      </c>
      <c r="AF45" s="7">
        <f t="shared" si="97"/>
        <v>2693.2000000000007</v>
      </c>
      <c r="AG45" s="7">
        <f t="shared" si="97"/>
        <v>5569.1</v>
      </c>
      <c r="AH45" s="7">
        <f t="shared" si="97"/>
        <v>5836.4680000000071</v>
      </c>
      <c r="AI45" s="7">
        <f t="shared" si="97"/>
        <v>3540.5000000000018</v>
      </c>
      <c r="AJ45" s="7">
        <f t="shared" si="97"/>
        <v>3985.7000000000016</v>
      </c>
      <c r="AK45" s="7">
        <f t="shared" si="97"/>
        <v>4831.2299999999987</v>
      </c>
      <c r="AL45" s="7">
        <f t="shared" si="97"/>
        <v>9825.796000000013</v>
      </c>
      <c r="AM45" s="7">
        <f t="shared" si="97"/>
        <v>1637.4000000000005</v>
      </c>
      <c r="AN45" s="7">
        <f t="shared" si="97"/>
        <v>1551.6999999999989</v>
      </c>
      <c r="AO45" s="7">
        <f t="shared" si="97"/>
        <v>1362.3000000000002</v>
      </c>
      <c r="AP45" s="7">
        <f t="shared" si="97"/>
        <v>-163.89899999999852</v>
      </c>
      <c r="AQ45" s="7">
        <f t="shared" si="97"/>
        <v>1203.7470000000021</v>
      </c>
      <c r="AR45" s="7">
        <f t="shared" si="97"/>
        <v>992.20000000000164</v>
      </c>
      <c r="AS45" s="7">
        <f t="shared" si="97"/>
        <v>-381.60000000000036</v>
      </c>
      <c r="AT45" s="7">
        <f t="shared" si="97"/>
        <v>849.3529999999937</v>
      </c>
      <c r="AU45" s="7">
        <f t="shared" si="97"/>
        <v>2925.8999999999996</v>
      </c>
      <c r="AV45" s="7">
        <f t="shared" si="97"/>
        <v>89.499999999998181</v>
      </c>
      <c r="AW45" s="7">
        <f t="shared" si="97"/>
        <v>364.69999999999982</v>
      </c>
      <c r="AX45" s="7">
        <f t="shared" si="97"/>
        <v>-6198.9610000000011</v>
      </c>
      <c r="AY45" s="7">
        <f t="shared" si="97"/>
        <v>890.00000000000091</v>
      </c>
      <c r="AZ45" s="7">
        <f t="shared" si="97"/>
        <v>953.39999999999873</v>
      </c>
      <c r="BA45" s="7">
        <f t="shared" si="97"/>
        <v>928.79499999999916</v>
      </c>
      <c r="BB45" s="7">
        <f t="shared" si="97"/>
        <v>1452.6970000000028</v>
      </c>
      <c r="BC45" s="7">
        <f>BC19</f>
        <v>1542.4000000000005</v>
      </c>
      <c r="BD45" s="7"/>
      <c r="BF45" s="7">
        <f t="shared" ref="BF45:BL45" si="98">BF19</f>
        <v>4828.9259999999931</v>
      </c>
      <c r="BG45" s="7">
        <f t="shared" si="98"/>
        <v>1820.0999999999985</v>
      </c>
      <c r="BH45" s="7">
        <f t="shared" si="98"/>
        <v>1658.7000000000016</v>
      </c>
      <c r="BI45" s="7">
        <f t="shared" si="98"/>
        <v>1845.2999999999984</v>
      </c>
      <c r="BJ45" s="7">
        <f t="shared" si="98"/>
        <v>5364.7999999999956</v>
      </c>
      <c r="BK45" s="7">
        <f t="shared" si="98"/>
        <v>1112.3999999999987</v>
      </c>
      <c r="BL45" s="7">
        <f t="shared" si="98"/>
        <v>793</v>
      </c>
    </row>
    <row r="46" spans="1:64" ht="13.5" customHeight="1">
      <c r="B46" s="6" t="s">
        <v>327</v>
      </c>
      <c r="C46" s="62">
        <v>16979.832999999999</v>
      </c>
      <c r="D46" s="62">
        <v>18504.764999999999</v>
      </c>
      <c r="E46" s="62">
        <v>19834.504000000001</v>
      </c>
      <c r="F46" s="62">
        <v>21008.556</v>
      </c>
      <c r="G46" s="62">
        <v>21008.795999999998</v>
      </c>
      <c r="H46" s="62">
        <v>21260.787</v>
      </c>
      <c r="I46" s="62">
        <v>21418.368999999999</v>
      </c>
      <c r="J46" s="62">
        <v>21418.368999999999</v>
      </c>
      <c r="K46" s="62">
        <v>21239.306</v>
      </c>
      <c r="L46" s="62">
        <v>21239.306</v>
      </c>
      <c r="M46" s="62">
        <v>21554.400000000001</v>
      </c>
      <c r="N46" s="62">
        <v>21469.151999999998</v>
      </c>
      <c r="O46" s="62">
        <v>20542.361000000001</v>
      </c>
      <c r="P46" s="62">
        <v>17160.511999999999</v>
      </c>
      <c r="Q46" s="32">
        <f>SUM(AZ46:BC46)</f>
        <v>16970.111999999997</v>
      </c>
      <c r="R46" s="32"/>
      <c r="S46" s="62">
        <v>4543.8329999999996</v>
      </c>
      <c r="T46" s="62">
        <f>9122.522-S46</f>
        <v>4578.6890000000012</v>
      </c>
      <c r="U46" s="62">
        <f>13731.734-T46-S46</f>
        <v>4609.2119999999986</v>
      </c>
      <c r="V46" s="32">
        <f>D46-U46-T46-S46</f>
        <v>4773.0309999999981</v>
      </c>
      <c r="W46" s="62">
        <v>4800.8010000000004</v>
      </c>
      <c r="X46" s="62">
        <f>9648.925-W46</f>
        <v>4848.1239999999989</v>
      </c>
      <c r="Y46" s="62">
        <f>14686.728-X46-W46</f>
        <v>5037.802999999999</v>
      </c>
      <c r="Z46" s="32">
        <f>E46-Y46-X46-W46</f>
        <v>5147.7760000000007</v>
      </c>
      <c r="AA46" s="62">
        <v>5215.951</v>
      </c>
      <c r="AB46" s="62">
        <f>10295.173-AA46</f>
        <v>5079.2220000000007</v>
      </c>
      <c r="AC46" s="62">
        <f>15616.424-AB46-AA46</f>
        <v>5321.2510000000011</v>
      </c>
      <c r="AD46" s="32">
        <f>F46-AA46-AB46-AC46</f>
        <v>5392.1319999999969</v>
      </c>
      <c r="AE46" s="62">
        <v>5151.5</v>
      </c>
      <c r="AF46" s="1">
        <v>5234.1000000000004</v>
      </c>
      <c r="AG46" s="62">
        <v>5235.8999999999996</v>
      </c>
      <c r="AH46" s="32">
        <f>H46-AE46-AF46-AG46</f>
        <v>5639.2870000000003</v>
      </c>
      <c r="AI46" s="62">
        <v>5169.8</v>
      </c>
      <c r="AJ46" s="62">
        <v>5224.1000000000004</v>
      </c>
      <c r="AK46" s="62">
        <v>5347.8</v>
      </c>
      <c r="AL46" s="32">
        <f>I46-AI46-AJ46-AK46</f>
        <v>5676.668999999999</v>
      </c>
      <c r="AM46" s="62">
        <v>5077.3999999999996</v>
      </c>
      <c r="AN46" s="62">
        <v>5167.5</v>
      </c>
      <c r="AO46" s="62">
        <v>5169.8</v>
      </c>
      <c r="AP46" s="32">
        <f>K46-AM46-AN46-AO46</f>
        <v>5824.6060000000007</v>
      </c>
      <c r="AQ46" s="62">
        <v>5311.6589999999997</v>
      </c>
      <c r="AR46" s="62">
        <v>5354.7</v>
      </c>
      <c r="AS46" s="62">
        <v>5457.5</v>
      </c>
      <c r="AT46" s="32">
        <f>M46-AQ46-AR46-AS46</f>
        <v>5430.5410000000011</v>
      </c>
      <c r="AU46" s="62">
        <v>5035</v>
      </c>
      <c r="AV46" s="62">
        <v>5209</v>
      </c>
      <c r="AW46" s="62">
        <v>4907.5</v>
      </c>
      <c r="AX46" s="32">
        <f>O46-SUM(AU46:AW46)</f>
        <v>5390.8610000000008</v>
      </c>
      <c r="AY46" s="62">
        <v>4451.8</v>
      </c>
      <c r="AZ46" s="62">
        <v>4402.7</v>
      </c>
      <c r="BA46" s="62">
        <f>13458.97-AZ46-AY46</f>
        <v>4604.47</v>
      </c>
      <c r="BB46" s="32">
        <f>P46-SUM(AY46:BA46)</f>
        <v>3701.5419999999976</v>
      </c>
      <c r="BC46" s="62">
        <v>4261.3999999999996</v>
      </c>
      <c r="BD46" s="62"/>
      <c r="BF46" s="32">
        <f>G46-AA46-AB46-AC46</f>
        <v>5392.3719999999948</v>
      </c>
      <c r="BG46" s="62">
        <v>4658.2</v>
      </c>
      <c r="BH46" s="62">
        <v>5093</v>
      </c>
      <c r="BI46" s="62">
        <v>5039.5</v>
      </c>
      <c r="BJ46" s="32">
        <f>J46-BG46-BH46-BI46</f>
        <v>6627.6689999999981</v>
      </c>
      <c r="BK46" s="62">
        <v>5223.3</v>
      </c>
      <c r="BL46" s="62">
        <v>5209</v>
      </c>
    </row>
    <row r="47" spans="1:64" s="5" customFormat="1" ht="13.5" customHeight="1">
      <c r="B47" s="5" t="s">
        <v>324</v>
      </c>
      <c r="C47" s="7">
        <f t="shared" ref="C47:H47" si="99">SUM(C45:C46)</f>
        <v>33577.967000000004</v>
      </c>
      <c r="D47" s="7">
        <f t="shared" si="99"/>
        <v>32747.930000000015</v>
      </c>
      <c r="E47" s="7">
        <f t="shared" si="99"/>
        <v>40087.02900000001</v>
      </c>
      <c r="F47" s="7">
        <f t="shared" si="99"/>
        <v>38217.585999999996</v>
      </c>
      <c r="G47" s="7">
        <f t="shared" si="99"/>
        <v>38013.825999999994</v>
      </c>
      <c r="H47" s="7">
        <f t="shared" si="99"/>
        <v>38786.155000000006</v>
      </c>
      <c r="I47" s="7">
        <f t="shared" ref="I47:Q47" si="100">SUM(I45:I46)</f>
        <v>43601.595000000001</v>
      </c>
      <c r="J47" s="7">
        <f t="shared" si="100"/>
        <v>32107.268999999997</v>
      </c>
      <c r="K47" s="7">
        <f t="shared" si="100"/>
        <v>25626.807000000001</v>
      </c>
      <c r="L47" s="7">
        <f t="shared" si="100"/>
        <v>24977.052999999993</v>
      </c>
      <c r="M47" s="7">
        <f t="shared" si="100"/>
        <v>24218.1</v>
      </c>
      <c r="N47" s="7">
        <f t="shared" si="100"/>
        <v>23326.946999999989</v>
      </c>
      <c r="O47" s="7">
        <f t="shared" si="100"/>
        <v>17723.499999999996</v>
      </c>
      <c r="P47" s="7">
        <f>SUM(P45:P46)</f>
        <v>21385.403999999999</v>
      </c>
      <c r="Q47" s="85">
        <f t="shared" si="100"/>
        <v>21847.403999999999</v>
      </c>
      <c r="R47" s="85"/>
      <c r="S47" s="7">
        <f t="shared" ref="S47:X47" si="101">SUM(S45:S46)</f>
        <v>7573.9419999999946</v>
      </c>
      <c r="T47" s="7">
        <f t="shared" si="101"/>
        <v>8483.7900000000009</v>
      </c>
      <c r="U47" s="7">
        <f t="shared" si="101"/>
        <v>8287.3609999999971</v>
      </c>
      <c r="V47" s="7">
        <f t="shared" si="101"/>
        <v>8402.8369999999995</v>
      </c>
      <c r="W47" s="7">
        <f t="shared" si="101"/>
        <v>8424.9860000000008</v>
      </c>
      <c r="X47" s="7">
        <f t="shared" si="101"/>
        <v>13470.396999999997</v>
      </c>
      <c r="Y47" s="7">
        <f t="shared" ref="Y47:AD47" si="102">SUM(Y45:Y46)</f>
        <v>9379.6089999999967</v>
      </c>
      <c r="Z47" s="7">
        <f t="shared" si="102"/>
        <v>8812.0370000000075</v>
      </c>
      <c r="AA47" s="7">
        <f t="shared" si="102"/>
        <v>8686.3019999999979</v>
      </c>
      <c r="AB47" s="7">
        <f t="shared" si="102"/>
        <v>9189.2220000000034</v>
      </c>
      <c r="AC47" s="7">
        <f t="shared" si="102"/>
        <v>9917.0040000000026</v>
      </c>
      <c r="AD47" s="7">
        <f t="shared" si="102"/>
        <v>10425.05799999999</v>
      </c>
      <c r="AE47" s="7">
        <f t="shared" ref="AE47:AJ47" si="103">SUM(AE45:AE46)</f>
        <v>8578.0999999999985</v>
      </c>
      <c r="AF47" s="7">
        <f t="shared" si="103"/>
        <v>7927.3000000000011</v>
      </c>
      <c r="AG47" s="7">
        <f t="shared" si="103"/>
        <v>10805</v>
      </c>
      <c r="AH47" s="7">
        <f t="shared" si="103"/>
        <v>11475.755000000008</v>
      </c>
      <c r="AI47" s="7">
        <f t="shared" si="103"/>
        <v>8710.3000000000029</v>
      </c>
      <c r="AJ47" s="7">
        <f t="shared" si="103"/>
        <v>9209.8000000000029</v>
      </c>
      <c r="AK47" s="7">
        <f t="shared" ref="AK47:AP47" si="104">SUM(AK45:AK46)</f>
        <v>10179.029999999999</v>
      </c>
      <c r="AL47" s="7">
        <f t="shared" si="104"/>
        <v>15502.465000000011</v>
      </c>
      <c r="AM47" s="7">
        <f t="shared" si="104"/>
        <v>6714.8</v>
      </c>
      <c r="AN47" s="7">
        <f t="shared" si="104"/>
        <v>6719.1999999999989</v>
      </c>
      <c r="AO47" s="7">
        <f t="shared" si="104"/>
        <v>6532.1</v>
      </c>
      <c r="AP47" s="7">
        <f t="shared" si="104"/>
        <v>5660.7070000000022</v>
      </c>
      <c r="AQ47" s="7">
        <f t="shared" ref="AQ47:AV47" si="105">SUM(AQ45:AQ46)</f>
        <v>6515.4060000000018</v>
      </c>
      <c r="AR47" s="7">
        <f t="shared" si="105"/>
        <v>6346.9000000000015</v>
      </c>
      <c r="AS47" s="7">
        <f t="shared" si="105"/>
        <v>5075.8999999999996</v>
      </c>
      <c r="AT47" s="7">
        <f t="shared" si="105"/>
        <v>6279.8939999999948</v>
      </c>
      <c r="AU47" s="7">
        <f t="shared" si="105"/>
        <v>7960.9</v>
      </c>
      <c r="AV47" s="7">
        <f t="shared" si="105"/>
        <v>5298.4999999999982</v>
      </c>
      <c r="AW47" s="7">
        <f t="shared" ref="AW47:BB47" si="106">SUM(AW45:AW46)</f>
        <v>5272.2</v>
      </c>
      <c r="AX47" s="7">
        <f t="shared" si="106"/>
        <v>-808.10000000000036</v>
      </c>
      <c r="AY47" s="7">
        <f t="shared" si="106"/>
        <v>5341.8000000000011</v>
      </c>
      <c r="AZ47" s="7">
        <f t="shared" si="106"/>
        <v>5356.0999999999985</v>
      </c>
      <c r="BA47" s="7">
        <f t="shared" si="106"/>
        <v>5533.2649999999994</v>
      </c>
      <c r="BB47" s="7">
        <f t="shared" si="106"/>
        <v>5154.2390000000005</v>
      </c>
      <c r="BC47" s="7">
        <f>SUM(BC45:BC46)</f>
        <v>5803.8</v>
      </c>
      <c r="BD47" s="7"/>
      <c r="BF47" s="7">
        <f t="shared" ref="BF47:BK47" si="107">SUM(BF45:BF46)</f>
        <v>10221.297999999988</v>
      </c>
      <c r="BG47" s="7">
        <f t="shared" si="107"/>
        <v>6478.2999999999984</v>
      </c>
      <c r="BH47" s="7">
        <f t="shared" si="107"/>
        <v>6751.7000000000016</v>
      </c>
      <c r="BI47" s="7">
        <f t="shared" si="107"/>
        <v>6884.7999999999984</v>
      </c>
      <c r="BJ47" s="7">
        <f t="shared" si="107"/>
        <v>11992.468999999994</v>
      </c>
      <c r="BK47" s="7">
        <f t="shared" si="107"/>
        <v>6335.6999999999989</v>
      </c>
      <c r="BL47" s="7">
        <f>SUM(BL45:BL46)</f>
        <v>6002</v>
      </c>
    </row>
    <row r="48" spans="1:64" s="37" customFormat="1" ht="13.5" customHeight="1">
      <c r="B48" s="17" t="s">
        <v>328</v>
      </c>
      <c r="C48" s="224"/>
      <c r="D48" s="18">
        <f>+D47/C46-1</f>
        <v>0.92863675396572032</v>
      </c>
      <c r="E48" s="18">
        <f>+E47/D47-1</f>
        <v>0.22410879099839254</v>
      </c>
      <c r="F48" s="18">
        <f>+F47/E47-1</f>
        <v>-4.66346109111756E-2</v>
      </c>
      <c r="G48" s="18">
        <f>+G47/E47-1</f>
        <v>-5.1717551829546071E-2</v>
      </c>
      <c r="H48" s="18">
        <f>+H47/G47-1</f>
        <v>2.0317055168296294E-2</v>
      </c>
      <c r="I48" s="224">
        <f>+I47/H47-1</f>
        <v>0.12415358005968868</v>
      </c>
      <c r="J48" s="224">
        <f>+J47/H47-1</f>
        <v>-0.17219768239465882</v>
      </c>
      <c r="K48" s="18">
        <f>+K47/J47-1</f>
        <v>-0.20183784550470474</v>
      </c>
      <c r="L48" s="18">
        <f>+L47/J47-1</f>
        <v>-0.22207482050248506</v>
      </c>
      <c r="M48" s="18">
        <f>+M47/K47-1</f>
        <v>-5.497005537989974E-2</v>
      </c>
      <c r="N48" s="18">
        <f>+N47/L47-1</f>
        <v>-6.6064879631716478E-2</v>
      </c>
      <c r="O48" s="18">
        <f>+O47/N47-1</f>
        <v>-0.24021347499953571</v>
      </c>
      <c r="P48" s="18">
        <f>+P47/O47-1</f>
        <v>0.20661291505628143</v>
      </c>
      <c r="Q48" s="93"/>
      <c r="R48" s="208"/>
      <c r="S48" s="18"/>
      <c r="T48" s="18"/>
      <c r="U48" s="18"/>
      <c r="V48" s="18"/>
      <c r="W48" s="18">
        <f t="shared" ref="W48:BC48" si="108">+W47/S47-1</f>
        <v>0.11236473688338333</v>
      </c>
      <c r="X48" s="18">
        <f t="shared" si="108"/>
        <v>0.58778057919868321</v>
      </c>
      <c r="Y48" s="18">
        <f t="shared" si="108"/>
        <v>0.13179684099679023</v>
      </c>
      <c r="Z48" s="18">
        <f t="shared" si="108"/>
        <v>4.8697838599035981E-2</v>
      </c>
      <c r="AA48" s="18">
        <f t="shared" si="108"/>
        <v>3.1016787446293437E-2</v>
      </c>
      <c r="AB48" s="18">
        <f t="shared" si="108"/>
        <v>-0.31782099666401775</v>
      </c>
      <c r="AC48" s="18">
        <f t="shared" si="108"/>
        <v>5.7293966091764181E-2</v>
      </c>
      <c r="AD48" s="18">
        <f t="shared" si="108"/>
        <v>0.18304746110348624</v>
      </c>
      <c r="AE48" s="18">
        <f t="shared" si="108"/>
        <v>-1.2456624234340352E-2</v>
      </c>
      <c r="AF48" s="18">
        <f t="shared" si="108"/>
        <v>-0.13732631554662644</v>
      </c>
      <c r="AG48" s="18">
        <f t="shared" si="108"/>
        <v>8.9542769166977898E-2</v>
      </c>
      <c r="AH48" s="18">
        <f>+AH47/BF47-1</f>
        <v>0.12272971593236215</v>
      </c>
      <c r="AI48" s="18">
        <f t="shared" si="108"/>
        <v>1.5411338175120859E-2</v>
      </c>
      <c r="AJ48" s="18">
        <f t="shared" si="108"/>
        <v>0.16178270028887543</v>
      </c>
      <c r="AK48" s="18">
        <f t="shared" si="108"/>
        <v>-5.793336418324857E-2</v>
      </c>
      <c r="AL48" s="18">
        <f>+AL47/AH47-1</f>
        <v>0.35088846006210472</v>
      </c>
      <c r="AM48" s="18">
        <f t="shared" si="108"/>
        <v>-0.22909658679953637</v>
      </c>
      <c r="AN48" s="18">
        <f t="shared" si="108"/>
        <v>-0.27042932528393704</v>
      </c>
      <c r="AO48" s="18">
        <f t="shared" si="108"/>
        <v>-0.3582787357930961</v>
      </c>
      <c r="AP48" s="18">
        <f>+AP47/AL47-1</f>
        <v>-0.63485116721760071</v>
      </c>
      <c r="AQ48" s="18">
        <f t="shared" si="108"/>
        <v>-2.9694704235419978E-2</v>
      </c>
      <c r="AR48" s="18">
        <f t="shared" si="108"/>
        <v>-5.5408381950231789E-2</v>
      </c>
      <c r="AS48" s="18">
        <f t="shared" si="108"/>
        <v>-0.2229298387960994</v>
      </c>
      <c r="AT48" s="18">
        <f t="shared" si="108"/>
        <v>0.10938333321261684</v>
      </c>
      <c r="AU48" s="18">
        <f>+AU47/BK47-1</f>
        <v>0.25651467083353086</v>
      </c>
      <c r="AV48" s="18">
        <f t="shared" si="108"/>
        <v>-0.1651830027257406</v>
      </c>
      <c r="AW48" s="18">
        <f t="shared" si="108"/>
        <v>3.8672944699462253E-2</v>
      </c>
      <c r="AX48" s="18">
        <f t="shared" si="108"/>
        <v>-1.1286805159450146</v>
      </c>
      <c r="AY48" s="18">
        <f t="shared" si="108"/>
        <v>-0.32899546533683366</v>
      </c>
      <c r="AZ48" s="18">
        <f t="shared" si="108"/>
        <v>1.0871001226762322E-2</v>
      </c>
      <c r="BA48" s="18">
        <f t="shared" si="108"/>
        <v>4.9517279314138296E-2</v>
      </c>
      <c r="BB48" s="18">
        <f t="shared" si="108"/>
        <v>-7.3782192797921029</v>
      </c>
      <c r="BC48" s="18">
        <f t="shared" si="108"/>
        <v>8.6487700775019549E-2</v>
      </c>
      <c r="BD48" s="210"/>
      <c r="BF48" s="18"/>
      <c r="BG48" s="18"/>
      <c r="BH48" s="18"/>
      <c r="BI48" s="18"/>
      <c r="BJ48" s="18"/>
      <c r="BK48" s="18"/>
      <c r="BL48" s="18">
        <f>+BL47/BH47-1</f>
        <v>-0.1110387013641011</v>
      </c>
    </row>
    <row r="49" spans="1:65" s="37" customFormat="1" ht="13.5" customHeight="1">
      <c r="B49" s="17" t="s">
        <v>329</v>
      </c>
      <c r="C49" s="224">
        <f t="shared" ref="C49:Q49" si="109">C47/C9</f>
        <v>0.34872648965492892</v>
      </c>
      <c r="D49" s="18">
        <f t="shared" si="109"/>
        <v>0.34992263816673835</v>
      </c>
      <c r="E49" s="18">
        <f t="shared" si="109"/>
        <v>0.39579501057934119</v>
      </c>
      <c r="F49" s="18">
        <f t="shared" si="109"/>
        <v>0.37655694875647611</v>
      </c>
      <c r="G49" s="18">
        <f t="shared" si="109"/>
        <v>0.37357389057387502</v>
      </c>
      <c r="H49" s="18">
        <f t="shared" si="109"/>
        <v>0.39837206306541656</v>
      </c>
      <c r="I49" s="224">
        <f t="shared" si="109"/>
        <v>0.42118264281339018</v>
      </c>
      <c r="J49" s="18">
        <f t="shared" si="109"/>
        <v>0.43437861392889709</v>
      </c>
      <c r="K49" s="18">
        <f t="shared" si="109"/>
        <v>0.33930832244831755</v>
      </c>
      <c r="L49" s="18">
        <f t="shared" si="109"/>
        <v>0.36401331250857666</v>
      </c>
      <c r="M49" s="18">
        <f t="shared" si="109"/>
        <v>0.32830133432021247</v>
      </c>
      <c r="N49" s="18">
        <f t="shared" si="109"/>
        <v>0.35224929056194437</v>
      </c>
      <c r="O49" s="18">
        <f t="shared" si="109"/>
        <v>0.28466517907621708</v>
      </c>
      <c r="P49" s="18">
        <f t="shared" si="109"/>
        <v>0.36321460507845438</v>
      </c>
      <c r="Q49" s="93">
        <f t="shared" si="109"/>
        <v>0.37399019635534486</v>
      </c>
      <c r="R49" s="208"/>
      <c r="S49" s="18">
        <f t="shared" ref="S49:BB49" si="110">S47/S9</f>
        <v>0.3449867224188426</v>
      </c>
      <c r="T49" s="18">
        <f t="shared" si="110"/>
        <v>0.36923287838167201</v>
      </c>
      <c r="U49" s="18">
        <f t="shared" si="110"/>
        <v>0.36567802144464534</v>
      </c>
      <c r="V49" s="18">
        <f t="shared" si="110"/>
        <v>0.3232842671427088</v>
      </c>
      <c r="W49" s="18">
        <f t="shared" si="110"/>
        <v>0.36932254953533233</v>
      </c>
      <c r="X49" s="18">
        <f t="shared" si="110"/>
        <v>0.50447524136949562</v>
      </c>
      <c r="Y49" s="18">
        <f t="shared" si="110"/>
        <v>0.374686775961523</v>
      </c>
      <c r="Z49" s="18">
        <f t="shared" si="110"/>
        <v>0.32960307159448399</v>
      </c>
      <c r="AA49" s="18">
        <f t="shared" si="110"/>
        <v>0.37128564833812061</v>
      </c>
      <c r="AB49" s="18">
        <f t="shared" si="110"/>
        <v>0.37803904951537803</v>
      </c>
      <c r="AC49" s="18">
        <f t="shared" si="110"/>
        <v>0.38458646927077023</v>
      </c>
      <c r="AD49" s="18">
        <f t="shared" si="110"/>
        <v>0.37228052819046004</v>
      </c>
      <c r="AE49" s="18">
        <f t="shared" si="110"/>
        <v>0.36928726408596219</v>
      </c>
      <c r="AF49" s="18">
        <f t="shared" si="110"/>
        <v>0.35378360526973479</v>
      </c>
      <c r="AG49" s="18">
        <f t="shared" si="110"/>
        <v>0.45128012362694736</v>
      </c>
      <c r="AH49" s="18">
        <f t="shared" si="110"/>
        <v>0.41305496807826092</v>
      </c>
      <c r="AI49" s="18">
        <f t="shared" si="110"/>
        <v>0.36553512751322981</v>
      </c>
      <c r="AJ49" s="18">
        <f t="shared" si="110"/>
        <v>0.37206502593604068</v>
      </c>
      <c r="AK49" s="18">
        <f t="shared" si="110"/>
        <v>0.38958518887133037</v>
      </c>
      <c r="AL49" s="18">
        <f t="shared" si="110"/>
        <v>0.53805853395907588</v>
      </c>
      <c r="AM49" s="18">
        <f t="shared" si="110"/>
        <v>0.36083227650839367</v>
      </c>
      <c r="AN49" s="18">
        <f t="shared" si="110"/>
        <v>0.36254350230663385</v>
      </c>
      <c r="AO49" s="18">
        <f t="shared" si="110"/>
        <v>0.33929990598232884</v>
      </c>
      <c r="AP49" s="18">
        <f t="shared" si="110"/>
        <v>0.29587315296419786</v>
      </c>
      <c r="AQ49" s="18">
        <f t="shared" si="110"/>
        <v>0.35181075132536382</v>
      </c>
      <c r="AR49" s="18">
        <f t="shared" si="110"/>
        <v>0.34270148270537043</v>
      </c>
      <c r="AS49" s="18">
        <f t="shared" si="110"/>
        <v>0.30920443469785575</v>
      </c>
      <c r="AT49" s="18">
        <f t="shared" si="110"/>
        <v>0.30917060287365122</v>
      </c>
      <c r="AU49" s="18">
        <f t="shared" si="110"/>
        <v>0.49907218175207191</v>
      </c>
      <c r="AV49" s="18">
        <f t="shared" si="110"/>
        <v>0.33704827516014313</v>
      </c>
      <c r="AW49" s="18">
        <f t="shared" si="110"/>
        <v>0.34317962871351576</v>
      </c>
      <c r="AX49" s="18">
        <f t="shared" si="110"/>
        <v>-5.3072420966686483E-2</v>
      </c>
      <c r="AY49" s="18">
        <f t="shared" si="110"/>
        <v>0.3567478762622216</v>
      </c>
      <c r="AZ49" s="18">
        <f t="shared" si="110"/>
        <v>0.36363327766236225</v>
      </c>
      <c r="BA49" s="18">
        <f t="shared" si="110"/>
        <v>0.37828894969237203</v>
      </c>
      <c r="BB49" s="18">
        <f t="shared" si="110"/>
        <v>0.3542903715573425</v>
      </c>
      <c r="BC49" s="18">
        <f>BC47/BC9</f>
        <v>0.39991731266149871</v>
      </c>
      <c r="BD49" s="210"/>
      <c r="BF49" s="18"/>
      <c r="BG49" s="18"/>
      <c r="BH49" s="18"/>
      <c r="BI49" s="18"/>
      <c r="BJ49" s="18"/>
      <c r="BK49" s="18"/>
      <c r="BL49" s="18">
        <f>BL47/BL9</f>
        <v>0.35953683125969677</v>
      </c>
    </row>
    <row r="50" spans="1:65" s="37" customFormat="1" ht="13.5" customHeight="1">
      <c r="B50" s="50"/>
      <c r="C50" s="398"/>
      <c r="D50" s="210"/>
      <c r="E50" s="210"/>
      <c r="F50" s="210"/>
      <c r="G50" s="210"/>
      <c r="H50" s="210"/>
      <c r="I50" s="398"/>
      <c r="J50" s="210"/>
      <c r="K50" s="210"/>
      <c r="L50" s="210"/>
      <c r="M50" s="210"/>
      <c r="N50" s="210"/>
      <c r="O50" s="210"/>
      <c r="P50" s="210"/>
      <c r="Q50" s="208"/>
      <c r="R50" s="208"/>
      <c r="S50" s="210"/>
      <c r="T50" s="210"/>
      <c r="U50" s="210"/>
      <c r="V50" s="210"/>
      <c r="W50" s="210"/>
      <c r="X50" s="210"/>
      <c r="Y50" s="210"/>
      <c r="Z50" s="210"/>
      <c r="AA50" s="210"/>
      <c r="AB50" s="210"/>
      <c r="AC50" s="210"/>
      <c r="AD50" s="210"/>
      <c r="AE50" s="210"/>
      <c r="AF50" s="210"/>
      <c r="AG50" s="210"/>
      <c r="AH50" s="210"/>
      <c r="AI50" s="210"/>
      <c r="AJ50" s="210"/>
      <c r="AK50" s="210"/>
      <c r="AL50" s="210"/>
      <c r="AM50" s="210"/>
      <c r="AN50" s="210"/>
      <c r="AO50" s="210"/>
      <c r="AP50" s="210"/>
      <c r="AQ50" s="210"/>
      <c r="AR50" s="210"/>
      <c r="AS50" s="210"/>
      <c r="AT50" s="210"/>
      <c r="AU50" s="210"/>
      <c r="AV50" s="210"/>
      <c r="AW50" s="210"/>
      <c r="AX50" s="210"/>
      <c r="AY50" s="210"/>
      <c r="AZ50" s="210"/>
      <c r="BA50" s="210"/>
      <c r="BB50" s="210"/>
      <c r="BC50" s="210"/>
      <c r="BD50" s="210"/>
      <c r="BF50" s="210"/>
      <c r="BG50" s="210"/>
      <c r="BH50" s="210"/>
      <c r="BI50" s="210"/>
      <c r="BJ50" s="210"/>
      <c r="BK50" s="210"/>
      <c r="BL50" s="210"/>
    </row>
    <row r="51" spans="1:65" ht="13.5" customHeight="1">
      <c r="B51" s="320" t="s">
        <v>330</v>
      </c>
      <c r="C51" s="321">
        <f t="shared" ref="C51:P51" si="111">C17+C18</f>
        <v>-3137.384</v>
      </c>
      <c r="D51" s="321">
        <f t="shared" si="111"/>
        <v>-2453.5720000000001</v>
      </c>
      <c r="E51" s="321">
        <f t="shared" si="111"/>
        <v>1562.2840000000001</v>
      </c>
      <c r="F51" s="321">
        <f t="shared" si="111"/>
        <v>-1095.587</v>
      </c>
      <c r="G51" s="321">
        <f t="shared" si="111"/>
        <v>-1316.587</v>
      </c>
      <c r="H51" s="321">
        <f t="shared" si="111"/>
        <v>233.62799999999999</v>
      </c>
      <c r="I51" s="321">
        <f t="shared" si="111"/>
        <v>2393.9630000000002</v>
      </c>
      <c r="J51" s="321">
        <f t="shared" si="111"/>
        <v>3716.2</v>
      </c>
      <c r="K51" s="321">
        <f t="shared" si="111"/>
        <v>-846.654</v>
      </c>
      <c r="L51" s="321">
        <f t="shared" si="111"/>
        <v>-1023.169</v>
      </c>
      <c r="M51" s="321">
        <f t="shared" si="111"/>
        <v>-866.8</v>
      </c>
      <c r="N51" s="321">
        <f t="shared" si="111"/>
        <v>-913.80100000000004</v>
      </c>
      <c r="O51" s="321">
        <f t="shared" si="111"/>
        <v>-4554.8999999999996</v>
      </c>
      <c r="P51" s="321">
        <f t="shared" si="111"/>
        <v>-1013.824</v>
      </c>
      <c r="Q51" s="321">
        <f>Q52-Q47</f>
        <v>894.52400000000125</v>
      </c>
      <c r="R51" s="208"/>
      <c r="S51" s="321">
        <f t="shared" ref="S51:BB51" si="112">S17+S18</f>
        <v>-410.74299999999999</v>
      </c>
      <c r="T51" s="321">
        <f t="shared" si="112"/>
        <v>-385.60599999999999</v>
      </c>
      <c r="U51" s="321">
        <f t="shared" si="112"/>
        <v>-500.50099999999998</v>
      </c>
      <c r="V51" s="321">
        <f t="shared" si="112"/>
        <v>-1156.7220000000002</v>
      </c>
      <c r="W51" s="321">
        <f t="shared" si="112"/>
        <v>-154.08600000000001</v>
      </c>
      <c r="X51" s="321">
        <f t="shared" si="112"/>
        <v>3237.9229999999998</v>
      </c>
      <c r="Y51" s="321">
        <f t="shared" si="112"/>
        <v>-432.46300000000002</v>
      </c>
      <c r="Z51" s="321">
        <f t="shared" si="112"/>
        <v>-1089.0899999999997</v>
      </c>
      <c r="AA51" s="321">
        <f t="shared" si="112"/>
        <v>-188.91</v>
      </c>
      <c r="AB51" s="321">
        <f t="shared" si="112"/>
        <v>-283</v>
      </c>
      <c r="AC51" s="321">
        <f t="shared" si="112"/>
        <v>-389.36200000000002</v>
      </c>
      <c r="AD51" s="321">
        <f t="shared" si="112"/>
        <v>-234.315</v>
      </c>
      <c r="AE51" s="321">
        <f t="shared" si="112"/>
        <v>284.89999999999998</v>
      </c>
      <c r="AF51" s="321">
        <f t="shared" si="112"/>
        <v>-293.5</v>
      </c>
      <c r="AG51" s="321">
        <f t="shared" si="112"/>
        <v>666</v>
      </c>
      <c r="AH51" s="321">
        <f t="shared" si="112"/>
        <v>-423.77199999999993</v>
      </c>
      <c r="AI51" s="321">
        <f t="shared" si="112"/>
        <v>-152.9</v>
      </c>
      <c r="AJ51" s="321">
        <f t="shared" si="112"/>
        <v>-398.9</v>
      </c>
      <c r="AK51" s="321">
        <f t="shared" si="112"/>
        <v>-293.66199999999998</v>
      </c>
      <c r="AL51" s="321">
        <f t="shared" si="112"/>
        <v>3239.4250000000002</v>
      </c>
      <c r="AM51" s="321">
        <f t="shared" si="112"/>
        <v>-168.3</v>
      </c>
      <c r="AN51" s="321">
        <f t="shared" si="112"/>
        <v>-40.9</v>
      </c>
      <c r="AO51" s="321">
        <f t="shared" si="112"/>
        <v>-291.2</v>
      </c>
      <c r="AP51" s="321">
        <f t="shared" si="112"/>
        <v>-346.25400000000008</v>
      </c>
      <c r="AQ51" s="321">
        <f t="shared" si="112"/>
        <v>-182.18</v>
      </c>
      <c r="AR51" s="321">
        <f t="shared" si="112"/>
        <v>-181.2</v>
      </c>
      <c r="AS51" s="321">
        <f t="shared" si="112"/>
        <v>-726.6</v>
      </c>
      <c r="AT51" s="321">
        <f t="shared" si="112"/>
        <v>223.18000000000012</v>
      </c>
      <c r="AU51" s="321">
        <f t="shared" si="112"/>
        <v>2293.1999999999998</v>
      </c>
      <c r="AV51" s="321">
        <f t="shared" si="112"/>
        <v>-529.6</v>
      </c>
      <c r="AW51" s="321">
        <f t="shared" si="112"/>
        <v>-319.3</v>
      </c>
      <c r="AX51" s="321">
        <f t="shared" si="112"/>
        <v>-5999.1999999999989</v>
      </c>
      <c r="AY51" s="321">
        <f t="shared" si="112"/>
        <v>-198.7</v>
      </c>
      <c r="AZ51" s="321">
        <f t="shared" si="112"/>
        <v>-274.2</v>
      </c>
      <c r="BA51" s="321">
        <f t="shared" si="112"/>
        <v>-43.753999999999998</v>
      </c>
      <c r="BB51" s="321">
        <f t="shared" si="112"/>
        <v>-497.16999999999996</v>
      </c>
      <c r="BC51" s="321">
        <f>BC17+BC18</f>
        <v>-79.400000000000006</v>
      </c>
      <c r="BD51" s="32"/>
      <c r="BF51" s="66">
        <f t="shared" ref="BF51:BL51" si="113">BF17+BF18</f>
        <v>-455.31499999999988</v>
      </c>
      <c r="BG51" s="66">
        <f t="shared" si="113"/>
        <v>-77.599999999999994</v>
      </c>
      <c r="BH51" s="66">
        <f t="shared" si="113"/>
        <v>-278.3</v>
      </c>
      <c r="BI51" s="66">
        <f t="shared" si="113"/>
        <v>-232.3</v>
      </c>
      <c r="BJ51" s="66">
        <f t="shared" si="113"/>
        <v>4304.3999999999996</v>
      </c>
      <c r="BK51" s="66">
        <f t="shared" si="113"/>
        <v>-179.2</v>
      </c>
      <c r="BL51" s="66">
        <f t="shared" si="113"/>
        <v>-194.8</v>
      </c>
    </row>
    <row r="52" spans="1:65" s="5" customFormat="1" ht="13.5" customHeight="1">
      <c r="B52" s="5" t="s">
        <v>331</v>
      </c>
      <c r="C52" s="7">
        <f t="shared" ref="C52:H52" si="114">C47-C51</f>
        <v>36715.351000000002</v>
      </c>
      <c r="D52" s="7">
        <f t="shared" si="114"/>
        <v>35201.502000000015</v>
      </c>
      <c r="E52" s="7">
        <f t="shared" si="114"/>
        <v>38524.74500000001</v>
      </c>
      <c r="F52" s="7">
        <f t="shared" si="114"/>
        <v>39313.172999999995</v>
      </c>
      <c r="G52" s="7">
        <f t="shared" si="114"/>
        <v>39330.412999999993</v>
      </c>
      <c r="H52" s="7">
        <f t="shared" si="114"/>
        <v>38552.527000000009</v>
      </c>
      <c r="I52" s="7">
        <f t="shared" ref="I52:O52" si="115">I47-I51</f>
        <v>41207.631999999998</v>
      </c>
      <c r="J52" s="7">
        <f t="shared" si="115"/>
        <v>28391.068999999996</v>
      </c>
      <c r="K52" s="7">
        <f t="shared" si="115"/>
        <v>26473.460999999999</v>
      </c>
      <c r="L52" s="7">
        <f t="shared" si="115"/>
        <v>26000.221999999994</v>
      </c>
      <c r="M52" s="7">
        <f t="shared" si="115"/>
        <v>25084.899999999998</v>
      </c>
      <c r="N52" s="7">
        <f t="shared" si="115"/>
        <v>24240.747999999989</v>
      </c>
      <c r="O52" s="7">
        <f t="shared" si="115"/>
        <v>22278.399999999994</v>
      </c>
      <c r="P52" s="7">
        <f>P47-P51</f>
        <v>22399.227999999999</v>
      </c>
      <c r="Q52" s="7">
        <f>SUM(AZ52:BC52)</f>
        <v>22741.928</v>
      </c>
      <c r="R52" s="208"/>
      <c r="S52" s="68">
        <f t="shared" ref="S52:Z52" si="116">S47-S51</f>
        <v>7984.6849999999949</v>
      </c>
      <c r="T52" s="68">
        <f t="shared" si="116"/>
        <v>8869.3960000000006</v>
      </c>
      <c r="U52" s="68">
        <f t="shared" si="116"/>
        <v>8787.8619999999974</v>
      </c>
      <c r="V52" s="68">
        <f t="shared" si="116"/>
        <v>9559.5589999999993</v>
      </c>
      <c r="W52" s="68">
        <f t="shared" si="116"/>
        <v>8579.0720000000001</v>
      </c>
      <c r="X52" s="68">
        <f t="shared" si="116"/>
        <v>10232.473999999998</v>
      </c>
      <c r="Y52" s="68">
        <f t="shared" si="116"/>
        <v>9812.0719999999965</v>
      </c>
      <c r="Z52" s="68">
        <f t="shared" si="116"/>
        <v>9901.1270000000077</v>
      </c>
      <c r="AA52" s="68">
        <f t="shared" ref="AA52:AG52" si="117">AA47-AA51</f>
        <v>8875.2119999999977</v>
      </c>
      <c r="AB52" s="68">
        <f t="shared" si="117"/>
        <v>9472.2220000000034</v>
      </c>
      <c r="AC52" s="68">
        <f t="shared" si="117"/>
        <v>10306.366000000002</v>
      </c>
      <c r="AD52" s="68">
        <f t="shared" si="117"/>
        <v>10659.37299999999</v>
      </c>
      <c r="AE52" s="68">
        <f t="shared" si="117"/>
        <v>8293.1999999999989</v>
      </c>
      <c r="AF52" s="68">
        <f t="shared" si="117"/>
        <v>8220.8000000000011</v>
      </c>
      <c r="AG52" s="68">
        <f t="shared" si="117"/>
        <v>10139</v>
      </c>
      <c r="AH52" s="68">
        <f t="shared" ref="AH52:AM52" si="118">AH47-AH51</f>
        <v>11899.527000000009</v>
      </c>
      <c r="AI52" s="68">
        <f t="shared" si="118"/>
        <v>8863.2000000000025</v>
      </c>
      <c r="AJ52" s="68">
        <f t="shared" si="118"/>
        <v>9608.7000000000025</v>
      </c>
      <c r="AK52" s="68">
        <f t="shared" si="118"/>
        <v>10472.691999999999</v>
      </c>
      <c r="AL52" s="68">
        <f t="shared" si="118"/>
        <v>12263.040000000012</v>
      </c>
      <c r="AM52" s="68">
        <f t="shared" si="118"/>
        <v>6883.1</v>
      </c>
      <c r="AN52" s="68">
        <f t="shared" ref="AN52:AT52" si="119">AN47-AN51</f>
        <v>6760.0999999999985</v>
      </c>
      <c r="AO52" s="68">
        <f t="shared" si="119"/>
        <v>6823.3</v>
      </c>
      <c r="AP52" s="68">
        <f t="shared" si="119"/>
        <v>6006.9610000000021</v>
      </c>
      <c r="AQ52" s="68">
        <f t="shared" si="119"/>
        <v>6697.5860000000021</v>
      </c>
      <c r="AR52" s="68">
        <f t="shared" si="119"/>
        <v>6528.1000000000013</v>
      </c>
      <c r="AS52" s="68">
        <f t="shared" si="119"/>
        <v>5802.5</v>
      </c>
      <c r="AT52" s="68">
        <f t="shared" si="119"/>
        <v>6056.7139999999945</v>
      </c>
      <c r="AU52" s="68">
        <f t="shared" ref="AU52:AZ52" si="120">AU47-AU51</f>
        <v>5667.7</v>
      </c>
      <c r="AV52" s="68">
        <f t="shared" si="120"/>
        <v>5828.0999999999985</v>
      </c>
      <c r="AW52" s="68">
        <f t="shared" si="120"/>
        <v>5591.5</v>
      </c>
      <c r="AX52" s="68">
        <f t="shared" si="120"/>
        <v>5191.0999999999985</v>
      </c>
      <c r="AY52" s="68">
        <f t="shared" si="120"/>
        <v>5540.5000000000009</v>
      </c>
      <c r="AZ52" s="68">
        <f t="shared" si="120"/>
        <v>5630.2999999999984</v>
      </c>
      <c r="BA52" s="68">
        <f>BA47-BA51</f>
        <v>5577.0189999999993</v>
      </c>
      <c r="BB52" s="68">
        <f>BB47-BB51</f>
        <v>5651.4090000000006</v>
      </c>
      <c r="BC52" s="68">
        <f>BC47-BC51</f>
        <v>5883.2</v>
      </c>
      <c r="BD52" s="68"/>
      <c r="BF52" s="68">
        <f t="shared" ref="BF52:BL52" si="121">BF47-BF51</f>
        <v>10676.612999999988</v>
      </c>
      <c r="BG52" s="68">
        <f t="shared" si="121"/>
        <v>6555.8999999999987</v>
      </c>
      <c r="BH52" s="68">
        <f t="shared" si="121"/>
        <v>7030.0000000000018</v>
      </c>
      <c r="BI52" s="68">
        <f t="shared" si="121"/>
        <v>7117.0999999999985</v>
      </c>
      <c r="BJ52" s="68">
        <f t="shared" si="121"/>
        <v>7688.068999999994</v>
      </c>
      <c r="BK52" s="68">
        <f t="shared" si="121"/>
        <v>6514.8999999999987</v>
      </c>
      <c r="BL52" s="68">
        <f t="shared" si="121"/>
        <v>6196.8</v>
      </c>
    </row>
    <row r="53" spans="1:65" s="37" customFormat="1" ht="13.5" customHeight="1">
      <c r="B53" s="17" t="s">
        <v>328</v>
      </c>
      <c r="C53" s="224"/>
      <c r="D53" s="18">
        <f>+D52/C51-1</f>
        <v>-12.220017058798035</v>
      </c>
      <c r="E53" s="18">
        <f>+E52/D52-1</f>
        <v>9.4406284140943653E-2</v>
      </c>
      <c r="F53" s="18">
        <f>+F52/E52-1</f>
        <v>2.0465495618465113E-2</v>
      </c>
      <c r="G53" s="18">
        <f>+G52/E52-1</f>
        <v>2.0913000202856136E-2</v>
      </c>
      <c r="H53" s="18">
        <f>+H52/G52-1</f>
        <v>-1.9778231161721727E-2</v>
      </c>
      <c r="I53" s="224">
        <f>+I52/H52-1</f>
        <v>6.8869804565599324E-2</v>
      </c>
      <c r="J53" s="18">
        <f>+J52/H52-1</f>
        <v>-0.2635743695867202</v>
      </c>
      <c r="K53" s="18">
        <f>+K52/J52-1</f>
        <v>-6.7542648711113928E-2</v>
      </c>
      <c r="L53" s="18">
        <f>+L52/J52-1</f>
        <v>-8.4211235582570043E-2</v>
      </c>
      <c r="M53" s="18">
        <f>+M52/K52-1</f>
        <v>-5.2451056550558373E-2</v>
      </c>
      <c r="N53" s="18">
        <f>+N52/L52-1</f>
        <v>-6.7671499112584743E-2</v>
      </c>
      <c r="O53" s="18">
        <f>+O52/N52-1</f>
        <v>-8.0952452457324964E-2</v>
      </c>
      <c r="P53" s="18">
        <f>+P52/O52-1</f>
        <v>5.4235492674521435E-3</v>
      </c>
      <c r="Q53" s="18"/>
      <c r="R53" s="210"/>
      <c r="S53" s="18"/>
      <c r="T53" s="18"/>
      <c r="U53" s="18"/>
      <c r="V53" s="18"/>
      <c r="W53" s="18">
        <f t="shared" ref="W53:AK53" si="122">+W52/S52-1</f>
        <v>7.4440882764943872E-2</v>
      </c>
      <c r="X53" s="18">
        <f t="shared" si="122"/>
        <v>0.15368329478129028</v>
      </c>
      <c r="Y53" s="18">
        <f t="shared" si="122"/>
        <v>0.11654825713011863</v>
      </c>
      <c r="Z53" s="18">
        <f t="shared" si="122"/>
        <v>3.573051853124265E-2</v>
      </c>
      <c r="AA53" s="18">
        <f t="shared" si="122"/>
        <v>3.4518885026258994E-2</v>
      </c>
      <c r="AB53" s="18">
        <f t="shared" si="122"/>
        <v>-7.4297965477361116E-2</v>
      </c>
      <c r="AC53" s="18">
        <f t="shared" si="122"/>
        <v>5.0376108124767782E-2</v>
      </c>
      <c r="AD53" s="18">
        <f t="shared" si="122"/>
        <v>7.6581787103627841E-2</v>
      </c>
      <c r="AE53" s="18">
        <f t="shared" si="122"/>
        <v>-6.5577250436383849E-2</v>
      </c>
      <c r="AF53" s="18">
        <f t="shared" si="122"/>
        <v>-0.13211493565079047</v>
      </c>
      <c r="AG53" s="18">
        <f t="shared" si="122"/>
        <v>-1.6239089510308613E-2</v>
      </c>
      <c r="AH53" s="18">
        <f>+AH52/BF52-1</f>
        <v>0.11454138124141267</v>
      </c>
      <c r="AI53" s="18">
        <f t="shared" si="122"/>
        <v>6.8731008537115112E-2</v>
      </c>
      <c r="AJ53" s="18">
        <f t="shared" si="122"/>
        <v>0.16882785130400957</v>
      </c>
      <c r="AK53" s="18">
        <f t="shared" si="122"/>
        <v>3.2911726994772517E-2</v>
      </c>
      <c r="AL53" s="18">
        <f t="shared" ref="AL53:BC53" si="123">+AL52/AH52-1</f>
        <v>3.0548525164067586E-2</v>
      </c>
      <c r="AM53" s="18">
        <f t="shared" si="123"/>
        <v>-0.22340689592923568</v>
      </c>
      <c r="AN53" s="18">
        <f t="shared" si="123"/>
        <v>-0.29646049933914087</v>
      </c>
      <c r="AO53" s="18">
        <f t="shared" si="123"/>
        <v>-0.34846742365764216</v>
      </c>
      <c r="AP53" s="18">
        <f t="shared" si="123"/>
        <v>-0.51015726932310446</v>
      </c>
      <c r="AQ53" s="18">
        <f t="shared" si="123"/>
        <v>-2.6952100071188645E-2</v>
      </c>
      <c r="AR53" s="18">
        <f t="shared" si="123"/>
        <v>-3.4319018949423463E-2</v>
      </c>
      <c r="AS53" s="18">
        <f t="shared" si="123"/>
        <v>-0.14960502982427859</v>
      </c>
      <c r="AT53" s="18">
        <f t="shared" si="123"/>
        <v>8.2825575195164536E-3</v>
      </c>
      <c r="AU53" s="18">
        <f>+AU52/BK52-1</f>
        <v>-0.13004036900029148</v>
      </c>
      <c r="AV53" s="18">
        <f t="shared" si="123"/>
        <v>-0.1072287495595966</v>
      </c>
      <c r="AW53" s="18">
        <f t="shared" si="123"/>
        <v>-3.6363636363636376E-2</v>
      </c>
      <c r="AX53" s="18">
        <f t="shared" si="123"/>
        <v>-0.14291809056858173</v>
      </c>
      <c r="AY53" s="18">
        <f t="shared" si="123"/>
        <v>-2.2442966282618881E-2</v>
      </c>
      <c r="AZ53" s="18">
        <f t="shared" si="123"/>
        <v>-3.3939019577563956E-2</v>
      </c>
      <c r="BA53" s="18">
        <f t="shared" si="123"/>
        <v>-2.5898238397569218E-3</v>
      </c>
      <c r="BB53" s="18">
        <f t="shared" si="123"/>
        <v>8.8672728323477168E-2</v>
      </c>
      <c r="BC53" s="18">
        <f t="shared" si="123"/>
        <v>6.1853623319194861E-2</v>
      </c>
      <c r="BD53" s="210"/>
      <c r="BF53" s="18"/>
      <c r="BG53" s="18"/>
      <c r="BH53" s="18"/>
      <c r="BI53" s="18"/>
      <c r="BJ53" s="18"/>
      <c r="BK53" s="18"/>
      <c r="BL53" s="18">
        <f>+BL52/BH52-1</f>
        <v>-0.1185206258890471</v>
      </c>
    </row>
    <row r="54" spans="1:65" s="37" customFormat="1" ht="13.5" customHeight="1">
      <c r="B54" s="17" t="s">
        <v>329</v>
      </c>
      <c r="C54" s="224">
        <f t="shared" ref="C54:Q54" si="124">C52/C9</f>
        <v>0.38131002602625058</v>
      </c>
      <c r="D54" s="18">
        <f t="shared" si="124"/>
        <v>0.37613987959763312</v>
      </c>
      <c r="E54" s="18">
        <f t="shared" si="124"/>
        <v>0.38036996592691918</v>
      </c>
      <c r="F54" s="18">
        <f t="shared" si="124"/>
        <v>0.38735174091883984</v>
      </c>
      <c r="G54" s="18">
        <f t="shared" si="124"/>
        <v>0.38651240741427373</v>
      </c>
      <c r="H54" s="18">
        <f t="shared" si="124"/>
        <v>0.39597247309961958</v>
      </c>
      <c r="I54" s="224">
        <f t="shared" si="124"/>
        <v>0.39805744147299255</v>
      </c>
      <c r="J54" s="18">
        <f t="shared" si="124"/>
        <v>0.38410221685873308</v>
      </c>
      <c r="K54" s="18">
        <f t="shared" si="124"/>
        <v>0.35051833189015541</v>
      </c>
      <c r="L54" s="18">
        <f t="shared" si="124"/>
        <v>0.37892488502059751</v>
      </c>
      <c r="M54" s="18">
        <f t="shared" si="124"/>
        <v>0.34005170270537727</v>
      </c>
      <c r="N54" s="18">
        <f t="shared" si="124"/>
        <v>0.3660481710568842</v>
      </c>
      <c r="O54" s="18">
        <f t="shared" si="124"/>
        <v>0.35782349567137384</v>
      </c>
      <c r="P54" s="18">
        <f t="shared" si="124"/>
        <v>0.38043362435810224</v>
      </c>
      <c r="Q54" s="18">
        <f t="shared" si="124"/>
        <v>0.38930291755574781</v>
      </c>
      <c r="R54" s="210"/>
      <c r="S54" s="18">
        <f t="shared" ref="S54:BB54" si="125">S52/S9</f>
        <v>0.36369572247805654</v>
      </c>
      <c r="T54" s="18">
        <f t="shared" si="125"/>
        <v>0.38601528498311344</v>
      </c>
      <c r="U54" s="18">
        <f t="shared" si="125"/>
        <v>0.38776252040771292</v>
      </c>
      <c r="V54" s="18">
        <f t="shared" si="125"/>
        <v>0.3677870968486579</v>
      </c>
      <c r="W54" s="18">
        <f t="shared" si="125"/>
        <v>0.37607715237594247</v>
      </c>
      <c r="X54" s="18">
        <f t="shared" si="125"/>
        <v>0.38321289201477049</v>
      </c>
      <c r="Y54" s="18">
        <f t="shared" si="125"/>
        <v>0.39196235399389601</v>
      </c>
      <c r="Z54" s="18">
        <f t="shared" si="125"/>
        <v>0.37033910223562139</v>
      </c>
      <c r="AA54" s="18">
        <f t="shared" si="125"/>
        <v>0.37936038161674185</v>
      </c>
      <c r="AB54" s="18">
        <f t="shared" si="125"/>
        <v>0.38968149879050185</v>
      </c>
      <c r="AC54" s="18">
        <f t="shared" si="125"/>
        <v>0.39968612606713788</v>
      </c>
      <c r="AD54" s="18">
        <f t="shared" si="125"/>
        <v>0.38064795520745581</v>
      </c>
      <c r="AE54" s="18">
        <f t="shared" si="125"/>
        <v>0.35702231712357069</v>
      </c>
      <c r="AF54" s="18">
        <f t="shared" si="125"/>
        <v>0.36688207361919389</v>
      </c>
      <c r="AG54" s="18">
        <f t="shared" si="125"/>
        <v>0.42346406047696611</v>
      </c>
      <c r="AH54" s="18">
        <f t="shared" si="125"/>
        <v>0.42830809346586818</v>
      </c>
      <c r="AI54" s="18">
        <f t="shared" si="125"/>
        <v>0.37195170570189989</v>
      </c>
      <c r="AJ54" s="18">
        <f t="shared" si="125"/>
        <v>0.38818011408625963</v>
      </c>
      <c r="AK54" s="18">
        <f t="shared" si="125"/>
        <v>0.40082460615709653</v>
      </c>
      <c r="AL54" s="18">
        <f t="shared" si="125"/>
        <v>0.42562478446372931</v>
      </c>
      <c r="AM54" s="18">
        <f t="shared" si="125"/>
        <v>0.36987619027147861</v>
      </c>
      <c r="AN54" s="18">
        <f t="shared" si="125"/>
        <v>0.36475031699355215</v>
      </c>
      <c r="AO54" s="18">
        <f t="shared" si="125"/>
        <v>0.35442584291257395</v>
      </c>
      <c r="AP54" s="18">
        <f t="shared" si="125"/>
        <v>0.31397111541066702</v>
      </c>
      <c r="AQ54" s="18">
        <f t="shared" si="125"/>
        <v>0.36164787930732761</v>
      </c>
      <c r="AR54" s="18">
        <f t="shared" si="125"/>
        <v>0.35248539432619524</v>
      </c>
      <c r="AS54" s="18">
        <f t="shared" si="125"/>
        <v>0.3534661306042885</v>
      </c>
      <c r="AT54" s="18">
        <f t="shared" si="125"/>
        <v>0.29818304557581443</v>
      </c>
      <c r="AU54" s="18">
        <f t="shared" si="125"/>
        <v>0.35531050566094513</v>
      </c>
      <c r="AV54" s="18">
        <f t="shared" si="125"/>
        <v>0.37073719967176194</v>
      </c>
      <c r="AW54" s="18">
        <f t="shared" si="125"/>
        <v>0.36396360038534642</v>
      </c>
      <c r="AX54" s="18">
        <f t="shared" si="125"/>
        <v>0.34092840549457493</v>
      </c>
      <c r="AY54" s="18">
        <f t="shared" si="125"/>
        <v>0.37001789816744141</v>
      </c>
      <c r="AZ54" s="18">
        <f t="shared" si="125"/>
        <v>0.38224910722772132</v>
      </c>
      <c r="BA54" s="18">
        <f t="shared" si="125"/>
        <v>0.38128024953158812</v>
      </c>
      <c r="BB54" s="18">
        <f t="shared" si="125"/>
        <v>0.38846467818673319</v>
      </c>
      <c r="BC54" s="18">
        <f>BC52/BC9</f>
        <v>0.40538845822566749</v>
      </c>
      <c r="BD54" s="210"/>
      <c r="BF54" s="18">
        <f t="shared" ref="BF54:BL54" si="126">BF52/BF9</f>
        <v>0.37768945012195992</v>
      </c>
      <c r="BG54" s="18">
        <f t="shared" si="126"/>
        <v>0.36376600100985995</v>
      </c>
      <c r="BH54" s="18">
        <f t="shared" si="126"/>
        <v>0.38053686552379312</v>
      </c>
      <c r="BI54" s="18">
        <f t="shared" si="126"/>
        <v>0.38284355651664054</v>
      </c>
      <c r="BJ54" s="18">
        <f t="shared" si="126"/>
        <v>0.40830783202595972</v>
      </c>
      <c r="BK54" s="18">
        <f t="shared" si="126"/>
        <v>0.38887264001719057</v>
      </c>
      <c r="BL54" s="18">
        <f t="shared" si="126"/>
        <v>0.37120590402367359</v>
      </c>
    </row>
    <row r="55" spans="1:65" ht="13.5" customHeight="1">
      <c r="C55" s="226"/>
      <c r="D55" s="44"/>
      <c r="E55" s="44"/>
      <c r="F55" s="44"/>
      <c r="G55" s="44"/>
      <c r="H55" s="44"/>
      <c r="I55" s="226"/>
      <c r="J55" s="44"/>
      <c r="K55" s="44"/>
      <c r="L55" s="44"/>
      <c r="M55" s="44"/>
      <c r="N55" s="44"/>
      <c r="O55" s="44"/>
      <c r="P55" s="44"/>
      <c r="BF55" s="44"/>
      <c r="BL55" s="44"/>
    </row>
    <row r="56" spans="1:65" ht="13.5" customHeight="1">
      <c r="A56" s="23"/>
      <c r="B56" s="15" t="s">
        <v>332</v>
      </c>
      <c r="C56" s="36">
        <f t="shared" ref="C56:H56" si="127">+C44</f>
        <v>42735</v>
      </c>
      <c r="D56" s="69">
        <f t="shared" si="127"/>
        <v>43100</v>
      </c>
      <c r="E56" s="69">
        <f t="shared" si="127"/>
        <v>43465</v>
      </c>
      <c r="F56" s="69">
        <f t="shared" si="127"/>
        <v>43830</v>
      </c>
      <c r="G56" s="69">
        <f t="shared" si="127"/>
        <v>43830</v>
      </c>
      <c r="H56" s="69">
        <f t="shared" si="127"/>
        <v>44196</v>
      </c>
      <c r="I56" s="69">
        <f t="shared" ref="I56:Q56" si="128">+I44</f>
        <v>44561</v>
      </c>
      <c r="J56" s="69">
        <f t="shared" si="128"/>
        <v>44561</v>
      </c>
      <c r="K56" s="69">
        <f t="shared" si="128"/>
        <v>44926</v>
      </c>
      <c r="L56" s="69">
        <f t="shared" si="128"/>
        <v>44926</v>
      </c>
      <c r="M56" s="69">
        <f t="shared" si="128"/>
        <v>45291</v>
      </c>
      <c r="N56" s="69">
        <f t="shared" si="128"/>
        <v>45291</v>
      </c>
      <c r="O56" s="69">
        <f t="shared" si="128"/>
        <v>45657</v>
      </c>
      <c r="P56" s="69">
        <f>+P44</f>
        <v>46022</v>
      </c>
      <c r="Q56" s="121">
        <f t="shared" si="128"/>
        <v>46112</v>
      </c>
      <c r="R56" s="209" t="s">
        <v>325</v>
      </c>
      <c r="S56" s="36">
        <f>+S44</f>
        <v>42825</v>
      </c>
      <c r="T56" s="36">
        <f>+T44</f>
        <v>42916</v>
      </c>
      <c r="U56" s="36">
        <f>+U44</f>
        <v>43008</v>
      </c>
      <c r="V56" s="36">
        <f>+V44</f>
        <v>43100</v>
      </c>
      <c r="W56" s="36">
        <f>+W44</f>
        <v>43190</v>
      </c>
      <c r="X56" s="36">
        <f>X3</f>
        <v>43281</v>
      </c>
      <c r="Y56" s="36">
        <f>Y3</f>
        <v>43373</v>
      </c>
      <c r="Z56" s="36">
        <f>Z3</f>
        <v>43465</v>
      </c>
      <c r="AA56" s="36">
        <f>+AA44</f>
        <v>43555</v>
      </c>
      <c r="AB56" s="36">
        <f>AB3</f>
        <v>43646</v>
      </c>
      <c r="AC56" s="36">
        <f t="shared" ref="AC56:AH56" si="129">+AC44</f>
        <v>43738</v>
      </c>
      <c r="AD56" s="36">
        <f t="shared" si="129"/>
        <v>43830</v>
      </c>
      <c r="AE56" s="36">
        <f t="shared" si="129"/>
        <v>43921</v>
      </c>
      <c r="AF56" s="36">
        <f t="shared" si="129"/>
        <v>44012</v>
      </c>
      <c r="AG56" s="36">
        <f t="shared" si="129"/>
        <v>44104</v>
      </c>
      <c r="AH56" s="36">
        <f t="shared" si="129"/>
        <v>44196</v>
      </c>
      <c r="AI56" s="36">
        <f t="shared" ref="AI56:AN56" si="130">+AI44</f>
        <v>44286</v>
      </c>
      <c r="AJ56" s="36">
        <f t="shared" si="130"/>
        <v>44377</v>
      </c>
      <c r="AK56" s="36">
        <f t="shared" si="130"/>
        <v>44469</v>
      </c>
      <c r="AL56" s="36">
        <f t="shared" si="130"/>
        <v>44561</v>
      </c>
      <c r="AM56" s="36">
        <f t="shared" si="130"/>
        <v>44651</v>
      </c>
      <c r="AN56" s="36">
        <f t="shared" si="130"/>
        <v>44742</v>
      </c>
      <c r="AO56" s="36">
        <f t="shared" ref="AO56:AY56" si="131">+AO44</f>
        <v>44834</v>
      </c>
      <c r="AP56" s="36">
        <f t="shared" si="131"/>
        <v>44926</v>
      </c>
      <c r="AQ56" s="36">
        <f t="shared" si="131"/>
        <v>45016</v>
      </c>
      <c r="AR56" s="92">
        <f t="shared" si="131"/>
        <v>45107</v>
      </c>
      <c r="AS56" s="92">
        <f t="shared" si="131"/>
        <v>45199</v>
      </c>
      <c r="AT56" s="92">
        <f t="shared" si="131"/>
        <v>45291</v>
      </c>
      <c r="AU56" s="92">
        <f t="shared" si="131"/>
        <v>45382</v>
      </c>
      <c r="AV56" s="92">
        <f t="shared" si="131"/>
        <v>45473</v>
      </c>
      <c r="AW56" s="92">
        <f t="shared" si="131"/>
        <v>45565</v>
      </c>
      <c r="AX56" s="92">
        <f t="shared" si="131"/>
        <v>45657</v>
      </c>
      <c r="AY56" s="92">
        <f t="shared" si="131"/>
        <v>45747</v>
      </c>
      <c r="AZ56" s="92">
        <f>+AZ44</f>
        <v>45838</v>
      </c>
      <c r="BA56" s="92">
        <f>+BA44</f>
        <v>45930</v>
      </c>
      <c r="BB56" s="92">
        <f>+BB44</f>
        <v>46022</v>
      </c>
      <c r="BC56" s="92">
        <f>+BC44</f>
        <v>46112</v>
      </c>
      <c r="BD56" s="270"/>
    </row>
    <row r="57" spans="1:65" s="5" customFormat="1" ht="13.5" customHeight="1">
      <c r="B57" s="5" t="s">
        <v>333</v>
      </c>
      <c r="C57" s="7">
        <f t="shared" ref="C57:H57" si="132">C52</f>
        <v>36715.351000000002</v>
      </c>
      <c r="D57" s="7">
        <f t="shared" si="132"/>
        <v>35201.502000000015</v>
      </c>
      <c r="E57" s="7">
        <f t="shared" si="132"/>
        <v>38524.74500000001</v>
      </c>
      <c r="F57" s="7">
        <f t="shared" si="132"/>
        <v>39313.172999999995</v>
      </c>
      <c r="G57" s="7">
        <f t="shared" si="132"/>
        <v>39330.412999999993</v>
      </c>
      <c r="H57" s="7">
        <f t="shared" si="132"/>
        <v>38552.527000000009</v>
      </c>
      <c r="I57" s="7">
        <f t="shared" ref="I57:Q57" si="133">I52</f>
        <v>41207.631999999998</v>
      </c>
      <c r="J57" s="7">
        <f t="shared" si="133"/>
        <v>28391.068999999996</v>
      </c>
      <c r="K57" s="7">
        <f t="shared" si="133"/>
        <v>26473.460999999999</v>
      </c>
      <c r="L57" s="7">
        <f t="shared" si="133"/>
        <v>26000.221999999994</v>
      </c>
      <c r="M57" s="7">
        <f t="shared" si="133"/>
        <v>25084.899999999998</v>
      </c>
      <c r="N57" s="7">
        <f t="shared" si="133"/>
        <v>24240.747999999989</v>
      </c>
      <c r="O57" s="7">
        <f t="shared" si="133"/>
        <v>22278.399999999994</v>
      </c>
      <c r="P57" s="7">
        <f>P52</f>
        <v>22399.227999999999</v>
      </c>
      <c r="Q57" s="7">
        <f t="shared" si="133"/>
        <v>22741.928</v>
      </c>
      <c r="R57" s="7"/>
      <c r="S57" s="7">
        <f t="shared" ref="S57:Y57" si="134">S52</f>
        <v>7984.6849999999949</v>
      </c>
      <c r="T57" s="7">
        <f t="shared" si="134"/>
        <v>8869.3960000000006</v>
      </c>
      <c r="U57" s="7">
        <f t="shared" si="134"/>
        <v>8787.8619999999974</v>
      </c>
      <c r="V57" s="7">
        <f t="shared" si="134"/>
        <v>9559.5589999999993</v>
      </c>
      <c r="W57" s="7">
        <f t="shared" si="134"/>
        <v>8579.0720000000001</v>
      </c>
      <c r="X57" s="7">
        <f t="shared" si="134"/>
        <v>10232.473999999998</v>
      </c>
      <c r="Y57" s="7">
        <f t="shared" si="134"/>
        <v>9812.0719999999965</v>
      </c>
      <c r="Z57" s="7">
        <f t="shared" ref="Z57:AG57" si="135">Z52</f>
        <v>9901.1270000000077</v>
      </c>
      <c r="AA57" s="7">
        <f t="shared" si="135"/>
        <v>8875.2119999999977</v>
      </c>
      <c r="AB57" s="7">
        <f t="shared" si="135"/>
        <v>9472.2220000000034</v>
      </c>
      <c r="AC57" s="7">
        <f t="shared" si="135"/>
        <v>10306.366000000002</v>
      </c>
      <c r="AD57" s="7">
        <f t="shared" si="135"/>
        <v>10659.37299999999</v>
      </c>
      <c r="AE57" s="7">
        <f t="shared" si="135"/>
        <v>8293.1999999999989</v>
      </c>
      <c r="AF57" s="7">
        <f t="shared" si="135"/>
        <v>8220.8000000000011</v>
      </c>
      <c r="AG57" s="7">
        <f t="shared" si="135"/>
        <v>10139</v>
      </c>
      <c r="AH57" s="7">
        <f t="shared" ref="AH57:AN57" si="136">AH52</f>
        <v>11899.527000000009</v>
      </c>
      <c r="AI57" s="7">
        <f t="shared" si="136"/>
        <v>8863.2000000000025</v>
      </c>
      <c r="AJ57" s="7">
        <f t="shared" si="136"/>
        <v>9608.7000000000025</v>
      </c>
      <c r="AK57" s="7">
        <f t="shared" si="136"/>
        <v>10472.691999999999</v>
      </c>
      <c r="AL57" s="7">
        <f t="shared" si="136"/>
        <v>12263.040000000012</v>
      </c>
      <c r="AM57" s="7">
        <f t="shared" si="136"/>
        <v>6883.1</v>
      </c>
      <c r="AN57" s="7">
        <f t="shared" si="136"/>
        <v>6760.0999999999985</v>
      </c>
      <c r="AO57" s="7">
        <f t="shared" ref="AO57:AT57" si="137">AO52</f>
        <v>6823.3</v>
      </c>
      <c r="AP57" s="7">
        <f t="shared" si="137"/>
        <v>6006.9610000000021</v>
      </c>
      <c r="AQ57" s="7">
        <f t="shared" si="137"/>
        <v>6697.5860000000021</v>
      </c>
      <c r="AR57" s="7">
        <f t="shared" si="137"/>
        <v>6528.1000000000013</v>
      </c>
      <c r="AS57" s="7">
        <f t="shared" si="137"/>
        <v>5802.5</v>
      </c>
      <c r="AT57" s="7">
        <f t="shared" si="137"/>
        <v>6056.7139999999945</v>
      </c>
      <c r="AU57" s="7">
        <f t="shared" ref="AU57:AZ57" si="138">AU52</f>
        <v>5667.7</v>
      </c>
      <c r="AV57" s="7">
        <f t="shared" si="138"/>
        <v>5828.0999999999985</v>
      </c>
      <c r="AW57" s="7">
        <f t="shared" si="138"/>
        <v>5591.5</v>
      </c>
      <c r="AX57" s="7">
        <f t="shared" si="138"/>
        <v>5191.0999999999985</v>
      </c>
      <c r="AY57" s="7">
        <f t="shared" si="138"/>
        <v>5540.5000000000009</v>
      </c>
      <c r="AZ57" s="7">
        <f t="shared" si="138"/>
        <v>5630.2999999999984</v>
      </c>
      <c r="BA57" s="7">
        <f>BA52</f>
        <v>5577.0189999999993</v>
      </c>
      <c r="BB57" s="7">
        <f>BB52</f>
        <v>5651.4090000000006</v>
      </c>
      <c r="BC57" s="7">
        <f>BC52</f>
        <v>5883.2</v>
      </c>
      <c r="BD57" s="7"/>
    </row>
    <row r="58" spans="1:65" ht="13.5" customHeight="1">
      <c r="B58" s="6" t="s">
        <v>334</v>
      </c>
      <c r="C58" s="4">
        <f>-99.002-4649.477-1347.263+5255.698+438.556</f>
        <v>-401.48799999999989</v>
      </c>
      <c r="D58" s="4">
        <f>839.128-1064.81+183.136-2696.279-3596.835</f>
        <v>-6335.66</v>
      </c>
      <c r="E58" s="4">
        <f>-2523.789+3065.139-1703.088+2087.404-3083.16</f>
        <v>-2157.4939999999997</v>
      </c>
      <c r="F58" s="4">
        <f>2010.127+4940.837-1182.107-1220.392-9664.678</f>
        <v>-5116.2129999999997</v>
      </c>
      <c r="G58" s="4">
        <f>-15747.857+8816.632</f>
        <v>-6931.2250000000004</v>
      </c>
      <c r="H58" s="4">
        <f>-10006.698+8681.478</f>
        <v>-1325.2200000000012</v>
      </c>
      <c r="I58" s="4">
        <f>-2240.682-2833.536+321.712-6200.914+6965.158</f>
        <v>-3988.2619999999979</v>
      </c>
      <c r="J58" s="4">
        <f>-6620.795-2024.974-2863.863+850.76+6861.117</f>
        <v>-3797.7549999999992</v>
      </c>
      <c r="K58" s="4">
        <f>652.614-4147.622-2806.992-26.282-3717.588</f>
        <v>-10045.870000000001</v>
      </c>
      <c r="L58" s="4">
        <f>4176.638-588.954-2217.989-122.945+267.237</f>
        <v>1513.9870000000003</v>
      </c>
      <c r="M58" s="4">
        <f>14.321+533.303+1529.881-2403.935-2846.378</f>
        <v>-3172.808</v>
      </c>
      <c r="N58" s="4">
        <f>523.619+564.745+1271.583-3216.45-734.349</f>
        <v>-1590.8519999999999</v>
      </c>
      <c r="O58" s="4">
        <f>142.995+1099.637-738.598+1456.804-526.698</f>
        <v>1434.1400000000003</v>
      </c>
      <c r="P58" s="4">
        <f>467.885-355.036+1616.939+3033.245-703.589</f>
        <v>4059.4439999999995</v>
      </c>
      <c r="Q58" s="32">
        <f>SUM(AZ58:BC58)</f>
        <v>2269.9849999999997</v>
      </c>
      <c r="R58" s="32"/>
      <c r="S58" s="62">
        <f>-1744.393+4357.407-109.057+2569.522-4166.274</f>
        <v>907.20499999999993</v>
      </c>
      <c r="T58" s="62">
        <f>-1156.136+8095.822-835.882-936.555-8391.178-S58</f>
        <v>-4131.134</v>
      </c>
      <c r="U58" s="62">
        <f>-329.655+10045.329-1425.324-3229.525-11643.828-T58-S58</f>
        <v>-3359.0740000000005</v>
      </c>
      <c r="V58" s="32">
        <f>+IFERROR(D58-S58-T58-U58,"NA")</f>
        <v>247.34300000000076</v>
      </c>
      <c r="W58" s="62">
        <f>-1599.793+1867.433-50.743-969.775+1243.824</f>
        <v>490.94600000000014</v>
      </c>
      <c r="X58" s="62">
        <f>-1422.317+5366.415-2278.475+569.329-3507.179-W58</f>
        <v>-1763.173</v>
      </c>
      <c r="Y58" s="62">
        <f>-734.812+8270.566-2516.177-248.312-7335.641-X58-W58</f>
        <v>-1292.1489999999985</v>
      </c>
      <c r="Z58" s="32">
        <f>E58-Y58-X58-W58</f>
        <v>406.8819999999987</v>
      </c>
      <c r="AA58" s="62">
        <f>-742.768-4859.621-1358.316-771.272+3296.257</f>
        <v>-4435.7199999999993</v>
      </c>
      <c r="AB58" s="62">
        <f>-432.603-2193.103-2573.332+1315.508+164.163-AA58</f>
        <v>716.3529999999987</v>
      </c>
      <c r="AC58" s="62">
        <f>230.961+1444.993-1975.166+331.878-3729.732-AB58-AA58</f>
        <v>22.301000000001295</v>
      </c>
      <c r="AD58" s="32">
        <f>F58-AA58-AB58-AC58</f>
        <v>-1419.1470000000004</v>
      </c>
      <c r="AE58" s="62">
        <f>382.237-5449.008-1960.935+3569.827+5785.138</f>
        <v>2327.259</v>
      </c>
      <c r="AF58" s="62">
        <f>-49.579-8074.866-2439.564+5478.479+7821.357-AE58</f>
        <v>408.56800000000021</v>
      </c>
      <c r="AG58" s="62">
        <f>-2001.382-4370.465-2084.62+5813.252+6541.591-AF58-AE58</f>
        <v>1162.549</v>
      </c>
      <c r="AH58" s="32">
        <f>H58-AE58-AF58-AG58</f>
        <v>-5223.5960000000014</v>
      </c>
      <c r="AI58" s="62">
        <f>-4249.58-9814.265-2084.569+4854.812+12367.537</f>
        <v>1073.9350000000013</v>
      </c>
      <c r="AJ58" s="62">
        <f>-3681.128-9590.341-2036.384+4032.633+11463.441-AI58</f>
        <v>-885.71400000000176</v>
      </c>
      <c r="AK58" s="62">
        <f>-4575.108-4034.252-1867.495+1143.376+7518.524-AJ58-AI58</f>
        <v>-2003.1759999999986</v>
      </c>
      <c r="AL58" s="32">
        <f>I58-AI58-AJ58-AK58</f>
        <v>-2173.3069999999989</v>
      </c>
      <c r="AM58" s="62">
        <f>-1000.428-3657.613-2925.763+1218.37+7461.999</f>
        <v>1096.5649999999996</v>
      </c>
      <c r="AN58" s="62">
        <f>-1084.808-4251.305-3795.488+2036.06+2527.47-AM58</f>
        <v>-5664.6360000000013</v>
      </c>
      <c r="AO58" s="62">
        <f>-1854.478-4991.642-3653.208+1397.869+4244.119-AN58-AM58</f>
        <v>-289.2689999999975</v>
      </c>
      <c r="AP58" s="32">
        <f>K58-AM58-AN58-AO58</f>
        <v>-5188.5300000000025</v>
      </c>
      <c r="AQ58" s="62">
        <f>-38.329+101.64-934.137+1470.923-498.54</f>
        <v>101.55700000000007</v>
      </c>
      <c r="AR58" s="62">
        <f>-388.24+404.158+42.893-72.166-695.425-AQ58</f>
        <v>-810.33699999999999</v>
      </c>
      <c r="AS58" s="62">
        <f>-144.497-312.21-470.635-1722.082-AR58-AQ58</f>
        <v>-1940.644</v>
      </c>
      <c r="AT58" s="32">
        <f>M58-AQ58-AR58-AS58</f>
        <v>-523.38400000000024</v>
      </c>
      <c r="AU58" s="62">
        <f>702.271-2349.161+504.002+1746.431-52.157</f>
        <v>551.38599999999985</v>
      </c>
      <c r="AV58" s="62">
        <f>1482.344-1112.718+573.844+154.821-135.34-AU58</f>
        <v>411.56500000000005</v>
      </c>
      <c r="AW58" s="62">
        <f>1913.738-961.016+1011.816+561.994-1138.017-AV58-AU58</f>
        <v>425.56400000000019</v>
      </c>
      <c r="AX58" s="32">
        <f>O58-SUM(AU58:AW58)</f>
        <v>45.625000000000227</v>
      </c>
      <c r="AY58" s="62">
        <f>133.472-337.011-1524.237+1421.078+929.33</f>
        <v>622.63199999999995</v>
      </c>
      <c r="AZ58" s="62">
        <f>280.596+556.631-1404.553+583.356-287.698-AY58</f>
        <v>-894.30000000000007</v>
      </c>
      <c r="BA58" s="62">
        <f>194.718-984.226-1156.958+1234.689+10.49-AZ58-AY58</f>
        <v>-429.61899999999991</v>
      </c>
      <c r="BB58" s="32">
        <f>P58-SUM(AY58:BA58)</f>
        <v>4760.7309999999998</v>
      </c>
      <c r="BC58" s="62">
        <f>0.574+235.811-958.913-475.587+31.288</f>
        <v>-1166.827</v>
      </c>
      <c r="BD58" s="276"/>
      <c r="BE58" s="276"/>
      <c r="BF58" s="276"/>
      <c r="BG58" s="276"/>
      <c r="BH58" s="276"/>
    </row>
    <row r="59" spans="1:65" ht="13.5" customHeight="1">
      <c r="B59" s="6" t="s">
        <v>335</v>
      </c>
      <c r="C59" s="4">
        <v>-7268.9380000000001</v>
      </c>
      <c r="D59" s="4">
        <v>-6419.9949999999999</v>
      </c>
      <c r="E59" s="4">
        <v>-6722.77</v>
      </c>
      <c r="F59" s="4">
        <v>-8636.6319999999996</v>
      </c>
      <c r="G59" s="4">
        <v>-8816.6319999999996</v>
      </c>
      <c r="H59" s="4">
        <v>-8681.4779999999992</v>
      </c>
      <c r="I59" s="4">
        <v>-9166.6020000000008</v>
      </c>
      <c r="J59" s="4">
        <v>-9166.6020000000008</v>
      </c>
      <c r="K59" s="4">
        <v>-11818.411</v>
      </c>
      <c r="L59" s="4">
        <v>-12118.013999999999</v>
      </c>
      <c r="M59" s="4">
        <v>-7014.3090000000002</v>
      </c>
      <c r="N59" s="4">
        <v>-7014.3090000000002</v>
      </c>
      <c r="O59" s="4">
        <v>-812.21500000000003</v>
      </c>
      <c r="P59" s="4">
        <v>-1934.09</v>
      </c>
      <c r="Q59" s="32">
        <f>SUM(AZ59:BC59)</f>
        <v>-1582.001</v>
      </c>
      <c r="R59" s="32"/>
      <c r="S59" s="4">
        <v>-2353.1419999999998</v>
      </c>
      <c r="T59" s="4">
        <f>-3850.969-S59</f>
        <v>-1497.8270000000002</v>
      </c>
      <c r="U59" s="4">
        <f>-5333.484-T59-S59</f>
        <v>-1482.5150000000003</v>
      </c>
      <c r="V59" s="32">
        <f>+IFERROR(D59-S59-T59-U59,"NA")</f>
        <v>-1086.5109999999995</v>
      </c>
      <c r="W59" s="4">
        <v>-2715.8040000000001</v>
      </c>
      <c r="X59" s="4">
        <f>-3456.822-W59</f>
        <v>-741.01800000000003</v>
      </c>
      <c r="Y59" s="4">
        <f>-5396.951-X59-W59</f>
        <v>-1940.1289999999999</v>
      </c>
      <c r="Z59" s="32">
        <f>E59-Y59-X59-W59</f>
        <v>-1325.8190000000004</v>
      </c>
      <c r="AA59" s="4">
        <v>-4463.085</v>
      </c>
      <c r="AB59" s="4">
        <f>-6003.902-AA59</f>
        <v>-1540.817</v>
      </c>
      <c r="AC59" s="4">
        <f>-7535.422-AB59-AA59</f>
        <v>-1531.5199999999995</v>
      </c>
      <c r="AD59" s="32">
        <f>F59-AA59-AB59-AC59</f>
        <v>-1101.21</v>
      </c>
      <c r="AE59" s="4">
        <v>-3807.6610000000001</v>
      </c>
      <c r="AF59" s="4">
        <f>-5152.775-AE59</f>
        <v>-1345.1139999999996</v>
      </c>
      <c r="AG59" s="4">
        <f>-7639.482-AF59-AE59</f>
        <v>-2486.7070000000003</v>
      </c>
      <c r="AH59" s="32">
        <f>H59-AE59-AF59-AG59</f>
        <v>-1041.9959999999992</v>
      </c>
      <c r="AI59" s="4">
        <v>-3143.58</v>
      </c>
      <c r="AJ59" s="4">
        <f>-5345.583-AI59</f>
        <v>-2202.0029999999997</v>
      </c>
      <c r="AK59" s="4">
        <f>-7456.848-AJ59-AI59</f>
        <v>-2111.2650000000003</v>
      </c>
      <c r="AL59" s="32">
        <f>I59-AI59-AJ59-AK59</f>
        <v>-1709.7540000000008</v>
      </c>
      <c r="AM59" s="4">
        <v>19097.912</v>
      </c>
      <c r="AN59" s="4">
        <f>-14763.292-AM59</f>
        <v>-33861.203999999998</v>
      </c>
      <c r="AO59" s="4">
        <f>-15257.682-AN59-AM59</f>
        <v>-494.39000000000306</v>
      </c>
      <c r="AP59" s="32">
        <f>K59-AM59-AN59-AO59</f>
        <v>3439.2710000000006</v>
      </c>
      <c r="AQ59" s="4">
        <v>-4815.8059999999996</v>
      </c>
      <c r="AR59" s="4">
        <f>-5844.376-AQ59</f>
        <v>-1028.5700000000006</v>
      </c>
      <c r="AS59" s="4">
        <f>-6485.854-AR59-AQ59</f>
        <v>-641.47800000000007</v>
      </c>
      <c r="AT59" s="32">
        <f>M59-AQ59-AR59-AS59</f>
        <v>-528.45499999999993</v>
      </c>
      <c r="AU59" s="4">
        <v>-1511.326</v>
      </c>
      <c r="AV59" s="4">
        <f>-2147.815-AU59</f>
        <v>-636.48900000000003</v>
      </c>
      <c r="AW59" s="4">
        <f>-1608.127-AV59-AU59</f>
        <v>539.6880000000001</v>
      </c>
      <c r="AX59" s="32">
        <f>O59-SUM(AU59:AW59)</f>
        <v>795.91199999999992</v>
      </c>
      <c r="AY59" s="4">
        <v>-1007.745</v>
      </c>
      <c r="AZ59" s="4">
        <f>-1034.773-AY59</f>
        <v>-27.027999999999906</v>
      </c>
      <c r="BA59" s="4">
        <f>-1686.532-AZ59-AY59</f>
        <v>-651.7589999999999</v>
      </c>
      <c r="BB59" s="32">
        <f>P59-SUM(AY59:BA59)</f>
        <v>-247.55800000000022</v>
      </c>
      <c r="BC59" s="4">
        <v>-655.65599999999995</v>
      </c>
      <c r="BD59" s="276"/>
      <c r="BE59" s="276"/>
      <c r="BF59" s="276"/>
      <c r="BG59" s="276"/>
      <c r="BH59" s="276"/>
    </row>
    <row r="60" spans="1:65" ht="13.5" customHeight="1">
      <c r="B60" s="6" t="s">
        <v>336</v>
      </c>
      <c r="C60" s="4">
        <v>-7633.0259999999998</v>
      </c>
      <c r="D60" s="4">
        <v>-8860.8809999999994</v>
      </c>
      <c r="E60" s="4">
        <v>-10129.304</v>
      </c>
      <c r="F60" s="4">
        <v>-9170.3359999999993</v>
      </c>
      <c r="G60" s="4">
        <v>-9180.1409999999996</v>
      </c>
      <c r="H60" s="4">
        <v>-9455.3870000000006</v>
      </c>
      <c r="I60" s="4">
        <v>-8258.2430000000004</v>
      </c>
      <c r="J60" s="4">
        <v>-8258.2430000000004</v>
      </c>
      <c r="K60" s="4">
        <f>-8893</f>
        <v>-8893</v>
      </c>
      <c r="L60" s="4">
        <f>-8893</f>
        <v>-8893</v>
      </c>
      <c r="M60" s="4">
        <f>-7553.938</f>
        <v>-7553.9380000000001</v>
      </c>
      <c r="N60" s="4">
        <f>-7553.938</f>
        <v>-7553.9380000000001</v>
      </c>
      <c r="O60" s="4">
        <v>-7417.915</v>
      </c>
      <c r="P60" s="4">
        <v>-6816</v>
      </c>
      <c r="Q60" s="32">
        <f>SUM(AZ60:BC60)</f>
        <v>-6347</v>
      </c>
      <c r="R60" s="32"/>
      <c r="S60" s="4">
        <v>-2368.3820000000001</v>
      </c>
      <c r="T60" s="4">
        <f>-4547.532-S60</f>
        <v>-2179.15</v>
      </c>
      <c r="U60" s="4">
        <f>-6688.34-T60-S60</f>
        <v>-2140.8080000000004</v>
      </c>
      <c r="V60" s="32">
        <f>+IFERROR(D60-S60-T60-U60,"NA")</f>
        <v>-2172.5409999999997</v>
      </c>
      <c r="W60" s="4">
        <v>-2360.3139999999999</v>
      </c>
      <c r="X60" s="4">
        <f>-4457.956-W60</f>
        <v>-2097.6420000000003</v>
      </c>
      <c r="Y60" s="4">
        <f>-7014.365-X60-W60</f>
        <v>-2556.4090000000001</v>
      </c>
      <c r="Z60" s="32">
        <f>E60-Y60-X60-W60</f>
        <v>-3114.9390000000008</v>
      </c>
      <c r="AA60" s="4">
        <v>-1467.99</v>
      </c>
      <c r="AB60" s="4">
        <f>-3591.148-AA60</f>
        <v>-2123.1580000000004</v>
      </c>
      <c r="AC60" s="4">
        <f>-5991.238-AB60-AA60</f>
        <v>-2400.09</v>
      </c>
      <c r="AD60" s="32">
        <f>F60-AA60-AB60-AC60</f>
        <v>-3179.097999999999</v>
      </c>
      <c r="AE60" s="4">
        <v>-2144.3139999999999</v>
      </c>
      <c r="AF60" s="4">
        <f>-4588.589-AE60</f>
        <v>-2444.2750000000001</v>
      </c>
      <c r="AG60" s="4">
        <f>-6867.123-AF60-AE60</f>
        <v>-2278.5340000000001</v>
      </c>
      <c r="AH60" s="32">
        <f>H60-AE60-AF60-AG60</f>
        <v>-2588.2640000000006</v>
      </c>
      <c r="AI60" s="4">
        <v>-1998</v>
      </c>
      <c r="AJ60" s="4">
        <f>-4159.736-AI60</f>
        <v>-2161.7359999999999</v>
      </c>
      <c r="AK60" s="4">
        <f>-6035-AJ60-AI60</f>
        <v>-1875.2640000000001</v>
      </c>
      <c r="AL60" s="32">
        <f>I60-AI60-AJ60-AK60</f>
        <v>-2223.2430000000004</v>
      </c>
      <c r="AM60" s="4">
        <v>-2706.163</v>
      </c>
      <c r="AN60" s="4">
        <f>-5024.524-AM60</f>
        <v>-2318.3610000000003</v>
      </c>
      <c r="AO60" s="4">
        <f>-6938-AN60-AM60</f>
        <v>-1913.4759999999992</v>
      </c>
      <c r="AP60" s="32">
        <f>K60-AM60-AN60-AO60</f>
        <v>-1955</v>
      </c>
      <c r="AQ60" s="4">
        <v>-2111.1990000000001</v>
      </c>
      <c r="AR60" s="4">
        <f>-4134.286-AQ60</f>
        <v>-2023.087</v>
      </c>
      <c r="AS60" s="4">
        <f>-6242-AR60-AQ60</f>
        <v>-2107.7140000000004</v>
      </c>
      <c r="AT60" s="32">
        <f>M60-AQ60-AR60-AS60</f>
        <v>-1311.9379999999992</v>
      </c>
      <c r="AU60" s="4">
        <v>-2016.3879999999999</v>
      </c>
      <c r="AV60" s="4">
        <f>-3742.106-AU60</f>
        <v>-1725.7180000000003</v>
      </c>
      <c r="AW60" s="4">
        <f>-5487-AV60-AU60</f>
        <v>-1744.8939999999998</v>
      </c>
      <c r="AX60" s="32">
        <f>O60-SUM(AU60:AW60)</f>
        <v>-1930.915</v>
      </c>
      <c r="AY60" s="4">
        <v>-2102</v>
      </c>
      <c r="AZ60" s="4">
        <f>-4042.293-AY60</f>
        <v>-1940.2930000000001</v>
      </c>
      <c r="BA60" s="4">
        <f>-5381-AZ60-AY60</f>
        <v>-1338.7069999999999</v>
      </c>
      <c r="BB60" s="32">
        <f>P60-SUM(AY60:BA60)</f>
        <v>-1435</v>
      </c>
      <c r="BC60" s="4">
        <v>-1633</v>
      </c>
      <c r="BD60" s="276"/>
      <c r="BE60" s="276"/>
      <c r="BF60" s="276"/>
      <c r="BG60" s="276"/>
      <c r="BH60" s="276"/>
    </row>
    <row r="61" spans="1:65" ht="13.5" customHeight="1">
      <c r="B61" s="6" t="s">
        <v>337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32">
        <f>SUM(AZ61:BC61)</f>
        <v>88.782000000000011</v>
      </c>
      <c r="R61" s="32"/>
      <c r="S61" s="4">
        <v>0</v>
      </c>
      <c r="T61" s="4">
        <f>-S61</f>
        <v>0</v>
      </c>
      <c r="U61" s="4">
        <f>-T61-S61</f>
        <v>0</v>
      </c>
      <c r="V61" s="32">
        <f>+IFERROR(D61-S61-T61-U61,"NA")</f>
        <v>0</v>
      </c>
      <c r="W61" s="4">
        <v>0</v>
      </c>
      <c r="X61" s="4">
        <f>-W61</f>
        <v>0</v>
      </c>
      <c r="Y61" s="4">
        <f>-X61-W61</f>
        <v>0</v>
      </c>
      <c r="Z61" s="32">
        <f>E61-Y61-X61-W61</f>
        <v>0</v>
      </c>
      <c r="AA61" s="4">
        <v>0</v>
      </c>
      <c r="AB61" s="4">
        <f>-AA61</f>
        <v>0</v>
      </c>
      <c r="AC61" s="4">
        <f>-AB61-AA61</f>
        <v>0</v>
      </c>
      <c r="AD61" s="32">
        <f>F61-AA61-AB61-AC61</f>
        <v>0</v>
      </c>
      <c r="AE61" s="4">
        <v>0</v>
      </c>
      <c r="AF61" s="4">
        <f>-AE61</f>
        <v>0</v>
      </c>
      <c r="AG61" s="4">
        <f>-AF61-AE61</f>
        <v>0</v>
      </c>
      <c r="AH61" s="32">
        <f>H61-AE61-AF61-AG61</f>
        <v>0</v>
      </c>
      <c r="AI61" s="4">
        <v>0</v>
      </c>
      <c r="AJ61" s="4">
        <f>0-AI61</f>
        <v>0</v>
      </c>
      <c r="AK61" s="4">
        <f>-AJ61-AI61</f>
        <v>0</v>
      </c>
      <c r="AL61" s="32">
        <f>I61-AI61-AJ61-AK61</f>
        <v>0</v>
      </c>
      <c r="AM61" s="4">
        <v>109.581</v>
      </c>
      <c r="AN61" s="4">
        <v>0</v>
      </c>
      <c r="AO61" s="4">
        <f>-AN61-AM61</f>
        <v>-109.581</v>
      </c>
      <c r="AP61" s="32">
        <f>K61-AM61-AN61-AO61</f>
        <v>0</v>
      </c>
      <c r="AQ61" s="4">
        <v>204.59700000000001</v>
      </c>
      <c r="AR61" s="4">
        <v>0</v>
      </c>
      <c r="AS61" s="4">
        <f>-AR61-AQ61</f>
        <v>-204.59700000000001</v>
      </c>
      <c r="AT61" s="32">
        <f>M61-AQ61-AR61-AS61</f>
        <v>0</v>
      </c>
      <c r="AU61" s="4">
        <v>-123.203</v>
      </c>
      <c r="AV61" s="4">
        <f>-305.268-AU61</f>
        <v>-182.06499999999997</v>
      </c>
      <c r="AW61" s="4">
        <f>-548.169-AV61-AU61</f>
        <v>-242.90100000000004</v>
      </c>
      <c r="AX61" s="32">
        <f>O61-SUM(AU61:AW61)</f>
        <v>548.16899999999998</v>
      </c>
      <c r="AY61" s="4">
        <v>-138.256</v>
      </c>
      <c r="AZ61" s="4">
        <f>-206.509-AY61</f>
        <v>-68.252999999999986</v>
      </c>
      <c r="BA61" s="4">
        <f>-345.58-AZ61-AY61</f>
        <v>-139.071</v>
      </c>
      <c r="BB61" s="32">
        <f>P61-SUM(AY61:BA61)</f>
        <v>345.58</v>
      </c>
      <c r="BC61" s="4">
        <v>-49.473999999999997</v>
      </c>
      <c r="BD61" s="4"/>
      <c r="BE61" s="276"/>
      <c r="BF61" s="276"/>
      <c r="BG61" s="276"/>
      <c r="BH61" s="276"/>
    </row>
    <row r="62" spans="1:65" s="5" customFormat="1" ht="13.5" customHeight="1">
      <c r="B62" s="5" t="s">
        <v>338</v>
      </c>
      <c r="C62" s="33">
        <f t="shared" ref="C62:H62" si="139">SUM(C57:C61)</f>
        <v>21411.899000000005</v>
      </c>
      <c r="D62" s="33">
        <f t="shared" si="139"/>
        <v>13584.966000000017</v>
      </c>
      <c r="E62" s="33">
        <f t="shared" si="139"/>
        <v>19515.177000000011</v>
      </c>
      <c r="F62" s="33">
        <f t="shared" si="139"/>
        <v>16389.991999999995</v>
      </c>
      <c r="G62" s="33">
        <f t="shared" si="139"/>
        <v>14402.414999999997</v>
      </c>
      <c r="H62" s="33">
        <f t="shared" si="139"/>
        <v>19090.44200000001</v>
      </c>
      <c r="I62" s="33">
        <f t="shared" ref="I62:Q62" si="140">SUM(I57:I61)</f>
        <v>19794.525000000001</v>
      </c>
      <c r="J62" s="33">
        <f t="shared" si="140"/>
        <v>7168.4689999999973</v>
      </c>
      <c r="K62" s="33">
        <f t="shared" si="140"/>
        <v>-4283.82</v>
      </c>
      <c r="L62" s="33">
        <f t="shared" si="140"/>
        <v>6503.1949999999961</v>
      </c>
      <c r="M62" s="33">
        <f t="shared" si="140"/>
        <v>7343.8449999999957</v>
      </c>
      <c r="N62" s="33">
        <f t="shared" si="140"/>
        <v>8081.6489999999885</v>
      </c>
      <c r="O62" s="33">
        <f t="shared" si="140"/>
        <v>15482.409999999993</v>
      </c>
      <c r="P62" s="33">
        <f>SUM(P57:P61)</f>
        <v>17708.581999999999</v>
      </c>
      <c r="Q62" s="33">
        <f t="shared" si="140"/>
        <v>17171.694</v>
      </c>
      <c r="R62" s="7"/>
      <c r="S62" s="33">
        <f t="shared" ref="S62:Z62" si="141">SUM(S57:S61)</f>
        <v>4170.3659999999963</v>
      </c>
      <c r="T62" s="33">
        <f t="shared" si="141"/>
        <v>1061.2850000000003</v>
      </c>
      <c r="U62" s="33">
        <f t="shared" si="141"/>
        <v>1805.4649999999961</v>
      </c>
      <c r="V62" s="33">
        <f t="shared" si="141"/>
        <v>6547.85</v>
      </c>
      <c r="W62" s="33">
        <f t="shared" si="141"/>
        <v>3993.9</v>
      </c>
      <c r="X62" s="33">
        <f t="shared" si="141"/>
        <v>5630.6409999999978</v>
      </c>
      <c r="Y62" s="33">
        <f t="shared" si="141"/>
        <v>4023.3849999999989</v>
      </c>
      <c r="Z62" s="33">
        <f t="shared" si="141"/>
        <v>5867.2510000000057</v>
      </c>
      <c r="AA62" s="33">
        <f t="shared" ref="AA62:AF62" si="142">SUM(AA57:AA61)</f>
        <v>-1491.5830000000017</v>
      </c>
      <c r="AB62" s="33">
        <f t="shared" si="142"/>
        <v>6524.6000000000013</v>
      </c>
      <c r="AC62" s="33">
        <f t="shared" si="142"/>
        <v>6397.0570000000043</v>
      </c>
      <c r="AD62" s="33">
        <f t="shared" si="142"/>
        <v>4959.9179999999906</v>
      </c>
      <c r="AE62" s="33">
        <f>SUM(AE57:AE61)</f>
        <v>4668.4839999999986</v>
      </c>
      <c r="AF62" s="33">
        <f t="shared" si="142"/>
        <v>4839.979000000003</v>
      </c>
      <c r="AG62" s="33">
        <f t="shared" ref="AG62:AL62" si="143">SUM(AG57:AG61)</f>
        <v>6536.3079999999991</v>
      </c>
      <c r="AH62" s="33">
        <f t="shared" si="143"/>
        <v>3045.671000000008</v>
      </c>
      <c r="AI62" s="33">
        <f t="shared" si="143"/>
        <v>4795.5550000000039</v>
      </c>
      <c r="AJ62" s="33">
        <f t="shared" si="143"/>
        <v>4359.2470000000012</v>
      </c>
      <c r="AK62" s="33">
        <f t="shared" si="143"/>
        <v>4482.9869999999992</v>
      </c>
      <c r="AL62" s="33">
        <f t="shared" si="143"/>
        <v>6156.7360000000117</v>
      </c>
      <c r="AM62" s="33">
        <f t="shared" ref="AM62:AR62" si="144">SUM(AM57:AM61)</f>
        <v>24480.994999999999</v>
      </c>
      <c r="AN62" s="33">
        <f t="shared" si="144"/>
        <v>-35084.101000000002</v>
      </c>
      <c r="AO62" s="33">
        <f t="shared" si="144"/>
        <v>4016.5840000000007</v>
      </c>
      <c r="AP62" s="33">
        <f t="shared" si="144"/>
        <v>2302.7020000000002</v>
      </c>
      <c r="AQ62" s="33">
        <f t="shared" si="144"/>
        <v>76.735000000002202</v>
      </c>
      <c r="AR62" s="33">
        <f t="shared" si="144"/>
        <v>2666.1060000000002</v>
      </c>
      <c r="AS62" s="33">
        <f t="shared" ref="AS62:AX62" si="145">SUM(AS57:AS61)</f>
        <v>908.06699999999933</v>
      </c>
      <c r="AT62" s="33">
        <f t="shared" si="145"/>
        <v>3692.9369999999954</v>
      </c>
      <c r="AU62" s="33">
        <f t="shared" si="145"/>
        <v>2568.1689999999994</v>
      </c>
      <c r="AV62" s="33">
        <f t="shared" si="145"/>
        <v>3695.3929999999991</v>
      </c>
      <c r="AW62" s="33">
        <f t="shared" si="145"/>
        <v>4568.9570000000003</v>
      </c>
      <c r="AX62" s="33">
        <f t="shared" si="145"/>
        <v>4649.8909999999987</v>
      </c>
      <c r="AY62" s="33">
        <f>SUM(AY57:AY61)</f>
        <v>2915.1310000000008</v>
      </c>
      <c r="AZ62" s="33">
        <f>SUM(AZ57:AZ61)</f>
        <v>2700.4259999999977</v>
      </c>
      <c r="BA62" s="33">
        <f>SUM(BA57:BA61)</f>
        <v>3017.8629999999998</v>
      </c>
      <c r="BB62" s="33">
        <f>SUM(BB57:BB61)</f>
        <v>9075.1619999999984</v>
      </c>
      <c r="BC62" s="33">
        <f>SUM(BC57:BC61)</f>
        <v>2378.2429999999995</v>
      </c>
      <c r="BD62" s="33"/>
      <c r="BE62" s="276"/>
      <c r="BF62" s="276"/>
      <c r="BG62" s="276"/>
      <c r="BH62" s="276"/>
      <c r="BI62" s="1"/>
      <c r="BJ62" s="1"/>
      <c r="BK62" s="1"/>
      <c r="BL62" s="1"/>
      <c r="BM62" s="1"/>
    </row>
    <row r="63" spans="1:65" ht="13.5" customHeight="1">
      <c r="B63" s="6" t="s">
        <v>339</v>
      </c>
      <c r="C63" s="4">
        <f>-27941.585+1571.211</f>
        <v>-26370.374</v>
      </c>
      <c r="D63" s="4">
        <f>-16759.566+911.471</f>
        <v>-15848.094999999999</v>
      </c>
      <c r="E63" s="4">
        <f>-18499.662+1024.702</f>
        <v>-17474.96</v>
      </c>
      <c r="F63" s="4">
        <f>-19108.581+981.8</f>
        <v>-18126.780999999999</v>
      </c>
      <c r="G63" s="4">
        <f>-19108.284+981.503</f>
        <v>-18126.780999999999</v>
      </c>
      <c r="H63" s="4">
        <f>-20131.738+1520.417</f>
        <v>-18611.321</v>
      </c>
      <c r="I63" s="4">
        <f>-23267.847+672.424</f>
        <v>-22595.423000000003</v>
      </c>
      <c r="J63" s="4">
        <f>-23267.847+672.424</f>
        <v>-22595.423000000003</v>
      </c>
      <c r="K63" s="4">
        <f>264.163-17315.387</f>
        <v>-17051.223999999998</v>
      </c>
      <c r="L63" s="4">
        <f>264.163-17315.387</f>
        <v>-17051.223999999998</v>
      </c>
      <c r="M63" s="4">
        <f>48.873-14708.016</f>
        <v>-14659.143</v>
      </c>
      <c r="N63" s="4">
        <f>48.873-14708.016</f>
        <v>-14659.143</v>
      </c>
      <c r="O63" s="4">
        <f>-9097.397+627.973</f>
        <v>-8469.4240000000009</v>
      </c>
      <c r="P63" s="4">
        <f>133.176-12186.505</f>
        <v>-12053.329</v>
      </c>
      <c r="Q63" s="32">
        <f>SUM(AZ63:BC63)</f>
        <v>-12718.359</v>
      </c>
      <c r="R63" s="7"/>
      <c r="S63" s="4">
        <f>-4427.53+64.283</f>
        <v>-4363.2469999999994</v>
      </c>
      <c r="T63" s="4">
        <f>-7626.308+264.979-S63</f>
        <v>-2998.0820000000003</v>
      </c>
      <c r="U63" s="4">
        <f>-11497.184+563.186-T63-S63</f>
        <v>-3572.6689999999999</v>
      </c>
      <c r="V63" s="32">
        <f>+IFERROR(D63-S63-T63-U63,"NA")</f>
        <v>-4914.0969999999998</v>
      </c>
      <c r="W63" s="4">
        <f>-2971.881+125.405</f>
        <v>-2846.4759999999997</v>
      </c>
      <c r="X63" s="4">
        <f>-7253.498+642.638-W63</f>
        <v>-3764.384</v>
      </c>
      <c r="Y63" s="4">
        <f>-12740.872+956.727-X63-W63</f>
        <v>-5173.2849999999989</v>
      </c>
      <c r="Z63" s="32">
        <f>E63-Y63-X63-W63</f>
        <v>-5690.8149999999996</v>
      </c>
      <c r="AA63" s="4">
        <f>-4279.827+161.542</f>
        <v>-4118.2849999999999</v>
      </c>
      <c r="AB63" s="4">
        <f>-8859.401+1283.386-AA63</f>
        <v>-3457.7299999999996</v>
      </c>
      <c r="AC63" s="4">
        <f>-13736.986+1967.674-AB63-AA63</f>
        <v>-4193.2970000000023</v>
      </c>
      <c r="AD63" s="32">
        <f>F63-AA63-AB63-AC63</f>
        <v>-6357.4689999999973</v>
      </c>
      <c r="AE63" s="4">
        <f>-4552.915+250.398</f>
        <v>-4302.5169999999998</v>
      </c>
      <c r="AF63" s="4">
        <f>-9146.171+499.569-AE63</f>
        <v>-4344.0850000000009</v>
      </c>
      <c r="AG63" s="4">
        <f>-14702.698+866.397-AF63-AE63</f>
        <v>-5189.6989999999987</v>
      </c>
      <c r="AH63" s="32">
        <f>H63-AE63-AF63-AG63</f>
        <v>-4775.0200000000004</v>
      </c>
      <c r="AI63" s="4">
        <f>-5596.853+326.998</f>
        <v>-5269.8550000000005</v>
      </c>
      <c r="AJ63" s="4">
        <f>636.612-11220.368-AI63</f>
        <v>-5313.9010000000007</v>
      </c>
      <c r="AK63" s="4">
        <f>-18467.093+1092.079-AJ63-AI63</f>
        <v>-6791.2579999999971</v>
      </c>
      <c r="AL63" s="32">
        <f>I63-AI63-AJ63-AK63</f>
        <v>-5220.4090000000042</v>
      </c>
      <c r="AM63" s="4">
        <f>-4689.334+139.331</f>
        <v>-4550.0029999999997</v>
      </c>
      <c r="AN63" s="4">
        <f>221.937-9479.476-AM63</f>
        <v>-4707.536000000001</v>
      </c>
      <c r="AO63" s="4">
        <f>-13683.82+447.397-AN63-AM63</f>
        <v>-3978.8839999999991</v>
      </c>
      <c r="AP63" s="32">
        <f>K63-AM63-AN63-AO63</f>
        <v>-3814.8009999999977</v>
      </c>
      <c r="AQ63" s="4">
        <f>-3929.765+7.199</f>
        <v>-3922.5659999999998</v>
      </c>
      <c r="AR63" s="4">
        <f>24.7+7534.897-AQ63</f>
        <v>11482.163</v>
      </c>
      <c r="AS63" s="4">
        <f>-10720.491+47.008-AR63-AQ63</f>
        <v>-18233.080000000002</v>
      </c>
      <c r="AT63" s="32">
        <f>M63-AQ63-AR63-AS63</f>
        <v>-3985.66</v>
      </c>
      <c r="AU63" s="4">
        <f>-2053.902+16.739</f>
        <v>-2037.163</v>
      </c>
      <c r="AV63" s="4">
        <f>525.442-3815.383-AU63</f>
        <v>-1252.7779999999998</v>
      </c>
      <c r="AW63" s="4">
        <f>-6241.954+614.005-AV63-AU63</f>
        <v>-2338.0080000000003</v>
      </c>
      <c r="AX63" s="32">
        <f>O63-SUM(AU63:AW63)</f>
        <v>-2841.4750000000004</v>
      </c>
      <c r="AY63" s="4">
        <f>-1776.969+3.827</f>
        <v>-1773.1420000000001</v>
      </c>
      <c r="AZ63" s="4">
        <f>47.86-3902.323-AY63</f>
        <v>-2081.3209999999999</v>
      </c>
      <c r="BA63" s="4">
        <f>-7558.905+112.212-AZ63-AY63</f>
        <v>-3592.2299999999996</v>
      </c>
      <c r="BB63" s="32">
        <f>P63-SUM(AY63:BA63)</f>
        <v>-4606.6360000000004</v>
      </c>
      <c r="BC63" s="4">
        <f>-2491.726+53.554</f>
        <v>-2438.172</v>
      </c>
      <c r="BD63" s="276"/>
      <c r="BE63" s="276"/>
      <c r="BF63" s="276"/>
      <c r="BG63" s="276"/>
      <c r="BH63" s="276"/>
    </row>
    <row r="64" spans="1:65" ht="13.5" customHeight="1">
      <c r="B64" s="6" t="s">
        <v>340</v>
      </c>
      <c r="C64" s="4">
        <v>-2472.1239999999998</v>
      </c>
      <c r="D64" s="4">
        <v>-1777.59</v>
      </c>
      <c r="E64" s="4">
        <v>-7774.2809999999999</v>
      </c>
      <c r="F64" s="4">
        <v>-2093.5459999999998</v>
      </c>
      <c r="G64" s="4">
        <v>-2106.75</v>
      </c>
      <c r="H64" s="4">
        <v>-1235.1769999999999</v>
      </c>
      <c r="I64" s="4">
        <v>-1899.4</v>
      </c>
      <c r="J64" s="4">
        <v>-1899.4</v>
      </c>
      <c r="K64" s="4">
        <v>-1867</v>
      </c>
      <c r="L64" s="4">
        <v>-1807.183</v>
      </c>
      <c r="M64" s="4">
        <v>-1869.7159999999999</v>
      </c>
      <c r="N64" s="4">
        <v>-1869.7070000000001</v>
      </c>
      <c r="O64" s="4">
        <v>-1378.854</v>
      </c>
      <c r="P64" s="4">
        <v>-1287.0999999999999</v>
      </c>
      <c r="Q64" s="32">
        <f>SUM(AZ64:BC64)</f>
        <v>-1244.53</v>
      </c>
      <c r="R64" s="7"/>
      <c r="S64" s="4">
        <v>-255.447</v>
      </c>
      <c r="T64" s="4">
        <f>-581.859-S64</f>
        <v>-326.41200000000003</v>
      </c>
      <c r="U64" s="4">
        <f>-1205.043-T64-S64</f>
        <v>-623.18399999999986</v>
      </c>
      <c r="V64" s="32">
        <f>+IFERROR(D64-S64-T64-U64,"NA")</f>
        <v>-572.54700000000014</v>
      </c>
      <c r="W64" s="4">
        <v>-379.96699999999998</v>
      </c>
      <c r="X64" s="4">
        <f>-1080.85-W64</f>
        <v>-700.88299999999992</v>
      </c>
      <c r="Y64" s="4">
        <f>-1540.012-X64-W64</f>
        <v>-459.16200000000003</v>
      </c>
      <c r="Z64" s="32">
        <f>E64-Y64-X64-W64</f>
        <v>-6234.2690000000002</v>
      </c>
      <c r="AA64" s="4">
        <v>-477.95699999999999</v>
      </c>
      <c r="AB64" s="4">
        <f>-1441.524-AA64</f>
        <v>-963.56699999999989</v>
      </c>
      <c r="AC64" s="4">
        <f>-2130.32-AB64-AA64</f>
        <v>-688.79600000000016</v>
      </c>
      <c r="AD64" s="32">
        <f>F64-AA64-AB64-AC64</f>
        <v>36.774000000000115</v>
      </c>
      <c r="AE64" s="4">
        <v>-199.971</v>
      </c>
      <c r="AF64" s="4">
        <f>-531.399-AE64</f>
        <v>-331.428</v>
      </c>
      <c r="AG64" s="4">
        <f>-914.7-AF64-AE64</f>
        <v>-383.30100000000004</v>
      </c>
      <c r="AH64" s="32">
        <f>H64-AE64-AF64-AG64</f>
        <v>-320.47699999999986</v>
      </c>
      <c r="AI64" s="4">
        <v>-486.2</v>
      </c>
      <c r="AJ64" s="4">
        <f>-937.6-AI64</f>
        <v>-451.40000000000003</v>
      </c>
      <c r="AK64" s="4">
        <f>-1498.2-AJ64-AI64</f>
        <v>-560.59999999999991</v>
      </c>
      <c r="AL64" s="32">
        <f>I64-AI64-AJ64-AK64</f>
        <v>-401.20000000000005</v>
      </c>
      <c r="AM64" s="4">
        <v>-511.2</v>
      </c>
      <c r="AN64" s="4">
        <f>-828.1-AM64</f>
        <v>-316.90000000000003</v>
      </c>
      <c r="AO64" s="4">
        <f>-1087.4-AN64-AM64</f>
        <v>-259.3</v>
      </c>
      <c r="AP64" s="32">
        <f>K64-AM64-AN64-AO64</f>
        <v>-779.59999999999991</v>
      </c>
      <c r="AQ64" s="4">
        <v>-203.8</v>
      </c>
      <c r="AR64" s="4">
        <f>-845.528-AQ64</f>
        <v>-641.72800000000007</v>
      </c>
      <c r="AS64" s="4">
        <f>-1433.606-AR64-AQ64</f>
        <v>-588.07799999999997</v>
      </c>
      <c r="AT64" s="32">
        <f>M64-AQ64-AR64-AS64</f>
        <v>-436.1099999999999</v>
      </c>
      <c r="AU64" s="4">
        <v>-379.9</v>
      </c>
      <c r="AV64" s="4">
        <f>-847.9-AU64</f>
        <v>-468</v>
      </c>
      <c r="AW64" s="4">
        <f>-1149.423-AV64-AU64</f>
        <v>-301.52300000000002</v>
      </c>
      <c r="AX64" s="32">
        <f>O64-SUM(AU64:AW64)</f>
        <v>-229.43100000000004</v>
      </c>
      <c r="AY64" s="4">
        <v>-240.6</v>
      </c>
      <c r="AZ64" s="4">
        <f>-548.097-AY64</f>
        <v>-307.49699999999996</v>
      </c>
      <c r="BA64" s="4">
        <f>-785.9-AZ64-AY64</f>
        <v>-237.80300000000003</v>
      </c>
      <c r="BB64" s="32">
        <f>P64-SUM(AY64:BA64)</f>
        <v>-501.19999999999993</v>
      </c>
      <c r="BC64" s="4">
        <v>-198.03</v>
      </c>
      <c r="BD64" s="276"/>
      <c r="BE64" s="276"/>
      <c r="BF64" s="276"/>
      <c r="BG64" s="276"/>
      <c r="BH64" s="276"/>
    </row>
    <row r="65" spans="1:66" ht="13.5" customHeight="1">
      <c r="B65" s="6" t="s">
        <v>341</v>
      </c>
      <c r="C65" s="4">
        <v>-90.132999999999996</v>
      </c>
      <c r="D65" s="4">
        <f>14.383+0.026-191.096</f>
        <v>-176.68700000000001</v>
      </c>
      <c r="E65" s="4">
        <f>-5465.711+6256.874+95.161</f>
        <v>886.32399999999961</v>
      </c>
      <c r="F65" s="4">
        <f>12.19+107.883</f>
        <v>120.07299999999999</v>
      </c>
      <c r="G65" s="4">
        <f>-25.741</f>
        <v>-25.741</v>
      </c>
      <c r="H65" s="4">
        <v>-602.46600000000001</v>
      </c>
      <c r="I65" s="4">
        <v>10</v>
      </c>
      <c r="J65" s="4">
        <v>10</v>
      </c>
      <c r="K65" s="4">
        <v>10</v>
      </c>
      <c r="L65" s="4">
        <v>0</v>
      </c>
      <c r="M65" s="4">
        <v>8</v>
      </c>
      <c r="N65" s="4">
        <v>0</v>
      </c>
      <c r="O65" s="4">
        <v>0</v>
      </c>
      <c r="P65" s="4">
        <f>5</f>
        <v>5</v>
      </c>
      <c r="Q65" s="32">
        <f>SUM(AZ65:BC65)</f>
        <v>5</v>
      </c>
      <c r="R65" s="7"/>
      <c r="S65" s="4">
        <f>0.026-140</f>
        <v>-139.97399999999999</v>
      </c>
      <c r="T65" s="4">
        <f>0.026-140-S65</f>
        <v>0</v>
      </c>
      <c r="U65" s="4">
        <f>0.026-182.5-T65-S65</f>
        <v>-42.5</v>
      </c>
      <c r="V65" s="32">
        <f>+IFERROR(D65-S65-T65-U65,"NA")</f>
        <v>5.7869999999999777</v>
      </c>
      <c r="W65" s="4">
        <v>85</v>
      </c>
      <c r="X65" s="4">
        <f>5890.52+85-W65</f>
        <v>5890.52</v>
      </c>
      <c r="Y65" s="4">
        <f>5890.52+95.161-X65-W65</f>
        <v>10.161000000000058</v>
      </c>
      <c r="Z65" s="32">
        <f>E65-Y65-X65-W65</f>
        <v>-5099.3570000000009</v>
      </c>
      <c r="AA65" s="4">
        <v>0</v>
      </c>
      <c r="AB65" s="4">
        <f>-0.674-107.883-AA65</f>
        <v>-108.557</v>
      </c>
      <c r="AC65" s="4">
        <f>0.667+107.883-AB65-AA65</f>
        <v>217.107</v>
      </c>
      <c r="AD65" s="32">
        <f>F65-AA65-AB65-AC65</f>
        <v>11.522999999999996</v>
      </c>
      <c r="AE65" s="4">
        <f>10.601+179.59</f>
        <v>190.191</v>
      </c>
      <c r="AF65" s="4">
        <f>0-AE65</f>
        <v>-190.191</v>
      </c>
      <c r="AG65" s="4">
        <f>0+0-AF65-AE65</f>
        <v>0</v>
      </c>
      <c r="AH65" s="32">
        <f>H65-AE65-AF65-AG65</f>
        <v>-602.46600000000001</v>
      </c>
      <c r="AI65" s="4">
        <v>0</v>
      </c>
      <c r="AJ65" s="4">
        <f>0-AI65</f>
        <v>0</v>
      </c>
      <c r="AK65" s="4">
        <f>10-AJ65-AI65</f>
        <v>10</v>
      </c>
      <c r="AL65" s="32">
        <f>I65-AI65-AJ65-AK65</f>
        <v>0</v>
      </c>
      <c r="AM65" s="4">
        <v>0</v>
      </c>
      <c r="AN65" s="4">
        <f>0-AM65</f>
        <v>0</v>
      </c>
      <c r="AO65" s="4">
        <f>10-AN65-AM65</f>
        <v>10</v>
      </c>
      <c r="AP65" s="32">
        <f>K65-AM65-AN65-AO65</f>
        <v>0</v>
      </c>
      <c r="AQ65" s="4">
        <v>0</v>
      </c>
      <c r="AR65" s="4">
        <f>0-AQ65</f>
        <v>0</v>
      </c>
      <c r="AS65" s="4">
        <f>8-AR65-AQ65</f>
        <v>8</v>
      </c>
      <c r="AT65" s="32">
        <f>M65-AQ65-AR65-AS65</f>
        <v>0</v>
      </c>
      <c r="AU65" s="4">
        <v>0</v>
      </c>
      <c r="AV65" s="4">
        <f>0-AU65</f>
        <v>0</v>
      </c>
      <c r="AW65" s="4">
        <f>10-AV65-AU65</f>
        <v>10</v>
      </c>
      <c r="AX65" s="32">
        <f>O65-SUM(AU65:AW65)</f>
        <v>-10</v>
      </c>
      <c r="AY65" s="4">
        <v>0</v>
      </c>
      <c r="AZ65" s="4">
        <f>0-AY65</f>
        <v>0</v>
      </c>
      <c r="BA65" s="4">
        <f>5-AZ65-AY65</f>
        <v>5</v>
      </c>
      <c r="BB65" s="32">
        <f>P65-SUM(AY65:BA65)</f>
        <v>0</v>
      </c>
      <c r="BC65" s="4">
        <v>0</v>
      </c>
      <c r="BD65" s="4"/>
      <c r="BE65" s="276"/>
      <c r="BF65" s="276"/>
      <c r="BG65" s="276"/>
      <c r="BH65" s="276"/>
    </row>
    <row r="66" spans="1:66" s="5" customFormat="1" ht="13.5" customHeight="1">
      <c r="B66" s="14" t="s">
        <v>342</v>
      </c>
      <c r="C66" s="7">
        <f t="shared" ref="C66:H66" si="146">SUM(C62:C65)</f>
        <v>-7520.7319999999945</v>
      </c>
      <c r="D66" s="7">
        <f t="shared" si="146"/>
        <v>-4217.4059999999827</v>
      </c>
      <c r="E66" s="7">
        <f t="shared" si="146"/>
        <v>-4847.7399999999889</v>
      </c>
      <c r="F66" s="7">
        <f t="shared" si="146"/>
        <v>-3710.2620000000043</v>
      </c>
      <c r="G66" s="7">
        <f t="shared" si="146"/>
        <v>-5856.8570000000018</v>
      </c>
      <c r="H66" s="7">
        <f t="shared" si="146"/>
        <v>-1358.5219999999899</v>
      </c>
      <c r="I66" s="7">
        <f t="shared" ref="I66:Q66" si="147">SUM(I62:I65)</f>
        <v>-4690.2980000000007</v>
      </c>
      <c r="J66" s="7">
        <f t="shared" si="147"/>
        <v>-17316.354000000007</v>
      </c>
      <c r="K66" s="7">
        <f t="shared" si="147"/>
        <v>-23192.043999999998</v>
      </c>
      <c r="L66" s="7">
        <f t="shared" si="147"/>
        <v>-12355.212000000003</v>
      </c>
      <c r="M66" s="7">
        <f t="shared" si="147"/>
        <v>-9177.0140000000047</v>
      </c>
      <c r="N66" s="7">
        <f t="shared" si="147"/>
        <v>-8447.2010000000118</v>
      </c>
      <c r="O66" s="7">
        <f t="shared" si="147"/>
        <v>5634.1319999999914</v>
      </c>
      <c r="P66" s="7">
        <f>SUM(P62:P65)</f>
        <v>4373.1529999999984</v>
      </c>
      <c r="Q66" s="7">
        <f t="shared" si="147"/>
        <v>3213.8049999999994</v>
      </c>
      <c r="R66" s="7"/>
      <c r="S66" s="7">
        <f t="shared" ref="S66:Z66" si="148">SUM(S62:S65)</f>
        <v>-588.30200000000309</v>
      </c>
      <c r="T66" s="7">
        <f t="shared" si="148"/>
        <v>-2263.2089999999998</v>
      </c>
      <c r="U66" s="7">
        <f t="shared" si="148"/>
        <v>-2432.8880000000036</v>
      </c>
      <c r="V66" s="7">
        <f t="shared" si="148"/>
        <v>1066.9930000000006</v>
      </c>
      <c r="W66" s="7">
        <f t="shared" si="148"/>
        <v>852.45700000000045</v>
      </c>
      <c r="X66" s="7">
        <f t="shared" si="148"/>
        <v>7055.8939999999984</v>
      </c>
      <c r="Y66" s="7">
        <f t="shared" si="148"/>
        <v>-1598.9010000000001</v>
      </c>
      <c r="Z66" s="7">
        <f t="shared" si="148"/>
        <v>-11157.189999999995</v>
      </c>
      <c r="AA66" s="7">
        <f t="shared" ref="AA66:AF66" si="149">SUM(AA62:AA65)</f>
        <v>-6087.8250000000016</v>
      </c>
      <c r="AB66" s="7">
        <f t="shared" si="149"/>
        <v>1994.7460000000017</v>
      </c>
      <c r="AC66" s="7">
        <f t="shared" si="149"/>
        <v>1732.0710000000017</v>
      </c>
      <c r="AD66" s="7">
        <f t="shared" si="149"/>
        <v>-1349.2540000000067</v>
      </c>
      <c r="AE66" s="7">
        <f t="shared" si="149"/>
        <v>356.18699999999876</v>
      </c>
      <c r="AF66" s="7">
        <f t="shared" si="149"/>
        <v>-25.724999999997948</v>
      </c>
      <c r="AG66" s="7">
        <f t="shared" ref="AG66:AL66" si="150">SUM(AG62:AG65)</f>
        <v>963.30800000000033</v>
      </c>
      <c r="AH66" s="7">
        <f t="shared" si="150"/>
        <v>-2652.2919999999922</v>
      </c>
      <c r="AI66" s="7">
        <f t="shared" si="150"/>
        <v>-960.49999999999659</v>
      </c>
      <c r="AJ66" s="7">
        <f t="shared" si="150"/>
        <v>-1406.0539999999996</v>
      </c>
      <c r="AK66" s="7">
        <f t="shared" si="150"/>
        <v>-2858.8709999999978</v>
      </c>
      <c r="AL66" s="7">
        <f t="shared" si="150"/>
        <v>535.12700000000746</v>
      </c>
      <c r="AM66" s="7">
        <f t="shared" ref="AM66:AR66" si="151">SUM(AM62:AM65)</f>
        <v>19419.791999999998</v>
      </c>
      <c r="AN66" s="7">
        <f t="shared" si="151"/>
        <v>-40108.537000000004</v>
      </c>
      <c r="AO66" s="7">
        <f t="shared" si="151"/>
        <v>-211.59999999999837</v>
      </c>
      <c r="AP66" s="7">
        <f t="shared" si="151"/>
        <v>-2291.6989999999973</v>
      </c>
      <c r="AQ66" s="7">
        <f t="shared" si="151"/>
        <v>-4049.6309999999976</v>
      </c>
      <c r="AR66" s="7">
        <f t="shared" si="151"/>
        <v>13506.541000000001</v>
      </c>
      <c r="AS66" s="7">
        <f t="shared" ref="AS66:AX66" si="152">SUM(AS62:AS65)</f>
        <v>-17905.091000000004</v>
      </c>
      <c r="AT66" s="7">
        <f t="shared" si="152"/>
        <v>-728.8330000000044</v>
      </c>
      <c r="AU66" s="7">
        <f t="shared" si="152"/>
        <v>151.10599999999943</v>
      </c>
      <c r="AV66" s="7">
        <f t="shared" si="152"/>
        <v>1974.6149999999993</v>
      </c>
      <c r="AW66" s="7">
        <f t="shared" si="152"/>
        <v>1939.4259999999999</v>
      </c>
      <c r="AX66" s="7">
        <f t="shared" si="152"/>
        <v>1568.9849999999983</v>
      </c>
      <c r="AY66" s="7">
        <f>SUM(AY62:AY65)</f>
        <v>901.38900000000069</v>
      </c>
      <c r="AZ66" s="7">
        <f>SUM(AZ62:AZ65)</f>
        <v>311.60799999999779</v>
      </c>
      <c r="BA66" s="7">
        <f>SUM(BA62:BA65)</f>
        <v>-807.16999999999973</v>
      </c>
      <c r="BB66" s="7">
        <f>SUM(BB62:BB65)</f>
        <v>3967.3259999999982</v>
      </c>
      <c r="BC66" s="7">
        <f>SUM(BC62:BC65)</f>
        <v>-257.95900000000051</v>
      </c>
      <c r="BD66" s="7"/>
      <c r="BE66" s="276"/>
      <c r="BF66" s="276"/>
      <c r="BG66" s="276"/>
      <c r="BH66" s="276"/>
      <c r="BI66" s="1"/>
      <c r="BJ66" s="1"/>
      <c r="BK66" s="1"/>
      <c r="BL66" s="1"/>
      <c r="BM66" s="1"/>
    </row>
    <row r="67" spans="1:66" s="5" customFormat="1" ht="13.5" customHeight="1">
      <c r="B67" s="6" t="s">
        <v>343</v>
      </c>
      <c r="C67" s="4">
        <v>-114.979</v>
      </c>
      <c r="D67" s="4">
        <v>364.053</v>
      </c>
      <c r="E67" s="4">
        <v>464.84300000000002</v>
      </c>
      <c r="F67" s="4">
        <v>1856.2249999999999</v>
      </c>
      <c r="G67" s="4">
        <f>30.992+2301.682+149.39</f>
        <v>2482.0639999999999</v>
      </c>
      <c r="H67" s="4">
        <f>3155.643+1248+125.624</f>
        <v>4529.2669999999998</v>
      </c>
      <c r="I67" s="4">
        <v>5443.1450000000004</v>
      </c>
      <c r="J67" s="4">
        <v>5745.1819999999998</v>
      </c>
      <c r="K67" s="4">
        <f>66095.454+364.05+744.634</f>
        <v>67204.138000000006</v>
      </c>
      <c r="L67" s="4">
        <f>66095.454-5738.832-7.922+752.556+364.42+10+87.663</f>
        <v>61563.338999999993</v>
      </c>
      <c r="M67" s="4">
        <v>762.46100000000001</v>
      </c>
      <c r="N67" s="4">
        <f>45.556+716.905+8</f>
        <v>770.46100000000001</v>
      </c>
      <c r="O67" s="4">
        <f>50.767+777.838+10</f>
        <v>838.60500000000002</v>
      </c>
      <c r="P67" s="4">
        <v>-3289.0549999999998</v>
      </c>
      <c r="Q67" s="32">
        <f t="shared" ref="Q67:Q75" si="153">SUM(AZ67:BC67)</f>
        <v>-1656.3249999999996</v>
      </c>
      <c r="R67" s="32"/>
      <c r="S67" s="4">
        <v>40.387999999999998</v>
      </c>
      <c r="T67" s="4">
        <f>262.283-S67</f>
        <v>221.89500000000001</v>
      </c>
      <c r="U67" s="4">
        <f>283.66-T67-S67</f>
        <v>21.377000000000017</v>
      </c>
      <c r="V67" s="32">
        <f t="shared" ref="V67:V72" si="154">+IFERROR(D67-S67-T67-U67,"NA")</f>
        <v>80.393000000000001</v>
      </c>
      <c r="W67" s="4">
        <v>293.16300000000001</v>
      </c>
      <c r="X67" s="4">
        <f>408.812-W67</f>
        <v>115.649</v>
      </c>
      <c r="Y67" s="4">
        <f>416.189-X67-W67</f>
        <v>7.3770000000000095</v>
      </c>
      <c r="Z67" s="32">
        <f t="shared" ref="Z67:Z72" si="155">E67-Y67-X67-W67</f>
        <v>48.653999999999996</v>
      </c>
      <c r="AA67" s="4">
        <v>-8.0000000000000002E-3</v>
      </c>
      <c r="AB67" s="4">
        <f>51.472-AA67</f>
        <v>51.480000000000004</v>
      </c>
      <c r="AC67" s="4">
        <f>1216.055-AB67-AA67</f>
        <v>1164.5830000000001</v>
      </c>
      <c r="AD67" s="32">
        <f>F67-AA67-AB67-AC67</f>
        <v>640.16999999999985</v>
      </c>
      <c r="AE67" s="4">
        <v>-20.196000000000002</v>
      </c>
      <c r="AF67" s="4">
        <f>529.374-AE67</f>
        <v>549.57000000000005</v>
      </c>
      <c r="AG67" s="4">
        <f>2678.03-AF67-AE67</f>
        <v>2148.6559999999999</v>
      </c>
      <c r="AH67" s="32">
        <f>H67-AE67-AF67-AG67</f>
        <v>1851.2369999999996</v>
      </c>
      <c r="AI67" s="4">
        <v>1268.731</v>
      </c>
      <c r="AJ67" s="4">
        <f>1824.817-AI67</f>
        <v>556.08600000000001</v>
      </c>
      <c r="AK67" s="4">
        <f>1337.948-AJ67-AI67</f>
        <v>-486.86899999999991</v>
      </c>
      <c r="AL67" s="32">
        <f>I67-AI67-AJ67-AK67</f>
        <v>4105.1970000000001</v>
      </c>
      <c r="AM67" s="4">
        <f>23.892+65440.452</f>
        <v>65464.343999999997</v>
      </c>
      <c r="AN67" s="4">
        <f>65174.953+364.42+315.567-AM67</f>
        <v>390.59600000000501</v>
      </c>
      <c r="AO67" s="4">
        <f>66039.81+400+515.77-AN67-AM67</f>
        <v>1100.6399999999994</v>
      </c>
      <c r="AP67" s="32">
        <f>K67-AM67-AN67-AO67</f>
        <v>248.55800000000454</v>
      </c>
      <c r="AQ67" s="4">
        <f>195.369</f>
        <v>195.369</v>
      </c>
      <c r="AR67" s="4">
        <f>378.306+8-AQ67</f>
        <v>190.93699999999998</v>
      </c>
      <c r="AS67" s="4">
        <f>0+567.086-AR67-AQ67</f>
        <v>180.78</v>
      </c>
      <c r="AT67" s="32">
        <f>M67-AQ67-AR67-AS67</f>
        <v>195.37499999999997</v>
      </c>
      <c r="AU67" s="4">
        <f>-521.479</f>
        <v>-521.47900000000004</v>
      </c>
      <c r="AV67" s="4">
        <f>-333.742-AU67</f>
        <v>187.73700000000002</v>
      </c>
      <c r="AW67" s="4">
        <f>-114.014-AV67-AU67</f>
        <v>219.72800000000001</v>
      </c>
      <c r="AX67" s="32">
        <f t="shared" ref="AX67:AX72" si="156">O67-SUM(AU67:AW67)</f>
        <v>952.61900000000003</v>
      </c>
      <c r="AY67" s="4">
        <v>205.59899999999999</v>
      </c>
      <c r="AZ67" s="4">
        <f>-425.314-AY67</f>
        <v>-630.91300000000001</v>
      </c>
      <c r="BA67" s="4">
        <f>780.305-AZ67-AY67</f>
        <v>1205.6189999999999</v>
      </c>
      <c r="BB67" s="32">
        <f t="shared" ref="BB67:BB72" si="157">P67-SUM(AY67:BA67)</f>
        <v>-4069.3599999999997</v>
      </c>
      <c r="BC67" s="4">
        <v>1838.329</v>
      </c>
      <c r="BD67" s="276"/>
      <c r="BE67" s="276"/>
      <c r="BF67" s="276"/>
      <c r="BG67" s="276"/>
      <c r="BH67" s="276"/>
      <c r="BI67" s="1"/>
      <c r="BJ67" s="1"/>
      <c r="BK67" s="1"/>
      <c r="BL67" s="1"/>
      <c r="BM67" s="1"/>
    </row>
    <row r="68" spans="1:66" ht="13.5" customHeight="1">
      <c r="B68" s="6" t="s">
        <v>344</v>
      </c>
      <c r="C68" s="4">
        <v>-2379.424</v>
      </c>
      <c r="D68" s="4">
        <f>-1292.438-2883.808</f>
        <v>-4176.2460000000001</v>
      </c>
      <c r="E68" s="4">
        <f>-1238.276-2641.18</f>
        <v>-3879.4560000000001</v>
      </c>
      <c r="F68" s="4">
        <f>-1294.375-1385.75</f>
        <v>-2680.125</v>
      </c>
      <c r="G68" s="4">
        <f>-1294.375-1385.75</f>
        <v>-2680.125</v>
      </c>
      <c r="H68" s="4">
        <f>-195.597-1324.063</f>
        <v>-1519.66</v>
      </c>
      <c r="I68" s="4">
        <v>-438.154</v>
      </c>
      <c r="J68" s="4">
        <v>-328.5</v>
      </c>
      <c r="K68" s="4">
        <v>-1277.568</v>
      </c>
      <c r="L68" s="4">
        <f>-629.326</f>
        <v>-629.32600000000002</v>
      </c>
      <c r="M68" s="4">
        <v>-1197.0820000000001</v>
      </c>
      <c r="N68" s="4">
        <v>-1197.0820000000001</v>
      </c>
      <c r="O68" s="4">
        <v>0</v>
      </c>
      <c r="P68" s="4">
        <v>0</v>
      </c>
      <c r="Q68" s="32">
        <f t="shared" si="153"/>
        <v>-40</v>
      </c>
      <c r="R68" s="32"/>
      <c r="S68" s="4">
        <v>-1292.4380000000001</v>
      </c>
      <c r="T68" s="4">
        <f>-1292.438-S68</f>
        <v>0</v>
      </c>
      <c r="U68" s="4">
        <f>-1292.438-T68-S68</f>
        <v>0</v>
      </c>
      <c r="V68" s="32">
        <f t="shared" si="154"/>
        <v>-2883.808</v>
      </c>
      <c r="W68" s="4">
        <f>-1184.02-562.036</f>
        <v>-1746.056</v>
      </c>
      <c r="X68" s="4">
        <f>-1184.02-1541.181-W68</f>
        <v>-979.14499999999998</v>
      </c>
      <c r="Y68" s="4">
        <f>-1184.02-1541.18-X68-W68</f>
        <v>1.0000000002037268E-3</v>
      </c>
      <c r="Z68" s="32">
        <f t="shared" si="155"/>
        <v>-1154.2560000000003</v>
      </c>
      <c r="AA68" s="4">
        <v>-1294.375</v>
      </c>
      <c r="AB68" s="4">
        <f>-1294.375-1094.096-AA68</f>
        <v>-1094.096</v>
      </c>
      <c r="AC68" s="4">
        <f>-2091.551-1385.75-AB68-AA68</f>
        <v>-1088.83</v>
      </c>
      <c r="AD68" s="32">
        <f>F68-AA68-AB68-AC68</f>
        <v>797.17599999999993</v>
      </c>
      <c r="AE68" s="4">
        <f>-1330.001-195.597</f>
        <v>-1525.598</v>
      </c>
      <c r="AF68" s="4">
        <f>-1324.063-195.597-AE68</f>
        <v>5.9379999999998745</v>
      </c>
      <c r="AG68" s="4">
        <f>-1324.063-195.597-AF68-AE68</f>
        <v>0</v>
      </c>
      <c r="AH68" s="32">
        <f>H68-AE68-AF68-AG68</f>
        <v>0</v>
      </c>
      <c r="AI68" s="4">
        <v>-50.5</v>
      </c>
      <c r="AJ68" s="4">
        <f>-50.5-AI68</f>
        <v>0</v>
      </c>
      <c r="AK68" s="4">
        <f>-113.5-AJ68-AI68</f>
        <v>-63</v>
      </c>
      <c r="AL68" s="32">
        <f>I68-AI68-AJ68-AK68</f>
        <v>-324.654</v>
      </c>
      <c r="AM68" s="4">
        <f>-596.242</f>
        <v>-596.24199999999996</v>
      </c>
      <c r="AN68" s="4">
        <f>-646.242-AM68</f>
        <v>-50</v>
      </c>
      <c r="AO68" s="4">
        <f>-1002.36-AN68-AM68</f>
        <v>-356.11800000000005</v>
      </c>
      <c r="AP68" s="32">
        <f>K68-AM68-AN68-AO68</f>
        <v>-275.20799999999997</v>
      </c>
      <c r="AQ68" s="4">
        <f>-823.712</f>
        <v>-823.71199999999999</v>
      </c>
      <c r="AR68" s="4">
        <f>-910.936-AQ68</f>
        <v>-87.224000000000046</v>
      </c>
      <c r="AS68" s="4">
        <f>-1097.255-AR68-AQ68</f>
        <v>-186.31900000000007</v>
      </c>
      <c r="AT68" s="32">
        <f>M68-AQ68-AR68-AS68</f>
        <v>-99.826999999999998</v>
      </c>
      <c r="AU68" s="4">
        <v>0</v>
      </c>
      <c r="AV68" s="4">
        <f>0-AU68</f>
        <v>0</v>
      </c>
      <c r="AW68" s="4">
        <f>0-AV68-AU68</f>
        <v>0</v>
      </c>
      <c r="AX68" s="32">
        <f t="shared" si="156"/>
        <v>0</v>
      </c>
      <c r="AY68" s="4">
        <v>0</v>
      </c>
      <c r="AZ68" s="4">
        <f>0-AY68</f>
        <v>0</v>
      </c>
      <c r="BA68" s="4">
        <f>0-AZ68-AY68</f>
        <v>0</v>
      </c>
      <c r="BB68" s="32">
        <f t="shared" si="157"/>
        <v>0</v>
      </c>
      <c r="BC68" s="4">
        <v>-40</v>
      </c>
      <c r="BD68" s="276"/>
      <c r="BE68" s="276"/>
      <c r="BF68" s="276"/>
      <c r="BG68" s="276"/>
      <c r="BH68" s="276"/>
    </row>
    <row r="69" spans="1:66" ht="13.5" customHeight="1">
      <c r="B69" s="6" t="s">
        <v>345</v>
      </c>
      <c r="C69" s="4">
        <f>-1084.192+47.2</f>
        <v>-1036.992</v>
      </c>
      <c r="D69" s="4">
        <f>-1084.192+136</f>
        <v>-948.19200000000001</v>
      </c>
      <c r="E69" s="4">
        <v>-1068.8679999999999</v>
      </c>
      <c r="F69" s="4">
        <f>-1066.187+772.4</f>
        <v>-293.78699999999992</v>
      </c>
      <c r="G69" s="4">
        <f>-1066.187+772.4-1594.629</f>
        <v>-1888.4159999999997</v>
      </c>
      <c r="H69" s="4">
        <f>0-1420.477</f>
        <v>-1420.4770000000001</v>
      </c>
      <c r="I69" s="4">
        <v>-1053.3920000000001</v>
      </c>
      <c r="J69" s="4">
        <v>-1053.3920000000001</v>
      </c>
      <c r="K69" s="4">
        <v>-1053.3920000000001</v>
      </c>
      <c r="L69" s="4">
        <v>-1053.3920000000001</v>
      </c>
      <c r="M69" s="4">
        <v>-1027.354</v>
      </c>
      <c r="N69" s="4">
        <v>-1027.354</v>
      </c>
      <c r="O69" s="4">
        <v>-1018.954</v>
      </c>
      <c r="P69" s="4">
        <v>-1018.954</v>
      </c>
      <c r="Q69" s="32">
        <f t="shared" si="153"/>
        <v>-1018.954</v>
      </c>
      <c r="R69" s="32"/>
      <c r="S69" s="4">
        <v>0</v>
      </c>
      <c r="T69" s="4">
        <f>-1084.192-S69</f>
        <v>-1084.192</v>
      </c>
      <c r="U69" s="4">
        <f>-1084.192-T69-S69</f>
        <v>0</v>
      </c>
      <c r="V69" s="32">
        <f t="shared" si="154"/>
        <v>136</v>
      </c>
      <c r="W69" s="4">
        <v>0</v>
      </c>
      <c r="X69" s="4">
        <f>-1068.868-W69</f>
        <v>-1068.8679999999999</v>
      </c>
      <c r="Y69" s="4">
        <f>-1068.868-X69-W69</f>
        <v>0</v>
      </c>
      <c r="Z69" s="32">
        <f t="shared" si="155"/>
        <v>0</v>
      </c>
      <c r="AA69" s="4">
        <v>0</v>
      </c>
      <c r="AB69" s="4">
        <f>-1066.187+452.4-AA69</f>
        <v>-613.78699999999992</v>
      </c>
      <c r="AC69" s="4">
        <f>-1066.187+452.4-AB69-AA69</f>
        <v>0</v>
      </c>
      <c r="AD69" s="32">
        <f>F69-AA69-AB69-AC69</f>
        <v>320</v>
      </c>
      <c r="AE69" s="4">
        <v>0</v>
      </c>
      <c r="AF69" s="4">
        <v>0</v>
      </c>
      <c r="AG69" s="4">
        <f>285.669-AF69-AE69</f>
        <v>285.66899999999998</v>
      </c>
      <c r="AH69" s="32">
        <f>H69-AE69-AF69-AG69</f>
        <v>-1706.1460000000002</v>
      </c>
      <c r="AI69" s="4">
        <v>0</v>
      </c>
      <c r="AJ69" s="4">
        <f>-1053.392-AI69</f>
        <v>-1053.3920000000001</v>
      </c>
      <c r="AK69" s="4">
        <f>-1053.392-AJ69-AI69</f>
        <v>0</v>
      </c>
      <c r="AL69" s="32">
        <f>I69-AI69-AJ69-AK69</f>
        <v>0</v>
      </c>
      <c r="AM69" s="4">
        <v>0</v>
      </c>
      <c r="AN69" s="4">
        <f>-1053.392-AM69</f>
        <v>-1053.3920000000001</v>
      </c>
      <c r="AO69" s="4">
        <f>-1053.392-AN69-AM69</f>
        <v>0</v>
      </c>
      <c r="AP69" s="32">
        <f>K69-AM69-AN69-AO69</f>
        <v>0</v>
      </c>
      <c r="AQ69" s="4">
        <v>0</v>
      </c>
      <c r="AR69" s="4">
        <f>-1027.354-AQ69</f>
        <v>-1027.354</v>
      </c>
      <c r="AS69" s="4">
        <f>-1027.354-AR69-AQ69</f>
        <v>0</v>
      </c>
      <c r="AT69" s="32">
        <f>M69-AQ69-AR69-AS69</f>
        <v>0</v>
      </c>
      <c r="AU69" s="4">
        <v>0</v>
      </c>
      <c r="AV69" s="4">
        <f>-1018.954-AU69</f>
        <v>-1018.954</v>
      </c>
      <c r="AW69" s="4">
        <f>-1018.954-AV69-AU69</f>
        <v>0</v>
      </c>
      <c r="AX69" s="32">
        <f t="shared" si="156"/>
        <v>0</v>
      </c>
      <c r="AY69" s="4">
        <v>0</v>
      </c>
      <c r="AZ69" s="4">
        <f>-1018.954-AY69</f>
        <v>-1018.954</v>
      </c>
      <c r="BA69" s="4">
        <f>-1018.954-AZ69-AY69</f>
        <v>0</v>
      </c>
      <c r="BB69" s="32">
        <f t="shared" si="157"/>
        <v>0</v>
      </c>
      <c r="BC69" s="4">
        <v>0</v>
      </c>
      <c r="BD69" s="276"/>
      <c r="BE69" s="276"/>
      <c r="BF69" s="276"/>
      <c r="BG69" s="276"/>
      <c r="BH69" s="276"/>
    </row>
    <row r="70" spans="1:66" ht="13.5" customHeight="1">
      <c r="B70" s="6" t="s">
        <v>346</v>
      </c>
      <c r="C70" s="4">
        <f>-3622.6-329.064+5728.498</f>
        <v>1776.8339999999998</v>
      </c>
      <c r="D70" s="4">
        <f>-11252.655-569.711+10449.958</f>
        <v>-1372.4079999999994</v>
      </c>
      <c r="E70" s="4">
        <f>-307.489-540.448</f>
        <v>-847.9369999999999</v>
      </c>
      <c r="F70" s="4">
        <f>23880.911-21989.156-793.25-981.275</f>
        <v>117.23000000000104</v>
      </c>
      <c r="G70" s="4">
        <f>10000-989.156+14247.544-21000-559.623</f>
        <v>1698.764999999999</v>
      </c>
      <c r="H70" s="4">
        <f>-492.489-2750-668.277</f>
        <v>-3910.7660000000001</v>
      </c>
      <c r="I70" s="4">
        <f>-646.527+2650-1992.489</f>
        <v>10.983999999999924</v>
      </c>
      <c r="J70" s="4">
        <f>-646.527+2650-1992.489-1082.226</f>
        <v>-1071.2420000000002</v>
      </c>
      <c r="K70" s="4">
        <f>-16099.582-610.403-699-991.048</f>
        <v>-18400.032999999999</v>
      </c>
      <c r="L70" s="4">
        <f>-10099.581-6000-610.403-1690.311</f>
        <v>-18400.295000000002</v>
      </c>
      <c r="M70" s="4">
        <f>-4899.89-1000-660.645-1132.957</f>
        <v>-7693.4920000000002</v>
      </c>
      <c r="N70" s="4">
        <f>-4718.25-181.731+400-1400-1793.602-86-195.055</f>
        <v>-7974.6379999999999</v>
      </c>
      <c r="O70" s="4">
        <f>-10000+10000-1567.3</f>
        <v>-1567.3</v>
      </c>
      <c r="P70" s="4">
        <f>-3906.655-2650-732-1077.67</f>
        <v>-8366.3250000000007</v>
      </c>
      <c r="Q70" s="32">
        <f t="shared" si="153"/>
        <v>-7699.098</v>
      </c>
      <c r="R70" s="32"/>
      <c r="S70" s="4">
        <f>-16.249-107.694</f>
        <v>-123.943</v>
      </c>
      <c r="T70" s="4">
        <f>-72.914-236.058-S70</f>
        <v>-185.029</v>
      </c>
      <c r="U70" s="4">
        <f>-774.787-450.509-T70-S70</f>
        <v>-916.32400000000007</v>
      </c>
      <c r="V70" s="32">
        <f t="shared" si="154"/>
        <v>-147.1119999999994</v>
      </c>
      <c r="W70" s="4">
        <f>-76.872-101.634</f>
        <v>-178.506</v>
      </c>
      <c r="X70" s="4">
        <f>-153.744-216.318-W70</f>
        <v>-191.55600000000001</v>
      </c>
      <c r="Y70" s="4">
        <f>-230.617-334.638-X70-W70</f>
        <v>-195.19299999999996</v>
      </c>
      <c r="Z70" s="32">
        <f t="shared" si="155"/>
        <v>-282.6819999999999</v>
      </c>
      <c r="AA70" s="4">
        <f>-76.872-114.746-210.932</f>
        <v>-402.54999999999995</v>
      </c>
      <c r="AB70" s="4">
        <f>14006.712-317.911-413.531-419.432-AA70</f>
        <v>13258.387999999997</v>
      </c>
      <c r="AC70" s="4">
        <f>24006.712-11928.534-692.66-612.887-AB70-AA70</f>
        <v>-2083.2069999999976</v>
      </c>
      <c r="AD70" s="32">
        <f>F70-AA70-AB70-AC70</f>
        <v>-10655.400999999998</v>
      </c>
      <c r="AE70" s="4">
        <f>14770.594-60.522-105.872-232.987</f>
        <v>14371.213</v>
      </c>
      <c r="AF70" s="4">
        <f>14770.695-371.245-227.362-484.117-AE70</f>
        <v>-683.24200000000019</v>
      </c>
      <c r="AG70" s="4">
        <f>14770.695-3181.867-470.009-717.984-AF70-AE70</f>
        <v>-3287.1360000000004</v>
      </c>
      <c r="AH70" s="32">
        <f>H70-AE70-AF70-AG70</f>
        <v>-14311.601000000001</v>
      </c>
      <c r="AI70" s="4">
        <f>-60.622-231-186.412</f>
        <v>-478.03399999999999</v>
      </c>
      <c r="AJ70" s="4">
        <f>-121.284-326.376-378.002-AI70</f>
        <v>-347.62800000000004</v>
      </c>
      <c r="AK70" s="4">
        <f>-181.782-476.901-581.148-AJ70-AI70</f>
        <v>-414.1690000000001</v>
      </c>
      <c r="AL70" s="32">
        <f>I70-AI70-AJ70-AK70</f>
        <v>1250.8150000000001</v>
      </c>
      <c r="AM70" s="4">
        <f>-60.622-169.57-222.622+10177.58</f>
        <v>9724.7659999999996</v>
      </c>
      <c r="AN70" s="4">
        <f>10177.581-610.403-326.719-455.89-AM70</f>
        <v>-940.1969999999983</v>
      </c>
      <c r="AO70" s="4">
        <f>16099.99-610.403-528.743-746.994-AN70-AM70</f>
        <v>5429.2809999999972</v>
      </c>
      <c r="AP70" s="32">
        <f>K70-AM70-AN70-AO70</f>
        <v>-32613.882999999994</v>
      </c>
      <c r="AQ70" s="4">
        <f>387.564-1000-174-255.639</f>
        <v>-1042.0749999999998</v>
      </c>
      <c r="AR70" s="4">
        <f>370.621-1000-328.269-550.046-AQ70</f>
        <v>-465.61900000000014</v>
      </c>
      <c r="AS70" s="4">
        <f>4499.981-1000-499.378-842.196-AR70-AQ70</f>
        <v>3666.1009999999997</v>
      </c>
      <c r="AT70" s="32">
        <f>M70-AQ70-AR70-AS70</f>
        <v>-9851.8990000000013</v>
      </c>
      <c r="AU70" s="4">
        <f>-145.751-218.134</f>
        <v>-363.88499999999999</v>
      </c>
      <c r="AV70" s="4">
        <f>-10000+10000-328.241-435.412-AU70</f>
        <v>-399.76800000000003</v>
      </c>
      <c r="AW70" s="4">
        <f>10000-10000-504.241-642.804-AV70-AU70</f>
        <v>-383.39200000000005</v>
      </c>
      <c r="AX70" s="32">
        <f t="shared" si="156"/>
        <v>-420.25499999999988</v>
      </c>
      <c r="AY70" s="4">
        <f>-4579.473-175.113-210.487</f>
        <v>-4965.0730000000003</v>
      </c>
      <c r="AZ70" s="4">
        <f>-3994.932-2650-365-428.902-AY70</f>
        <v>-2473.7609999999995</v>
      </c>
      <c r="BA70" s="4">
        <f>-3906.654-2650-545.5-679.553-AZ70-AY70</f>
        <v>-342.8730000000005</v>
      </c>
      <c r="BB70" s="32">
        <f t="shared" si="157"/>
        <v>-584.61800000000039</v>
      </c>
      <c r="BC70" s="4">
        <f>-3673.863-172-451.983</f>
        <v>-4297.8459999999995</v>
      </c>
      <c r="BD70" s="276"/>
      <c r="BE70" s="276"/>
      <c r="BF70" s="276"/>
      <c r="BG70" s="276"/>
      <c r="BH70" s="276"/>
    </row>
    <row r="71" spans="1:66" ht="13.5" customHeight="1">
      <c r="B71" s="6" t="s">
        <v>347</v>
      </c>
      <c r="C71" s="4">
        <v>-671.10400000000004</v>
      </c>
      <c r="D71" s="4">
        <v>-975.61099999999999</v>
      </c>
      <c r="E71" s="4">
        <v>-579.34900000000005</v>
      </c>
      <c r="F71" s="4">
        <v>-2190.6750000000002</v>
      </c>
      <c r="G71" s="4">
        <f>-883.533-596.046</f>
        <v>-1479.5790000000002</v>
      </c>
      <c r="H71" s="4">
        <f>-953.771+1261.845-197</f>
        <v>111.07400000000007</v>
      </c>
      <c r="I71" s="4">
        <f>-1082.226-3021.618</f>
        <v>-4103.8440000000001</v>
      </c>
      <c r="J71" s="4">
        <f>-3021.618</f>
        <v>-3021.6179999999999</v>
      </c>
      <c r="K71" s="4">
        <f>-145.131</f>
        <v>-145.131</v>
      </c>
      <c r="L71" s="4">
        <f>-648.242-145.131</f>
        <v>-793.37299999999993</v>
      </c>
      <c r="M71" s="4">
        <v>-195.05500000000001</v>
      </c>
      <c r="N71" s="4">
        <v>-195.05500000000001</v>
      </c>
      <c r="O71" s="4">
        <f>-132.572+747.746</f>
        <v>615.17399999999998</v>
      </c>
      <c r="P71" s="4">
        <f>-16321.246-SUM(P70,P69,P68,P60)</f>
        <v>-119.96699999999873</v>
      </c>
      <c r="Q71" s="32">
        <f t="shared" si="153"/>
        <v>-1314.8259999999991</v>
      </c>
      <c r="R71" s="32"/>
      <c r="S71" s="4">
        <v>-3795.2510000000002</v>
      </c>
      <c r="T71" s="4">
        <f>-7299.003-S71</f>
        <v>-3503.7519999999995</v>
      </c>
      <c r="U71" s="4">
        <f>-515.298-T71-S71</f>
        <v>6783.7049999999999</v>
      </c>
      <c r="V71" s="32">
        <f t="shared" si="154"/>
        <v>-460.3130000000001</v>
      </c>
      <c r="W71" s="4">
        <v>-5.25</v>
      </c>
      <c r="X71" s="4">
        <f>-965.911-W71</f>
        <v>-960.66099999999994</v>
      </c>
      <c r="Y71" s="4">
        <f>-952.377-X71-W71</f>
        <v>13.533999999999992</v>
      </c>
      <c r="Z71" s="32">
        <f t="shared" si="155"/>
        <v>373.02799999999991</v>
      </c>
      <c r="AA71" s="4">
        <v>-1585.479</v>
      </c>
      <c r="AB71" s="4">
        <f>-1823.025-AA71</f>
        <v>-237.54600000000005</v>
      </c>
      <c r="AC71" s="4">
        <f>-1938.058-AB71-AA71</f>
        <v>-115.0329999999999</v>
      </c>
      <c r="AD71" s="32">
        <f>F71-AA71-AB71-AC71</f>
        <v>-252.61700000000019</v>
      </c>
      <c r="AE71" s="4">
        <v>50.933999999999997</v>
      </c>
      <c r="AF71" s="4">
        <f>697.001-AE71</f>
        <v>646.06700000000001</v>
      </c>
      <c r="AG71" s="4">
        <f>221.855-AF71-AE71</f>
        <v>-475.14599999999996</v>
      </c>
      <c r="AH71" s="32">
        <f>H71-AE71-AF71-AG71</f>
        <v>-110.78099999999995</v>
      </c>
      <c r="AI71" s="4">
        <v>-745.59299999999996</v>
      </c>
      <c r="AJ71" s="4">
        <f>-1433.168-AI71</f>
        <v>-687.57499999999993</v>
      </c>
      <c r="AK71" s="4">
        <f>-2557.2-AJ71-AI71</f>
        <v>-1124.0320000000002</v>
      </c>
      <c r="AL71" s="32">
        <f>I71-AI71-AJ71-AK71</f>
        <v>-1546.6440000000002</v>
      </c>
      <c r="AM71" s="4">
        <v>-219.03100000000001</v>
      </c>
      <c r="AN71" s="4">
        <f>-246.02-AM71</f>
        <v>-26.989000000000004</v>
      </c>
      <c r="AO71" s="4">
        <f>-189.182-AN71-AM71</f>
        <v>56.838000000000022</v>
      </c>
      <c r="AP71" s="32">
        <f>K71-AM71-AN71-AO71</f>
        <v>44.050999999999988</v>
      </c>
      <c r="AQ71" s="4">
        <v>-68.47</v>
      </c>
      <c r="AR71" s="4">
        <f>-238.307-AQ71</f>
        <v>-169.83699999999999</v>
      </c>
      <c r="AS71" s="4">
        <f>-314.83-AR71-AQ71</f>
        <v>-76.522999999999996</v>
      </c>
      <c r="AT71" s="32">
        <f>M71-AQ71-AR71-AS71</f>
        <v>119.77499999999998</v>
      </c>
      <c r="AU71" s="4">
        <v>119.82</v>
      </c>
      <c r="AV71" s="4">
        <f>249.759-AU71</f>
        <v>129.93899999999999</v>
      </c>
      <c r="AW71" s="4">
        <f>464.523-AV71-AU71</f>
        <v>214.76400000000007</v>
      </c>
      <c r="AX71" s="32">
        <f t="shared" si="156"/>
        <v>150.65099999999995</v>
      </c>
      <c r="AY71" s="4">
        <v>738.97400000000005</v>
      </c>
      <c r="AZ71" s="4">
        <f>688.93-AY71</f>
        <v>-50.044000000000096</v>
      </c>
      <c r="BA71" s="4">
        <f>612.12-AZ71-AY71</f>
        <v>-76.809999999999945</v>
      </c>
      <c r="BB71" s="32">
        <f t="shared" si="157"/>
        <v>-732.08699999999874</v>
      </c>
      <c r="BC71" s="4">
        <f>-6426.731-SUM(BC70,BC69,BC68,BC60)</f>
        <v>-455.88500000000022</v>
      </c>
      <c r="BD71" s="276"/>
      <c r="BE71" s="276"/>
      <c r="BF71" s="276"/>
      <c r="BG71" s="276"/>
      <c r="BH71" s="276"/>
    </row>
    <row r="72" spans="1:66" ht="13.5" customHeight="1">
      <c r="B72" s="6" t="s">
        <v>348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32">
        <f t="shared" si="153"/>
        <v>0</v>
      </c>
      <c r="R72" s="32"/>
      <c r="S72" s="4">
        <v>0</v>
      </c>
      <c r="T72" s="4">
        <f>-S72</f>
        <v>0</v>
      </c>
      <c r="U72" s="4">
        <f>-T72-S72</f>
        <v>0</v>
      </c>
      <c r="V72" s="32">
        <f t="shared" si="154"/>
        <v>0</v>
      </c>
      <c r="W72" s="4">
        <v>0</v>
      </c>
      <c r="X72" s="4">
        <f>-W72</f>
        <v>0</v>
      </c>
      <c r="Y72" s="4">
        <f>-X72-W72</f>
        <v>0</v>
      </c>
      <c r="Z72" s="32">
        <f t="shared" si="155"/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f>0-AI72</f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32">
        <f t="shared" si="156"/>
        <v>0</v>
      </c>
      <c r="AY72" s="4">
        <v>0</v>
      </c>
      <c r="AZ72" s="4">
        <v>0</v>
      </c>
      <c r="BA72" s="4">
        <v>0</v>
      </c>
      <c r="BB72" s="32">
        <f t="shared" si="157"/>
        <v>0</v>
      </c>
      <c r="BC72" s="4">
        <v>0</v>
      </c>
      <c r="BD72" s="4"/>
      <c r="BE72" s="276"/>
      <c r="BF72" s="276"/>
      <c r="BG72" s="276"/>
      <c r="BH72" s="276"/>
    </row>
    <row r="73" spans="1:66" s="5" customFormat="1" ht="13.5" customHeight="1">
      <c r="B73" s="14" t="s">
        <v>349</v>
      </c>
      <c r="C73" s="7">
        <f t="shared" ref="C73:H73" si="158">SUM(C66:C72)</f>
        <v>-9946.3969999999936</v>
      </c>
      <c r="D73" s="7">
        <f t="shared" si="158"/>
        <v>-11325.809999999983</v>
      </c>
      <c r="E73" s="7">
        <f t="shared" si="158"/>
        <v>-10758.506999999989</v>
      </c>
      <c r="F73" s="7">
        <f t="shared" si="158"/>
        <v>-6901.394000000003</v>
      </c>
      <c r="G73" s="7">
        <f t="shared" si="158"/>
        <v>-7724.148000000001</v>
      </c>
      <c r="H73" s="7">
        <f t="shared" si="158"/>
        <v>-3569.0839999999903</v>
      </c>
      <c r="I73" s="7">
        <f t="shared" ref="I73:Q73" si="159">SUM(I66:I72)</f>
        <v>-4831.5590000000002</v>
      </c>
      <c r="J73" s="7">
        <f t="shared" si="159"/>
        <v>-17045.924000000006</v>
      </c>
      <c r="K73" s="7">
        <f t="shared" si="159"/>
        <v>23135.970000000012</v>
      </c>
      <c r="L73" s="7">
        <f t="shared" si="159"/>
        <v>28331.740999999991</v>
      </c>
      <c r="M73" s="7">
        <f t="shared" si="159"/>
        <v>-18527.536000000007</v>
      </c>
      <c r="N73" s="7">
        <f t="shared" si="159"/>
        <v>-18070.86900000001</v>
      </c>
      <c r="O73" s="7">
        <f t="shared" si="159"/>
        <v>4501.656999999992</v>
      </c>
      <c r="P73" s="7">
        <f>SUM(P66:P72)</f>
        <v>-8421.148000000001</v>
      </c>
      <c r="Q73" s="7">
        <f t="shared" si="159"/>
        <v>-8515.3979999999992</v>
      </c>
      <c r="R73" s="32"/>
      <c r="S73" s="7">
        <f t="shared" ref="S73:Z73" si="160">SUM(S66:S72)</f>
        <v>-5759.546000000003</v>
      </c>
      <c r="T73" s="7">
        <f t="shared" si="160"/>
        <v>-6814.2869999999994</v>
      </c>
      <c r="U73" s="7">
        <f t="shared" si="160"/>
        <v>3455.8699999999963</v>
      </c>
      <c r="V73" s="7">
        <f t="shared" si="160"/>
        <v>-2207.8469999999988</v>
      </c>
      <c r="W73" s="7">
        <f t="shared" si="160"/>
        <v>-784.19199999999967</v>
      </c>
      <c r="X73" s="7">
        <f t="shared" si="160"/>
        <v>3971.3129999999992</v>
      </c>
      <c r="Y73" s="7">
        <f t="shared" si="160"/>
        <v>-1773.1819999999998</v>
      </c>
      <c r="Z73" s="7">
        <f t="shared" si="160"/>
        <v>-12172.445999999994</v>
      </c>
      <c r="AA73" s="7">
        <f t="shared" ref="AA73:AF73" si="161">SUM(AA66:AA72)</f>
        <v>-9370.237000000001</v>
      </c>
      <c r="AB73" s="7">
        <f t="shared" si="161"/>
        <v>13359.184999999999</v>
      </c>
      <c r="AC73" s="7">
        <f t="shared" si="161"/>
        <v>-390.41599999999562</v>
      </c>
      <c r="AD73" s="7">
        <f t="shared" si="161"/>
        <v>-10499.926000000005</v>
      </c>
      <c r="AE73" s="7">
        <f t="shared" si="161"/>
        <v>13232.539999999997</v>
      </c>
      <c r="AF73" s="7">
        <f t="shared" si="161"/>
        <v>492.60800000000177</v>
      </c>
      <c r="AG73" s="7">
        <f t="shared" ref="AG73:AL73" si="162">SUM(AG66:AG72)</f>
        <v>-364.64900000000011</v>
      </c>
      <c r="AH73" s="7">
        <f t="shared" si="162"/>
        <v>-16929.582999999991</v>
      </c>
      <c r="AI73" s="7">
        <f t="shared" si="162"/>
        <v>-965.89599999999655</v>
      </c>
      <c r="AJ73" s="7">
        <f t="shared" si="162"/>
        <v>-2938.5629999999996</v>
      </c>
      <c r="AK73" s="7">
        <f t="shared" si="162"/>
        <v>-4946.940999999998</v>
      </c>
      <c r="AL73" s="7">
        <f t="shared" si="162"/>
        <v>4019.8410000000076</v>
      </c>
      <c r="AM73" s="7">
        <f t="shared" ref="AM73:AR73" si="163">SUM(AM66:AM72)</f>
        <v>93793.629000000001</v>
      </c>
      <c r="AN73" s="7">
        <f t="shared" si="163"/>
        <v>-41788.519</v>
      </c>
      <c r="AO73" s="7">
        <f t="shared" si="163"/>
        <v>6019.0409999999983</v>
      </c>
      <c r="AP73" s="7">
        <f t="shared" si="163"/>
        <v>-34888.18099999999</v>
      </c>
      <c r="AQ73" s="7">
        <f t="shared" si="163"/>
        <v>-5788.5189999999975</v>
      </c>
      <c r="AR73" s="7">
        <f t="shared" si="163"/>
        <v>11947.444000000001</v>
      </c>
      <c r="AS73" s="7">
        <f t="shared" ref="AS73:AX73" si="164">SUM(AS66:AS72)</f>
        <v>-14321.052000000005</v>
      </c>
      <c r="AT73" s="7">
        <f t="shared" si="164"/>
        <v>-10365.409000000005</v>
      </c>
      <c r="AU73" s="7">
        <f t="shared" si="164"/>
        <v>-614.43800000000056</v>
      </c>
      <c r="AV73" s="7">
        <f t="shared" si="164"/>
        <v>873.56899999999939</v>
      </c>
      <c r="AW73" s="7">
        <f t="shared" si="164"/>
        <v>1990.5260000000001</v>
      </c>
      <c r="AX73" s="7">
        <f t="shared" si="164"/>
        <v>2251.9999999999982</v>
      </c>
      <c r="AY73" s="7">
        <f>SUM(AY66:AY72)</f>
        <v>-3119.1109999999994</v>
      </c>
      <c r="AZ73" s="7">
        <f>SUM(AZ66:AZ72)</f>
        <v>-3862.0640000000021</v>
      </c>
      <c r="BA73" s="7">
        <f>SUM(BA66:BA72)</f>
        <v>-21.234000000000265</v>
      </c>
      <c r="BB73" s="7">
        <f>SUM(BB66:BB72)</f>
        <v>-1418.7390000000005</v>
      </c>
      <c r="BC73" s="7">
        <f>SUM(BC66:BC72)</f>
        <v>-3213.3610000000003</v>
      </c>
      <c r="BD73" s="7"/>
      <c r="BE73" s="276"/>
      <c r="BF73" s="276"/>
      <c r="BG73" s="276"/>
      <c r="BH73" s="276"/>
      <c r="BI73" s="1"/>
      <c r="BJ73" s="1"/>
      <c r="BK73" s="1"/>
      <c r="BL73" s="1"/>
      <c r="BM73" s="1"/>
      <c r="BN73" s="1"/>
    </row>
    <row r="74" spans="1:66" ht="13.5" customHeight="1">
      <c r="A74" s="87"/>
      <c r="B74" s="6" t="s">
        <v>350</v>
      </c>
      <c r="C74" s="62">
        <v>483.38799999999998</v>
      </c>
      <c r="D74" s="62">
        <v>-110.447</v>
      </c>
      <c r="E74" s="62">
        <v>21.995000000000001</v>
      </c>
      <c r="F74" s="62">
        <v>-60.448999999999998</v>
      </c>
      <c r="G74" s="62">
        <v>-60.448999999999998</v>
      </c>
      <c r="H74" s="62">
        <v>-11.516</v>
      </c>
      <c r="I74" s="62">
        <v>23.54</v>
      </c>
      <c r="J74" s="62">
        <v>23.54</v>
      </c>
      <c r="K74" s="62">
        <f>-100.344</f>
        <v>-100.34399999999999</v>
      </c>
      <c r="L74" s="62">
        <f>-100.344</f>
        <v>-100.34399999999999</v>
      </c>
      <c r="M74" s="62">
        <f>-234.637</f>
        <v>-234.637</v>
      </c>
      <c r="N74" s="62">
        <v>-234.637</v>
      </c>
      <c r="O74" s="62">
        <v>148.28899999999999</v>
      </c>
      <c r="P74" s="62">
        <v>-66.998999999999995</v>
      </c>
      <c r="Q74" s="32">
        <f t="shared" si="153"/>
        <v>4.4510000000000076</v>
      </c>
      <c r="R74" s="32"/>
      <c r="S74" s="123">
        <v>-333.66699999999997</v>
      </c>
      <c r="T74" s="62">
        <f>-218.723-S74</f>
        <v>114.94399999999996</v>
      </c>
      <c r="U74" s="62">
        <f>-217.837-T74-S74</f>
        <v>0.8860000000000241</v>
      </c>
      <c r="V74" s="32">
        <f>+IFERROR(D74-S74-T74-U74,"NA")</f>
        <v>107.38999999999999</v>
      </c>
      <c r="W74" s="123">
        <v>-147.673</v>
      </c>
      <c r="X74" s="62">
        <f>-2.686-W74</f>
        <v>144.98699999999999</v>
      </c>
      <c r="Y74" s="62">
        <f>-102.619-X74-W74</f>
        <v>-99.932999999999993</v>
      </c>
      <c r="Z74" s="32">
        <f>E74-Y74-X74-W74</f>
        <v>124.614</v>
      </c>
      <c r="AA74" s="123">
        <v>-15.58</v>
      </c>
      <c r="AB74" s="62">
        <f>-33.905-AA74</f>
        <v>-18.325000000000003</v>
      </c>
      <c r="AC74" s="123">
        <f>3.994-AB74-AA74</f>
        <v>37.899000000000001</v>
      </c>
      <c r="AD74" s="32">
        <f>F74-AA74-AB74-AC74</f>
        <v>-64.442999999999998</v>
      </c>
      <c r="AE74" s="123">
        <v>378.59800000000001</v>
      </c>
      <c r="AF74" s="123">
        <f>232.447-AE74</f>
        <v>-146.15100000000001</v>
      </c>
      <c r="AG74" s="123">
        <f>197.018-AF74-AE74</f>
        <v>-35.42900000000003</v>
      </c>
      <c r="AH74" s="32">
        <f>H74-AE74-AF74-AG74</f>
        <v>-208.53399999999999</v>
      </c>
      <c r="AI74" s="123">
        <v>32.573</v>
      </c>
      <c r="AJ74" s="123">
        <f>4.524-AI74</f>
        <v>-28.048999999999999</v>
      </c>
      <c r="AK74" s="123">
        <f>31.568-AJ74-AI74</f>
        <v>27.044000000000004</v>
      </c>
      <c r="AL74" s="32">
        <f>I74-AI74-AJ74-AK74</f>
        <v>-8.0280000000000058</v>
      </c>
      <c r="AM74" s="62">
        <v>-44.274000000000001</v>
      </c>
      <c r="AN74" s="123">
        <f>-37.193-AM74</f>
        <v>7.0810000000000031</v>
      </c>
      <c r="AO74" s="123">
        <f>-45.323-AN74-AM74</f>
        <v>-8.1300000000000026</v>
      </c>
      <c r="AP74" s="32">
        <f>K74-AM74-AN74-AO74</f>
        <v>-55.020999999999994</v>
      </c>
      <c r="AQ74" s="62">
        <v>-104.443</v>
      </c>
      <c r="AR74" s="123">
        <f>-169.199-AQ74</f>
        <v>-64.756000000000014</v>
      </c>
      <c r="AS74" s="123">
        <f>-147.923-AR74-AQ74</f>
        <v>21.27600000000001</v>
      </c>
      <c r="AT74" s="32">
        <f>M74-AQ74-AR74-AS74</f>
        <v>-86.714000000000013</v>
      </c>
      <c r="AU74" s="62">
        <v>-19.065999999999999</v>
      </c>
      <c r="AV74" s="123">
        <f>81.436-AU74</f>
        <v>100.50200000000001</v>
      </c>
      <c r="AW74" s="123">
        <f>98.08-AV74-AU74</f>
        <v>16.643999999999988</v>
      </c>
      <c r="AX74" s="32">
        <f>O74-SUM(AU74:AW74)</f>
        <v>50.208999999999989</v>
      </c>
      <c r="AY74" s="62">
        <v>-35.298000000000002</v>
      </c>
      <c r="AZ74" s="123">
        <f>-64.536-AY74</f>
        <v>-29.238</v>
      </c>
      <c r="BA74" s="123">
        <f>-79.565-AZ74-AY74</f>
        <v>-15.028999999999996</v>
      </c>
      <c r="BB74" s="32">
        <f>P74-SUM(AY74:BA74)</f>
        <v>12.566000000000003</v>
      </c>
      <c r="BC74" s="62">
        <v>36.152000000000001</v>
      </c>
      <c r="BD74" s="276"/>
      <c r="BE74" s="276"/>
      <c r="BF74" s="276"/>
      <c r="BG74" s="276"/>
      <c r="BH74" s="276"/>
    </row>
    <row r="75" spans="1:66" ht="13.5" customHeight="1">
      <c r="B75" s="6" t="s">
        <v>351</v>
      </c>
      <c r="C75" s="4">
        <f>-1851.043-C74-C73</f>
        <v>7611.9659999999931</v>
      </c>
      <c r="D75" s="4">
        <f>-8811.134-D74-D73</f>
        <v>2625.1229999999832</v>
      </c>
      <c r="E75" s="4">
        <f>-6666.658-E74-E73</f>
        <v>4069.8539999999884</v>
      </c>
      <c r="F75" s="4">
        <f>-4616.294-F74-F73</f>
        <v>2345.5490000000027</v>
      </c>
      <c r="G75" s="4">
        <f>-4098.07-G74-G73-517.956</f>
        <v>3168.5710000000013</v>
      </c>
      <c r="H75" s="4">
        <f>1034.49-H74-H73+571.338</f>
        <v>5186.4279999999899</v>
      </c>
      <c r="I75" s="4">
        <f>-3464.731-I74-I73</f>
        <v>1343.288</v>
      </c>
      <c r="J75" s="4">
        <f>-3229.878-J74-J73</f>
        <v>13792.506000000007</v>
      </c>
      <c r="K75" s="4">
        <f>25302.777-K74-K73</f>
        <v>2267.1509999999871</v>
      </c>
      <c r="L75" s="4">
        <f>25302.777-L74-L73</f>
        <v>-2928.6199999999917</v>
      </c>
      <c r="M75" s="4">
        <f>-18544.64-M74-M73</f>
        <v>217.53300000000672</v>
      </c>
      <c r="N75" s="4">
        <f>-18544.64-N74-N73</f>
        <v>-239.13399999999092</v>
      </c>
      <c r="O75" s="4">
        <f>14303.737-O74-O73-696.916</f>
        <v>8956.8750000000073</v>
      </c>
      <c r="P75" s="4">
        <f>-9817.515-P74-P73</f>
        <v>-1329.3679999999986</v>
      </c>
      <c r="Q75" s="32">
        <f t="shared" si="153"/>
        <v>-1280.5399999999981</v>
      </c>
      <c r="R75" s="32"/>
      <c r="S75" s="4">
        <f>-4007.802-S73-S74</f>
        <v>2085.4110000000028</v>
      </c>
      <c r="T75" s="4">
        <f>-6323.362-S76-T73-T74</f>
        <v>4383.7829999999994</v>
      </c>
      <c r="U75" s="4">
        <f>-8887.527-T76-S76-U73-U74</f>
        <v>-6020.9209999999966</v>
      </c>
      <c r="V75" s="32">
        <f>+IFERROR(D75-S75-T75-U75,"NA")</f>
        <v>2176.8499999999776</v>
      </c>
      <c r="W75" s="4">
        <f>-1029.496-W73-W74</f>
        <v>-97.631000000000427</v>
      </c>
      <c r="X75" s="4">
        <f>5858.044-W76-X73-X74</f>
        <v>2771.2400000000007</v>
      </c>
      <c r="Y75" s="4">
        <f>3691.808-X76-W76-Y73-Y74</f>
        <v>-293.12100000000009</v>
      </c>
      <c r="Z75" s="32">
        <f>E75-Y75-X75-W75</f>
        <v>1689.3659999999882</v>
      </c>
      <c r="AA75" s="4">
        <f>-8505.277-AA73-AA74</f>
        <v>880.54000000000099</v>
      </c>
      <c r="AB75" s="4">
        <f>5849.809-AA76-AB73-AB74</f>
        <v>1014.2259999999999</v>
      </c>
      <c r="AC75" s="4">
        <f>6642.626-AB76-AA76-AC73-AC74</f>
        <v>1145.3339999999966</v>
      </c>
      <c r="AD75" s="32">
        <f>F75-AA75-AB75-AC75</f>
        <v>-694.5509999999947</v>
      </c>
      <c r="AE75" s="123">
        <f xml:space="preserve"> 16970.316-AE73-AE74</f>
        <v>3359.1780000000017</v>
      </c>
      <c r="AF75" s="123">
        <f>18029.529-AF73-AF74-AE76</f>
        <v>712.75600000000122</v>
      </c>
      <c r="AG75" s="4">
        <f>17399.927-AF76-AE76-AG73-AG74</f>
        <v>-229.52400000000245</v>
      </c>
      <c r="AH75" s="32">
        <f>H75-AE75-AF75-AG75</f>
        <v>1344.0179999999893</v>
      </c>
      <c r="AI75" s="123">
        <f>-195.886-AI73-AI74</f>
        <v>737.4369999999966</v>
      </c>
      <c r="AJ75" s="123">
        <f>-2676.755-AJ73-AJ74-AI76</f>
        <v>485.74299999999948</v>
      </c>
      <c r="AK75" s="4">
        <f>-7353.311-AJ76-AI76-AK73-AK74</f>
        <v>243.3409999999993</v>
      </c>
      <c r="AL75" s="32">
        <f>I75-AI75-AJ75-AK75</f>
        <v>-123.23299999999537</v>
      </c>
      <c r="AM75" s="4">
        <f>35243.776-AM74-AM73</f>
        <v>-58505.579000000005</v>
      </c>
      <c r="AN75" s="123">
        <f>34063.982-AN73-AN74-AM76</f>
        <v>40601.644000000008</v>
      </c>
      <c r="AO75" s="4">
        <f>28084.304-AN76-AM76-AO73-AO74</f>
        <v>-11990.588999999994</v>
      </c>
      <c r="AP75" s="32">
        <f>K75-AM75-AN75-AO75</f>
        <v>32161.674999999981</v>
      </c>
      <c r="AQ75" s="4">
        <f>-7581.48-AQ74-AQ73</f>
        <v>-1688.5180000000018</v>
      </c>
      <c r="AR75" s="123">
        <f>-12227.693-AR73-AR74-AQ76</f>
        <v>-16528.901000000002</v>
      </c>
      <c r="AS75" s="4">
        <f>-18442.85-AR76-AQ76-AS73-AS74</f>
        <v>8084.6190000000061</v>
      </c>
      <c r="AT75" s="32">
        <f>M75-AQ75-AR75-AS75</f>
        <v>10350.333000000006</v>
      </c>
      <c r="AU75" s="4">
        <f>20.4-AU74-AU73</f>
        <v>653.90400000000056</v>
      </c>
      <c r="AV75" s="123">
        <f>4374.008-AV73-AV74-AU76</f>
        <v>3379.5370000000003</v>
      </c>
      <c r="AW75" s="4">
        <f>8447.3-AV76-AU76-AW73-AW74</f>
        <v>2066.1219999999989</v>
      </c>
      <c r="AX75" s="32">
        <f>O75-SUM(AU75:AW75)</f>
        <v>2857.3120000000072</v>
      </c>
      <c r="AY75" s="4">
        <f>-2656.457-AY74-AY73</f>
        <v>497.95199999999977</v>
      </c>
      <c r="AZ75" s="123">
        <f>-7743.953-AZ73-AZ74-AY76</f>
        <v>-1196.1939999999986</v>
      </c>
      <c r="BA75" s="4">
        <f>-8336.397-AZ76-AY76-BA73-BA74</f>
        <v>-556.1809999999997</v>
      </c>
      <c r="BB75" s="32">
        <f>P75-SUM(AY75:BA75)</f>
        <v>-74.945000000000164</v>
      </c>
      <c r="BC75" s="4">
        <f>-2630.429-BC74-BC73</f>
        <v>546.7800000000002</v>
      </c>
      <c r="BD75" s="276"/>
      <c r="BE75" s="276"/>
      <c r="BF75" s="276"/>
      <c r="BG75" s="276"/>
      <c r="BH75" s="276"/>
    </row>
    <row r="76" spans="1:66" ht="13.5" customHeight="1">
      <c r="B76" s="14" t="s">
        <v>352</v>
      </c>
      <c r="C76" s="7">
        <f t="shared" ref="C76:H76" si="165">SUM(C73:C75)</f>
        <v>-1851.0429999999997</v>
      </c>
      <c r="D76" s="7">
        <f t="shared" si="165"/>
        <v>-8811.134</v>
      </c>
      <c r="E76" s="7">
        <f t="shared" si="165"/>
        <v>-6666.6579999999994</v>
      </c>
      <c r="F76" s="7">
        <f t="shared" si="165"/>
        <v>-4616.2939999999999</v>
      </c>
      <c r="G76" s="7">
        <f t="shared" si="165"/>
        <v>-4616.0259999999998</v>
      </c>
      <c r="H76" s="7">
        <f t="shared" si="165"/>
        <v>1605.8279999999995</v>
      </c>
      <c r="I76" s="7">
        <f t="shared" ref="I76:Q76" si="166">SUM(I73:I75)</f>
        <v>-3464.7310000000002</v>
      </c>
      <c r="J76" s="7">
        <f t="shared" si="166"/>
        <v>-3229.8779999999988</v>
      </c>
      <c r="K76" s="7">
        <f t="shared" si="166"/>
        <v>25302.776999999998</v>
      </c>
      <c r="L76" s="7">
        <f t="shared" si="166"/>
        <v>25302.776999999998</v>
      </c>
      <c r="M76" s="7">
        <f t="shared" si="166"/>
        <v>-18544.64</v>
      </c>
      <c r="N76" s="7">
        <f t="shared" si="166"/>
        <v>-18544.64</v>
      </c>
      <c r="O76" s="7">
        <f t="shared" si="166"/>
        <v>13606.821</v>
      </c>
      <c r="P76" s="7">
        <f>SUM(P73:P75)</f>
        <v>-9817.5149999999994</v>
      </c>
      <c r="Q76" s="7">
        <f t="shared" si="166"/>
        <v>-9791.4869999999974</v>
      </c>
      <c r="R76" s="32"/>
      <c r="S76" s="7">
        <f t="shared" ref="S76:X76" si="167">SUM(S73:S75)</f>
        <v>-4007.8020000000006</v>
      </c>
      <c r="T76" s="7">
        <f t="shared" si="167"/>
        <v>-2315.5599999999995</v>
      </c>
      <c r="U76" s="7">
        <f t="shared" si="167"/>
        <v>-2564.1650000000004</v>
      </c>
      <c r="V76" s="7">
        <f t="shared" si="167"/>
        <v>76.392999999978656</v>
      </c>
      <c r="W76" s="7">
        <f t="shared" si="167"/>
        <v>-1029.4960000000001</v>
      </c>
      <c r="X76" s="7">
        <f t="shared" si="167"/>
        <v>6887.54</v>
      </c>
      <c r="Y76" s="7">
        <f t="shared" ref="Y76:AD76" si="168">SUM(Y73:Y75)</f>
        <v>-2166.2359999999999</v>
      </c>
      <c r="Z76" s="7">
        <f t="shared" si="168"/>
        <v>-10358.466000000008</v>
      </c>
      <c r="AA76" s="7">
        <f t="shared" si="168"/>
        <v>-8505.277</v>
      </c>
      <c r="AB76" s="7">
        <f t="shared" si="168"/>
        <v>14355.085999999999</v>
      </c>
      <c r="AC76" s="7">
        <f t="shared" si="168"/>
        <v>792.81700000000103</v>
      </c>
      <c r="AD76" s="7">
        <f t="shared" si="168"/>
        <v>-11258.919999999998</v>
      </c>
      <c r="AE76" s="7">
        <f t="shared" ref="AE76:AJ76" si="169">SUM(AE73:AE75)</f>
        <v>16970.315999999999</v>
      </c>
      <c r="AF76" s="7">
        <f t="shared" si="169"/>
        <v>1059.2130000000029</v>
      </c>
      <c r="AG76" s="7">
        <f t="shared" si="169"/>
        <v>-629.60200000000259</v>
      </c>
      <c r="AH76" s="7">
        <f t="shared" si="169"/>
        <v>-15794.099000000002</v>
      </c>
      <c r="AI76" s="7">
        <f t="shared" si="169"/>
        <v>-195.88599999999997</v>
      </c>
      <c r="AJ76" s="7">
        <f t="shared" si="169"/>
        <v>-2480.8690000000001</v>
      </c>
      <c r="AK76" s="7">
        <f t="shared" ref="AK76:AP76" si="170">SUM(AK73:AK75)</f>
        <v>-4676.5559999999987</v>
      </c>
      <c r="AL76" s="7">
        <f t="shared" si="170"/>
        <v>3888.5800000000127</v>
      </c>
      <c r="AM76" s="7">
        <f t="shared" si="170"/>
        <v>35243.775999999991</v>
      </c>
      <c r="AN76" s="7">
        <f t="shared" si="170"/>
        <v>-1179.7939999999944</v>
      </c>
      <c r="AO76" s="7">
        <f t="shared" si="170"/>
        <v>-5979.6779999999962</v>
      </c>
      <c r="AP76" s="7">
        <f t="shared" si="170"/>
        <v>-2781.5270000000091</v>
      </c>
      <c r="AQ76" s="7">
        <f t="shared" ref="AQ76:AV76" si="171">SUM(AQ73:AQ75)</f>
        <v>-7581.48</v>
      </c>
      <c r="AR76" s="7">
        <f t="shared" si="171"/>
        <v>-4646.2129999999997</v>
      </c>
      <c r="AS76" s="7">
        <f t="shared" si="171"/>
        <v>-6215.1569999999992</v>
      </c>
      <c r="AT76" s="7">
        <f t="shared" si="171"/>
        <v>-101.78999999999905</v>
      </c>
      <c r="AU76" s="7">
        <f t="shared" si="171"/>
        <v>20.399999999999977</v>
      </c>
      <c r="AV76" s="7">
        <f t="shared" si="171"/>
        <v>4353.6080000000002</v>
      </c>
      <c r="AW76" s="7">
        <f t="shared" ref="AW76:BB76" si="172">SUM(AW73:AW75)</f>
        <v>4073.291999999999</v>
      </c>
      <c r="AX76" s="7">
        <f t="shared" si="172"/>
        <v>5159.5210000000052</v>
      </c>
      <c r="AY76" s="7">
        <f t="shared" si="172"/>
        <v>-2656.4569999999999</v>
      </c>
      <c r="AZ76" s="7">
        <f t="shared" si="172"/>
        <v>-5087.496000000001</v>
      </c>
      <c r="BA76" s="7">
        <f t="shared" si="172"/>
        <v>-592.44399999999996</v>
      </c>
      <c r="BB76" s="7">
        <f t="shared" si="172"/>
        <v>-1481.1180000000006</v>
      </c>
      <c r="BC76" s="7">
        <f>SUM(BC73:BC75)</f>
        <v>-2630.4290000000001</v>
      </c>
      <c r="BD76" s="7"/>
      <c r="BE76" s="276"/>
      <c r="BF76" s="276"/>
      <c r="BG76" s="276"/>
      <c r="BH76" s="276"/>
      <c r="BM76" s="5"/>
      <c r="BN76" s="5"/>
    </row>
    <row r="77" spans="1:66" s="5" customFormat="1" ht="13.5" customHeight="1">
      <c r="B77" s="14" t="s">
        <v>28</v>
      </c>
      <c r="C77" s="24">
        <f>49397.126+C76</f>
        <v>47546.082999999999</v>
      </c>
      <c r="D77" s="7">
        <f>+C77+D76</f>
        <v>38734.949000000001</v>
      </c>
      <c r="E77" s="7">
        <f>D77+E76</f>
        <v>32068.291000000001</v>
      </c>
      <c r="F77" s="7">
        <f>E77+F76</f>
        <v>27451.997000000003</v>
      </c>
      <c r="G77" s="7">
        <f>E77+G76</f>
        <v>27452.264999999999</v>
      </c>
      <c r="H77" s="7">
        <f>G77+H76</f>
        <v>29058.093000000001</v>
      </c>
      <c r="I77" s="7">
        <f>H77+I76</f>
        <v>25593.362000000001</v>
      </c>
      <c r="J77" s="7">
        <f>H77+J76</f>
        <v>25828.215000000004</v>
      </c>
      <c r="K77" s="7">
        <f>J77+K76</f>
        <v>51130.991999999998</v>
      </c>
      <c r="L77" s="7">
        <f>J77+L76</f>
        <v>51130.991999999998</v>
      </c>
      <c r="M77" s="7">
        <f>K77+M76</f>
        <v>32586.351999999999</v>
      </c>
      <c r="N77" s="7">
        <f>L77+N76</f>
        <v>32586.351999999999</v>
      </c>
      <c r="O77" s="7">
        <f>N77+O76</f>
        <v>46193.172999999995</v>
      </c>
      <c r="P77" s="7">
        <f>O77+P76</f>
        <v>36375.657999999996</v>
      </c>
      <c r="Q77" s="7">
        <f>BC77</f>
        <v>24976.814999999999</v>
      </c>
      <c r="R77" s="32"/>
      <c r="S77" s="7">
        <f>C76+S76</f>
        <v>-5858.8450000000003</v>
      </c>
      <c r="T77" s="7">
        <f t="shared" ref="T77:Z77" si="173">+S77+T76</f>
        <v>-8174.4049999999997</v>
      </c>
      <c r="U77" s="7">
        <f t="shared" si="173"/>
        <v>-10738.57</v>
      </c>
      <c r="V77" s="7">
        <f t="shared" si="173"/>
        <v>-10662.177000000022</v>
      </c>
      <c r="W77" s="7">
        <f>D77+W76</f>
        <v>37705.453000000001</v>
      </c>
      <c r="X77" s="7">
        <f t="shared" si="173"/>
        <v>44592.993000000002</v>
      </c>
      <c r="Y77" s="7">
        <f t="shared" si="173"/>
        <v>42426.757000000005</v>
      </c>
      <c r="Z77" s="7">
        <f t="shared" si="173"/>
        <v>32068.290999999997</v>
      </c>
      <c r="AA77" s="7">
        <f t="shared" ref="AA77:AH77" si="174">Z77+AA76</f>
        <v>23563.013999999996</v>
      </c>
      <c r="AB77" s="7">
        <f t="shared" si="174"/>
        <v>37918.099999999991</v>
      </c>
      <c r="AC77" s="7">
        <f t="shared" si="174"/>
        <v>38710.916999999994</v>
      </c>
      <c r="AD77" s="7">
        <f t="shared" si="174"/>
        <v>27451.996999999996</v>
      </c>
      <c r="AE77" s="7">
        <f>AE76+27969.933</f>
        <v>44940.248999999996</v>
      </c>
      <c r="AF77" s="7">
        <f>AE77+AF76-(27969.933-27452)</f>
        <v>45481.528999999995</v>
      </c>
      <c r="AG77" s="7">
        <f>AF77+AG76</f>
        <v>44851.926999999996</v>
      </c>
      <c r="AH77" s="7">
        <f t="shared" si="174"/>
        <v>29057.827999999994</v>
      </c>
      <c r="AI77" s="7">
        <f>AH77+AI76</f>
        <v>28861.941999999995</v>
      </c>
      <c r="AJ77" s="7">
        <f>AI77+AJ76</f>
        <v>26381.072999999997</v>
      </c>
      <c r="AK77" s="7">
        <f>AJ77+AK76</f>
        <v>21704.517</v>
      </c>
      <c r="AL77" s="7">
        <f>AK77+AL76</f>
        <v>25593.097000000012</v>
      </c>
      <c r="AM77" s="7">
        <f>25828.215+AM76</f>
        <v>61071.990999999995</v>
      </c>
      <c r="AN77" s="7">
        <f t="shared" ref="AN77:BB77" si="175">AM77+AN76</f>
        <v>59892.197</v>
      </c>
      <c r="AO77" s="7">
        <f t="shared" si="175"/>
        <v>53912.519</v>
      </c>
      <c r="AP77" s="7">
        <f t="shared" si="175"/>
        <v>51130.991999999991</v>
      </c>
      <c r="AQ77" s="7">
        <f t="shared" si="175"/>
        <v>43549.511999999988</v>
      </c>
      <c r="AR77" s="7">
        <f t="shared" si="175"/>
        <v>38903.298999999985</v>
      </c>
      <c r="AS77" s="7">
        <f t="shared" si="175"/>
        <v>32688.141999999985</v>
      </c>
      <c r="AT77" s="7">
        <f t="shared" si="175"/>
        <v>32586.351999999984</v>
      </c>
      <c r="AU77" s="7">
        <f t="shared" si="175"/>
        <v>32606.751999999986</v>
      </c>
      <c r="AV77" s="7">
        <f t="shared" si="175"/>
        <v>36960.359999999986</v>
      </c>
      <c r="AW77" s="7">
        <f t="shared" si="175"/>
        <v>41033.651999999987</v>
      </c>
      <c r="AX77" s="7">
        <f t="shared" si="175"/>
        <v>46193.172999999995</v>
      </c>
      <c r="AY77" s="7">
        <f t="shared" si="175"/>
        <v>43536.715999999993</v>
      </c>
      <c r="AZ77" s="7">
        <f t="shared" si="175"/>
        <v>38449.219999999994</v>
      </c>
      <c r="BA77" s="7">
        <f t="shared" si="175"/>
        <v>37856.775999999991</v>
      </c>
      <c r="BB77" s="7">
        <f t="shared" si="175"/>
        <v>36375.657999999989</v>
      </c>
      <c r="BC77" s="7">
        <f>27607.244+BC76</f>
        <v>24976.814999999999</v>
      </c>
      <c r="BD77" s="7"/>
      <c r="BE77" s="276"/>
      <c r="BF77" s="276"/>
      <c r="BG77" s="276"/>
      <c r="BH77" s="276"/>
      <c r="BI77" s="1"/>
      <c r="BJ77" s="1"/>
      <c r="BK77" s="1"/>
      <c r="BL77" s="1"/>
      <c r="BM77" s="1"/>
    </row>
    <row r="78" spans="1:66" ht="11.25" customHeight="1">
      <c r="C78" s="227"/>
      <c r="D78" s="45"/>
      <c r="E78" s="45"/>
      <c r="F78" s="45"/>
      <c r="G78" s="45"/>
      <c r="H78" s="45"/>
      <c r="I78" s="227"/>
      <c r="J78" s="45"/>
      <c r="K78" s="45"/>
      <c r="L78" s="45"/>
      <c r="M78" s="45"/>
      <c r="N78" s="45"/>
      <c r="O78" s="45"/>
      <c r="P78" s="45"/>
      <c r="Q78" s="45"/>
      <c r="R78" s="32"/>
      <c r="S78" s="45"/>
      <c r="T78" s="45"/>
      <c r="W78" s="45"/>
      <c r="X78" s="45"/>
      <c r="AA78" s="45"/>
      <c r="AB78" s="45"/>
      <c r="AC78" s="45"/>
      <c r="AD78" s="45"/>
      <c r="AE78" s="45"/>
      <c r="AH78" s="45"/>
      <c r="AI78" s="45"/>
      <c r="AJ78" s="45"/>
      <c r="AL78" s="45"/>
      <c r="AN78" s="45"/>
      <c r="AP78" s="45"/>
      <c r="AR78" s="45"/>
      <c r="AT78" s="45"/>
      <c r="AV78" s="45"/>
      <c r="AW78" s="45"/>
      <c r="AX78" s="45"/>
      <c r="AZ78" s="45"/>
      <c r="BA78" s="45"/>
      <c r="BB78" s="45"/>
      <c r="BE78" s="276"/>
      <c r="BF78" s="276"/>
      <c r="BG78" s="276"/>
      <c r="BH78" s="276"/>
    </row>
    <row r="79" spans="1:66" s="402" customFormat="1" ht="11.25" customHeight="1">
      <c r="B79" s="82" t="s">
        <v>23</v>
      </c>
      <c r="C79" s="399">
        <f t="shared" ref="C79:H79" si="176">C77-C113</f>
        <v>0</v>
      </c>
      <c r="D79" s="400">
        <f t="shared" si="176"/>
        <v>0</v>
      </c>
      <c r="E79" s="400">
        <f t="shared" si="176"/>
        <v>0</v>
      </c>
      <c r="F79" s="400">
        <f t="shared" si="176"/>
        <v>0</v>
      </c>
      <c r="G79" s="400">
        <f t="shared" si="176"/>
        <v>0</v>
      </c>
      <c r="H79" s="400">
        <f t="shared" si="176"/>
        <v>0</v>
      </c>
      <c r="I79" s="399">
        <f t="shared" ref="I79:Q79" si="177">I77-I113</f>
        <v>0</v>
      </c>
      <c r="J79" s="400">
        <f t="shared" si="177"/>
        <v>1.5000000003055902E-2</v>
      </c>
      <c r="K79" s="400">
        <f t="shared" si="177"/>
        <v>0</v>
      </c>
      <c r="L79" s="400">
        <f t="shared" si="177"/>
        <v>0</v>
      </c>
      <c r="M79" s="400">
        <f t="shared" si="177"/>
        <v>5.1999999999679858E-2</v>
      </c>
      <c r="N79" s="400">
        <f t="shared" si="177"/>
        <v>5.1999999999679858E-2</v>
      </c>
      <c r="O79" s="400">
        <f t="shared" si="177"/>
        <v>0</v>
      </c>
      <c r="P79" s="400">
        <f>P77-P113</f>
        <v>-4.2000000001280569E-2</v>
      </c>
      <c r="Q79" s="400">
        <f t="shared" si="177"/>
        <v>1.4999999999417923E-2</v>
      </c>
      <c r="R79" s="401"/>
      <c r="S79" s="400">
        <f t="shared" ref="S79:Z79" si="178">S77-S113</f>
        <v>-49397.126000000004</v>
      </c>
      <c r="T79" s="400">
        <f t="shared" si="178"/>
        <v>-49397.125999999997</v>
      </c>
      <c r="U79" s="400">
        <f t="shared" si="178"/>
        <v>-49397.125999999997</v>
      </c>
      <c r="V79" s="400">
        <f t="shared" si="178"/>
        <v>-49397.126000000018</v>
      </c>
      <c r="W79" s="400">
        <f t="shared" si="178"/>
        <v>0</v>
      </c>
      <c r="X79" s="400">
        <f t="shared" si="178"/>
        <v>0</v>
      </c>
      <c r="Y79" s="400">
        <f t="shared" si="178"/>
        <v>0</v>
      </c>
      <c r="Z79" s="400">
        <f t="shared" si="178"/>
        <v>0</v>
      </c>
      <c r="AA79" s="400">
        <f t="shared" ref="AA79:AG79" si="179">AA77-AA113</f>
        <v>0</v>
      </c>
      <c r="AB79" s="400">
        <f t="shared" si="179"/>
        <v>0</v>
      </c>
      <c r="AC79" s="400">
        <f t="shared" si="179"/>
        <v>0</v>
      </c>
      <c r="AD79" s="400">
        <f t="shared" si="179"/>
        <v>0</v>
      </c>
      <c r="AE79" s="400">
        <f>AE77-AE113</f>
        <v>-2.0000000004074536E-2</v>
      </c>
      <c r="AF79" s="400">
        <f>AF77-AF113</f>
        <v>-0.26500000000669388</v>
      </c>
      <c r="AG79" s="400">
        <f t="shared" si="179"/>
        <v>-0.27300000000104774</v>
      </c>
      <c r="AH79" s="400">
        <f t="shared" ref="AH79:AM79" si="180">AH77-AH113</f>
        <v>-0.26500000000669388</v>
      </c>
      <c r="AI79" s="400">
        <f t="shared" si="180"/>
        <v>-0.2650000000030559</v>
      </c>
      <c r="AJ79" s="400">
        <f t="shared" si="180"/>
        <v>-0.22700000000259024</v>
      </c>
      <c r="AK79" s="400">
        <f t="shared" si="180"/>
        <v>-0.26499999999941792</v>
      </c>
      <c r="AL79" s="400">
        <f t="shared" si="180"/>
        <v>-0.26499999998850399</v>
      </c>
      <c r="AM79" s="400">
        <f t="shared" si="180"/>
        <v>0</v>
      </c>
      <c r="AN79" s="400">
        <f t="shared" ref="AN79:AT79" si="181">AN77-AN113</f>
        <v>-2.9999999969732016E-3</v>
      </c>
      <c r="AO79" s="400">
        <f t="shared" si="181"/>
        <v>1.9000000000232831E-2</v>
      </c>
      <c r="AP79" s="400">
        <f t="shared" si="181"/>
        <v>0</v>
      </c>
      <c r="AQ79" s="400">
        <f t="shared" si="181"/>
        <v>0</v>
      </c>
      <c r="AR79" s="400">
        <f t="shared" si="181"/>
        <v>-1.0000000183936208E-3</v>
      </c>
      <c r="AS79" s="400">
        <f t="shared" si="181"/>
        <v>4.1999999986728653E-2</v>
      </c>
      <c r="AT79" s="400">
        <f t="shared" si="181"/>
        <v>5.1999999985127943E-2</v>
      </c>
      <c r="AU79" s="400">
        <f t="shared" ref="AU79:AZ79" si="182">AU77-AU113</f>
        <v>-4.8000000013416866E-2</v>
      </c>
      <c r="AV79" s="400">
        <f t="shared" si="182"/>
        <v>-4.000000001542503E-2</v>
      </c>
      <c r="AW79" s="400">
        <f t="shared" si="182"/>
        <v>-4.8000000009778887E-2</v>
      </c>
      <c r="AX79" s="400">
        <f t="shared" si="182"/>
        <v>0</v>
      </c>
      <c r="AY79" s="400">
        <f t="shared" si="182"/>
        <v>0</v>
      </c>
      <c r="AZ79" s="400">
        <f t="shared" si="182"/>
        <v>0</v>
      </c>
      <c r="BA79" s="400">
        <f>BA77-BA113</f>
        <v>0</v>
      </c>
      <c r="BB79" s="400">
        <f>BB77-BB113</f>
        <v>-4.2000000008556526E-2</v>
      </c>
      <c r="BC79" s="400">
        <f>BC77-BC113</f>
        <v>1.4999999999417923E-2</v>
      </c>
      <c r="BD79" s="400"/>
      <c r="BE79" s="403"/>
      <c r="BF79" s="403"/>
      <c r="BG79" s="403"/>
      <c r="BH79" s="403"/>
    </row>
    <row r="80" spans="1:66" ht="11.25" customHeight="1">
      <c r="C80" s="227"/>
      <c r="D80" s="45"/>
      <c r="E80" s="45"/>
      <c r="F80" s="45"/>
      <c r="G80" s="45"/>
      <c r="H80" s="45"/>
      <c r="I80" s="227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W80" s="45"/>
      <c r="X80" s="45"/>
      <c r="AA80" s="45"/>
      <c r="AB80" s="45"/>
      <c r="AC80" s="45"/>
      <c r="AD80" s="45"/>
      <c r="AE80" s="45"/>
      <c r="AH80" s="45"/>
      <c r="AI80" s="45"/>
      <c r="AJ80" s="45"/>
      <c r="AL80" s="45"/>
      <c r="AN80" s="45"/>
      <c r="AP80" s="45"/>
      <c r="AR80" s="45"/>
      <c r="AT80" s="45"/>
      <c r="AU80" s="45"/>
      <c r="AV80" s="45"/>
      <c r="AX80" s="45"/>
      <c r="AY80" s="45"/>
      <c r="AZ80" s="45"/>
      <c r="BB80" s="45"/>
      <c r="BC80" s="45"/>
      <c r="BE80" s="276"/>
      <c r="BF80" s="276"/>
      <c r="BG80" s="276"/>
      <c r="BH80" s="276"/>
    </row>
    <row r="81" spans="1:57" ht="13.5" customHeight="1">
      <c r="A81" s="23"/>
      <c r="B81" s="15" t="s">
        <v>353</v>
      </c>
      <c r="C81" s="36">
        <f t="shared" ref="C81:H81" si="183">+C56</f>
        <v>42735</v>
      </c>
      <c r="D81" s="69">
        <f t="shared" si="183"/>
        <v>43100</v>
      </c>
      <c r="E81" s="69">
        <f t="shared" si="183"/>
        <v>43465</v>
      </c>
      <c r="F81" s="69">
        <f t="shared" si="183"/>
        <v>43830</v>
      </c>
      <c r="G81" s="69">
        <f t="shared" si="183"/>
        <v>43830</v>
      </c>
      <c r="H81" s="69">
        <f t="shared" si="183"/>
        <v>44196</v>
      </c>
      <c r="I81" s="69">
        <f t="shared" ref="I81:Q81" si="184">+I56</f>
        <v>44561</v>
      </c>
      <c r="J81" s="69">
        <f t="shared" si="184"/>
        <v>44561</v>
      </c>
      <c r="K81" s="69">
        <f t="shared" si="184"/>
        <v>44926</v>
      </c>
      <c r="L81" s="69">
        <f t="shared" si="184"/>
        <v>44926</v>
      </c>
      <c r="M81" s="69">
        <f t="shared" si="184"/>
        <v>45291</v>
      </c>
      <c r="N81" s="69">
        <f t="shared" si="184"/>
        <v>45291</v>
      </c>
      <c r="O81" s="69">
        <f t="shared" si="184"/>
        <v>45657</v>
      </c>
      <c r="P81" s="69">
        <f>+P56</f>
        <v>46022</v>
      </c>
      <c r="Q81" s="121">
        <f t="shared" si="184"/>
        <v>46112</v>
      </c>
      <c r="R81" s="209" t="s">
        <v>325</v>
      </c>
      <c r="S81" s="36">
        <f>+S56</f>
        <v>42825</v>
      </c>
      <c r="T81" s="36">
        <f>+T56</f>
        <v>42916</v>
      </c>
      <c r="U81" s="36">
        <f>+U56</f>
        <v>43008</v>
      </c>
      <c r="V81" s="36">
        <f>+V56</f>
        <v>43100</v>
      </c>
      <c r="W81" s="36">
        <f>+W56</f>
        <v>43190</v>
      </c>
      <c r="X81" s="36">
        <f>X56</f>
        <v>43281</v>
      </c>
      <c r="Y81" s="36">
        <f>Y3</f>
        <v>43373</v>
      </c>
      <c r="Z81" s="36">
        <f>Z3</f>
        <v>43465</v>
      </c>
      <c r="AA81" s="36">
        <f t="shared" ref="AA81:AG81" si="185">+AA56</f>
        <v>43555</v>
      </c>
      <c r="AB81" s="36">
        <f t="shared" si="185"/>
        <v>43646</v>
      </c>
      <c r="AC81" s="36">
        <f t="shared" si="185"/>
        <v>43738</v>
      </c>
      <c r="AD81" s="36">
        <f t="shared" si="185"/>
        <v>43830</v>
      </c>
      <c r="AE81" s="36">
        <f t="shared" si="185"/>
        <v>43921</v>
      </c>
      <c r="AF81" s="36">
        <f t="shared" si="185"/>
        <v>44012</v>
      </c>
      <c r="AG81" s="36">
        <f t="shared" si="185"/>
        <v>44104</v>
      </c>
      <c r="AH81" s="36">
        <f t="shared" ref="AH81:AM81" si="186">+AH56</f>
        <v>44196</v>
      </c>
      <c r="AI81" s="36">
        <f t="shared" si="186"/>
        <v>44286</v>
      </c>
      <c r="AJ81" s="36">
        <f t="shared" si="186"/>
        <v>44377</v>
      </c>
      <c r="AK81" s="36">
        <f t="shared" si="186"/>
        <v>44469</v>
      </c>
      <c r="AL81" s="36">
        <f t="shared" si="186"/>
        <v>44561</v>
      </c>
      <c r="AM81" s="36">
        <f t="shared" si="186"/>
        <v>44651</v>
      </c>
      <c r="AN81" s="36">
        <f t="shared" ref="AN81:AT81" si="187">+AN56</f>
        <v>44742</v>
      </c>
      <c r="AO81" s="36">
        <f t="shared" si="187"/>
        <v>44834</v>
      </c>
      <c r="AP81" s="36">
        <f t="shared" si="187"/>
        <v>44926</v>
      </c>
      <c r="AQ81" s="36">
        <f t="shared" si="187"/>
        <v>45016</v>
      </c>
      <c r="AR81" s="92">
        <f t="shared" si="187"/>
        <v>45107</v>
      </c>
      <c r="AS81" s="92">
        <f t="shared" si="187"/>
        <v>45199</v>
      </c>
      <c r="AT81" s="92">
        <f t="shared" si="187"/>
        <v>45291</v>
      </c>
      <c r="AU81" s="92">
        <f t="shared" ref="AU81:AZ81" si="188">+AU56</f>
        <v>45382</v>
      </c>
      <c r="AV81" s="92">
        <f t="shared" si="188"/>
        <v>45473</v>
      </c>
      <c r="AW81" s="92">
        <f t="shared" si="188"/>
        <v>45565</v>
      </c>
      <c r="AX81" s="92">
        <f t="shared" si="188"/>
        <v>45657</v>
      </c>
      <c r="AY81" s="92">
        <f t="shared" si="188"/>
        <v>45747</v>
      </c>
      <c r="AZ81" s="92">
        <f t="shared" si="188"/>
        <v>45838</v>
      </c>
      <c r="BA81" s="92">
        <f>+BA56</f>
        <v>45930</v>
      </c>
      <c r="BB81" s="92">
        <f>+BB56</f>
        <v>46022</v>
      </c>
      <c r="BC81" s="92">
        <f>+BC56</f>
        <v>46112</v>
      </c>
      <c r="BD81" s="270"/>
      <c r="BE81" s="33"/>
    </row>
    <row r="82" spans="1:57" ht="13.5" customHeight="1">
      <c r="B82" s="1" t="str">
        <f t="shared" ref="B82:Q82" si="189">+B9</f>
        <v>Net Sales including non-recurring licensing revenues</v>
      </c>
      <c r="C82" s="32">
        <f t="shared" si="189"/>
        <v>96287.400000000009</v>
      </c>
      <c r="D82" s="32">
        <f t="shared" si="189"/>
        <v>93586.200000000012</v>
      </c>
      <c r="E82" s="32">
        <f t="shared" si="189"/>
        <v>101282.3</v>
      </c>
      <c r="F82" s="32">
        <f t="shared" si="189"/>
        <v>101492.181</v>
      </c>
      <c r="G82" s="32">
        <f t="shared" si="189"/>
        <v>101757.181</v>
      </c>
      <c r="H82" s="32">
        <f t="shared" si="189"/>
        <v>97361.634000000005</v>
      </c>
      <c r="I82" s="32">
        <f t="shared" si="189"/>
        <v>103521.823</v>
      </c>
      <c r="J82" s="32">
        <f t="shared" si="189"/>
        <v>73915.399999999994</v>
      </c>
      <c r="K82" s="32">
        <f t="shared" si="189"/>
        <v>75526.608999999997</v>
      </c>
      <c r="L82" s="32">
        <f t="shared" si="189"/>
        <v>68615.767999999996</v>
      </c>
      <c r="M82" s="32">
        <f t="shared" si="189"/>
        <v>73767.899999999994</v>
      </c>
      <c r="N82" s="32">
        <f t="shared" si="189"/>
        <v>66222.835999999996</v>
      </c>
      <c r="O82" s="32">
        <f t="shared" si="189"/>
        <v>62260.864000000001</v>
      </c>
      <c r="P82" s="32">
        <f t="shared" si="189"/>
        <v>58878.15</v>
      </c>
      <c r="Q82" s="32">
        <f t="shared" si="189"/>
        <v>58417.05</v>
      </c>
      <c r="R82" s="32"/>
      <c r="S82" s="32"/>
      <c r="T82" s="32"/>
      <c r="U82" s="32"/>
      <c r="V82" s="32">
        <f t="shared" ref="V82:BC82" si="190">+V9+U9+T9+S9</f>
        <v>93586.199999999983</v>
      </c>
      <c r="W82" s="32">
        <f t="shared" si="190"/>
        <v>94443.9</v>
      </c>
      <c r="X82" s="32">
        <f t="shared" si="190"/>
        <v>98168.9</v>
      </c>
      <c r="Y82" s="32">
        <f t="shared" si="190"/>
        <v>100539.09999999999</v>
      </c>
      <c r="Z82" s="32">
        <f t="shared" si="190"/>
        <v>101282.3</v>
      </c>
      <c r="AA82" s="32">
        <f t="shared" si="190"/>
        <v>101865.5</v>
      </c>
      <c r="AB82" s="32">
        <f t="shared" si="190"/>
        <v>99471.3</v>
      </c>
      <c r="AC82" s="32">
        <f t="shared" si="190"/>
        <v>100224.249</v>
      </c>
      <c r="AD82" s="32">
        <f t="shared" si="190"/>
        <v>101492.181</v>
      </c>
      <c r="AE82" s="32">
        <f t="shared" si="190"/>
        <v>101325.781</v>
      </c>
      <c r="AF82" s="32">
        <f t="shared" si="190"/>
        <v>99425.380999999994</v>
      </c>
      <c r="AG82" s="32">
        <f t="shared" si="190"/>
        <v>97582.231999999989</v>
      </c>
      <c r="AH82" s="32">
        <f t="shared" si="190"/>
        <v>97361.634000000005</v>
      </c>
      <c r="AI82" s="32">
        <f t="shared" si="190"/>
        <v>97961.734000000011</v>
      </c>
      <c r="AJ82" s="32">
        <f t="shared" si="190"/>
        <v>100307.73400000001</v>
      </c>
      <c r="AK82" s="32">
        <f t="shared" si="190"/>
        <v>102492.60100000001</v>
      </c>
      <c r="AL82" s="32">
        <f t="shared" si="190"/>
        <v>103521.823</v>
      </c>
      <c r="AM82" s="32">
        <f t="shared" si="190"/>
        <v>98302.123000000007</v>
      </c>
      <c r="AN82" s="32">
        <f t="shared" si="190"/>
        <v>92082.42300000001</v>
      </c>
      <c r="AO82" s="32">
        <f t="shared" si="190"/>
        <v>85206.256000000008</v>
      </c>
      <c r="AP82" s="32">
        <f t="shared" si="190"/>
        <v>75526.608999999997</v>
      </c>
      <c r="AQ82" s="32">
        <f t="shared" si="190"/>
        <v>75437.042000000001</v>
      </c>
      <c r="AR82" s="32">
        <f t="shared" si="190"/>
        <v>75423.741999999998</v>
      </c>
      <c r="AS82" s="32">
        <f t="shared" si="190"/>
        <v>72588.042000000001</v>
      </c>
      <c r="AT82" s="32">
        <f t="shared" si="190"/>
        <v>73767.899999999994</v>
      </c>
      <c r="AU82" s="32">
        <f t="shared" si="190"/>
        <v>71199.667000000001</v>
      </c>
      <c r="AV82" s="32">
        <f t="shared" si="190"/>
        <v>68399.766999999993</v>
      </c>
      <c r="AW82" s="32">
        <f t="shared" si="190"/>
        <v>67346.566999999995</v>
      </c>
      <c r="AX82" s="32">
        <f t="shared" si="190"/>
        <v>62260.864000000001</v>
      </c>
      <c r="AY82" s="32">
        <f t="shared" si="190"/>
        <v>61283.063999999998</v>
      </c>
      <c r="AZ82" s="32">
        <f t="shared" si="190"/>
        <v>60292.164000000004</v>
      </c>
      <c r="BA82" s="32">
        <f t="shared" si="190"/>
        <v>59556.45</v>
      </c>
      <c r="BB82" s="32">
        <f t="shared" si="190"/>
        <v>58878.15</v>
      </c>
      <c r="BC82" s="32">
        <f t="shared" si="190"/>
        <v>58417.05000000001</v>
      </c>
      <c r="BD82" s="32"/>
    </row>
    <row r="83" spans="1:57" ht="13.5" customHeight="1">
      <c r="B83" s="1" t="s">
        <v>326</v>
      </c>
      <c r="C83" s="32">
        <f t="shared" ref="C83:Q83" si="191">C19</f>
        <v>16598.134000000005</v>
      </c>
      <c r="D83" s="32">
        <f t="shared" si="191"/>
        <v>14243.165000000015</v>
      </c>
      <c r="E83" s="32">
        <f t="shared" si="191"/>
        <v>20252.525000000005</v>
      </c>
      <c r="F83" s="32">
        <f t="shared" si="191"/>
        <v>17209.029999999995</v>
      </c>
      <c r="G83" s="32">
        <f t="shared" si="191"/>
        <v>17005.029999999995</v>
      </c>
      <c r="H83" s="32">
        <f t="shared" si="191"/>
        <v>17525.368000000006</v>
      </c>
      <c r="I83" s="32">
        <f t="shared" si="191"/>
        <v>22183.226000000006</v>
      </c>
      <c r="J83" s="32">
        <f t="shared" si="191"/>
        <v>10688.899999999998</v>
      </c>
      <c r="K83" s="32">
        <f t="shared" si="191"/>
        <v>4387.5010000000002</v>
      </c>
      <c r="L83" s="32">
        <f t="shared" si="191"/>
        <v>3737.7469999999921</v>
      </c>
      <c r="M83" s="32">
        <f t="shared" si="191"/>
        <v>2663.6999999999971</v>
      </c>
      <c r="N83" s="32">
        <f t="shared" si="191"/>
        <v>1857.794999999991</v>
      </c>
      <c r="O83" s="32">
        <f t="shared" si="191"/>
        <v>-2818.8610000000044</v>
      </c>
      <c r="P83" s="32">
        <f t="shared" si="191"/>
        <v>4224.8919999999998</v>
      </c>
      <c r="Q83" s="32">
        <f t="shared" si="191"/>
        <v>4877.2920000000013</v>
      </c>
      <c r="R83" s="32"/>
      <c r="S83" s="32"/>
      <c r="T83" s="32"/>
      <c r="U83" s="32"/>
      <c r="V83" s="32">
        <f t="shared" ref="V83:BC83" si="192">V19+U19+T19+S19</f>
        <v>14243.164999999995</v>
      </c>
      <c r="W83" s="32">
        <f t="shared" si="192"/>
        <v>14837.241</v>
      </c>
      <c r="X83" s="32">
        <f t="shared" si="192"/>
        <v>19554.412999999997</v>
      </c>
      <c r="Y83" s="32">
        <f t="shared" si="192"/>
        <v>20218.069999999996</v>
      </c>
      <c r="Z83" s="32">
        <f t="shared" si="192"/>
        <v>20252.525000000001</v>
      </c>
      <c r="AA83" s="32">
        <f t="shared" si="192"/>
        <v>20098.690999999999</v>
      </c>
      <c r="AB83" s="32">
        <f t="shared" si="192"/>
        <v>15586.418000000005</v>
      </c>
      <c r="AC83" s="32">
        <f t="shared" si="192"/>
        <v>15840.365000000009</v>
      </c>
      <c r="AD83" s="32">
        <f t="shared" si="192"/>
        <v>17209.029999999995</v>
      </c>
      <c r="AE83" s="32">
        <f t="shared" si="192"/>
        <v>17165.278999999995</v>
      </c>
      <c r="AF83" s="32">
        <f t="shared" si="192"/>
        <v>15748.478999999992</v>
      </c>
      <c r="AG83" s="32">
        <f t="shared" si="192"/>
        <v>16721.825999999994</v>
      </c>
      <c r="AH83" s="32">
        <f t="shared" si="192"/>
        <v>17525.368000000006</v>
      </c>
      <c r="AI83" s="32">
        <f t="shared" si="192"/>
        <v>17639.268000000011</v>
      </c>
      <c r="AJ83" s="32">
        <f t="shared" si="192"/>
        <v>18931.768000000011</v>
      </c>
      <c r="AK83" s="32">
        <f t="shared" si="192"/>
        <v>18193.898000000008</v>
      </c>
      <c r="AL83" s="32">
        <f t="shared" si="192"/>
        <v>22183.226000000017</v>
      </c>
      <c r="AM83" s="32">
        <f t="shared" si="192"/>
        <v>20280.126000000015</v>
      </c>
      <c r="AN83" s="32">
        <f t="shared" si="192"/>
        <v>17846.126000000011</v>
      </c>
      <c r="AO83" s="32">
        <f t="shared" si="192"/>
        <v>14377.196000000013</v>
      </c>
      <c r="AP83" s="32">
        <f t="shared" si="192"/>
        <v>4387.5010000000011</v>
      </c>
      <c r="AQ83" s="32">
        <f t="shared" si="192"/>
        <v>3953.8480000000027</v>
      </c>
      <c r="AR83" s="32">
        <f t="shared" si="192"/>
        <v>3394.3480000000054</v>
      </c>
      <c r="AS83" s="32">
        <f t="shared" si="192"/>
        <v>1650.4480000000049</v>
      </c>
      <c r="AT83" s="32">
        <f t="shared" si="192"/>
        <v>2663.6999999999971</v>
      </c>
      <c r="AU83" s="32">
        <f t="shared" si="192"/>
        <v>4385.8529999999946</v>
      </c>
      <c r="AV83" s="32">
        <f t="shared" si="192"/>
        <v>3483.1529999999912</v>
      </c>
      <c r="AW83" s="32">
        <f t="shared" si="192"/>
        <v>4229.4529999999913</v>
      </c>
      <c r="AX83" s="32">
        <f t="shared" si="192"/>
        <v>-2818.8610000000035</v>
      </c>
      <c r="AY83" s="32">
        <f t="shared" si="192"/>
        <v>-4854.7610000000022</v>
      </c>
      <c r="AZ83" s="32">
        <f t="shared" si="192"/>
        <v>-3990.8610000000017</v>
      </c>
      <c r="BA83" s="32">
        <f t="shared" si="192"/>
        <v>-3426.7660000000024</v>
      </c>
      <c r="BB83" s="32">
        <f t="shared" si="192"/>
        <v>4224.8920000000016</v>
      </c>
      <c r="BC83" s="32">
        <f t="shared" si="192"/>
        <v>4877.2920000000013</v>
      </c>
      <c r="BD83" s="32"/>
    </row>
    <row r="84" spans="1:57" ht="13.5" customHeight="1">
      <c r="B84" s="1" t="s">
        <v>354</v>
      </c>
      <c r="C84" s="32">
        <f t="shared" ref="C84:H84" si="193">C47</f>
        <v>33577.967000000004</v>
      </c>
      <c r="D84" s="32">
        <f t="shared" si="193"/>
        <v>32747.930000000015</v>
      </c>
      <c r="E84" s="32">
        <f t="shared" si="193"/>
        <v>40087.02900000001</v>
      </c>
      <c r="F84" s="32">
        <f t="shared" si="193"/>
        <v>38217.585999999996</v>
      </c>
      <c r="G84" s="32">
        <f t="shared" si="193"/>
        <v>38013.825999999994</v>
      </c>
      <c r="H84" s="32">
        <f t="shared" si="193"/>
        <v>38786.155000000006</v>
      </c>
      <c r="I84" s="32">
        <f t="shared" ref="I84:Q84" si="194">I47</f>
        <v>43601.595000000001</v>
      </c>
      <c r="J84" s="32">
        <f t="shared" si="194"/>
        <v>32107.268999999997</v>
      </c>
      <c r="K84" s="32">
        <f t="shared" si="194"/>
        <v>25626.807000000001</v>
      </c>
      <c r="L84" s="32">
        <f t="shared" si="194"/>
        <v>24977.052999999993</v>
      </c>
      <c r="M84" s="32">
        <f t="shared" si="194"/>
        <v>24218.1</v>
      </c>
      <c r="N84" s="32">
        <f t="shared" si="194"/>
        <v>23326.946999999989</v>
      </c>
      <c r="O84" s="32">
        <f t="shared" si="194"/>
        <v>17723.499999999996</v>
      </c>
      <c r="P84" s="32">
        <f>P47</f>
        <v>21385.403999999999</v>
      </c>
      <c r="Q84" s="32">
        <f t="shared" si="194"/>
        <v>21847.403999999999</v>
      </c>
      <c r="R84" s="32"/>
      <c r="S84" s="32"/>
      <c r="T84" s="32"/>
      <c r="U84" s="32"/>
      <c r="V84" s="32">
        <f t="shared" ref="V84:BC84" si="195">V47+U47+T47+S47</f>
        <v>32747.929999999993</v>
      </c>
      <c r="W84" s="32">
        <f>W47+V47+U47+T47</f>
        <v>33598.974000000002</v>
      </c>
      <c r="X84" s="32">
        <f>X47+W47+V47+U47</f>
        <v>38585.580999999991</v>
      </c>
      <c r="Y84" s="32">
        <f>Y47+X47+W47+V47</f>
        <v>39677.828999999998</v>
      </c>
      <c r="Z84" s="32">
        <f t="shared" si="195"/>
        <v>40087.029000000002</v>
      </c>
      <c r="AA84" s="32">
        <f t="shared" si="195"/>
        <v>40348.345000000001</v>
      </c>
      <c r="AB84" s="32">
        <f t="shared" si="195"/>
        <v>36067.170000000006</v>
      </c>
      <c r="AC84" s="32">
        <f t="shared" si="195"/>
        <v>36604.565000000017</v>
      </c>
      <c r="AD84" s="32">
        <f t="shared" si="195"/>
        <v>38217.585999999988</v>
      </c>
      <c r="AE84" s="32">
        <f t="shared" si="195"/>
        <v>38109.383999999991</v>
      </c>
      <c r="AF84" s="32">
        <f t="shared" si="195"/>
        <v>36847.461999999992</v>
      </c>
      <c r="AG84" s="32">
        <f t="shared" si="195"/>
        <v>37735.457999999991</v>
      </c>
      <c r="AH84" s="32">
        <f t="shared" si="195"/>
        <v>38786.155000000006</v>
      </c>
      <c r="AI84" s="32">
        <f t="shared" si="195"/>
        <v>38918.35500000001</v>
      </c>
      <c r="AJ84" s="32">
        <f t="shared" si="195"/>
        <v>40200.85500000001</v>
      </c>
      <c r="AK84" s="32">
        <f t="shared" si="195"/>
        <v>39574.885000000009</v>
      </c>
      <c r="AL84" s="32">
        <f t="shared" si="195"/>
        <v>43601.595000000016</v>
      </c>
      <c r="AM84" s="32">
        <f t="shared" si="195"/>
        <v>41606.095000000016</v>
      </c>
      <c r="AN84" s="32">
        <f t="shared" si="195"/>
        <v>39115.49500000001</v>
      </c>
      <c r="AO84" s="32">
        <f t="shared" si="195"/>
        <v>35468.56500000001</v>
      </c>
      <c r="AP84" s="32">
        <f t="shared" si="195"/>
        <v>25626.807000000001</v>
      </c>
      <c r="AQ84" s="32">
        <f t="shared" si="195"/>
        <v>25427.413</v>
      </c>
      <c r="AR84" s="32">
        <f>AR47+AQ47+AP47+AO47</f>
        <v>25055.113000000005</v>
      </c>
      <c r="AS84" s="32">
        <f t="shared" si="195"/>
        <v>23598.913000000004</v>
      </c>
      <c r="AT84" s="32">
        <f t="shared" si="195"/>
        <v>24218.1</v>
      </c>
      <c r="AU84" s="32">
        <f t="shared" si="195"/>
        <v>25663.593999999997</v>
      </c>
      <c r="AV84" s="32">
        <f>AV47+AU47+AT47+AS47</f>
        <v>24615.193999999996</v>
      </c>
      <c r="AW84" s="32">
        <f t="shared" si="195"/>
        <v>24811.493999999992</v>
      </c>
      <c r="AX84" s="32">
        <f t="shared" si="195"/>
        <v>17723.5</v>
      </c>
      <c r="AY84" s="32">
        <f t="shared" si="195"/>
        <v>15104.4</v>
      </c>
      <c r="AZ84" s="32">
        <f>AZ47+AY47+AX47+AW47</f>
        <v>15162</v>
      </c>
      <c r="BA84" s="32">
        <f t="shared" si="195"/>
        <v>15423.064999999999</v>
      </c>
      <c r="BB84" s="32">
        <f t="shared" si="195"/>
        <v>21385.404000000002</v>
      </c>
      <c r="BC84" s="32">
        <f t="shared" si="195"/>
        <v>21847.403999999999</v>
      </c>
      <c r="BD84" s="32"/>
    </row>
    <row r="85" spans="1:57" s="5" customFormat="1" ht="13.5" customHeight="1">
      <c r="B85" s="1" t="s">
        <v>355</v>
      </c>
      <c r="C85" s="32">
        <f t="shared" ref="C85:H85" si="196">+C52</f>
        <v>36715.351000000002</v>
      </c>
      <c r="D85" s="32">
        <f t="shared" si="196"/>
        <v>35201.502000000015</v>
      </c>
      <c r="E85" s="32">
        <f t="shared" si="196"/>
        <v>38524.74500000001</v>
      </c>
      <c r="F85" s="32">
        <f t="shared" si="196"/>
        <v>39313.172999999995</v>
      </c>
      <c r="G85" s="32">
        <f t="shared" si="196"/>
        <v>39330.412999999993</v>
      </c>
      <c r="H85" s="32">
        <f t="shared" si="196"/>
        <v>38552.527000000009</v>
      </c>
      <c r="I85" s="32">
        <f t="shared" ref="I85:Q85" si="197">+I52</f>
        <v>41207.631999999998</v>
      </c>
      <c r="J85" s="32">
        <f t="shared" si="197"/>
        <v>28391.068999999996</v>
      </c>
      <c r="K85" s="32">
        <f t="shared" si="197"/>
        <v>26473.460999999999</v>
      </c>
      <c r="L85" s="32">
        <f t="shared" si="197"/>
        <v>26000.221999999994</v>
      </c>
      <c r="M85" s="32">
        <f t="shared" si="197"/>
        <v>25084.899999999998</v>
      </c>
      <c r="N85" s="32">
        <f t="shared" si="197"/>
        <v>24240.747999999989</v>
      </c>
      <c r="O85" s="32">
        <f t="shared" si="197"/>
        <v>22278.399999999994</v>
      </c>
      <c r="P85" s="32">
        <f>+P52</f>
        <v>22399.227999999999</v>
      </c>
      <c r="Q85" s="32">
        <f t="shared" si="197"/>
        <v>22741.928</v>
      </c>
      <c r="R85" s="32"/>
      <c r="S85" s="32"/>
      <c r="T85" s="32"/>
      <c r="U85" s="32"/>
      <c r="V85" s="32">
        <f t="shared" ref="V85:BC85" si="198">+V52+U52+T52+S52</f>
        <v>35201.501999999993</v>
      </c>
      <c r="W85" s="32">
        <f>+W52+V52+U52+T52</f>
        <v>35795.888999999996</v>
      </c>
      <c r="X85" s="32">
        <f>+X52+W52+V52+U52</f>
        <v>37158.96699999999</v>
      </c>
      <c r="Y85" s="32">
        <f>+Y52+X52+W52+V52</f>
        <v>38183.176999999996</v>
      </c>
      <c r="Z85" s="32">
        <f t="shared" si="198"/>
        <v>38524.745000000003</v>
      </c>
      <c r="AA85" s="32">
        <f t="shared" si="198"/>
        <v>38820.885000000002</v>
      </c>
      <c r="AB85" s="32">
        <f t="shared" si="198"/>
        <v>38060.633000000002</v>
      </c>
      <c r="AC85" s="32">
        <f t="shared" si="198"/>
        <v>38554.927000000011</v>
      </c>
      <c r="AD85" s="32">
        <f t="shared" si="198"/>
        <v>39313.172999999995</v>
      </c>
      <c r="AE85" s="32">
        <f t="shared" si="198"/>
        <v>38731.160999999993</v>
      </c>
      <c r="AF85" s="32">
        <f t="shared" si="198"/>
        <v>37479.738999999994</v>
      </c>
      <c r="AG85" s="32">
        <f t="shared" si="198"/>
        <v>37312.372999999992</v>
      </c>
      <c r="AH85" s="32">
        <f t="shared" si="198"/>
        <v>38552.527000000009</v>
      </c>
      <c r="AI85" s="32">
        <f t="shared" si="198"/>
        <v>39122.527000000016</v>
      </c>
      <c r="AJ85" s="32">
        <f t="shared" si="198"/>
        <v>40510.427000000011</v>
      </c>
      <c r="AK85" s="32">
        <f t="shared" si="198"/>
        <v>40844.119000000013</v>
      </c>
      <c r="AL85" s="32">
        <f t="shared" si="198"/>
        <v>41207.63200000002</v>
      </c>
      <c r="AM85" s="32">
        <f t="shared" si="198"/>
        <v>39227.532000000014</v>
      </c>
      <c r="AN85" s="32">
        <f t="shared" si="198"/>
        <v>36378.932000000015</v>
      </c>
      <c r="AO85" s="32">
        <f t="shared" si="198"/>
        <v>32729.540000000012</v>
      </c>
      <c r="AP85" s="32">
        <f t="shared" si="198"/>
        <v>26473.461000000003</v>
      </c>
      <c r="AQ85" s="32">
        <f t="shared" si="198"/>
        <v>26287.947000000004</v>
      </c>
      <c r="AR85" s="32">
        <f>+AR52+AQ52+AP52+AO52</f>
        <v>26055.947000000004</v>
      </c>
      <c r="AS85" s="32">
        <f t="shared" si="198"/>
        <v>25035.147000000008</v>
      </c>
      <c r="AT85" s="32">
        <f t="shared" si="198"/>
        <v>25084.899999999998</v>
      </c>
      <c r="AU85" s="32">
        <f t="shared" si="198"/>
        <v>24055.013999999996</v>
      </c>
      <c r="AV85" s="32">
        <f>+AV52+AU52+AT52+AS52</f>
        <v>23355.013999999996</v>
      </c>
      <c r="AW85" s="32">
        <f t="shared" si="198"/>
        <v>23144.013999999996</v>
      </c>
      <c r="AX85" s="32">
        <f t="shared" si="198"/>
        <v>22278.399999999998</v>
      </c>
      <c r="AY85" s="32">
        <f t="shared" si="198"/>
        <v>22151.199999999997</v>
      </c>
      <c r="AZ85" s="32">
        <f>+AZ52+AY52+AX52+AW52</f>
        <v>21953.399999999998</v>
      </c>
      <c r="BA85" s="32">
        <f t="shared" si="198"/>
        <v>21938.918999999998</v>
      </c>
      <c r="BB85" s="32">
        <f t="shared" si="198"/>
        <v>22399.227999999999</v>
      </c>
      <c r="BC85" s="32">
        <f t="shared" si="198"/>
        <v>22741.928</v>
      </c>
      <c r="BD85" s="32"/>
    </row>
    <row r="86" spans="1:57" ht="13.5" customHeight="1">
      <c r="B86" s="1" t="s">
        <v>336</v>
      </c>
      <c r="C86" s="32">
        <f t="shared" ref="C86:H86" si="199">-C60</f>
        <v>7633.0259999999998</v>
      </c>
      <c r="D86" s="32">
        <f t="shared" si="199"/>
        <v>8860.8809999999994</v>
      </c>
      <c r="E86" s="32">
        <f t="shared" si="199"/>
        <v>10129.304</v>
      </c>
      <c r="F86" s="32">
        <f t="shared" si="199"/>
        <v>9170.3359999999993</v>
      </c>
      <c r="G86" s="32">
        <f t="shared" si="199"/>
        <v>9180.1409999999996</v>
      </c>
      <c r="H86" s="32">
        <f t="shared" si="199"/>
        <v>9455.3870000000006</v>
      </c>
      <c r="I86" s="32">
        <f t="shared" ref="I86:Q86" si="200">-I60</f>
        <v>8258.2430000000004</v>
      </c>
      <c r="J86" s="32">
        <f t="shared" si="200"/>
        <v>8258.2430000000004</v>
      </c>
      <c r="K86" s="32">
        <f t="shared" si="200"/>
        <v>8893</v>
      </c>
      <c r="L86" s="32">
        <f t="shared" si="200"/>
        <v>8893</v>
      </c>
      <c r="M86" s="32">
        <f t="shared" si="200"/>
        <v>7553.9380000000001</v>
      </c>
      <c r="N86" s="32">
        <f t="shared" si="200"/>
        <v>7553.9380000000001</v>
      </c>
      <c r="O86" s="32">
        <f t="shared" si="200"/>
        <v>7417.915</v>
      </c>
      <c r="P86" s="32">
        <f>-P60</f>
        <v>6816</v>
      </c>
      <c r="Q86" s="32">
        <f t="shared" si="200"/>
        <v>6347</v>
      </c>
      <c r="R86" s="32"/>
      <c r="S86" s="32"/>
      <c r="T86" s="32"/>
      <c r="U86" s="32"/>
      <c r="V86" s="32">
        <f t="shared" ref="V86:BC86" si="201">-V60-U60-T60-S60</f>
        <v>8860.8809999999994</v>
      </c>
      <c r="W86" s="32">
        <f>-W60-V60-U60-T60</f>
        <v>8852.8130000000001</v>
      </c>
      <c r="X86" s="32">
        <f>-X60-W60-V60-U60</f>
        <v>8771.3050000000003</v>
      </c>
      <c r="Y86" s="32">
        <f>-Y60-X60-W60-V60</f>
        <v>9186.905999999999</v>
      </c>
      <c r="Z86" s="32">
        <f t="shared" si="201"/>
        <v>10129.304000000002</v>
      </c>
      <c r="AA86" s="32">
        <f t="shared" si="201"/>
        <v>9236.9800000000014</v>
      </c>
      <c r="AB86" s="32">
        <f t="shared" si="201"/>
        <v>9262.496000000001</v>
      </c>
      <c r="AC86" s="32">
        <f t="shared" si="201"/>
        <v>9106.1770000000015</v>
      </c>
      <c r="AD86" s="32">
        <f t="shared" si="201"/>
        <v>9170.3359999999993</v>
      </c>
      <c r="AE86" s="32">
        <f t="shared" si="201"/>
        <v>9846.66</v>
      </c>
      <c r="AF86" s="32">
        <f t="shared" si="201"/>
        <v>10167.776999999998</v>
      </c>
      <c r="AG86" s="32">
        <f t="shared" si="201"/>
        <v>10046.220999999998</v>
      </c>
      <c r="AH86" s="32">
        <f t="shared" si="201"/>
        <v>9455.3870000000006</v>
      </c>
      <c r="AI86" s="32">
        <f t="shared" si="201"/>
        <v>9309.0730000000003</v>
      </c>
      <c r="AJ86" s="32">
        <f t="shared" si="201"/>
        <v>9026.5339999999997</v>
      </c>
      <c r="AK86" s="32">
        <f t="shared" si="201"/>
        <v>8623.264000000001</v>
      </c>
      <c r="AL86" s="32">
        <f t="shared" si="201"/>
        <v>8258.2430000000004</v>
      </c>
      <c r="AM86" s="32">
        <f t="shared" si="201"/>
        <v>8966.4060000000009</v>
      </c>
      <c r="AN86" s="32">
        <f t="shared" si="201"/>
        <v>9123.0310000000009</v>
      </c>
      <c r="AO86" s="32">
        <f t="shared" si="201"/>
        <v>9161.2430000000004</v>
      </c>
      <c r="AP86" s="32">
        <f t="shared" si="201"/>
        <v>8893</v>
      </c>
      <c r="AQ86" s="32">
        <f t="shared" si="201"/>
        <v>8298.0360000000001</v>
      </c>
      <c r="AR86" s="32">
        <f>-AR60-AQ60-AP60-AO60</f>
        <v>8002.7619999999988</v>
      </c>
      <c r="AS86" s="32">
        <f t="shared" si="201"/>
        <v>8197</v>
      </c>
      <c r="AT86" s="32">
        <f t="shared" si="201"/>
        <v>7553.9380000000001</v>
      </c>
      <c r="AU86" s="32">
        <f t="shared" si="201"/>
        <v>7459.1269999999986</v>
      </c>
      <c r="AV86" s="32">
        <f>-AV60-AU60-AT60-AS60</f>
        <v>7161.7579999999998</v>
      </c>
      <c r="AW86" s="32">
        <f t="shared" si="201"/>
        <v>6798.9379999999992</v>
      </c>
      <c r="AX86" s="32">
        <f t="shared" si="201"/>
        <v>7417.915</v>
      </c>
      <c r="AY86" s="32">
        <f t="shared" si="201"/>
        <v>7503.527</v>
      </c>
      <c r="AZ86" s="32">
        <f>-AZ60-AY60-AX60-AW60</f>
        <v>7718.1020000000008</v>
      </c>
      <c r="BA86" s="32">
        <f t="shared" si="201"/>
        <v>7311.915</v>
      </c>
      <c r="BB86" s="32">
        <f t="shared" si="201"/>
        <v>6816</v>
      </c>
      <c r="BC86" s="32">
        <f t="shared" si="201"/>
        <v>6347</v>
      </c>
      <c r="BD86" s="32"/>
    </row>
    <row r="87" spans="1:57" ht="13.5" customHeight="1">
      <c r="B87" s="1" t="s">
        <v>356</v>
      </c>
      <c r="C87" s="32">
        <f t="shared" ref="C87:P87" si="202">+C27</f>
        <v>5333.3910000000033</v>
      </c>
      <c r="D87" s="32">
        <f t="shared" si="202"/>
        <v>6026.3760000000148</v>
      </c>
      <c r="E87" s="32">
        <f t="shared" si="202"/>
        <v>7615.2370000000055</v>
      </c>
      <c r="F87" s="32">
        <f t="shared" si="202"/>
        <v>6202.8129999999928</v>
      </c>
      <c r="G87" s="32">
        <f t="shared" si="202"/>
        <v>6106.8129999999928</v>
      </c>
      <c r="H87" s="32">
        <f t="shared" si="202"/>
        <v>302.82400000000598</v>
      </c>
      <c r="I87" s="32">
        <f t="shared" si="202"/>
        <v>6578.2540000000072</v>
      </c>
      <c r="J87" s="32">
        <f t="shared" si="202"/>
        <v>7354.7999999999975</v>
      </c>
      <c r="K87" s="32">
        <f t="shared" si="202"/>
        <v>43628.877999999997</v>
      </c>
      <c r="L87" s="32">
        <f t="shared" si="202"/>
        <v>45283.823999999993</v>
      </c>
      <c r="M87" s="32">
        <f t="shared" si="202"/>
        <v>-10611.600000000004</v>
      </c>
      <c r="N87" s="32">
        <f t="shared" si="202"/>
        <v>-8807.2520000000095</v>
      </c>
      <c r="O87" s="32">
        <f t="shared" si="202"/>
        <v>-8328.3800000000047</v>
      </c>
      <c r="P87" s="32">
        <f t="shared" si="202"/>
        <v>-8561.7140000000018</v>
      </c>
      <c r="Q87" s="32">
        <f>Q27</f>
        <v>-7835.9139999999979</v>
      </c>
      <c r="R87" s="32"/>
      <c r="S87" s="32"/>
      <c r="T87" s="32"/>
      <c r="U87" s="32"/>
      <c r="V87" s="32">
        <f t="shared" ref="V87:BC87" si="203">+V27+U27+T27+S27</f>
        <v>6026.3759999999966</v>
      </c>
      <c r="W87" s="32">
        <f t="shared" si="203"/>
        <v>5307.1229999999996</v>
      </c>
      <c r="X87" s="32">
        <f t="shared" si="203"/>
        <v>8186.3109999999961</v>
      </c>
      <c r="Y87" s="32">
        <f t="shared" si="203"/>
        <v>8145.3829999999925</v>
      </c>
      <c r="Z87" s="32">
        <f t="shared" si="203"/>
        <v>7615.2370000000001</v>
      </c>
      <c r="AA87" s="32">
        <f t="shared" si="203"/>
        <v>7478.4349999999986</v>
      </c>
      <c r="AB87" s="32">
        <f t="shared" si="203"/>
        <v>3981.0940000000051</v>
      </c>
      <c r="AC87" s="32">
        <f t="shared" si="203"/>
        <v>3660.1950000000102</v>
      </c>
      <c r="AD87" s="32">
        <f t="shared" si="203"/>
        <v>6202.8129999999946</v>
      </c>
      <c r="AE87" s="32">
        <f t="shared" si="203"/>
        <v>-3558.9820000000059</v>
      </c>
      <c r="AF87" s="32">
        <f t="shared" si="203"/>
        <v>-2832.9820000000082</v>
      </c>
      <c r="AG87" s="32">
        <f t="shared" si="203"/>
        <v>-352.0680000000084</v>
      </c>
      <c r="AH87" s="32">
        <f t="shared" si="203"/>
        <v>302.82400000000962</v>
      </c>
      <c r="AI87" s="32">
        <f t="shared" si="203"/>
        <v>8880.7240000000129</v>
      </c>
      <c r="AJ87" s="32">
        <f t="shared" si="203"/>
        <v>9312.8240000000151</v>
      </c>
      <c r="AK87" s="32">
        <f t="shared" si="203"/>
        <v>6740.8970000000127</v>
      </c>
      <c r="AL87" s="32">
        <f t="shared" si="203"/>
        <v>6578.2540000000172</v>
      </c>
      <c r="AM87" s="32">
        <f t="shared" si="203"/>
        <v>59760.65400000001</v>
      </c>
      <c r="AN87" s="32">
        <f t="shared" si="203"/>
        <v>60628.554000000018</v>
      </c>
      <c r="AO87" s="32">
        <f t="shared" si="203"/>
        <v>60863.581000000013</v>
      </c>
      <c r="AP87" s="32">
        <f t="shared" si="203"/>
        <v>43628.877999999997</v>
      </c>
      <c r="AQ87" s="32">
        <f t="shared" si="203"/>
        <v>-9937.8289999999979</v>
      </c>
      <c r="AR87" s="32">
        <f t="shared" si="203"/>
        <v>-13054.728999999996</v>
      </c>
      <c r="AS87" s="32">
        <f t="shared" si="203"/>
        <v>-15663.628999999997</v>
      </c>
      <c r="AT87" s="32">
        <f t="shared" si="203"/>
        <v>-10611.600000000004</v>
      </c>
      <c r="AU87" s="32">
        <f t="shared" si="203"/>
        <v>-8949.7930000000051</v>
      </c>
      <c r="AV87" s="32">
        <f t="shared" si="203"/>
        <v>-9200.2930000000088</v>
      </c>
      <c r="AW87" s="32">
        <f t="shared" si="203"/>
        <v>-7223.5930000000089</v>
      </c>
      <c r="AX87" s="32">
        <f t="shared" si="203"/>
        <v>-8328.3800000000065</v>
      </c>
      <c r="AY87" s="32">
        <f t="shared" si="203"/>
        <v>-8948.5800000000036</v>
      </c>
      <c r="AZ87" s="32">
        <f t="shared" si="203"/>
        <v>-8318.0800000000036</v>
      </c>
      <c r="BA87" s="32">
        <f t="shared" si="203"/>
        <v>-10900.270000000004</v>
      </c>
      <c r="BB87" s="32">
        <f t="shared" si="203"/>
        <v>-8561.7139999999981</v>
      </c>
      <c r="BC87" s="32">
        <f t="shared" si="203"/>
        <v>-7835.9139999999989</v>
      </c>
      <c r="BD87" s="32"/>
    </row>
    <row r="88" spans="1:57" ht="13.5" customHeight="1">
      <c r="B88" s="1" t="s">
        <v>357</v>
      </c>
      <c r="C88" s="32">
        <f t="shared" ref="C88:H88" si="204">-C63</f>
        <v>26370.374</v>
      </c>
      <c r="D88" s="32">
        <f t="shared" si="204"/>
        <v>15848.094999999999</v>
      </c>
      <c r="E88" s="32">
        <f t="shared" si="204"/>
        <v>17474.96</v>
      </c>
      <c r="F88" s="32">
        <f t="shared" si="204"/>
        <v>18126.780999999999</v>
      </c>
      <c r="G88" s="32">
        <f t="shared" si="204"/>
        <v>18126.780999999999</v>
      </c>
      <c r="H88" s="32">
        <f t="shared" si="204"/>
        <v>18611.321</v>
      </c>
      <c r="I88" s="32">
        <f t="shared" ref="I88:Q88" si="205">-I63</f>
        <v>22595.423000000003</v>
      </c>
      <c r="J88" s="32">
        <f t="shared" si="205"/>
        <v>22595.423000000003</v>
      </c>
      <c r="K88" s="32">
        <f t="shared" si="205"/>
        <v>17051.223999999998</v>
      </c>
      <c r="L88" s="32">
        <f t="shared" si="205"/>
        <v>17051.223999999998</v>
      </c>
      <c r="M88" s="32">
        <f t="shared" si="205"/>
        <v>14659.143</v>
      </c>
      <c r="N88" s="32">
        <f t="shared" si="205"/>
        <v>14659.143</v>
      </c>
      <c r="O88" s="32">
        <f t="shared" si="205"/>
        <v>8469.4240000000009</v>
      </c>
      <c r="P88" s="32">
        <f>-P63</f>
        <v>12053.329</v>
      </c>
      <c r="Q88" s="32">
        <f t="shared" si="205"/>
        <v>12718.359</v>
      </c>
      <c r="R88" s="32"/>
      <c r="S88" s="32"/>
      <c r="T88" s="32"/>
      <c r="U88" s="32"/>
      <c r="V88" s="32">
        <f t="shared" ref="V88:BC88" si="206">-V63-U63-T63-S63</f>
        <v>15848.094999999999</v>
      </c>
      <c r="W88" s="32">
        <f>-W63-V63-U63-T63</f>
        <v>14331.323999999999</v>
      </c>
      <c r="X88" s="32">
        <f>-X63-W63-V63-U63</f>
        <v>15097.625999999998</v>
      </c>
      <c r="Y88" s="32">
        <f>-Y63-X63-W63-V63</f>
        <v>16698.241999999998</v>
      </c>
      <c r="Z88" s="32">
        <f t="shared" si="206"/>
        <v>17474.96</v>
      </c>
      <c r="AA88" s="32">
        <f t="shared" si="206"/>
        <v>18746.769</v>
      </c>
      <c r="AB88" s="32">
        <f t="shared" si="206"/>
        <v>18440.114999999998</v>
      </c>
      <c r="AC88" s="32">
        <f t="shared" si="206"/>
        <v>17460.127</v>
      </c>
      <c r="AD88" s="32">
        <f t="shared" si="206"/>
        <v>18126.780999999999</v>
      </c>
      <c r="AE88" s="32">
        <f t="shared" si="206"/>
        <v>18311.012999999999</v>
      </c>
      <c r="AF88" s="32">
        <f t="shared" si="206"/>
        <v>19197.368000000002</v>
      </c>
      <c r="AG88" s="32">
        <f t="shared" si="206"/>
        <v>20193.769999999997</v>
      </c>
      <c r="AH88" s="32">
        <f t="shared" si="206"/>
        <v>18611.321</v>
      </c>
      <c r="AI88" s="32">
        <f t="shared" si="206"/>
        <v>19578.659</v>
      </c>
      <c r="AJ88" s="32">
        <f t="shared" si="206"/>
        <v>20548.474999999999</v>
      </c>
      <c r="AK88" s="32">
        <f t="shared" si="206"/>
        <v>22150.034</v>
      </c>
      <c r="AL88" s="32">
        <f t="shared" si="206"/>
        <v>22595.423000000003</v>
      </c>
      <c r="AM88" s="32">
        <f t="shared" si="206"/>
        <v>21875.571000000004</v>
      </c>
      <c r="AN88" s="32">
        <f t="shared" si="206"/>
        <v>21269.206000000002</v>
      </c>
      <c r="AO88" s="32">
        <f t="shared" si="206"/>
        <v>18456.832000000002</v>
      </c>
      <c r="AP88" s="32">
        <f t="shared" si="206"/>
        <v>17051.223999999998</v>
      </c>
      <c r="AQ88" s="32">
        <f t="shared" si="206"/>
        <v>16423.786999999997</v>
      </c>
      <c r="AR88" s="32">
        <f>-AR63-AQ63-AP63-AO63</f>
        <v>234.0879999999961</v>
      </c>
      <c r="AS88" s="32">
        <f t="shared" si="206"/>
        <v>14488.283999999998</v>
      </c>
      <c r="AT88" s="32">
        <f t="shared" si="206"/>
        <v>14659.143</v>
      </c>
      <c r="AU88" s="32">
        <f t="shared" si="206"/>
        <v>12773.740000000002</v>
      </c>
      <c r="AV88" s="32">
        <f>-AV63-AU63-AT63-AS63</f>
        <v>25508.681</v>
      </c>
      <c r="AW88" s="32">
        <f t="shared" si="206"/>
        <v>9613.6090000000004</v>
      </c>
      <c r="AX88" s="32">
        <f t="shared" si="206"/>
        <v>8469.4240000000009</v>
      </c>
      <c r="AY88" s="32">
        <f t="shared" si="206"/>
        <v>8205.4030000000002</v>
      </c>
      <c r="AZ88" s="32">
        <f>-AZ63-AY63-AX63-AW63</f>
        <v>9033.9459999999999</v>
      </c>
      <c r="BA88" s="32">
        <f t="shared" si="206"/>
        <v>10288.168</v>
      </c>
      <c r="BB88" s="32">
        <f t="shared" si="206"/>
        <v>12053.329</v>
      </c>
      <c r="BC88" s="32">
        <f t="shared" si="206"/>
        <v>12718.359</v>
      </c>
      <c r="BD88" s="32"/>
    </row>
    <row r="89" spans="1:57" ht="13.5" customHeight="1">
      <c r="B89" s="1" t="s">
        <v>342</v>
      </c>
      <c r="C89" s="32">
        <f t="shared" ref="C89:H89" si="207">+C66</f>
        <v>-7520.7319999999945</v>
      </c>
      <c r="D89" s="32">
        <f t="shared" si="207"/>
        <v>-4217.4059999999827</v>
      </c>
      <c r="E89" s="32">
        <f t="shared" si="207"/>
        <v>-4847.7399999999889</v>
      </c>
      <c r="F89" s="32">
        <f t="shared" si="207"/>
        <v>-3710.2620000000043</v>
      </c>
      <c r="G89" s="32">
        <f t="shared" si="207"/>
        <v>-5856.8570000000018</v>
      </c>
      <c r="H89" s="32">
        <f t="shared" si="207"/>
        <v>-1358.5219999999899</v>
      </c>
      <c r="I89" s="32">
        <f t="shared" ref="I89:O89" si="208">+I66</f>
        <v>-4690.2980000000007</v>
      </c>
      <c r="J89" s="32">
        <f t="shared" si="208"/>
        <v>-17316.354000000007</v>
      </c>
      <c r="K89" s="32">
        <f t="shared" si="208"/>
        <v>-23192.043999999998</v>
      </c>
      <c r="L89" s="32">
        <f t="shared" si="208"/>
        <v>-12355.212000000003</v>
      </c>
      <c r="M89" s="32">
        <f t="shared" si="208"/>
        <v>-9177.0140000000047</v>
      </c>
      <c r="N89" s="32">
        <f t="shared" si="208"/>
        <v>-8447.2010000000118</v>
      </c>
      <c r="O89" s="32">
        <f t="shared" si="208"/>
        <v>5634.1319999999914</v>
      </c>
      <c r="P89" s="32">
        <f>+P66</f>
        <v>4373.1529999999984</v>
      </c>
      <c r="Q89" s="32">
        <f>Q66</f>
        <v>3213.8049999999994</v>
      </c>
      <c r="R89" s="32"/>
      <c r="S89" s="32"/>
      <c r="T89" s="32"/>
      <c r="U89" s="32"/>
      <c r="V89" s="32">
        <f t="shared" ref="V89:BC89" si="209">+V66+U66+T66+S66</f>
        <v>-4217.4060000000063</v>
      </c>
      <c r="W89" s="32">
        <f>+W66+V66+U66+T66</f>
        <v>-2776.6470000000022</v>
      </c>
      <c r="X89" s="32">
        <f>+X66+W66+V66+U66</f>
        <v>6542.4559999999956</v>
      </c>
      <c r="Y89" s="32">
        <f>+Y66+X66+W66+V66</f>
        <v>7376.4429999999993</v>
      </c>
      <c r="Z89" s="32">
        <f t="shared" si="209"/>
        <v>-4847.7399999999961</v>
      </c>
      <c r="AA89" s="32">
        <f t="shared" si="209"/>
        <v>-11788.021999999999</v>
      </c>
      <c r="AB89" s="32">
        <f t="shared" si="209"/>
        <v>-16849.169999999995</v>
      </c>
      <c r="AC89" s="32">
        <f t="shared" si="209"/>
        <v>-13518.197999999993</v>
      </c>
      <c r="AD89" s="32">
        <f t="shared" si="209"/>
        <v>-3710.2620000000052</v>
      </c>
      <c r="AE89" s="32">
        <f t="shared" si="209"/>
        <v>2733.7499999999955</v>
      </c>
      <c r="AF89" s="32">
        <f t="shared" si="209"/>
        <v>713.27899999999579</v>
      </c>
      <c r="AG89" s="32">
        <f t="shared" si="209"/>
        <v>-55.484000000005608</v>
      </c>
      <c r="AH89" s="32">
        <f t="shared" si="209"/>
        <v>-1358.5219999999908</v>
      </c>
      <c r="AI89" s="32">
        <f t="shared" si="209"/>
        <v>-2675.2089999999862</v>
      </c>
      <c r="AJ89" s="32">
        <f t="shared" si="209"/>
        <v>-4055.5379999999882</v>
      </c>
      <c r="AK89" s="32">
        <f t="shared" si="209"/>
        <v>-7877.716999999986</v>
      </c>
      <c r="AL89" s="32">
        <f t="shared" si="209"/>
        <v>-4690.297999999987</v>
      </c>
      <c r="AM89" s="32">
        <f t="shared" si="209"/>
        <v>15689.994000000006</v>
      </c>
      <c r="AN89" s="32">
        <f t="shared" si="209"/>
        <v>-23012.488999999998</v>
      </c>
      <c r="AO89" s="32">
        <f t="shared" si="209"/>
        <v>-20365.217999999997</v>
      </c>
      <c r="AP89" s="32">
        <f t="shared" si="209"/>
        <v>-23192.044000000005</v>
      </c>
      <c r="AQ89" s="32">
        <f t="shared" si="209"/>
        <v>-46661.466999999997</v>
      </c>
      <c r="AR89" s="32">
        <f>+AR66+AQ66+AP66+AO66</f>
        <v>6953.6110000000081</v>
      </c>
      <c r="AS89" s="32">
        <f t="shared" si="209"/>
        <v>-10739.879999999997</v>
      </c>
      <c r="AT89" s="32">
        <f t="shared" si="209"/>
        <v>-9177.0140000000065</v>
      </c>
      <c r="AU89" s="32">
        <f t="shared" si="209"/>
        <v>-4976.2770000000091</v>
      </c>
      <c r="AV89" s="32">
        <f>+AV66+AU66+AT66+AS66</f>
        <v>-16508.203000000009</v>
      </c>
      <c r="AW89" s="32">
        <f t="shared" si="209"/>
        <v>3336.3139999999939</v>
      </c>
      <c r="AX89" s="32">
        <f t="shared" si="209"/>
        <v>5634.1319999999978</v>
      </c>
      <c r="AY89" s="32">
        <f t="shared" si="209"/>
        <v>6384.4149999999991</v>
      </c>
      <c r="AZ89" s="32">
        <f>+AZ66+AY66+AX66+AW66</f>
        <v>4721.4079999999967</v>
      </c>
      <c r="BA89" s="32">
        <f t="shared" si="209"/>
        <v>1974.8119999999972</v>
      </c>
      <c r="BB89" s="32">
        <f t="shared" si="209"/>
        <v>4373.1529999999975</v>
      </c>
      <c r="BC89" s="32">
        <f t="shared" si="209"/>
        <v>3213.8049999999957</v>
      </c>
      <c r="BD89" s="32"/>
    </row>
    <row r="90" spans="1:57" ht="13.5" customHeight="1"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</row>
    <row r="91" spans="1:57" ht="13.5" customHeight="1">
      <c r="A91" s="23"/>
      <c r="B91" s="15" t="s">
        <v>358</v>
      </c>
      <c r="C91" s="36">
        <f>+C81</f>
        <v>42735</v>
      </c>
      <c r="D91" s="69">
        <f>+D81</f>
        <v>43100</v>
      </c>
      <c r="E91" s="69">
        <f t="shared" ref="E91:P91" si="210">E3</f>
        <v>43465</v>
      </c>
      <c r="F91" s="69">
        <f t="shared" si="210"/>
        <v>43830</v>
      </c>
      <c r="G91" s="69">
        <f t="shared" si="210"/>
        <v>43830</v>
      </c>
      <c r="H91" s="69">
        <f t="shared" si="210"/>
        <v>44196</v>
      </c>
      <c r="I91" s="69">
        <f t="shared" si="210"/>
        <v>44561</v>
      </c>
      <c r="J91" s="69">
        <f t="shared" si="210"/>
        <v>44561</v>
      </c>
      <c r="K91" s="69">
        <f t="shared" si="210"/>
        <v>44926</v>
      </c>
      <c r="L91" s="69">
        <f t="shared" si="210"/>
        <v>44926</v>
      </c>
      <c r="M91" s="69">
        <f t="shared" si="210"/>
        <v>45291</v>
      </c>
      <c r="N91" s="69">
        <f t="shared" si="210"/>
        <v>45291</v>
      </c>
      <c r="O91" s="69">
        <f t="shared" si="210"/>
        <v>45657</v>
      </c>
      <c r="P91" s="69">
        <f t="shared" si="210"/>
        <v>46022</v>
      </c>
      <c r="Q91" s="121">
        <f>+Q81</f>
        <v>46112</v>
      </c>
      <c r="R91" s="209" t="s">
        <v>325</v>
      </c>
      <c r="S91" s="36">
        <f>+S81</f>
        <v>42825</v>
      </c>
      <c r="T91" s="36">
        <f>+T81</f>
        <v>42916</v>
      </c>
      <c r="U91" s="36">
        <f>+U81</f>
        <v>43008</v>
      </c>
      <c r="V91" s="36">
        <f>+V81</f>
        <v>43100</v>
      </c>
      <c r="W91" s="36">
        <f>+W81</f>
        <v>43190</v>
      </c>
      <c r="X91" s="36">
        <f>X3</f>
        <v>43281</v>
      </c>
      <c r="Y91" s="36">
        <f>Y3</f>
        <v>43373</v>
      </c>
      <c r="Z91" s="36">
        <f>Z3</f>
        <v>43465</v>
      </c>
      <c r="AA91" s="36">
        <f>+AA81</f>
        <v>43555</v>
      </c>
      <c r="AB91" s="36">
        <f>AB3</f>
        <v>43646</v>
      </c>
      <c r="AC91" s="36">
        <f t="shared" ref="AC91:AH91" si="211">+AC81</f>
        <v>43738</v>
      </c>
      <c r="AD91" s="36">
        <f t="shared" si="211"/>
        <v>43830</v>
      </c>
      <c r="AE91" s="36">
        <f t="shared" si="211"/>
        <v>43921</v>
      </c>
      <c r="AF91" s="36">
        <f t="shared" si="211"/>
        <v>44012</v>
      </c>
      <c r="AG91" s="36">
        <f t="shared" si="211"/>
        <v>44104</v>
      </c>
      <c r="AH91" s="36">
        <f t="shared" si="211"/>
        <v>44196</v>
      </c>
      <c r="AI91" s="36">
        <f t="shared" ref="AI91:AN91" si="212">+AI81</f>
        <v>44286</v>
      </c>
      <c r="AJ91" s="36">
        <f t="shared" si="212"/>
        <v>44377</v>
      </c>
      <c r="AK91" s="36">
        <f t="shared" si="212"/>
        <v>44469</v>
      </c>
      <c r="AL91" s="36">
        <f t="shared" si="212"/>
        <v>44561</v>
      </c>
      <c r="AM91" s="36">
        <f t="shared" si="212"/>
        <v>44651</v>
      </c>
      <c r="AN91" s="36">
        <f t="shared" si="212"/>
        <v>44742</v>
      </c>
      <c r="AO91" s="36">
        <f t="shared" ref="AO91:AY91" si="213">+AO81</f>
        <v>44834</v>
      </c>
      <c r="AP91" s="36">
        <f t="shared" si="213"/>
        <v>44926</v>
      </c>
      <c r="AQ91" s="36">
        <f t="shared" si="213"/>
        <v>45016</v>
      </c>
      <c r="AR91" s="92">
        <f t="shared" si="213"/>
        <v>45107</v>
      </c>
      <c r="AS91" s="92">
        <f t="shared" si="213"/>
        <v>45199</v>
      </c>
      <c r="AT91" s="92">
        <f t="shared" si="213"/>
        <v>45291</v>
      </c>
      <c r="AU91" s="92">
        <f t="shared" si="213"/>
        <v>45382</v>
      </c>
      <c r="AV91" s="92">
        <f t="shared" si="213"/>
        <v>45473</v>
      </c>
      <c r="AW91" s="92">
        <f t="shared" si="213"/>
        <v>45565</v>
      </c>
      <c r="AX91" s="92">
        <f t="shared" si="213"/>
        <v>45657</v>
      </c>
      <c r="AY91" s="92">
        <f t="shared" si="213"/>
        <v>45747</v>
      </c>
      <c r="AZ91" s="92">
        <f>+AZ81</f>
        <v>45838</v>
      </c>
      <c r="BA91" s="92">
        <f>+BA81</f>
        <v>45930</v>
      </c>
      <c r="BB91" s="92">
        <f>+BB81</f>
        <v>46022</v>
      </c>
      <c r="BC91" s="92">
        <f>+BC81</f>
        <v>46112</v>
      </c>
      <c r="BD91" s="270"/>
    </row>
    <row r="92" spans="1:57" ht="13.5" customHeight="1">
      <c r="C92" s="228"/>
      <c r="D92" s="78"/>
      <c r="E92" s="78"/>
      <c r="F92" s="78"/>
      <c r="G92" s="78"/>
      <c r="H92" s="78"/>
      <c r="I92" s="228"/>
      <c r="J92" s="78"/>
      <c r="K92" s="78"/>
      <c r="L92" s="78"/>
      <c r="M92" s="78"/>
      <c r="N92" s="78"/>
      <c r="O92" s="78"/>
    </row>
    <row r="93" spans="1:57" s="5" customFormat="1" ht="13.5" customHeight="1">
      <c r="B93" s="1" t="s">
        <v>359</v>
      </c>
      <c r="C93" s="229">
        <v>86783.572</v>
      </c>
      <c r="D93" s="61">
        <v>85719.81</v>
      </c>
      <c r="E93" s="61">
        <v>87342.53</v>
      </c>
      <c r="F93" s="61">
        <f>83329.232+7553.052</f>
        <v>90882.284</v>
      </c>
      <c r="G93" s="61">
        <f>83329.232+7553.052</f>
        <v>90882.284</v>
      </c>
      <c r="H93" s="61">
        <f>83281.627+7212.165</f>
        <v>90493.791999999987</v>
      </c>
      <c r="I93" s="229">
        <f>87922.126+7604.567</f>
        <v>95526.692999999999</v>
      </c>
      <c r="J93" s="61">
        <f>87922.126+7604.567</f>
        <v>95526.692999999999</v>
      </c>
      <c r="K93" s="61">
        <f>82236.399+6670.298</f>
        <v>88906.697</v>
      </c>
      <c r="L93" s="61">
        <f>82236.399+6670.298</f>
        <v>88906.697</v>
      </c>
      <c r="M93" s="61">
        <f>77848.1+6085.9</f>
        <v>83934</v>
      </c>
      <c r="N93" s="61">
        <f>77848.1+6085.9</f>
        <v>83934</v>
      </c>
      <c r="O93" s="61">
        <f>63664.261+3336.917</f>
        <v>67001.178</v>
      </c>
      <c r="P93" s="61">
        <f>61142.7+4184.5</f>
        <v>65327.199999999997</v>
      </c>
      <c r="Q93" s="32">
        <f>BC93</f>
        <v>65039.6</v>
      </c>
      <c r="R93" s="32"/>
      <c r="S93" s="61">
        <v>86771.538</v>
      </c>
      <c r="T93" s="61">
        <v>85560.824999999997</v>
      </c>
      <c r="U93" s="61">
        <v>84869.960999999996</v>
      </c>
      <c r="V93" s="64">
        <f>+D93</f>
        <v>85719.81</v>
      </c>
      <c r="W93" s="61">
        <v>84176.944000000003</v>
      </c>
      <c r="X93" s="61">
        <v>83738.438999999998</v>
      </c>
      <c r="Y93" s="61">
        <v>84265.782000000007</v>
      </c>
      <c r="Z93" s="64">
        <f>E93</f>
        <v>87342.53</v>
      </c>
      <c r="AA93" s="61">
        <f>83691.784+7988.523</f>
        <v>91680.307000000001</v>
      </c>
      <c r="AB93" s="61">
        <f>82753.5+7726.8</f>
        <v>90480.3</v>
      </c>
      <c r="AC93" s="61">
        <f>83368.358+7676.159</f>
        <v>91044.516999999993</v>
      </c>
      <c r="AD93" s="64">
        <f>F93</f>
        <v>90882.284</v>
      </c>
      <c r="AE93" s="61">
        <f>83329.5+7477.7</f>
        <v>90807.2</v>
      </c>
      <c r="AF93" s="61">
        <f>82896.955+7165.78</f>
        <v>90062.735000000001</v>
      </c>
      <c r="AG93" s="61">
        <f>83540.9+7227.7</f>
        <v>90768.599999999991</v>
      </c>
      <c r="AH93" s="64">
        <f>H93</f>
        <v>90493.791999999987</v>
      </c>
      <c r="AI93" s="61">
        <f>84100.5+6912.5</f>
        <v>91013</v>
      </c>
      <c r="AJ93" s="61">
        <f>84863.4+6911.5</f>
        <v>91774.9</v>
      </c>
      <c r="AK93" s="61">
        <f>87078.758+7122.599</f>
        <v>94201.357000000004</v>
      </c>
      <c r="AL93" s="64">
        <f>I93</f>
        <v>95526.692999999999</v>
      </c>
      <c r="AM93" s="61">
        <f>85551.3+7009.9</f>
        <v>92561.2</v>
      </c>
      <c r="AN93" s="61">
        <f>85914+6723.9</f>
        <v>92637.9</v>
      </c>
      <c r="AO93" s="61">
        <f>82295+6548.3</f>
        <v>88843.3</v>
      </c>
      <c r="AP93" s="64">
        <f>K93</f>
        <v>88906.697</v>
      </c>
      <c r="AQ93" s="61">
        <f>81596.663+6581.288</f>
        <v>88177.951000000001</v>
      </c>
      <c r="AR93" s="61">
        <f>80732.3+6403</f>
        <v>87135.3</v>
      </c>
      <c r="AS93" s="61">
        <f>79091.3+6229.3</f>
        <v>85320.6</v>
      </c>
      <c r="AT93" s="64">
        <f>M93</f>
        <v>83934</v>
      </c>
      <c r="AU93" s="61">
        <f>70412.7+4927</f>
        <v>75339.7</v>
      </c>
      <c r="AV93" s="61">
        <f>66970.9+4598.6</f>
        <v>71569.5</v>
      </c>
      <c r="AW93" s="61">
        <f>65396.1+4151.2</f>
        <v>69547.3</v>
      </c>
      <c r="AX93" s="64">
        <f>O93</f>
        <v>67001.178</v>
      </c>
      <c r="AY93" s="61">
        <f>61643.87+3140.997</f>
        <v>64784.867000000006</v>
      </c>
      <c r="AZ93" s="61">
        <f>59985.684+3034.355</f>
        <v>63020.039000000004</v>
      </c>
      <c r="BA93" s="61">
        <f>60094.005+3288.584</f>
        <v>63382.589</v>
      </c>
      <c r="BB93" s="64">
        <f>P93</f>
        <v>65327.199999999997</v>
      </c>
      <c r="BC93" s="61">
        <f>59624.5+5415.1</f>
        <v>65039.6</v>
      </c>
      <c r="BD93" s="61"/>
    </row>
    <row r="94" spans="1:57" s="5" customFormat="1" ht="13.5" customHeight="1">
      <c r="B94" s="1" t="s">
        <v>360</v>
      </c>
      <c r="C94" s="229">
        <v>520.47299999999996</v>
      </c>
      <c r="D94" s="61">
        <v>716.09500000000003</v>
      </c>
      <c r="E94" s="61">
        <v>962.49699999999996</v>
      </c>
      <c r="F94" s="61">
        <v>1468.1120000000001</v>
      </c>
      <c r="G94" s="61">
        <v>1468.1120000000001</v>
      </c>
      <c r="H94" s="61">
        <v>2080.6509999999998</v>
      </c>
      <c r="I94" s="229">
        <v>1941.836</v>
      </c>
      <c r="J94" s="61">
        <v>1913.68</v>
      </c>
      <c r="K94" s="61">
        <v>771.46799999999996</v>
      </c>
      <c r="L94" s="61">
        <v>771.46799999999996</v>
      </c>
      <c r="M94" s="61">
        <v>733.1</v>
      </c>
      <c r="N94" s="61">
        <v>733.1</v>
      </c>
      <c r="O94" s="61">
        <v>772.48199999999997</v>
      </c>
      <c r="P94" s="61">
        <v>954.2</v>
      </c>
      <c r="Q94" s="32">
        <f>BC94</f>
        <v>934.8</v>
      </c>
      <c r="R94" s="276"/>
      <c r="S94" s="61">
        <v>449.84100000000001</v>
      </c>
      <c r="T94" s="61">
        <v>440.88099999999997</v>
      </c>
      <c r="U94" s="61">
        <v>455.11599999999999</v>
      </c>
      <c r="V94" s="64">
        <f>+D94</f>
        <v>716.09500000000003</v>
      </c>
      <c r="W94" s="61">
        <v>757.22</v>
      </c>
      <c r="X94" s="61">
        <v>783.71</v>
      </c>
      <c r="Y94" s="61">
        <v>808.36199999999997</v>
      </c>
      <c r="Z94" s="64">
        <f>E94</f>
        <v>962.49699999999996</v>
      </c>
      <c r="AA94" s="61">
        <v>988.04100000000005</v>
      </c>
      <c r="AB94" s="61">
        <v>1019.1</v>
      </c>
      <c r="AC94" s="61">
        <v>1015.874</v>
      </c>
      <c r="AD94" s="64">
        <f>F94</f>
        <v>1468.1120000000001</v>
      </c>
      <c r="AE94" s="61">
        <v>1517.6</v>
      </c>
      <c r="AF94" s="61">
        <v>1531.8589999999999</v>
      </c>
      <c r="AG94" s="61">
        <v>1586.9</v>
      </c>
      <c r="AH94" s="64">
        <f>H94</f>
        <v>2080.6509999999998</v>
      </c>
      <c r="AI94" s="61">
        <v>2120.6999999999998</v>
      </c>
      <c r="AJ94" s="61">
        <v>2167.1999999999998</v>
      </c>
      <c r="AK94" s="61">
        <v>2199.2689999999998</v>
      </c>
      <c r="AL94" s="64">
        <f>I94</f>
        <v>1941.836</v>
      </c>
      <c r="AM94" s="61">
        <v>823.76700000000005</v>
      </c>
      <c r="AN94" s="61">
        <v>798.6</v>
      </c>
      <c r="AO94" s="61">
        <v>861.1</v>
      </c>
      <c r="AP94" s="64">
        <f>K94</f>
        <v>771.46799999999996</v>
      </c>
      <c r="AQ94" s="61">
        <v>795.07100000000003</v>
      </c>
      <c r="AR94" s="61">
        <v>817.8</v>
      </c>
      <c r="AS94" s="61">
        <v>816.1</v>
      </c>
      <c r="AT94" s="64">
        <f>M94</f>
        <v>733.1</v>
      </c>
      <c r="AU94" s="61">
        <v>688.5</v>
      </c>
      <c r="AV94" s="61">
        <v>688.4</v>
      </c>
      <c r="AW94" s="61">
        <v>672.6</v>
      </c>
      <c r="AX94" s="64">
        <f>O94</f>
        <v>772.48199999999997</v>
      </c>
      <c r="AY94" s="61">
        <v>776.90300000000002</v>
      </c>
      <c r="AZ94" s="61">
        <v>0</v>
      </c>
      <c r="BA94" s="61">
        <v>830.86300000000006</v>
      </c>
      <c r="BB94" s="64">
        <f>P94</f>
        <v>954.2</v>
      </c>
      <c r="BC94" s="61">
        <v>934.8</v>
      </c>
      <c r="BD94" s="61"/>
    </row>
    <row r="95" spans="1:57" s="5" customFormat="1" ht="13.5" customHeight="1">
      <c r="B95" s="6" t="s">
        <v>361</v>
      </c>
      <c r="C95" s="4">
        <v>1899.078</v>
      </c>
      <c r="D95" s="61">
        <v>1492.9469999999999</v>
      </c>
      <c r="E95" s="61">
        <v>1026.4280000000001</v>
      </c>
      <c r="F95" s="61">
        <v>1151.421</v>
      </c>
      <c r="G95" s="61">
        <v>1151.421</v>
      </c>
      <c r="H95" s="61">
        <v>1641.3</v>
      </c>
      <c r="I95" s="229">
        <v>2212.8589999999999</v>
      </c>
      <c r="J95" s="61">
        <v>2212.8589999999999</v>
      </c>
      <c r="K95" s="61">
        <v>1448.278</v>
      </c>
      <c r="L95" s="61">
        <v>1448.278</v>
      </c>
      <c r="M95" s="61">
        <v>1261.3</v>
      </c>
      <c r="N95" s="61">
        <v>1261.3</v>
      </c>
      <c r="O95" s="61">
        <v>463.22500000000002</v>
      </c>
      <c r="P95" s="61">
        <v>584.87800000000004</v>
      </c>
      <c r="Q95" s="32">
        <f>BC95</f>
        <v>557.70000000000005</v>
      </c>
      <c r="R95" s="276"/>
      <c r="S95" s="61">
        <v>1880.9749999999999</v>
      </c>
      <c r="T95" s="61">
        <v>1890.874</v>
      </c>
      <c r="U95" s="61">
        <v>1577.3240000000001</v>
      </c>
      <c r="V95" s="64">
        <f>+D95</f>
        <v>1492.9469999999999</v>
      </c>
      <c r="W95" s="61">
        <v>1044.3240000000001</v>
      </c>
      <c r="X95" s="61">
        <v>1132.085</v>
      </c>
      <c r="Y95" s="61">
        <v>1045.297</v>
      </c>
      <c r="Z95" s="64">
        <f>E95</f>
        <v>1026.4280000000001</v>
      </c>
      <c r="AA95" s="61">
        <v>1042.4659999999999</v>
      </c>
      <c r="AB95" s="61">
        <v>1224</v>
      </c>
      <c r="AC95" s="61">
        <v>1354.241</v>
      </c>
      <c r="AD95" s="64">
        <f>F95</f>
        <v>1151.421</v>
      </c>
      <c r="AE95" s="61">
        <v>1115.7</v>
      </c>
      <c r="AF95" s="61">
        <f>1290.76</f>
        <v>1290.76</v>
      </c>
      <c r="AG95" s="61">
        <v>1780</v>
      </c>
      <c r="AH95" s="64">
        <f>H95</f>
        <v>1641.3</v>
      </c>
      <c r="AI95" s="61">
        <v>2259.5</v>
      </c>
      <c r="AJ95" s="61">
        <v>2458</v>
      </c>
      <c r="AK95" s="61">
        <v>2272.0279999999998</v>
      </c>
      <c r="AL95" s="64">
        <f>I95</f>
        <v>2212.8589999999999</v>
      </c>
      <c r="AM95" s="61">
        <v>2096.181</v>
      </c>
      <c r="AN95" s="61">
        <v>2211.6999999999998</v>
      </c>
      <c r="AO95" s="61">
        <v>2114.1</v>
      </c>
      <c r="AP95" s="64">
        <f>K95</f>
        <v>1448.278</v>
      </c>
      <c r="AQ95" s="61">
        <v>1475.058</v>
      </c>
      <c r="AR95" s="61">
        <v>1369.2</v>
      </c>
      <c r="AS95" s="61">
        <v>1312.6</v>
      </c>
      <c r="AT95" s="64">
        <f>M95</f>
        <v>1261.3</v>
      </c>
      <c r="AU95" s="61">
        <v>823.6</v>
      </c>
      <c r="AV95" s="61">
        <v>766.9</v>
      </c>
      <c r="AW95" s="61">
        <v>565.6</v>
      </c>
      <c r="AX95" s="64">
        <f>O95</f>
        <v>463.22500000000002</v>
      </c>
      <c r="AY95" s="61">
        <v>505.43599999999998</v>
      </c>
      <c r="AZ95" s="61">
        <v>546.71600000000001</v>
      </c>
      <c r="BA95" s="61">
        <v>419.50799999999998</v>
      </c>
      <c r="BB95" s="64">
        <f>P95</f>
        <v>584.87800000000004</v>
      </c>
      <c r="BC95" s="61">
        <v>557.70000000000005</v>
      </c>
      <c r="BD95" s="61"/>
    </row>
    <row r="96" spans="1:57" s="5" customFormat="1" ht="13.5" customHeight="1">
      <c r="B96" s="6" t="s">
        <v>362</v>
      </c>
      <c r="C96" s="4">
        <v>30992.004000000001</v>
      </c>
      <c r="D96" s="61">
        <v>30357.412</v>
      </c>
      <c r="E96" s="61">
        <v>28225.291000000001</v>
      </c>
      <c r="F96" s="61">
        <v>25335.712</v>
      </c>
      <c r="G96" s="61">
        <f>14486.184</f>
        <v>14486.183999999999</v>
      </c>
      <c r="H96" s="61">
        <f>12343.797</f>
        <v>12343.797</v>
      </c>
      <c r="I96" s="229">
        <v>13312.919</v>
      </c>
      <c r="J96" s="61">
        <v>28581.358</v>
      </c>
      <c r="K96" s="61">
        <v>8457.2999999999993</v>
      </c>
      <c r="L96" s="61">
        <v>8457.2999999999993</v>
      </c>
      <c r="M96" s="61">
        <v>8131.5</v>
      </c>
      <c r="N96" s="61">
        <v>8131.5</v>
      </c>
      <c r="O96" s="61">
        <v>6175.8190000000004</v>
      </c>
      <c r="P96" s="61">
        <v>5815.2</v>
      </c>
      <c r="Q96" s="32">
        <f>BC96</f>
        <v>5296.7</v>
      </c>
      <c r="R96" s="32"/>
      <c r="S96" s="61">
        <v>26275.870999999999</v>
      </c>
      <c r="T96" s="61">
        <v>22633.868999999999</v>
      </c>
      <c r="U96" s="61">
        <v>20872.493999999999</v>
      </c>
      <c r="V96" s="64">
        <f>+D96</f>
        <v>30357.412</v>
      </c>
      <c r="W96" s="61">
        <v>28082.348000000002</v>
      </c>
      <c r="X96" s="61">
        <v>27421.035</v>
      </c>
      <c r="Y96" s="61">
        <v>23687.944</v>
      </c>
      <c r="Z96" s="64">
        <f>E96</f>
        <v>28225.291000000001</v>
      </c>
      <c r="AA96" s="61">
        <v>35155.919999999998</v>
      </c>
      <c r="AB96" s="61">
        <v>33248.544000000002</v>
      </c>
      <c r="AC96" s="61">
        <v>28440.722000000002</v>
      </c>
      <c r="AD96" s="64">
        <f>F96</f>
        <v>25335.712</v>
      </c>
      <c r="AE96" s="61">
        <v>20749.099999999999</v>
      </c>
      <c r="AF96" s="61">
        <v>22927.120999999999</v>
      </c>
      <c r="AG96" s="61">
        <v>18064.7</v>
      </c>
      <c r="AH96" s="64">
        <f>H96</f>
        <v>12343.797</v>
      </c>
      <c r="AI96" s="61">
        <v>21888.9</v>
      </c>
      <c r="AJ96" s="61">
        <v>21294.7</v>
      </c>
      <c r="AK96" s="61">
        <v>15414.332</v>
      </c>
      <c r="AL96" s="64">
        <f>I96</f>
        <v>13312.919</v>
      </c>
      <c r="AM96" s="61">
        <v>8725.2919999999995</v>
      </c>
      <c r="AN96" s="61">
        <v>9051.7999999999993</v>
      </c>
      <c r="AO96" s="61">
        <v>9505.1</v>
      </c>
      <c r="AP96" s="64">
        <f>K96</f>
        <v>8457.2999999999993</v>
      </c>
      <c r="AQ96" s="61">
        <v>9336.9</v>
      </c>
      <c r="AR96" s="61">
        <f>8629.3</f>
        <v>8629.2999999999993</v>
      </c>
      <c r="AS96" s="61">
        <v>9339.6</v>
      </c>
      <c r="AT96" s="64">
        <f>M96</f>
        <v>8131.5</v>
      </c>
      <c r="AU96" s="61">
        <v>9620.1</v>
      </c>
      <c r="AV96" s="61">
        <v>8043.7</v>
      </c>
      <c r="AW96" s="61">
        <v>7664.4</v>
      </c>
      <c r="AX96" s="64">
        <f>O96</f>
        <v>6175.8190000000004</v>
      </c>
      <c r="AY96" s="61">
        <v>6153.5450000000001</v>
      </c>
      <c r="AZ96" s="61">
        <v>5553.3040000000001</v>
      </c>
      <c r="BA96" s="61">
        <v>6146.9139999999998</v>
      </c>
      <c r="BB96" s="64">
        <f>P96</f>
        <v>5815.2</v>
      </c>
      <c r="BC96" s="61">
        <v>5296.7</v>
      </c>
      <c r="BD96" s="61"/>
    </row>
    <row r="97" spans="2:57" s="5" customFormat="1" ht="13.5" customHeight="1">
      <c r="B97" s="6" t="s">
        <v>363</v>
      </c>
      <c r="C97" s="4">
        <v>50926.584999999999</v>
      </c>
      <c r="D97" s="61">
        <v>44353.813000000002</v>
      </c>
      <c r="E97" s="61">
        <v>41699.815000000002</v>
      </c>
      <c r="F97" s="61">
        <v>33876.5</v>
      </c>
      <c r="G97" s="61">
        <f>20909.655</f>
        <v>20909.654999999999</v>
      </c>
      <c r="H97" s="61">
        <f>21943.227</f>
        <v>21943.226999999999</v>
      </c>
      <c r="I97" s="229">
        <v>22588.45</v>
      </c>
      <c r="J97" s="61">
        <v>41219.137000000002</v>
      </c>
      <c r="K97" s="61">
        <v>16083.9</v>
      </c>
      <c r="L97" s="61">
        <v>16083.9</v>
      </c>
      <c r="M97" s="61">
        <v>13673.6</v>
      </c>
      <c r="N97" s="61">
        <v>12861.121999999999</v>
      </c>
      <c r="O97" s="61">
        <f>11329.869</f>
        <v>11329.869000000001</v>
      </c>
      <c r="P97" s="61">
        <v>14384.3</v>
      </c>
      <c r="Q97" s="32">
        <f>BC97</f>
        <v>13569.8</v>
      </c>
      <c r="R97" s="32"/>
      <c r="S97" s="61">
        <v>48814.949000000001</v>
      </c>
      <c r="T97" s="61">
        <v>41875.976000000002</v>
      </c>
      <c r="U97" s="61">
        <v>35709.728000000003</v>
      </c>
      <c r="V97" s="64">
        <f>+D97</f>
        <v>44353.813000000002</v>
      </c>
      <c r="W97" s="61">
        <v>43737.754000000001</v>
      </c>
      <c r="X97" s="61">
        <v>40257.72</v>
      </c>
      <c r="Y97" s="61">
        <v>35628.11</v>
      </c>
      <c r="Z97" s="64">
        <f>E97</f>
        <v>41699.815000000002</v>
      </c>
      <c r="AA97" s="61">
        <v>45924.300999999999</v>
      </c>
      <c r="AB97" s="61">
        <v>44859.165000000001</v>
      </c>
      <c r="AC97" s="61">
        <v>39705.067000000003</v>
      </c>
      <c r="AD97" s="64">
        <f>F97</f>
        <v>33876.5</v>
      </c>
      <c r="AE97" s="61">
        <v>24341.9</v>
      </c>
      <c r="AF97" s="61">
        <v>26453.797999999999</v>
      </c>
      <c r="AG97" s="61">
        <v>26621.3</v>
      </c>
      <c r="AH97" s="64">
        <f>H97</f>
        <v>21943.226999999999</v>
      </c>
      <c r="AI97" s="61">
        <v>26806.2</v>
      </c>
      <c r="AJ97" s="61">
        <v>25927</v>
      </c>
      <c r="AK97" s="61">
        <v>23038.456999999999</v>
      </c>
      <c r="AL97" s="64">
        <f>I97</f>
        <v>22588.45</v>
      </c>
      <c r="AM97" s="61">
        <v>17235.544999999998</v>
      </c>
      <c r="AN97" s="61">
        <v>18050.900000000001</v>
      </c>
      <c r="AO97" s="61">
        <v>17411.900000000001</v>
      </c>
      <c r="AP97" s="64">
        <f>K97</f>
        <v>16083.9</v>
      </c>
      <c r="AQ97" s="61">
        <v>17554.8</v>
      </c>
      <c r="AR97" s="61">
        <v>16112.7</v>
      </c>
      <c r="AS97" s="61">
        <v>15600.8</v>
      </c>
      <c r="AT97" s="64">
        <f>M97</f>
        <v>13673.6</v>
      </c>
      <c r="AU97" s="61">
        <v>13784.1</v>
      </c>
      <c r="AV97" s="61">
        <v>12204.2</v>
      </c>
      <c r="AW97" s="61">
        <v>13065</v>
      </c>
      <c r="AX97" s="64">
        <f>O97</f>
        <v>11329.869000000001</v>
      </c>
      <c r="AY97" s="61">
        <v>12746.09</v>
      </c>
      <c r="AZ97" s="61">
        <v>11903.975</v>
      </c>
      <c r="BA97" s="61">
        <v>12553.011</v>
      </c>
      <c r="BB97" s="64">
        <f>P97</f>
        <v>14384.3</v>
      </c>
      <c r="BC97" s="61">
        <v>13569.8</v>
      </c>
      <c r="BD97" s="61"/>
    </row>
    <row r="98" spans="2:57" s="5" customFormat="1" ht="13.5" customHeight="1">
      <c r="B98" s="5" t="s">
        <v>364</v>
      </c>
      <c r="C98" s="7">
        <f t="shared" ref="C98:H98" si="214">C95+C96-C97</f>
        <v>-18035.502999999997</v>
      </c>
      <c r="D98" s="65">
        <f t="shared" si="214"/>
        <v>-12503.454000000002</v>
      </c>
      <c r="E98" s="65">
        <f t="shared" si="214"/>
        <v>-12448.096000000001</v>
      </c>
      <c r="F98" s="65">
        <f t="shared" si="214"/>
        <v>-7389.367000000002</v>
      </c>
      <c r="G98" s="65">
        <f t="shared" si="214"/>
        <v>-5272.0499999999993</v>
      </c>
      <c r="H98" s="65">
        <f t="shared" si="214"/>
        <v>-7958.1299999999992</v>
      </c>
      <c r="I98" s="231">
        <f t="shared" ref="I98:Q98" si="215">I95+I96-I97</f>
        <v>-7062.6720000000005</v>
      </c>
      <c r="J98" s="65">
        <f t="shared" si="215"/>
        <v>-10424.920000000002</v>
      </c>
      <c r="K98" s="65">
        <f t="shared" si="215"/>
        <v>-6178.3220000000001</v>
      </c>
      <c r="L98" s="65">
        <f t="shared" si="215"/>
        <v>-6178.3220000000001</v>
      </c>
      <c r="M98" s="65">
        <f t="shared" si="215"/>
        <v>-4280.8000000000011</v>
      </c>
      <c r="N98" s="65">
        <f t="shared" si="215"/>
        <v>-3468.3220000000001</v>
      </c>
      <c r="O98" s="65">
        <f t="shared" si="215"/>
        <v>-4690.8249999999998</v>
      </c>
      <c r="P98" s="65">
        <f>P95+P96-P97</f>
        <v>-7984.2219999999998</v>
      </c>
      <c r="Q98" s="65">
        <f t="shared" si="215"/>
        <v>-7715.4</v>
      </c>
      <c r="R98" s="7"/>
      <c r="S98" s="65">
        <f>S95+S96-S97</f>
        <v>-20658.103000000003</v>
      </c>
      <c r="T98" s="65">
        <f>T95+T96-T97</f>
        <v>-17351.233000000004</v>
      </c>
      <c r="U98" s="65">
        <f t="shared" ref="U98:Z98" si="216">U95+U96-U97</f>
        <v>-13259.910000000003</v>
      </c>
      <c r="V98" s="65">
        <f t="shared" si="216"/>
        <v>-12503.454000000002</v>
      </c>
      <c r="W98" s="65">
        <f t="shared" si="216"/>
        <v>-14611.081999999999</v>
      </c>
      <c r="X98" s="65">
        <f t="shared" si="216"/>
        <v>-11704.600000000002</v>
      </c>
      <c r="Y98" s="65">
        <f t="shared" si="216"/>
        <v>-10894.869000000002</v>
      </c>
      <c r="Z98" s="65">
        <f t="shared" si="216"/>
        <v>-12448.096000000001</v>
      </c>
      <c r="AA98" s="65">
        <f t="shared" ref="AA98:AG98" si="217">AA95+AA96-AA97</f>
        <v>-9725.9150000000009</v>
      </c>
      <c r="AB98" s="65">
        <f t="shared" si="217"/>
        <v>-10386.620999999999</v>
      </c>
      <c r="AC98" s="65">
        <f t="shared" si="217"/>
        <v>-9910.1039999999994</v>
      </c>
      <c r="AD98" s="65">
        <f t="shared" si="217"/>
        <v>-7389.367000000002</v>
      </c>
      <c r="AE98" s="65">
        <f t="shared" si="217"/>
        <v>-2477.1000000000022</v>
      </c>
      <c r="AF98" s="65">
        <f t="shared" si="217"/>
        <v>-2235.9170000000013</v>
      </c>
      <c r="AG98" s="65">
        <f t="shared" si="217"/>
        <v>-6776.5999999999985</v>
      </c>
      <c r="AH98" s="65">
        <f t="shared" ref="AH98:AM98" si="218">AH95+AH96-AH97</f>
        <v>-7958.1299999999992</v>
      </c>
      <c r="AI98" s="65">
        <f t="shared" si="218"/>
        <v>-2657.7999999999993</v>
      </c>
      <c r="AJ98" s="65">
        <f t="shared" si="218"/>
        <v>-2174.2999999999993</v>
      </c>
      <c r="AK98" s="65">
        <f t="shared" si="218"/>
        <v>-5352.0969999999979</v>
      </c>
      <c r="AL98" s="65">
        <f t="shared" si="218"/>
        <v>-7062.6720000000005</v>
      </c>
      <c r="AM98" s="65">
        <f t="shared" si="218"/>
        <v>-6414.0719999999983</v>
      </c>
      <c r="AN98" s="65">
        <f t="shared" ref="AN98:AT98" si="219">AN95+AN96-AN97</f>
        <v>-6787.4000000000015</v>
      </c>
      <c r="AO98" s="65">
        <f t="shared" si="219"/>
        <v>-5792.7000000000007</v>
      </c>
      <c r="AP98" s="65">
        <f t="shared" si="219"/>
        <v>-6178.3220000000001</v>
      </c>
      <c r="AQ98" s="65">
        <f t="shared" si="219"/>
        <v>-6742.8420000000006</v>
      </c>
      <c r="AR98" s="65">
        <f t="shared" si="219"/>
        <v>-6114.2000000000007</v>
      </c>
      <c r="AS98" s="65">
        <f t="shared" si="219"/>
        <v>-4948.5999999999985</v>
      </c>
      <c r="AT98" s="65">
        <f t="shared" si="219"/>
        <v>-4280.8000000000011</v>
      </c>
      <c r="AU98" s="65">
        <f t="shared" ref="AU98:AZ98" si="220">AU95+AU96-AU97</f>
        <v>-3340.3999999999996</v>
      </c>
      <c r="AV98" s="65">
        <f t="shared" si="220"/>
        <v>-3393.6000000000004</v>
      </c>
      <c r="AW98" s="65">
        <f t="shared" si="220"/>
        <v>-4835</v>
      </c>
      <c r="AX98" s="65">
        <f t="shared" si="220"/>
        <v>-4690.8249999999998</v>
      </c>
      <c r="AY98" s="65">
        <f t="shared" si="220"/>
        <v>-6087.1090000000004</v>
      </c>
      <c r="AZ98" s="65">
        <f t="shared" si="220"/>
        <v>-5803.9549999999999</v>
      </c>
      <c r="BA98" s="65">
        <f>BA95+BA96-BA97</f>
        <v>-5986.5890000000009</v>
      </c>
      <c r="BB98" s="65">
        <f>BB95+BB96-BB97</f>
        <v>-7984.2219999999998</v>
      </c>
      <c r="BC98" s="65">
        <f>BC95+BC96-BC97</f>
        <v>-7715.4</v>
      </c>
      <c r="BD98" s="65"/>
    </row>
    <row r="99" spans="2:57" s="37" customFormat="1" ht="13.5" customHeight="1">
      <c r="B99" s="19" t="s">
        <v>365</v>
      </c>
      <c r="C99" s="34">
        <f t="shared" ref="C99:H99" si="221">+C98/C82</f>
        <v>-0.18730906639913422</v>
      </c>
      <c r="D99" s="34">
        <f t="shared" si="221"/>
        <v>-0.13360360822428949</v>
      </c>
      <c r="E99" s="34">
        <f t="shared" si="221"/>
        <v>-0.12290494982835107</v>
      </c>
      <c r="F99" s="34">
        <f t="shared" si="221"/>
        <v>-7.2807253989349216E-2</v>
      </c>
      <c r="G99" s="34">
        <f t="shared" si="221"/>
        <v>-5.1810102718942257E-2</v>
      </c>
      <c r="H99" s="34">
        <f t="shared" si="221"/>
        <v>-8.173784347127945E-2</v>
      </c>
      <c r="I99" s="34">
        <f t="shared" ref="I99:Q99" si="222">+I98/I82</f>
        <v>-6.8223991766451025E-2</v>
      </c>
      <c r="J99" s="34">
        <f t="shared" si="222"/>
        <v>-0.14103853865365001</v>
      </c>
      <c r="K99" s="34">
        <f t="shared" si="222"/>
        <v>-8.1803248971498252E-2</v>
      </c>
      <c r="L99" s="34">
        <f t="shared" si="222"/>
        <v>-9.0042306310701065E-2</v>
      </c>
      <c r="M99" s="34">
        <f t="shared" si="222"/>
        <v>-5.8030661032779859E-2</v>
      </c>
      <c r="N99" s="34">
        <f t="shared" si="222"/>
        <v>-5.23735045113441E-2</v>
      </c>
      <c r="O99" s="34">
        <f t="shared" si="222"/>
        <v>-7.5341469723259863E-2</v>
      </c>
      <c r="P99" s="34">
        <f>+P98/P82</f>
        <v>-0.13560585718131429</v>
      </c>
      <c r="Q99" s="34">
        <f t="shared" si="222"/>
        <v>-0.1320744542903142</v>
      </c>
      <c r="R99" s="32"/>
      <c r="S99" s="34"/>
      <c r="T99" s="34"/>
      <c r="U99" s="34"/>
      <c r="V99" s="34">
        <f>+V98/V82</f>
        <v>-0.13360360822428952</v>
      </c>
      <c r="W99" s="34">
        <f>+W98/W82</f>
        <v>-0.15470646595492138</v>
      </c>
      <c r="X99" s="34">
        <f>+X98/X82</f>
        <v>-0.11922920599089938</v>
      </c>
      <c r="Y99" s="34">
        <f>+Y98/Y82</f>
        <v>-0.10836449699669087</v>
      </c>
      <c r="Z99" s="34">
        <f>+Z98/Z82</f>
        <v>-0.12290494982835107</v>
      </c>
      <c r="AA99" s="34">
        <f t="shared" ref="AA99:AG99" si="223">+AA98/AA82</f>
        <v>-9.5478007765141301E-2</v>
      </c>
      <c r="AB99" s="34">
        <f t="shared" si="223"/>
        <v>-0.10441826939026633</v>
      </c>
      <c r="AC99" s="34">
        <f t="shared" si="223"/>
        <v>-9.8879304149238373E-2</v>
      </c>
      <c r="AD99" s="34">
        <f t="shared" si="223"/>
        <v>-7.2807253989349216E-2</v>
      </c>
      <c r="AE99" s="34">
        <f t="shared" si="223"/>
        <v>-2.4446887806371827E-2</v>
      </c>
      <c r="AF99" s="34">
        <f t="shared" si="223"/>
        <v>-2.2488392576539399E-2</v>
      </c>
      <c r="AG99" s="34">
        <f t="shared" si="223"/>
        <v>-6.9445019458050511E-2</v>
      </c>
      <c r="AH99" s="34">
        <f t="shared" ref="AH99:AM99" si="224">+AH98/AH82</f>
        <v>-8.173784347127945E-2</v>
      </c>
      <c r="AI99" s="34">
        <f t="shared" si="224"/>
        <v>-2.7131001989001122E-2</v>
      </c>
      <c r="AJ99" s="34">
        <f t="shared" si="224"/>
        <v>-2.1676294671356039E-2</v>
      </c>
      <c r="AK99" s="34">
        <f t="shared" si="224"/>
        <v>-5.2219349960686404E-2</v>
      </c>
      <c r="AL99" s="34">
        <f t="shared" si="224"/>
        <v>-6.8223991766451025E-2</v>
      </c>
      <c r="AM99" s="34">
        <f t="shared" si="224"/>
        <v>-6.5248560298133113E-2</v>
      </c>
      <c r="AN99" s="34">
        <f t="shared" ref="AN99:AT99" si="225">+AN98/AN82</f>
        <v>-7.371004996252109E-2</v>
      </c>
      <c r="AO99" s="34">
        <f t="shared" si="225"/>
        <v>-6.7984444710256955E-2</v>
      </c>
      <c r="AP99" s="34">
        <f t="shared" si="225"/>
        <v>-8.1803248971498252E-2</v>
      </c>
      <c r="AQ99" s="34">
        <f t="shared" si="225"/>
        <v>-8.9383700914465875E-2</v>
      </c>
      <c r="AR99" s="34">
        <f t="shared" si="225"/>
        <v>-8.106465998465047E-2</v>
      </c>
      <c r="AS99" s="34">
        <f t="shared" si="225"/>
        <v>-6.8173763386536843E-2</v>
      </c>
      <c r="AT99" s="34">
        <f t="shared" si="225"/>
        <v>-5.8030661032779859E-2</v>
      </c>
      <c r="AU99" s="34">
        <f t="shared" ref="AU99:AZ99" si="226">+AU98/AU82</f>
        <v>-4.6915949761394245E-2</v>
      </c>
      <c r="AV99" s="34">
        <f t="shared" si="226"/>
        <v>-4.961420409516893E-2</v>
      </c>
      <c r="AW99" s="34">
        <f t="shared" si="226"/>
        <v>-7.1792820560549142E-2</v>
      </c>
      <c r="AX99" s="34">
        <f t="shared" si="226"/>
        <v>-7.5341469723259863E-2</v>
      </c>
      <c r="AY99" s="34">
        <f t="shared" si="226"/>
        <v>-9.9327752280793283E-2</v>
      </c>
      <c r="AZ99" s="34">
        <f t="shared" si="226"/>
        <v>-9.6263836209295781E-2</v>
      </c>
      <c r="BA99" s="34">
        <f>+BA98/BA82</f>
        <v>-0.10051957428624442</v>
      </c>
      <c r="BB99" s="34">
        <f>+BB98/BB82</f>
        <v>-0.13560585718131429</v>
      </c>
      <c r="BC99" s="34">
        <f>+BC98/BC82</f>
        <v>-0.1320744542903142</v>
      </c>
      <c r="BD99" s="211"/>
    </row>
    <row r="100" spans="2:57" ht="13.5" customHeight="1">
      <c r="B100" s="37"/>
      <c r="C100" s="347"/>
      <c r="D100" s="347"/>
      <c r="E100" s="347"/>
      <c r="F100" s="347"/>
      <c r="G100" s="347"/>
      <c r="H100" s="347"/>
      <c r="I100" s="347"/>
      <c r="J100" s="347"/>
      <c r="K100" s="347"/>
      <c r="L100" s="347"/>
      <c r="M100" s="347"/>
      <c r="N100" s="347"/>
      <c r="O100" s="347"/>
      <c r="P100" s="347"/>
      <c r="Q100" s="347"/>
      <c r="R100" s="347"/>
      <c r="S100" s="347"/>
      <c r="T100" s="347"/>
      <c r="U100" s="37"/>
      <c r="V100" s="37"/>
      <c r="W100" s="347"/>
      <c r="X100" s="347"/>
      <c r="Y100" s="37"/>
      <c r="Z100" s="37"/>
      <c r="AA100" s="347"/>
      <c r="AB100" s="347"/>
      <c r="AC100" s="347"/>
      <c r="AD100" s="347"/>
      <c r="AE100" s="347"/>
      <c r="AF100" s="37"/>
      <c r="AG100" s="37"/>
      <c r="AH100" s="347"/>
      <c r="AI100" s="347"/>
      <c r="AJ100" s="347"/>
      <c r="AK100" s="37"/>
      <c r="AL100" s="347"/>
      <c r="AM100" s="37"/>
      <c r="AN100" s="347"/>
      <c r="AO100" s="37"/>
      <c r="AP100" s="347"/>
      <c r="AQ100" s="37"/>
      <c r="AR100" s="347"/>
      <c r="AS100" s="37"/>
      <c r="AT100" s="347"/>
      <c r="AU100" s="347"/>
      <c r="AV100" s="347"/>
      <c r="AW100" s="37"/>
      <c r="AX100" s="347"/>
      <c r="AY100" s="347"/>
      <c r="AZ100" s="347"/>
      <c r="BA100" s="37"/>
      <c r="BB100" s="347"/>
      <c r="BC100" s="347"/>
    </row>
    <row r="101" spans="2:57" ht="13.5" customHeight="1">
      <c r="B101" s="37" t="s">
        <v>366</v>
      </c>
      <c r="C101" s="348">
        <f t="shared" ref="C101:Q101" si="227">C96/C7*365</f>
        <v>117.4824687342269</v>
      </c>
      <c r="D101" s="348">
        <f t="shared" si="227"/>
        <v>118.39838971985183</v>
      </c>
      <c r="E101" s="348">
        <f t="shared" si="227"/>
        <v>104.53949382386577</v>
      </c>
      <c r="F101" s="348">
        <f t="shared" si="227"/>
        <v>91.115737083234038</v>
      </c>
      <c r="G101" s="348">
        <f t="shared" si="227"/>
        <v>51.961513753019553</v>
      </c>
      <c r="H101" s="348">
        <f t="shared" si="227"/>
        <v>46.275783590484927</v>
      </c>
      <c r="I101" s="348">
        <f t="shared" si="227"/>
        <v>46.939044292139251</v>
      </c>
      <c r="J101" s="348">
        <f t="shared" si="227"/>
        <v>141.13697105068769</v>
      </c>
      <c r="K101" s="348">
        <f t="shared" si="227"/>
        <v>40.871880001920914</v>
      </c>
      <c r="L101" s="348">
        <f t="shared" si="227"/>
        <v>44.988412867433034</v>
      </c>
      <c r="M101" s="348">
        <f t="shared" si="227"/>
        <v>40.234268563968882</v>
      </c>
      <c r="N101" s="348">
        <f t="shared" si="227"/>
        <v>44.818338797812892</v>
      </c>
      <c r="O101" s="348">
        <f t="shared" si="227"/>
        <v>36.205310851452367</v>
      </c>
      <c r="P101" s="348">
        <f t="shared" si="227"/>
        <v>36.049841919285846</v>
      </c>
      <c r="Q101" s="348">
        <f t="shared" si="227"/>
        <v>33.094712930557087</v>
      </c>
      <c r="R101" s="347"/>
      <c r="S101" s="348">
        <f t="shared" ref="S101:BB101" si="228">S96/S7*365/4</f>
        <v>109.21200989100086</v>
      </c>
      <c r="T101" s="348">
        <f t="shared" si="228"/>
        <v>89.888084774642252</v>
      </c>
      <c r="U101" s="348">
        <f t="shared" si="228"/>
        <v>84.04073059612584</v>
      </c>
      <c r="V101" s="348">
        <f t="shared" si="228"/>
        <v>106.57522266380941</v>
      </c>
      <c r="W101" s="348">
        <f t="shared" si="228"/>
        <v>112.33185406803439</v>
      </c>
      <c r="X101" s="348">
        <f t="shared" si="228"/>
        <v>100.17372854637826</v>
      </c>
      <c r="Y101" s="348">
        <f t="shared" si="228"/>
        <v>89.976934284084905</v>
      </c>
      <c r="Z101" s="348">
        <f t="shared" si="228"/>
        <v>96.335474213867059</v>
      </c>
      <c r="AA101" s="348">
        <f t="shared" si="228"/>
        <v>137.12119152646699</v>
      </c>
      <c r="AB101" s="348">
        <f t="shared" si="228"/>
        <v>124.81403511658904</v>
      </c>
      <c r="AC101" s="348">
        <f t="shared" si="228"/>
        <v>100.6437945619565</v>
      </c>
      <c r="AD101" s="348">
        <f t="shared" si="228"/>
        <v>82.557746191582467</v>
      </c>
      <c r="AE101" s="348">
        <f t="shared" si="228"/>
        <v>81.508961935183905</v>
      </c>
      <c r="AF101" s="348">
        <f t="shared" si="228"/>
        <v>93.367301191134985</v>
      </c>
      <c r="AG101" s="348">
        <f t="shared" si="228"/>
        <v>68.847006431942532</v>
      </c>
      <c r="AH101" s="348">
        <f t="shared" si="228"/>
        <v>40.54228538050063</v>
      </c>
      <c r="AI101" s="348">
        <f t="shared" si="228"/>
        <v>83.82099572368007</v>
      </c>
      <c r="AJ101" s="348">
        <f t="shared" si="228"/>
        <v>78.500613052049829</v>
      </c>
      <c r="AK101" s="348">
        <f t="shared" si="228"/>
        <v>53.833625033379114</v>
      </c>
      <c r="AL101" s="348">
        <f t="shared" si="228"/>
        <v>42.163332301466433</v>
      </c>
      <c r="AM101" s="348">
        <f t="shared" si="228"/>
        <v>42.784369827827092</v>
      </c>
      <c r="AN101" s="348">
        <f t="shared" si="228"/>
        <v>44.566690047751365</v>
      </c>
      <c r="AO101" s="348">
        <f t="shared" si="228"/>
        <v>45.052664180306159</v>
      </c>
      <c r="AP101" s="348">
        <f t="shared" si="228"/>
        <v>40.336618996792268</v>
      </c>
      <c r="AQ101" s="348">
        <f t="shared" si="228"/>
        <v>46.004806088759963</v>
      </c>
      <c r="AR101" s="348">
        <f t="shared" si="228"/>
        <v>42.517015205019376</v>
      </c>
      <c r="AS101" s="348">
        <f t="shared" si="228"/>
        <v>51.915113304093566</v>
      </c>
      <c r="AT101" s="348">
        <f t="shared" si="228"/>
        <v>36.5299787067461</v>
      </c>
      <c r="AU101" s="348">
        <f t="shared" si="228"/>
        <v>55.031791880336527</v>
      </c>
      <c r="AV101" s="348">
        <f t="shared" si="228"/>
        <v>46.690433706735881</v>
      </c>
      <c r="AW101" s="348">
        <f t="shared" si="228"/>
        <v>45.524025568255787</v>
      </c>
      <c r="AX101" s="348">
        <f t="shared" si="228"/>
        <v>37.011034528663572</v>
      </c>
      <c r="AY101" s="348">
        <f t="shared" si="228"/>
        <v>37.500065532002992</v>
      </c>
      <c r="AZ101" s="348">
        <f t="shared" si="228"/>
        <v>34.403233668716993</v>
      </c>
      <c r="BA101" s="348">
        <f t="shared" si="228"/>
        <v>38.347070804123256</v>
      </c>
      <c r="BB101" s="348">
        <f t="shared" si="228"/>
        <v>36.474750179817725</v>
      </c>
      <c r="BC101" s="348">
        <f>BC96/BC7*365/4</f>
        <v>33.303970714900949</v>
      </c>
      <c r="BD101" s="271"/>
    </row>
    <row r="102" spans="2:57" ht="13.5" customHeight="1">
      <c r="B102" s="37" t="s">
        <v>367</v>
      </c>
      <c r="C102" s="348">
        <f t="shared" ref="C102:Q102" si="229">C97/-C12*365</f>
        <v>354.88712916295248</v>
      </c>
      <c r="D102" s="348">
        <f t="shared" si="229"/>
        <v>305.55132090478185</v>
      </c>
      <c r="E102" s="348">
        <f t="shared" si="229"/>
        <v>263.1505031322319</v>
      </c>
      <c r="F102" s="348">
        <f t="shared" si="229"/>
        <v>210.55506648047569</v>
      </c>
      <c r="G102" s="348">
        <f t="shared" si="229"/>
        <v>129.20881882282131</v>
      </c>
      <c r="H102" s="348">
        <f t="shared" si="229"/>
        <v>140.53915320245403</v>
      </c>
      <c r="I102" s="348">
        <f t="shared" si="229"/>
        <v>138.42467605889379</v>
      </c>
      <c r="J102" s="348">
        <f t="shared" si="229"/>
        <v>322.48283101411255</v>
      </c>
      <c r="K102" s="348">
        <f t="shared" si="229"/>
        <v>120.28091482298885</v>
      </c>
      <c r="L102" s="348">
        <f t="shared" si="229"/>
        <v>135.39964380529273</v>
      </c>
      <c r="M102" s="348">
        <f t="shared" si="229"/>
        <v>102.07601812916211</v>
      </c>
      <c r="N102" s="348">
        <f t="shared" si="229"/>
        <v>108.42002506383749</v>
      </c>
      <c r="O102" s="348">
        <f t="shared" si="229"/>
        <v>100.57637634018971</v>
      </c>
      <c r="P102" s="348">
        <f t="shared" si="229"/>
        <v>144.25903911650957</v>
      </c>
      <c r="Q102" s="348">
        <f t="shared" si="229"/>
        <v>137.50158760520009</v>
      </c>
      <c r="R102" s="347"/>
      <c r="S102" s="348">
        <f t="shared" ref="S102:BB102" si="230">S97/-S12*365/4</f>
        <v>351.97027953116395</v>
      </c>
      <c r="T102" s="348">
        <f t="shared" si="230"/>
        <v>298.04579218240127</v>
      </c>
      <c r="U102" s="348">
        <f t="shared" si="230"/>
        <v>258.77590617871238</v>
      </c>
      <c r="V102" s="348">
        <f t="shared" si="230"/>
        <v>271.35577108614848</v>
      </c>
      <c r="W102" s="348">
        <f t="shared" si="230"/>
        <v>305.58072430471844</v>
      </c>
      <c r="X102" s="348">
        <f t="shared" si="230"/>
        <v>243.60590985807261</v>
      </c>
      <c r="Y102" s="348">
        <f t="shared" si="230"/>
        <v>228.81126147649215</v>
      </c>
      <c r="Z102" s="348">
        <f t="shared" si="230"/>
        <v>245.64289139677823</v>
      </c>
      <c r="AA102" s="348">
        <f t="shared" si="230"/>
        <v>315.93695168845932</v>
      </c>
      <c r="AB102" s="348">
        <f t="shared" si="230"/>
        <v>296.29245669687452</v>
      </c>
      <c r="AC102" s="348">
        <f t="shared" si="230"/>
        <v>242.40356870935091</v>
      </c>
      <c r="AD102" s="348">
        <f t="shared" si="230"/>
        <v>185.10987076989485</v>
      </c>
      <c r="AE102" s="348">
        <f t="shared" si="230"/>
        <v>161.68280499344883</v>
      </c>
      <c r="AF102" s="348">
        <f t="shared" si="230"/>
        <v>173.14185166190879</v>
      </c>
      <c r="AG102" s="348">
        <f t="shared" si="230"/>
        <v>175.12750522673204</v>
      </c>
      <c r="AH102" s="348">
        <f t="shared" si="230"/>
        <v>129.69352090877203</v>
      </c>
      <c r="AI102" s="348">
        <f t="shared" si="230"/>
        <v>176.1711356466877</v>
      </c>
      <c r="AJ102" s="348">
        <f t="shared" si="230"/>
        <v>162.65314225213643</v>
      </c>
      <c r="AK102" s="348">
        <f t="shared" si="230"/>
        <v>136.88215946394126</v>
      </c>
      <c r="AL102" s="348">
        <f t="shared" si="230"/>
        <v>130.67500581515029</v>
      </c>
      <c r="AM102" s="348">
        <f t="shared" si="230"/>
        <v>132.98019609956964</v>
      </c>
      <c r="AN102" s="348">
        <f t="shared" si="230"/>
        <v>139.02066347630864</v>
      </c>
      <c r="AO102" s="348">
        <f t="shared" si="230"/>
        <v>129.92255153690789</v>
      </c>
      <c r="AP102" s="348">
        <f t="shared" si="230"/>
        <v>113.74174190907425</v>
      </c>
      <c r="AQ102" s="348">
        <f t="shared" si="230"/>
        <v>132.58395505170472</v>
      </c>
      <c r="AR102" s="348">
        <f t="shared" si="230"/>
        <v>121.27252800277142</v>
      </c>
      <c r="AS102" s="348">
        <f t="shared" si="230"/>
        <v>128.57879619928465</v>
      </c>
      <c r="AT102" s="348">
        <f t="shared" si="230"/>
        <v>91.634475301495002</v>
      </c>
      <c r="AU102" s="348">
        <f t="shared" si="230"/>
        <v>120.80399590852774</v>
      </c>
      <c r="AV102" s="348">
        <f t="shared" si="230"/>
        <v>105.99368492185863</v>
      </c>
      <c r="AW102" s="348">
        <f t="shared" si="230"/>
        <v>119.88588940398017</v>
      </c>
      <c r="AX102" s="348">
        <f t="shared" si="230"/>
        <v>100.82183096970779</v>
      </c>
      <c r="AY102" s="348">
        <f t="shared" si="230"/>
        <v>126.21055108839552</v>
      </c>
      <c r="AZ102" s="348">
        <f t="shared" si="230"/>
        <v>120.42947312549197</v>
      </c>
      <c r="BA102" s="348">
        <f t="shared" si="230"/>
        <v>123.71692825747793</v>
      </c>
      <c r="BB102" s="348">
        <f t="shared" si="230"/>
        <v>147.4645681897336</v>
      </c>
      <c r="BC102" s="348">
        <f>BC97/-BC12*365/4</f>
        <v>140.04277926689966</v>
      </c>
      <c r="BD102" s="271"/>
    </row>
    <row r="103" spans="2:57" ht="13.5" customHeight="1">
      <c r="B103" s="37" t="s">
        <v>368</v>
      </c>
      <c r="C103" s="348">
        <f t="shared" ref="C103:Q103" si="231">C95/-C12*365</f>
        <v>13.233919758737434</v>
      </c>
      <c r="D103" s="348">
        <f t="shared" si="231"/>
        <v>10.284841303065225</v>
      </c>
      <c r="E103" s="348">
        <f t="shared" si="231"/>
        <v>6.4773679362608814</v>
      </c>
      <c r="F103" s="348">
        <f t="shared" si="231"/>
        <v>7.1565104187863504</v>
      </c>
      <c r="G103" s="348">
        <f t="shared" si="231"/>
        <v>7.1150742266092744</v>
      </c>
      <c r="H103" s="348">
        <f t="shared" si="231"/>
        <v>10.511986780758718</v>
      </c>
      <c r="I103" s="348">
        <f t="shared" si="231"/>
        <v>13.560659993891022</v>
      </c>
      <c r="J103" s="348">
        <f t="shared" si="231"/>
        <v>17.312566125658041</v>
      </c>
      <c r="K103" s="348">
        <f t="shared" si="231"/>
        <v>10.830719089151801</v>
      </c>
      <c r="L103" s="348">
        <f t="shared" si="231"/>
        <v>12.192088071365886</v>
      </c>
      <c r="M103" s="348">
        <f t="shared" si="231"/>
        <v>9.4158437914164637</v>
      </c>
      <c r="N103" s="348">
        <f t="shared" si="231"/>
        <v>10.632834181420424</v>
      </c>
      <c r="O103" s="348">
        <f t="shared" si="231"/>
        <v>4.1120944937831485</v>
      </c>
      <c r="P103" s="348">
        <f t="shared" si="231"/>
        <v>5.8656965080251302</v>
      </c>
      <c r="Q103" s="348">
        <f t="shared" si="231"/>
        <v>5.651124954488651</v>
      </c>
      <c r="R103" s="347"/>
      <c r="S103" s="348">
        <f t="shared" ref="S103:BB103" si="232">S95/-S12*365/4</f>
        <v>13.562388368799301</v>
      </c>
      <c r="T103" s="348">
        <f t="shared" si="232"/>
        <v>13.458003683236081</v>
      </c>
      <c r="U103" s="348">
        <f t="shared" si="232"/>
        <v>11.430315219355109</v>
      </c>
      <c r="V103" s="348">
        <f t="shared" si="232"/>
        <v>9.1338209045466279</v>
      </c>
      <c r="W103" s="348">
        <f t="shared" si="232"/>
        <v>7.2963345198018343</v>
      </c>
      <c r="X103" s="348">
        <f t="shared" si="232"/>
        <v>6.8504276064733958</v>
      </c>
      <c r="Y103" s="348">
        <f t="shared" si="232"/>
        <v>6.7131185231995971</v>
      </c>
      <c r="Z103" s="348">
        <f t="shared" si="232"/>
        <v>6.0464235088479965</v>
      </c>
      <c r="AA103" s="348">
        <f t="shared" si="232"/>
        <v>7.1716612579222803</v>
      </c>
      <c r="AB103" s="348">
        <f t="shared" si="232"/>
        <v>8.0844564761063733</v>
      </c>
      <c r="AC103" s="348">
        <f t="shared" si="232"/>
        <v>8.2677823284499183</v>
      </c>
      <c r="AD103" s="348">
        <f t="shared" si="232"/>
        <v>6.2916591888696622</v>
      </c>
      <c r="AE103" s="348">
        <f t="shared" si="232"/>
        <v>7.4106583927791529</v>
      </c>
      <c r="AF103" s="348">
        <f t="shared" si="232"/>
        <v>8.4481092828759561</v>
      </c>
      <c r="AG103" s="348">
        <f t="shared" si="232"/>
        <v>11.709682070506812</v>
      </c>
      <c r="AH103" s="348">
        <f t="shared" si="232"/>
        <v>9.7007598685265197</v>
      </c>
      <c r="AI103" s="348">
        <f t="shared" si="232"/>
        <v>14.849500525762354</v>
      </c>
      <c r="AJ103" s="348">
        <f t="shared" si="232"/>
        <v>15.420273215402915</v>
      </c>
      <c r="AK103" s="348">
        <f t="shared" si="232"/>
        <v>13.499172232000586</v>
      </c>
      <c r="AL103" s="348">
        <f t="shared" si="232"/>
        <v>12.801469896921109</v>
      </c>
      <c r="AM103" s="348">
        <f t="shared" si="232"/>
        <v>16.173005288790808</v>
      </c>
      <c r="AN103" s="348">
        <f t="shared" si="232"/>
        <v>17.03361059063824</v>
      </c>
      <c r="AO103" s="348">
        <f t="shared" si="232"/>
        <v>15.774801498066086</v>
      </c>
      <c r="AP103" s="348">
        <f t="shared" si="232"/>
        <v>10.241897953145086</v>
      </c>
      <c r="AQ103" s="348">
        <f t="shared" si="232"/>
        <v>11.140487135749622</v>
      </c>
      <c r="AR103" s="348">
        <f t="shared" si="232"/>
        <v>10.305308566621028</v>
      </c>
      <c r="AS103" s="348">
        <f t="shared" si="232"/>
        <v>10.818197008562446</v>
      </c>
      <c r="AT103" s="348">
        <f t="shared" si="232"/>
        <v>8.4526798866264645</v>
      </c>
      <c r="AU103" s="348">
        <f t="shared" si="232"/>
        <v>7.2180389746347933</v>
      </c>
      <c r="AV103" s="348">
        <f t="shared" si="232"/>
        <v>6.6605395656063804</v>
      </c>
      <c r="AW103" s="348">
        <f t="shared" si="232"/>
        <v>5.1900083464899494</v>
      </c>
      <c r="AX103" s="348">
        <f t="shared" si="232"/>
        <v>4.1221299779320395</v>
      </c>
      <c r="AY103" s="348">
        <f t="shared" si="232"/>
        <v>5.0047784143932983</v>
      </c>
      <c r="AZ103" s="348">
        <f t="shared" si="232"/>
        <v>5.5309860638380428</v>
      </c>
      <c r="BA103" s="348">
        <f t="shared" si="232"/>
        <v>4.1344854345653044</v>
      </c>
      <c r="BB103" s="348">
        <f t="shared" si="232"/>
        <v>5.9960360750036505</v>
      </c>
      <c r="BC103" s="348">
        <f>BC95/-BC12*365/4</f>
        <v>5.7555644148882035</v>
      </c>
      <c r="BD103" s="271"/>
    </row>
    <row r="104" spans="2:57" ht="13.5" customHeight="1"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W104" s="31"/>
      <c r="X104" s="31"/>
      <c r="AA104" s="31"/>
      <c r="AB104" s="31"/>
      <c r="AC104" s="31"/>
      <c r="AD104" s="31"/>
      <c r="AE104" s="31"/>
      <c r="AH104" s="31"/>
      <c r="AI104" s="31"/>
      <c r="AJ104" s="31"/>
      <c r="AL104" s="31"/>
      <c r="AN104" s="31"/>
      <c r="AP104" s="31"/>
      <c r="AR104" s="31"/>
      <c r="AT104" s="31"/>
      <c r="AU104" s="31"/>
      <c r="AV104" s="31"/>
      <c r="AX104" s="31"/>
      <c r="AY104" s="31"/>
      <c r="AZ104" s="31"/>
      <c r="BB104" s="31"/>
      <c r="BC104" s="31"/>
    </row>
    <row r="105" spans="2:57" ht="13.5" customHeight="1">
      <c r="B105" s="5" t="s">
        <v>369</v>
      </c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</row>
    <row r="106" spans="2:57" ht="13.5" customHeight="1">
      <c r="B106" s="1" t="s">
        <v>370</v>
      </c>
      <c r="C106" s="62">
        <f>850.9</f>
        <v>850.9</v>
      </c>
      <c r="D106" s="62">
        <f>307</f>
        <v>307</v>
      </c>
      <c r="E106" s="62">
        <f>988.4</f>
        <v>988.4</v>
      </c>
      <c r="F106" s="62">
        <v>491.9</v>
      </c>
      <c r="G106" s="62">
        <v>491.95100000000002</v>
      </c>
      <c r="H106" s="62">
        <v>616.99099999999999</v>
      </c>
      <c r="I106" s="62">
        <v>4106.4319999999998</v>
      </c>
      <c r="J106" s="62">
        <v>4106.4319999999998</v>
      </c>
      <c r="K106" s="62">
        <v>1000</v>
      </c>
      <c r="L106" s="62">
        <v>1000</v>
      </c>
      <c r="M106" s="62">
        <v>9988</v>
      </c>
      <c r="N106" s="62">
        <v>9988</v>
      </c>
      <c r="O106" s="62">
        <v>4556.95</v>
      </c>
      <c r="P106" s="62">
        <v>3737</v>
      </c>
      <c r="Q106" s="32">
        <f>BC106</f>
        <v>0</v>
      </c>
      <c r="R106" s="32"/>
      <c r="S106" s="62">
        <f>1536.3</f>
        <v>1536.3</v>
      </c>
      <c r="T106" s="62">
        <f>10608.8</f>
        <v>10608.8</v>
      </c>
      <c r="U106" s="62">
        <f>10039.8</f>
        <v>10039.799999999999</v>
      </c>
      <c r="V106" s="64">
        <f>+D106</f>
        <v>307</v>
      </c>
      <c r="W106" s="62">
        <f>307</f>
        <v>307</v>
      </c>
      <c r="X106" s="62">
        <f>471</f>
        <v>471</v>
      </c>
      <c r="Y106" s="61">
        <f>1004.4</f>
        <v>1004.4</v>
      </c>
      <c r="Z106" s="64">
        <f>E106</f>
        <v>988.4</v>
      </c>
      <c r="AA106" s="62">
        <v>972.3</v>
      </c>
      <c r="AB106" s="62">
        <v>792.1</v>
      </c>
      <c r="AC106" s="62">
        <v>10484.4</v>
      </c>
      <c r="AD106" s="64">
        <f>F106</f>
        <v>491.9</v>
      </c>
      <c r="AE106" s="62">
        <v>492</v>
      </c>
      <c r="AF106" s="62">
        <v>617</v>
      </c>
      <c r="AG106" s="62">
        <v>15012.7</v>
      </c>
      <c r="AH106" s="64">
        <f>H106</f>
        <v>616.99099999999999</v>
      </c>
      <c r="AI106" s="62">
        <v>617</v>
      </c>
      <c r="AJ106" s="62">
        <v>1481.1</v>
      </c>
      <c r="AK106" s="62">
        <v>2045.6130000000001</v>
      </c>
      <c r="AL106" s="64">
        <f>I106</f>
        <v>4106.4319999999998</v>
      </c>
      <c r="AM106" s="62">
        <v>1549.6</v>
      </c>
      <c r="AN106" s="62">
        <v>1000</v>
      </c>
      <c r="AO106" s="62">
        <v>1000</v>
      </c>
      <c r="AP106" s="64">
        <f>K106</f>
        <v>1000</v>
      </c>
      <c r="AQ106" s="62">
        <v>0</v>
      </c>
      <c r="AR106" s="62">
        <v>9977.6</v>
      </c>
      <c r="AS106" s="62">
        <v>9982.7999999999993</v>
      </c>
      <c r="AT106" s="64">
        <f>M106</f>
        <v>9988</v>
      </c>
      <c r="AU106" s="62">
        <v>13578.5</v>
      </c>
      <c r="AV106" s="62">
        <v>3996.1</v>
      </c>
      <c r="AW106" s="62">
        <v>4285.7</v>
      </c>
      <c r="AX106" s="64">
        <f>O106</f>
        <v>4556.95</v>
      </c>
      <c r="AY106" s="62">
        <v>4234.7690000000002</v>
      </c>
      <c r="AZ106" s="62">
        <v>3909.9960000000001</v>
      </c>
      <c r="BA106" s="62">
        <f>3802</f>
        <v>3802</v>
      </c>
      <c r="BB106" s="64">
        <f>P106</f>
        <v>3737</v>
      </c>
      <c r="BC106" s="62">
        <v>0</v>
      </c>
      <c r="BD106" s="62"/>
      <c r="BE106" s="319"/>
    </row>
    <row r="107" spans="2:57" ht="13.5" customHeight="1">
      <c r="B107" s="1" t="s">
        <v>371</v>
      </c>
      <c r="C107" s="62">
        <f>126146.7</f>
        <v>126146.7</v>
      </c>
      <c r="D107" s="62">
        <f>121993.1</f>
        <v>121993.1</v>
      </c>
      <c r="E107" s="62">
        <f>120983.6</f>
        <v>120983.6</v>
      </c>
      <c r="F107" s="62">
        <v>120444.7</v>
      </c>
      <c r="G107" s="62">
        <v>120444.74400000001</v>
      </c>
      <c r="H107" s="62">
        <v>121935.98</v>
      </c>
      <c r="I107" s="62">
        <v>121685.71</v>
      </c>
      <c r="J107" s="62">
        <v>121685.71</v>
      </c>
      <c r="K107" s="62">
        <v>104240.65</v>
      </c>
      <c r="L107" s="62">
        <v>104240.65</v>
      </c>
      <c r="M107" s="62">
        <v>78547.899999999994</v>
      </c>
      <c r="N107" s="62">
        <v>78547.899999999994</v>
      </c>
      <c r="O107" s="62">
        <v>98398.222999999998</v>
      </c>
      <c r="P107" s="62">
        <v>82257.2</v>
      </c>
      <c r="Q107" s="32">
        <f>BC107</f>
        <v>82048.100000000006</v>
      </c>
      <c r="R107" s="32"/>
      <c r="S107" s="62">
        <f>117465.5</f>
        <v>117465.5</v>
      </c>
      <c r="T107" s="62">
        <f>105784.4</f>
        <v>105784.4</v>
      </c>
      <c r="U107" s="62">
        <f>106130.3</f>
        <v>106130.3</v>
      </c>
      <c r="V107" s="64">
        <f>+D107</f>
        <v>121993.1</v>
      </c>
      <c r="W107" s="62">
        <f>116643.1</f>
        <v>116643.1</v>
      </c>
      <c r="X107" s="62">
        <f>122087.4</f>
        <v>122087.4</v>
      </c>
      <c r="Y107" s="61">
        <f>117354</f>
        <v>117354</v>
      </c>
      <c r="Z107" s="64">
        <f>E107</f>
        <v>120983.6</v>
      </c>
      <c r="AA107" s="62">
        <v>120029.7</v>
      </c>
      <c r="AB107" s="62">
        <v>133196.79999999999</v>
      </c>
      <c r="AC107" s="62">
        <v>124283.3</v>
      </c>
      <c r="AD107" s="64">
        <f>F107</f>
        <v>120444.7</v>
      </c>
      <c r="AE107" s="62">
        <v>157291.79999999999</v>
      </c>
      <c r="AF107" s="62">
        <v>153204.70000000001</v>
      </c>
      <c r="AG107" s="62">
        <v>131907.6</v>
      </c>
      <c r="AH107" s="64">
        <f>H107</f>
        <v>121935.98</v>
      </c>
      <c r="AI107" s="62">
        <v>124218.2</v>
      </c>
      <c r="AJ107" s="62">
        <v>120720</v>
      </c>
      <c r="AK107" s="62">
        <v>123389.1</v>
      </c>
      <c r="AL107" s="64">
        <f>I107</f>
        <v>121685.71</v>
      </c>
      <c r="AM107" s="62">
        <v>111453.1</v>
      </c>
      <c r="AN107" s="62">
        <v>112720.2</v>
      </c>
      <c r="AO107" s="62">
        <v>106668.3</v>
      </c>
      <c r="AP107" s="64">
        <f>K107</f>
        <v>104240.65</v>
      </c>
      <c r="AQ107" s="62">
        <v>98911.5</v>
      </c>
      <c r="AR107" s="62">
        <v>85442.4</v>
      </c>
      <c r="AS107" s="62">
        <v>80721.600000000006</v>
      </c>
      <c r="AT107" s="64">
        <f>M107</f>
        <v>78547.899999999994</v>
      </c>
      <c r="AU107" s="62">
        <v>73570.600000000006</v>
      </c>
      <c r="AV107" s="62">
        <v>89678.6</v>
      </c>
      <c r="AW107" s="62">
        <v>94254.399999999994</v>
      </c>
      <c r="AX107" s="64">
        <f>O107</f>
        <v>98398.222999999998</v>
      </c>
      <c r="AY107" s="62">
        <v>92688.082999999999</v>
      </c>
      <c r="AZ107" s="62">
        <v>84954.471999999994</v>
      </c>
      <c r="BA107" s="62">
        <v>83259.054999999993</v>
      </c>
      <c r="BB107" s="64">
        <f>P107</f>
        <v>82257.2</v>
      </c>
      <c r="BC107" s="62">
        <v>82048.100000000006</v>
      </c>
      <c r="BD107" s="62"/>
      <c r="BE107" s="319"/>
    </row>
    <row r="108" spans="2:57" ht="13.5" customHeight="1">
      <c r="B108" s="1" t="s">
        <v>372</v>
      </c>
      <c r="C108" s="62">
        <f>575.6+5816.2</f>
        <v>6391.8</v>
      </c>
      <c r="D108" s="62">
        <f>580.9+5041.9</f>
        <v>5622.7999999999993</v>
      </c>
      <c r="E108" s="62">
        <f>651.8+4666.1</f>
        <v>5317.9000000000005</v>
      </c>
      <c r="F108" s="62">
        <v>9363.6</v>
      </c>
      <c r="G108" s="62">
        <f>1257.766+8105.754</f>
        <v>9363.52</v>
      </c>
      <c r="H108" s="62">
        <f>1277.754+8014.597</f>
        <v>9292.3509999999987</v>
      </c>
      <c r="I108" s="62">
        <f>1478.382+8202.177</f>
        <v>9680.5589999999993</v>
      </c>
      <c r="J108" s="62">
        <f>1478.382+8202.177</f>
        <v>9680.5589999999993</v>
      </c>
      <c r="K108" s="62">
        <f>1373.2+6995.8</f>
        <v>8369</v>
      </c>
      <c r="L108" s="62">
        <f>1373.2+6995.8</f>
        <v>8369</v>
      </c>
      <c r="M108" s="62">
        <f>1280.9+6010.6</f>
        <v>7291.5</v>
      </c>
      <c r="N108" s="62">
        <f>1280.9+6010.6</f>
        <v>7291.5</v>
      </c>
      <c r="O108" s="62">
        <f>1242.957+4143.682</f>
        <v>5386.6390000000001</v>
      </c>
      <c r="P108" s="62">
        <f>1583.9+3852.1</f>
        <v>5436</v>
      </c>
      <c r="Q108" s="32">
        <f>BC108</f>
        <v>6509.7000000000007</v>
      </c>
      <c r="R108" s="32"/>
      <c r="S108" s="62">
        <f>540.7+5241.1</f>
        <v>5781.8</v>
      </c>
      <c r="T108" s="62">
        <f>532.2+4988.6</f>
        <v>5520.8</v>
      </c>
      <c r="U108" s="62">
        <f>543.4+4810.8</f>
        <v>5354.2</v>
      </c>
      <c r="V108" s="64">
        <f>+D108</f>
        <v>5622.7999999999993</v>
      </c>
      <c r="W108" s="62">
        <f>566.6+4610.5</f>
        <v>5177.1000000000004</v>
      </c>
      <c r="X108" s="62">
        <f>4953.2+627.3</f>
        <v>5580.5</v>
      </c>
      <c r="Y108" s="61">
        <f>683.5+4523.4</f>
        <v>5206.8999999999996</v>
      </c>
      <c r="Z108" s="64">
        <f>E108</f>
        <v>5317.9000000000005</v>
      </c>
      <c r="AA108" s="62">
        <v>9897.5</v>
      </c>
      <c r="AB108" s="62">
        <v>9612.5</v>
      </c>
      <c r="AC108" s="62">
        <v>9656.6</v>
      </c>
      <c r="AD108" s="64">
        <f>F108</f>
        <v>9363.6</v>
      </c>
      <c r="AE108" s="62">
        <v>10627.5</v>
      </c>
      <c r="AF108" s="62">
        <v>10079.299999999999</v>
      </c>
      <c r="AG108" s="62">
        <v>9840</v>
      </c>
      <c r="AH108" s="64">
        <f>H108</f>
        <v>9292.3509999999987</v>
      </c>
      <c r="AI108" s="62">
        <f>1255.1+7769.1</f>
        <v>9024.2000000000007</v>
      </c>
      <c r="AJ108" s="62">
        <f>1301+7602.2</f>
        <v>8903.2000000000007</v>
      </c>
      <c r="AK108" s="62">
        <f>1341.5+7867</f>
        <v>9208.5</v>
      </c>
      <c r="AL108" s="64">
        <f>I108</f>
        <v>9680.5589999999993</v>
      </c>
      <c r="AM108" s="62">
        <v>8874.4</v>
      </c>
      <c r="AN108" s="62">
        <f>1451.4+7135.4</f>
        <v>8586.7999999999993</v>
      </c>
      <c r="AO108" s="62">
        <f>1217+7140</f>
        <v>8357</v>
      </c>
      <c r="AP108" s="64">
        <f>K108</f>
        <v>8369</v>
      </c>
      <c r="AQ108" s="62">
        <f>6693.7+1358.5</f>
        <v>8052.2</v>
      </c>
      <c r="AR108" s="62">
        <f>1289.5+6440.9</f>
        <v>7730.4</v>
      </c>
      <c r="AS108" s="62">
        <f>1266.8+6250.7</f>
        <v>7517.5</v>
      </c>
      <c r="AT108" s="64">
        <f>M108</f>
        <v>7291.5</v>
      </c>
      <c r="AU108" s="62">
        <f>1143.9+4791.8</f>
        <v>5935.7000000000007</v>
      </c>
      <c r="AV108" s="62">
        <f>1183.5+4562.7</f>
        <v>5746.2</v>
      </c>
      <c r="AW108" s="62">
        <f>1175+4161.6</f>
        <v>5336.6</v>
      </c>
      <c r="AX108" s="64">
        <f>O108</f>
        <v>5386.6390000000001</v>
      </c>
      <c r="AY108" s="62">
        <f>1244.874+3805.597</f>
        <v>5050.4710000000005</v>
      </c>
      <c r="AZ108" s="62">
        <f>1203.42+3435.8</f>
        <v>4639.22</v>
      </c>
      <c r="BA108" s="62">
        <f>1265.657+3436.956</f>
        <v>4702.6130000000003</v>
      </c>
      <c r="BB108" s="64">
        <f>P108</f>
        <v>5436</v>
      </c>
      <c r="BC108" s="62">
        <f>1843.9+4665.8</f>
        <v>6509.7000000000007</v>
      </c>
      <c r="BD108" s="62"/>
      <c r="BE108"/>
    </row>
    <row r="109" spans="2:57" ht="13.5" customHeight="1">
      <c r="B109" s="1" t="s">
        <v>373</v>
      </c>
      <c r="C109" s="62">
        <f>1202.3+3650.7</f>
        <v>4853</v>
      </c>
      <c r="D109" s="62">
        <f>1178.4+2505.6</f>
        <v>3684</v>
      </c>
      <c r="E109" s="62">
        <f>1288.4+1288.4</f>
        <v>2576.8000000000002</v>
      </c>
      <c r="F109" s="62">
        <v>1324.1</v>
      </c>
      <c r="G109" s="62">
        <v>1324.0630000000001</v>
      </c>
      <c r="H109" s="62">
        <v>0</v>
      </c>
      <c r="I109" s="62">
        <v>0</v>
      </c>
      <c r="J109" s="62">
        <v>0</v>
      </c>
      <c r="K109" s="62">
        <v>0</v>
      </c>
      <c r="L109" s="62">
        <v>0</v>
      </c>
      <c r="M109" s="62">
        <v>0</v>
      </c>
      <c r="N109" s="62">
        <v>0</v>
      </c>
      <c r="O109" s="62">
        <v>0</v>
      </c>
      <c r="P109" s="62">
        <v>0</v>
      </c>
      <c r="Q109" s="32">
        <f>BC109</f>
        <v>0</v>
      </c>
      <c r="R109" s="32"/>
      <c r="S109" s="62">
        <f>1153.3+2452.2</f>
        <v>3605.5</v>
      </c>
      <c r="T109" s="62">
        <f>1161.7+2470</f>
        <v>3631.7</v>
      </c>
      <c r="U109" s="62">
        <f>1170.1+2487.8</f>
        <v>3657.9</v>
      </c>
      <c r="V109" s="64">
        <f>U109</f>
        <v>3657.9</v>
      </c>
      <c r="W109" s="62">
        <f>1261.7+1261.7</f>
        <v>2523.4</v>
      </c>
      <c r="X109" s="62">
        <f>1270.6+1270.6</f>
        <v>2541.1999999999998</v>
      </c>
      <c r="Y109" s="61">
        <f>1279.5+1279.5</f>
        <v>2559</v>
      </c>
      <c r="Z109" s="64">
        <f>E109</f>
        <v>2576.8000000000002</v>
      </c>
      <c r="AA109" s="62">
        <v>1297.3</v>
      </c>
      <c r="AB109" s="62">
        <v>1306.3</v>
      </c>
      <c r="AC109" s="62">
        <v>1315.2</v>
      </c>
      <c r="AD109" s="64">
        <f>F109</f>
        <v>1324.1</v>
      </c>
      <c r="AE109" s="62">
        <v>0</v>
      </c>
      <c r="AF109" s="62">
        <v>0</v>
      </c>
      <c r="AG109" s="62">
        <v>0</v>
      </c>
      <c r="AH109" s="64">
        <f>H109</f>
        <v>0</v>
      </c>
      <c r="AI109" s="62">
        <v>0</v>
      </c>
      <c r="AJ109" s="62">
        <v>0</v>
      </c>
      <c r="AK109" s="62">
        <v>0</v>
      </c>
      <c r="AL109" s="64">
        <f>I109</f>
        <v>0</v>
      </c>
      <c r="AM109" s="62">
        <v>0</v>
      </c>
      <c r="AN109" s="62">
        <v>0</v>
      </c>
      <c r="AO109" s="62">
        <v>0</v>
      </c>
      <c r="AP109" s="64">
        <f>K109</f>
        <v>0</v>
      </c>
      <c r="AQ109" s="62">
        <v>0</v>
      </c>
      <c r="AR109" s="62">
        <v>0</v>
      </c>
      <c r="AS109" s="62">
        <v>0</v>
      </c>
      <c r="AT109" s="64">
        <f>M109</f>
        <v>0</v>
      </c>
      <c r="AU109" s="62">
        <v>0</v>
      </c>
      <c r="AV109" s="62">
        <v>0</v>
      </c>
      <c r="AW109" s="62">
        <v>0</v>
      </c>
      <c r="AX109" s="64">
        <f>O109</f>
        <v>0</v>
      </c>
      <c r="AY109" s="62">
        <v>0</v>
      </c>
      <c r="AZ109" s="62">
        <v>0</v>
      </c>
      <c r="BA109" s="62">
        <v>0</v>
      </c>
      <c r="BB109" s="64">
        <f>P109</f>
        <v>0</v>
      </c>
      <c r="BC109" s="62">
        <v>0</v>
      </c>
      <c r="BD109" s="62"/>
    </row>
    <row r="110" spans="2:57" ht="13.5" customHeight="1">
      <c r="B110" s="5" t="s">
        <v>374</v>
      </c>
      <c r="C110" s="7">
        <f t="shared" ref="C110:H110" si="233">SUM(C106:C109)</f>
        <v>138242.4</v>
      </c>
      <c r="D110" s="7">
        <f t="shared" si="233"/>
        <v>131606.90000000002</v>
      </c>
      <c r="E110" s="7">
        <f t="shared" si="233"/>
        <v>129866.7</v>
      </c>
      <c r="F110" s="7">
        <f t="shared" si="233"/>
        <v>131624.29999999999</v>
      </c>
      <c r="G110" s="7">
        <f t="shared" si="233"/>
        <v>131624.27800000002</v>
      </c>
      <c r="H110" s="7">
        <f t="shared" si="233"/>
        <v>131845.32199999999</v>
      </c>
      <c r="I110" s="7">
        <f t="shared" ref="I110:Q110" si="234">SUM(I106:I109)</f>
        <v>135472.701</v>
      </c>
      <c r="J110" s="7">
        <f t="shared" si="234"/>
        <v>135472.701</v>
      </c>
      <c r="K110" s="7">
        <f t="shared" si="234"/>
        <v>113609.65</v>
      </c>
      <c r="L110" s="7">
        <f t="shared" si="234"/>
        <v>113609.65</v>
      </c>
      <c r="M110" s="7">
        <f t="shared" si="234"/>
        <v>95827.4</v>
      </c>
      <c r="N110" s="7">
        <f t="shared" si="234"/>
        <v>95827.4</v>
      </c>
      <c r="O110" s="7">
        <f t="shared" si="234"/>
        <v>108341.81199999999</v>
      </c>
      <c r="P110" s="7">
        <f>SUM(P106:P109)</f>
        <v>91430.2</v>
      </c>
      <c r="Q110" s="7">
        <f t="shared" si="234"/>
        <v>88557.8</v>
      </c>
      <c r="R110" s="7"/>
      <c r="S110" s="7">
        <f>SUM(S106:S109)</f>
        <v>128389.1</v>
      </c>
      <c r="T110" s="7">
        <f t="shared" ref="T110:Z110" si="235">SUM(T106:T109)</f>
        <v>125545.7</v>
      </c>
      <c r="U110" s="7">
        <f t="shared" si="235"/>
        <v>125182.2</v>
      </c>
      <c r="V110" s="7">
        <f t="shared" si="235"/>
        <v>131580.80000000002</v>
      </c>
      <c r="W110" s="7">
        <f t="shared" si="235"/>
        <v>124650.6</v>
      </c>
      <c r="X110" s="7">
        <f t="shared" si="235"/>
        <v>130680.09999999999</v>
      </c>
      <c r="Y110" s="7">
        <f t="shared" si="235"/>
        <v>126124.29999999999</v>
      </c>
      <c r="Z110" s="7">
        <f t="shared" si="235"/>
        <v>129866.7</v>
      </c>
      <c r="AA110" s="7">
        <f t="shared" ref="AA110:AG110" si="236">SUM(AA106:AA109)</f>
        <v>132196.79999999999</v>
      </c>
      <c r="AB110" s="7">
        <f t="shared" si="236"/>
        <v>144907.69999999998</v>
      </c>
      <c r="AC110" s="7">
        <f t="shared" si="236"/>
        <v>145739.50000000003</v>
      </c>
      <c r="AD110" s="7">
        <f t="shared" si="236"/>
        <v>131624.29999999999</v>
      </c>
      <c r="AE110" s="7">
        <f t="shared" si="236"/>
        <v>168411.3</v>
      </c>
      <c r="AF110" s="7">
        <f t="shared" si="236"/>
        <v>163901</v>
      </c>
      <c r="AG110" s="7">
        <f t="shared" si="236"/>
        <v>156760.30000000002</v>
      </c>
      <c r="AH110" s="7">
        <f t="shared" ref="AH110:AM110" si="237">SUM(AH106:AH109)</f>
        <v>131845.32199999999</v>
      </c>
      <c r="AI110" s="7">
        <f t="shared" si="237"/>
        <v>133859.4</v>
      </c>
      <c r="AJ110" s="7">
        <f t="shared" si="237"/>
        <v>131104.30000000002</v>
      </c>
      <c r="AK110" s="7">
        <f t="shared" si="237"/>
        <v>134643.21299999999</v>
      </c>
      <c r="AL110" s="7">
        <f t="shared" si="237"/>
        <v>135472.701</v>
      </c>
      <c r="AM110" s="7">
        <f t="shared" si="237"/>
        <v>121877.1</v>
      </c>
      <c r="AN110" s="7">
        <f t="shared" ref="AN110:AT110" si="238">SUM(AN106:AN109)</f>
        <v>122307</v>
      </c>
      <c r="AO110" s="7">
        <f t="shared" si="238"/>
        <v>116025.3</v>
      </c>
      <c r="AP110" s="7">
        <f t="shared" si="238"/>
        <v>113609.65</v>
      </c>
      <c r="AQ110" s="7">
        <f t="shared" si="238"/>
        <v>106963.7</v>
      </c>
      <c r="AR110" s="7">
        <f t="shared" si="238"/>
        <v>103150.39999999999</v>
      </c>
      <c r="AS110" s="7">
        <f t="shared" si="238"/>
        <v>98221.900000000009</v>
      </c>
      <c r="AT110" s="7">
        <f t="shared" si="238"/>
        <v>95827.4</v>
      </c>
      <c r="AU110" s="7">
        <f t="shared" ref="AU110:AZ110" si="239">SUM(AU106:AU109)</f>
        <v>93084.800000000003</v>
      </c>
      <c r="AV110" s="7">
        <f t="shared" si="239"/>
        <v>99420.900000000009</v>
      </c>
      <c r="AW110" s="7">
        <f t="shared" si="239"/>
        <v>103876.7</v>
      </c>
      <c r="AX110" s="7">
        <f t="shared" si="239"/>
        <v>108341.81199999999</v>
      </c>
      <c r="AY110" s="7">
        <f t="shared" si="239"/>
        <v>101973.323</v>
      </c>
      <c r="AZ110" s="7">
        <f t="shared" si="239"/>
        <v>93503.687999999995</v>
      </c>
      <c r="BA110" s="7">
        <f>SUM(BA106:BA109)</f>
        <v>91763.667999999991</v>
      </c>
      <c r="BB110" s="7">
        <f>SUM(BB106:BB109)</f>
        <v>91430.2</v>
      </c>
      <c r="BC110" s="7">
        <f>SUM(BC106:BC109)</f>
        <v>88557.8</v>
      </c>
      <c r="BD110" s="7"/>
    </row>
    <row r="111" spans="2:57" ht="13.5" customHeight="1">
      <c r="B111" s="5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H111" s="7"/>
      <c r="AI111" s="7"/>
      <c r="AJ111" s="7"/>
      <c r="AL111" s="7"/>
      <c r="AN111" s="7"/>
      <c r="AP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</row>
    <row r="112" spans="2:57" ht="13.5" customHeight="1">
      <c r="B112" s="5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H112" s="7"/>
      <c r="AI112" s="7"/>
      <c r="AJ112" s="7"/>
      <c r="AL112" s="7"/>
      <c r="AN112" s="7"/>
      <c r="AP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</row>
    <row r="113" spans="1:56" ht="13.5" customHeight="1">
      <c r="B113" s="6" t="s">
        <v>375</v>
      </c>
      <c r="C113" s="4">
        <v>47546.082999999999</v>
      </c>
      <c r="D113" s="4">
        <v>38734.949000000001</v>
      </c>
      <c r="E113" s="4">
        <v>32068.291000000001</v>
      </c>
      <c r="F113" s="4">
        <v>27451.996999999999</v>
      </c>
      <c r="G113" s="4">
        <v>27452.264999999999</v>
      </c>
      <c r="H113" s="4">
        <v>29058.093000000001</v>
      </c>
      <c r="I113" s="4">
        <v>25593.362000000001</v>
      </c>
      <c r="J113" s="4">
        <v>25828.2</v>
      </c>
      <c r="K113" s="4">
        <v>51130.991999999998</v>
      </c>
      <c r="L113" s="4">
        <v>51130.991999999998</v>
      </c>
      <c r="M113" s="4">
        <v>32586.3</v>
      </c>
      <c r="N113" s="4">
        <v>32586.3</v>
      </c>
      <c r="O113" s="4">
        <v>46193.173000000003</v>
      </c>
      <c r="P113" s="4">
        <v>36375.699999999997</v>
      </c>
      <c r="Q113" s="32">
        <f>BC113</f>
        <v>24976.799999999999</v>
      </c>
      <c r="R113" s="32"/>
      <c r="S113" s="81">
        <v>43538.281000000003</v>
      </c>
      <c r="T113" s="4">
        <v>41222.720999999998</v>
      </c>
      <c r="U113" s="4">
        <v>38658.555999999997</v>
      </c>
      <c r="V113" s="64">
        <f>+D113</f>
        <v>38734.949000000001</v>
      </c>
      <c r="W113" s="81">
        <v>37705.453000000001</v>
      </c>
      <c r="X113" s="4">
        <v>44592.993000000002</v>
      </c>
      <c r="Y113" s="4">
        <v>42426.756999999998</v>
      </c>
      <c r="Z113" s="64">
        <f>E113</f>
        <v>32068.291000000001</v>
      </c>
      <c r="AA113" s="81">
        <v>23563.013999999999</v>
      </c>
      <c r="AB113" s="4">
        <v>37918.1</v>
      </c>
      <c r="AC113" s="81">
        <v>38710.917000000001</v>
      </c>
      <c r="AD113" s="64">
        <f>F113</f>
        <v>27451.996999999999</v>
      </c>
      <c r="AE113" s="81">
        <v>44940.269</v>
      </c>
      <c r="AF113" s="81">
        <v>45481.794000000002</v>
      </c>
      <c r="AG113" s="81">
        <v>44852.2</v>
      </c>
      <c r="AH113" s="64">
        <f>H113</f>
        <v>29058.093000000001</v>
      </c>
      <c r="AI113" s="81">
        <v>28862.206999999999</v>
      </c>
      <c r="AJ113" s="81">
        <v>26381.3</v>
      </c>
      <c r="AK113" s="81">
        <v>21704.781999999999</v>
      </c>
      <c r="AL113" s="64">
        <f>I113</f>
        <v>25593.362000000001</v>
      </c>
      <c r="AM113" s="81">
        <v>61071.991000000002</v>
      </c>
      <c r="AN113" s="81">
        <v>59892.2</v>
      </c>
      <c r="AO113" s="81">
        <v>53912.5</v>
      </c>
      <c r="AP113" s="64">
        <f>K113</f>
        <v>51130.991999999998</v>
      </c>
      <c r="AQ113" s="81">
        <v>43549.512000000002</v>
      </c>
      <c r="AR113" s="81">
        <v>38903.300000000003</v>
      </c>
      <c r="AS113" s="4">
        <v>32688.1</v>
      </c>
      <c r="AT113" s="64">
        <f>M113</f>
        <v>32586.3</v>
      </c>
      <c r="AU113" s="4">
        <v>32606.799999999999</v>
      </c>
      <c r="AV113" s="81">
        <v>36960.400000000001</v>
      </c>
      <c r="AW113" s="4">
        <v>41033.699999999997</v>
      </c>
      <c r="AX113" s="64">
        <f>O113</f>
        <v>46193.173000000003</v>
      </c>
      <c r="AY113" s="4">
        <v>43536.716</v>
      </c>
      <c r="AZ113" s="4">
        <v>38449.22</v>
      </c>
      <c r="BA113" s="4">
        <v>37856.775999999998</v>
      </c>
      <c r="BB113" s="64">
        <f>P113</f>
        <v>36375.699999999997</v>
      </c>
      <c r="BC113" s="4">
        <f>24976.8</f>
        <v>24976.799999999999</v>
      </c>
      <c r="BD113" s="81"/>
    </row>
    <row r="114" spans="1:56" ht="13.5" customHeight="1">
      <c r="B114" s="6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32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H114" s="4"/>
      <c r="AI114" s="4"/>
      <c r="AJ114" s="4"/>
      <c r="AL114" s="4"/>
      <c r="AN114" s="4"/>
      <c r="AP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</row>
    <row r="115" spans="1:56" ht="13.5" customHeight="1">
      <c r="B115" s="5" t="s">
        <v>11</v>
      </c>
      <c r="C115" s="7">
        <f t="shared" ref="C115:H115" si="240">C110-C113</f>
        <v>90696.316999999995</v>
      </c>
      <c r="D115" s="7">
        <f t="shared" si="240"/>
        <v>92871.95100000003</v>
      </c>
      <c r="E115" s="7">
        <f t="shared" si="240"/>
        <v>97798.409</v>
      </c>
      <c r="F115" s="7">
        <f t="shared" si="240"/>
        <v>104172.30299999999</v>
      </c>
      <c r="G115" s="7">
        <f t="shared" si="240"/>
        <v>104172.01300000002</v>
      </c>
      <c r="H115" s="7">
        <f t="shared" si="240"/>
        <v>102787.22899999999</v>
      </c>
      <c r="I115" s="7">
        <f t="shared" ref="I115:O115" si="241">I110-I113</f>
        <v>109879.33900000001</v>
      </c>
      <c r="J115" s="7">
        <f t="shared" si="241"/>
        <v>109644.501</v>
      </c>
      <c r="K115" s="7">
        <f t="shared" si="241"/>
        <v>62478.657999999996</v>
      </c>
      <c r="L115" s="7">
        <f t="shared" si="241"/>
        <v>62478.657999999996</v>
      </c>
      <c r="M115" s="7">
        <f t="shared" si="241"/>
        <v>63241.099999999991</v>
      </c>
      <c r="N115" s="7">
        <f t="shared" si="241"/>
        <v>63241.099999999991</v>
      </c>
      <c r="O115" s="7">
        <f t="shared" si="241"/>
        <v>62148.638999999988</v>
      </c>
      <c r="P115" s="7">
        <f>P110-P113</f>
        <v>55054.5</v>
      </c>
      <c r="Q115" s="7">
        <f>Q110-Q113</f>
        <v>63581</v>
      </c>
      <c r="R115" s="7"/>
      <c r="S115" s="7">
        <f t="shared" ref="S115:Z115" si="242">S110-S113</f>
        <v>84850.819000000003</v>
      </c>
      <c r="T115" s="7">
        <f t="shared" si="242"/>
        <v>84322.978999999992</v>
      </c>
      <c r="U115" s="7">
        <f t="shared" si="242"/>
        <v>86523.644</v>
      </c>
      <c r="V115" s="7">
        <f t="shared" si="242"/>
        <v>92845.851000000024</v>
      </c>
      <c r="W115" s="7">
        <f t="shared" si="242"/>
        <v>86945.146999999997</v>
      </c>
      <c r="X115" s="7">
        <f t="shared" si="242"/>
        <v>86087.106999999989</v>
      </c>
      <c r="Y115" s="7">
        <f t="shared" si="242"/>
        <v>83697.542999999991</v>
      </c>
      <c r="Z115" s="7">
        <f t="shared" si="242"/>
        <v>97798.409</v>
      </c>
      <c r="AA115" s="7">
        <f t="shared" ref="AA115:AG115" si="243">AA110-AA113</f>
        <v>108633.78599999999</v>
      </c>
      <c r="AB115" s="7">
        <f t="shared" si="243"/>
        <v>106989.59999999998</v>
      </c>
      <c r="AC115" s="7">
        <f t="shared" si="243"/>
        <v>107028.58300000003</v>
      </c>
      <c r="AD115" s="7">
        <f t="shared" si="243"/>
        <v>104172.30299999999</v>
      </c>
      <c r="AE115" s="7">
        <f t="shared" si="243"/>
        <v>123471.03099999999</v>
      </c>
      <c r="AF115" s="7">
        <f t="shared" si="243"/>
        <v>118419.20600000001</v>
      </c>
      <c r="AG115" s="7">
        <f t="shared" si="243"/>
        <v>111908.10000000002</v>
      </c>
      <c r="AH115" s="7">
        <f t="shared" ref="AH115:AM115" si="244">AH110-AH113</f>
        <v>102787.22899999999</v>
      </c>
      <c r="AI115" s="7">
        <f t="shared" si="244"/>
        <v>104997.193</v>
      </c>
      <c r="AJ115" s="7">
        <f t="shared" si="244"/>
        <v>104723.00000000001</v>
      </c>
      <c r="AK115" s="7">
        <f t="shared" si="244"/>
        <v>112938.43099999998</v>
      </c>
      <c r="AL115" s="7">
        <f t="shared" si="244"/>
        <v>109879.33900000001</v>
      </c>
      <c r="AM115" s="7">
        <f t="shared" si="244"/>
        <v>60805.109000000004</v>
      </c>
      <c r="AN115" s="7">
        <f t="shared" ref="AN115:AT115" si="245">AN110-AN113</f>
        <v>62414.8</v>
      </c>
      <c r="AO115" s="7">
        <f t="shared" si="245"/>
        <v>62112.800000000003</v>
      </c>
      <c r="AP115" s="7">
        <f t="shared" si="245"/>
        <v>62478.657999999996</v>
      </c>
      <c r="AQ115" s="7">
        <f t="shared" si="245"/>
        <v>63414.187999999995</v>
      </c>
      <c r="AR115" s="7">
        <f t="shared" si="245"/>
        <v>64247.099999999991</v>
      </c>
      <c r="AS115" s="7">
        <f t="shared" si="245"/>
        <v>65533.80000000001</v>
      </c>
      <c r="AT115" s="7">
        <f t="shared" si="245"/>
        <v>63241.099999999991</v>
      </c>
      <c r="AU115" s="7">
        <f t="shared" ref="AU115:AZ115" si="246">AU110-AU113</f>
        <v>60478</v>
      </c>
      <c r="AV115" s="7">
        <f t="shared" si="246"/>
        <v>62460.500000000007</v>
      </c>
      <c r="AW115" s="7">
        <f t="shared" si="246"/>
        <v>62843</v>
      </c>
      <c r="AX115" s="7">
        <f t="shared" si="246"/>
        <v>62148.638999999988</v>
      </c>
      <c r="AY115" s="7">
        <f t="shared" si="246"/>
        <v>58436.607000000004</v>
      </c>
      <c r="AZ115" s="7">
        <f t="shared" si="246"/>
        <v>55054.467999999993</v>
      </c>
      <c r="BA115" s="7">
        <f>BA110-BA113</f>
        <v>53906.891999999993</v>
      </c>
      <c r="BB115" s="7">
        <f>BB110-BB113</f>
        <v>55054.5</v>
      </c>
      <c r="BC115" s="7">
        <f>BC110-BC113</f>
        <v>63581</v>
      </c>
      <c r="BD115" s="7"/>
    </row>
    <row r="116" spans="1:56" ht="13.5" customHeight="1">
      <c r="B116" s="1" t="s">
        <v>376</v>
      </c>
      <c r="C116" s="32">
        <f t="shared" ref="C116:H116" si="247">C110</f>
        <v>138242.4</v>
      </c>
      <c r="D116" s="32">
        <f t="shared" si="247"/>
        <v>131606.90000000002</v>
      </c>
      <c r="E116" s="32">
        <f t="shared" si="247"/>
        <v>129866.7</v>
      </c>
      <c r="F116" s="32">
        <f t="shared" si="247"/>
        <v>131624.29999999999</v>
      </c>
      <c r="G116" s="32">
        <f t="shared" si="247"/>
        <v>131624.27800000002</v>
      </c>
      <c r="H116" s="32">
        <f t="shared" si="247"/>
        <v>131845.32199999999</v>
      </c>
      <c r="I116" s="32">
        <f t="shared" ref="I116:Q116" si="248">I110</f>
        <v>135472.701</v>
      </c>
      <c r="J116" s="32">
        <f t="shared" si="248"/>
        <v>135472.701</v>
      </c>
      <c r="K116" s="32">
        <f t="shared" si="248"/>
        <v>113609.65</v>
      </c>
      <c r="L116" s="32">
        <f t="shared" si="248"/>
        <v>113609.65</v>
      </c>
      <c r="M116" s="32">
        <f t="shared" si="248"/>
        <v>95827.4</v>
      </c>
      <c r="N116" s="32">
        <f t="shared" si="248"/>
        <v>95827.4</v>
      </c>
      <c r="O116" s="32">
        <f t="shared" si="248"/>
        <v>108341.81199999999</v>
      </c>
      <c r="P116" s="32">
        <f>P110</f>
        <v>91430.2</v>
      </c>
      <c r="Q116" s="32">
        <f t="shared" si="248"/>
        <v>88557.8</v>
      </c>
      <c r="R116" s="32"/>
      <c r="S116" s="32">
        <f t="shared" ref="S116:Z116" si="249">S110</f>
        <v>128389.1</v>
      </c>
      <c r="T116" s="32">
        <f t="shared" si="249"/>
        <v>125545.7</v>
      </c>
      <c r="U116" s="32">
        <f t="shared" si="249"/>
        <v>125182.2</v>
      </c>
      <c r="V116" s="32">
        <f t="shared" si="249"/>
        <v>131580.80000000002</v>
      </c>
      <c r="W116" s="32">
        <f t="shared" si="249"/>
        <v>124650.6</v>
      </c>
      <c r="X116" s="32">
        <f t="shared" si="249"/>
        <v>130680.09999999999</v>
      </c>
      <c r="Y116" s="32">
        <f t="shared" si="249"/>
        <v>126124.29999999999</v>
      </c>
      <c r="Z116" s="32">
        <f t="shared" si="249"/>
        <v>129866.7</v>
      </c>
      <c r="AA116" s="32">
        <f t="shared" ref="AA116:AG116" si="250">AA110</f>
        <v>132196.79999999999</v>
      </c>
      <c r="AB116" s="32">
        <f t="shared" si="250"/>
        <v>144907.69999999998</v>
      </c>
      <c r="AC116" s="32">
        <f t="shared" si="250"/>
        <v>145739.50000000003</v>
      </c>
      <c r="AD116" s="32">
        <f t="shared" si="250"/>
        <v>131624.29999999999</v>
      </c>
      <c r="AE116" s="32">
        <f t="shared" si="250"/>
        <v>168411.3</v>
      </c>
      <c r="AF116" s="32">
        <f t="shared" si="250"/>
        <v>163901</v>
      </c>
      <c r="AG116" s="32">
        <f t="shared" si="250"/>
        <v>156760.30000000002</v>
      </c>
      <c r="AH116" s="32">
        <f t="shared" ref="AH116:AM116" si="251">AH110</f>
        <v>131845.32199999999</v>
      </c>
      <c r="AI116" s="32">
        <f t="shared" si="251"/>
        <v>133859.4</v>
      </c>
      <c r="AJ116" s="32">
        <f t="shared" si="251"/>
        <v>131104.30000000002</v>
      </c>
      <c r="AK116" s="32">
        <f t="shared" si="251"/>
        <v>134643.21299999999</v>
      </c>
      <c r="AL116" s="32">
        <f t="shared" si="251"/>
        <v>135472.701</v>
      </c>
      <c r="AM116" s="32">
        <f t="shared" si="251"/>
        <v>121877.1</v>
      </c>
      <c r="AN116" s="32">
        <f t="shared" ref="AN116:AT116" si="252">AN110</f>
        <v>122307</v>
      </c>
      <c r="AO116" s="32">
        <f t="shared" si="252"/>
        <v>116025.3</v>
      </c>
      <c r="AP116" s="32">
        <f t="shared" si="252"/>
        <v>113609.65</v>
      </c>
      <c r="AQ116" s="32">
        <f t="shared" si="252"/>
        <v>106963.7</v>
      </c>
      <c r="AR116" s="32">
        <f t="shared" si="252"/>
        <v>103150.39999999999</v>
      </c>
      <c r="AS116" s="32">
        <f t="shared" si="252"/>
        <v>98221.900000000009</v>
      </c>
      <c r="AT116" s="32">
        <f t="shared" si="252"/>
        <v>95827.4</v>
      </c>
      <c r="AU116" s="32">
        <f t="shared" ref="AU116:AZ116" si="253">AU110</f>
        <v>93084.800000000003</v>
      </c>
      <c r="AV116" s="32">
        <f t="shared" si="253"/>
        <v>99420.900000000009</v>
      </c>
      <c r="AW116" s="32">
        <f t="shared" si="253"/>
        <v>103876.7</v>
      </c>
      <c r="AX116" s="32">
        <f t="shared" si="253"/>
        <v>108341.81199999999</v>
      </c>
      <c r="AY116" s="32">
        <f t="shared" si="253"/>
        <v>101973.323</v>
      </c>
      <c r="AZ116" s="32">
        <f t="shared" si="253"/>
        <v>93503.687999999995</v>
      </c>
      <c r="BA116" s="32">
        <f>BA110</f>
        <v>91763.667999999991</v>
      </c>
      <c r="BB116" s="32">
        <f>BB110</f>
        <v>91430.2</v>
      </c>
      <c r="BC116" s="32">
        <f>BC110</f>
        <v>88557.8</v>
      </c>
      <c r="BD116" s="32"/>
    </row>
    <row r="117" spans="1:56" ht="13.5" customHeight="1"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H117" s="32"/>
      <c r="AI117" s="32"/>
      <c r="AJ117" s="32"/>
      <c r="AL117" s="32"/>
      <c r="AN117" s="32"/>
      <c r="AP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</row>
    <row r="118" spans="1:56" ht="13.5" customHeight="1">
      <c r="B118" s="5" t="s">
        <v>377</v>
      </c>
      <c r="C118" s="62">
        <v>78405.899999999994</v>
      </c>
      <c r="D118" s="62">
        <v>79273.100000000006</v>
      </c>
      <c r="E118" s="62">
        <v>83318.5</v>
      </c>
      <c r="F118" s="62">
        <v>93733.1</v>
      </c>
      <c r="G118" s="62">
        <v>93733.1</v>
      </c>
      <c r="H118" s="62">
        <v>96143</v>
      </c>
      <c r="I118" s="62">
        <v>105219.9</v>
      </c>
      <c r="J118" s="62">
        <v>105219.9</v>
      </c>
      <c r="K118" s="62">
        <v>59094.400000000001</v>
      </c>
      <c r="L118" s="62">
        <v>59094.400000000001</v>
      </c>
      <c r="M118" s="62">
        <v>60654.5</v>
      </c>
      <c r="N118" s="62">
        <v>60654.5</v>
      </c>
      <c r="O118" s="62">
        <v>59647.9</v>
      </c>
      <c r="P118" s="62">
        <v>49115.199999999997</v>
      </c>
      <c r="Q118" s="32">
        <f>BC118</f>
        <v>49752.4</v>
      </c>
      <c r="R118" s="32"/>
      <c r="S118" s="91">
        <v>72606.3</v>
      </c>
      <c r="T118" s="91">
        <v>72084.100000000006</v>
      </c>
      <c r="U118" s="91">
        <v>73953</v>
      </c>
      <c r="V118" s="66">
        <f>D118</f>
        <v>79273.100000000006</v>
      </c>
      <c r="W118" s="91">
        <v>73339.3</v>
      </c>
      <c r="X118" s="91">
        <v>72176.899999999994</v>
      </c>
      <c r="Y118" s="91">
        <v>68630.399999999994</v>
      </c>
      <c r="Z118" s="66">
        <f>E118</f>
        <v>83318.5</v>
      </c>
      <c r="AA118" s="91">
        <v>94275</v>
      </c>
      <c r="AB118" s="91">
        <v>93495.2</v>
      </c>
      <c r="AC118" s="91">
        <v>94994.7</v>
      </c>
      <c r="AD118" s="66">
        <f>F118</f>
        <v>93733.1</v>
      </c>
      <c r="AE118" s="91">
        <v>113656.8</v>
      </c>
      <c r="AF118" s="91">
        <v>109037.5</v>
      </c>
      <c r="AG118" s="91">
        <v>104688.2</v>
      </c>
      <c r="AH118" s="66">
        <f>H118</f>
        <v>96143</v>
      </c>
      <c r="AI118" s="91">
        <v>99913.8</v>
      </c>
      <c r="AJ118" s="91">
        <v>100113.2</v>
      </c>
      <c r="AK118" s="91">
        <v>108781.9</v>
      </c>
      <c r="AL118" s="66">
        <f>I118</f>
        <v>105219.9</v>
      </c>
      <c r="AM118" s="91">
        <v>56948.2</v>
      </c>
      <c r="AN118" s="91">
        <v>59098.7</v>
      </c>
      <c r="AO118" s="91">
        <v>59358.7</v>
      </c>
      <c r="AP118" s="66">
        <f>K118</f>
        <v>59094.400000000001</v>
      </c>
      <c r="AQ118" s="91">
        <v>60383.199999999997</v>
      </c>
      <c r="AR118" s="91">
        <v>61584.2</v>
      </c>
      <c r="AS118" s="62">
        <v>62889.4</v>
      </c>
      <c r="AT118" s="32">
        <f>M118</f>
        <v>60654.5</v>
      </c>
      <c r="AU118" s="62">
        <v>57456.3</v>
      </c>
      <c r="AV118" s="62">
        <v>59276.4</v>
      </c>
      <c r="AW118" s="62">
        <v>60028.9</v>
      </c>
      <c r="AX118" s="64">
        <f>O118</f>
        <v>59647.9</v>
      </c>
      <c r="AY118" s="62">
        <v>55467.3</v>
      </c>
      <c r="AZ118" s="62">
        <v>51570.2</v>
      </c>
      <c r="BA118" s="62">
        <v>50086.3</v>
      </c>
      <c r="BB118" s="64">
        <f>P118</f>
        <v>49115.199999999997</v>
      </c>
      <c r="BC118" s="62">
        <v>49752.4</v>
      </c>
    </row>
    <row r="119" spans="1:56" ht="13.5" customHeight="1"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H119" s="24"/>
      <c r="AI119" s="24"/>
      <c r="AJ119" s="24"/>
      <c r="AL119" s="24"/>
      <c r="AN119" s="24"/>
      <c r="AP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</row>
    <row r="120" spans="1:56" ht="13.5" customHeight="1">
      <c r="B120" s="1" t="s">
        <v>378</v>
      </c>
      <c r="C120" s="230">
        <v>96284.4</v>
      </c>
      <c r="D120" s="61">
        <v>99656.914000000004</v>
      </c>
      <c r="E120" s="61">
        <v>104781.04</v>
      </c>
      <c r="F120" s="61">
        <v>105500.23299999999</v>
      </c>
      <c r="G120" s="61">
        <v>105625.23299999999</v>
      </c>
      <c r="H120" s="61">
        <v>87939.032999999996</v>
      </c>
      <c r="I120" s="229">
        <v>95786.759000000005</v>
      </c>
      <c r="J120" s="61">
        <v>96524</v>
      </c>
      <c r="K120" s="61">
        <v>142391.70000000001</v>
      </c>
      <c r="L120" s="61">
        <v>142391.70000000001</v>
      </c>
      <c r="M120" s="61">
        <v>133026.79999999999</v>
      </c>
      <c r="N120" s="61">
        <v>134672.43299999999</v>
      </c>
      <c r="O120" s="61">
        <v>111695.625</v>
      </c>
      <c r="P120" s="61">
        <v>102889</v>
      </c>
      <c r="Q120" s="32">
        <f>BC120</f>
        <v>104339.7</v>
      </c>
      <c r="R120" s="32"/>
      <c r="S120" s="63">
        <v>97661.91</v>
      </c>
      <c r="T120" s="63">
        <v>99015.513999999996</v>
      </c>
      <c r="U120" s="61">
        <v>100731.447</v>
      </c>
      <c r="V120" s="64">
        <f>D120</f>
        <v>99656.914000000004</v>
      </c>
      <c r="W120" s="63">
        <v>101316.03</v>
      </c>
      <c r="X120" s="63">
        <v>103464.268</v>
      </c>
      <c r="Y120" s="61">
        <v>105565.914</v>
      </c>
      <c r="Z120" s="64">
        <f>E120</f>
        <v>104781.04</v>
      </c>
      <c r="AA120" s="63">
        <v>103764.796</v>
      </c>
      <c r="AB120" s="63">
        <v>102462.8</v>
      </c>
      <c r="AC120" s="63">
        <v>102896.69899999999</v>
      </c>
      <c r="AD120" s="64">
        <f>F120</f>
        <v>105500.23299999999</v>
      </c>
      <c r="AE120" s="63">
        <v>81930.399999999994</v>
      </c>
      <c r="AF120" s="63">
        <v>82723.793000000005</v>
      </c>
      <c r="AG120" s="63">
        <v>84446.3</v>
      </c>
      <c r="AH120" s="64">
        <f>H120</f>
        <v>87939.032999999996</v>
      </c>
      <c r="AI120" s="63">
        <v>88698.1</v>
      </c>
      <c r="AJ120" s="63">
        <v>90469.8</v>
      </c>
      <c r="AK120" s="63">
        <v>93406.61</v>
      </c>
      <c r="AL120" s="64">
        <f>I120</f>
        <v>95786.759000000005</v>
      </c>
      <c r="AM120" s="63">
        <v>149017.9</v>
      </c>
      <c r="AN120" s="63">
        <v>90469.8</v>
      </c>
      <c r="AO120" s="63">
        <v>154302.79999999999</v>
      </c>
      <c r="AP120" s="64">
        <f>K120</f>
        <v>142391.70000000001</v>
      </c>
      <c r="AQ120" s="63">
        <v>143764.87599999999</v>
      </c>
      <c r="AR120" s="63">
        <v>143528.79999999999</v>
      </c>
      <c r="AS120" s="61">
        <v>142200.70000000001</v>
      </c>
      <c r="AT120" s="64">
        <f>M120</f>
        <v>133026.79999999999</v>
      </c>
      <c r="AU120" s="61">
        <v>127320.9</v>
      </c>
      <c r="AV120" s="63">
        <v>123162.7</v>
      </c>
      <c r="AW120" s="61">
        <v>122467.1</v>
      </c>
      <c r="AX120" s="64">
        <f>O120</f>
        <v>111695.625</v>
      </c>
      <c r="AY120" s="61">
        <v>111814.80499999999</v>
      </c>
      <c r="AZ120" s="61">
        <v>112552.7</v>
      </c>
      <c r="BA120" s="61">
        <v>111092.1</v>
      </c>
      <c r="BB120" s="64">
        <f>P120</f>
        <v>102889</v>
      </c>
      <c r="BC120" s="61">
        <v>104339.7</v>
      </c>
      <c r="BD120" s="63"/>
    </row>
    <row r="121" spans="1:56" s="5" customFormat="1" ht="13.5" customHeight="1">
      <c r="B121" s="5" t="s">
        <v>379</v>
      </c>
      <c r="C121" s="231">
        <f t="shared" ref="C121:Q121" si="254">C116+C120</f>
        <v>234526.8</v>
      </c>
      <c r="D121" s="65">
        <f t="shared" si="254"/>
        <v>231263.81400000001</v>
      </c>
      <c r="E121" s="65">
        <f t="shared" si="254"/>
        <v>234647.74</v>
      </c>
      <c r="F121" s="65">
        <f t="shared" si="254"/>
        <v>237124.533</v>
      </c>
      <c r="G121" s="65">
        <f t="shared" si="254"/>
        <v>237249.511</v>
      </c>
      <c r="H121" s="65">
        <f t="shared" si="254"/>
        <v>219784.35499999998</v>
      </c>
      <c r="I121" s="231">
        <f t="shared" si="254"/>
        <v>231259.46000000002</v>
      </c>
      <c r="J121" s="65">
        <f t="shared" si="254"/>
        <v>231996.701</v>
      </c>
      <c r="K121" s="65">
        <f t="shared" si="254"/>
        <v>256001.35</v>
      </c>
      <c r="L121" s="65">
        <f t="shared" si="254"/>
        <v>256001.35</v>
      </c>
      <c r="M121" s="65">
        <f t="shared" si="254"/>
        <v>228854.19999999998</v>
      </c>
      <c r="N121" s="65">
        <f t="shared" si="254"/>
        <v>230499.83299999998</v>
      </c>
      <c r="O121" s="65">
        <f t="shared" si="254"/>
        <v>220037.43699999998</v>
      </c>
      <c r="P121" s="65">
        <f>P116+P120</f>
        <v>194319.2</v>
      </c>
      <c r="Q121" s="65">
        <f t="shared" si="254"/>
        <v>192897.5</v>
      </c>
      <c r="R121" s="65"/>
      <c r="S121" s="65">
        <f t="shared" ref="S121:AX121" si="255">S116+S120</f>
        <v>226051.01</v>
      </c>
      <c r="T121" s="65">
        <f t="shared" si="255"/>
        <v>224561.21399999998</v>
      </c>
      <c r="U121" s="65">
        <f t="shared" si="255"/>
        <v>225913.647</v>
      </c>
      <c r="V121" s="65">
        <f t="shared" si="255"/>
        <v>231237.71400000004</v>
      </c>
      <c r="W121" s="65">
        <f t="shared" si="255"/>
        <v>225966.63</v>
      </c>
      <c r="X121" s="65">
        <f t="shared" si="255"/>
        <v>234144.36799999999</v>
      </c>
      <c r="Y121" s="65">
        <f t="shared" si="255"/>
        <v>231690.21399999998</v>
      </c>
      <c r="Z121" s="65">
        <f t="shared" si="255"/>
        <v>234647.74</v>
      </c>
      <c r="AA121" s="65">
        <f t="shared" si="255"/>
        <v>235961.59599999999</v>
      </c>
      <c r="AB121" s="65">
        <f t="shared" si="255"/>
        <v>247370.5</v>
      </c>
      <c r="AC121" s="65">
        <f t="shared" si="255"/>
        <v>248636.19900000002</v>
      </c>
      <c r="AD121" s="65">
        <f t="shared" si="255"/>
        <v>237124.533</v>
      </c>
      <c r="AE121" s="65">
        <f t="shared" si="255"/>
        <v>250341.69999999998</v>
      </c>
      <c r="AF121" s="65">
        <f t="shared" si="255"/>
        <v>246624.79300000001</v>
      </c>
      <c r="AG121" s="65">
        <f t="shared" si="255"/>
        <v>241206.60000000003</v>
      </c>
      <c r="AH121" s="65">
        <f t="shared" si="255"/>
        <v>219784.35499999998</v>
      </c>
      <c r="AI121" s="65">
        <f t="shared" si="255"/>
        <v>222557.5</v>
      </c>
      <c r="AJ121" s="65">
        <f t="shared" si="255"/>
        <v>221574.10000000003</v>
      </c>
      <c r="AK121" s="65">
        <f t="shared" si="255"/>
        <v>228049.82299999997</v>
      </c>
      <c r="AL121" s="65">
        <f t="shared" si="255"/>
        <v>231259.46000000002</v>
      </c>
      <c r="AM121" s="65">
        <f t="shared" si="255"/>
        <v>270895</v>
      </c>
      <c r="AN121" s="65">
        <f t="shared" si="255"/>
        <v>212776.8</v>
      </c>
      <c r="AO121" s="65">
        <f t="shared" si="255"/>
        <v>270328.09999999998</v>
      </c>
      <c r="AP121" s="65">
        <f t="shared" si="255"/>
        <v>256001.35</v>
      </c>
      <c r="AQ121" s="65">
        <f t="shared" si="255"/>
        <v>250728.576</v>
      </c>
      <c r="AR121" s="65">
        <f t="shared" si="255"/>
        <v>246679.19999999998</v>
      </c>
      <c r="AS121" s="65">
        <f t="shared" si="255"/>
        <v>240422.60000000003</v>
      </c>
      <c r="AT121" s="65">
        <f t="shared" si="255"/>
        <v>228854.19999999998</v>
      </c>
      <c r="AU121" s="65">
        <f t="shared" si="255"/>
        <v>220405.7</v>
      </c>
      <c r="AV121" s="65">
        <f t="shared" si="255"/>
        <v>222583.6</v>
      </c>
      <c r="AW121" s="65">
        <f t="shared" si="255"/>
        <v>226343.8</v>
      </c>
      <c r="AX121" s="65">
        <f t="shared" si="255"/>
        <v>220037.43699999998</v>
      </c>
      <c r="AY121" s="65">
        <f>AY116+AY120</f>
        <v>213788.128</v>
      </c>
      <c r="AZ121" s="65">
        <f>AZ116+AZ120</f>
        <v>206056.38799999998</v>
      </c>
      <c r="BA121" s="65">
        <f>BA116+BA120</f>
        <v>202855.76799999998</v>
      </c>
      <c r="BB121" s="65">
        <f>BB116+BB120</f>
        <v>194319.2</v>
      </c>
      <c r="BC121" s="65">
        <f>BC116+BC120</f>
        <v>192897.5</v>
      </c>
      <c r="BD121" s="65"/>
    </row>
    <row r="123" spans="1:56" ht="13.5" customHeight="1">
      <c r="A123" s="23"/>
      <c r="B123" s="15" t="s">
        <v>380</v>
      </c>
      <c r="C123" s="36">
        <f t="shared" ref="C123:Q123" si="256">+C91</f>
        <v>42735</v>
      </c>
      <c r="D123" s="69">
        <f t="shared" si="256"/>
        <v>43100</v>
      </c>
      <c r="E123" s="69">
        <f t="shared" si="256"/>
        <v>43465</v>
      </c>
      <c r="F123" s="69">
        <f t="shared" si="256"/>
        <v>43830</v>
      </c>
      <c r="G123" s="69">
        <f t="shared" si="256"/>
        <v>43830</v>
      </c>
      <c r="H123" s="69">
        <f t="shared" si="256"/>
        <v>44196</v>
      </c>
      <c r="I123" s="69">
        <f t="shared" si="256"/>
        <v>44561</v>
      </c>
      <c r="J123" s="69">
        <f t="shared" si="256"/>
        <v>44561</v>
      </c>
      <c r="K123" s="69">
        <f t="shared" si="256"/>
        <v>44926</v>
      </c>
      <c r="L123" s="69">
        <f t="shared" si="256"/>
        <v>44926</v>
      </c>
      <c r="M123" s="69">
        <f t="shared" si="256"/>
        <v>45291</v>
      </c>
      <c r="N123" s="69">
        <f t="shared" si="256"/>
        <v>45291</v>
      </c>
      <c r="O123" s="69">
        <f t="shared" si="256"/>
        <v>45657</v>
      </c>
      <c r="P123" s="69">
        <f>+P91</f>
        <v>46022</v>
      </c>
      <c r="Q123" s="121">
        <f t="shared" si="256"/>
        <v>46112</v>
      </c>
      <c r="R123" s="209" t="s">
        <v>325</v>
      </c>
      <c r="S123" s="36">
        <f>+S91</f>
        <v>42825</v>
      </c>
      <c r="T123" s="36">
        <f>+T91</f>
        <v>42916</v>
      </c>
      <c r="U123" s="36">
        <f>+U91</f>
        <v>43008</v>
      </c>
      <c r="V123" s="36">
        <f>+V91</f>
        <v>43100</v>
      </c>
      <c r="W123" s="36">
        <f>+W91</f>
        <v>43190</v>
      </c>
      <c r="X123" s="36">
        <f>X3</f>
        <v>43281</v>
      </c>
      <c r="Y123" s="36">
        <f>Y3</f>
        <v>43373</v>
      </c>
      <c r="Z123" s="36">
        <f>Z3</f>
        <v>43465</v>
      </c>
      <c r="AA123" s="36">
        <f>+AA91</f>
        <v>43555</v>
      </c>
      <c r="AB123" s="36">
        <f>AB3</f>
        <v>43646</v>
      </c>
      <c r="AC123" s="36">
        <f t="shared" ref="AC123:AT123" si="257">+AC91</f>
        <v>43738</v>
      </c>
      <c r="AD123" s="36">
        <f t="shared" si="257"/>
        <v>43830</v>
      </c>
      <c r="AE123" s="36">
        <f t="shared" si="257"/>
        <v>43921</v>
      </c>
      <c r="AF123" s="36">
        <f t="shared" si="257"/>
        <v>44012</v>
      </c>
      <c r="AG123" s="36">
        <f t="shared" si="257"/>
        <v>44104</v>
      </c>
      <c r="AH123" s="36">
        <f t="shared" si="257"/>
        <v>44196</v>
      </c>
      <c r="AI123" s="36">
        <f t="shared" si="257"/>
        <v>44286</v>
      </c>
      <c r="AJ123" s="36">
        <f t="shared" si="257"/>
        <v>44377</v>
      </c>
      <c r="AK123" s="36">
        <f t="shared" si="257"/>
        <v>44469</v>
      </c>
      <c r="AL123" s="36">
        <f t="shared" si="257"/>
        <v>44561</v>
      </c>
      <c r="AM123" s="36">
        <f t="shared" si="257"/>
        <v>44651</v>
      </c>
      <c r="AN123" s="36">
        <f t="shared" si="257"/>
        <v>44742</v>
      </c>
      <c r="AO123" s="36">
        <f t="shared" si="257"/>
        <v>44834</v>
      </c>
      <c r="AP123" s="36">
        <f t="shared" si="257"/>
        <v>44926</v>
      </c>
      <c r="AQ123" s="36">
        <f t="shared" si="257"/>
        <v>45016</v>
      </c>
      <c r="AR123" s="92">
        <f t="shared" si="257"/>
        <v>45107</v>
      </c>
      <c r="AS123" s="92">
        <f t="shared" si="257"/>
        <v>45199</v>
      </c>
      <c r="AT123" s="92">
        <f t="shared" si="257"/>
        <v>45291</v>
      </c>
      <c r="AU123" s="92">
        <f t="shared" ref="AU123:AZ123" si="258">+AU91</f>
        <v>45382</v>
      </c>
      <c r="AV123" s="92">
        <f t="shared" si="258"/>
        <v>45473</v>
      </c>
      <c r="AW123" s="92">
        <f t="shared" si="258"/>
        <v>45565</v>
      </c>
      <c r="AX123" s="92">
        <f t="shared" si="258"/>
        <v>45657</v>
      </c>
      <c r="AY123" s="92">
        <f t="shared" si="258"/>
        <v>45747</v>
      </c>
      <c r="AZ123" s="92">
        <f t="shared" si="258"/>
        <v>45838</v>
      </c>
      <c r="BA123" s="92">
        <f>+BA91</f>
        <v>45930</v>
      </c>
      <c r="BB123" s="92">
        <f>+BB91</f>
        <v>46022</v>
      </c>
      <c r="BC123" s="92">
        <f>+BC91</f>
        <v>46112</v>
      </c>
      <c r="BD123" s="270"/>
    </row>
    <row r="124" spans="1:56" ht="13.5" customHeight="1">
      <c r="B124" s="5"/>
    </row>
    <row r="125" spans="1:56" s="5" customFormat="1" ht="13.5" customHeight="1">
      <c r="B125" s="5" t="s">
        <v>381</v>
      </c>
      <c r="C125" s="349">
        <f t="shared" ref="C125:Q125" si="259">+C115/C$85</f>
        <v>2.470256024516829</v>
      </c>
      <c r="D125" s="349">
        <f t="shared" si="259"/>
        <v>2.6382951216115718</v>
      </c>
      <c r="E125" s="349">
        <f t="shared" si="259"/>
        <v>2.5385867966160442</v>
      </c>
      <c r="F125" s="349">
        <f t="shared" si="259"/>
        <v>2.6498065419446046</v>
      </c>
      <c r="G125" s="349">
        <f t="shared" si="259"/>
        <v>2.6486376585976874</v>
      </c>
      <c r="H125" s="349">
        <f t="shared" si="259"/>
        <v>2.6661606125066708</v>
      </c>
      <c r="I125" s="349">
        <f t="shared" si="259"/>
        <v>2.6664803015130794</v>
      </c>
      <c r="J125" s="349">
        <f t="shared" si="259"/>
        <v>3.8619363363880388</v>
      </c>
      <c r="K125" s="349">
        <f t="shared" si="259"/>
        <v>2.360048729555988</v>
      </c>
      <c r="L125" s="349">
        <f t="shared" si="259"/>
        <v>2.4030047897283344</v>
      </c>
      <c r="M125" s="349">
        <f t="shared" si="259"/>
        <v>2.521082404155488</v>
      </c>
      <c r="N125" s="349">
        <f t="shared" si="259"/>
        <v>2.6088757657148212</v>
      </c>
      <c r="O125" s="349">
        <f t="shared" si="259"/>
        <v>2.7896365537920138</v>
      </c>
      <c r="P125" s="349">
        <f>+P115/P$85</f>
        <v>2.4578748874738006</v>
      </c>
      <c r="Q125" s="349">
        <f t="shared" si="259"/>
        <v>2.7957612037114883</v>
      </c>
      <c r="R125" s="349"/>
      <c r="S125" s="349"/>
      <c r="T125" s="349"/>
      <c r="U125" s="349"/>
      <c r="V125" s="349">
        <f t="shared" ref="V125:AX125" si="260">+V115/V$85</f>
        <v>2.6375536759766685</v>
      </c>
      <c r="W125" s="349">
        <f t="shared" si="260"/>
        <v>2.4289143091263918</v>
      </c>
      <c r="X125" s="349">
        <f t="shared" si="260"/>
        <v>2.316724977849896</v>
      </c>
      <c r="Y125" s="349">
        <f t="shared" si="260"/>
        <v>2.1920004980203718</v>
      </c>
      <c r="Z125" s="349">
        <f t="shared" si="260"/>
        <v>2.5385867966160447</v>
      </c>
      <c r="AA125" s="349">
        <f t="shared" si="260"/>
        <v>2.7983335774029876</v>
      </c>
      <c r="AB125" s="349">
        <f t="shared" si="260"/>
        <v>2.8110304944218867</v>
      </c>
      <c r="AC125" s="349">
        <f t="shared" si="260"/>
        <v>2.776002740194528</v>
      </c>
      <c r="AD125" s="349">
        <f t="shared" si="260"/>
        <v>2.6498065419446046</v>
      </c>
      <c r="AE125" s="349">
        <f t="shared" si="260"/>
        <v>3.1878990407749463</v>
      </c>
      <c r="AF125" s="349">
        <f t="shared" si="260"/>
        <v>3.1595525785278289</v>
      </c>
      <c r="AG125" s="349">
        <f t="shared" si="260"/>
        <v>2.9992222687096328</v>
      </c>
      <c r="AH125" s="349">
        <f t="shared" si="260"/>
        <v>2.6661606125066708</v>
      </c>
      <c r="AI125" s="349">
        <f t="shared" si="260"/>
        <v>2.683803962867735</v>
      </c>
      <c r="AJ125" s="349">
        <f t="shared" si="260"/>
        <v>2.5850875380800105</v>
      </c>
      <c r="AK125" s="349">
        <f t="shared" si="260"/>
        <v>2.7651087540901531</v>
      </c>
      <c r="AL125" s="349">
        <f t="shared" si="260"/>
        <v>2.666480301513078</v>
      </c>
      <c r="AM125" s="349">
        <f t="shared" si="260"/>
        <v>1.5500620584542506</v>
      </c>
      <c r="AN125" s="349">
        <f t="shared" si="260"/>
        <v>1.7156853312791034</v>
      </c>
      <c r="AO125" s="349">
        <f t="shared" si="260"/>
        <v>1.8977596385405961</v>
      </c>
      <c r="AP125" s="349">
        <f t="shared" si="260"/>
        <v>2.3600487295559875</v>
      </c>
      <c r="AQ125" s="349">
        <f t="shared" si="260"/>
        <v>2.4122913820542924</v>
      </c>
      <c r="AR125" s="349">
        <f t="shared" si="260"/>
        <v>2.4657365168880632</v>
      </c>
      <c r="AS125" s="349">
        <f t="shared" si="260"/>
        <v>2.6176718674749537</v>
      </c>
      <c r="AT125" s="349">
        <f t="shared" si="260"/>
        <v>2.521082404155488</v>
      </c>
      <c r="AU125" s="349">
        <f t="shared" si="260"/>
        <v>2.5141535980814651</v>
      </c>
      <c r="AV125" s="349">
        <f t="shared" si="260"/>
        <v>2.6743936013054848</v>
      </c>
      <c r="AW125" s="349">
        <f t="shared" si="260"/>
        <v>2.7153025400001924</v>
      </c>
      <c r="AX125" s="349">
        <f t="shared" si="260"/>
        <v>2.7896365537920134</v>
      </c>
      <c r="AY125" s="349">
        <f t="shared" ref="AY125:BB126" si="261">+AY115/AY$85</f>
        <v>2.638078614251147</v>
      </c>
      <c r="AZ125" s="349">
        <f t="shared" si="261"/>
        <v>2.5077877686372041</v>
      </c>
      <c r="BA125" s="349">
        <f t="shared" si="261"/>
        <v>2.4571352854714492</v>
      </c>
      <c r="BB125" s="349">
        <f t="shared" si="261"/>
        <v>2.4578748874738006</v>
      </c>
      <c r="BC125" s="349">
        <f>+BC115/BC$85</f>
        <v>2.7957612037114883</v>
      </c>
      <c r="BD125" s="27"/>
    </row>
    <row r="126" spans="1:56" ht="13.5" customHeight="1">
      <c r="B126" s="1" t="s">
        <v>382</v>
      </c>
      <c r="C126" s="28">
        <f t="shared" ref="C126:Q126" si="262">+C116/C$85</f>
        <v>3.7652479476500167</v>
      </c>
      <c r="D126" s="28">
        <f t="shared" si="262"/>
        <v>3.7386728554934949</v>
      </c>
      <c r="E126" s="28">
        <f t="shared" si="262"/>
        <v>3.3709944089182153</v>
      </c>
      <c r="F126" s="28">
        <f t="shared" si="262"/>
        <v>3.3480965782131094</v>
      </c>
      <c r="G126" s="28">
        <f t="shared" si="262"/>
        <v>3.346628422132258</v>
      </c>
      <c r="H126" s="28">
        <f t="shared" si="262"/>
        <v>3.4198879362693906</v>
      </c>
      <c r="I126" s="28">
        <f t="shared" si="262"/>
        <v>3.2875633571955798</v>
      </c>
      <c r="J126" s="28">
        <f t="shared" si="262"/>
        <v>4.771666082738907</v>
      </c>
      <c r="K126" s="28">
        <f t="shared" si="262"/>
        <v>4.2914543738727629</v>
      </c>
      <c r="L126" s="28">
        <f t="shared" si="262"/>
        <v>4.3695646137175297</v>
      </c>
      <c r="M126" s="28">
        <f t="shared" si="262"/>
        <v>3.8201228627580739</v>
      </c>
      <c r="N126" s="28">
        <f t="shared" si="262"/>
        <v>3.9531535908050377</v>
      </c>
      <c r="O126" s="28">
        <f t="shared" si="262"/>
        <v>4.8630876544096528</v>
      </c>
      <c r="P126" s="28">
        <f>+P116/P$85</f>
        <v>4.0818460350508508</v>
      </c>
      <c r="Q126" s="28">
        <f t="shared" si="262"/>
        <v>3.8940322034262005</v>
      </c>
      <c r="R126" s="28"/>
      <c r="S126" s="28"/>
      <c r="T126" s="28"/>
      <c r="U126" s="28"/>
      <c r="V126" s="28">
        <f t="shared" ref="V126:AX126" si="263">+V116/V$85</f>
        <v>3.7379314098585921</v>
      </c>
      <c r="W126" s="28">
        <f t="shared" si="263"/>
        <v>3.4822602115008241</v>
      </c>
      <c r="X126" s="28">
        <f t="shared" si="263"/>
        <v>3.5167850602520794</v>
      </c>
      <c r="Y126" s="28">
        <f t="shared" si="263"/>
        <v>3.3031379238034595</v>
      </c>
      <c r="Z126" s="28">
        <f t="shared" si="263"/>
        <v>3.3709944089182158</v>
      </c>
      <c r="AA126" s="28">
        <f t="shared" si="263"/>
        <v>3.405301038345725</v>
      </c>
      <c r="AB126" s="28">
        <f t="shared" si="263"/>
        <v>3.8072856013718948</v>
      </c>
      <c r="AC126" s="28">
        <f t="shared" si="263"/>
        <v>3.7800486562975464</v>
      </c>
      <c r="AD126" s="28">
        <f t="shared" si="263"/>
        <v>3.3480965782131094</v>
      </c>
      <c r="AE126" s="28">
        <f t="shared" si="263"/>
        <v>4.3482120249377498</v>
      </c>
      <c r="AF126" s="28">
        <f t="shared" si="263"/>
        <v>4.3730560663722882</v>
      </c>
      <c r="AG126" s="28">
        <f t="shared" si="263"/>
        <v>4.2012953719132273</v>
      </c>
      <c r="AH126" s="28">
        <f t="shared" si="263"/>
        <v>3.4198879362693906</v>
      </c>
      <c r="AI126" s="28">
        <f t="shared" si="263"/>
        <v>3.4215427853113871</v>
      </c>
      <c r="AJ126" s="28">
        <f t="shared" si="263"/>
        <v>3.2363099998921263</v>
      </c>
      <c r="AK126" s="28">
        <f t="shared" si="263"/>
        <v>3.2965140709731049</v>
      </c>
      <c r="AL126" s="28">
        <f t="shared" si="263"/>
        <v>3.287563357195578</v>
      </c>
      <c r="AM126" s="28">
        <f t="shared" si="263"/>
        <v>3.1069275528218285</v>
      </c>
      <c r="AN126" s="28">
        <f t="shared" si="263"/>
        <v>3.362028330023541</v>
      </c>
      <c r="AO126" s="28">
        <f t="shared" si="263"/>
        <v>3.5449719122236352</v>
      </c>
      <c r="AP126" s="28">
        <f t="shared" si="263"/>
        <v>4.291454373872762</v>
      </c>
      <c r="AQ126" s="28">
        <f t="shared" si="263"/>
        <v>4.0689255802288393</v>
      </c>
      <c r="AR126" s="28">
        <f t="shared" si="263"/>
        <v>3.9588044909670708</v>
      </c>
      <c r="AS126" s="28">
        <f t="shared" si="263"/>
        <v>3.9233602263250131</v>
      </c>
      <c r="AT126" s="28">
        <f t="shared" si="263"/>
        <v>3.8201228627580739</v>
      </c>
      <c r="AU126" s="28">
        <f t="shared" si="263"/>
        <v>3.8696630980967219</v>
      </c>
      <c r="AV126" s="28">
        <f t="shared" si="263"/>
        <v>4.2569402869979021</v>
      </c>
      <c r="AW126" s="28">
        <f t="shared" si="263"/>
        <v>4.4882750243756337</v>
      </c>
      <c r="AX126" s="28">
        <f t="shared" si="263"/>
        <v>4.8630876544096528</v>
      </c>
      <c r="AY126" s="28">
        <f t="shared" si="261"/>
        <v>4.6035123605041717</v>
      </c>
      <c r="AZ126" s="28">
        <f t="shared" si="261"/>
        <v>4.2591893738555306</v>
      </c>
      <c r="BA126" s="28">
        <f t="shared" si="261"/>
        <v>4.1826886730380837</v>
      </c>
      <c r="BB126" s="28">
        <f t="shared" si="261"/>
        <v>4.0818460350508508</v>
      </c>
      <c r="BC126" s="28">
        <f>+BC116/BC$85</f>
        <v>3.8940322034262005</v>
      </c>
      <c r="BD126" s="28"/>
    </row>
    <row r="127" spans="1:56" ht="13.5" customHeight="1"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</row>
    <row r="128" spans="1:56" ht="13.5" customHeight="1">
      <c r="B128" s="5" t="s">
        <v>383</v>
      </c>
      <c r="C128" s="349">
        <f t="shared" ref="C128:O128" si="264">(C115-C108)/C$85</f>
        <v>2.2961653560114401</v>
      </c>
      <c r="D128" s="349">
        <f t="shared" si="264"/>
        <v>2.4785633010773229</v>
      </c>
      <c r="E128" s="349">
        <f t="shared" si="264"/>
        <v>2.4005482450305635</v>
      </c>
      <c r="F128" s="349">
        <f t="shared" si="264"/>
        <v>2.4116268356156341</v>
      </c>
      <c r="G128" s="349">
        <f t="shared" si="264"/>
        <v>2.4105643894458986</v>
      </c>
      <c r="H128" s="349">
        <f t="shared" si="264"/>
        <v>2.4251296938330391</v>
      </c>
      <c r="I128" s="349">
        <f t="shared" si="264"/>
        <v>2.4315587947397712</v>
      </c>
      <c r="J128" s="349">
        <f t="shared" si="264"/>
        <v>3.5209643567841713</v>
      </c>
      <c r="K128" s="349">
        <f t="shared" si="264"/>
        <v>2.0439208156425033</v>
      </c>
      <c r="L128" s="349">
        <f t="shared" si="264"/>
        <v>2.0811229227196599</v>
      </c>
      <c r="M128" s="349">
        <f t="shared" si="264"/>
        <v>2.2304095292387052</v>
      </c>
      <c r="N128" s="349">
        <f t="shared" si="264"/>
        <v>2.3080805922325505</v>
      </c>
      <c r="O128" s="349">
        <f t="shared" si="264"/>
        <v>2.5478490376328642</v>
      </c>
      <c r="P128" s="349">
        <f>(P115-P108)/P$85</f>
        <v>2.2151879520133462</v>
      </c>
      <c r="Q128" s="349">
        <f>(Q115-Q108)/Q$85</f>
        <v>2.5095189818558921</v>
      </c>
      <c r="R128" s="349"/>
      <c r="S128" s="349"/>
      <c r="T128" s="349"/>
      <c r="U128" s="349"/>
      <c r="V128" s="349">
        <f>(V115-V108)/V$85</f>
        <v>2.4778218554424196</v>
      </c>
      <c r="W128" s="349">
        <f t="shared" ref="W128:AX128" si="265">(W115-W108)/W$85</f>
        <v>2.2842859692631183</v>
      </c>
      <c r="X128" s="349">
        <f t="shared" si="265"/>
        <v>2.1665458837970393</v>
      </c>
      <c r="Y128" s="349">
        <f t="shared" si="265"/>
        <v>2.055634160562386</v>
      </c>
      <c r="Z128" s="349">
        <f t="shared" si="265"/>
        <v>2.400548245030564</v>
      </c>
      <c r="AA128" s="349">
        <f t="shared" si="265"/>
        <v>2.5433806055683683</v>
      </c>
      <c r="AB128" s="349">
        <f t="shared" si="265"/>
        <v>2.5584729502528236</v>
      </c>
      <c r="AC128" s="349">
        <f t="shared" si="265"/>
        <v>2.5255392909964529</v>
      </c>
      <c r="AD128" s="349">
        <f t="shared" si="265"/>
        <v>2.4116268356156341</v>
      </c>
      <c r="AE128" s="349">
        <f t="shared" si="265"/>
        <v>2.9135075759799713</v>
      </c>
      <c r="AF128" s="349">
        <f t="shared" si="265"/>
        <v>2.8906259459277455</v>
      </c>
      <c r="AG128" s="349">
        <f t="shared" si="265"/>
        <v>2.7355027781267101</v>
      </c>
      <c r="AH128" s="349">
        <f t="shared" si="265"/>
        <v>2.4251296938330391</v>
      </c>
      <c r="AI128" s="349">
        <f t="shared" si="265"/>
        <v>2.4531389038340996</v>
      </c>
      <c r="AJ128" s="349">
        <f t="shared" si="265"/>
        <v>2.3653120220134927</v>
      </c>
      <c r="AK128" s="349">
        <f t="shared" si="265"/>
        <v>2.5396540197133386</v>
      </c>
      <c r="AL128" s="349">
        <f t="shared" si="265"/>
        <v>2.4315587947397699</v>
      </c>
      <c r="AM128" s="349">
        <f t="shared" si="265"/>
        <v>1.323833194502269</v>
      </c>
      <c r="AN128" s="349">
        <f t="shared" si="265"/>
        <v>1.4796476158233556</v>
      </c>
      <c r="AO128" s="349">
        <f t="shared" si="265"/>
        <v>1.6424245498103542</v>
      </c>
      <c r="AP128" s="349">
        <f t="shared" si="265"/>
        <v>2.0439208156425028</v>
      </c>
      <c r="AQ128" s="349">
        <f t="shared" si="265"/>
        <v>2.1059837042428606</v>
      </c>
      <c r="AR128" s="349">
        <f t="shared" si="265"/>
        <v>2.1690518483170074</v>
      </c>
      <c r="AS128" s="349">
        <f t="shared" si="265"/>
        <v>2.3173940220922207</v>
      </c>
      <c r="AT128" s="349">
        <f t="shared" si="265"/>
        <v>2.2304095292387052</v>
      </c>
      <c r="AU128" s="349">
        <f t="shared" si="265"/>
        <v>2.2673983893752885</v>
      </c>
      <c r="AV128" s="349">
        <f t="shared" si="265"/>
        <v>2.4283564976668401</v>
      </c>
      <c r="AW128" s="349">
        <f t="shared" si="265"/>
        <v>2.4847202391080483</v>
      </c>
      <c r="AX128" s="349">
        <f t="shared" si="265"/>
        <v>2.5478490376328637</v>
      </c>
      <c r="AY128" s="349">
        <f>(AY115-AY108)/AY$85</f>
        <v>2.4100787316262782</v>
      </c>
      <c r="AZ128" s="349">
        <f>(AZ115-AZ108)/AZ$85</f>
        <v>2.2964665154372441</v>
      </c>
      <c r="BA128" s="349">
        <f>(BA115-BA108)/BA$85</f>
        <v>2.2427850250962682</v>
      </c>
      <c r="BB128" s="349">
        <f>(BB115-BB108)/BB$85</f>
        <v>2.2151879520133462</v>
      </c>
      <c r="BC128" s="349">
        <f>(BC115-BC108)/BC$85</f>
        <v>2.5095189818558921</v>
      </c>
      <c r="BD128" s="28"/>
    </row>
    <row r="129" spans="2:56" ht="13.5" customHeight="1">
      <c r="B129" s="1" t="s">
        <v>384</v>
      </c>
      <c r="C129" s="28">
        <f t="shared" ref="C129:O129" si="266">(C116-C108)/C$85</f>
        <v>3.5911572791446282</v>
      </c>
      <c r="D129" s="28">
        <f t="shared" si="266"/>
        <v>3.5789410349592461</v>
      </c>
      <c r="E129" s="28">
        <f t="shared" si="266"/>
        <v>3.2329558573327342</v>
      </c>
      <c r="F129" s="28">
        <f t="shared" si="266"/>
        <v>3.1099168718841392</v>
      </c>
      <c r="G129" s="28">
        <f t="shared" si="266"/>
        <v>3.1085551529804691</v>
      </c>
      <c r="H129" s="28">
        <f t="shared" si="266"/>
        <v>3.1788570175957589</v>
      </c>
      <c r="I129" s="28">
        <f t="shared" si="266"/>
        <v>3.0526418504222717</v>
      </c>
      <c r="J129" s="28">
        <f t="shared" si="266"/>
        <v>4.43069410313504</v>
      </c>
      <c r="K129" s="28">
        <f t="shared" si="266"/>
        <v>3.9753264599592777</v>
      </c>
      <c r="L129" s="28">
        <f t="shared" si="266"/>
        <v>4.0476827467088556</v>
      </c>
      <c r="M129" s="28">
        <f t="shared" si="266"/>
        <v>3.529449987841291</v>
      </c>
      <c r="N129" s="28">
        <f t="shared" si="266"/>
        <v>3.6523584173227674</v>
      </c>
      <c r="O129" s="28">
        <f t="shared" si="266"/>
        <v>4.6213001382505041</v>
      </c>
      <c r="P129" s="28">
        <f>(P116-P108)/P$85</f>
        <v>3.8391590995903968</v>
      </c>
      <c r="Q129" s="28">
        <f>(Q116-Q108)/Q$85</f>
        <v>3.6077899815706043</v>
      </c>
      <c r="R129" s="28"/>
      <c r="S129" s="28"/>
      <c r="T129" s="28"/>
      <c r="U129" s="28"/>
      <c r="V129" s="28">
        <f>(V116-V108)/V$85</f>
        <v>3.5781995893243428</v>
      </c>
      <c r="W129" s="28">
        <f t="shared" ref="W129:AX129" si="267">(W116-W108)/W$85</f>
        <v>3.3376318716375506</v>
      </c>
      <c r="X129" s="28">
        <f t="shared" si="267"/>
        <v>3.3666059661992227</v>
      </c>
      <c r="Y129" s="28">
        <f t="shared" si="267"/>
        <v>3.1667715863454737</v>
      </c>
      <c r="Z129" s="28">
        <f t="shared" si="267"/>
        <v>3.2329558573327351</v>
      </c>
      <c r="AA129" s="28">
        <f t="shared" si="267"/>
        <v>3.1503480665111057</v>
      </c>
      <c r="AB129" s="28">
        <f t="shared" si="267"/>
        <v>3.5547280572028317</v>
      </c>
      <c r="AC129" s="28">
        <f t="shared" si="267"/>
        <v>3.5295852070994709</v>
      </c>
      <c r="AD129" s="28">
        <f t="shared" si="267"/>
        <v>3.1099168718841392</v>
      </c>
      <c r="AE129" s="28">
        <f t="shared" si="267"/>
        <v>4.0738205601427753</v>
      </c>
      <c r="AF129" s="28">
        <f t="shared" si="267"/>
        <v>4.1041294337722052</v>
      </c>
      <c r="AG129" s="28">
        <f t="shared" si="267"/>
        <v>3.9375758813303041</v>
      </c>
      <c r="AH129" s="28">
        <f t="shared" si="267"/>
        <v>3.1788570175957589</v>
      </c>
      <c r="AI129" s="28">
        <f t="shared" si="267"/>
        <v>3.1908777262777517</v>
      </c>
      <c r="AJ129" s="28">
        <f t="shared" si="267"/>
        <v>3.0165344838256085</v>
      </c>
      <c r="AK129" s="28">
        <f t="shared" si="267"/>
        <v>3.0710593365962904</v>
      </c>
      <c r="AL129" s="28">
        <f t="shared" si="267"/>
        <v>3.0526418504222699</v>
      </c>
      <c r="AM129" s="28">
        <f t="shared" si="267"/>
        <v>2.8806986888698471</v>
      </c>
      <c r="AN129" s="28">
        <f t="shared" si="267"/>
        <v>3.1259906145677929</v>
      </c>
      <c r="AO129" s="28">
        <f t="shared" si="267"/>
        <v>3.2896368234933937</v>
      </c>
      <c r="AP129" s="28">
        <f t="shared" si="267"/>
        <v>3.9753264599592772</v>
      </c>
      <c r="AQ129" s="28">
        <f t="shared" si="267"/>
        <v>3.7626179024174076</v>
      </c>
      <c r="AR129" s="28">
        <f t="shared" si="267"/>
        <v>3.6621198223960154</v>
      </c>
      <c r="AS129" s="28">
        <f t="shared" si="267"/>
        <v>3.6230823809422801</v>
      </c>
      <c r="AT129" s="28">
        <f t="shared" si="267"/>
        <v>3.529449987841291</v>
      </c>
      <c r="AU129" s="28">
        <f t="shared" si="267"/>
        <v>3.6229078893905453</v>
      </c>
      <c r="AV129" s="28">
        <f t="shared" si="267"/>
        <v>4.0109031833592574</v>
      </c>
      <c r="AW129" s="28">
        <f t="shared" si="267"/>
        <v>4.2576927234834896</v>
      </c>
      <c r="AX129" s="28">
        <f t="shared" si="267"/>
        <v>4.6213001382505032</v>
      </c>
      <c r="AY129" s="28">
        <f>(AY116-AY108)/AY$85</f>
        <v>4.3755124778793029</v>
      </c>
      <c r="AZ129" s="28">
        <f>(AZ116-AZ108)/AZ$85</f>
        <v>4.0478681206555702</v>
      </c>
      <c r="BA129" s="28">
        <f>(BA116-BA108)/BA$85</f>
        <v>3.9683384126629031</v>
      </c>
      <c r="BB129" s="28">
        <f>(BB116-BB108)/BB$85</f>
        <v>3.8391590995903968</v>
      </c>
      <c r="BC129" s="28">
        <f>(BC116-BC108)/BC$85</f>
        <v>3.6077899815706043</v>
      </c>
      <c r="BD129" s="28"/>
    </row>
    <row r="130" spans="2:56" ht="13.5" customHeight="1"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</row>
    <row r="131" spans="2:56" ht="13.5" customHeight="1">
      <c r="B131" s="5" t="s">
        <v>385</v>
      </c>
      <c r="C131" s="349">
        <f t="shared" ref="C131:Q131" si="268">C118/C85</f>
        <v>2.1355072977512863</v>
      </c>
      <c r="D131" s="349">
        <f t="shared" si="268"/>
        <v>2.2519806115091332</v>
      </c>
      <c r="E131" s="349">
        <f t="shared" si="268"/>
        <v>2.1627268395936166</v>
      </c>
      <c r="F131" s="349">
        <f t="shared" si="268"/>
        <v>2.3842669733119739</v>
      </c>
      <c r="G131" s="349">
        <f t="shared" si="268"/>
        <v>2.383221859378899</v>
      </c>
      <c r="H131" s="349">
        <f t="shared" si="268"/>
        <v>2.4938183688970628</v>
      </c>
      <c r="I131" s="349">
        <f t="shared" si="268"/>
        <v>2.5534080677093991</v>
      </c>
      <c r="J131" s="349">
        <f t="shared" si="268"/>
        <v>3.7060915177234084</v>
      </c>
      <c r="K131" s="349">
        <f t="shared" si="268"/>
        <v>2.2322128564905057</v>
      </c>
      <c r="L131" s="349">
        <f t="shared" si="268"/>
        <v>2.2728421318864127</v>
      </c>
      <c r="M131" s="349">
        <f t="shared" si="268"/>
        <v>2.417968578706712</v>
      </c>
      <c r="N131" s="349">
        <f t="shared" si="268"/>
        <v>2.502171137623312</v>
      </c>
      <c r="O131" s="349">
        <f t="shared" si="268"/>
        <v>2.6773870654984209</v>
      </c>
      <c r="P131" s="349">
        <f>P118/P85</f>
        <v>2.1927184276172373</v>
      </c>
      <c r="Q131" s="349">
        <f t="shared" si="268"/>
        <v>2.187694904319458</v>
      </c>
      <c r="R131" s="349"/>
      <c r="S131" s="349"/>
      <c r="T131" s="349"/>
      <c r="U131" s="349"/>
      <c r="V131" s="349">
        <f t="shared" ref="V131:AX131" si="269">V118/V85</f>
        <v>2.2519806115091345</v>
      </c>
      <c r="W131" s="349">
        <f t="shared" si="269"/>
        <v>2.0488190696981996</v>
      </c>
      <c r="X131" s="349">
        <f t="shared" si="269"/>
        <v>1.9423817675017718</v>
      </c>
      <c r="Y131" s="349">
        <f t="shared" si="269"/>
        <v>1.7973988911399383</v>
      </c>
      <c r="Z131" s="349">
        <f t="shared" si="269"/>
        <v>2.162726839593617</v>
      </c>
      <c r="AA131" s="349">
        <f t="shared" si="269"/>
        <v>2.428460865845794</v>
      </c>
      <c r="AB131" s="349">
        <f t="shared" si="269"/>
        <v>2.4564804269019906</v>
      </c>
      <c r="AC131" s="349">
        <f t="shared" si="269"/>
        <v>2.4638796488967536</v>
      </c>
      <c r="AD131" s="349">
        <f t="shared" si="269"/>
        <v>2.3842669733119739</v>
      </c>
      <c r="AE131" s="349">
        <f t="shared" si="269"/>
        <v>2.9345053715275933</v>
      </c>
      <c r="AF131" s="349">
        <f t="shared" si="269"/>
        <v>2.9092385088380688</v>
      </c>
      <c r="AG131" s="349">
        <f t="shared" si="269"/>
        <v>2.8057234526466601</v>
      </c>
      <c r="AH131" s="349">
        <f t="shared" si="269"/>
        <v>2.4938183688970628</v>
      </c>
      <c r="AI131" s="349">
        <f t="shared" si="269"/>
        <v>2.5538687723316023</v>
      </c>
      <c r="AJ131" s="349">
        <f t="shared" si="269"/>
        <v>2.4712946126191158</v>
      </c>
      <c r="AK131" s="349">
        <f t="shared" si="269"/>
        <v>2.6633430384433057</v>
      </c>
      <c r="AL131" s="349">
        <f t="shared" si="269"/>
        <v>2.5534080677093978</v>
      </c>
      <c r="AM131" s="349">
        <f t="shared" si="269"/>
        <v>1.4517405785304049</v>
      </c>
      <c r="AN131" s="349">
        <f t="shared" si="269"/>
        <v>1.6245309235576233</v>
      </c>
      <c r="AO131" s="349">
        <f t="shared" si="269"/>
        <v>1.8136124125178654</v>
      </c>
      <c r="AP131" s="349">
        <f t="shared" si="269"/>
        <v>2.2322128564905057</v>
      </c>
      <c r="AQ131" s="349">
        <f t="shared" si="269"/>
        <v>2.296991849534693</v>
      </c>
      <c r="AR131" s="349">
        <f t="shared" si="269"/>
        <v>2.3635371993963599</v>
      </c>
      <c r="AS131" s="349">
        <f t="shared" si="269"/>
        <v>2.5120443670652297</v>
      </c>
      <c r="AT131" s="349">
        <f t="shared" si="269"/>
        <v>2.417968578706712</v>
      </c>
      <c r="AU131" s="349">
        <f t="shared" si="269"/>
        <v>2.3885373752016945</v>
      </c>
      <c r="AV131" s="349">
        <f t="shared" si="269"/>
        <v>2.538058851088679</v>
      </c>
      <c r="AW131" s="349">
        <f t="shared" si="269"/>
        <v>2.5937117044606008</v>
      </c>
      <c r="AX131" s="349">
        <f t="shared" si="269"/>
        <v>2.6773870654984204</v>
      </c>
      <c r="AY131" s="349">
        <f>AY118/AY85</f>
        <v>2.5040313843042368</v>
      </c>
      <c r="AZ131" s="349">
        <f>AZ118/AZ85</f>
        <v>2.3490757695846658</v>
      </c>
      <c r="BA131" s="349">
        <f>BA118/BA85</f>
        <v>2.2829885100537544</v>
      </c>
      <c r="BB131" s="349">
        <f>BB118/BB85</f>
        <v>2.1927184276172373</v>
      </c>
      <c r="BC131" s="349">
        <f>BC118/BC85</f>
        <v>2.187694904319458</v>
      </c>
      <c r="BD131" s="27"/>
    </row>
    <row r="132" spans="2:56" ht="13.5" customHeight="1">
      <c r="B132" s="5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</row>
    <row r="133" spans="2:56" s="5" customFormat="1" ht="13.5" customHeight="1">
      <c r="B133" s="5" t="s">
        <v>386</v>
      </c>
      <c r="C133" s="349">
        <f t="shared" ref="C133:Q133" si="270">+(C85-C88)/C86</f>
        <v>1.3552917283394559</v>
      </c>
      <c r="D133" s="349">
        <f t="shared" si="270"/>
        <v>2.1841402677679582</v>
      </c>
      <c r="E133" s="349">
        <f t="shared" si="270"/>
        <v>2.0781077357338678</v>
      </c>
      <c r="F133" s="349">
        <f t="shared" si="270"/>
        <v>2.3103179643581213</v>
      </c>
      <c r="G133" s="349">
        <f t="shared" si="270"/>
        <v>2.3097283582027766</v>
      </c>
      <c r="H133" s="349">
        <f t="shared" si="270"/>
        <v>2.108978299883443</v>
      </c>
      <c r="I133" s="349">
        <f t="shared" si="270"/>
        <v>2.2537734721538221</v>
      </c>
      <c r="J133" s="349">
        <f t="shared" si="270"/>
        <v>0.70180133958276514</v>
      </c>
      <c r="K133" s="349">
        <f t="shared" si="270"/>
        <v>1.0595116383672551</v>
      </c>
      <c r="L133" s="349">
        <f t="shared" si="270"/>
        <v>1.0062968627010003</v>
      </c>
      <c r="M133" s="349">
        <f t="shared" si="270"/>
        <v>1.3801750821889189</v>
      </c>
      <c r="N133" s="349">
        <f t="shared" si="270"/>
        <v>1.2684251578448207</v>
      </c>
      <c r="O133" s="349">
        <f t="shared" si="270"/>
        <v>1.8615710748909893</v>
      </c>
      <c r="P133" s="349">
        <f>+(P85-P88)/P86</f>
        <v>1.5178842429577464</v>
      </c>
      <c r="Q133" s="349">
        <f t="shared" si="270"/>
        <v>1.5792609106664566</v>
      </c>
      <c r="R133" s="349"/>
      <c r="S133" s="349"/>
      <c r="T133" s="349"/>
      <c r="U133" s="349"/>
      <c r="V133" s="349">
        <f t="shared" ref="V133:AX133" si="271">+(V85-V88)/V86</f>
        <v>2.184140267767956</v>
      </c>
      <c r="W133" s="349">
        <f t="shared" si="271"/>
        <v>2.4246039083848259</v>
      </c>
      <c r="X133" s="349">
        <f t="shared" si="271"/>
        <v>2.5151720297036748</v>
      </c>
      <c r="Y133" s="349">
        <f t="shared" si="271"/>
        <v>2.3386475272523741</v>
      </c>
      <c r="Z133" s="349">
        <f t="shared" si="271"/>
        <v>2.0781077357338669</v>
      </c>
      <c r="AA133" s="349">
        <f t="shared" si="271"/>
        <v>2.1732336759417037</v>
      </c>
      <c r="AB133" s="349">
        <f t="shared" si="271"/>
        <v>2.1182754626830609</v>
      </c>
      <c r="AC133" s="349">
        <f t="shared" si="271"/>
        <v>2.3165374448574858</v>
      </c>
      <c r="AD133" s="349">
        <f t="shared" si="271"/>
        <v>2.3103179643581213</v>
      </c>
      <c r="AE133" s="349">
        <f t="shared" si="271"/>
        <v>2.073814674214403</v>
      </c>
      <c r="AF133" s="349">
        <f t="shared" si="271"/>
        <v>1.7980696272154666</v>
      </c>
      <c r="AG133" s="349">
        <f t="shared" si="271"/>
        <v>1.7039843141017901</v>
      </c>
      <c r="AH133" s="349">
        <f t="shared" si="271"/>
        <v>2.108978299883443</v>
      </c>
      <c r="AI133" s="349">
        <f t="shared" si="271"/>
        <v>2.0994429842799618</v>
      </c>
      <c r="AJ133" s="349">
        <f t="shared" si="271"/>
        <v>2.2114747476716992</v>
      </c>
      <c r="AK133" s="349">
        <f t="shared" si="271"/>
        <v>2.1678664830393704</v>
      </c>
      <c r="AL133" s="349">
        <f t="shared" si="271"/>
        <v>2.2537734721538247</v>
      </c>
      <c r="AM133" s="349">
        <f t="shared" si="271"/>
        <v>1.9352191948479702</v>
      </c>
      <c r="AN133" s="349">
        <f t="shared" si="271"/>
        <v>1.6562177635919479</v>
      </c>
      <c r="AO133" s="349">
        <f t="shared" si="271"/>
        <v>1.5579444841709809</v>
      </c>
      <c r="AP133" s="349">
        <f t="shared" si="271"/>
        <v>1.0595116383672556</v>
      </c>
      <c r="AQ133" s="349">
        <f t="shared" si="271"/>
        <v>1.1887342980917421</v>
      </c>
      <c r="AR133" s="349">
        <f t="shared" si="271"/>
        <v>3.2266183850025794</v>
      </c>
      <c r="AS133" s="349">
        <f t="shared" si="271"/>
        <v>1.286673539099672</v>
      </c>
      <c r="AT133" s="349">
        <f t="shared" si="271"/>
        <v>1.3801750821889189</v>
      </c>
      <c r="AU133" s="349">
        <f t="shared" si="271"/>
        <v>1.5124121093527427</v>
      </c>
      <c r="AV133" s="349">
        <f t="shared" si="271"/>
        <v>-0.30071764502514675</v>
      </c>
      <c r="AW133" s="349">
        <f t="shared" si="271"/>
        <v>1.9900762442605002</v>
      </c>
      <c r="AX133" s="349">
        <f t="shared" si="271"/>
        <v>1.8615710748909899</v>
      </c>
      <c r="AY133" s="349">
        <f>+(AY85-AY88)/AY86</f>
        <v>1.8585655785605886</v>
      </c>
      <c r="AZ133" s="349">
        <f>+(AZ85-AZ88)/AZ86</f>
        <v>1.6739159446195446</v>
      </c>
      <c r="BA133" s="349">
        <f>+(BA85-BA88)/BA86</f>
        <v>1.5933925654223275</v>
      </c>
      <c r="BB133" s="349">
        <f>+(BB85-BB88)/BB86</f>
        <v>1.5178842429577464</v>
      </c>
      <c r="BC133" s="349">
        <f>+(BC85-BC88)/BC86</f>
        <v>1.5792609106664566</v>
      </c>
      <c r="BD133" s="27"/>
    </row>
    <row r="134" spans="2:56" ht="13.5" customHeight="1">
      <c r="B134" s="1" t="s">
        <v>387</v>
      </c>
      <c r="C134" s="28">
        <f t="shared" ref="C134:Q134" si="272">+C85/C86</f>
        <v>4.8100649729216176</v>
      </c>
      <c r="D134" s="28">
        <f t="shared" si="272"/>
        <v>3.9726864631180598</v>
      </c>
      <c r="E134" s="28">
        <f t="shared" si="272"/>
        <v>3.803296356788187</v>
      </c>
      <c r="F134" s="28">
        <f t="shared" si="272"/>
        <v>4.2869937371978519</v>
      </c>
      <c r="G134" s="28">
        <f t="shared" si="272"/>
        <v>4.2842929100980029</v>
      </c>
      <c r="H134" s="28">
        <f t="shared" si="272"/>
        <v>4.0773082053648366</v>
      </c>
      <c r="I134" s="28">
        <f t="shared" si="272"/>
        <v>4.9898788398452307</v>
      </c>
      <c r="J134" s="28">
        <f t="shared" si="272"/>
        <v>3.4379067072741738</v>
      </c>
      <c r="K134" s="28">
        <f t="shared" si="272"/>
        <v>2.9768875520071965</v>
      </c>
      <c r="L134" s="28">
        <f t="shared" si="272"/>
        <v>2.9236727763409416</v>
      </c>
      <c r="M134" s="28">
        <f t="shared" si="272"/>
        <v>3.3207712321705576</v>
      </c>
      <c r="N134" s="28">
        <f t="shared" si="272"/>
        <v>3.2090213078264593</v>
      </c>
      <c r="O134" s="28">
        <f t="shared" si="272"/>
        <v>3.0033237102339396</v>
      </c>
      <c r="P134" s="28">
        <f>+P85/P86</f>
        <v>3.2862717136150232</v>
      </c>
      <c r="Q134" s="28">
        <f t="shared" si="272"/>
        <v>3.583098786828423</v>
      </c>
      <c r="R134" s="28"/>
      <c r="S134" s="28"/>
      <c r="T134" s="28"/>
      <c r="U134" s="28"/>
      <c r="V134" s="28">
        <f t="shared" ref="V134:AX134" si="273">+V85/V86</f>
        <v>3.9726864631180572</v>
      </c>
      <c r="W134" s="28">
        <f t="shared" si="273"/>
        <v>4.0434479978284861</v>
      </c>
      <c r="X134" s="28">
        <f t="shared" si="273"/>
        <v>4.2364239984814107</v>
      </c>
      <c r="Y134" s="28">
        <f t="shared" si="273"/>
        <v>4.1562607694037581</v>
      </c>
      <c r="Z134" s="28">
        <f t="shared" si="273"/>
        <v>3.8032963567881857</v>
      </c>
      <c r="AA134" s="28">
        <f t="shared" si="273"/>
        <v>4.2027681125216247</v>
      </c>
      <c r="AB134" s="28">
        <f t="shared" si="273"/>
        <v>4.1091119499538786</v>
      </c>
      <c r="AC134" s="28">
        <f t="shared" si="273"/>
        <v>4.2339312095514954</v>
      </c>
      <c r="AD134" s="28">
        <f t="shared" si="273"/>
        <v>4.2869937371978519</v>
      </c>
      <c r="AE134" s="28">
        <f t="shared" si="273"/>
        <v>3.9334313361078777</v>
      </c>
      <c r="AF134" s="28">
        <f t="shared" si="273"/>
        <v>3.6861291312742206</v>
      </c>
      <c r="AG134" s="28">
        <f t="shared" si="273"/>
        <v>3.7140704947661414</v>
      </c>
      <c r="AH134" s="28">
        <f t="shared" si="273"/>
        <v>4.0773082053648366</v>
      </c>
      <c r="AI134" s="28">
        <f t="shared" si="273"/>
        <v>4.202623290203011</v>
      </c>
      <c r="AJ134" s="28">
        <f t="shared" si="273"/>
        <v>4.4879271490031512</v>
      </c>
      <c r="AK134" s="28">
        <f t="shared" si="273"/>
        <v>4.7365033704175135</v>
      </c>
      <c r="AL134" s="28">
        <f t="shared" si="273"/>
        <v>4.9898788398452334</v>
      </c>
      <c r="AM134" s="28">
        <f t="shared" si="273"/>
        <v>4.374944877579714</v>
      </c>
      <c r="AN134" s="28">
        <f t="shared" si="273"/>
        <v>3.9875927200072008</v>
      </c>
      <c r="AO134" s="28">
        <f t="shared" si="273"/>
        <v>3.5726090880899033</v>
      </c>
      <c r="AP134" s="28">
        <f t="shared" si="273"/>
        <v>2.9768875520071969</v>
      </c>
      <c r="AQ134" s="28">
        <f t="shared" si="273"/>
        <v>3.1679721563030099</v>
      </c>
      <c r="AR134" s="28">
        <f t="shared" si="273"/>
        <v>3.2558692861289651</v>
      </c>
      <c r="AS134" s="28">
        <f t="shared" si="273"/>
        <v>3.0541840917408818</v>
      </c>
      <c r="AT134" s="28">
        <f t="shared" si="273"/>
        <v>3.3207712321705576</v>
      </c>
      <c r="AU134" s="28">
        <f t="shared" si="273"/>
        <v>3.2249101000693514</v>
      </c>
      <c r="AV134" s="28">
        <f t="shared" si="273"/>
        <v>3.2610727701215256</v>
      </c>
      <c r="AW134" s="28">
        <f t="shared" si="273"/>
        <v>3.4040631051496568</v>
      </c>
      <c r="AX134" s="28">
        <f t="shared" si="273"/>
        <v>3.0033237102339401</v>
      </c>
      <c r="AY134" s="28">
        <f>+AY85/AY86</f>
        <v>2.9521050567286555</v>
      </c>
      <c r="AZ134" s="28">
        <f>+AZ85/AZ86</f>
        <v>2.8444039739303775</v>
      </c>
      <c r="BA134" s="28">
        <f>+BA85/BA86</f>
        <v>3.0004340860089318</v>
      </c>
      <c r="BB134" s="28">
        <f>+BB85/BB86</f>
        <v>3.2862717136150232</v>
      </c>
      <c r="BC134" s="28">
        <f>+BC85/BC86</f>
        <v>3.583098786828423</v>
      </c>
      <c r="BD134" s="28"/>
    </row>
    <row r="135" spans="2:56" ht="13.5" customHeight="1"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</row>
    <row r="136" spans="2:56" s="5" customFormat="1" ht="13.5" customHeight="1">
      <c r="B136" s="5" t="s">
        <v>388</v>
      </c>
      <c r="C136" s="232">
        <f t="shared" ref="C136:Q136" si="274">C115/C120</f>
        <v>0.94196273747356785</v>
      </c>
      <c r="D136" s="67">
        <f t="shared" si="274"/>
        <v>0.93191678602450023</v>
      </c>
      <c r="E136" s="67">
        <f t="shared" si="274"/>
        <v>0.93335978531993957</v>
      </c>
      <c r="F136" s="67">
        <f t="shared" si="274"/>
        <v>0.98741301358073774</v>
      </c>
      <c r="G136" s="67">
        <f t="shared" si="274"/>
        <v>0.98624173449160613</v>
      </c>
      <c r="H136" s="67">
        <f t="shared" si="274"/>
        <v>1.1688464779911782</v>
      </c>
      <c r="I136" s="232">
        <f t="shared" si="274"/>
        <v>1.1471245101841268</v>
      </c>
      <c r="J136" s="67">
        <f t="shared" si="274"/>
        <v>1.1359299345240563</v>
      </c>
      <c r="K136" s="67">
        <f t="shared" si="274"/>
        <v>0.43878019575579186</v>
      </c>
      <c r="L136" s="67">
        <f t="shared" si="274"/>
        <v>0.43878019575579186</v>
      </c>
      <c r="M136" s="67">
        <f t="shared" si="274"/>
        <v>0.47540119735271386</v>
      </c>
      <c r="N136" s="67">
        <f t="shared" si="274"/>
        <v>0.46959202110798726</v>
      </c>
      <c r="O136" s="67">
        <f t="shared" si="274"/>
        <v>0.55641068305047747</v>
      </c>
      <c r="P136" s="67">
        <f>P115/P120</f>
        <v>0.53508635519832048</v>
      </c>
      <c r="Q136" s="67">
        <f t="shared" si="274"/>
        <v>0.60936537099493293</v>
      </c>
      <c r="R136" s="67"/>
      <c r="S136" s="67">
        <f t="shared" ref="S136:AX136" si="275">S115/S120</f>
        <v>0.86882203102519706</v>
      </c>
      <c r="T136" s="67">
        <f t="shared" si="275"/>
        <v>0.85161380872092418</v>
      </c>
      <c r="U136" s="67">
        <f t="shared" si="275"/>
        <v>0.85895364930079876</v>
      </c>
      <c r="V136" s="67">
        <f t="shared" si="275"/>
        <v>0.93165488748728487</v>
      </c>
      <c r="W136" s="67">
        <f t="shared" si="275"/>
        <v>0.85815785517849441</v>
      </c>
      <c r="X136" s="67">
        <f t="shared" si="275"/>
        <v>0.83204674100627662</v>
      </c>
      <c r="Y136" s="67">
        <f t="shared" si="275"/>
        <v>0.79284628748631858</v>
      </c>
      <c r="Z136" s="67">
        <f t="shared" si="275"/>
        <v>0.93335978531993957</v>
      </c>
      <c r="AA136" s="67">
        <f t="shared" si="275"/>
        <v>1.0469233322638634</v>
      </c>
      <c r="AB136" s="67">
        <f t="shared" si="275"/>
        <v>1.0441799365233038</v>
      </c>
      <c r="AC136" s="67">
        <f t="shared" si="275"/>
        <v>1.0401556516404868</v>
      </c>
      <c r="AD136" s="67">
        <f t="shared" si="275"/>
        <v>0.98741301358073774</v>
      </c>
      <c r="AE136" s="67">
        <f t="shared" si="275"/>
        <v>1.5070234125550468</v>
      </c>
      <c r="AF136" s="67">
        <f t="shared" si="275"/>
        <v>1.4315011643627125</v>
      </c>
      <c r="AG136" s="67">
        <f t="shared" si="275"/>
        <v>1.3251983805092706</v>
      </c>
      <c r="AH136" s="67">
        <f t="shared" si="275"/>
        <v>1.1688464779911782</v>
      </c>
      <c r="AI136" s="67">
        <f t="shared" si="275"/>
        <v>1.1837592124295784</v>
      </c>
      <c r="AJ136" s="67">
        <f t="shared" si="275"/>
        <v>1.1575464961788355</v>
      </c>
      <c r="AK136" s="67">
        <f t="shared" si="275"/>
        <v>1.209105340617757</v>
      </c>
      <c r="AL136" s="67">
        <f t="shared" si="275"/>
        <v>1.1471245101841268</v>
      </c>
      <c r="AM136" s="67">
        <f t="shared" si="275"/>
        <v>0.40803896042019117</v>
      </c>
      <c r="AN136" s="67">
        <f t="shared" si="275"/>
        <v>0.6898965179540576</v>
      </c>
      <c r="AO136" s="67">
        <f t="shared" si="275"/>
        <v>0.40253838556396909</v>
      </c>
      <c r="AP136" s="67">
        <f t="shared" si="275"/>
        <v>0.43878019575579186</v>
      </c>
      <c r="AQ136" s="67">
        <f t="shared" si="275"/>
        <v>0.4410965304209632</v>
      </c>
      <c r="AR136" s="67">
        <f t="shared" si="275"/>
        <v>0.44762514561537475</v>
      </c>
      <c r="AS136" s="67">
        <f t="shared" si="275"/>
        <v>0.46085427146279873</v>
      </c>
      <c r="AT136" s="67">
        <f t="shared" si="275"/>
        <v>0.47540119735271386</v>
      </c>
      <c r="AU136" s="67">
        <f t="shared" si="275"/>
        <v>0.47500449651235582</v>
      </c>
      <c r="AV136" s="67">
        <f t="shared" si="275"/>
        <v>0.50713811892724026</v>
      </c>
      <c r="AW136" s="67">
        <f t="shared" si="275"/>
        <v>0.51314189688495926</v>
      </c>
      <c r="AX136" s="67">
        <f t="shared" si="275"/>
        <v>0.55641068305047747</v>
      </c>
      <c r="AY136" s="67">
        <f>AY115/AY120</f>
        <v>0.52261958512560125</v>
      </c>
      <c r="AZ136" s="67">
        <f>AZ115/AZ120</f>
        <v>0.48914391214071268</v>
      </c>
      <c r="BA136" s="67">
        <f>BA115/BA120</f>
        <v>0.48524505342864155</v>
      </c>
      <c r="BB136" s="67">
        <f>BB115/BB120</f>
        <v>0.53508635519832048</v>
      </c>
      <c r="BC136" s="67">
        <f>BC115/BC120</f>
        <v>0.60936537099493293</v>
      </c>
      <c r="BD136" s="67"/>
    </row>
    <row r="137" spans="2:56" s="5" customFormat="1" ht="13.5" customHeight="1">
      <c r="C137" s="232"/>
      <c r="D137" s="67"/>
      <c r="E137" s="67"/>
      <c r="F137" s="67"/>
      <c r="G137" s="67"/>
      <c r="H137" s="67"/>
      <c r="I137" s="232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  <c r="AP137" s="67"/>
      <c r="AQ137" s="67"/>
      <c r="AR137" s="67"/>
      <c r="AS137" s="67"/>
      <c r="AT137" s="67"/>
      <c r="AU137" s="67"/>
      <c r="AV137" s="67"/>
      <c r="AW137" s="67"/>
      <c r="AX137" s="67"/>
      <c r="AY137" s="67"/>
      <c r="AZ137" s="67"/>
      <c r="BA137" s="67"/>
      <c r="BB137" s="67"/>
      <c r="BC137" s="67"/>
      <c r="BD137" s="67"/>
    </row>
    <row r="138" spans="2:56" ht="13.5" customHeight="1">
      <c r="B138" s="160" t="s">
        <v>389</v>
      </c>
      <c r="C138" s="69">
        <f t="shared" ref="C138:H138" si="276">+C230</f>
        <v>42735</v>
      </c>
      <c r="D138" s="69">
        <f t="shared" si="276"/>
        <v>43100</v>
      </c>
      <c r="E138" s="69">
        <f t="shared" si="276"/>
        <v>43465</v>
      </c>
      <c r="F138" s="69">
        <f t="shared" si="276"/>
        <v>43830</v>
      </c>
      <c r="G138" s="69">
        <f t="shared" si="276"/>
        <v>43830</v>
      </c>
      <c r="H138" s="69">
        <f t="shared" si="276"/>
        <v>44196</v>
      </c>
      <c r="I138" s="69">
        <f t="shared" ref="I138:Q138" si="277">+I230</f>
        <v>44561</v>
      </c>
      <c r="J138" s="69">
        <f t="shared" si="277"/>
        <v>44561</v>
      </c>
      <c r="K138" s="69">
        <f t="shared" si="277"/>
        <v>44926</v>
      </c>
      <c r="L138" s="69">
        <f t="shared" si="277"/>
        <v>44926</v>
      </c>
      <c r="M138" s="69">
        <f t="shared" si="277"/>
        <v>45291</v>
      </c>
      <c r="N138" s="69">
        <f t="shared" si="277"/>
        <v>45291</v>
      </c>
      <c r="O138" s="69">
        <f t="shared" si="277"/>
        <v>45657</v>
      </c>
      <c r="P138" s="69">
        <f>+P230</f>
        <v>46022</v>
      </c>
      <c r="Q138" s="122">
        <f t="shared" si="277"/>
        <v>46112</v>
      </c>
      <c r="R138" s="212"/>
      <c r="S138" s="36">
        <f t="shared" ref="S138:X138" si="278">+S230</f>
        <v>42825</v>
      </c>
      <c r="T138" s="36">
        <f t="shared" si="278"/>
        <v>42916</v>
      </c>
      <c r="U138" s="36">
        <f t="shared" si="278"/>
        <v>43008</v>
      </c>
      <c r="V138" s="36">
        <f t="shared" si="278"/>
        <v>43100</v>
      </c>
      <c r="W138" s="36">
        <f t="shared" si="278"/>
        <v>43190</v>
      </c>
      <c r="X138" s="36">
        <f t="shared" si="278"/>
        <v>43281</v>
      </c>
      <c r="Y138" s="36">
        <f>Y3</f>
        <v>43373</v>
      </c>
      <c r="Z138" s="36">
        <f>Z3</f>
        <v>43465</v>
      </c>
      <c r="AA138" s="36">
        <f t="shared" ref="AA138:AG138" si="279">+AA230</f>
        <v>43555</v>
      </c>
      <c r="AB138" s="36">
        <f t="shared" si="279"/>
        <v>43646</v>
      </c>
      <c r="AC138" s="36">
        <f t="shared" si="279"/>
        <v>43738</v>
      </c>
      <c r="AD138" s="36">
        <f t="shared" si="279"/>
        <v>43830</v>
      </c>
      <c r="AE138" s="36">
        <f t="shared" si="279"/>
        <v>43921</v>
      </c>
      <c r="AF138" s="36">
        <f t="shared" si="279"/>
        <v>44012</v>
      </c>
      <c r="AG138" s="36">
        <f t="shared" si="279"/>
        <v>44104</v>
      </c>
      <c r="AH138" s="36">
        <f t="shared" ref="AH138:AM138" si="280">+AH230</f>
        <v>44196</v>
      </c>
      <c r="AI138" s="36">
        <f t="shared" si="280"/>
        <v>44286</v>
      </c>
      <c r="AJ138" s="36">
        <f t="shared" si="280"/>
        <v>44377</v>
      </c>
      <c r="AK138" s="36">
        <f t="shared" si="280"/>
        <v>44469</v>
      </c>
      <c r="AL138" s="36">
        <f t="shared" si="280"/>
        <v>44561</v>
      </c>
      <c r="AM138" s="36">
        <f t="shared" si="280"/>
        <v>44651</v>
      </c>
      <c r="AN138" s="36">
        <f t="shared" ref="AN138:AS138" si="281">+AN230</f>
        <v>44742</v>
      </c>
      <c r="AO138" s="36">
        <f t="shared" si="281"/>
        <v>44834</v>
      </c>
      <c r="AP138" s="36">
        <f t="shared" si="281"/>
        <v>44926</v>
      </c>
      <c r="AQ138" s="36">
        <f t="shared" si="281"/>
        <v>45016</v>
      </c>
      <c r="AR138" s="92">
        <f t="shared" si="281"/>
        <v>45107</v>
      </c>
      <c r="AS138" s="92">
        <f t="shared" si="281"/>
        <v>45199</v>
      </c>
      <c r="AT138" s="92">
        <f t="shared" ref="AT138:AY138" si="282">+AT230</f>
        <v>45291</v>
      </c>
      <c r="AU138" s="92">
        <f t="shared" si="282"/>
        <v>45382</v>
      </c>
      <c r="AV138" s="92">
        <f t="shared" si="282"/>
        <v>45473</v>
      </c>
      <c r="AW138" s="92">
        <f t="shared" si="282"/>
        <v>45565</v>
      </c>
      <c r="AX138" s="92">
        <f t="shared" si="282"/>
        <v>45657</v>
      </c>
      <c r="AY138" s="92">
        <f t="shared" si="282"/>
        <v>45747</v>
      </c>
      <c r="AZ138" s="92">
        <f>+AZ230</f>
        <v>45838</v>
      </c>
      <c r="BA138" s="92">
        <f>+BA230</f>
        <v>45930</v>
      </c>
      <c r="BB138" s="92">
        <f>+BB230</f>
        <v>46022</v>
      </c>
      <c r="BC138" s="92">
        <f>+BC230</f>
        <v>46112</v>
      </c>
      <c r="BD138" s="270"/>
    </row>
    <row r="139" spans="2:56" ht="13.5" customHeight="1">
      <c r="B139" s="1" t="str">
        <f t="shared" ref="B139:Q139" si="283">B82</f>
        <v>Net Sales including non-recurring licensing revenues</v>
      </c>
      <c r="C139" s="21">
        <f t="shared" si="283"/>
        <v>96287.400000000009</v>
      </c>
      <c r="D139" s="21">
        <f t="shared" si="283"/>
        <v>93586.200000000012</v>
      </c>
      <c r="E139" s="21">
        <f t="shared" si="283"/>
        <v>101282.3</v>
      </c>
      <c r="F139" s="21">
        <f t="shared" si="283"/>
        <v>101492.181</v>
      </c>
      <c r="G139" s="21">
        <f t="shared" si="283"/>
        <v>101757.181</v>
      </c>
      <c r="H139" s="21">
        <f t="shared" si="283"/>
        <v>97361.634000000005</v>
      </c>
      <c r="I139" s="21">
        <f t="shared" si="283"/>
        <v>103521.823</v>
      </c>
      <c r="J139" s="21">
        <f t="shared" si="283"/>
        <v>73915.399999999994</v>
      </c>
      <c r="K139" s="21">
        <f t="shared" si="283"/>
        <v>75526.608999999997</v>
      </c>
      <c r="L139" s="21">
        <f t="shared" si="283"/>
        <v>68615.767999999996</v>
      </c>
      <c r="M139" s="21">
        <f t="shared" si="283"/>
        <v>73767.899999999994</v>
      </c>
      <c r="N139" s="21">
        <f t="shared" si="283"/>
        <v>66222.835999999996</v>
      </c>
      <c r="O139" s="21">
        <f t="shared" si="283"/>
        <v>62260.864000000001</v>
      </c>
      <c r="P139" s="21">
        <f>P82</f>
        <v>58878.15</v>
      </c>
      <c r="Q139" s="21">
        <f t="shared" si="283"/>
        <v>58417.05</v>
      </c>
      <c r="R139" s="21"/>
      <c r="S139" s="200"/>
      <c r="T139" s="21"/>
      <c r="U139" s="21"/>
      <c r="V139" s="21">
        <f t="shared" ref="V139:AX139" si="284">V82</f>
        <v>93586.199999999983</v>
      </c>
      <c r="W139" s="21">
        <f t="shared" si="284"/>
        <v>94443.9</v>
      </c>
      <c r="X139" s="21">
        <f t="shared" si="284"/>
        <v>98168.9</v>
      </c>
      <c r="Y139" s="21">
        <f t="shared" si="284"/>
        <v>100539.09999999999</v>
      </c>
      <c r="Z139" s="21">
        <f t="shared" si="284"/>
        <v>101282.3</v>
      </c>
      <c r="AA139" s="21">
        <f t="shared" si="284"/>
        <v>101865.5</v>
      </c>
      <c r="AB139" s="21">
        <f t="shared" si="284"/>
        <v>99471.3</v>
      </c>
      <c r="AC139" s="21">
        <f t="shared" si="284"/>
        <v>100224.249</v>
      </c>
      <c r="AD139" s="21">
        <f t="shared" si="284"/>
        <v>101492.181</v>
      </c>
      <c r="AE139" s="21">
        <f t="shared" si="284"/>
        <v>101325.781</v>
      </c>
      <c r="AF139" s="21">
        <f t="shared" si="284"/>
        <v>99425.380999999994</v>
      </c>
      <c r="AG139" s="21">
        <f t="shared" si="284"/>
        <v>97582.231999999989</v>
      </c>
      <c r="AH139" s="21">
        <f t="shared" si="284"/>
        <v>97361.634000000005</v>
      </c>
      <c r="AI139" s="21">
        <f t="shared" si="284"/>
        <v>97961.734000000011</v>
      </c>
      <c r="AJ139" s="21">
        <f t="shared" si="284"/>
        <v>100307.73400000001</v>
      </c>
      <c r="AK139" s="21">
        <f t="shared" si="284"/>
        <v>102492.60100000001</v>
      </c>
      <c r="AL139" s="21">
        <f t="shared" si="284"/>
        <v>103521.823</v>
      </c>
      <c r="AM139" s="21">
        <f t="shared" si="284"/>
        <v>98302.123000000007</v>
      </c>
      <c r="AN139" s="21">
        <f t="shared" si="284"/>
        <v>92082.42300000001</v>
      </c>
      <c r="AO139" s="21">
        <f t="shared" si="284"/>
        <v>85206.256000000008</v>
      </c>
      <c r="AP139" s="21">
        <f t="shared" si="284"/>
        <v>75526.608999999997</v>
      </c>
      <c r="AQ139" s="21">
        <f t="shared" si="284"/>
        <v>75437.042000000001</v>
      </c>
      <c r="AR139" s="21">
        <f t="shared" si="284"/>
        <v>75423.741999999998</v>
      </c>
      <c r="AS139" s="21">
        <f t="shared" si="284"/>
        <v>72588.042000000001</v>
      </c>
      <c r="AT139" s="21">
        <f t="shared" si="284"/>
        <v>73767.899999999994</v>
      </c>
      <c r="AU139" s="21">
        <f t="shared" si="284"/>
        <v>71199.667000000001</v>
      </c>
      <c r="AV139" s="21">
        <f t="shared" si="284"/>
        <v>68399.766999999993</v>
      </c>
      <c r="AW139" s="21">
        <f t="shared" si="284"/>
        <v>67346.566999999995</v>
      </c>
      <c r="AX139" s="21">
        <f t="shared" si="284"/>
        <v>62260.864000000001</v>
      </c>
      <c r="AY139" s="21">
        <f>AY82</f>
        <v>61283.063999999998</v>
      </c>
      <c r="AZ139" s="21">
        <f>AZ82</f>
        <v>60292.164000000004</v>
      </c>
      <c r="BA139" s="21">
        <f>BA82</f>
        <v>59556.45</v>
      </c>
      <c r="BB139" s="21">
        <f>BB82</f>
        <v>58878.15</v>
      </c>
      <c r="BC139" s="21">
        <f>BC82</f>
        <v>58417.05000000001</v>
      </c>
      <c r="BD139" s="21"/>
    </row>
    <row r="140" spans="2:56" ht="13.5" customHeight="1">
      <c r="B140" s="1" t="str">
        <f t="shared" ref="B140:Q140" si="285">B85</f>
        <v>Adjusted EBITDA</v>
      </c>
      <c r="C140" s="21">
        <f t="shared" si="285"/>
        <v>36715.351000000002</v>
      </c>
      <c r="D140" s="21">
        <f t="shared" si="285"/>
        <v>35201.502000000015</v>
      </c>
      <c r="E140" s="21">
        <f t="shared" si="285"/>
        <v>38524.74500000001</v>
      </c>
      <c r="F140" s="21">
        <f t="shared" si="285"/>
        <v>39313.172999999995</v>
      </c>
      <c r="G140" s="21">
        <f t="shared" si="285"/>
        <v>39330.412999999993</v>
      </c>
      <c r="H140" s="21">
        <f t="shared" si="285"/>
        <v>38552.527000000009</v>
      </c>
      <c r="I140" s="21">
        <f t="shared" si="285"/>
        <v>41207.631999999998</v>
      </c>
      <c r="J140" s="21">
        <f t="shared" si="285"/>
        <v>28391.068999999996</v>
      </c>
      <c r="K140" s="21">
        <f t="shared" si="285"/>
        <v>26473.460999999999</v>
      </c>
      <c r="L140" s="21">
        <f t="shared" si="285"/>
        <v>26000.221999999994</v>
      </c>
      <c r="M140" s="21">
        <f t="shared" si="285"/>
        <v>25084.899999999998</v>
      </c>
      <c r="N140" s="21">
        <f t="shared" si="285"/>
        <v>24240.747999999989</v>
      </c>
      <c r="O140" s="21">
        <f t="shared" si="285"/>
        <v>22278.399999999994</v>
      </c>
      <c r="P140" s="21">
        <f>P85</f>
        <v>22399.227999999999</v>
      </c>
      <c r="Q140" s="21">
        <f t="shared" si="285"/>
        <v>22741.928</v>
      </c>
      <c r="R140" s="21"/>
      <c r="S140" s="200"/>
      <c r="T140" s="21"/>
      <c r="U140" s="21"/>
      <c r="V140" s="21">
        <f t="shared" ref="V140:AX140" si="286">V85</f>
        <v>35201.501999999993</v>
      </c>
      <c r="W140" s="21">
        <f t="shared" si="286"/>
        <v>35795.888999999996</v>
      </c>
      <c r="X140" s="21">
        <f t="shared" si="286"/>
        <v>37158.96699999999</v>
      </c>
      <c r="Y140" s="21">
        <f t="shared" si="286"/>
        <v>38183.176999999996</v>
      </c>
      <c r="Z140" s="21">
        <f t="shared" si="286"/>
        <v>38524.745000000003</v>
      </c>
      <c r="AA140" s="21">
        <f t="shared" si="286"/>
        <v>38820.885000000002</v>
      </c>
      <c r="AB140" s="21">
        <f t="shared" si="286"/>
        <v>38060.633000000002</v>
      </c>
      <c r="AC140" s="21">
        <f t="shared" si="286"/>
        <v>38554.927000000011</v>
      </c>
      <c r="AD140" s="21">
        <f t="shared" si="286"/>
        <v>39313.172999999995</v>
      </c>
      <c r="AE140" s="21">
        <f t="shared" si="286"/>
        <v>38731.160999999993</v>
      </c>
      <c r="AF140" s="21">
        <f t="shared" si="286"/>
        <v>37479.738999999994</v>
      </c>
      <c r="AG140" s="21">
        <f t="shared" si="286"/>
        <v>37312.372999999992</v>
      </c>
      <c r="AH140" s="21">
        <f t="shared" si="286"/>
        <v>38552.527000000009</v>
      </c>
      <c r="AI140" s="21">
        <f t="shared" si="286"/>
        <v>39122.527000000016</v>
      </c>
      <c r="AJ140" s="21">
        <f t="shared" si="286"/>
        <v>40510.427000000011</v>
      </c>
      <c r="AK140" s="21">
        <f t="shared" si="286"/>
        <v>40844.119000000013</v>
      </c>
      <c r="AL140" s="21">
        <f t="shared" si="286"/>
        <v>41207.63200000002</v>
      </c>
      <c r="AM140" s="21">
        <f t="shared" si="286"/>
        <v>39227.532000000014</v>
      </c>
      <c r="AN140" s="21">
        <f t="shared" si="286"/>
        <v>36378.932000000015</v>
      </c>
      <c r="AO140" s="21">
        <f t="shared" si="286"/>
        <v>32729.540000000012</v>
      </c>
      <c r="AP140" s="21">
        <f t="shared" si="286"/>
        <v>26473.461000000003</v>
      </c>
      <c r="AQ140" s="21">
        <f t="shared" si="286"/>
        <v>26287.947000000004</v>
      </c>
      <c r="AR140" s="21">
        <f t="shared" si="286"/>
        <v>26055.947000000004</v>
      </c>
      <c r="AS140" s="21">
        <f t="shared" si="286"/>
        <v>25035.147000000008</v>
      </c>
      <c r="AT140" s="21">
        <f t="shared" si="286"/>
        <v>25084.899999999998</v>
      </c>
      <c r="AU140" s="21">
        <f t="shared" si="286"/>
        <v>24055.013999999996</v>
      </c>
      <c r="AV140" s="21">
        <f t="shared" si="286"/>
        <v>23355.013999999996</v>
      </c>
      <c r="AW140" s="21">
        <f t="shared" si="286"/>
        <v>23144.013999999996</v>
      </c>
      <c r="AX140" s="21">
        <f t="shared" si="286"/>
        <v>22278.399999999998</v>
      </c>
      <c r="AY140" s="21">
        <f>AY85</f>
        <v>22151.199999999997</v>
      </c>
      <c r="AZ140" s="21">
        <f>AZ85</f>
        <v>21953.399999999998</v>
      </c>
      <c r="BA140" s="21">
        <f>BA85</f>
        <v>21938.918999999998</v>
      </c>
      <c r="BB140" s="21">
        <f>BB85</f>
        <v>22399.227999999999</v>
      </c>
      <c r="BC140" s="21">
        <f>BC85</f>
        <v>22741.928</v>
      </c>
      <c r="BD140" s="21"/>
    </row>
    <row r="141" spans="2:56" ht="13.5" customHeight="1">
      <c r="B141" s="1" t="s">
        <v>390</v>
      </c>
      <c r="C141" s="226">
        <f t="shared" ref="C141:H141" si="287">C140/C139</f>
        <v>0.38131002602625058</v>
      </c>
      <c r="D141" s="44">
        <f t="shared" si="287"/>
        <v>0.37613987959763312</v>
      </c>
      <c r="E141" s="44">
        <f t="shared" si="287"/>
        <v>0.38036996592691918</v>
      </c>
      <c r="F141" s="44">
        <f t="shared" si="287"/>
        <v>0.38735174091883984</v>
      </c>
      <c r="G141" s="44">
        <f t="shared" si="287"/>
        <v>0.38651240741427373</v>
      </c>
      <c r="H141" s="44">
        <f t="shared" si="287"/>
        <v>0.39597247309961958</v>
      </c>
      <c r="I141" s="226">
        <f t="shared" ref="I141:Q141" si="288">I140/I139</f>
        <v>0.39805744147299255</v>
      </c>
      <c r="J141" s="44">
        <f t="shared" si="288"/>
        <v>0.38410221685873308</v>
      </c>
      <c r="K141" s="44">
        <f t="shared" si="288"/>
        <v>0.35051833189015541</v>
      </c>
      <c r="L141" s="44">
        <f t="shared" si="288"/>
        <v>0.37892488502059751</v>
      </c>
      <c r="M141" s="44">
        <f t="shared" si="288"/>
        <v>0.34005170270537727</v>
      </c>
      <c r="N141" s="44">
        <f t="shared" si="288"/>
        <v>0.3660481710568842</v>
      </c>
      <c r="O141" s="44">
        <f t="shared" si="288"/>
        <v>0.35782349567137384</v>
      </c>
      <c r="P141" s="44">
        <f>P140/P139</f>
        <v>0.38043362435810224</v>
      </c>
      <c r="Q141" s="44">
        <f t="shared" si="288"/>
        <v>0.38930291755574781</v>
      </c>
      <c r="R141" s="45"/>
      <c r="S141" s="200"/>
      <c r="T141" s="44"/>
      <c r="U141" s="44"/>
      <c r="V141" s="44">
        <f>V140/V139</f>
        <v>0.37613987959763295</v>
      </c>
      <c r="W141" s="44">
        <f t="shared" ref="W141:AB141" si="289">W140/W139</f>
        <v>0.37901748021841536</v>
      </c>
      <c r="X141" s="44">
        <f t="shared" si="289"/>
        <v>0.3785207637041873</v>
      </c>
      <c r="Y141" s="44">
        <f t="shared" si="289"/>
        <v>0.37978435255537396</v>
      </c>
      <c r="Z141" s="44">
        <f t="shared" si="289"/>
        <v>0.38036996592691913</v>
      </c>
      <c r="AA141" s="44">
        <f t="shared" si="289"/>
        <v>0.38109943994777429</v>
      </c>
      <c r="AB141" s="44">
        <f t="shared" si="289"/>
        <v>0.38262929106184396</v>
      </c>
      <c r="AC141" s="44">
        <f t="shared" ref="AC141:AI141" si="290">AC140/AC139</f>
        <v>0.384686614114714</v>
      </c>
      <c r="AD141" s="44">
        <f t="shared" si="290"/>
        <v>0.38735174091883984</v>
      </c>
      <c r="AE141" s="44">
        <f t="shared" si="290"/>
        <v>0.38224389309172946</v>
      </c>
      <c r="AF141" s="44">
        <f t="shared" si="290"/>
        <v>0.37696349385877631</v>
      </c>
      <c r="AG141" s="44">
        <f t="shared" si="290"/>
        <v>0.38236851356300189</v>
      </c>
      <c r="AH141" s="44">
        <f t="shared" si="290"/>
        <v>0.39597247309961958</v>
      </c>
      <c r="AI141" s="44">
        <f t="shared" si="290"/>
        <v>0.39936539914656893</v>
      </c>
      <c r="AJ141" s="44">
        <f t="shared" ref="AJ141:AO141" si="291">AJ140/AJ139</f>
        <v>0.40386145100237242</v>
      </c>
      <c r="AK141" s="44">
        <f t="shared" si="291"/>
        <v>0.39850797620015527</v>
      </c>
      <c r="AL141" s="44">
        <f t="shared" si="291"/>
        <v>0.39805744147299277</v>
      </c>
      <c r="AM141" s="44">
        <f t="shared" si="291"/>
        <v>0.39905071022728583</v>
      </c>
      <c r="AN141" s="44">
        <f t="shared" si="291"/>
        <v>0.39506923053056514</v>
      </c>
      <c r="AO141" s="44">
        <f t="shared" si="291"/>
        <v>0.38412132555149481</v>
      </c>
      <c r="AP141" s="44">
        <f t="shared" ref="AP141:AU141" si="292">AP140/AP139</f>
        <v>0.35051833189015547</v>
      </c>
      <c r="AQ141" s="44">
        <f t="shared" si="292"/>
        <v>0.34847531534971909</v>
      </c>
      <c r="AR141" s="44">
        <f t="shared" si="292"/>
        <v>0.34546080993966072</v>
      </c>
      <c r="AS141" s="44">
        <f t="shared" si="292"/>
        <v>0.34489354320922455</v>
      </c>
      <c r="AT141" s="44">
        <f t="shared" si="292"/>
        <v>0.34005170270537727</v>
      </c>
      <c r="AU141" s="44">
        <f t="shared" si="292"/>
        <v>0.33785290035134569</v>
      </c>
      <c r="AV141" s="44">
        <f t="shared" ref="AV141:BA141" si="293">AV140/AV139</f>
        <v>0.34144873622157218</v>
      </c>
      <c r="AW141" s="44">
        <f t="shared" si="293"/>
        <v>0.34365543829427858</v>
      </c>
      <c r="AX141" s="44">
        <f t="shared" si="293"/>
        <v>0.35782349567137389</v>
      </c>
      <c r="AY141" s="44">
        <f t="shared" si="293"/>
        <v>0.36145712296630594</v>
      </c>
      <c r="AZ141" s="44">
        <f t="shared" si="293"/>
        <v>0.36411696883196953</v>
      </c>
      <c r="BA141" s="44">
        <f t="shared" si="293"/>
        <v>0.36837183881846547</v>
      </c>
      <c r="BB141" s="44">
        <f>BB140/BB139</f>
        <v>0.38043362435810224</v>
      </c>
      <c r="BC141" s="44">
        <f>BC140/BC139</f>
        <v>0.38930291755574781</v>
      </c>
      <c r="BD141" s="45"/>
    </row>
    <row r="142" spans="2:56" ht="13.5" customHeight="1">
      <c r="B142" s="1" t="str">
        <f t="shared" ref="B142:Q142" si="294">B86</f>
        <v>Cash interest paid</v>
      </c>
      <c r="C142" s="21">
        <f t="shared" si="294"/>
        <v>7633.0259999999998</v>
      </c>
      <c r="D142" s="21">
        <f t="shared" si="294"/>
        <v>8860.8809999999994</v>
      </c>
      <c r="E142" s="21">
        <f t="shared" si="294"/>
        <v>10129.304</v>
      </c>
      <c r="F142" s="21">
        <f t="shared" si="294"/>
        <v>9170.3359999999993</v>
      </c>
      <c r="G142" s="21">
        <f t="shared" si="294"/>
        <v>9180.1409999999996</v>
      </c>
      <c r="H142" s="21">
        <f t="shared" si="294"/>
        <v>9455.3870000000006</v>
      </c>
      <c r="I142" s="21">
        <f t="shared" si="294"/>
        <v>8258.2430000000004</v>
      </c>
      <c r="J142" s="21">
        <f t="shared" si="294"/>
        <v>8258.2430000000004</v>
      </c>
      <c r="K142" s="21">
        <f t="shared" si="294"/>
        <v>8893</v>
      </c>
      <c r="L142" s="21">
        <f t="shared" si="294"/>
        <v>8893</v>
      </c>
      <c r="M142" s="21">
        <f t="shared" si="294"/>
        <v>7553.9380000000001</v>
      </c>
      <c r="N142" s="21">
        <f t="shared" si="294"/>
        <v>7553.9380000000001</v>
      </c>
      <c r="O142" s="21">
        <f t="shared" si="294"/>
        <v>7417.915</v>
      </c>
      <c r="P142" s="21">
        <f>P86</f>
        <v>6816</v>
      </c>
      <c r="Q142" s="21">
        <f t="shared" si="294"/>
        <v>6347</v>
      </c>
      <c r="R142" s="21"/>
      <c r="S142" s="200"/>
      <c r="T142" s="21"/>
      <c r="U142" s="21"/>
      <c r="V142" s="21">
        <f t="shared" ref="V142:AX142" si="295">V86</f>
        <v>8860.8809999999994</v>
      </c>
      <c r="W142" s="21">
        <f t="shared" si="295"/>
        <v>8852.8130000000001</v>
      </c>
      <c r="X142" s="21">
        <f t="shared" si="295"/>
        <v>8771.3050000000003</v>
      </c>
      <c r="Y142" s="21">
        <f t="shared" si="295"/>
        <v>9186.905999999999</v>
      </c>
      <c r="Z142" s="21">
        <f t="shared" si="295"/>
        <v>10129.304000000002</v>
      </c>
      <c r="AA142" s="21">
        <f t="shared" si="295"/>
        <v>9236.9800000000014</v>
      </c>
      <c r="AB142" s="21">
        <f t="shared" si="295"/>
        <v>9262.496000000001</v>
      </c>
      <c r="AC142" s="21">
        <f t="shared" si="295"/>
        <v>9106.1770000000015</v>
      </c>
      <c r="AD142" s="21">
        <f t="shared" si="295"/>
        <v>9170.3359999999993</v>
      </c>
      <c r="AE142" s="21">
        <f t="shared" si="295"/>
        <v>9846.66</v>
      </c>
      <c r="AF142" s="21">
        <f t="shared" si="295"/>
        <v>10167.776999999998</v>
      </c>
      <c r="AG142" s="21">
        <f t="shared" si="295"/>
        <v>10046.220999999998</v>
      </c>
      <c r="AH142" s="21">
        <f t="shared" si="295"/>
        <v>9455.3870000000006</v>
      </c>
      <c r="AI142" s="21">
        <f t="shared" si="295"/>
        <v>9309.0730000000003</v>
      </c>
      <c r="AJ142" s="21">
        <f t="shared" si="295"/>
        <v>9026.5339999999997</v>
      </c>
      <c r="AK142" s="21">
        <f t="shared" si="295"/>
        <v>8623.264000000001</v>
      </c>
      <c r="AL142" s="21">
        <f t="shared" si="295"/>
        <v>8258.2430000000004</v>
      </c>
      <c r="AM142" s="21">
        <f t="shared" si="295"/>
        <v>8966.4060000000009</v>
      </c>
      <c r="AN142" s="21">
        <f t="shared" si="295"/>
        <v>9123.0310000000009</v>
      </c>
      <c r="AO142" s="21">
        <f t="shared" si="295"/>
        <v>9161.2430000000004</v>
      </c>
      <c r="AP142" s="21">
        <f t="shared" si="295"/>
        <v>8893</v>
      </c>
      <c r="AQ142" s="21">
        <f t="shared" si="295"/>
        <v>8298.0360000000001</v>
      </c>
      <c r="AR142" s="21">
        <f t="shared" si="295"/>
        <v>8002.7619999999988</v>
      </c>
      <c r="AS142" s="21">
        <f t="shared" si="295"/>
        <v>8197</v>
      </c>
      <c r="AT142" s="21">
        <f t="shared" si="295"/>
        <v>7553.9380000000001</v>
      </c>
      <c r="AU142" s="21">
        <f t="shared" si="295"/>
        <v>7459.1269999999986</v>
      </c>
      <c r="AV142" s="21">
        <f t="shared" si="295"/>
        <v>7161.7579999999998</v>
      </c>
      <c r="AW142" s="21">
        <f t="shared" si="295"/>
        <v>6798.9379999999992</v>
      </c>
      <c r="AX142" s="21">
        <f t="shared" si="295"/>
        <v>7417.915</v>
      </c>
      <c r="AY142" s="21">
        <f>AY86</f>
        <v>7503.527</v>
      </c>
      <c r="AZ142" s="21">
        <f>AZ86</f>
        <v>7718.1020000000008</v>
      </c>
      <c r="BA142" s="21">
        <f>BA86</f>
        <v>7311.915</v>
      </c>
      <c r="BB142" s="21">
        <f>BB86</f>
        <v>6816</v>
      </c>
      <c r="BC142" s="21">
        <f>BC86</f>
        <v>6347</v>
      </c>
      <c r="BD142" s="21"/>
    </row>
    <row r="143" spans="2:56" ht="13.5" customHeight="1">
      <c r="B143" s="1" t="str">
        <f t="shared" ref="B143:Q143" si="296">B88</f>
        <v>Capex</v>
      </c>
      <c r="C143" s="21">
        <f t="shared" si="296"/>
        <v>26370.374</v>
      </c>
      <c r="D143" s="21">
        <f t="shared" si="296"/>
        <v>15848.094999999999</v>
      </c>
      <c r="E143" s="21">
        <f t="shared" si="296"/>
        <v>17474.96</v>
      </c>
      <c r="F143" s="21">
        <f t="shared" si="296"/>
        <v>18126.780999999999</v>
      </c>
      <c r="G143" s="21">
        <f t="shared" si="296"/>
        <v>18126.780999999999</v>
      </c>
      <c r="H143" s="21">
        <f t="shared" si="296"/>
        <v>18611.321</v>
      </c>
      <c r="I143" s="21">
        <f t="shared" si="296"/>
        <v>22595.423000000003</v>
      </c>
      <c r="J143" s="21">
        <f t="shared" si="296"/>
        <v>22595.423000000003</v>
      </c>
      <c r="K143" s="21">
        <f t="shared" si="296"/>
        <v>17051.223999999998</v>
      </c>
      <c r="L143" s="21">
        <f t="shared" si="296"/>
        <v>17051.223999999998</v>
      </c>
      <c r="M143" s="21">
        <f t="shared" si="296"/>
        <v>14659.143</v>
      </c>
      <c r="N143" s="21">
        <f t="shared" si="296"/>
        <v>14659.143</v>
      </c>
      <c r="O143" s="21">
        <f t="shared" si="296"/>
        <v>8469.4240000000009</v>
      </c>
      <c r="P143" s="21">
        <f>P88</f>
        <v>12053.329</v>
      </c>
      <c r="Q143" s="21">
        <f t="shared" si="296"/>
        <v>12718.359</v>
      </c>
      <c r="R143" s="21"/>
      <c r="S143" s="200"/>
      <c r="T143" s="21"/>
      <c r="U143" s="21"/>
      <c r="V143" s="21">
        <f t="shared" ref="V143:AX143" si="297">V88</f>
        <v>15848.094999999999</v>
      </c>
      <c r="W143" s="21">
        <f t="shared" si="297"/>
        <v>14331.323999999999</v>
      </c>
      <c r="X143" s="21">
        <f t="shared" si="297"/>
        <v>15097.625999999998</v>
      </c>
      <c r="Y143" s="21">
        <f t="shared" si="297"/>
        <v>16698.241999999998</v>
      </c>
      <c r="Z143" s="21">
        <f t="shared" si="297"/>
        <v>17474.96</v>
      </c>
      <c r="AA143" s="21">
        <f t="shared" si="297"/>
        <v>18746.769</v>
      </c>
      <c r="AB143" s="21">
        <f t="shared" si="297"/>
        <v>18440.114999999998</v>
      </c>
      <c r="AC143" s="21">
        <f t="shared" si="297"/>
        <v>17460.127</v>
      </c>
      <c r="AD143" s="21">
        <f t="shared" si="297"/>
        <v>18126.780999999999</v>
      </c>
      <c r="AE143" s="21">
        <f t="shared" si="297"/>
        <v>18311.012999999999</v>
      </c>
      <c r="AF143" s="21">
        <f t="shared" si="297"/>
        <v>19197.368000000002</v>
      </c>
      <c r="AG143" s="21">
        <f t="shared" si="297"/>
        <v>20193.769999999997</v>
      </c>
      <c r="AH143" s="21">
        <f t="shared" si="297"/>
        <v>18611.321</v>
      </c>
      <c r="AI143" s="21">
        <f t="shared" si="297"/>
        <v>19578.659</v>
      </c>
      <c r="AJ143" s="21">
        <f t="shared" si="297"/>
        <v>20548.474999999999</v>
      </c>
      <c r="AK143" s="21">
        <f t="shared" si="297"/>
        <v>22150.034</v>
      </c>
      <c r="AL143" s="21">
        <f t="shared" si="297"/>
        <v>22595.423000000003</v>
      </c>
      <c r="AM143" s="21">
        <f t="shared" si="297"/>
        <v>21875.571000000004</v>
      </c>
      <c r="AN143" s="21">
        <f t="shared" si="297"/>
        <v>21269.206000000002</v>
      </c>
      <c r="AO143" s="21">
        <f t="shared" si="297"/>
        <v>18456.832000000002</v>
      </c>
      <c r="AP143" s="21">
        <f t="shared" si="297"/>
        <v>17051.223999999998</v>
      </c>
      <c r="AQ143" s="21">
        <f t="shared" si="297"/>
        <v>16423.786999999997</v>
      </c>
      <c r="AR143" s="21">
        <f t="shared" si="297"/>
        <v>234.0879999999961</v>
      </c>
      <c r="AS143" s="21">
        <f t="shared" si="297"/>
        <v>14488.283999999998</v>
      </c>
      <c r="AT143" s="21">
        <f t="shared" si="297"/>
        <v>14659.143</v>
      </c>
      <c r="AU143" s="21">
        <f t="shared" si="297"/>
        <v>12773.740000000002</v>
      </c>
      <c r="AV143" s="21">
        <f t="shared" si="297"/>
        <v>25508.681</v>
      </c>
      <c r="AW143" s="21">
        <f t="shared" si="297"/>
        <v>9613.6090000000004</v>
      </c>
      <c r="AX143" s="21">
        <f t="shared" si="297"/>
        <v>8469.4240000000009</v>
      </c>
      <c r="AY143" s="21">
        <f t="shared" ref="AY143:BB144" si="298">AY88</f>
        <v>8205.4030000000002</v>
      </c>
      <c r="AZ143" s="21">
        <f t="shared" si="298"/>
        <v>9033.9459999999999</v>
      </c>
      <c r="BA143" s="21">
        <f t="shared" si="298"/>
        <v>10288.168</v>
      </c>
      <c r="BB143" s="21">
        <f t="shared" si="298"/>
        <v>12053.329</v>
      </c>
      <c r="BC143" s="21">
        <f>BC88</f>
        <v>12718.359</v>
      </c>
      <c r="BD143" s="21"/>
    </row>
    <row r="144" spans="2:56" ht="13.5" customHeight="1">
      <c r="B144" s="1" t="str">
        <f t="shared" ref="B144:Q144" si="299">B89</f>
        <v xml:space="preserve">Free cash flow </v>
      </c>
      <c r="C144" s="21">
        <f t="shared" si="299"/>
        <v>-7520.7319999999945</v>
      </c>
      <c r="D144" s="21">
        <f t="shared" si="299"/>
        <v>-4217.4059999999827</v>
      </c>
      <c r="E144" s="21">
        <f t="shared" si="299"/>
        <v>-4847.7399999999889</v>
      </c>
      <c r="F144" s="21">
        <f t="shared" si="299"/>
        <v>-3710.2620000000043</v>
      </c>
      <c r="G144" s="21">
        <f t="shared" si="299"/>
        <v>-5856.8570000000018</v>
      </c>
      <c r="H144" s="21">
        <f t="shared" si="299"/>
        <v>-1358.5219999999899</v>
      </c>
      <c r="I144" s="21">
        <f t="shared" si="299"/>
        <v>-4690.2980000000007</v>
      </c>
      <c r="J144" s="21">
        <f t="shared" si="299"/>
        <v>-17316.354000000007</v>
      </c>
      <c r="K144" s="21">
        <f t="shared" si="299"/>
        <v>-23192.043999999998</v>
      </c>
      <c r="L144" s="21">
        <f t="shared" si="299"/>
        <v>-12355.212000000003</v>
      </c>
      <c r="M144" s="21">
        <f t="shared" si="299"/>
        <v>-9177.0140000000047</v>
      </c>
      <c r="N144" s="21">
        <f t="shared" si="299"/>
        <v>-8447.2010000000118</v>
      </c>
      <c r="O144" s="21">
        <f t="shared" si="299"/>
        <v>5634.1319999999914</v>
      </c>
      <c r="P144" s="21">
        <f>P89</f>
        <v>4373.1529999999984</v>
      </c>
      <c r="Q144" s="21">
        <f t="shared" si="299"/>
        <v>3213.8049999999994</v>
      </c>
      <c r="R144" s="21"/>
      <c r="S144" s="200"/>
      <c r="T144" s="21"/>
      <c r="U144" s="21"/>
      <c r="V144" s="21">
        <f t="shared" ref="V144:AX144" si="300">V89</f>
        <v>-4217.4060000000063</v>
      </c>
      <c r="W144" s="21">
        <f t="shared" si="300"/>
        <v>-2776.6470000000022</v>
      </c>
      <c r="X144" s="21">
        <f t="shared" si="300"/>
        <v>6542.4559999999956</v>
      </c>
      <c r="Y144" s="21">
        <f t="shared" si="300"/>
        <v>7376.4429999999993</v>
      </c>
      <c r="Z144" s="21">
        <f t="shared" si="300"/>
        <v>-4847.7399999999961</v>
      </c>
      <c r="AA144" s="21">
        <f t="shared" si="300"/>
        <v>-11788.021999999999</v>
      </c>
      <c r="AB144" s="21">
        <f t="shared" si="300"/>
        <v>-16849.169999999995</v>
      </c>
      <c r="AC144" s="21">
        <f t="shared" si="300"/>
        <v>-13518.197999999993</v>
      </c>
      <c r="AD144" s="21">
        <f t="shared" si="300"/>
        <v>-3710.2620000000052</v>
      </c>
      <c r="AE144" s="21">
        <f t="shared" si="300"/>
        <v>2733.7499999999955</v>
      </c>
      <c r="AF144" s="21">
        <f t="shared" si="300"/>
        <v>713.27899999999579</v>
      </c>
      <c r="AG144" s="21">
        <f t="shared" si="300"/>
        <v>-55.484000000005608</v>
      </c>
      <c r="AH144" s="21">
        <f t="shared" si="300"/>
        <v>-1358.5219999999908</v>
      </c>
      <c r="AI144" s="21">
        <f t="shared" si="300"/>
        <v>-2675.2089999999862</v>
      </c>
      <c r="AJ144" s="21">
        <f t="shared" si="300"/>
        <v>-4055.5379999999882</v>
      </c>
      <c r="AK144" s="21">
        <f t="shared" si="300"/>
        <v>-7877.716999999986</v>
      </c>
      <c r="AL144" s="21">
        <f t="shared" si="300"/>
        <v>-4690.297999999987</v>
      </c>
      <c r="AM144" s="21">
        <f t="shared" si="300"/>
        <v>15689.994000000006</v>
      </c>
      <c r="AN144" s="21">
        <f t="shared" si="300"/>
        <v>-23012.488999999998</v>
      </c>
      <c r="AO144" s="21">
        <f t="shared" si="300"/>
        <v>-20365.217999999997</v>
      </c>
      <c r="AP144" s="21">
        <f t="shared" si="300"/>
        <v>-23192.044000000005</v>
      </c>
      <c r="AQ144" s="21">
        <f t="shared" si="300"/>
        <v>-46661.466999999997</v>
      </c>
      <c r="AR144" s="21">
        <f t="shared" si="300"/>
        <v>6953.6110000000081</v>
      </c>
      <c r="AS144" s="21">
        <f t="shared" si="300"/>
        <v>-10739.879999999997</v>
      </c>
      <c r="AT144" s="21">
        <f t="shared" si="300"/>
        <v>-9177.0140000000065</v>
      </c>
      <c r="AU144" s="21">
        <f t="shared" si="300"/>
        <v>-4976.2770000000091</v>
      </c>
      <c r="AV144" s="21">
        <f t="shared" si="300"/>
        <v>-16508.203000000009</v>
      </c>
      <c r="AW144" s="21">
        <f t="shared" si="300"/>
        <v>3336.3139999999939</v>
      </c>
      <c r="AX144" s="21">
        <f t="shared" si="300"/>
        <v>5634.1319999999978</v>
      </c>
      <c r="AY144" s="21">
        <f t="shared" si="298"/>
        <v>6384.4149999999991</v>
      </c>
      <c r="AZ144" s="21">
        <f t="shared" si="298"/>
        <v>4721.4079999999967</v>
      </c>
      <c r="BA144" s="21">
        <f t="shared" si="298"/>
        <v>1974.8119999999972</v>
      </c>
      <c r="BB144" s="21">
        <f t="shared" si="298"/>
        <v>4373.1529999999975</v>
      </c>
      <c r="BC144" s="21">
        <f>BC89</f>
        <v>3213.8049999999957</v>
      </c>
      <c r="BD144" s="21"/>
    </row>
    <row r="145" spans="1:56" ht="13.5" customHeight="1">
      <c r="B145" s="1" t="s">
        <v>391</v>
      </c>
      <c r="C145" s="21">
        <f t="shared" ref="C145:Q145" si="301">C113</f>
        <v>47546.082999999999</v>
      </c>
      <c r="D145" s="21">
        <f t="shared" si="301"/>
        <v>38734.949000000001</v>
      </c>
      <c r="E145" s="21">
        <f t="shared" si="301"/>
        <v>32068.291000000001</v>
      </c>
      <c r="F145" s="21">
        <f t="shared" si="301"/>
        <v>27451.996999999999</v>
      </c>
      <c r="G145" s="21">
        <f t="shared" si="301"/>
        <v>27452.264999999999</v>
      </c>
      <c r="H145" s="21">
        <f t="shared" si="301"/>
        <v>29058.093000000001</v>
      </c>
      <c r="I145" s="21">
        <f t="shared" si="301"/>
        <v>25593.362000000001</v>
      </c>
      <c r="J145" s="21">
        <f t="shared" si="301"/>
        <v>25828.2</v>
      </c>
      <c r="K145" s="21">
        <f t="shared" si="301"/>
        <v>51130.991999999998</v>
      </c>
      <c r="L145" s="21">
        <f t="shared" si="301"/>
        <v>51130.991999999998</v>
      </c>
      <c r="M145" s="21">
        <f t="shared" si="301"/>
        <v>32586.3</v>
      </c>
      <c r="N145" s="21">
        <f t="shared" si="301"/>
        <v>32586.3</v>
      </c>
      <c r="O145" s="21">
        <f t="shared" si="301"/>
        <v>46193.173000000003</v>
      </c>
      <c r="P145" s="21">
        <f>P113</f>
        <v>36375.699999999997</v>
      </c>
      <c r="Q145" s="21">
        <f t="shared" si="301"/>
        <v>24976.799999999999</v>
      </c>
      <c r="R145" s="21"/>
      <c r="S145" s="200"/>
      <c r="T145" s="21"/>
      <c r="U145" s="21"/>
      <c r="V145" s="21">
        <f t="shared" ref="V145:AX145" si="302">V113</f>
        <v>38734.949000000001</v>
      </c>
      <c r="W145" s="21">
        <f t="shared" si="302"/>
        <v>37705.453000000001</v>
      </c>
      <c r="X145" s="21">
        <f t="shared" si="302"/>
        <v>44592.993000000002</v>
      </c>
      <c r="Y145" s="21">
        <f t="shared" si="302"/>
        <v>42426.756999999998</v>
      </c>
      <c r="Z145" s="21">
        <f t="shared" si="302"/>
        <v>32068.291000000001</v>
      </c>
      <c r="AA145" s="21">
        <f t="shared" si="302"/>
        <v>23563.013999999999</v>
      </c>
      <c r="AB145" s="21">
        <f t="shared" si="302"/>
        <v>37918.1</v>
      </c>
      <c r="AC145" s="21">
        <f t="shared" si="302"/>
        <v>38710.917000000001</v>
      </c>
      <c r="AD145" s="21">
        <f t="shared" si="302"/>
        <v>27451.996999999999</v>
      </c>
      <c r="AE145" s="21">
        <f t="shared" si="302"/>
        <v>44940.269</v>
      </c>
      <c r="AF145" s="21">
        <f t="shared" si="302"/>
        <v>45481.794000000002</v>
      </c>
      <c r="AG145" s="21">
        <f t="shared" si="302"/>
        <v>44852.2</v>
      </c>
      <c r="AH145" s="21">
        <f t="shared" si="302"/>
        <v>29058.093000000001</v>
      </c>
      <c r="AI145" s="21">
        <f t="shared" si="302"/>
        <v>28862.206999999999</v>
      </c>
      <c r="AJ145" s="21">
        <f t="shared" si="302"/>
        <v>26381.3</v>
      </c>
      <c r="AK145" s="21">
        <f t="shared" si="302"/>
        <v>21704.781999999999</v>
      </c>
      <c r="AL145" s="21">
        <f t="shared" si="302"/>
        <v>25593.362000000001</v>
      </c>
      <c r="AM145" s="21">
        <f t="shared" si="302"/>
        <v>61071.991000000002</v>
      </c>
      <c r="AN145" s="21">
        <f t="shared" si="302"/>
        <v>59892.2</v>
      </c>
      <c r="AO145" s="21">
        <f t="shared" si="302"/>
        <v>53912.5</v>
      </c>
      <c r="AP145" s="21">
        <f t="shared" si="302"/>
        <v>51130.991999999998</v>
      </c>
      <c r="AQ145" s="21">
        <f t="shared" si="302"/>
        <v>43549.512000000002</v>
      </c>
      <c r="AR145" s="21">
        <f t="shared" si="302"/>
        <v>38903.300000000003</v>
      </c>
      <c r="AS145" s="21">
        <f t="shared" si="302"/>
        <v>32688.1</v>
      </c>
      <c r="AT145" s="21">
        <f t="shared" si="302"/>
        <v>32586.3</v>
      </c>
      <c r="AU145" s="21">
        <f t="shared" si="302"/>
        <v>32606.799999999999</v>
      </c>
      <c r="AV145" s="21">
        <f t="shared" si="302"/>
        <v>36960.400000000001</v>
      </c>
      <c r="AW145" s="21">
        <f t="shared" si="302"/>
        <v>41033.699999999997</v>
      </c>
      <c r="AX145" s="21">
        <f t="shared" si="302"/>
        <v>46193.173000000003</v>
      </c>
      <c r="AY145" s="21">
        <f>AY113</f>
        <v>43536.716</v>
      </c>
      <c r="AZ145" s="21">
        <f>AZ113</f>
        <v>38449.22</v>
      </c>
      <c r="BA145" s="21">
        <f>BA113</f>
        <v>37856.775999999998</v>
      </c>
      <c r="BB145" s="21">
        <f>BB113</f>
        <v>36375.699999999997</v>
      </c>
      <c r="BC145" s="21">
        <f>BC113</f>
        <v>24976.799999999999</v>
      </c>
      <c r="BD145" s="21"/>
    </row>
    <row r="146" spans="1:56" ht="13.5" customHeight="1">
      <c r="B146" s="1" t="s">
        <v>374</v>
      </c>
      <c r="C146" s="21">
        <f t="shared" ref="C146:Q146" si="303">C116</f>
        <v>138242.4</v>
      </c>
      <c r="D146" s="21">
        <f t="shared" si="303"/>
        <v>131606.90000000002</v>
      </c>
      <c r="E146" s="21">
        <f t="shared" si="303"/>
        <v>129866.7</v>
      </c>
      <c r="F146" s="21">
        <f t="shared" si="303"/>
        <v>131624.29999999999</v>
      </c>
      <c r="G146" s="21">
        <f t="shared" si="303"/>
        <v>131624.27800000002</v>
      </c>
      <c r="H146" s="21">
        <f t="shared" si="303"/>
        <v>131845.32199999999</v>
      </c>
      <c r="I146" s="21">
        <f t="shared" si="303"/>
        <v>135472.701</v>
      </c>
      <c r="J146" s="21">
        <f t="shared" si="303"/>
        <v>135472.701</v>
      </c>
      <c r="K146" s="21">
        <f t="shared" si="303"/>
        <v>113609.65</v>
      </c>
      <c r="L146" s="21">
        <f t="shared" si="303"/>
        <v>113609.65</v>
      </c>
      <c r="M146" s="21">
        <f t="shared" si="303"/>
        <v>95827.4</v>
      </c>
      <c r="N146" s="21">
        <f t="shared" si="303"/>
        <v>95827.4</v>
      </c>
      <c r="O146" s="21">
        <f t="shared" si="303"/>
        <v>108341.81199999999</v>
      </c>
      <c r="P146" s="21">
        <f>P116</f>
        <v>91430.2</v>
      </c>
      <c r="Q146" s="21">
        <f t="shared" si="303"/>
        <v>88557.8</v>
      </c>
      <c r="R146" s="21"/>
      <c r="S146" s="200"/>
      <c r="T146" s="21"/>
      <c r="U146" s="21"/>
      <c r="V146" s="21">
        <f t="shared" ref="V146:AX146" si="304">V116</f>
        <v>131580.80000000002</v>
      </c>
      <c r="W146" s="21">
        <f t="shared" si="304"/>
        <v>124650.6</v>
      </c>
      <c r="X146" s="21">
        <f t="shared" si="304"/>
        <v>130680.09999999999</v>
      </c>
      <c r="Y146" s="21">
        <f t="shared" si="304"/>
        <v>126124.29999999999</v>
      </c>
      <c r="Z146" s="21">
        <f t="shared" si="304"/>
        <v>129866.7</v>
      </c>
      <c r="AA146" s="21">
        <f t="shared" si="304"/>
        <v>132196.79999999999</v>
      </c>
      <c r="AB146" s="21">
        <f t="shared" si="304"/>
        <v>144907.69999999998</v>
      </c>
      <c r="AC146" s="21">
        <f t="shared" si="304"/>
        <v>145739.50000000003</v>
      </c>
      <c r="AD146" s="21">
        <f t="shared" si="304"/>
        <v>131624.29999999999</v>
      </c>
      <c r="AE146" s="21">
        <f t="shared" si="304"/>
        <v>168411.3</v>
      </c>
      <c r="AF146" s="21">
        <f t="shared" si="304"/>
        <v>163901</v>
      </c>
      <c r="AG146" s="21">
        <f t="shared" si="304"/>
        <v>156760.30000000002</v>
      </c>
      <c r="AH146" s="21">
        <f t="shared" si="304"/>
        <v>131845.32199999999</v>
      </c>
      <c r="AI146" s="21">
        <f t="shared" si="304"/>
        <v>133859.4</v>
      </c>
      <c r="AJ146" s="21">
        <f t="shared" si="304"/>
        <v>131104.30000000002</v>
      </c>
      <c r="AK146" s="21">
        <f t="shared" si="304"/>
        <v>134643.21299999999</v>
      </c>
      <c r="AL146" s="21">
        <f t="shared" si="304"/>
        <v>135472.701</v>
      </c>
      <c r="AM146" s="21">
        <f t="shared" si="304"/>
        <v>121877.1</v>
      </c>
      <c r="AN146" s="21">
        <f t="shared" si="304"/>
        <v>122307</v>
      </c>
      <c r="AO146" s="21">
        <f t="shared" si="304"/>
        <v>116025.3</v>
      </c>
      <c r="AP146" s="21">
        <f t="shared" si="304"/>
        <v>113609.65</v>
      </c>
      <c r="AQ146" s="21">
        <f t="shared" si="304"/>
        <v>106963.7</v>
      </c>
      <c r="AR146" s="21">
        <f t="shared" si="304"/>
        <v>103150.39999999999</v>
      </c>
      <c r="AS146" s="21">
        <f t="shared" si="304"/>
        <v>98221.900000000009</v>
      </c>
      <c r="AT146" s="21">
        <f t="shared" si="304"/>
        <v>95827.4</v>
      </c>
      <c r="AU146" s="21">
        <f t="shared" si="304"/>
        <v>93084.800000000003</v>
      </c>
      <c r="AV146" s="21">
        <f t="shared" si="304"/>
        <v>99420.900000000009</v>
      </c>
      <c r="AW146" s="21">
        <f t="shared" si="304"/>
        <v>103876.7</v>
      </c>
      <c r="AX146" s="21">
        <f t="shared" si="304"/>
        <v>108341.81199999999</v>
      </c>
      <c r="AY146" s="21">
        <f>AY116</f>
        <v>101973.323</v>
      </c>
      <c r="AZ146" s="21">
        <f>AZ116</f>
        <v>93503.687999999995</v>
      </c>
      <c r="BA146" s="21">
        <f>BA116</f>
        <v>91763.667999999991</v>
      </c>
      <c r="BB146" s="21">
        <f>BB116</f>
        <v>91430.2</v>
      </c>
      <c r="BC146" s="21">
        <f>BC116</f>
        <v>88557.8</v>
      </c>
      <c r="BD146" s="21"/>
    </row>
    <row r="147" spans="1:56" ht="13.5" customHeight="1">
      <c r="B147" s="1" t="s">
        <v>392</v>
      </c>
      <c r="C147" s="21">
        <f t="shared" ref="C147:Q147" si="305">C115</f>
        <v>90696.316999999995</v>
      </c>
      <c r="D147" s="21">
        <f t="shared" si="305"/>
        <v>92871.95100000003</v>
      </c>
      <c r="E147" s="21">
        <f t="shared" si="305"/>
        <v>97798.409</v>
      </c>
      <c r="F147" s="21">
        <f t="shared" si="305"/>
        <v>104172.30299999999</v>
      </c>
      <c r="G147" s="21">
        <f t="shared" si="305"/>
        <v>104172.01300000002</v>
      </c>
      <c r="H147" s="21">
        <f t="shared" si="305"/>
        <v>102787.22899999999</v>
      </c>
      <c r="I147" s="21">
        <f t="shared" si="305"/>
        <v>109879.33900000001</v>
      </c>
      <c r="J147" s="21">
        <f t="shared" si="305"/>
        <v>109644.501</v>
      </c>
      <c r="K147" s="21">
        <f t="shared" si="305"/>
        <v>62478.657999999996</v>
      </c>
      <c r="L147" s="21">
        <f t="shared" si="305"/>
        <v>62478.657999999996</v>
      </c>
      <c r="M147" s="21">
        <f t="shared" si="305"/>
        <v>63241.099999999991</v>
      </c>
      <c r="N147" s="21">
        <f t="shared" si="305"/>
        <v>63241.099999999991</v>
      </c>
      <c r="O147" s="21">
        <f t="shared" si="305"/>
        <v>62148.638999999988</v>
      </c>
      <c r="P147" s="21">
        <f>P115</f>
        <v>55054.5</v>
      </c>
      <c r="Q147" s="21">
        <f t="shared" si="305"/>
        <v>63581</v>
      </c>
      <c r="R147" s="21"/>
      <c r="S147" s="200"/>
      <c r="T147" s="21"/>
      <c r="U147" s="21"/>
      <c r="V147" s="21">
        <f t="shared" ref="V147:AX147" si="306">V115</f>
        <v>92845.851000000024</v>
      </c>
      <c r="W147" s="21">
        <f t="shared" si="306"/>
        <v>86945.146999999997</v>
      </c>
      <c r="X147" s="21">
        <f t="shared" si="306"/>
        <v>86087.106999999989</v>
      </c>
      <c r="Y147" s="21">
        <f t="shared" si="306"/>
        <v>83697.542999999991</v>
      </c>
      <c r="Z147" s="21">
        <f t="shared" si="306"/>
        <v>97798.409</v>
      </c>
      <c r="AA147" s="21">
        <f t="shared" si="306"/>
        <v>108633.78599999999</v>
      </c>
      <c r="AB147" s="21">
        <f t="shared" si="306"/>
        <v>106989.59999999998</v>
      </c>
      <c r="AC147" s="21">
        <f t="shared" si="306"/>
        <v>107028.58300000003</v>
      </c>
      <c r="AD147" s="21">
        <f t="shared" si="306"/>
        <v>104172.30299999999</v>
      </c>
      <c r="AE147" s="21">
        <f t="shared" si="306"/>
        <v>123471.03099999999</v>
      </c>
      <c r="AF147" s="21">
        <f t="shared" si="306"/>
        <v>118419.20600000001</v>
      </c>
      <c r="AG147" s="21">
        <f t="shared" si="306"/>
        <v>111908.10000000002</v>
      </c>
      <c r="AH147" s="21">
        <f t="shared" si="306"/>
        <v>102787.22899999999</v>
      </c>
      <c r="AI147" s="21">
        <f t="shared" si="306"/>
        <v>104997.193</v>
      </c>
      <c r="AJ147" s="21">
        <f t="shared" si="306"/>
        <v>104723.00000000001</v>
      </c>
      <c r="AK147" s="21">
        <f t="shared" si="306"/>
        <v>112938.43099999998</v>
      </c>
      <c r="AL147" s="21">
        <f t="shared" si="306"/>
        <v>109879.33900000001</v>
      </c>
      <c r="AM147" s="21">
        <f t="shared" si="306"/>
        <v>60805.109000000004</v>
      </c>
      <c r="AN147" s="21">
        <f t="shared" si="306"/>
        <v>62414.8</v>
      </c>
      <c r="AO147" s="21">
        <f t="shared" si="306"/>
        <v>62112.800000000003</v>
      </c>
      <c r="AP147" s="21">
        <f t="shared" si="306"/>
        <v>62478.657999999996</v>
      </c>
      <c r="AQ147" s="21">
        <f t="shared" si="306"/>
        <v>63414.187999999995</v>
      </c>
      <c r="AR147" s="21">
        <f t="shared" si="306"/>
        <v>64247.099999999991</v>
      </c>
      <c r="AS147" s="21">
        <f t="shared" si="306"/>
        <v>65533.80000000001</v>
      </c>
      <c r="AT147" s="21">
        <f t="shared" si="306"/>
        <v>63241.099999999991</v>
      </c>
      <c r="AU147" s="21">
        <f t="shared" si="306"/>
        <v>60478</v>
      </c>
      <c r="AV147" s="21">
        <f t="shared" si="306"/>
        <v>62460.500000000007</v>
      </c>
      <c r="AW147" s="21">
        <f t="shared" si="306"/>
        <v>62843</v>
      </c>
      <c r="AX147" s="21">
        <f t="shared" si="306"/>
        <v>62148.638999999988</v>
      </c>
      <c r="AY147" s="21">
        <f>AY115</f>
        <v>58436.607000000004</v>
      </c>
      <c r="AZ147" s="21">
        <f>AZ115</f>
        <v>55054.467999999993</v>
      </c>
      <c r="BA147" s="21">
        <f>BA115</f>
        <v>53906.891999999993</v>
      </c>
      <c r="BB147" s="21">
        <f>BB115</f>
        <v>55054.5</v>
      </c>
      <c r="BC147" s="21">
        <f>BC115</f>
        <v>63581</v>
      </c>
      <c r="BD147" s="21"/>
    </row>
    <row r="148" spans="1:56" ht="13.5" customHeight="1">
      <c r="B148" s="1" t="s">
        <v>393</v>
      </c>
      <c r="C148" s="21">
        <f t="shared" ref="C148:H148" si="307">+C118</f>
        <v>78405.899999999994</v>
      </c>
      <c r="D148" s="21">
        <f t="shared" si="307"/>
        <v>79273.100000000006</v>
      </c>
      <c r="E148" s="21">
        <f t="shared" si="307"/>
        <v>83318.5</v>
      </c>
      <c r="F148" s="21">
        <f t="shared" si="307"/>
        <v>93733.1</v>
      </c>
      <c r="G148" s="21">
        <f t="shared" si="307"/>
        <v>93733.1</v>
      </c>
      <c r="H148" s="21">
        <f t="shared" si="307"/>
        <v>96143</v>
      </c>
      <c r="I148" s="21">
        <f t="shared" ref="I148:Q148" si="308">+I118</f>
        <v>105219.9</v>
      </c>
      <c r="J148" s="21">
        <f t="shared" si="308"/>
        <v>105219.9</v>
      </c>
      <c r="K148" s="21">
        <f t="shared" si="308"/>
        <v>59094.400000000001</v>
      </c>
      <c r="L148" s="21">
        <f t="shared" si="308"/>
        <v>59094.400000000001</v>
      </c>
      <c r="M148" s="21">
        <f t="shared" si="308"/>
        <v>60654.5</v>
      </c>
      <c r="N148" s="21">
        <f t="shared" si="308"/>
        <v>60654.5</v>
      </c>
      <c r="O148" s="21">
        <f t="shared" si="308"/>
        <v>59647.9</v>
      </c>
      <c r="P148" s="21">
        <f>+P118</f>
        <v>49115.199999999997</v>
      </c>
      <c r="Q148" s="21">
        <f t="shared" si="308"/>
        <v>49752.4</v>
      </c>
      <c r="R148" s="21"/>
      <c r="S148" s="200"/>
      <c r="T148" s="21"/>
      <c r="U148" s="21"/>
      <c r="V148" s="21">
        <f t="shared" ref="V148:AA148" si="309">+V118</f>
        <v>79273.100000000006</v>
      </c>
      <c r="W148" s="21">
        <f t="shared" si="309"/>
        <v>73339.3</v>
      </c>
      <c r="X148" s="21">
        <f t="shared" si="309"/>
        <v>72176.899999999994</v>
      </c>
      <c r="Y148" s="21">
        <f t="shared" si="309"/>
        <v>68630.399999999994</v>
      </c>
      <c r="Z148" s="21">
        <f t="shared" si="309"/>
        <v>83318.5</v>
      </c>
      <c r="AA148" s="21">
        <f t="shared" si="309"/>
        <v>94275</v>
      </c>
      <c r="AB148" s="21">
        <f t="shared" ref="AB148:AG148" si="310">+AB118</f>
        <v>93495.2</v>
      </c>
      <c r="AC148" s="21">
        <f t="shared" si="310"/>
        <v>94994.7</v>
      </c>
      <c r="AD148" s="21">
        <f t="shared" si="310"/>
        <v>93733.1</v>
      </c>
      <c r="AE148" s="21">
        <f t="shared" si="310"/>
        <v>113656.8</v>
      </c>
      <c r="AF148" s="21">
        <f t="shared" si="310"/>
        <v>109037.5</v>
      </c>
      <c r="AG148" s="21">
        <f t="shared" si="310"/>
        <v>104688.2</v>
      </c>
      <c r="AH148" s="21">
        <f t="shared" ref="AH148:AM148" si="311">+AH118</f>
        <v>96143</v>
      </c>
      <c r="AI148" s="21">
        <f t="shared" si="311"/>
        <v>99913.8</v>
      </c>
      <c r="AJ148" s="21">
        <f t="shared" si="311"/>
        <v>100113.2</v>
      </c>
      <c r="AK148" s="21">
        <f t="shared" si="311"/>
        <v>108781.9</v>
      </c>
      <c r="AL148" s="21">
        <f t="shared" si="311"/>
        <v>105219.9</v>
      </c>
      <c r="AM148" s="21">
        <f t="shared" si="311"/>
        <v>56948.2</v>
      </c>
      <c r="AN148" s="21">
        <f t="shared" ref="AN148:AS148" si="312">+AN118</f>
        <v>59098.7</v>
      </c>
      <c r="AO148" s="21">
        <f t="shared" si="312"/>
        <v>59358.7</v>
      </c>
      <c r="AP148" s="21">
        <f t="shared" si="312"/>
        <v>59094.400000000001</v>
      </c>
      <c r="AQ148" s="21">
        <f t="shared" si="312"/>
        <v>60383.199999999997</v>
      </c>
      <c r="AR148" s="21">
        <f t="shared" si="312"/>
        <v>61584.2</v>
      </c>
      <c r="AS148" s="21">
        <f t="shared" si="312"/>
        <v>62889.4</v>
      </c>
      <c r="AT148" s="21">
        <f t="shared" ref="AT148:AY148" si="313">+AT118</f>
        <v>60654.5</v>
      </c>
      <c r="AU148" s="21">
        <f t="shared" si="313"/>
        <v>57456.3</v>
      </c>
      <c r="AV148" s="21">
        <f t="shared" si="313"/>
        <v>59276.4</v>
      </c>
      <c r="AW148" s="21">
        <f t="shared" si="313"/>
        <v>60028.9</v>
      </c>
      <c r="AX148" s="21">
        <f t="shared" si="313"/>
        <v>59647.9</v>
      </c>
      <c r="AY148" s="21">
        <f t="shared" si="313"/>
        <v>55467.3</v>
      </c>
      <c r="AZ148" s="21">
        <f>+AZ118</f>
        <v>51570.2</v>
      </c>
      <c r="BA148" s="21">
        <f>+BA118</f>
        <v>50086.3</v>
      </c>
      <c r="BB148" s="21">
        <f>+BB118</f>
        <v>49115.199999999997</v>
      </c>
      <c r="BC148" s="21">
        <f>+BC118</f>
        <v>49752.4</v>
      </c>
      <c r="BD148" s="21"/>
    </row>
    <row r="149" spans="1:56" ht="13.5" customHeight="1">
      <c r="B149" s="1" t="s">
        <v>394</v>
      </c>
      <c r="C149" s="40">
        <f t="shared" ref="C149:H149" si="314">C126</f>
        <v>3.7652479476500167</v>
      </c>
      <c r="D149" s="40">
        <f t="shared" si="314"/>
        <v>3.7386728554934949</v>
      </c>
      <c r="E149" s="40">
        <f t="shared" si="314"/>
        <v>3.3709944089182153</v>
      </c>
      <c r="F149" s="40">
        <f t="shared" si="314"/>
        <v>3.3480965782131094</v>
      </c>
      <c r="G149" s="40">
        <f t="shared" si="314"/>
        <v>3.346628422132258</v>
      </c>
      <c r="H149" s="40">
        <f t="shared" si="314"/>
        <v>3.4198879362693906</v>
      </c>
      <c r="I149" s="40">
        <f t="shared" ref="I149:Q149" si="315">I126</f>
        <v>3.2875633571955798</v>
      </c>
      <c r="J149" s="40">
        <f t="shared" si="315"/>
        <v>4.771666082738907</v>
      </c>
      <c r="K149" s="40">
        <f t="shared" si="315"/>
        <v>4.2914543738727629</v>
      </c>
      <c r="L149" s="40">
        <f t="shared" si="315"/>
        <v>4.3695646137175297</v>
      </c>
      <c r="M149" s="40">
        <f t="shared" si="315"/>
        <v>3.8201228627580739</v>
      </c>
      <c r="N149" s="40">
        <f t="shared" si="315"/>
        <v>3.9531535908050377</v>
      </c>
      <c r="O149" s="40">
        <f t="shared" si="315"/>
        <v>4.8630876544096528</v>
      </c>
      <c r="P149" s="40">
        <f>P126</f>
        <v>4.0818460350508508</v>
      </c>
      <c r="Q149" s="40">
        <f t="shared" si="315"/>
        <v>3.8940322034262005</v>
      </c>
      <c r="R149" s="40"/>
      <c r="S149" s="200"/>
      <c r="T149" s="40"/>
      <c r="U149" s="40"/>
      <c r="V149" s="40">
        <f t="shared" ref="V149:AA149" si="316">V126</f>
        <v>3.7379314098585921</v>
      </c>
      <c r="W149" s="40">
        <f t="shared" si="316"/>
        <v>3.4822602115008241</v>
      </c>
      <c r="X149" s="40">
        <f t="shared" si="316"/>
        <v>3.5167850602520794</v>
      </c>
      <c r="Y149" s="40">
        <f t="shared" si="316"/>
        <v>3.3031379238034595</v>
      </c>
      <c r="Z149" s="40">
        <f t="shared" si="316"/>
        <v>3.3709944089182158</v>
      </c>
      <c r="AA149" s="40">
        <f t="shared" si="316"/>
        <v>3.405301038345725</v>
      </c>
      <c r="AB149" s="40">
        <f t="shared" ref="AB149:AG149" si="317">AB126</f>
        <v>3.8072856013718948</v>
      </c>
      <c r="AC149" s="40">
        <f t="shared" si="317"/>
        <v>3.7800486562975464</v>
      </c>
      <c r="AD149" s="40">
        <f t="shared" si="317"/>
        <v>3.3480965782131094</v>
      </c>
      <c r="AE149" s="40">
        <f t="shared" si="317"/>
        <v>4.3482120249377498</v>
      </c>
      <c r="AF149" s="40">
        <f t="shared" si="317"/>
        <v>4.3730560663722882</v>
      </c>
      <c r="AG149" s="40">
        <f t="shared" si="317"/>
        <v>4.2012953719132273</v>
      </c>
      <c r="AH149" s="40">
        <f t="shared" ref="AH149:AM149" si="318">AH126</f>
        <v>3.4198879362693906</v>
      </c>
      <c r="AI149" s="40">
        <f t="shared" si="318"/>
        <v>3.4215427853113871</v>
      </c>
      <c r="AJ149" s="40">
        <f t="shared" si="318"/>
        <v>3.2363099998921263</v>
      </c>
      <c r="AK149" s="40">
        <f t="shared" si="318"/>
        <v>3.2965140709731049</v>
      </c>
      <c r="AL149" s="40">
        <f t="shared" si="318"/>
        <v>3.287563357195578</v>
      </c>
      <c r="AM149" s="40">
        <f t="shared" si="318"/>
        <v>3.1069275528218285</v>
      </c>
      <c r="AN149" s="40">
        <f t="shared" ref="AN149:AS149" si="319">AN126</f>
        <v>3.362028330023541</v>
      </c>
      <c r="AO149" s="40">
        <f t="shared" si="319"/>
        <v>3.5449719122236352</v>
      </c>
      <c r="AP149" s="40">
        <f t="shared" si="319"/>
        <v>4.291454373872762</v>
      </c>
      <c r="AQ149" s="40">
        <f t="shared" si="319"/>
        <v>4.0689255802288393</v>
      </c>
      <c r="AR149" s="40">
        <f t="shared" si="319"/>
        <v>3.9588044909670708</v>
      </c>
      <c r="AS149" s="40">
        <f t="shared" si="319"/>
        <v>3.9233602263250131</v>
      </c>
      <c r="AT149" s="40">
        <f t="shared" ref="AT149:AY149" si="320">AT126</f>
        <v>3.8201228627580739</v>
      </c>
      <c r="AU149" s="40">
        <f t="shared" si="320"/>
        <v>3.8696630980967219</v>
      </c>
      <c r="AV149" s="40">
        <f t="shared" si="320"/>
        <v>4.2569402869979021</v>
      </c>
      <c r="AW149" s="40">
        <f t="shared" si="320"/>
        <v>4.4882750243756337</v>
      </c>
      <c r="AX149" s="40">
        <f t="shared" si="320"/>
        <v>4.8630876544096528</v>
      </c>
      <c r="AY149" s="40">
        <f t="shared" si="320"/>
        <v>4.6035123605041717</v>
      </c>
      <c r="AZ149" s="40">
        <f>AZ126</f>
        <v>4.2591893738555306</v>
      </c>
      <c r="BA149" s="40">
        <f>BA126</f>
        <v>4.1826886730380837</v>
      </c>
      <c r="BB149" s="40">
        <f>BB126</f>
        <v>4.0818460350508508</v>
      </c>
      <c r="BC149" s="40">
        <f>BC126</f>
        <v>3.8940322034262005</v>
      </c>
      <c r="BD149" s="40"/>
    </row>
    <row r="150" spans="1:56" ht="13.5" customHeight="1">
      <c r="B150" s="5" t="s">
        <v>395</v>
      </c>
      <c r="C150" s="39">
        <f t="shared" ref="C150:H150" si="321">C125</f>
        <v>2.470256024516829</v>
      </c>
      <c r="D150" s="39">
        <f t="shared" si="321"/>
        <v>2.6382951216115718</v>
      </c>
      <c r="E150" s="39">
        <f t="shared" si="321"/>
        <v>2.5385867966160442</v>
      </c>
      <c r="F150" s="39">
        <f t="shared" si="321"/>
        <v>2.6498065419446046</v>
      </c>
      <c r="G150" s="39">
        <f t="shared" si="321"/>
        <v>2.6486376585976874</v>
      </c>
      <c r="H150" s="39">
        <f t="shared" si="321"/>
        <v>2.6661606125066708</v>
      </c>
      <c r="I150" s="39">
        <f t="shared" ref="I150:Q150" si="322">I125</f>
        <v>2.6664803015130794</v>
      </c>
      <c r="J150" s="39">
        <f t="shared" si="322"/>
        <v>3.8619363363880388</v>
      </c>
      <c r="K150" s="39">
        <f t="shared" si="322"/>
        <v>2.360048729555988</v>
      </c>
      <c r="L150" s="39">
        <f t="shared" si="322"/>
        <v>2.4030047897283344</v>
      </c>
      <c r="M150" s="39">
        <f t="shared" si="322"/>
        <v>2.521082404155488</v>
      </c>
      <c r="N150" s="39">
        <f t="shared" si="322"/>
        <v>2.6088757657148212</v>
      </c>
      <c r="O150" s="39">
        <f t="shared" si="322"/>
        <v>2.7896365537920138</v>
      </c>
      <c r="P150" s="39">
        <f>P125</f>
        <v>2.4578748874738006</v>
      </c>
      <c r="Q150" s="39">
        <f t="shared" si="322"/>
        <v>2.7957612037114883</v>
      </c>
      <c r="R150" s="39"/>
      <c r="S150" s="200"/>
      <c r="T150" s="39"/>
      <c r="U150" s="39"/>
      <c r="V150" s="39">
        <f t="shared" ref="V150:AA150" si="323">V125</f>
        <v>2.6375536759766685</v>
      </c>
      <c r="W150" s="39">
        <f t="shared" si="323"/>
        <v>2.4289143091263918</v>
      </c>
      <c r="X150" s="39">
        <f t="shared" si="323"/>
        <v>2.316724977849896</v>
      </c>
      <c r="Y150" s="39">
        <f t="shared" si="323"/>
        <v>2.1920004980203718</v>
      </c>
      <c r="Z150" s="39">
        <f t="shared" si="323"/>
        <v>2.5385867966160447</v>
      </c>
      <c r="AA150" s="39">
        <f t="shared" si="323"/>
        <v>2.7983335774029876</v>
      </c>
      <c r="AB150" s="39">
        <f t="shared" ref="AB150:AG150" si="324">AB125</f>
        <v>2.8110304944218867</v>
      </c>
      <c r="AC150" s="39">
        <f t="shared" si="324"/>
        <v>2.776002740194528</v>
      </c>
      <c r="AD150" s="39">
        <f t="shared" si="324"/>
        <v>2.6498065419446046</v>
      </c>
      <c r="AE150" s="39">
        <f t="shared" si="324"/>
        <v>3.1878990407749463</v>
      </c>
      <c r="AF150" s="39">
        <f t="shared" si="324"/>
        <v>3.1595525785278289</v>
      </c>
      <c r="AG150" s="39">
        <f t="shared" si="324"/>
        <v>2.9992222687096328</v>
      </c>
      <c r="AH150" s="39">
        <f t="shared" ref="AH150:AM150" si="325">AH125</f>
        <v>2.6661606125066708</v>
      </c>
      <c r="AI150" s="39">
        <f t="shared" si="325"/>
        <v>2.683803962867735</v>
      </c>
      <c r="AJ150" s="39">
        <f t="shared" si="325"/>
        <v>2.5850875380800105</v>
      </c>
      <c r="AK150" s="39">
        <f t="shared" si="325"/>
        <v>2.7651087540901531</v>
      </c>
      <c r="AL150" s="39">
        <f t="shared" si="325"/>
        <v>2.666480301513078</v>
      </c>
      <c r="AM150" s="39">
        <f t="shared" si="325"/>
        <v>1.5500620584542506</v>
      </c>
      <c r="AN150" s="39">
        <f t="shared" ref="AN150:AS150" si="326">AN125</f>
        <v>1.7156853312791034</v>
      </c>
      <c r="AO150" s="39">
        <f t="shared" si="326"/>
        <v>1.8977596385405961</v>
      </c>
      <c r="AP150" s="39">
        <f t="shared" si="326"/>
        <v>2.3600487295559875</v>
      </c>
      <c r="AQ150" s="39">
        <f t="shared" si="326"/>
        <v>2.4122913820542924</v>
      </c>
      <c r="AR150" s="39">
        <f t="shared" si="326"/>
        <v>2.4657365168880632</v>
      </c>
      <c r="AS150" s="39">
        <f t="shared" si="326"/>
        <v>2.6176718674749537</v>
      </c>
      <c r="AT150" s="39">
        <f t="shared" ref="AT150:AY150" si="327">AT125</f>
        <v>2.521082404155488</v>
      </c>
      <c r="AU150" s="39">
        <f t="shared" si="327"/>
        <v>2.5141535980814651</v>
      </c>
      <c r="AV150" s="39">
        <f t="shared" si="327"/>
        <v>2.6743936013054848</v>
      </c>
      <c r="AW150" s="39">
        <f t="shared" si="327"/>
        <v>2.7153025400001924</v>
      </c>
      <c r="AX150" s="39">
        <f t="shared" si="327"/>
        <v>2.7896365537920134</v>
      </c>
      <c r="AY150" s="39">
        <f t="shared" si="327"/>
        <v>2.638078614251147</v>
      </c>
      <c r="AZ150" s="39">
        <f>AZ125</f>
        <v>2.5077877686372041</v>
      </c>
      <c r="BA150" s="39">
        <f>BA125</f>
        <v>2.4571352854714492</v>
      </c>
      <c r="BB150" s="39">
        <f>BB125</f>
        <v>2.4578748874738006</v>
      </c>
      <c r="BC150" s="39">
        <f>BC125</f>
        <v>2.7957612037114883</v>
      </c>
      <c r="BD150" s="39"/>
    </row>
    <row r="151" spans="1:56" s="5" customFormat="1" ht="13.5" customHeight="1">
      <c r="B151" s="5" t="s">
        <v>396</v>
      </c>
      <c r="C151" s="39">
        <f t="shared" ref="C151:H151" si="328">+C131</f>
        <v>2.1355072977512863</v>
      </c>
      <c r="D151" s="39">
        <f t="shared" si="328"/>
        <v>2.2519806115091332</v>
      </c>
      <c r="E151" s="39">
        <f t="shared" si="328"/>
        <v>2.1627268395936166</v>
      </c>
      <c r="F151" s="39">
        <f t="shared" si="328"/>
        <v>2.3842669733119739</v>
      </c>
      <c r="G151" s="39">
        <f t="shared" si="328"/>
        <v>2.383221859378899</v>
      </c>
      <c r="H151" s="39">
        <f t="shared" si="328"/>
        <v>2.4938183688970628</v>
      </c>
      <c r="I151" s="39">
        <f t="shared" ref="I151:Q151" si="329">+I131</f>
        <v>2.5534080677093991</v>
      </c>
      <c r="J151" s="39">
        <f t="shared" si="329"/>
        <v>3.7060915177234084</v>
      </c>
      <c r="K151" s="39">
        <f t="shared" si="329"/>
        <v>2.2322128564905057</v>
      </c>
      <c r="L151" s="39">
        <f t="shared" si="329"/>
        <v>2.2728421318864127</v>
      </c>
      <c r="M151" s="39">
        <f t="shared" si="329"/>
        <v>2.417968578706712</v>
      </c>
      <c r="N151" s="39">
        <f t="shared" si="329"/>
        <v>2.502171137623312</v>
      </c>
      <c r="O151" s="39">
        <f t="shared" si="329"/>
        <v>2.6773870654984209</v>
      </c>
      <c r="P151" s="39">
        <f>+P131</f>
        <v>2.1927184276172373</v>
      </c>
      <c r="Q151" s="39">
        <f t="shared" si="329"/>
        <v>2.187694904319458</v>
      </c>
      <c r="R151" s="39"/>
      <c r="S151" s="200"/>
      <c r="T151" s="39"/>
      <c r="U151" s="39"/>
      <c r="V151" s="39">
        <f t="shared" ref="V151:AA151" si="330">+V131</f>
        <v>2.2519806115091345</v>
      </c>
      <c r="W151" s="39">
        <f t="shared" si="330"/>
        <v>2.0488190696981996</v>
      </c>
      <c r="X151" s="39">
        <f t="shared" si="330"/>
        <v>1.9423817675017718</v>
      </c>
      <c r="Y151" s="39">
        <f t="shared" si="330"/>
        <v>1.7973988911399383</v>
      </c>
      <c r="Z151" s="39">
        <f t="shared" si="330"/>
        <v>2.162726839593617</v>
      </c>
      <c r="AA151" s="39">
        <f t="shared" si="330"/>
        <v>2.428460865845794</v>
      </c>
      <c r="AB151" s="39">
        <f t="shared" ref="AB151:AG151" si="331">+AB131</f>
        <v>2.4564804269019906</v>
      </c>
      <c r="AC151" s="39">
        <f t="shared" si="331"/>
        <v>2.4638796488967536</v>
      </c>
      <c r="AD151" s="39">
        <f t="shared" si="331"/>
        <v>2.3842669733119739</v>
      </c>
      <c r="AE151" s="39">
        <f t="shared" si="331"/>
        <v>2.9345053715275933</v>
      </c>
      <c r="AF151" s="39">
        <f t="shared" si="331"/>
        <v>2.9092385088380688</v>
      </c>
      <c r="AG151" s="39">
        <f t="shared" si="331"/>
        <v>2.8057234526466601</v>
      </c>
      <c r="AH151" s="39">
        <f t="shared" ref="AH151:AM151" si="332">+AH131</f>
        <v>2.4938183688970628</v>
      </c>
      <c r="AI151" s="39">
        <f t="shared" si="332"/>
        <v>2.5538687723316023</v>
      </c>
      <c r="AJ151" s="39">
        <f t="shared" si="332"/>
        <v>2.4712946126191158</v>
      </c>
      <c r="AK151" s="39">
        <f t="shared" si="332"/>
        <v>2.6633430384433057</v>
      </c>
      <c r="AL151" s="39">
        <f t="shared" si="332"/>
        <v>2.5534080677093978</v>
      </c>
      <c r="AM151" s="39">
        <f t="shared" si="332"/>
        <v>1.4517405785304049</v>
      </c>
      <c r="AN151" s="39">
        <f t="shared" ref="AN151:AS151" si="333">+AN131</f>
        <v>1.6245309235576233</v>
      </c>
      <c r="AO151" s="39">
        <f t="shared" si="333"/>
        <v>1.8136124125178654</v>
      </c>
      <c r="AP151" s="39">
        <f t="shared" si="333"/>
        <v>2.2322128564905057</v>
      </c>
      <c r="AQ151" s="39">
        <f t="shared" si="333"/>
        <v>2.296991849534693</v>
      </c>
      <c r="AR151" s="39">
        <f t="shared" si="333"/>
        <v>2.3635371993963599</v>
      </c>
      <c r="AS151" s="39">
        <f t="shared" si="333"/>
        <v>2.5120443670652297</v>
      </c>
      <c r="AT151" s="39">
        <f t="shared" ref="AT151:AY151" si="334">+AT131</f>
        <v>2.417968578706712</v>
      </c>
      <c r="AU151" s="39">
        <f t="shared" si="334"/>
        <v>2.3885373752016945</v>
      </c>
      <c r="AV151" s="39">
        <f t="shared" si="334"/>
        <v>2.538058851088679</v>
      </c>
      <c r="AW151" s="39">
        <f t="shared" si="334"/>
        <v>2.5937117044606008</v>
      </c>
      <c r="AX151" s="39">
        <f t="shared" si="334"/>
        <v>2.6773870654984204</v>
      </c>
      <c r="AY151" s="39">
        <f t="shared" si="334"/>
        <v>2.5040313843042368</v>
      </c>
      <c r="AZ151" s="39">
        <f>+AZ131</f>
        <v>2.3490757695846658</v>
      </c>
      <c r="BA151" s="39">
        <f>+BA131</f>
        <v>2.2829885100537544</v>
      </c>
      <c r="BB151" s="39">
        <f>+BB131</f>
        <v>2.1927184276172373</v>
      </c>
      <c r="BC151" s="39">
        <f>+BC131</f>
        <v>2.187694904319458</v>
      </c>
      <c r="BD151" s="39"/>
    </row>
    <row r="152" spans="1:56" s="5" customFormat="1" ht="13.5" customHeight="1"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  <c r="AT152" s="39"/>
      <c r="AU152" s="39"/>
      <c r="AV152" s="39"/>
      <c r="AW152" s="39"/>
      <c r="AX152" s="39"/>
      <c r="AY152" s="39"/>
      <c r="AZ152" s="39"/>
      <c r="BA152" s="39"/>
      <c r="BB152" s="39"/>
      <c r="BC152" s="39"/>
      <c r="BD152" s="39"/>
    </row>
    <row r="153" spans="1:56" ht="13.5" customHeight="1">
      <c r="A153" s="23"/>
      <c r="B153" s="15" t="s">
        <v>397</v>
      </c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209"/>
      <c r="S153" s="36"/>
      <c r="T153" s="36"/>
      <c r="U153" s="16"/>
      <c r="V153" s="16"/>
      <c r="W153" s="36"/>
      <c r="X153" s="36"/>
      <c r="Y153" s="16"/>
      <c r="Z153" s="1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/>
      <c r="BD153" s="270"/>
    </row>
    <row r="154" spans="1:56" s="5" customFormat="1" ht="13.5" customHeight="1">
      <c r="A154" s="56"/>
      <c r="B154" s="57" t="s">
        <v>398</v>
      </c>
      <c r="C154" s="69">
        <f t="shared" ref="C154:Q154" si="335">+C81</f>
        <v>42735</v>
      </c>
      <c r="D154" s="69">
        <f t="shared" si="335"/>
        <v>43100</v>
      </c>
      <c r="E154" s="69">
        <f t="shared" si="335"/>
        <v>43465</v>
      </c>
      <c r="F154" s="69">
        <f t="shared" si="335"/>
        <v>43830</v>
      </c>
      <c r="G154" s="69">
        <f t="shared" si="335"/>
        <v>43830</v>
      </c>
      <c r="H154" s="69">
        <f t="shared" si="335"/>
        <v>44196</v>
      </c>
      <c r="I154" s="69">
        <f t="shared" si="335"/>
        <v>44561</v>
      </c>
      <c r="J154" s="69">
        <f t="shared" si="335"/>
        <v>44561</v>
      </c>
      <c r="K154" s="69">
        <f t="shared" si="335"/>
        <v>44926</v>
      </c>
      <c r="L154" s="69">
        <f t="shared" si="335"/>
        <v>44926</v>
      </c>
      <c r="M154" s="69">
        <f t="shared" si="335"/>
        <v>45291</v>
      </c>
      <c r="N154" s="69">
        <f t="shared" si="335"/>
        <v>45291</v>
      </c>
      <c r="O154" s="69">
        <f t="shared" si="335"/>
        <v>45657</v>
      </c>
      <c r="P154" s="69">
        <f>+P81</f>
        <v>46022</v>
      </c>
      <c r="Q154" s="122">
        <f t="shared" si="335"/>
        <v>46112</v>
      </c>
      <c r="R154" s="212"/>
      <c r="S154" s="36">
        <f>+S81</f>
        <v>42825</v>
      </c>
      <c r="T154" s="36">
        <f>+T81</f>
        <v>42916</v>
      </c>
      <c r="U154" s="36">
        <f>+U81</f>
        <v>43008</v>
      </c>
      <c r="V154" s="36">
        <f>+V81</f>
        <v>43100</v>
      </c>
      <c r="W154" s="36">
        <f>+W81</f>
        <v>43190</v>
      </c>
      <c r="X154" s="36">
        <f>X3</f>
        <v>43281</v>
      </c>
      <c r="Y154" s="36">
        <f>Y3</f>
        <v>43373</v>
      </c>
      <c r="Z154" s="36">
        <f>Z3</f>
        <v>43465</v>
      </c>
      <c r="AA154" s="36">
        <f>+AA81</f>
        <v>43555</v>
      </c>
      <c r="AB154" s="36">
        <f>AB3</f>
        <v>43646</v>
      </c>
      <c r="AC154" s="36">
        <f t="shared" ref="AC154:AT154" si="336">+AC81</f>
        <v>43738</v>
      </c>
      <c r="AD154" s="36">
        <f t="shared" si="336"/>
        <v>43830</v>
      </c>
      <c r="AE154" s="36">
        <f t="shared" si="336"/>
        <v>43921</v>
      </c>
      <c r="AF154" s="36">
        <f t="shared" si="336"/>
        <v>44012</v>
      </c>
      <c r="AG154" s="36">
        <f t="shared" si="336"/>
        <v>44104</v>
      </c>
      <c r="AH154" s="36">
        <f t="shared" si="336"/>
        <v>44196</v>
      </c>
      <c r="AI154" s="36">
        <f t="shared" si="336"/>
        <v>44286</v>
      </c>
      <c r="AJ154" s="36">
        <f t="shared" si="336"/>
        <v>44377</v>
      </c>
      <c r="AK154" s="36">
        <f t="shared" si="336"/>
        <v>44469</v>
      </c>
      <c r="AL154" s="36">
        <f t="shared" si="336"/>
        <v>44561</v>
      </c>
      <c r="AM154" s="36">
        <f t="shared" si="336"/>
        <v>44651</v>
      </c>
      <c r="AN154" s="36">
        <f t="shared" si="336"/>
        <v>44742</v>
      </c>
      <c r="AO154" s="36">
        <f t="shared" si="336"/>
        <v>44834</v>
      </c>
      <c r="AP154" s="36">
        <f t="shared" si="336"/>
        <v>44926</v>
      </c>
      <c r="AQ154" s="36">
        <f t="shared" si="336"/>
        <v>45016</v>
      </c>
      <c r="AR154" s="92">
        <f t="shared" si="336"/>
        <v>45107</v>
      </c>
      <c r="AS154" s="92">
        <f t="shared" si="336"/>
        <v>45199</v>
      </c>
      <c r="AT154" s="92">
        <f t="shared" si="336"/>
        <v>45291</v>
      </c>
      <c r="AU154" s="92">
        <f t="shared" ref="AU154:AZ154" si="337">+AU81</f>
        <v>45382</v>
      </c>
      <c r="AV154" s="92">
        <f t="shared" si="337"/>
        <v>45473</v>
      </c>
      <c r="AW154" s="92">
        <f t="shared" si="337"/>
        <v>45565</v>
      </c>
      <c r="AX154" s="92">
        <f t="shared" si="337"/>
        <v>45657</v>
      </c>
      <c r="AY154" s="92">
        <f t="shared" si="337"/>
        <v>45747</v>
      </c>
      <c r="AZ154" s="92">
        <f t="shared" si="337"/>
        <v>45838</v>
      </c>
      <c r="BA154" s="92">
        <f>+BA81</f>
        <v>45930</v>
      </c>
      <c r="BB154" s="92">
        <f>+BB81</f>
        <v>46022</v>
      </c>
      <c r="BC154" s="92">
        <f>+BC81</f>
        <v>46112</v>
      </c>
      <c r="BD154" s="270"/>
    </row>
    <row r="155" spans="1:56" s="5" customFormat="1" ht="13.5" customHeight="1">
      <c r="B155" s="10"/>
      <c r="C155" s="13" t="s">
        <v>287</v>
      </c>
      <c r="D155" s="13" t="s">
        <v>287</v>
      </c>
      <c r="E155" s="13" t="s">
        <v>287</v>
      </c>
      <c r="F155" s="13" t="s">
        <v>287</v>
      </c>
      <c r="G155" s="13" t="s">
        <v>287</v>
      </c>
      <c r="H155" s="13" t="s">
        <v>287</v>
      </c>
      <c r="I155" s="13" t="s">
        <v>287</v>
      </c>
      <c r="J155" s="13" t="s">
        <v>287</v>
      </c>
      <c r="K155" s="13" t="s">
        <v>287</v>
      </c>
      <c r="L155" s="13" t="s">
        <v>287</v>
      </c>
      <c r="M155" s="13" t="s">
        <v>287</v>
      </c>
      <c r="N155" s="13" t="s">
        <v>287</v>
      </c>
      <c r="O155" s="13" t="s">
        <v>287</v>
      </c>
      <c r="P155" s="13" t="s">
        <v>287</v>
      </c>
      <c r="Q155" s="13" t="s">
        <v>287</v>
      </c>
      <c r="R155" s="207"/>
      <c r="S155" s="13" t="s">
        <v>287</v>
      </c>
      <c r="T155" s="13" t="s">
        <v>287</v>
      </c>
      <c r="U155" s="13" t="s">
        <v>287</v>
      </c>
      <c r="V155" s="13" t="s">
        <v>287</v>
      </c>
      <c r="W155" s="13" t="s">
        <v>287</v>
      </c>
      <c r="X155" s="13" t="s">
        <v>287</v>
      </c>
      <c r="Y155" s="13" t="s">
        <v>287</v>
      </c>
      <c r="Z155" s="13" t="s">
        <v>287</v>
      </c>
      <c r="AA155" s="13" t="s">
        <v>287</v>
      </c>
      <c r="AB155" s="13" t="str">
        <f>AB4</f>
        <v>Act</v>
      </c>
      <c r="AC155" s="13" t="s">
        <v>287</v>
      </c>
      <c r="AD155" s="13" t="s">
        <v>287</v>
      </c>
      <c r="AE155" s="13" t="s">
        <v>287</v>
      </c>
      <c r="AF155" s="13" t="s">
        <v>287</v>
      </c>
      <c r="AG155" s="13" t="s">
        <v>287</v>
      </c>
      <c r="AH155" s="13" t="s">
        <v>287</v>
      </c>
      <c r="AI155" s="13" t="s">
        <v>287</v>
      </c>
      <c r="AJ155" s="13" t="s">
        <v>287</v>
      </c>
      <c r="AK155" s="13" t="s">
        <v>287</v>
      </c>
      <c r="AL155" s="13" t="s">
        <v>287</v>
      </c>
      <c r="AM155" s="13" t="s">
        <v>287</v>
      </c>
      <c r="AN155" s="13" t="s">
        <v>287</v>
      </c>
      <c r="AO155" s="13" t="s">
        <v>287</v>
      </c>
      <c r="AP155" s="13" t="s">
        <v>287</v>
      </c>
      <c r="AQ155" s="13" t="s">
        <v>287</v>
      </c>
      <c r="AR155" s="13" t="s">
        <v>287</v>
      </c>
      <c r="AS155" s="13" t="s">
        <v>287</v>
      </c>
      <c r="AT155" s="13" t="s">
        <v>287</v>
      </c>
      <c r="AU155" s="13" t="s">
        <v>287</v>
      </c>
      <c r="AV155" s="13" t="s">
        <v>287</v>
      </c>
      <c r="AW155" s="13" t="s">
        <v>287</v>
      </c>
      <c r="AX155" s="13" t="s">
        <v>287</v>
      </c>
      <c r="AY155" s="13" t="s">
        <v>287</v>
      </c>
      <c r="AZ155" s="13" t="s">
        <v>287</v>
      </c>
      <c r="BA155" s="13" t="s">
        <v>287</v>
      </c>
      <c r="BB155" s="13" t="s">
        <v>287</v>
      </c>
      <c r="BC155" s="13" t="s">
        <v>287</v>
      </c>
      <c r="BD155" s="207"/>
    </row>
    <row r="156" spans="1:56" s="5" customFormat="1" ht="13.5" customHeight="1">
      <c r="A156" s="3"/>
      <c r="B156" s="3"/>
      <c r="C156" s="222" t="s">
        <v>288</v>
      </c>
      <c r="D156" s="20" t="s">
        <v>288</v>
      </c>
      <c r="E156" s="20" t="s">
        <v>288</v>
      </c>
      <c r="F156" s="20" t="s">
        <v>288</v>
      </c>
      <c r="G156" s="20" t="s">
        <v>288</v>
      </c>
      <c r="H156" s="20" t="s">
        <v>288</v>
      </c>
      <c r="I156" s="222" t="s">
        <v>288</v>
      </c>
      <c r="J156" s="20" t="s">
        <v>288</v>
      </c>
      <c r="K156" s="20" t="s">
        <v>288</v>
      </c>
      <c r="L156" s="20" t="s">
        <v>288</v>
      </c>
      <c r="M156" s="20" t="s">
        <v>288</v>
      </c>
      <c r="N156" s="20" t="s">
        <v>288</v>
      </c>
      <c r="O156" s="20" t="s">
        <v>288</v>
      </c>
      <c r="P156" s="20" t="s">
        <v>288</v>
      </c>
      <c r="Q156" s="20" t="s">
        <v>285</v>
      </c>
      <c r="R156" s="20"/>
      <c r="S156" s="20" t="s">
        <v>289</v>
      </c>
      <c r="T156" s="20" t="s">
        <v>290</v>
      </c>
      <c r="U156" s="20" t="s">
        <v>291</v>
      </c>
      <c r="V156" s="20" t="s">
        <v>292</v>
      </c>
      <c r="W156" s="20" t="s">
        <v>289</v>
      </c>
      <c r="X156" s="20" t="s">
        <v>290</v>
      </c>
      <c r="Y156" s="20" t="s">
        <v>291</v>
      </c>
      <c r="Z156" s="20" t="s">
        <v>292</v>
      </c>
      <c r="AA156" s="20" t="s">
        <v>289</v>
      </c>
      <c r="AB156" s="20" t="str">
        <f>AB5</f>
        <v>Q2</v>
      </c>
      <c r="AC156" s="20" t="s">
        <v>291</v>
      </c>
      <c r="AD156" s="20" t="s">
        <v>292</v>
      </c>
      <c r="AE156" s="20" t="s">
        <v>289</v>
      </c>
      <c r="AF156" s="20" t="s">
        <v>289</v>
      </c>
      <c r="AG156" s="20" t="s">
        <v>289</v>
      </c>
      <c r="AH156" s="20" t="s">
        <v>292</v>
      </c>
      <c r="AI156" s="20" t="s">
        <v>289</v>
      </c>
      <c r="AJ156" s="20" t="s">
        <v>290</v>
      </c>
      <c r="AK156" s="20" t="s">
        <v>289</v>
      </c>
      <c r="AL156" s="20" t="s">
        <v>292</v>
      </c>
      <c r="AM156" s="20" t="s">
        <v>289</v>
      </c>
      <c r="AN156" s="20" t="s">
        <v>290</v>
      </c>
      <c r="AO156" s="20" t="s">
        <v>291</v>
      </c>
      <c r="AP156" s="20" t="s">
        <v>292</v>
      </c>
      <c r="AQ156" s="20" t="s">
        <v>289</v>
      </c>
      <c r="AR156" s="20" t="s">
        <v>290</v>
      </c>
      <c r="AS156" s="20" t="s">
        <v>291</v>
      </c>
      <c r="AT156" s="20" t="s">
        <v>292</v>
      </c>
      <c r="AU156" s="20" t="s">
        <v>289</v>
      </c>
      <c r="AV156" s="20" t="s">
        <v>290</v>
      </c>
      <c r="AW156" s="20" t="s">
        <v>291</v>
      </c>
      <c r="AX156" s="20" t="s">
        <v>292</v>
      </c>
      <c r="AY156" s="20" t="s">
        <v>289</v>
      </c>
      <c r="AZ156" s="20" t="s">
        <v>290</v>
      </c>
      <c r="BA156" s="20" t="s">
        <v>291</v>
      </c>
      <c r="BB156" s="20" t="s">
        <v>292</v>
      </c>
      <c r="BC156" s="20" t="s">
        <v>289</v>
      </c>
      <c r="BD156" s="20"/>
    </row>
    <row r="157" spans="1:56" s="5" customFormat="1" ht="13.5" customHeight="1">
      <c r="B157" s="5" t="str">
        <f t="shared" ref="B157:Q157" si="338">+B9</f>
        <v>Net Sales including non-recurring licensing revenues</v>
      </c>
      <c r="C157" s="43">
        <f t="shared" si="338"/>
        <v>96287.400000000009</v>
      </c>
      <c r="D157" s="43">
        <f t="shared" si="338"/>
        <v>93586.200000000012</v>
      </c>
      <c r="E157" s="43">
        <f t="shared" si="338"/>
        <v>101282.3</v>
      </c>
      <c r="F157" s="43">
        <f t="shared" si="338"/>
        <v>101492.181</v>
      </c>
      <c r="G157" s="43">
        <f t="shared" si="338"/>
        <v>101757.181</v>
      </c>
      <c r="H157" s="43">
        <f t="shared" si="338"/>
        <v>97361.634000000005</v>
      </c>
      <c r="I157" s="43">
        <f t="shared" si="338"/>
        <v>103521.823</v>
      </c>
      <c r="J157" s="43">
        <f t="shared" si="338"/>
        <v>73915.399999999994</v>
      </c>
      <c r="K157" s="43">
        <f t="shared" si="338"/>
        <v>75526.608999999997</v>
      </c>
      <c r="L157" s="43">
        <f t="shared" si="338"/>
        <v>68615.767999999996</v>
      </c>
      <c r="M157" s="43">
        <f t="shared" si="338"/>
        <v>73767.899999999994</v>
      </c>
      <c r="N157" s="43">
        <f t="shared" si="338"/>
        <v>66222.835999999996</v>
      </c>
      <c r="O157" s="43">
        <f t="shared" si="338"/>
        <v>62260.864000000001</v>
      </c>
      <c r="P157" s="43">
        <f t="shared" si="338"/>
        <v>58878.15</v>
      </c>
      <c r="Q157" s="43">
        <f t="shared" si="338"/>
        <v>58417.05</v>
      </c>
      <c r="R157" s="43"/>
      <c r="S157" s="43">
        <f t="shared" ref="S157:BB157" si="339">+S9</f>
        <v>21954.299999999996</v>
      </c>
      <c r="T157" s="43">
        <f t="shared" si="339"/>
        <v>22976.799999999999</v>
      </c>
      <c r="U157" s="43">
        <f t="shared" si="339"/>
        <v>22663</v>
      </c>
      <c r="V157" s="43">
        <f t="shared" si="339"/>
        <v>25992.099999999995</v>
      </c>
      <c r="W157" s="43">
        <f t="shared" si="339"/>
        <v>22812</v>
      </c>
      <c r="X157" s="43">
        <f t="shared" si="339"/>
        <v>26701.8</v>
      </c>
      <c r="Y157" s="43">
        <f t="shared" si="339"/>
        <v>25033.199999999997</v>
      </c>
      <c r="Z157" s="43">
        <f t="shared" si="339"/>
        <v>26735.3</v>
      </c>
      <c r="AA157" s="43">
        <f t="shared" si="339"/>
        <v>23395.199999999997</v>
      </c>
      <c r="AB157" s="43">
        <f t="shared" si="339"/>
        <v>24307.600000000002</v>
      </c>
      <c r="AC157" s="43">
        <f t="shared" si="339"/>
        <v>25786.149000000001</v>
      </c>
      <c r="AD157" s="43">
        <f t="shared" si="339"/>
        <v>28003.231999999993</v>
      </c>
      <c r="AE157" s="43">
        <f t="shared" si="339"/>
        <v>23228.799999999999</v>
      </c>
      <c r="AF157" s="43">
        <f t="shared" si="339"/>
        <v>22407.200000000001</v>
      </c>
      <c r="AG157" s="43">
        <f t="shared" si="339"/>
        <v>23943</v>
      </c>
      <c r="AH157" s="43">
        <f t="shared" si="339"/>
        <v>27782.634000000005</v>
      </c>
      <c r="AI157" s="43">
        <f t="shared" si="339"/>
        <v>23828.9</v>
      </c>
      <c r="AJ157" s="43">
        <f t="shared" si="339"/>
        <v>24753.200000000001</v>
      </c>
      <c r="AK157" s="43">
        <f t="shared" si="339"/>
        <v>26127.866999999998</v>
      </c>
      <c r="AL157" s="43">
        <f t="shared" si="339"/>
        <v>28811.856000000014</v>
      </c>
      <c r="AM157" s="43">
        <f t="shared" si="339"/>
        <v>18609.2</v>
      </c>
      <c r="AN157" s="43">
        <f t="shared" si="339"/>
        <v>18533.5</v>
      </c>
      <c r="AO157" s="43">
        <f t="shared" si="339"/>
        <v>19251.7</v>
      </c>
      <c r="AP157" s="43">
        <f t="shared" si="339"/>
        <v>19132.208999999999</v>
      </c>
      <c r="AQ157" s="43">
        <f t="shared" si="339"/>
        <v>18519.633000000002</v>
      </c>
      <c r="AR157" s="43">
        <f t="shared" si="339"/>
        <v>18520.2</v>
      </c>
      <c r="AS157" s="43">
        <f t="shared" si="339"/>
        <v>16416</v>
      </c>
      <c r="AT157" s="43">
        <f t="shared" si="339"/>
        <v>20312.066999999995</v>
      </c>
      <c r="AU157" s="43">
        <f t="shared" si="339"/>
        <v>15951.4</v>
      </c>
      <c r="AV157" s="43">
        <f t="shared" si="339"/>
        <v>15720.3</v>
      </c>
      <c r="AW157" s="43">
        <f t="shared" si="339"/>
        <v>15362.8</v>
      </c>
      <c r="AX157" s="43">
        <f t="shared" si="339"/>
        <v>15226.364000000001</v>
      </c>
      <c r="AY157" s="43">
        <f t="shared" si="339"/>
        <v>14973.6</v>
      </c>
      <c r="AZ157" s="43">
        <f t="shared" si="339"/>
        <v>14729.4</v>
      </c>
      <c r="BA157" s="43">
        <f t="shared" si="339"/>
        <v>14627.085999999999</v>
      </c>
      <c r="BB157" s="43">
        <f t="shared" si="339"/>
        <v>14548.064000000006</v>
      </c>
      <c r="BC157" s="43">
        <f>+BC9</f>
        <v>14512.5</v>
      </c>
      <c r="BD157" s="43"/>
    </row>
    <row r="158" spans="1:56" s="37" customFormat="1" ht="13.5" customHeight="1">
      <c r="B158" s="25" t="s">
        <v>300</v>
      </c>
      <c r="C158" s="233"/>
      <c r="D158" s="53" t="e">
        <f>+D157/C156-1</f>
        <v>#VALUE!</v>
      </c>
      <c r="E158" s="53">
        <f>+E157/D157-1</f>
        <v>8.2235415050509575E-2</v>
      </c>
      <c r="F158" s="53">
        <f>+F157/E157-1</f>
        <v>2.0722376960238265E-3</v>
      </c>
      <c r="G158" s="53">
        <f>+G157/E157-1</f>
        <v>4.6886869670217379E-3</v>
      </c>
      <c r="H158" s="53">
        <f>+H157/G157-1</f>
        <v>-4.3196430530047736E-2</v>
      </c>
      <c r="I158" s="233">
        <f>+I157/H157-1</f>
        <v>6.3271216257525076E-2</v>
      </c>
      <c r="J158" s="233">
        <f>+J157/H157-1</f>
        <v>-0.24081594604297629</v>
      </c>
      <c r="K158" s="53">
        <f>+K157/J157-1</f>
        <v>2.1798015027991502E-2</v>
      </c>
      <c r="L158" s="53">
        <f>+L157/J157-1</f>
        <v>-7.1698617608779713E-2</v>
      </c>
      <c r="M158" s="53">
        <f>+M157/K157-1</f>
        <v>-2.3285952107289787E-2</v>
      </c>
      <c r="N158" s="53">
        <f>+N157/L157-1</f>
        <v>-3.4874374648112938E-2</v>
      </c>
      <c r="O158" s="53">
        <f>+O157/N157-1</f>
        <v>-5.9827881729498822E-2</v>
      </c>
      <c r="P158" s="53">
        <f>+P157/O157-1</f>
        <v>-5.4331305135759123E-2</v>
      </c>
      <c r="Q158" s="53"/>
      <c r="R158" s="213"/>
      <c r="S158" s="41"/>
      <c r="T158" s="41"/>
      <c r="U158" s="41"/>
      <c r="V158" s="41"/>
      <c r="W158" s="41">
        <f>W157/S157-1</f>
        <v>3.9067517525040785E-2</v>
      </c>
      <c r="X158" s="41">
        <f>X157/T157-1</f>
        <v>0.16212005153023923</v>
      </c>
      <c r="Y158" s="41">
        <f>Y157/U157-1</f>
        <v>0.10458456515024483</v>
      </c>
      <c r="Z158" s="41">
        <f>Z157/V157-1</f>
        <v>2.8593303349864208E-2</v>
      </c>
      <c r="AA158" s="41">
        <f t="shared" ref="AA158:BB158" si="340">AA157/W157-1</f>
        <v>2.556549184639656E-2</v>
      </c>
      <c r="AB158" s="41">
        <f t="shared" si="340"/>
        <v>-8.9664367196218842E-2</v>
      </c>
      <c r="AC158" s="41">
        <f t="shared" si="340"/>
        <v>3.007801639422869E-2</v>
      </c>
      <c r="AD158" s="41">
        <f t="shared" si="340"/>
        <v>4.7425388905304677E-2</v>
      </c>
      <c r="AE158" s="41">
        <f t="shared" si="340"/>
        <v>-7.1125700998494468E-3</v>
      </c>
      <c r="AF158" s="41">
        <f t="shared" si="340"/>
        <v>-7.8181309549276823E-2</v>
      </c>
      <c r="AG158" s="41">
        <f t="shared" si="340"/>
        <v>-7.1478257571535808E-2</v>
      </c>
      <c r="AH158" s="41">
        <f t="shared" si="340"/>
        <v>-7.8775907009586144E-3</v>
      </c>
      <c r="AI158" s="41">
        <f t="shared" si="340"/>
        <v>2.5834309133489608E-2</v>
      </c>
      <c r="AJ158" s="41">
        <f t="shared" si="340"/>
        <v>0.10469848977114493</v>
      </c>
      <c r="AK158" s="41">
        <f t="shared" si="340"/>
        <v>9.1252850519984996E-2</v>
      </c>
      <c r="AL158" s="41">
        <f t="shared" si="340"/>
        <v>3.7045515554788855E-2</v>
      </c>
      <c r="AM158" s="41">
        <f t="shared" si="340"/>
        <v>-0.21904913781164892</v>
      </c>
      <c r="AN158" s="41">
        <f t="shared" si="340"/>
        <v>-0.25126852285765078</v>
      </c>
      <c r="AO158" s="41">
        <f t="shared" si="340"/>
        <v>-0.26317368348514625</v>
      </c>
      <c r="AP158" s="41">
        <f t="shared" si="340"/>
        <v>-0.33596055040674955</v>
      </c>
      <c r="AQ158" s="41">
        <f>AQ157/AM157-1</f>
        <v>-4.8130494594070816E-3</v>
      </c>
      <c r="AR158" s="41">
        <f t="shared" si="340"/>
        <v>-7.176194458682339E-4</v>
      </c>
      <c r="AS158" s="41">
        <f t="shared" si="340"/>
        <v>-0.14729608294332452</v>
      </c>
      <c r="AT158" s="41">
        <f t="shared" si="340"/>
        <v>6.1668676105304687E-2</v>
      </c>
      <c r="AU158" s="41">
        <f>AU157/AQ157-1</f>
        <v>-0.13867623618675395</v>
      </c>
      <c r="AV158" s="41">
        <f t="shared" si="340"/>
        <v>-0.15118087277675196</v>
      </c>
      <c r="AW158" s="41">
        <f t="shared" si="340"/>
        <v>-6.4156920077972801E-2</v>
      </c>
      <c r="AX158" s="41">
        <f t="shared" si="340"/>
        <v>-0.25037840806649536</v>
      </c>
      <c r="AY158" s="41">
        <f>AY157/AU157-1</f>
        <v>-6.1298694785410612E-2</v>
      </c>
      <c r="AZ158" s="41">
        <f t="shared" si="340"/>
        <v>-6.3033148222362168E-2</v>
      </c>
      <c r="BA158" s="41">
        <f t="shared" si="340"/>
        <v>-4.7889317051579172E-2</v>
      </c>
      <c r="BB158" s="41">
        <f t="shared" si="340"/>
        <v>-4.454773312919591E-2</v>
      </c>
      <c r="BC158" s="41">
        <f>BC157/AY157-1</f>
        <v>-3.0794197788107103E-2</v>
      </c>
      <c r="BD158" s="214"/>
    </row>
    <row r="159" spans="1:56" s="5" customFormat="1" ht="13.5" customHeight="1" outlineLevel="1" thickBot="1">
      <c r="B159" s="22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  <c r="AI159" s="48"/>
      <c r="AJ159" s="48"/>
      <c r="AK159" s="48"/>
      <c r="AL159" s="48"/>
      <c r="AM159" s="48"/>
      <c r="AN159" s="48"/>
      <c r="AO159" s="48"/>
      <c r="AP159" s="48"/>
      <c r="AQ159" s="48"/>
      <c r="AR159" s="48"/>
      <c r="AS159" s="48"/>
      <c r="AT159" s="48"/>
      <c r="AU159" s="48"/>
      <c r="AV159" s="48"/>
      <c r="AW159" s="48"/>
      <c r="AX159" s="48"/>
      <c r="AY159" s="48"/>
      <c r="AZ159" s="48"/>
      <c r="BA159" s="48"/>
      <c r="BB159" s="48"/>
      <c r="BC159" s="48"/>
      <c r="BD159" s="7"/>
    </row>
    <row r="160" spans="1:56" s="37" customFormat="1" ht="13.5" customHeight="1" outlineLevel="1" thickTop="1">
      <c r="B160" s="25"/>
      <c r="C160" s="234"/>
      <c r="D160" s="41"/>
      <c r="E160" s="41"/>
      <c r="F160" s="41"/>
      <c r="G160" s="41"/>
      <c r="H160" s="41"/>
      <c r="I160" s="234"/>
      <c r="J160" s="41"/>
      <c r="K160" s="41"/>
      <c r="L160" s="41"/>
      <c r="M160" s="41"/>
      <c r="N160" s="41"/>
      <c r="O160" s="41"/>
      <c r="P160" s="41"/>
      <c r="Q160" s="41"/>
      <c r="R160" s="214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  <c r="BC160" s="41"/>
      <c r="BD160" s="214"/>
    </row>
    <row r="161" spans="2:56" s="37" customFormat="1" ht="13.5" customHeight="1" outlineLevel="1">
      <c r="B161" s="25"/>
      <c r="C161" s="234"/>
      <c r="D161" s="41"/>
      <c r="E161" s="41"/>
      <c r="F161" s="41"/>
      <c r="G161" s="41"/>
      <c r="H161" s="41"/>
      <c r="I161" s="234"/>
      <c r="J161" s="41"/>
      <c r="K161" s="41"/>
      <c r="L161" s="41"/>
      <c r="M161" s="41"/>
      <c r="N161" s="41"/>
      <c r="O161" s="41"/>
      <c r="P161" s="41"/>
      <c r="Q161" s="41"/>
      <c r="R161" s="214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  <c r="BC161" s="41"/>
      <c r="BD161" s="214"/>
    </row>
    <row r="162" spans="2:56" ht="13.5" customHeight="1">
      <c r="U162" s="42"/>
      <c r="V162" s="42"/>
      <c r="Z162" s="42"/>
    </row>
    <row r="163" spans="2:56" s="5" customFormat="1" ht="13.5" customHeight="1" thickBot="1">
      <c r="B163" s="22" t="str">
        <f t="shared" ref="B163:Q163" si="341">+B52</f>
        <v xml:space="preserve">Adj. EBITDA </v>
      </c>
      <c r="C163" s="48">
        <f t="shared" si="341"/>
        <v>36715.351000000002</v>
      </c>
      <c r="D163" s="48">
        <f t="shared" si="341"/>
        <v>35201.502000000015</v>
      </c>
      <c r="E163" s="48">
        <f t="shared" si="341"/>
        <v>38524.74500000001</v>
      </c>
      <c r="F163" s="48">
        <f t="shared" si="341"/>
        <v>39313.172999999995</v>
      </c>
      <c r="G163" s="48">
        <f t="shared" si="341"/>
        <v>39330.412999999993</v>
      </c>
      <c r="H163" s="48">
        <f t="shared" si="341"/>
        <v>38552.527000000009</v>
      </c>
      <c r="I163" s="48">
        <f t="shared" si="341"/>
        <v>41207.631999999998</v>
      </c>
      <c r="J163" s="48">
        <f t="shared" si="341"/>
        <v>28391.068999999996</v>
      </c>
      <c r="K163" s="48">
        <f t="shared" si="341"/>
        <v>26473.460999999999</v>
      </c>
      <c r="L163" s="48">
        <f t="shared" si="341"/>
        <v>26000.221999999994</v>
      </c>
      <c r="M163" s="48">
        <f t="shared" si="341"/>
        <v>25084.899999999998</v>
      </c>
      <c r="N163" s="48">
        <f t="shared" si="341"/>
        <v>24240.747999999989</v>
      </c>
      <c r="O163" s="48">
        <f t="shared" si="341"/>
        <v>22278.399999999994</v>
      </c>
      <c r="P163" s="48">
        <f>+P52</f>
        <v>22399.227999999999</v>
      </c>
      <c r="Q163" s="48">
        <f t="shared" si="341"/>
        <v>22741.928</v>
      </c>
      <c r="R163" s="48"/>
      <c r="S163" s="49">
        <f t="shared" ref="S163:AX163" si="342">+S52</f>
        <v>7984.6849999999949</v>
      </c>
      <c r="T163" s="49">
        <f t="shared" si="342"/>
        <v>8869.3960000000006</v>
      </c>
      <c r="U163" s="49">
        <f t="shared" si="342"/>
        <v>8787.8619999999974</v>
      </c>
      <c r="V163" s="49">
        <f t="shared" si="342"/>
        <v>9559.5589999999993</v>
      </c>
      <c r="W163" s="49">
        <f t="shared" si="342"/>
        <v>8579.0720000000001</v>
      </c>
      <c r="X163" s="49">
        <f t="shared" si="342"/>
        <v>10232.473999999998</v>
      </c>
      <c r="Y163" s="49">
        <f t="shared" si="342"/>
        <v>9812.0719999999965</v>
      </c>
      <c r="Z163" s="49">
        <f t="shared" si="342"/>
        <v>9901.1270000000077</v>
      </c>
      <c r="AA163" s="49">
        <f t="shared" si="342"/>
        <v>8875.2119999999977</v>
      </c>
      <c r="AB163" s="49">
        <f t="shared" si="342"/>
        <v>9472.2220000000034</v>
      </c>
      <c r="AC163" s="49">
        <f t="shared" si="342"/>
        <v>10306.366000000002</v>
      </c>
      <c r="AD163" s="49">
        <f t="shared" si="342"/>
        <v>10659.37299999999</v>
      </c>
      <c r="AE163" s="49">
        <f t="shared" si="342"/>
        <v>8293.1999999999989</v>
      </c>
      <c r="AF163" s="49">
        <f t="shared" si="342"/>
        <v>8220.8000000000011</v>
      </c>
      <c r="AG163" s="49">
        <f t="shared" si="342"/>
        <v>10139</v>
      </c>
      <c r="AH163" s="49">
        <f t="shared" si="342"/>
        <v>11899.527000000009</v>
      </c>
      <c r="AI163" s="49">
        <f t="shared" si="342"/>
        <v>8863.2000000000025</v>
      </c>
      <c r="AJ163" s="49">
        <f t="shared" si="342"/>
        <v>9608.7000000000025</v>
      </c>
      <c r="AK163" s="49">
        <f t="shared" si="342"/>
        <v>10472.691999999999</v>
      </c>
      <c r="AL163" s="49">
        <f t="shared" si="342"/>
        <v>12263.040000000012</v>
      </c>
      <c r="AM163" s="49">
        <f t="shared" si="342"/>
        <v>6883.1</v>
      </c>
      <c r="AN163" s="49">
        <f t="shared" si="342"/>
        <v>6760.0999999999985</v>
      </c>
      <c r="AO163" s="49">
        <f t="shared" si="342"/>
        <v>6823.3</v>
      </c>
      <c r="AP163" s="49">
        <f t="shared" si="342"/>
        <v>6006.9610000000021</v>
      </c>
      <c r="AQ163" s="49">
        <f t="shared" si="342"/>
        <v>6697.5860000000021</v>
      </c>
      <c r="AR163" s="49">
        <f t="shared" si="342"/>
        <v>6528.1000000000013</v>
      </c>
      <c r="AS163" s="49">
        <f t="shared" si="342"/>
        <v>5802.5</v>
      </c>
      <c r="AT163" s="49">
        <f t="shared" si="342"/>
        <v>6056.7139999999945</v>
      </c>
      <c r="AU163" s="49">
        <f t="shared" si="342"/>
        <v>5667.7</v>
      </c>
      <c r="AV163" s="49">
        <f t="shared" si="342"/>
        <v>5828.0999999999985</v>
      </c>
      <c r="AW163" s="49">
        <f t="shared" si="342"/>
        <v>5591.5</v>
      </c>
      <c r="AX163" s="49">
        <f t="shared" si="342"/>
        <v>5191.0999999999985</v>
      </c>
      <c r="AY163" s="49">
        <f>+AY52</f>
        <v>5540.5000000000009</v>
      </c>
      <c r="AZ163" s="49">
        <f>+AZ52</f>
        <v>5630.2999999999984</v>
      </c>
      <c r="BA163" s="49">
        <f>+BA52</f>
        <v>5577.0189999999993</v>
      </c>
      <c r="BB163" s="49">
        <f>+BB52</f>
        <v>5651.4090000000006</v>
      </c>
      <c r="BC163" s="49">
        <f>+BC52</f>
        <v>5883.2</v>
      </c>
      <c r="BD163" s="272"/>
    </row>
    <row r="164" spans="2:56" s="37" customFormat="1" ht="13.5" customHeight="1" thickTop="1">
      <c r="B164" s="25" t="s">
        <v>328</v>
      </c>
      <c r="C164" s="233"/>
      <c r="D164" s="53" t="e">
        <f>+D163/C162-1</f>
        <v>#DIV/0!</v>
      </c>
      <c r="E164" s="53">
        <f>+E163/D163-1</f>
        <v>9.4406284140943653E-2</v>
      </c>
      <c r="F164" s="53">
        <f>+F163/E163-1</f>
        <v>2.0465495618465113E-2</v>
      </c>
      <c r="G164" s="53">
        <f>+G163/E163-1</f>
        <v>2.0913000202856136E-2</v>
      </c>
      <c r="H164" s="53">
        <f>+H163/G163-1</f>
        <v>-1.9778231161721727E-2</v>
      </c>
      <c r="I164" s="53">
        <f>+I163/H163-1</f>
        <v>6.8869804565599324E-2</v>
      </c>
      <c r="J164" s="53">
        <f>+J163/H163-1</f>
        <v>-0.2635743695867202</v>
      </c>
      <c r="K164" s="53">
        <f>+K163/J163-1</f>
        <v>-6.7542648711113928E-2</v>
      </c>
      <c r="L164" s="53">
        <f>+L163/J163-1</f>
        <v>-8.4211235582570043E-2</v>
      </c>
      <c r="M164" s="53">
        <f>+M163/K163-1</f>
        <v>-5.2451056550558373E-2</v>
      </c>
      <c r="N164" s="53">
        <f>+N163/L163-1</f>
        <v>-6.7671499112584743E-2</v>
      </c>
      <c r="O164" s="53">
        <f>+O163/N163-1</f>
        <v>-8.0952452457324964E-2</v>
      </c>
      <c r="P164" s="53">
        <f>+P163/O163-1</f>
        <v>5.4235492674521435E-3</v>
      </c>
      <c r="Q164" s="53"/>
      <c r="R164" s="213"/>
      <c r="S164" s="41"/>
      <c r="T164" s="41"/>
      <c r="U164" s="41"/>
      <c r="V164" s="41"/>
      <c r="W164" s="41">
        <f>W163/S163-1</f>
        <v>7.4440882764943872E-2</v>
      </c>
      <c r="X164" s="41">
        <f>X163/T163-1</f>
        <v>0.15368329478129028</v>
      </c>
      <c r="Y164" s="41">
        <f>Y163/U163-1</f>
        <v>0.11654825713011863</v>
      </c>
      <c r="Z164" s="41">
        <f>Z163/V163-1</f>
        <v>3.573051853124265E-2</v>
      </c>
      <c r="AA164" s="41">
        <f t="shared" ref="AA164:BC164" si="343">AA163/W163-1</f>
        <v>3.4518885026258994E-2</v>
      </c>
      <c r="AB164" s="41">
        <f t="shared" si="343"/>
        <v>-7.4297965477361116E-2</v>
      </c>
      <c r="AC164" s="41">
        <f t="shared" si="343"/>
        <v>5.0376108124767782E-2</v>
      </c>
      <c r="AD164" s="41">
        <f t="shared" si="343"/>
        <v>7.6581787103627841E-2</v>
      </c>
      <c r="AE164" s="41">
        <f t="shared" si="343"/>
        <v>-6.5577250436383849E-2</v>
      </c>
      <c r="AF164" s="41">
        <f t="shared" si="343"/>
        <v>-0.13211493565079047</v>
      </c>
      <c r="AG164" s="41">
        <f t="shared" si="343"/>
        <v>-1.6239089510308613E-2</v>
      </c>
      <c r="AH164" s="41">
        <f t="shared" si="343"/>
        <v>0.11634399133983009</v>
      </c>
      <c r="AI164" s="41">
        <f t="shared" si="343"/>
        <v>6.8731008537115112E-2</v>
      </c>
      <c r="AJ164" s="41">
        <f t="shared" si="343"/>
        <v>0.16882785130400957</v>
      </c>
      <c r="AK164" s="41">
        <f t="shared" si="343"/>
        <v>3.2911726994772517E-2</v>
      </c>
      <c r="AL164" s="41">
        <f t="shared" si="343"/>
        <v>3.0548525164067586E-2</v>
      </c>
      <c r="AM164" s="41">
        <f t="shared" si="343"/>
        <v>-0.22340689592923568</v>
      </c>
      <c r="AN164" s="41">
        <f t="shared" si="343"/>
        <v>-0.29646049933914087</v>
      </c>
      <c r="AO164" s="41">
        <f t="shared" si="343"/>
        <v>-0.34846742365764216</v>
      </c>
      <c r="AP164" s="41">
        <f t="shared" si="343"/>
        <v>-0.51015726932310446</v>
      </c>
      <c r="AQ164" s="41">
        <f t="shared" si="343"/>
        <v>-2.6952100071188645E-2</v>
      </c>
      <c r="AR164" s="41">
        <f t="shared" si="343"/>
        <v>-3.4319018949423463E-2</v>
      </c>
      <c r="AS164" s="41">
        <f t="shared" si="343"/>
        <v>-0.14960502982427859</v>
      </c>
      <c r="AT164" s="41">
        <f t="shared" si="343"/>
        <v>8.2825575195164536E-3</v>
      </c>
      <c r="AU164" s="41">
        <f t="shared" si="343"/>
        <v>-0.15376973136291228</v>
      </c>
      <c r="AV164" s="41">
        <f t="shared" si="343"/>
        <v>-0.1072287495595966</v>
      </c>
      <c r="AW164" s="41">
        <f t="shared" si="343"/>
        <v>-3.6363636363636376E-2</v>
      </c>
      <c r="AX164" s="41">
        <f t="shared" si="343"/>
        <v>-0.14291809056858173</v>
      </c>
      <c r="AY164" s="41">
        <f t="shared" si="343"/>
        <v>-2.2442966282618881E-2</v>
      </c>
      <c r="AZ164" s="41">
        <f t="shared" si="343"/>
        <v>-3.3939019577563956E-2</v>
      </c>
      <c r="BA164" s="41">
        <f t="shared" si="343"/>
        <v>-2.5898238397569218E-3</v>
      </c>
      <c r="BB164" s="41">
        <f t="shared" si="343"/>
        <v>8.8672728323477168E-2</v>
      </c>
      <c r="BC164" s="41">
        <f t="shared" si="343"/>
        <v>6.1853623319194861E-2</v>
      </c>
      <c r="BD164" s="214"/>
    </row>
    <row r="165" spans="2:56" s="37" customFormat="1" ht="13.5" customHeight="1">
      <c r="B165" s="25" t="s">
        <v>329</v>
      </c>
      <c r="C165" s="233">
        <f t="shared" ref="C165:H165" si="344">C163/C157</f>
        <v>0.38131002602625058</v>
      </c>
      <c r="D165" s="53">
        <f t="shared" si="344"/>
        <v>0.37613987959763312</v>
      </c>
      <c r="E165" s="53">
        <f t="shared" si="344"/>
        <v>0.38036996592691918</v>
      </c>
      <c r="F165" s="53">
        <f t="shared" si="344"/>
        <v>0.38735174091883984</v>
      </c>
      <c r="G165" s="53">
        <f t="shared" si="344"/>
        <v>0.38651240741427373</v>
      </c>
      <c r="H165" s="53">
        <f t="shared" si="344"/>
        <v>0.39597247309961958</v>
      </c>
      <c r="I165" s="233">
        <f t="shared" ref="I165:Q165" si="345">I163/I157</f>
        <v>0.39805744147299255</v>
      </c>
      <c r="J165" s="53">
        <f t="shared" si="345"/>
        <v>0.38410221685873308</v>
      </c>
      <c r="K165" s="53">
        <f t="shared" si="345"/>
        <v>0.35051833189015541</v>
      </c>
      <c r="L165" s="53">
        <f t="shared" si="345"/>
        <v>0.37892488502059751</v>
      </c>
      <c r="M165" s="53">
        <f t="shared" si="345"/>
        <v>0.34005170270537727</v>
      </c>
      <c r="N165" s="53">
        <f t="shared" si="345"/>
        <v>0.3660481710568842</v>
      </c>
      <c r="O165" s="53">
        <f t="shared" si="345"/>
        <v>0.35782349567137384</v>
      </c>
      <c r="P165" s="53">
        <f>P163/P157</f>
        <v>0.38043362435810224</v>
      </c>
      <c r="Q165" s="53">
        <f t="shared" si="345"/>
        <v>0.38930291755574781</v>
      </c>
      <c r="R165" s="213"/>
      <c r="S165" s="53">
        <f t="shared" ref="S165:Z165" si="346">S163/S157</f>
        <v>0.36369572247805654</v>
      </c>
      <c r="T165" s="53">
        <f t="shared" si="346"/>
        <v>0.38601528498311344</v>
      </c>
      <c r="U165" s="53">
        <f t="shared" si="346"/>
        <v>0.38776252040771292</v>
      </c>
      <c r="V165" s="53">
        <f t="shared" si="346"/>
        <v>0.3677870968486579</v>
      </c>
      <c r="W165" s="53">
        <f t="shared" si="346"/>
        <v>0.37607715237594247</v>
      </c>
      <c r="X165" s="53">
        <f t="shared" si="346"/>
        <v>0.38321289201477049</v>
      </c>
      <c r="Y165" s="53">
        <f t="shared" si="346"/>
        <v>0.39196235399389601</v>
      </c>
      <c r="Z165" s="53">
        <f t="shared" si="346"/>
        <v>0.37033910223562139</v>
      </c>
      <c r="AA165" s="53">
        <f t="shared" ref="AA165:AG165" si="347">AA163/AA157</f>
        <v>0.37936038161674185</v>
      </c>
      <c r="AB165" s="53">
        <f t="shared" si="347"/>
        <v>0.38968149879050185</v>
      </c>
      <c r="AC165" s="53">
        <f t="shared" si="347"/>
        <v>0.39968612606713788</v>
      </c>
      <c r="AD165" s="53">
        <f t="shared" si="347"/>
        <v>0.38064795520745581</v>
      </c>
      <c r="AE165" s="53">
        <f t="shared" si="347"/>
        <v>0.35702231712357069</v>
      </c>
      <c r="AF165" s="53">
        <f t="shared" si="347"/>
        <v>0.36688207361919389</v>
      </c>
      <c r="AG165" s="53">
        <f t="shared" si="347"/>
        <v>0.42346406047696611</v>
      </c>
      <c r="AH165" s="53">
        <f t="shared" ref="AH165:AM165" si="348">AH163/AH157</f>
        <v>0.42830809346586818</v>
      </c>
      <c r="AI165" s="53">
        <f t="shared" si="348"/>
        <v>0.37195170570189989</v>
      </c>
      <c r="AJ165" s="53">
        <f t="shared" si="348"/>
        <v>0.38818011408625963</v>
      </c>
      <c r="AK165" s="53">
        <f t="shared" si="348"/>
        <v>0.40082460615709653</v>
      </c>
      <c r="AL165" s="53">
        <f t="shared" si="348"/>
        <v>0.42562478446372931</v>
      </c>
      <c r="AM165" s="53">
        <f t="shared" si="348"/>
        <v>0.36987619027147861</v>
      </c>
      <c r="AN165" s="53">
        <f t="shared" ref="AN165:AS165" si="349">AN163/AN157</f>
        <v>0.36475031699355215</v>
      </c>
      <c r="AO165" s="53">
        <f t="shared" si="349"/>
        <v>0.35442584291257395</v>
      </c>
      <c r="AP165" s="53">
        <f t="shared" si="349"/>
        <v>0.31397111541066702</v>
      </c>
      <c r="AQ165" s="53">
        <f t="shared" si="349"/>
        <v>0.36164787930732761</v>
      </c>
      <c r="AR165" s="53">
        <f t="shared" si="349"/>
        <v>0.35248539432619524</v>
      </c>
      <c r="AS165" s="53">
        <f t="shared" si="349"/>
        <v>0.3534661306042885</v>
      </c>
      <c r="AT165" s="53">
        <f t="shared" ref="AT165:AY165" si="350">AT163/AT157</f>
        <v>0.29818304557581443</v>
      </c>
      <c r="AU165" s="53">
        <f t="shared" si="350"/>
        <v>0.35531050566094513</v>
      </c>
      <c r="AV165" s="53">
        <f t="shared" si="350"/>
        <v>0.37073719967176194</v>
      </c>
      <c r="AW165" s="53">
        <f t="shared" si="350"/>
        <v>0.36396360038534642</v>
      </c>
      <c r="AX165" s="53">
        <f t="shared" si="350"/>
        <v>0.34092840549457493</v>
      </c>
      <c r="AY165" s="53">
        <f t="shared" si="350"/>
        <v>0.37001789816744141</v>
      </c>
      <c r="AZ165" s="53">
        <f>AZ163/AZ157</f>
        <v>0.38224910722772132</v>
      </c>
      <c r="BA165" s="53">
        <f>BA163/BA157</f>
        <v>0.38128024953158812</v>
      </c>
      <c r="BB165" s="53">
        <f>BB163/BB157</f>
        <v>0.38846467818673319</v>
      </c>
      <c r="BC165" s="53">
        <f>BC163/BC157</f>
        <v>0.40538845822566749</v>
      </c>
      <c r="BD165" s="213"/>
    </row>
    <row r="166" spans="2:56" ht="13.5" customHeight="1">
      <c r="U166" s="42"/>
      <c r="V166" s="42"/>
      <c r="Z166" s="42"/>
    </row>
    <row r="167" spans="2:56" s="5" customFormat="1" ht="13.5" customHeight="1">
      <c r="B167" s="5" t="str">
        <f t="shared" ref="B167:Q167" si="351">+B57</f>
        <v xml:space="preserve">Adjusted EBITDA </v>
      </c>
      <c r="C167" s="235">
        <f t="shared" si="351"/>
        <v>36715.351000000002</v>
      </c>
      <c r="D167" s="68">
        <f t="shared" si="351"/>
        <v>35201.502000000015</v>
      </c>
      <c r="E167" s="68">
        <f t="shared" si="351"/>
        <v>38524.74500000001</v>
      </c>
      <c r="F167" s="68">
        <f t="shared" si="351"/>
        <v>39313.172999999995</v>
      </c>
      <c r="G167" s="68">
        <f t="shared" si="351"/>
        <v>39330.412999999993</v>
      </c>
      <c r="H167" s="68">
        <f t="shared" si="351"/>
        <v>38552.527000000009</v>
      </c>
      <c r="I167" s="235">
        <f t="shared" si="351"/>
        <v>41207.631999999998</v>
      </c>
      <c r="J167" s="68">
        <f t="shared" si="351"/>
        <v>28391.068999999996</v>
      </c>
      <c r="K167" s="68">
        <f t="shared" si="351"/>
        <v>26473.460999999999</v>
      </c>
      <c r="L167" s="68">
        <f t="shared" si="351"/>
        <v>26000.221999999994</v>
      </c>
      <c r="M167" s="68">
        <f t="shared" si="351"/>
        <v>25084.899999999998</v>
      </c>
      <c r="N167" s="68">
        <f t="shared" si="351"/>
        <v>24240.747999999989</v>
      </c>
      <c r="O167" s="68">
        <f t="shared" si="351"/>
        <v>22278.399999999994</v>
      </c>
      <c r="P167" s="68">
        <f t="shared" ref="P167:P186" si="352">+P57</f>
        <v>22399.227999999999</v>
      </c>
      <c r="Q167" s="68">
        <f t="shared" si="351"/>
        <v>22741.928</v>
      </c>
      <c r="R167" s="68"/>
      <c r="S167" s="68">
        <f t="shared" ref="S167:AX167" si="353">+S57</f>
        <v>7984.6849999999949</v>
      </c>
      <c r="T167" s="68">
        <f t="shared" si="353"/>
        <v>8869.3960000000006</v>
      </c>
      <c r="U167" s="68">
        <f t="shared" si="353"/>
        <v>8787.8619999999974</v>
      </c>
      <c r="V167" s="68">
        <f t="shared" si="353"/>
        <v>9559.5589999999993</v>
      </c>
      <c r="W167" s="68">
        <f t="shared" si="353"/>
        <v>8579.0720000000001</v>
      </c>
      <c r="X167" s="68">
        <f t="shared" si="353"/>
        <v>10232.473999999998</v>
      </c>
      <c r="Y167" s="68">
        <f t="shared" si="353"/>
        <v>9812.0719999999965</v>
      </c>
      <c r="Z167" s="68">
        <f t="shared" si="353"/>
        <v>9901.1270000000077</v>
      </c>
      <c r="AA167" s="68">
        <f t="shared" si="353"/>
        <v>8875.2119999999977</v>
      </c>
      <c r="AB167" s="68">
        <f t="shared" si="353"/>
        <v>9472.2220000000034</v>
      </c>
      <c r="AC167" s="68">
        <f t="shared" si="353"/>
        <v>10306.366000000002</v>
      </c>
      <c r="AD167" s="68">
        <f t="shared" si="353"/>
        <v>10659.37299999999</v>
      </c>
      <c r="AE167" s="68">
        <f t="shared" si="353"/>
        <v>8293.1999999999989</v>
      </c>
      <c r="AF167" s="68">
        <f t="shared" si="353"/>
        <v>8220.8000000000011</v>
      </c>
      <c r="AG167" s="68">
        <f t="shared" si="353"/>
        <v>10139</v>
      </c>
      <c r="AH167" s="68">
        <f t="shared" si="353"/>
        <v>11899.527000000009</v>
      </c>
      <c r="AI167" s="68">
        <f t="shared" si="353"/>
        <v>8863.2000000000025</v>
      </c>
      <c r="AJ167" s="68">
        <f t="shared" si="353"/>
        <v>9608.7000000000025</v>
      </c>
      <c r="AK167" s="68">
        <f t="shared" si="353"/>
        <v>10472.691999999999</v>
      </c>
      <c r="AL167" s="68">
        <f t="shared" si="353"/>
        <v>12263.040000000012</v>
      </c>
      <c r="AM167" s="68">
        <f t="shared" si="353"/>
        <v>6883.1</v>
      </c>
      <c r="AN167" s="68">
        <f t="shared" si="353"/>
        <v>6760.0999999999985</v>
      </c>
      <c r="AO167" s="68">
        <f t="shared" si="353"/>
        <v>6823.3</v>
      </c>
      <c r="AP167" s="68">
        <f t="shared" si="353"/>
        <v>6006.9610000000021</v>
      </c>
      <c r="AQ167" s="68">
        <f t="shared" si="353"/>
        <v>6697.5860000000021</v>
      </c>
      <c r="AR167" s="68">
        <f t="shared" si="353"/>
        <v>6528.1000000000013</v>
      </c>
      <c r="AS167" s="68">
        <f t="shared" si="353"/>
        <v>5802.5</v>
      </c>
      <c r="AT167" s="68">
        <f t="shared" si="353"/>
        <v>6056.7139999999945</v>
      </c>
      <c r="AU167" s="68">
        <f t="shared" si="353"/>
        <v>5667.7</v>
      </c>
      <c r="AV167" s="68">
        <f t="shared" si="353"/>
        <v>5828.0999999999985</v>
      </c>
      <c r="AW167" s="68">
        <f t="shared" si="353"/>
        <v>5591.5</v>
      </c>
      <c r="AX167" s="68">
        <f t="shared" si="353"/>
        <v>5191.0999999999985</v>
      </c>
      <c r="AY167" s="68">
        <f t="shared" ref="AY167:BB186" si="354">+AY57</f>
        <v>5540.5000000000009</v>
      </c>
      <c r="AZ167" s="68">
        <f t="shared" si="354"/>
        <v>5630.2999999999984</v>
      </c>
      <c r="BA167" s="68">
        <f t="shared" si="354"/>
        <v>5577.0189999999993</v>
      </c>
      <c r="BB167" s="68">
        <f t="shared" si="354"/>
        <v>5651.4090000000006</v>
      </c>
      <c r="BC167" s="68">
        <f t="shared" ref="BC167:BC186" si="355">+BC57</f>
        <v>5883.2</v>
      </c>
      <c r="BD167" s="68"/>
    </row>
    <row r="168" spans="2:56" ht="13.5" customHeight="1">
      <c r="B168" s="1" t="str">
        <f t="shared" ref="B168:Q168" si="356">+B58</f>
        <v>Working Capital</v>
      </c>
      <c r="C168" s="236">
        <f t="shared" si="356"/>
        <v>-401.48799999999989</v>
      </c>
      <c r="D168" s="70">
        <f t="shared" si="356"/>
        <v>-6335.66</v>
      </c>
      <c r="E168" s="70">
        <f t="shared" si="356"/>
        <v>-2157.4939999999997</v>
      </c>
      <c r="F168" s="70">
        <f t="shared" si="356"/>
        <v>-5116.2129999999997</v>
      </c>
      <c r="G168" s="70">
        <f t="shared" si="356"/>
        <v>-6931.2250000000004</v>
      </c>
      <c r="H168" s="70">
        <f t="shared" si="356"/>
        <v>-1325.2200000000012</v>
      </c>
      <c r="I168" s="257">
        <f t="shared" si="356"/>
        <v>-3988.2619999999979</v>
      </c>
      <c r="J168" s="70">
        <f t="shared" si="356"/>
        <v>-3797.7549999999992</v>
      </c>
      <c r="K168" s="70">
        <f t="shared" si="356"/>
        <v>-10045.870000000001</v>
      </c>
      <c r="L168" s="70">
        <f t="shared" si="356"/>
        <v>1513.9870000000003</v>
      </c>
      <c r="M168" s="70">
        <f t="shared" si="356"/>
        <v>-3172.808</v>
      </c>
      <c r="N168" s="70">
        <f t="shared" si="356"/>
        <v>-1590.8519999999999</v>
      </c>
      <c r="O168" s="70">
        <f t="shared" si="356"/>
        <v>1434.1400000000003</v>
      </c>
      <c r="P168" s="70">
        <f t="shared" si="352"/>
        <v>4059.4439999999995</v>
      </c>
      <c r="Q168" s="70">
        <f t="shared" si="356"/>
        <v>2269.9849999999997</v>
      </c>
      <c r="R168" s="215"/>
      <c r="S168" s="70">
        <f t="shared" ref="S168:AX168" si="357">+S58</f>
        <v>907.20499999999993</v>
      </c>
      <c r="T168" s="70">
        <f t="shared" si="357"/>
        <v>-4131.134</v>
      </c>
      <c r="U168" s="70">
        <f t="shared" si="357"/>
        <v>-3359.0740000000005</v>
      </c>
      <c r="V168" s="70">
        <f t="shared" si="357"/>
        <v>247.34300000000076</v>
      </c>
      <c r="W168" s="70">
        <f t="shared" si="357"/>
        <v>490.94600000000014</v>
      </c>
      <c r="X168" s="70">
        <f t="shared" si="357"/>
        <v>-1763.173</v>
      </c>
      <c r="Y168" s="70">
        <f t="shared" si="357"/>
        <v>-1292.1489999999985</v>
      </c>
      <c r="Z168" s="70">
        <f t="shared" si="357"/>
        <v>406.8819999999987</v>
      </c>
      <c r="AA168" s="70">
        <f t="shared" si="357"/>
        <v>-4435.7199999999993</v>
      </c>
      <c r="AB168" s="70">
        <f t="shared" si="357"/>
        <v>716.3529999999987</v>
      </c>
      <c r="AC168" s="70">
        <f t="shared" si="357"/>
        <v>22.301000000001295</v>
      </c>
      <c r="AD168" s="70">
        <f t="shared" si="357"/>
        <v>-1419.1470000000004</v>
      </c>
      <c r="AE168" s="70">
        <f t="shared" si="357"/>
        <v>2327.259</v>
      </c>
      <c r="AF168" s="70">
        <f t="shared" si="357"/>
        <v>408.56800000000021</v>
      </c>
      <c r="AG168" s="70">
        <f t="shared" si="357"/>
        <v>1162.549</v>
      </c>
      <c r="AH168" s="70">
        <f t="shared" si="357"/>
        <v>-5223.5960000000014</v>
      </c>
      <c r="AI168" s="70">
        <f t="shared" si="357"/>
        <v>1073.9350000000013</v>
      </c>
      <c r="AJ168" s="70">
        <f t="shared" si="357"/>
        <v>-885.71400000000176</v>
      </c>
      <c r="AK168" s="70">
        <f t="shared" si="357"/>
        <v>-2003.1759999999986</v>
      </c>
      <c r="AL168" s="70">
        <f t="shared" si="357"/>
        <v>-2173.3069999999989</v>
      </c>
      <c r="AM168" s="70">
        <f t="shared" si="357"/>
        <v>1096.5649999999996</v>
      </c>
      <c r="AN168" s="70">
        <f t="shared" si="357"/>
        <v>-5664.6360000000013</v>
      </c>
      <c r="AO168" s="70">
        <f t="shared" si="357"/>
        <v>-289.2689999999975</v>
      </c>
      <c r="AP168" s="70">
        <f t="shared" si="357"/>
        <v>-5188.5300000000025</v>
      </c>
      <c r="AQ168" s="70">
        <f t="shared" si="357"/>
        <v>101.55700000000007</v>
      </c>
      <c r="AR168" s="70">
        <f t="shared" si="357"/>
        <v>-810.33699999999999</v>
      </c>
      <c r="AS168" s="70">
        <f t="shared" si="357"/>
        <v>-1940.644</v>
      </c>
      <c r="AT168" s="70">
        <f t="shared" si="357"/>
        <v>-523.38400000000024</v>
      </c>
      <c r="AU168" s="70">
        <f t="shared" si="357"/>
        <v>551.38599999999985</v>
      </c>
      <c r="AV168" s="70">
        <f t="shared" si="357"/>
        <v>411.56500000000005</v>
      </c>
      <c r="AW168" s="70">
        <f t="shared" si="357"/>
        <v>425.56400000000019</v>
      </c>
      <c r="AX168" s="70">
        <f t="shared" si="357"/>
        <v>45.625000000000227</v>
      </c>
      <c r="AY168" s="70">
        <f t="shared" si="354"/>
        <v>622.63199999999995</v>
      </c>
      <c r="AZ168" s="70">
        <f t="shared" si="354"/>
        <v>-894.30000000000007</v>
      </c>
      <c r="BA168" s="70">
        <f t="shared" si="354"/>
        <v>-429.61899999999991</v>
      </c>
      <c r="BB168" s="70">
        <f t="shared" si="354"/>
        <v>4760.7309999999998</v>
      </c>
      <c r="BC168" s="70">
        <f t="shared" si="355"/>
        <v>-1166.827</v>
      </c>
      <c r="BD168" s="215"/>
    </row>
    <row r="169" spans="2:56" ht="13.5" customHeight="1">
      <c r="B169" s="1" t="str">
        <f t="shared" ref="B169:Q169" si="358">+B59</f>
        <v>Taxes, net</v>
      </c>
      <c r="C169" s="236">
        <f t="shared" si="358"/>
        <v>-7268.9380000000001</v>
      </c>
      <c r="D169" s="70">
        <f t="shared" si="358"/>
        <v>-6419.9949999999999</v>
      </c>
      <c r="E169" s="70">
        <f t="shared" si="358"/>
        <v>-6722.77</v>
      </c>
      <c r="F169" s="70">
        <f t="shared" si="358"/>
        <v>-8636.6319999999996</v>
      </c>
      <c r="G169" s="70">
        <f t="shared" si="358"/>
        <v>-8816.6319999999996</v>
      </c>
      <c r="H169" s="70">
        <f t="shared" si="358"/>
        <v>-8681.4779999999992</v>
      </c>
      <c r="I169" s="257">
        <f t="shared" si="358"/>
        <v>-9166.6020000000008</v>
      </c>
      <c r="J169" s="70">
        <f t="shared" si="358"/>
        <v>-9166.6020000000008</v>
      </c>
      <c r="K169" s="70">
        <f t="shared" si="358"/>
        <v>-11818.411</v>
      </c>
      <c r="L169" s="70">
        <f t="shared" si="358"/>
        <v>-12118.013999999999</v>
      </c>
      <c r="M169" s="70">
        <f t="shared" si="358"/>
        <v>-7014.3090000000002</v>
      </c>
      <c r="N169" s="70">
        <f t="shared" si="358"/>
        <v>-7014.3090000000002</v>
      </c>
      <c r="O169" s="70">
        <f t="shared" si="358"/>
        <v>-812.21500000000003</v>
      </c>
      <c r="P169" s="70">
        <f t="shared" si="352"/>
        <v>-1934.09</v>
      </c>
      <c r="Q169" s="70">
        <f t="shared" si="358"/>
        <v>-1582.001</v>
      </c>
      <c r="R169" s="215"/>
      <c r="S169" s="70">
        <f t="shared" ref="S169:AX169" si="359">+S59</f>
        <v>-2353.1419999999998</v>
      </c>
      <c r="T169" s="70">
        <f t="shared" si="359"/>
        <v>-1497.8270000000002</v>
      </c>
      <c r="U169" s="70">
        <f t="shared" si="359"/>
        <v>-1482.5150000000003</v>
      </c>
      <c r="V169" s="70">
        <f t="shared" si="359"/>
        <v>-1086.5109999999995</v>
      </c>
      <c r="W169" s="70">
        <f t="shared" si="359"/>
        <v>-2715.8040000000001</v>
      </c>
      <c r="X169" s="70">
        <f t="shared" si="359"/>
        <v>-741.01800000000003</v>
      </c>
      <c r="Y169" s="70">
        <f t="shared" si="359"/>
        <v>-1940.1289999999999</v>
      </c>
      <c r="Z169" s="70">
        <f t="shared" si="359"/>
        <v>-1325.8190000000004</v>
      </c>
      <c r="AA169" s="70">
        <f t="shared" si="359"/>
        <v>-4463.085</v>
      </c>
      <c r="AB169" s="70">
        <f t="shared" si="359"/>
        <v>-1540.817</v>
      </c>
      <c r="AC169" s="70">
        <f t="shared" si="359"/>
        <v>-1531.5199999999995</v>
      </c>
      <c r="AD169" s="70">
        <f t="shared" si="359"/>
        <v>-1101.21</v>
      </c>
      <c r="AE169" s="70">
        <f t="shared" si="359"/>
        <v>-3807.6610000000001</v>
      </c>
      <c r="AF169" s="70">
        <f t="shared" si="359"/>
        <v>-1345.1139999999996</v>
      </c>
      <c r="AG169" s="70">
        <f t="shared" si="359"/>
        <v>-2486.7070000000003</v>
      </c>
      <c r="AH169" s="70">
        <f t="shared" si="359"/>
        <v>-1041.9959999999992</v>
      </c>
      <c r="AI169" s="70">
        <f t="shared" si="359"/>
        <v>-3143.58</v>
      </c>
      <c r="AJ169" s="70">
        <f t="shared" si="359"/>
        <v>-2202.0029999999997</v>
      </c>
      <c r="AK169" s="70">
        <f t="shared" si="359"/>
        <v>-2111.2650000000003</v>
      </c>
      <c r="AL169" s="70">
        <f t="shared" si="359"/>
        <v>-1709.7540000000008</v>
      </c>
      <c r="AM169" s="70">
        <f t="shared" si="359"/>
        <v>19097.912</v>
      </c>
      <c r="AN169" s="70">
        <f t="shared" si="359"/>
        <v>-33861.203999999998</v>
      </c>
      <c r="AO169" s="70">
        <f t="shared" si="359"/>
        <v>-494.39000000000306</v>
      </c>
      <c r="AP169" s="70">
        <f t="shared" si="359"/>
        <v>3439.2710000000006</v>
      </c>
      <c r="AQ169" s="70">
        <f t="shared" si="359"/>
        <v>-4815.8059999999996</v>
      </c>
      <c r="AR169" s="70">
        <f t="shared" si="359"/>
        <v>-1028.5700000000006</v>
      </c>
      <c r="AS169" s="70">
        <f t="shared" si="359"/>
        <v>-641.47800000000007</v>
      </c>
      <c r="AT169" s="70">
        <f t="shared" si="359"/>
        <v>-528.45499999999993</v>
      </c>
      <c r="AU169" s="70">
        <f t="shared" si="359"/>
        <v>-1511.326</v>
      </c>
      <c r="AV169" s="70">
        <f t="shared" si="359"/>
        <v>-636.48900000000003</v>
      </c>
      <c r="AW169" s="70">
        <f t="shared" si="359"/>
        <v>539.6880000000001</v>
      </c>
      <c r="AX169" s="70">
        <f t="shared" si="359"/>
        <v>795.91199999999992</v>
      </c>
      <c r="AY169" s="70">
        <f t="shared" si="354"/>
        <v>-1007.745</v>
      </c>
      <c r="AZ169" s="70">
        <f t="shared" si="354"/>
        <v>-27.027999999999906</v>
      </c>
      <c r="BA169" s="70">
        <f t="shared" si="354"/>
        <v>-651.7589999999999</v>
      </c>
      <c r="BB169" s="70">
        <f t="shared" si="354"/>
        <v>-247.55800000000022</v>
      </c>
      <c r="BC169" s="70">
        <f t="shared" si="355"/>
        <v>-655.65599999999995</v>
      </c>
      <c r="BD169" s="215"/>
    </row>
    <row r="170" spans="2:56" ht="13.5" customHeight="1">
      <c r="B170" s="1" t="str">
        <f t="shared" ref="B170:Q170" si="360">+B60</f>
        <v>Cash interest paid</v>
      </c>
      <c r="C170" s="236">
        <f t="shared" si="360"/>
        <v>-7633.0259999999998</v>
      </c>
      <c r="D170" s="70">
        <f t="shared" si="360"/>
        <v>-8860.8809999999994</v>
      </c>
      <c r="E170" s="70">
        <f t="shared" si="360"/>
        <v>-10129.304</v>
      </c>
      <c r="F170" s="70">
        <f t="shared" si="360"/>
        <v>-9170.3359999999993</v>
      </c>
      <c r="G170" s="70">
        <f t="shared" si="360"/>
        <v>-9180.1409999999996</v>
      </c>
      <c r="H170" s="70">
        <f t="shared" si="360"/>
        <v>-9455.3870000000006</v>
      </c>
      <c r="I170" s="257">
        <f t="shared" si="360"/>
        <v>-8258.2430000000004</v>
      </c>
      <c r="J170" s="70">
        <f t="shared" si="360"/>
        <v>-8258.2430000000004</v>
      </c>
      <c r="K170" s="70">
        <f t="shared" si="360"/>
        <v>-8893</v>
      </c>
      <c r="L170" s="70">
        <f t="shared" si="360"/>
        <v>-8893</v>
      </c>
      <c r="M170" s="70">
        <f t="shared" si="360"/>
        <v>-7553.9380000000001</v>
      </c>
      <c r="N170" s="70">
        <f t="shared" si="360"/>
        <v>-7553.9380000000001</v>
      </c>
      <c r="O170" s="70">
        <f t="shared" si="360"/>
        <v>-7417.915</v>
      </c>
      <c r="P170" s="70">
        <f t="shared" si="352"/>
        <v>-6816</v>
      </c>
      <c r="Q170" s="70">
        <f t="shared" si="360"/>
        <v>-6347</v>
      </c>
      <c r="R170" s="215"/>
      <c r="S170" s="70">
        <f t="shared" ref="S170:AX170" si="361">+S60</f>
        <v>-2368.3820000000001</v>
      </c>
      <c r="T170" s="70">
        <f t="shared" si="361"/>
        <v>-2179.15</v>
      </c>
      <c r="U170" s="70">
        <f t="shared" si="361"/>
        <v>-2140.8080000000004</v>
      </c>
      <c r="V170" s="70">
        <f t="shared" si="361"/>
        <v>-2172.5409999999997</v>
      </c>
      <c r="W170" s="70">
        <f t="shared" si="361"/>
        <v>-2360.3139999999999</v>
      </c>
      <c r="X170" s="70">
        <f t="shared" si="361"/>
        <v>-2097.6420000000003</v>
      </c>
      <c r="Y170" s="70">
        <f t="shared" si="361"/>
        <v>-2556.4090000000001</v>
      </c>
      <c r="Z170" s="70">
        <f t="shared" si="361"/>
        <v>-3114.9390000000008</v>
      </c>
      <c r="AA170" s="70">
        <f t="shared" si="361"/>
        <v>-1467.99</v>
      </c>
      <c r="AB170" s="70">
        <f t="shared" si="361"/>
        <v>-2123.1580000000004</v>
      </c>
      <c r="AC170" s="70">
        <f t="shared" si="361"/>
        <v>-2400.09</v>
      </c>
      <c r="AD170" s="70">
        <f t="shared" si="361"/>
        <v>-3179.097999999999</v>
      </c>
      <c r="AE170" s="70">
        <f t="shared" si="361"/>
        <v>-2144.3139999999999</v>
      </c>
      <c r="AF170" s="70">
        <f t="shared" si="361"/>
        <v>-2444.2750000000001</v>
      </c>
      <c r="AG170" s="70">
        <f t="shared" si="361"/>
        <v>-2278.5340000000001</v>
      </c>
      <c r="AH170" s="70">
        <f t="shared" si="361"/>
        <v>-2588.2640000000006</v>
      </c>
      <c r="AI170" s="70">
        <f t="shared" si="361"/>
        <v>-1998</v>
      </c>
      <c r="AJ170" s="70">
        <f t="shared" si="361"/>
        <v>-2161.7359999999999</v>
      </c>
      <c r="AK170" s="70">
        <f t="shared" si="361"/>
        <v>-1875.2640000000001</v>
      </c>
      <c r="AL170" s="70">
        <f t="shared" si="361"/>
        <v>-2223.2430000000004</v>
      </c>
      <c r="AM170" s="70">
        <f t="shared" si="361"/>
        <v>-2706.163</v>
      </c>
      <c r="AN170" s="70">
        <f t="shared" si="361"/>
        <v>-2318.3610000000003</v>
      </c>
      <c r="AO170" s="70">
        <f t="shared" si="361"/>
        <v>-1913.4759999999992</v>
      </c>
      <c r="AP170" s="70">
        <f t="shared" si="361"/>
        <v>-1955</v>
      </c>
      <c r="AQ170" s="70">
        <f t="shared" si="361"/>
        <v>-2111.1990000000001</v>
      </c>
      <c r="AR170" s="70">
        <f t="shared" si="361"/>
        <v>-2023.087</v>
      </c>
      <c r="AS170" s="70">
        <f t="shared" si="361"/>
        <v>-2107.7140000000004</v>
      </c>
      <c r="AT170" s="70">
        <f t="shared" si="361"/>
        <v>-1311.9379999999992</v>
      </c>
      <c r="AU170" s="70">
        <f t="shared" si="361"/>
        <v>-2016.3879999999999</v>
      </c>
      <c r="AV170" s="70">
        <f t="shared" si="361"/>
        <v>-1725.7180000000003</v>
      </c>
      <c r="AW170" s="70">
        <f t="shared" si="361"/>
        <v>-1744.8939999999998</v>
      </c>
      <c r="AX170" s="70">
        <f t="shared" si="361"/>
        <v>-1930.915</v>
      </c>
      <c r="AY170" s="70">
        <f t="shared" si="354"/>
        <v>-2102</v>
      </c>
      <c r="AZ170" s="70">
        <f t="shared" si="354"/>
        <v>-1940.2930000000001</v>
      </c>
      <c r="BA170" s="70">
        <f t="shared" si="354"/>
        <v>-1338.7069999999999</v>
      </c>
      <c r="BB170" s="70">
        <f t="shared" si="354"/>
        <v>-1435</v>
      </c>
      <c r="BC170" s="70">
        <f t="shared" si="355"/>
        <v>-1633</v>
      </c>
      <c r="BD170" s="215"/>
    </row>
    <row r="171" spans="2:56" ht="13.5" customHeight="1">
      <c r="B171" s="1" t="str">
        <f t="shared" ref="B171:Q171" si="362">+B61</f>
        <v>Cash interest received</v>
      </c>
      <c r="C171" s="236">
        <f t="shared" si="362"/>
        <v>0</v>
      </c>
      <c r="D171" s="70">
        <f t="shared" si="362"/>
        <v>0</v>
      </c>
      <c r="E171" s="70">
        <f t="shared" si="362"/>
        <v>0</v>
      </c>
      <c r="F171" s="70">
        <f t="shared" si="362"/>
        <v>0</v>
      </c>
      <c r="G171" s="70">
        <f t="shared" si="362"/>
        <v>0</v>
      </c>
      <c r="H171" s="70">
        <f t="shared" si="362"/>
        <v>0</v>
      </c>
      <c r="I171" s="257">
        <f t="shared" si="362"/>
        <v>0</v>
      </c>
      <c r="J171" s="70">
        <f t="shared" si="362"/>
        <v>0</v>
      </c>
      <c r="K171" s="70">
        <f t="shared" si="362"/>
        <v>0</v>
      </c>
      <c r="L171" s="70">
        <f t="shared" si="362"/>
        <v>0</v>
      </c>
      <c r="M171" s="70">
        <f t="shared" si="362"/>
        <v>0</v>
      </c>
      <c r="N171" s="70">
        <f t="shared" si="362"/>
        <v>0</v>
      </c>
      <c r="O171" s="70">
        <f t="shared" si="362"/>
        <v>0</v>
      </c>
      <c r="P171" s="70">
        <f t="shared" si="352"/>
        <v>0</v>
      </c>
      <c r="Q171" s="70">
        <f t="shared" si="362"/>
        <v>88.782000000000011</v>
      </c>
      <c r="R171" s="215"/>
      <c r="S171" s="70">
        <f t="shared" ref="S171:AX171" si="363">+S61</f>
        <v>0</v>
      </c>
      <c r="T171" s="70">
        <f t="shared" si="363"/>
        <v>0</v>
      </c>
      <c r="U171" s="70">
        <f t="shared" si="363"/>
        <v>0</v>
      </c>
      <c r="V171" s="70">
        <f t="shared" si="363"/>
        <v>0</v>
      </c>
      <c r="W171" s="70">
        <f t="shared" si="363"/>
        <v>0</v>
      </c>
      <c r="X171" s="70">
        <f t="shared" si="363"/>
        <v>0</v>
      </c>
      <c r="Y171" s="70">
        <f t="shared" si="363"/>
        <v>0</v>
      </c>
      <c r="Z171" s="70">
        <f t="shared" si="363"/>
        <v>0</v>
      </c>
      <c r="AA171" s="70">
        <f t="shared" si="363"/>
        <v>0</v>
      </c>
      <c r="AB171" s="70">
        <f t="shared" si="363"/>
        <v>0</v>
      </c>
      <c r="AC171" s="70">
        <f t="shared" si="363"/>
        <v>0</v>
      </c>
      <c r="AD171" s="70">
        <f t="shared" si="363"/>
        <v>0</v>
      </c>
      <c r="AE171" s="70">
        <f t="shared" si="363"/>
        <v>0</v>
      </c>
      <c r="AF171" s="70">
        <f t="shared" si="363"/>
        <v>0</v>
      </c>
      <c r="AG171" s="70">
        <f t="shared" si="363"/>
        <v>0</v>
      </c>
      <c r="AH171" s="70">
        <f t="shared" si="363"/>
        <v>0</v>
      </c>
      <c r="AI171" s="70">
        <f t="shared" si="363"/>
        <v>0</v>
      </c>
      <c r="AJ171" s="70">
        <f t="shared" si="363"/>
        <v>0</v>
      </c>
      <c r="AK171" s="70">
        <f t="shared" si="363"/>
        <v>0</v>
      </c>
      <c r="AL171" s="70">
        <f t="shared" si="363"/>
        <v>0</v>
      </c>
      <c r="AM171" s="70">
        <f t="shared" si="363"/>
        <v>109.581</v>
      </c>
      <c r="AN171" s="70">
        <f t="shared" si="363"/>
        <v>0</v>
      </c>
      <c r="AO171" s="70">
        <f t="shared" si="363"/>
        <v>-109.581</v>
      </c>
      <c r="AP171" s="70">
        <f t="shared" si="363"/>
        <v>0</v>
      </c>
      <c r="AQ171" s="70">
        <f t="shared" si="363"/>
        <v>204.59700000000001</v>
      </c>
      <c r="AR171" s="70">
        <f t="shared" si="363"/>
        <v>0</v>
      </c>
      <c r="AS171" s="70">
        <f t="shared" si="363"/>
        <v>-204.59700000000001</v>
      </c>
      <c r="AT171" s="70">
        <f t="shared" si="363"/>
        <v>0</v>
      </c>
      <c r="AU171" s="70">
        <f t="shared" si="363"/>
        <v>-123.203</v>
      </c>
      <c r="AV171" s="70">
        <f t="shared" si="363"/>
        <v>-182.06499999999997</v>
      </c>
      <c r="AW171" s="70">
        <f t="shared" si="363"/>
        <v>-242.90100000000004</v>
      </c>
      <c r="AX171" s="70">
        <f t="shared" si="363"/>
        <v>548.16899999999998</v>
      </c>
      <c r="AY171" s="70">
        <f t="shared" si="354"/>
        <v>-138.256</v>
      </c>
      <c r="AZ171" s="70">
        <f t="shared" si="354"/>
        <v>-68.252999999999986</v>
      </c>
      <c r="BA171" s="70">
        <f t="shared" si="354"/>
        <v>-139.071</v>
      </c>
      <c r="BB171" s="70">
        <f t="shared" si="354"/>
        <v>345.58</v>
      </c>
      <c r="BC171" s="70">
        <f t="shared" si="355"/>
        <v>-49.473999999999997</v>
      </c>
      <c r="BD171" s="215"/>
    </row>
    <row r="172" spans="2:56" s="5" customFormat="1" ht="13.5" customHeight="1" thickBot="1">
      <c r="B172" s="22" t="str">
        <f t="shared" ref="B172:Q172" si="364">+B62</f>
        <v xml:space="preserve">Net cash from operations </v>
      </c>
      <c r="C172" s="237">
        <f t="shared" si="364"/>
        <v>21411.899000000005</v>
      </c>
      <c r="D172" s="71">
        <f t="shared" si="364"/>
        <v>13584.966000000017</v>
      </c>
      <c r="E172" s="71">
        <f t="shared" si="364"/>
        <v>19515.177000000011</v>
      </c>
      <c r="F172" s="71">
        <f t="shared" si="364"/>
        <v>16389.991999999995</v>
      </c>
      <c r="G172" s="71">
        <f t="shared" si="364"/>
        <v>14402.414999999997</v>
      </c>
      <c r="H172" s="71">
        <f t="shared" si="364"/>
        <v>19090.44200000001</v>
      </c>
      <c r="I172" s="237">
        <f t="shared" si="364"/>
        <v>19794.525000000001</v>
      </c>
      <c r="J172" s="71">
        <f t="shared" si="364"/>
        <v>7168.4689999999973</v>
      </c>
      <c r="K172" s="71">
        <f t="shared" si="364"/>
        <v>-4283.82</v>
      </c>
      <c r="L172" s="71">
        <f t="shared" si="364"/>
        <v>6503.1949999999961</v>
      </c>
      <c r="M172" s="71">
        <f t="shared" si="364"/>
        <v>7343.8449999999957</v>
      </c>
      <c r="N172" s="71">
        <f t="shared" si="364"/>
        <v>8081.6489999999885</v>
      </c>
      <c r="O172" s="71">
        <f t="shared" si="364"/>
        <v>15482.409999999993</v>
      </c>
      <c r="P172" s="71">
        <f t="shared" si="352"/>
        <v>17708.581999999999</v>
      </c>
      <c r="Q172" s="71">
        <f t="shared" si="364"/>
        <v>17171.694</v>
      </c>
      <c r="R172" s="71"/>
      <c r="S172" s="71">
        <f t="shared" ref="S172:AX172" si="365">+S62</f>
        <v>4170.3659999999963</v>
      </c>
      <c r="T172" s="71">
        <f t="shared" si="365"/>
        <v>1061.2850000000003</v>
      </c>
      <c r="U172" s="71">
        <f t="shared" si="365"/>
        <v>1805.4649999999961</v>
      </c>
      <c r="V172" s="71">
        <f t="shared" si="365"/>
        <v>6547.85</v>
      </c>
      <c r="W172" s="71">
        <f t="shared" si="365"/>
        <v>3993.9</v>
      </c>
      <c r="X172" s="71">
        <f t="shared" si="365"/>
        <v>5630.6409999999978</v>
      </c>
      <c r="Y172" s="71">
        <f t="shared" si="365"/>
        <v>4023.3849999999989</v>
      </c>
      <c r="Z172" s="71">
        <f t="shared" si="365"/>
        <v>5867.2510000000057</v>
      </c>
      <c r="AA172" s="71">
        <f t="shared" si="365"/>
        <v>-1491.5830000000017</v>
      </c>
      <c r="AB172" s="71">
        <f t="shared" si="365"/>
        <v>6524.6000000000013</v>
      </c>
      <c r="AC172" s="71">
        <f t="shared" si="365"/>
        <v>6397.0570000000043</v>
      </c>
      <c r="AD172" s="71">
        <f t="shared" si="365"/>
        <v>4959.9179999999906</v>
      </c>
      <c r="AE172" s="71">
        <f t="shared" si="365"/>
        <v>4668.4839999999986</v>
      </c>
      <c r="AF172" s="71">
        <f t="shared" si="365"/>
        <v>4839.979000000003</v>
      </c>
      <c r="AG172" s="71">
        <f t="shared" si="365"/>
        <v>6536.3079999999991</v>
      </c>
      <c r="AH172" s="71">
        <f t="shared" si="365"/>
        <v>3045.671000000008</v>
      </c>
      <c r="AI172" s="71">
        <f t="shared" si="365"/>
        <v>4795.5550000000039</v>
      </c>
      <c r="AJ172" s="71">
        <f t="shared" si="365"/>
        <v>4359.2470000000012</v>
      </c>
      <c r="AK172" s="71">
        <f t="shared" si="365"/>
        <v>4482.9869999999992</v>
      </c>
      <c r="AL172" s="71">
        <f t="shared" si="365"/>
        <v>6156.7360000000117</v>
      </c>
      <c r="AM172" s="71">
        <f t="shared" si="365"/>
        <v>24480.994999999999</v>
      </c>
      <c r="AN172" s="71">
        <f t="shared" si="365"/>
        <v>-35084.101000000002</v>
      </c>
      <c r="AO172" s="71">
        <f t="shared" si="365"/>
        <v>4016.5840000000007</v>
      </c>
      <c r="AP172" s="71">
        <f t="shared" si="365"/>
        <v>2302.7020000000002</v>
      </c>
      <c r="AQ172" s="71">
        <f t="shared" si="365"/>
        <v>76.735000000002202</v>
      </c>
      <c r="AR172" s="71">
        <f t="shared" si="365"/>
        <v>2666.1060000000002</v>
      </c>
      <c r="AS172" s="71">
        <f t="shared" si="365"/>
        <v>908.06699999999933</v>
      </c>
      <c r="AT172" s="71">
        <f t="shared" si="365"/>
        <v>3692.9369999999954</v>
      </c>
      <c r="AU172" s="71">
        <f t="shared" si="365"/>
        <v>2568.1689999999994</v>
      </c>
      <c r="AV172" s="71">
        <f t="shared" si="365"/>
        <v>3695.3929999999991</v>
      </c>
      <c r="AW172" s="71">
        <f t="shared" si="365"/>
        <v>4568.9570000000003</v>
      </c>
      <c r="AX172" s="71">
        <f t="shared" si="365"/>
        <v>4649.8909999999987</v>
      </c>
      <c r="AY172" s="71">
        <f t="shared" si="354"/>
        <v>2915.1310000000008</v>
      </c>
      <c r="AZ172" s="71">
        <f t="shared" si="354"/>
        <v>2700.4259999999977</v>
      </c>
      <c r="BA172" s="71">
        <f t="shared" si="354"/>
        <v>3017.8629999999998</v>
      </c>
      <c r="BB172" s="71">
        <f t="shared" si="354"/>
        <v>9075.1619999999984</v>
      </c>
      <c r="BC172" s="71">
        <f t="shared" si="355"/>
        <v>2378.2429999999995</v>
      </c>
      <c r="BD172" s="267"/>
    </row>
    <row r="173" spans="2:56" s="5" customFormat="1" ht="13.5" customHeight="1" thickTop="1">
      <c r="B173" s="1" t="str">
        <f t="shared" ref="B173:Q173" si="366">+B63</f>
        <v>Net Capex</v>
      </c>
      <c r="C173" s="238">
        <f t="shared" si="366"/>
        <v>-26370.374</v>
      </c>
      <c r="D173" s="72">
        <f t="shared" si="366"/>
        <v>-15848.094999999999</v>
      </c>
      <c r="E173" s="72">
        <f t="shared" si="366"/>
        <v>-17474.96</v>
      </c>
      <c r="F173" s="72">
        <f t="shared" si="366"/>
        <v>-18126.780999999999</v>
      </c>
      <c r="G173" s="72">
        <f t="shared" si="366"/>
        <v>-18126.780999999999</v>
      </c>
      <c r="H173" s="72">
        <f t="shared" si="366"/>
        <v>-18611.321</v>
      </c>
      <c r="I173" s="238">
        <f t="shared" si="366"/>
        <v>-22595.423000000003</v>
      </c>
      <c r="J173" s="72">
        <f t="shared" si="366"/>
        <v>-22595.423000000003</v>
      </c>
      <c r="K173" s="72">
        <f t="shared" si="366"/>
        <v>-17051.223999999998</v>
      </c>
      <c r="L173" s="72">
        <f t="shared" si="366"/>
        <v>-17051.223999999998</v>
      </c>
      <c r="M173" s="72">
        <f t="shared" si="366"/>
        <v>-14659.143</v>
      </c>
      <c r="N173" s="72">
        <f t="shared" si="366"/>
        <v>-14659.143</v>
      </c>
      <c r="O173" s="72">
        <f t="shared" si="366"/>
        <v>-8469.4240000000009</v>
      </c>
      <c r="P173" s="72">
        <f t="shared" si="352"/>
        <v>-12053.329</v>
      </c>
      <c r="Q173" s="72">
        <f t="shared" si="366"/>
        <v>-12718.359</v>
      </c>
      <c r="R173" s="64"/>
      <c r="S173" s="72">
        <f t="shared" ref="S173:AX173" si="367">+S63</f>
        <v>-4363.2469999999994</v>
      </c>
      <c r="T173" s="72">
        <f t="shared" si="367"/>
        <v>-2998.0820000000003</v>
      </c>
      <c r="U173" s="72">
        <f t="shared" si="367"/>
        <v>-3572.6689999999999</v>
      </c>
      <c r="V173" s="72">
        <f t="shared" si="367"/>
        <v>-4914.0969999999998</v>
      </c>
      <c r="W173" s="72">
        <f t="shared" si="367"/>
        <v>-2846.4759999999997</v>
      </c>
      <c r="X173" s="72">
        <f t="shared" si="367"/>
        <v>-3764.384</v>
      </c>
      <c r="Y173" s="72">
        <f t="shared" si="367"/>
        <v>-5173.2849999999989</v>
      </c>
      <c r="Z173" s="72">
        <f t="shared" si="367"/>
        <v>-5690.8149999999996</v>
      </c>
      <c r="AA173" s="72">
        <f t="shared" si="367"/>
        <v>-4118.2849999999999</v>
      </c>
      <c r="AB173" s="72">
        <f t="shared" si="367"/>
        <v>-3457.7299999999996</v>
      </c>
      <c r="AC173" s="72">
        <f t="shared" si="367"/>
        <v>-4193.2970000000023</v>
      </c>
      <c r="AD173" s="72">
        <f t="shared" si="367"/>
        <v>-6357.4689999999973</v>
      </c>
      <c r="AE173" s="72">
        <f t="shared" si="367"/>
        <v>-4302.5169999999998</v>
      </c>
      <c r="AF173" s="72">
        <f t="shared" si="367"/>
        <v>-4344.0850000000009</v>
      </c>
      <c r="AG173" s="72">
        <f t="shared" si="367"/>
        <v>-5189.6989999999987</v>
      </c>
      <c r="AH173" s="72">
        <f t="shared" si="367"/>
        <v>-4775.0200000000004</v>
      </c>
      <c r="AI173" s="72">
        <f t="shared" si="367"/>
        <v>-5269.8550000000005</v>
      </c>
      <c r="AJ173" s="72">
        <f t="shared" si="367"/>
        <v>-5313.9010000000007</v>
      </c>
      <c r="AK173" s="72">
        <f t="shared" si="367"/>
        <v>-6791.2579999999971</v>
      </c>
      <c r="AL173" s="72">
        <f t="shared" si="367"/>
        <v>-5220.4090000000042</v>
      </c>
      <c r="AM173" s="72">
        <f t="shared" si="367"/>
        <v>-4550.0029999999997</v>
      </c>
      <c r="AN173" s="72">
        <f t="shared" si="367"/>
        <v>-4707.536000000001</v>
      </c>
      <c r="AO173" s="72">
        <f t="shared" si="367"/>
        <v>-3978.8839999999991</v>
      </c>
      <c r="AP173" s="72">
        <f t="shared" si="367"/>
        <v>-3814.8009999999977</v>
      </c>
      <c r="AQ173" s="72">
        <f t="shared" si="367"/>
        <v>-3922.5659999999998</v>
      </c>
      <c r="AR173" s="72">
        <f t="shared" si="367"/>
        <v>11482.163</v>
      </c>
      <c r="AS173" s="72">
        <f t="shared" si="367"/>
        <v>-18233.080000000002</v>
      </c>
      <c r="AT173" s="72">
        <f t="shared" si="367"/>
        <v>-3985.66</v>
      </c>
      <c r="AU173" s="72">
        <f t="shared" si="367"/>
        <v>-2037.163</v>
      </c>
      <c r="AV173" s="72">
        <f t="shared" si="367"/>
        <v>-1252.7779999999998</v>
      </c>
      <c r="AW173" s="72">
        <f t="shared" si="367"/>
        <v>-2338.0080000000003</v>
      </c>
      <c r="AX173" s="72">
        <f t="shared" si="367"/>
        <v>-2841.4750000000004</v>
      </c>
      <c r="AY173" s="72">
        <f t="shared" si="354"/>
        <v>-1773.1420000000001</v>
      </c>
      <c r="AZ173" s="72">
        <f t="shared" si="354"/>
        <v>-2081.3209999999999</v>
      </c>
      <c r="BA173" s="72">
        <f t="shared" si="354"/>
        <v>-3592.2299999999996</v>
      </c>
      <c r="BB173" s="72">
        <f t="shared" si="354"/>
        <v>-4606.6360000000004</v>
      </c>
      <c r="BC173" s="72">
        <f t="shared" si="355"/>
        <v>-2438.172</v>
      </c>
      <c r="BD173" s="64"/>
    </row>
    <row r="174" spans="2:56" ht="13.5" customHeight="1">
      <c r="B174" s="1" t="str">
        <f t="shared" ref="B174:Q174" si="368">+B64</f>
        <v>Purchase and development of intangible assets</v>
      </c>
      <c r="C174" s="238">
        <f t="shared" si="368"/>
        <v>-2472.1239999999998</v>
      </c>
      <c r="D174" s="72">
        <f t="shared" si="368"/>
        <v>-1777.59</v>
      </c>
      <c r="E174" s="72">
        <f t="shared" si="368"/>
        <v>-7774.2809999999999</v>
      </c>
      <c r="F174" s="72">
        <f t="shared" si="368"/>
        <v>-2093.5459999999998</v>
      </c>
      <c r="G174" s="72">
        <f t="shared" si="368"/>
        <v>-2106.75</v>
      </c>
      <c r="H174" s="72">
        <f t="shared" si="368"/>
        <v>-1235.1769999999999</v>
      </c>
      <c r="I174" s="238">
        <f t="shared" si="368"/>
        <v>-1899.4</v>
      </c>
      <c r="J174" s="72">
        <f t="shared" si="368"/>
        <v>-1899.4</v>
      </c>
      <c r="K174" s="72">
        <f t="shared" si="368"/>
        <v>-1867</v>
      </c>
      <c r="L174" s="72">
        <f t="shared" si="368"/>
        <v>-1807.183</v>
      </c>
      <c r="M174" s="72">
        <f t="shared" si="368"/>
        <v>-1869.7159999999999</v>
      </c>
      <c r="N174" s="72">
        <f t="shared" si="368"/>
        <v>-1869.7070000000001</v>
      </c>
      <c r="O174" s="72">
        <f t="shared" si="368"/>
        <v>-1378.854</v>
      </c>
      <c r="P174" s="72">
        <f t="shared" si="352"/>
        <v>-1287.0999999999999</v>
      </c>
      <c r="Q174" s="72">
        <f t="shared" si="368"/>
        <v>-1244.53</v>
      </c>
      <c r="R174" s="64"/>
      <c r="S174" s="72">
        <f t="shared" ref="S174:AX174" si="369">+S64</f>
        <v>-255.447</v>
      </c>
      <c r="T174" s="72">
        <f t="shared" si="369"/>
        <v>-326.41200000000003</v>
      </c>
      <c r="U174" s="72">
        <f t="shared" si="369"/>
        <v>-623.18399999999986</v>
      </c>
      <c r="V174" s="72">
        <f t="shared" si="369"/>
        <v>-572.54700000000014</v>
      </c>
      <c r="W174" s="72">
        <f t="shared" si="369"/>
        <v>-379.96699999999998</v>
      </c>
      <c r="X174" s="72">
        <f t="shared" si="369"/>
        <v>-700.88299999999992</v>
      </c>
      <c r="Y174" s="72">
        <f t="shared" si="369"/>
        <v>-459.16200000000003</v>
      </c>
      <c r="Z174" s="72">
        <f t="shared" si="369"/>
        <v>-6234.2690000000002</v>
      </c>
      <c r="AA174" s="72">
        <f t="shared" si="369"/>
        <v>-477.95699999999999</v>
      </c>
      <c r="AB174" s="72">
        <f t="shared" si="369"/>
        <v>-963.56699999999989</v>
      </c>
      <c r="AC174" s="72">
        <f t="shared" si="369"/>
        <v>-688.79600000000016</v>
      </c>
      <c r="AD174" s="72">
        <f t="shared" si="369"/>
        <v>36.774000000000115</v>
      </c>
      <c r="AE174" s="72">
        <f t="shared" si="369"/>
        <v>-199.971</v>
      </c>
      <c r="AF174" s="72">
        <f t="shared" si="369"/>
        <v>-331.428</v>
      </c>
      <c r="AG174" s="72">
        <f t="shared" si="369"/>
        <v>-383.30100000000004</v>
      </c>
      <c r="AH174" s="72">
        <f t="shared" si="369"/>
        <v>-320.47699999999986</v>
      </c>
      <c r="AI174" s="72">
        <f t="shared" si="369"/>
        <v>-486.2</v>
      </c>
      <c r="AJ174" s="72">
        <f t="shared" si="369"/>
        <v>-451.40000000000003</v>
      </c>
      <c r="AK174" s="72">
        <f t="shared" si="369"/>
        <v>-560.59999999999991</v>
      </c>
      <c r="AL174" s="72">
        <f t="shared" si="369"/>
        <v>-401.20000000000005</v>
      </c>
      <c r="AM174" s="72">
        <f t="shared" si="369"/>
        <v>-511.2</v>
      </c>
      <c r="AN174" s="72">
        <f t="shared" si="369"/>
        <v>-316.90000000000003</v>
      </c>
      <c r="AO174" s="72">
        <f t="shared" si="369"/>
        <v>-259.3</v>
      </c>
      <c r="AP174" s="72">
        <f t="shared" si="369"/>
        <v>-779.59999999999991</v>
      </c>
      <c r="AQ174" s="72">
        <f t="shared" si="369"/>
        <v>-203.8</v>
      </c>
      <c r="AR174" s="72">
        <f t="shared" si="369"/>
        <v>-641.72800000000007</v>
      </c>
      <c r="AS174" s="72">
        <f t="shared" si="369"/>
        <v>-588.07799999999997</v>
      </c>
      <c r="AT174" s="72">
        <f t="shared" si="369"/>
        <v>-436.1099999999999</v>
      </c>
      <c r="AU174" s="72">
        <f t="shared" si="369"/>
        <v>-379.9</v>
      </c>
      <c r="AV174" s="72">
        <f t="shared" si="369"/>
        <v>-468</v>
      </c>
      <c r="AW174" s="72">
        <f t="shared" si="369"/>
        <v>-301.52300000000002</v>
      </c>
      <c r="AX174" s="72">
        <f t="shared" si="369"/>
        <v>-229.43100000000004</v>
      </c>
      <c r="AY174" s="72">
        <f t="shared" si="354"/>
        <v>-240.6</v>
      </c>
      <c r="AZ174" s="72">
        <f t="shared" si="354"/>
        <v>-307.49699999999996</v>
      </c>
      <c r="BA174" s="72">
        <f t="shared" si="354"/>
        <v>-237.80300000000003</v>
      </c>
      <c r="BB174" s="72">
        <f t="shared" si="354"/>
        <v>-501.19999999999993</v>
      </c>
      <c r="BC174" s="72">
        <f t="shared" si="355"/>
        <v>-198.03</v>
      </c>
      <c r="BD174" s="64"/>
    </row>
    <row r="175" spans="2:56" ht="13.5" customHeight="1">
      <c r="B175" s="1" t="str">
        <f t="shared" ref="B175:Q175" si="370">+B65</f>
        <v>Disposals/ Acquisition, of subsidiaries</v>
      </c>
      <c r="C175" s="238">
        <f t="shared" si="370"/>
        <v>-90.132999999999996</v>
      </c>
      <c r="D175" s="72">
        <f t="shared" si="370"/>
        <v>-176.68700000000001</v>
      </c>
      <c r="E175" s="72">
        <f t="shared" si="370"/>
        <v>886.32399999999961</v>
      </c>
      <c r="F175" s="72">
        <f t="shared" si="370"/>
        <v>120.07299999999999</v>
      </c>
      <c r="G175" s="72">
        <f t="shared" si="370"/>
        <v>-25.741</v>
      </c>
      <c r="H175" s="72">
        <f t="shared" si="370"/>
        <v>-602.46600000000001</v>
      </c>
      <c r="I175" s="238">
        <f t="shared" si="370"/>
        <v>10</v>
      </c>
      <c r="J175" s="72">
        <f t="shared" si="370"/>
        <v>10</v>
      </c>
      <c r="K175" s="72">
        <f t="shared" si="370"/>
        <v>10</v>
      </c>
      <c r="L175" s="72">
        <f t="shared" si="370"/>
        <v>0</v>
      </c>
      <c r="M175" s="72">
        <f t="shared" si="370"/>
        <v>8</v>
      </c>
      <c r="N175" s="72">
        <f t="shared" si="370"/>
        <v>0</v>
      </c>
      <c r="O175" s="72">
        <f t="shared" si="370"/>
        <v>0</v>
      </c>
      <c r="P175" s="72">
        <f t="shared" si="352"/>
        <v>5</v>
      </c>
      <c r="Q175" s="72">
        <f t="shared" si="370"/>
        <v>5</v>
      </c>
      <c r="R175" s="64"/>
      <c r="S175" s="72">
        <f t="shared" ref="S175:AX175" si="371">+S65</f>
        <v>-139.97399999999999</v>
      </c>
      <c r="T175" s="72">
        <f t="shared" si="371"/>
        <v>0</v>
      </c>
      <c r="U175" s="72">
        <f t="shared" si="371"/>
        <v>-42.5</v>
      </c>
      <c r="V175" s="72">
        <f t="shared" si="371"/>
        <v>5.7869999999999777</v>
      </c>
      <c r="W175" s="72">
        <f t="shared" si="371"/>
        <v>85</v>
      </c>
      <c r="X175" s="72">
        <f t="shared" si="371"/>
        <v>5890.52</v>
      </c>
      <c r="Y175" s="72">
        <f t="shared" si="371"/>
        <v>10.161000000000058</v>
      </c>
      <c r="Z175" s="72">
        <f t="shared" si="371"/>
        <v>-5099.3570000000009</v>
      </c>
      <c r="AA175" s="72">
        <f t="shared" si="371"/>
        <v>0</v>
      </c>
      <c r="AB175" s="72">
        <f t="shared" si="371"/>
        <v>-108.557</v>
      </c>
      <c r="AC175" s="72">
        <f t="shared" si="371"/>
        <v>217.107</v>
      </c>
      <c r="AD175" s="72">
        <f t="shared" si="371"/>
        <v>11.522999999999996</v>
      </c>
      <c r="AE175" s="72">
        <f t="shared" si="371"/>
        <v>190.191</v>
      </c>
      <c r="AF175" s="72">
        <f t="shared" si="371"/>
        <v>-190.191</v>
      </c>
      <c r="AG175" s="72">
        <f t="shared" si="371"/>
        <v>0</v>
      </c>
      <c r="AH175" s="72">
        <f t="shared" si="371"/>
        <v>-602.46600000000001</v>
      </c>
      <c r="AI175" s="72">
        <f t="shared" si="371"/>
        <v>0</v>
      </c>
      <c r="AJ175" s="72">
        <f t="shared" si="371"/>
        <v>0</v>
      </c>
      <c r="AK175" s="72">
        <f t="shared" si="371"/>
        <v>10</v>
      </c>
      <c r="AL175" s="72">
        <f t="shared" si="371"/>
        <v>0</v>
      </c>
      <c r="AM175" s="72">
        <f t="shared" si="371"/>
        <v>0</v>
      </c>
      <c r="AN175" s="72">
        <f t="shared" si="371"/>
        <v>0</v>
      </c>
      <c r="AO175" s="72">
        <f t="shared" si="371"/>
        <v>10</v>
      </c>
      <c r="AP175" s="72">
        <f t="shared" si="371"/>
        <v>0</v>
      </c>
      <c r="AQ175" s="72">
        <f t="shared" si="371"/>
        <v>0</v>
      </c>
      <c r="AR175" s="72">
        <f t="shared" si="371"/>
        <v>0</v>
      </c>
      <c r="AS175" s="72">
        <f t="shared" si="371"/>
        <v>8</v>
      </c>
      <c r="AT175" s="72">
        <f t="shared" si="371"/>
        <v>0</v>
      </c>
      <c r="AU175" s="72">
        <f t="shared" si="371"/>
        <v>0</v>
      </c>
      <c r="AV175" s="72">
        <f t="shared" si="371"/>
        <v>0</v>
      </c>
      <c r="AW175" s="72">
        <f t="shared" si="371"/>
        <v>10</v>
      </c>
      <c r="AX175" s="72">
        <f t="shared" si="371"/>
        <v>-10</v>
      </c>
      <c r="AY175" s="72">
        <f t="shared" si="354"/>
        <v>0</v>
      </c>
      <c r="AZ175" s="72">
        <f t="shared" si="354"/>
        <v>0</v>
      </c>
      <c r="BA175" s="72">
        <f t="shared" si="354"/>
        <v>5</v>
      </c>
      <c r="BB175" s="72">
        <f t="shared" si="354"/>
        <v>0</v>
      </c>
      <c r="BC175" s="72">
        <f t="shared" si="355"/>
        <v>0</v>
      </c>
      <c r="BD175" s="64"/>
    </row>
    <row r="176" spans="2:56" ht="13.5" customHeight="1" thickBot="1">
      <c r="B176" s="52" t="str">
        <f t="shared" ref="B176:Q176" si="372">+B66</f>
        <v xml:space="preserve">Free cash flow </v>
      </c>
      <c r="C176" s="239">
        <f t="shared" si="372"/>
        <v>-7520.7319999999945</v>
      </c>
      <c r="D176" s="74">
        <f t="shared" si="372"/>
        <v>-4217.4059999999827</v>
      </c>
      <c r="E176" s="74">
        <f t="shared" si="372"/>
        <v>-4847.7399999999889</v>
      </c>
      <c r="F176" s="74">
        <f t="shared" si="372"/>
        <v>-3710.2620000000043</v>
      </c>
      <c r="G176" s="74">
        <f t="shared" si="372"/>
        <v>-5856.8570000000018</v>
      </c>
      <c r="H176" s="74">
        <f t="shared" si="372"/>
        <v>-1358.5219999999899</v>
      </c>
      <c r="I176" s="239">
        <f t="shared" si="372"/>
        <v>-4690.2980000000007</v>
      </c>
      <c r="J176" s="74">
        <f t="shared" si="372"/>
        <v>-17316.354000000007</v>
      </c>
      <c r="K176" s="74">
        <f t="shared" si="372"/>
        <v>-23192.043999999998</v>
      </c>
      <c r="L176" s="74">
        <f t="shared" si="372"/>
        <v>-12355.212000000003</v>
      </c>
      <c r="M176" s="74">
        <f t="shared" si="372"/>
        <v>-9177.0140000000047</v>
      </c>
      <c r="N176" s="74">
        <f t="shared" si="372"/>
        <v>-8447.2010000000118</v>
      </c>
      <c r="O176" s="74">
        <f t="shared" si="372"/>
        <v>5634.1319999999914</v>
      </c>
      <c r="P176" s="74">
        <f t="shared" si="352"/>
        <v>4373.1529999999984</v>
      </c>
      <c r="Q176" s="74">
        <f t="shared" si="372"/>
        <v>3213.8049999999994</v>
      </c>
      <c r="R176" s="216"/>
      <c r="S176" s="74">
        <f t="shared" ref="S176:AX176" si="373">+S66</f>
        <v>-588.30200000000309</v>
      </c>
      <c r="T176" s="74">
        <f t="shared" si="373"/>
        <v>-2263.2089999999998</v>
      </c>
      <c r="U176" s="74">
        <f t="shared" si="373"/>
        <v>-2432.8880000000036</v>
      </c>
      <c r="V176" s="74">
        <f t="shared" si="373"/>
        <v>1066.9930000000006</v>
      </c>
      <c r="W176" s="74">
        <f t="shared" si="373"/>
        <v>852.45700000000045</v>
      </c>
      <c r="X176" s="74">
        <f t="shared" si="373"/>
        <v>7055.8939999999984</v>
      </c>
      <c r="Y176" s="74">
        <f t="shared" si="373"/>
        <v>-1598.9010000000001</v>
      </c>
      <c r="Z176" s="74">
        <f t="shared" si="373"/>
        <v>-11157.189999999995</v>
      </c>
      <c r="AA176" s="74">
        <f t="shared" si="373"/>
        <v>-6087.8250000000016</v>
      </c>
      <c r="AB176" s="74">
        <f t="shared" si="373"/>
        <v>1994.7460000000017</v>
      </c>
      <c r="AC176" s="74">
        <f t="shared" si="373"/>
        <v>1732.0710000000017</v>
      </c>
      <c r="AD176" s="74">
        <f t="shared" si="373"/>
        <v>-1349.2540000000067</v>
      </c>
      <c r="AE176" s="74">
        <f t="shared" si="373"/>
        <v>356.18699999999876</v>
      </c>
      <c r="AF176" s="74">
        <f t="shared" si="373"/>
        <v>-25.724999999997948</v>
      </c>
      <c r="AG176" s="74">
        <f t="shared" si="373"/>
        <v>963.30800000000033</v>
      </c>
      <c r="AH176" s="74">
        <f t="shared" si="373"/>
        <v>-2652.2919999999922</v>
      </c>
      <c r="AI176" s="74">
        <f t="shared" si="373"/>
        <v>-960.49999999999659</v>
      </c>
      <c r="AJ176" s="74">
        <f t="shared" si="373"/>
        <v>-1406.0539999999996</v>
      </c>
      <c r="AK176" s="74">
        <f t="shared" si="373"/>
        <v>-2858.8709999999978</v>
      </c>
      <c r="AL176" s="74">
        <f t="shared" si="373"/>
        <v>535.12700000000746</v>
      </c>
      <c r="AM176" s="74">
        <f t="shared" si="373"/>
        <v>19419.791999999998</v>
      </c>
      <c r="AN176" s="74">
        <f t="shared" si="373"/>
        <v>-40108.537000000004</v>
      </c>
      <c r="AO176" s="74">
        <f t="shared" si="373"/>
        <v>-211.59999999999837</v>
      </c>
      <c r="AP176" s="74">
        <f t="shared" si="373"/>
        <v>-2291.6989999999973</v>
      </c>
      <c r="AQ176" s="74">
        <f t="shared" si="373"/>
        <v>-4049.6309999999976</v>
      </c>
      <c r="AR176" s="74">
        <f t="shared" si="373"/>
        <v>13506.541000000001</v>
      </c>
      <c r="AS176" s="74">
        <f t="shared" si="373"/>
        <v>-17905.091000000004</v>
      </c>
      <c r="AT176" s="74">
        <f t="shared" si="373"/>
        <v>-728.8330000000044</v>
      </c>
      <c r="AU176" s="74">
        <f t="shared" si="373"/>
        <v>151.10599999999943</v>
      </c>
      <c r="AV176" s="74">
        <f t="shared" si="373"/>
        <v>1974.6149999999993</v>
      </c>
      <c r="AW176" s="74">
        <f t="shared" si="373"/>
        <v>1939.4259999999999</v>
      </c>
      <c r="AX176" s="74">
        <f t="shared" si="373"/>
        <v>1568.9849999999983</v>
      </c>
      <c r="AY176" s="74">
        <f t="shared" si="354"/>
        <v>901.38900000000069</v>
      </c>
      <c r="AZ176" s="74">
        <f t="shared" si="354"/>
        <v>311.60799999999779</v>
      </c>
      <c r="BA176" s="74">
        <f t="shared" si="354"/>
        <v>-807.16999999999973</v>
      </c>
      <c r="BB176" s="74">
        <f t="shared" si="354"/>
        <v>3967.3259999999982</v>
      </c>
      <c r="BC176" s="74">
        <f t="shared" si="355"/>
        <v>-257.95900000000051</v>
      </c>
      <c r="BD176" s="65"/>
    </row>
    <row r="177" spans="2:56" ht="13.5" customHeight="1" thickTop="1">
      <c r="B177" s="79" t="str">
        <f t="shared" ref="B177:Q177" si="374">+B67</f>
        <v>Other investing activities</v>
      </c>
      <c r="C177" s="240">
        <f t="shared" si="374"/>
        <v>-114.979</v>
      </c>
      <c r="D177" s="80">
        <f t="shared" si="374"/>
        <v>364.053</v>
      </c>
      <c r="E177" s="80">
        <f t="shared" si="374"/>
        <v>464.84300000000002</v>
      </c>
      <c r="F177" s="80">
        <f t="shared" si="374"/>
        <v>1856.2249999999999</v>
      </c>
      <c r="G177" s="80">
        <f t="shared" si="374"/>
        <v>2482.0639999999999</v>
      </c>
      <c r="H177" s="80">
        <f t="shared" si="374"/>
        <v>4529.2669999999998</v>
      </c>
      <c r="I177" s="240">
        <f t="shared" si="374"/>
        <v>5443.1450000000004</v>
      </c>
      <c r="J177" s="80">
        <f t="shared" si="374"/>
        <v>5745.1819999999998</v>
      </c>
      <c r="K177" s="80">
        <f t="shared" si="374"/>
        <v>67204.138000000006</v>
      </c>
      <c r="L177" s="80">
        <f t="shared" si="374"/>
        <v>61563.338999999993</v>
      </c>
      <c r="M177" s="80">
        <f t="shared" si="374"/>
        <v>762.46100000000001</v>
      </c>
      <c r="N177" s="80">
        <f t="shared" si="374"/>
        <v>770.46100000000001</v>
      </c>
      <c r="O177" s="80">
        <f t="shared" si="374"/>
        <v>838.60500000000002</v>
      </c>
      <c r="P177" s="80">
        <f t="shared" si="352"/>
        <v>-3289.0549999999998</v>
      </c>
      <c r="Q177" s="80">
        <f t="shared" si="374"/>
        <v>-1656.3249999999996</v>
      </c>
      <c r="R177" s="217"/>
      <c r="S177" s="80">
        <f t="shared" ref="S177:AX177" si="375">+S67</f>
        <v>40.387999999999998</v>
      </c>
      <c r="T177" s="80">
        <f t="shared" si="375"/>
        <v>221.89500000000001</v>
      </c>
      <c r="U177" s="80">
        <f t="shared" si="375"/>
        <v>21.377000000000017</v>
      </c>
      <c r="V177" s="80">
        <f t="shared" si="375"/>
        <v>80.393000000000001</v>
      </c>
      <c r="W177" s="80">
        <f t="shared" si="375"/>
        <v>293.16300000000001</v>
      </c>
      <c r="X177" s="80">
        <f t="shared" si="375"/>
        <v>115.649</v>
      </c>
      <c r="Y177" s="80">
        <f t="shared" si="375"/>
        <v>7.3770000000000095</v>
      </c>
      <c r="Z177" s="80">
        <f t="shared" si="375"/>
        <v>48.653999999999996</v>
      </c>
      <c r="AA177" s="80">
        <f t="shared" si="375"/>
        <v>-8.0000000000000002E-3</v>
      </c>
      <c r="AB177" s="80">
        <f t="shared" si="375"/>
        <v>51.480000000000004</v>
      </c>
      <c r="AC177" s="80">
        <f t="shared" si="375"/>
        <v>1164.5830000000001</v>
      </c>
      <c r="AD177" s="80">
        <f t="shared" si="375"/>
        <v>640.16999999999985</v>
      </c>
      <c r="AE177" s="80">
        <f t="shared" si="375"/>
        <v>-20.196000000000002</v>
      </c>
      <c r="AF177" s="80">
        <f t="shared" si="375"/>
        <v>549.57000000000005</v>
      </c>
      <c r="AG177" s="80">
        <f t="shared" si="375"/>
        <v>2148.6559999999999</v>
      </c>
      <c r="AH177" s="80">
        <f t="shared" si="375"/>
        <v>1851.2369999999996</v>
      </c>
      <c r="AI177" s="80">
        <f t="shared" si="375"/>
        <v>1268.731</v>
      </c>
      <c r="AJ177" s="80">
        <f t="shared" si="375"/>
        <v>556.08600000000001</v>
      </c>
      <c r="AK177" s="80">
        <f t="shared" si="375"/>
        <v>-486.86899999999991</v>
      </c>
      <c r="AL177" s="80">
        <f t="shared" si="375"/>
        <v>4105.1970000000001</v>
      </c>
      <c r="AM177" s="80">
        <f t="shared" si="375"/>
        <v>65464.343999999997</v>
      </c>
      <c r="AN177" s="80">
        <f t="shared" si="375"/>
        <v>390.59600000000501</v>
      </c>
      <c r="AO177" s="80">
        <f t="shared" si="375"/>
        <v>1100.6399999999994</v>
      </c>
      <c r="AP177" s="80">
        <f t="shared" si="375"/>
        <v>248.55800000000454</v>
      </c>
      <c r="AQ177" s="80">
        <f t="shared" si="375"/>
        <v>195.369</v>
      </c>
      <c r="AR177" s="80">
        <f t="shared" si="375"/>
        <v>190.93699999999998</v>
      </c>
      <c r="AS177" s="80">
        <f t="shared" si="375"/>
        <v>180.78</v>
      </c>
      <c r="AT177" s="80">
        <f t="shared" si="375"/>
        <v>195.37499999999997</v>
      </c>
      <c r="AU177" s="80">
        <f t="shared" si="375"/>
        <v>-521.47900000000004</v>
      </c>
      <c r="AV177" s="80">
        <f t="shared" si="375"/>
        <v>187.73700000000002</v>
      </c>
      <c r="AW177" s="80">
        <f t="shared" si="375"/>
        <v>219.72800000000001</v>
      </c>
      <c r="AX177" s="80">
        <f t="shared" si="375"/>
        <v>952.61900000000003</v>
      </c>
      <c r="AY177" s="80">
        <f t="shared" si="354"/>
        <v>205.59899999999999</v>
      </c>
      <c r="AZ177" s="80">
        <f t="shared" si="354"/>
        <v>-630.91300000000001</v>
      </c>
      <c r="BA177" s="80">
        <f t="shared" si="354"/>
        <v>1205.6189999999999</v>
      </c>
      <c r="BB177" s="80">
        <f t="shared" si="354"/>
        <v>-4069.3599999999997</v>
      </c>
      <c r="BC177" s="80">
        <f t="shared" si="355"/>
        <v>1838.329</v>
      </c>
      <c r="BD177" s="64"/>
    </row>
    <row r="178" spans="2:56" ht="13.5" customHeight="1">
      <c r="B178" s="1" t="str">
        <f t="shared" ref="B178:Q178" si="376">+B68</f>
        <v>Equity Issuance/Buyback</v>
      </c>
      <c r="C178" s="236">
        <f t="shared" si="376"/>
        <v>-2379.424</v>
      </c>
      <c r="D178" s="75">
        <f t="shared" si="376"/>
        <v>-4176.2460000000001</v>
      </c>
      <c r="E178" s="75">
        <f t="shared" si="376"/>
        <v>-3879.4560000000001</v>
      </c>
      <c r="F178" s="75">
        <f t="shared" si="376"/>
        <v>-2680.125</v>
      </c>
      <c r="G178" s="75">
        <f t="shared" si="376"/>
        <v>-2680.125</v>
      </c>
      <c r="H178" s="75">
        <f t="shared" si="376"/>
        <v>-1519.66</v>
      </c>
      <c r="I178" s="236">
        <f t="shared" si="376"/>
        <v>-438.154</v>
      </c>
      <c r="J178" s="75">
        <f t="shared" si="376"/>
        <v>-328.5</v>
      </c>
      <c r="K178" s="75">
        <f t="shared" si="376"/>
        <v>-1277.568</v>
      </c>
      <c r="L178" s="75">
        <f t="shared" si="376"/>
        <v>-629.32600000000002</v>
      </c>
      <c r="M178" s="75">
        <f t="shared" si="376"/>
        <v>-1197.0820000000001</v>
      </c>
      <c r="N178" s="75">
        <f t="shared" si="376"/>
        <v>-1197.0820000000001</v>
      </c>
      <c r="O178" s="75">
        <f t="shared" si="376"/>
        <v>0</v>
      </c>
      <c r="P178" s="75">
        <f t="shared" si="352"/>
        <v>0</v>
      </c>
      <c r="Q178" s="75">
        <f t="shared" si="376"/>
        <v>-40</v>
      </c>
      <c r="R178" s="218"/>
      <c r="S178" s="75">
        <f t="shared" ref="S178:AX178" si="377">+S68</f>
        <v>-1292.4380000000001</v>
      </c>
      <c r="T178" s="75">
        <f t="shared" si="377"/>
        <v>0</v>
      </c>
      <c r="U178" s="75">
        <f t="shared" si="377"/>
        <v>0</v>
      </c>
      <c r="V178" s="75">
        <f t="shared" si="377"/>
        <v>-2883.808</v>
      </c>
      <c r="W178" s="75">
        <f t="shared" si="377"/>
        <v>-1746.056</v>
      </c>
      <c r="X178" s="75">
        <f t="shared" si="377"/>
        <v>-979.14499999999998</v>
      </c>
      <c r="Y178" s="75">
        <f t="shared" si="377"/>
        <v>1.0000000002037268E-3</v>
      </c>
      <c r="Z178" s="75">
        <f t="shared" si="377"/>
        <v>-1154.2560000000003</v>
      </c>
      <c r="AA178" s="75">
        <f t="shared" si="377"/>
        <v>-1294.375</v>
      </c>
      <c r="AB178" s="75">
        <f t="shared" si="377"/>
        <v>-1094.096</v>
      </c>
      <c r="AC178" s="75">
        <f t="shared" si="377"/>
        <v>-1088.83</v>
      </c>
      <c r="AD178" s="75">
        <f t="shared" si="377"/>
        <v>797.17599999999993</v>
      </c>
      <c r="AE178" s="75">
        <f t="shared" si="377"/>
        <v>-1525.598</v>
      </c>
      <c r="AF178" s="75">
        <f t="shared" si="377"/>
        <v>5.9379999999998745</v>
      </c>
      <c r="AG178" s="75">
        <f t="shared" si="377"/>
        <v>0</v>
      </c>
      <c r="AH178" s="75">
        <f t="shared" si="377"/>
        <v>0</v>
      </c>
      <c r="AI178" s="75">
        <f t="shared" si="377"/>
        <v>-50.5</v>
      </c>
      <c r="AJ178" s="75">
        <f t="shared" si="377"/>
        <v>0</v>
      </c>
      <c r="AK178" s="75">
        <f t="shared" si="377"/>
        <v>-63</v>
      </c>
      <c r="AL178" s="75">
        <f t="shared" si="377"/>
        <v>-324.654</v>
      </c>
      <c r="AM178" s="75">
        <f t="shared" si="377"/>
        <v>-596.24199999999996</v>
      </c>
      <c r="AN178" s="75">
        <f t="shared" si="377"/>
        <v>-50</v>
      </c>
      <c r="AO178" s="75">
        <f t="shared" si="377"/>
        <v>-356.11800000000005</v>
      </c>
      <c r="AP178" s="75">
        <f t="shared" si="377"/>
        <v>-275.20799999999997</v>
      </c>
      <c r="AQ178" s="75">
        <f t="shared" si="377"/>
        <v>-823.71199999999999</v>
      </c>
      <c r="AR178" s="75">
        <f t="shared" si="377"/>
        <v>-87.224000000000046</v>
      </c>
      <c r="AS178" s="75">
        <f t="shared" si="377"/>
        <v>-186.31900000000007</v>
      </c>
      <c r="AT178" s="75">
        <f t="shared" si="377"/>
        <v>-99.826999999999998</v>
      </c>
      <c r="AU178" s="75">
        <f t="shared" si="377"/>
        <v>0</v>
      </c>
      <c r="AV178" s="75">
        <f t="shared" si="377"/>
        <v>0</v>
      </c>
      <c r="AW178" s="75">
        <f t="shared" si="377"/>
        <v>0</v>
      </c>
      <c r="AX178" s="75">
        <f t="shared" si="377"/>
        <v>0</v>
      </c>
      <c r="AY178" s="75">
        <f t="shared" si="354"/>
        <v>0</v>
      </c>
      <c r="AZ178" s="75">
        <f t="shared" si="354"/>
        <v>0</v>
      </c>
      <c r="BA178" s="75">
        <f t="shared" si="354"/>
        <v>0</v>
      </c>
      <c r="BB178" s="75">
        <f t="shared" si="354"/>
        <v>0</v>
      </c>
      <c r="BC178" s="75">
        <f t="shared" si="355"/>
        <v>-40</v>
      </c>
      <c r="BD178" s="218"/>
    </row>
    <row r="179" spans="2:56" s="5" customFormat="1" ht="13.5" customHeight="1">
      <c r="B179" s="1" t="str">
        <f t="shared" ref="B179:Q179" si="378">+B69</f>
        <v xml:space="preserve">Dividends Paid </v>
      </c>
      <c r="C179" s="236">
        <f t="shared" si="378"/>
        <v>-1036.992</v>
      </c>
      <c r="D179" s="75">
        <f t="shared" si="378"/>
        <v>-948.19200000000001</v>
      </c>
      <c r="E179" s="75">
        <f t="shared" si="378"/>
        <v>-1068.8679999999999</v>
      </c>
      <c r="F179" s="75">
        <f t="shared" si="378"/>
        <v>-293.78699999999992</v>
      </c>
      <c r="G179" s="75">
        <f t="shared" si="378"/>
        <v>-1888.4159999999997</v>
      </c>
      <c r="H179" s="75">
        <f t="shared" si="378"/>
        <v>-1420.4770000000001</v>
      </c>
      <c r="I179" s="236">
        <f t="shared" si="378"/>
        <v>-1053.3920000000001</v>
      </c>
      <c r="J179" s="75">
        <f t="shared" si="378"/>
        <v>-1053.3920000000001</v>
      </c>
      <c r="K179" s="75">
        <f t="shared" si="378"/>
        <v>-1053.3920000000001</v>
      </c>
      <c r="L179" s="75">
        <f t="shared" si="378"/>
        <v>-1053.3920000000001</v>
      </c>
      <c r="M179" s="75">
        <f t="shared" si="378"/>
        <v>-1027.354</v>
      </c>
      <c r="N179" s="75">
        <f t="shared" si="378"/>
        <v>-1027.354</v>
      </c>
      <c r="O179" s="75">
        <f t="shared" si="378"/>
        <v>-1018.954</v>
      </c>
      <c r="P179" s="75">
        <f t="shared" si="352"/>
        <v>-1018.954</v>
      </c>
      <c r="Q179" s="75">
        <f t="shared" si="378"/>
        <v>-1018.954</v>
      </c>
      <c r="R179" s="218"/>
      <c r="S179" s="75">
        <f t="shared" ref="S179:AX179" si="379">+S69</f>
        <v>0</v>
      </c>
      <c r="T179" s="75">
        <f t="shared" si="379"/>
        <v>-1084.192</v>
      </c>
      <c r="U179" s="75">
        <f t="shared" si="379"/>
        <v>0</v>
      </c>
      <c r="V179" s="75">
        <f t="shared" si="379"/>
        <v>136</v>
      </c>
      <c r="W179" s="75">
        <f t="shared" si="379"/>
        <v>0</v>
      </c>
      <c r="X179" s="75">
        <f t="shared" si="379"/>
        <v>-1068.8679999999999</v>
      </c>
      <c r="Y179" s="75">
        <f t="shared" si="379"/>
        <v>0</v>
      </c>
      <c r="Z179" s="75">
        <f t="shared" si="379"/>
        <v>0</v>
      </c>
      <c r="AA179" s="75">
        <f t="shared" si="379"/>
        <v>0</v>
      </c>
      <c r="AB179" s="75">
        <f t="shared" si="379"/>
        <v>-613.78699999999992</v>
      </c>
      <c r="AC179" s="75">
        <f t="shared" si="379"/>
        <v>0</v>
      </c>
      <c r="AD179" s="75">
        <f t="shared" si="379"/>
        <v>320</v>
      </c>
      <c r="AE179" s="75">
        <f t="shared" si="379"/>
        <v>0</v>
      </c>
      <c r="AF179" s="75">
        <f t="shared" si="379"/>
        <v>0</v>
      </c>
      <c r="AG179" s="75">
        <f t="shared" si="379"/>
        <v>285.66899999999998</v>
      </c>
      <c r="AH179" s="75">
        <f t="shared" si="379"/>
        <v>-1706.1460000000002</v>
      </c>
      <c r="AI179" s="75">
        <f t="shared" si="379"/>
        <v>0</v>
      </c>
      <c r="AJ179" s="75">
        <f t="shared" si="379"/>
        <v>-1053.3920000000001</v>
      </c>
      <c r="AK179" s="75">
        <f t="shared" si="379"/>
        <v>0</v>
      </c>
      <c r="AL179" s="75">
        <f t="shared" si="379"/>
        <v>0</v>
      </c>
      <c r="AM179" s="75">
        <f t="shared" si="379"/>
        <v>0</v>
      </c>
      <c r="AN179" s="75">
        <f t="shared" si="379"/>
        <v>-1053.3920000000001</v>
      </c>
      <c r="AO179" s="75">
        <f t="shared" si="379"/>
        <v>0</v>
      </c>
      <c r="AP179" s="75">
        <f t="shared" si="379"/>
        <v>0</v>
      </c>
      <c r="AQ179" s="75">
        <f t="shared" si="379"/>
        <v>0</v>
      </c>
      <c r="AR179" s="75">
        <f t="shared" si="379"/>
        <v>-1027.354</v>
      </c>
      <c r="AS179" s="75">
        <f t="shared" si="379"/>
        <v>0</v>
      </c>
      <c r="AT179" s="75">
        <f t="shared" si="379"/>
        <v>0</v>
      </c>
      <c r="AU179" s="75">
        <f t="shared" si="379"/>
        <v>0</v>
      </c>
      <c r="AV179" s="75">
        <f t="shared" si="379"/>
        <v>-1018.954</v>
      </c>
      <c r="AW179" s="75">
        <f t="shared" si="379"/>
        <v>0</v>
      </c>
      <c r="AX179" s="75">
        <f t="shared" si="379"/>
        <v>0</v>
      </c>
      <c r="AY179" s="75">
        <f t="shared" si="354"/>
        <v>0</v>
      </c>
      <c r="AZ179" s="75">
        <f t="shared" si="354"/>
        <v>-1018.954</v>
      </c>
      <c r="BA179" s="75">
        <f t="shared" si="354"/>
        <v>0</v>
      </c>
      <c r="BB179" s="75">
        <f t="shared" si="354"/>
        <v>0</v>
      </c>
      <c r="BC179" s="75">
        <f t="shared" si="355"/>
        <v>0</v>
      </c>
      <c r="BD179" s="218"/>
    </row>
    <row r="180" spans="2:56" ht="13.5" customHeight="1">
      <c r="B180" s="1" t="str">
        <f t="shared" ref="B180:Q180" si="380">+B70</f>
        <v>Change in debt</v>
      </c>
      <c r="C180" s="238">
        <f t="shared" si="380"/>
        <v>1776.8339999999998</v>
      </c>
      <c r="D180" s="72">
        <f t="shared" si="380"/>
        <v>-1372.4079999999994</v>
      </c>
      <c r="E180" s="72">
        <f t="shared" si="380"/>
        <v>-847.9369999999999</v>
      </c>
      <c r="F180" s="72">
        <f t="shared" si="380"/>
        <v>117.23000000000104</v>
      </c>
      <c r="G180" s="72">
        <f t="shared" si="380"/>
        <v>1698.764999999999</v>
      </c>
      <c r="H180" s="72">
        <f t="shared" si="380"/>
        <v>-3910.7660000000001</v>
      </c>
      <c r="I180" s="238">
        <f t="shared" si="380"/>
        <v>10.983999999999924</v>
      </c>
      <c r="J180" s="72">
        <f t="shared" si="380"/>
        <v>-1071.2420000000002</v>
      </c>
      <c r="K180" s="72">
        <f t="shared" si="380"/>
        <v>-18400.032999999999</v>
      </c>
      <c r="L180" s="72">
        <f t="shared" si="380"/>
        <v>-18400.295000000002</v>
      </c>
      <c r="M180" s="72">
        <f t="shared" si="380"/>
        <v>-7693.4920000000002</v>
      </c>
      <c r="N180" s="72">
        <f t="shared" si="380"/>
        <v>-7974.6379999999999</v>
      </c>
      <c r="O180" s="72">
        <f t="shared" si="380"/>
        <v>-1567.3</v>
      </c>
      <c r="P180" s="72">
        <f t="shared" si="352"/>
        <v>-8366.3250000000007</v>
      </c>
      <c r="Q180" s="72">
        <f t="shared" si="380"/>
        <v>-7699.098</v>
      </c>
      <c r="R180" s="64"/>
      <c r="S180" s="72">
        <f t="shared" ref="S180:AX180" si="381">+S70</f>
        <v>-123.943</v>
      </c>
      <c r="T180" s="72">
        <f t="shared" si="381"/>
        <v>-185.029</v>
      </c>
      <c r="U180" s="72">
        <f t="shared" si="381"/>
        <v>-916.32400000000007</v>
      </c>
      <c r="V180" s="72">
        <f t="shared" si="381"/>
        <v>-147.1119999999994</v>
      </c>
      <c r="W180" s="72">
        <f t="shared" si="381"/>
        <v>-178.506</v>
      </c>
      <c r="X180" s="72">
        <f t="shared" si="381"/>
        <v>-191.55600000000001</v>
      </c>
      <c r="Y180" s="72">
        <f t="shared" si="381"/>
        <v>-195.19299999999996</v>
      </c>
      <c r="Z180" s="72">
        <f t="shared" si="381"/>
        <v>-282.6819999999999</v>
      </c>
      <c r="AA180" s="72">
        <f t="shared" si="381"/>
        <v>-402.54999999999995</v>
      </c>
      <c r="AB180" s="72">
        <f t="shared" si="381"/>
        <v>13258.387999999997</v>
      </c>
      <c r="AC180" s="72">
        <f t="shared" si="381"/>
        <v>-2083.2069999999976</v>
      </c>
      <c r="AD180" s="72">
        <f t="shared" si="381"/>
        <v>-10655.400999999998</v>
      </c>
      <c r="AE180" s="72">
        <f t="shared" si="381"/>
        <v>14371.213</v>
      </c>
      <c r="AF180" s="72">
        <f t="shared" si="381"/>
        <v>-683.24200000000019</v>
      </c>
      <c r="AG180" s="72">
        <f t="shared" si="381"/>
        <v>-3287.1360000000004</v>
      </c>
      <c r="AH180" s="72">
        <f t="shared" si="381"/>
        <v>-14311.601000000001</v>
      </c>
      <c r="AI180" s="72">
        <f t="shared" si="381"/>
        <v>-478.03399999999999</v>
      </c>
      <c r="AJ180" s="72">
        <f t="shared" si="381"/>
        <v>-347.62800000000004</v>
      </c>
      <c r="AK180" s="72">
        <f t="shared" si="381"/>
        <v>-414.1690000000001</v>
      </c>
      <c r="AL180" s="72">
        <f t="shared" si="381"/>
        <v>1250.8150000000001</v>
      </c>
      <c r="AM180" s="72">
        <f t="shared" si="381"/>
        <v>9724.7659999999996</v>
      </c>
      <c r="AN180" s="72">
        <f t="shared" si="381"/>
        <v>-940.1969999999983</v>
      </c>
      <c r="AO180" s="72">
        <f t="shared" si="381"/>
        <v>5429.2809999999972</v>
      </c>
      <c r="AP180" s="72">
        <f t="shared" si="381"/>
        <v>-32613.882999999994</v>
      </c>
      <c r="AQ180" s="72">
        <f t="shared" si="381"/>
        <v>-1042.0749999999998</v>
      </c>
      <c r="AR180" s="72">
        <f t="shared" si="381"/>
        <v>-465.61900000000014</v>
      </c>
      <c r="AS180" s="72">
        <f t="shared" si="381"/>
        <v>3666.1009999999997</v>
      </c>
      <c r="AT180" s="72">
        <f t="shared" si="381"/>
        <v>-9851.8990000000013</v>
      </c>
      <c r="AU180" s="72">
        <f t="shared" si="381"/>
        <v>-363.88499999999999</v>
      </c>
      <c r="AV180" s="72">
        <f t="shared" si="381"/>
        <v>-399.76800000000003</v>
      </c>
      <c r="AW180" s="72">
        <f t="shared" si="381"/>
        <v>-383.39200000000005</v>
      </c>
      <c r="AX180" s="72">
        <f t="shared" si="381"/>
        <v>-420.25499999999988</v>
      </c>
      <c r="AY180" s="72">
        <f t="shared" si="354"/>
        <v>-4965.0730000000003</v>
      </c>
      <c r="AZ180" s="72">
        <f t="shared" si="354"/>
        <v>-2473.7609999999995</v>
      </c>
      <c r="BA180" s="72">
        <f t="shared" si="354"/>
        <v>-342.8730000000005</v>
      </c>
      <c r="BB180" s="72">
        <f t="shared" si="354"/>
        <v>-584.61800000000039</v>
      </c>
      <c r="BC180" s="72">
        <f t="shared" si="355"/>
        <v>-4297.8459999999995</v>
      </c>
      <c r="BD180" s="64"/>
    </row>
    <row r="181" spans="2:56" ht="13.5" customHeight="1">
      <c r="B181" s="1" t="str">
        <f t="shared" ref="B181:Q181" si="382">+B71</f>
        <v>Other financing activities</v>
      </c>
      <c r="C181" s="238">
        <f t="shared" si="382"/>
        <v>-671.10400000000004</v>
      </c>
      <c r="D181" s="72">
        <f t="shared" si="382"/>
        <v>-975.61099999999999</v>
      </c>
      <c r="E181" s="72">
        <f t="shared" si="382"/>
        <v>-579.34900000000005</v>
      </c>
      <c r="F181" s="72">
        <f t="shared" si="382"/>
        <v>-2190.6750000000002</v>
      </c>
      <c r="G181" s="72">
        <f t="shared" si="382"/>
        <v>-1479.5790000000002</v>
      </c>
      <c r="H181" s="72">
        <f t="shared" si="382"/>
        <v>111.07400000000007</v>
      </c>
      <c r="I181" s="238">
        <f t="shared" si="382"/>
        <v>-4103.8440000000001</v>
      </c>
      <c r="J181" s="72">
        <f t="shared" si="382"/>
        <v>-3021.6179999999999</v>
      </c>
      <c r="K181" s="72">
        <f t="shared" si="382"/>
        <v>-145.131</v>
      </c>
      <c r="L181" s="72">
        <f t="shared" si="382"/>
        <v>-793.37299999999993</v>
      </c>
      <c r="M181" s="72">
        <f t="shared" si="382"/>
        <v>-195.05500000000001</v>
      </c>
      <c r="N181" s="72">
        <f t="shared" si="382"/>
        <v>-195.05500000000001</v>
      </c>
      <c r="O181" s="72">
        <f t="shared" si="382"/>
        <v>615.17399999999998</v>
      </c>
      <c r="P181" s="72">
        <f t="shared" si="352"/>
        <v>-119.96699999999873</v>
      </c>
      <c r="Q181" s="72">
        <f t="shared" si="382"/>
        <v>-1314.8259999999991</v>
      </c>
      <c r="R181" s="64"/>
      <c r="S181" s="72">
        <f t="shared" ref="S181:AX181" si="383">+S71</f>
        <v>-3795.2510000000002</v>
      </c>
      <c r="T181" s="72">
        <f t="shared" si="383"/>
        <v>-3503.7519999999995</v>
      </c>
      <c r="U181" s="72">
        <f t="shared" si="383"/>
        <v>6783.7049999999999</v>
      </c>
      <c r="V181" s="72">
        <f t="shared" si="383"/>
        <v>-460.3130000000001</v>
      </c>
      <c r="W181" s="72">
        <f t="shared" si="383"/>
        <v>-5.25</v>
      </c>
      <c r="X181" s="72">
        <f t="shared" si="383"/>
        <v>-960.66099999999994</v>
      </c>
      <c r="Y181" s="72">
        <f t="shared" si="383"/>
        <v>13.533999999999992</v>
      </c>
      <c r="Z181" s="72">
        <f t="shared" si="383"/>
        <v>373.02799999999991</v>
      </c>
      <c r="AA181" s="72">
        <f t="shared" si="383"/>
        <v>-1585.479</v>
      </c>
      <c r="AB181" s="72">
        <f t="shared" si="383"/>
        <v>-237.54600000000005</v>
      </c>
      <c r="AC181" s="72">
        <f t="shared" si="383"/>
        <v>-115.0329999999999</v>
      </c>
      <c r="AD181" s="72">
        <f t="shared" si="383"/>
        <v>-252.61700000000019</v>
      </c>
      <c r="AE181" s="72">
        <f t="shared" si="383"/>
        <v>50.933999999999997</v>
      </c>
      <c r="AF181" s="72">
        <f t="shared" si="383"/>
        <v>646.06700000000001</v>
      </c>
      <c r="AG181" s="72">
        <f t="shared" si="383"/>
        <v>-475.14599999999996</v>
      </c>
      <c r="AH181" s="72">
        <f t="shared" si="383"/>
        <v>-110.78099999999995</v>
      </c>
      <c r="AI181" s="72">
        <f t="shared" si="383"/>
        <v>-745.59299999999996</v>
      </c>
      <c r="AJ181" s="72">
        <f t="shared" si="383"/>
        <v>-687.57499999999993</v>
      </c>
      <c r="AK181" s="72">
        <f t="shared" si="383"/>
        <v>-1124.0320000000002</v>
      </c>
      <c r="AL181" s="72">
        <f t="shared" si="383"/>
        <v>-1546.6440000000002</v>
      </c>
      <c r="AM181" s="72">
        <f t="shared" si="383"/>
        <v>-219.03100000000001</v>
      </c>
      <c r="AN181" s="72">
        <f t="shared" si="383"/>
        <v>-26.989000000000004</v>
      </c>
      <c r="AO181" s="72">
        <f t="shared" si="383"/>
        <v>56.838000000000022</v>
      </c>
      <c r="AP181" s="72">
        <f t="shared" si="383"/>
        <v>44.050999999999988</v>
      </c>
      <c r="AQ181" s="72">
        <f t="shared" si="383"/>
        <v>-68.47</v>
      </c>
      <c r="AR181" s="72">
        <f t="shared" si="383"/>
        <v>-169.83699999999999</v>
      </c>
      <c r="AS181" s="72">
        <f t="shared" si="383"/>
        <v>-76.522999999999996</v>
      </c>
      <c r="AT181" s="72">
        <f t="shared" si="383"/>
        <v>119.77499999999998</v>
      </c>
      <c r="AU181" s="72">
        <f t="shared" si="383"/>
        <v>119.82</v>
      </c>
      <c r="AV181" s="72">
        <f t="shared" si="383"/>
        <v>129.93899999999999</v>
      </c>
      <c r="AW181" s="72">
        <f t="shared" si="383"/>
        <v>214.76400000000007</v>
      </c>
      <c r="AX181" s="72">
        <f t="shared" si="383"/>
        <v>150.65099999999995</v>
      </c>
      <c r="AY181" s="72">
        <f t="shared" si="354"/>
        <v>738.97400000000005</v>
      </c>
      <c r="AZ181" s="72">
        <f t="shared" si="354"/>
        <v>-50.044000000000096</v>
      </c>
      <c r="BA181" s="72">
        <f t="shared" si="354"/>
        <v>-76.809999999999945</v>
      </c>
      <c r="BB181" s="72">
        <f t="shared" si="354"/>
        <v>-732.08699999999874</v>
      </c>
      <c r="BC181" s="72">
        <f t="shared" si="355"/>
        <v>-455.88500000000022</v>
      </c>
      <c r="BD181" s="64"/>
    </row>
    <row r="182" spans="2:56" ht="13.5" customHeight="1" thickBot="1">
      <c r="B182" s="46" t="str">
        <f t="shared" ref="B182:Q182" si="384">+B72</f>
        <v>Net Cash from discontinued operations</v>
      </c>
      <c r="C182" s="241">
        <f t="shared" si="384"/>
        <v>0</v>
      </c>
      <c r="D182" s="73">
        <f t="shared" si="384"/>
        <v>0</v>
      </c>
      <c r="E182" s="73">
        <f t="shared" si="384"/>
        <v>0</v>
      </c>
      <c r="F182" s="73">
        <f t="shared" si="384"/>
        <v>0</v>
      </c>
      <c r="G182" s="73">
        <f t="shared" si="384"/>
        <v>0</v>
      </c>
      <c r="H182" s="73">
        <f t="shared" si="384"/>
        <v>0</v>
      </c>
      <c r="I182" s="241">
        <f t="shared" si="384"/>
        <v>0</v>
      </c>
      <c r="J182" s="73">
        <f t="shared" si="384"/>
        <v>0</v>
      </c>
      <c r="K182" s="73">
        <f t="shared" si="384"/>
        <v>0</v>
      </c>
      <c r="L182" s="73">
        <f t="shared" si="384"/>
        <v>0</v>
      </c>
      <c r="M182" s="73">
        <f t="shared" si="384"/>
        <v>0</v>
      </c>
      <c r="N182" s="73">
        <f t="shared" si="384"/>
        <v>0</v>
      </c>
      <c r="O182" s="73">
        <f t="shared" si="384"/>
        <v>0</v>
      </c>
      <c r="P182" s="73">
        <f t="shared" si="352"/>
        <v>0</v>
      </c>
      <c r="Q182" s="73">
        <f t="shared" si="384"/>
        <v>0</v>
      </c>
      <c r="R182" s="219"/>
      <c r="S182" s="73">
        <f t="shared" ref="S182:AX182" si="385">+S72</f>
        <v>0</v>
      </c>
      <c r="T182" s="73">
        <f t="shared" si="385"/>
        <v>0</v>
      </c>
      <c r="U182" s="73">
        <f t="shared" si="385"/>
        <v>0</v>
      </c>
      <c r="V182" s="73">
        <f t="shared" si="385"/>
        <v>0</v>
      </c>
      <c r="W182" s="73">
        <f t="shared" si="385"/>
        <v>0</v>
      </c>
      <c r="X182" s="73">
        <f t="shared" si="385"/>
        <v>0</v>
      </c>
      <c r="Y182" s="73">
        <f t="shared" si="385"/>
        <v>0</v>
      </c>
      <c r="Z182" s="73">
        <f t="shared" si="385"/>
        <v>0</v>
      </c>
      <c r="AA182" s="73">
        <f t="shared" si="385"/>
        <v>0</v>
      </c>
      <c r="AB182" s="73">
        <f t="shared" si="385"/>
        <v>0</v>
      </c>
      <c r="AC182" s="73">
        <f t="shared" si="385"/>
        <v>0</v>
      </c>
      <c r="AD182" s="73">
        <f t="shared" si="385"/>
        <v>0</v>
      </c>
      <c r="AE182" s="73">
        <f t="shared" si="385"/>
        <v>0</v>
      </c>
      <c r="AF182" s="73">
        <f t="shared" si="385"/>
        <v>0</v>
      </c>
      <c r="AG182" s="73">
        <f t="shared" si="385"/>
        <v>0</v>
      </c>
      <c r="AH182" s="73">
        <f t="shared" si="385"/>
        <v>0</v>
      </c>
      <c r="AI182" s="73">
        <f t="shared" si="385"/>
        <v>0</v>
      </c>
      <c r="AJ182" s="73">
        <f t="shared" si="385"/>
        <v>0</v>
      </c>
      <c r="AK182" s="73">
        <f t="shared" si="385"/>
        <v>0</v>
      </c>
      <c r="AL182" s="73">
        <f t="shared" si="385"/>
        <v>0</v>
      </c>
      <c r="AM182" s="73">
        <f t="shared" si="385"/>
        <v>0</v>
      </c>
      <c r="AN182" s="73">
        <f t="shared" si="385"/>
        <v>0</v>
      </c>
      <c r="AO182" s="73">
        <f t="shared" si="385"/>
        <v>0</v>
      </c>
      <c r="AP182" s="73">
        <f t="shared" si="385"/>
        <v>0</v>
      </c>
      <c r="AQ182" s="73">
        <f t="shared" si="385"/>
        <v>0</v>
      </c>
      <c r="AR182" s="73">
        <f t="shared" si="385"/>
        <v>0</v>
      </c>
      <c r="AS182" s="73">
        <f t="shared" si="385"/>
        <v>0</v>
      </c>
      <c r="AT182" s="73">
        <f t="shared" si="385"/>
        <v>0</v>
      </c>
      <c r="AU182" s="73">
        <f t="shared" si="385"/>
        <v>0</v>
      </c>
      <c r="AV182" s="73">
        <f t="shared" si="385"/>
        <v>0</v>
      </c>
      <c r="AW182" s="73">
        <f t="shared" si="385"/>
        <v>0</v>
      </c>
      <c r="AX182" s="73">
        <f t="shared" si="385"/>
        <v>0</v>
      </c>
      <c r="AY182" s="73">
        <f t="shared" si="354"/>
        <v>0</v>
      </c>
      <c r="AZ182" s="73">
        <f t="shared" si="354"/>
        <v>0</v>
      </c>
      <c r="BA182" s="73">
        <f t="shared" si="354"/>
        <v>0</v>
      </c>
      <c r="BB182" s="73">
        <f t="shared" si="354"/>
        <v>0</v>
      </c>
      <c r="BC182" s="73">
        <f t="shared" si="355"/>
        <v>0</v>
      </c>
      <c r="BD182" s="64"/>
    </row>
    <row r="183" spans="2:56" ht="13.5" customHeight="1" thickTop="1" thickBot="1">
      <c r="B183" s="58" t="str">
        <f t="shared" ref="B183:Q183" si="386">+B73</f>
        <v>Cash flow after financing activities</v>
      </c>
      <c r="C183" s="239">
        <f t="shared" si="386"/>
        <v>-9946.3969999999936</v>
      </c>
      <c r="D183" s="74">
        <f t="shared" si="386"/>
        <v>-11325.809999999983</v>
      </c>
      <c r="E183" s="74">
        <f t="shared" si="386"/>
        <v>-10758.506999999989</v>
      </c>
      <c r="F183" s="74">
        <f t="shared" si="386"/>
        <v>-6901.394000000003</v>
      </c>
      <c r="G183" s="74">
        <f t="shared" si="386"/>
        <v>-7724.148000000001</v>
      </c>
      <c r="H183" s="74">
        <f t="shared" si="386"/>
        <v>-3569.0839999999903</v>
      </c>
      <c r="I183" s="239">
        <f t="shared" si="386"/>
        <v>-4831.5590000000002</v>
      </c>
      <c r="J183" s="74">
        <f t="shared" si="386"/>
        <v>-17045.924000000006</v>
      </c>
      <c r="K183" s="74">
        <f t="shared" si="386"/>
        <v>23135.970000000012</v>
      </c>
      <c r="L183" s="74">
        <f t="shared" si="386"/>
        <v>28331.740999999991</v>
      </c>
      <c r="M183" s="74">
        <f t="shared" si="386"/>
        <v>-18527.536000000007</v>
      </c>
      <c r="N183" s="74">
        <f t="shared" si="386"/>
        <v>-18070.86900000001</v>
      </c>
      <c r="O183" s="74">
        <f t="shared" si="386"/>
        <v>4501.656999999992</v>
      </c>
      <c r="P183" s="74">
        <f t="shared" si="352"/>
        <v>-8421.148000000001</v>
      </c>
      <c r="Q183" s="74">
        <f t="shared" si="386"/>
        <v>-8515.3979999999992</v>
      </c>
      <c r="R183" s="216"/>
      <c r="S183" s="74">
        <f t="shared" ref="S183:AX183" si="387">+S73</f>
        <v>-5759.546000000003</v>
      </c>
      <c r="T183" s="74">
        <f t="shared" si="387"/>
        <v>-6814.2869999999994</v>
      </c>
      <c r="U183" s="74">
        <f t="shared" si="387"/>
        <v>3455.8699999999963</v>
      </c>
      <c r="V183" s="74">
        <f t="shared" si="387"/>
        <v>-2207.8469999999988</v>
      </c>
      <c r="W183" s="74">
        <f t="shared" si="387"/>
        <v>-784.19199999999967</v>
      </c>
      <c r="X183" s="74">
        <f t="shared" si="387"/>
        <v>3971.3129999999992</v>
      </c>
      <c r="Y183" s="74">
        <f t="shared" si="387"/>
        <v>-1773.1819999999998</v>
      </c>
      <c r="Z183" s="74">
        <f t="shared" si="387"/>
        <v>-12172.445999999994</v>
      </c>
      <c r="AA183" s="74">
        <f t="shared" si="387"/>
        <v>-9370.237000000001</v>
      </c>
      <c r="AB183" s="74">
        <f t="shared" si="387"/>
        <v>13359.184999999999</v>
      </c>
      <c r="AC183" s="74">
        <f t="shared" si="387"/>
        <v>-390.41599999999562</v>
      </c>
      <c r="AD183" s="74">
        <f t="shared" si="387"/>
        <v>-10499.926000000005</v>
      </c>
      <c r="AE183" s="74">
        <f t="shared" si="387"/>
        <v>13232.539999999997</v>
      </c>
      <c r="AF183" s="74">
        <f t="shared" si="387"/>
        <v>492.60800000000177</v>
      </c>
      <c r="AG183" s="74">
        <f t="shared" si="387"/>
        <v>-364.64900000000011</v>
      </c>
      <c r="AH183" s="74">
        <f t="shared" si="387"/>
        <v>-16929.582999999991</v>
      </c>
      <c r="AI183" s="74">
        <f t="shared" si="387"/>
        <v>-965.89599999999655</v>
      </c>
      <c r="AJ183" s="74">
        <f t="shared" si="387"/>
        <v>-2938.5629999999996</v>
      </c>
      <c r="AK183" s="74">
        <f t="shared" si="387"/>
        <v>-4946.940999999998</v>
      </c>
      <c r="AL183" s="74">
        <f t="shared" si="387"/>
        <v>4019.8410000000076</v>
      </c>
      <c r="AM183" s="74">
        <f t="shared" si="387"/>
        <v>93793.629000000001</v>
      </c>
      <c r="AN183" s="74">
        <f t="shared" si="387"/>
        <v>-41788.519</v>
      </c>
      <c r="AO183" s="74">
        <f t="shared" si="387"/>
        <v>6019.0409999999983</v>
      </c>
      <c r="AP183" s="74">
        <f t="shared" si="387"/>
        <v>-34888.18099999999</v>
      </c>
      <c r="AQ183" s="74">
        <f t="shared" si="387"/>
        <v>-5788.5189999999975</v>
      </c>
      <c r="AR183" s="74">
        <f t="shared" si="387"/>
        <v>11947.444000000001</v>
      </c>
      <c r="AS183" s="74">
        <f t="shared" si="387"/>
        <v>-14321.052000000005</v>
      </c>
      <c r="AT183" s="74">
        <f t="shared" si="387"/>
        <v>-10365.409000000005</v>
      </c>
      <c r="AU183" s="74">
        <f t="shared" si="387"/>
        <v>-614.43800000000056</v>
      </c>
      <c r="AV183" s="74">
        <f t="shared" si="387"/>
        <v>873.56899999999939</v>
      </c>
      <c r="AW183" s="74">
        <f t="shared" si="387"/>
        <v>1990.5260000000001</v>
      </c>
      <c r="AX183" s="74">
        <f t="shared" si="387"/>
        <v>2251.9999999999982</v>
      </c>
      <c r="AY183" s="74">
        <f t="shared" si="354"/>
        <v>-3119.1109999999994</v>
      </c>
      <c r="AZ183" s="74">
        <f t="shared" si="354"/>
        <v>-3862.0640000000021</v>
      </c>
      <c r="BA183" s="74">
        <f t="shared" si="354"/>
        <v>-21.234000000000265</v>
      </c>
      <c r="BB183" s="74">
        <f t="shared" si="354"/>
        <v>-1418.7390000000005</v>
      </c>
      <c r="BC183" s="74">
        <f t="shared" si="355"/>
        <v>-3213.3610000000003</v>
      </c>
      <c r="BD183" s="65"/>
    </row>
    <row r="184" spans="2:56" ht="13.5" customHeight="1" thickTop="1">
      <c r="B184" s="1" t="str">
        <f t="shared" ref="B184:Q184" si="388">+B74</f>
        <v>FX</v>
      </c>
      <c r="C184" s="238">
        <f t="shared" si="388"/>
        <v>483.38799999999998</v>
      </c>
      <c r="D184" s="72">
        <f t="shared" si="388"/>
        <v>-110.447</v>
      </c>
      <c r="E184" s="72">
        <f t="shared" si="388"/>
        <v>21.995000000000001</v>
      </c>
      <c r="F184" s="72">
        <f t="shared" si="388"/>
        <v>-60.448999999999998</v>
      </c>
      <c r="G184" s="72">
        <f t="shared" si="388"/>
        <v>-60.448999999999998</v>
      </c>
      <c r="H184" s="72">
        <f t="shared" si="388"/>
        <v>-11.516</v>
      </c>
      <c r="I184" s="238">
        <f t="shared" si="388"/>
        <v>23.54</v>
      </c>
      <c r="J184" s="72">
        <f t="shared" si="388"/>
        <v>23.54</v>
      </c>
      <c r="K184" s="72">
        <f t="shared" si="388"/>
        <v>-100.34399999999999</v>
      </c>
      <c r="L184" s="72">
        <f t="shared" si="388"/>
        <v>-100.34399999999999</v>
      </c>
      <c r="M184" s="72">
        <f t="shared" si="388"/>
        <v>-234.637</v>
      </c>
      <c r="N184" s="72">
        <f t="shared" si="388"/>
        <v>-234.637</v>
      </c>
      <c r="O184" s="72">
        <f t="shared" si="388"/>
        <v>148.28899999999999</v>
      </c>
      <c r="P184" s="72">
        <f t="shared" si="352"/>
        <v>-66.998999999999995</v>
      </c>
      <c r="Q184" s="72">
        <f t="shared" si="388"/>
        <v>4.4510000000000076</v>
      </c>
      <c r="R184" s="64"/>
      <c r="S184" s="72">
        <f t="shared" ref="S184:AX184" si="389">+S74</f>
        <v>-333.66699999999997</v>
      </c>
      <c r="T184" s="72">
        <f t="shared" si="389"/>
        <v>114.94399999999996</v>
      </c>
      <c r="U184" s="72">
        <f t="shared" si="389"/>
        <v>0.8860000000000241</v>
      </c>
      <c r="V184" s="72">
        <f t="shared" si="389"/>
        <v>107.38999999999999</v>
      </c>
      <c r="W184" s="72">
        <f t="shared" si="389"/>
        <v>-147.673</v>
      </c>
      <c r="X184" s="72">
        <f t="shared" si="389"/>
        <v>144.98699999999999</v>
      </c>
      <c r="Y184" s="72">
        <f t="shared" si="389"/>
        <v>-99.932999999999993</v>
      </c>
      <c r="Z184" s="72">
        <f t="shared" si="389"/>
        <v>124.614</v>
      </c>
      <c r="AA184" s="72">
        <f t="shared" si="389"/>
        <v>-15.58</v>
      </c>
      <c r="AB184" s="72">
        <f t="shared" si="389"/>
        <v>-18.325000000000003</v>
      </c>
      <c r="AC184" s="72">
        <f t="shared" si="389"/>
        <v>37.899000000000001</v>
      </c>
      <c r="AD184" s="72">
        <f t="shared" si="389"/>
        <v>-64.442999999999998</v>
      </c>
      <c r="AE184" s="72">
        <f t="shared" si="389"/>
        <v>378.59800000000001</v>
      </c>
      <c r="AF184" s="72">
        <f t="shared" si="389"/>
        <v>-146.15100000000001</v>
      </c>
      <c r="AG184" s="72">
        <f t="shared" si="389"/>
        <v>-35.42900000000003</v>
      </c>
      <c r="AH184" s="72">
        <f t="shared" si="389"/>
        <v>-208.53399999999999</v>
      </c>
      <c r="AI184" s="72">
        <f t="shared" si="389"/>
        <v>32.573</v>
      </c>
      <c r="AJ184" s="72">
        <f t="shared" si="389"/>
        <v>-28.048999999999999</v>
      </c>
      <c r="AK184" s="72">
        <f t="shared" si="389"/>
        <v>27.044000000000004</v>
      </c>
      <c r="AL184" s="72">
        <f t="shared" si="389"/>
        <v>-8.0280000000000058</v>
      </c>
      <c r="AM184" s="72">
        <f t="shared" si="389"/>
        <v>-44.274000000000001</v>
      </c>
      <c r="AN184" s="72">
        <f t="shared" si="389"/>
        <v>7.0810000000000031</v>
      </c>
      <c r="AO184" s="72">
        <f t="shared" si="389"/>
        <v>-8.1300000000000026</v>
      </c>
      <c r="AP184" s="72">
        <f t="shared" si="389"/>
        <v>-55.020999999999994</v>
      </c>
      <c r="AQ184" s="72">
        <f t="shared" si="389"/>
        <v>-104.443</v>
      </c>
      <c r="AR184" s="72">
        <f t="shared" si="389"/>
        <v>-64.756000000000014</v>
      </c>
      <c r="AS184" s="72">
        <f t="shared" si="389"/>
        <v>21.27600000000001</v>
      </c>
      <c r="AT184" s="72">
        <f t="shared" si="389"/>
        <v>-86.714000000000013</v>
      </c>
      <c r="AU184" s="72">
        <f t="shared" si="389"/>
        <v>-19.065999999999999</v>
      </c>
      <c r="AV184" s="72">
        <f t="shared" si="389"/>
        <v>100.50200000000001</v>
      </c>
      <c r="AW184" s="72">
        <f t="shared" si="389"/>
        <v>16.643999999999988</v>
      </c>
      <c r="AX184" s="72">
        <f t="shared" si="389"/>
        <v>50.208999999999989</v>
      </c>
      <c r="AY184" s="72">
        <f t="shared" si="354"/>
        <v>-35.298000000000002</v>
      </c>
      <c r="AZ184" s="72">
        <f t="shared" si="354"/>
        <v>-29.238</v>
      </c>
      <c r="BA184" s="72">
        <f t="shared" si="354"/>
        <v>-15.028999999999996</v>
      </c>
      <c r="BB184" s="72">
        <f t="shared" si="354"/>
        <v>12.566000000000003</v>
      </c>
      <c r="BC184" s="72">
        <f t="shared" si="355"/>
        <v>36.152000000000001</v>
      </c>
      <c r="BD184" s="64"/>
    </row>
    <row r="185" spans="2:56" ht="13.5" customHeight="1">
      <c r="B185" s="1" t="str">
        <f t="shared" ref="B185:Q185" si="390">+B75</f>
        <v>Balancing figure</v>
      </c>
      <c r="C185" s="238">
        <f t="shared" si="390"/>
        <v>7611.9659999999931</v>
      </c>
      <c r="D185" s="72">
        <f t="shared" si="390"/>
        <v>2625.1229999999832</v>
      </c>
      <c r="E185" s="72">
        <f t="shared" si="390"/>
        <v>4069.8539999999884</v>
      </c>
      <c r="F185" s="72">
        <f t="shared" si="390"/>
        <v>2345.5490000000027</v>
      </c>
      <c r="G185" s="72">
        <f t="shared" si="390"/>
        <v>3168.5710000000013</v>
      </c>
      <c r="H185" s="72">
        <f t="shared" si="390"/>
        <v>5186.4279999999899</v>
      </c>
      <c r="I185" s="238">
        <f t="shared" si="390"/>
        <v>1343.288</v>
      </c>
      <c r="J185" s="72">
        <f t="shared" si="390"/>
        <v>13792.506000000007</v>
      </c>
      <c r="K185" s="72">
        <f t="shared" si="390"/>
        <v>2267.1509999999871</v>
      </c>
      <c r="L185" s="72">
        <f t="shared" si="390"/>
        <v>-2928.6199999999917</v>
      </c>
      <c r="M185" s="72">
        <f t="shared" si="390"/>
        <v>217.53300000000672</v>
      </c>
      <c r="N185" s="72">
        <f t="shared" si="390"/>
        <v>-239.13399999999092</v>
      </c>
      <c r="O185" s="72">
        <f t="shared" si="390"/>
        <v>8956.8750000000073</v>
      </c>
      <c r="P185" s="72">
        <f t="shared" si="352"/>
        <v>-1329.3679999999986</v>
      </c>
      <c r="Q185" s="72">
        <f t="shared" si="390"/>
        <v>-1280.5399999999981</v>
      </c>
      <c r="R185" s="64"/>
      <c r="S185" s="72">
        <f t="shared" ref="S185:AX185" si="391">+S75</f>
        <v>2085.4110000000028</v>
      </c>
      <c r="T185" s="72">
        <f t="shared" si="391"/>
        <v>4383.7829999999994</v>
      </c>
      <c r="U185" s="72">
        <f t="shared" si="391"/>
        <v>-6020.9209999999966</v>
      </c>
      <c r="V185" s="72">
        <f t="shared" si="391"/>
        <v>2176.8499999999776</v>
      </c>
      <c r="W185" s="72">
        <f t="shared" si="391"/>
        <v>-97.631000000000427</v>
      </c>
      <c r="X185" s="72">
        <f t="shared" si="391"/>
        <v>2771.2400000000007</v>
      </c>
      <c r="Y185" s="72">
        <f t="shared" si="391"/>
        <v>-293.12100000000009</v>
      </c>
      <c r="Z185" s="72">
        <f t="shared" si="391"/>
        <v>1689.3659999999882</v>
      </c>
      <c r="AA185" s="72">
        <f t="shared" si="391"/>
        <v>880.54000000000099</v>
      </c>
      <c r="AB185" s="72">
        <f t="shared" si="391"/>
        <v>1014.2259999999999</v>
      </c>
      <c r="AC185" s="72">
        <f t="shared" si="391"/>
        <v>1145.3339999999966</v>
      </c>
      <c r="AD185" s="72">
        <f t="shared" si="391"/>
        <v>-694.5509999999947</v>
      </c>
      <c r="AE185" s="72">
        <f t="shared" si="391"/>
        <v>3359.1780000000017</v>
      </c>
      <c r="AF185" s="72">
        <f t="shared" si="391"/>
        <v>712.75600000000122</v>
      </c>
      <c r="AG185" s="72">
        <f t="shared" si="391"/>
        <v>-229.52400000000245</v>
      </c>
      <c r="AH185" s="72">
        <f t="shared" si="391"/>
        <v>1344.0179999999893</v>
      </c>
      <c r="AI185" s="72">
        <f t="shared" si="391"/>
        <v>737.4369999999966</v>
      </c>
      <c r="AJ185" s="72">
        <f t="shared" si="391"/>
        <v>485.74299999999948</v>
      </c>
      <c r="AK185" s="72">
        <f t="shared" si="391"/>
        <v>243.3409999999993</v>
      </c>
      <c r="AL185" s="72">
        <f t="shared" si="391"/>
        <v>-123.23299999999537</v>
      </c>
      <c r="AM185" s="72">
        <f t="shared" si="391"/>
        <v>-58505.579000000005</v>
      </c>
      <c r="AN185" s="72">
        <f t="shared" si="391"/>
        <v>40601.644000000008</v>
      </c>
      <c r="AO185" s="72">
        <f t="shared" si="391"/>
        <v>-11990.588999999994</v>
      </c>
      <c r="AP185" s="72">
        <f t="shared" si="391"/>
        <v>32161.674999999981</v>
      </c>
      <c r="AQ185" s="72">
        <f t="shared" si="391"/>
        <v>-1688.5180000000018</v>
      </c>
      <c r="AR185" s="72">
        <f t="shared" si="391"/>
        <v>-16528.901000000002</v>
      </c>
      <c r="AS185" s="72">
        <f t="shared" si="391"/>
        <v>8084.6190000000061</v>
      </c>
      <c r="AT185" s="72">
        <f t="shared" si="391"/>
        <v>10350.333000000006</v>
      </c>
      <c r="AU185" s="72">
        <f t="shared" si="391"/>
        <v>653.90400000000056</v>
      </c>
      <c r="AV185" s="72">
        <f t="shared" si="391"/>
        <v>3379.5370000000003</v>
      </c>
      <c r="AW185" s="72">
        <f t="shared" si="391"/>
        <v>2066.1219999999989</v>
      </c>
      <c r="AX185" s="72">
        <f t="shared" si="391"/>
        <v>2857.3120000000072</v>
      </c>
      <c r="AY185" s="72">
        <f t="shared" si="354"/>
        <v>497.95199999999977</v>
      </c>
      <c r="AZ185" s="72">
        <f t="shared" si="354"/>
        <v>-1196.1939999999986</v>
      </c>
      <c r="BA185" s="72">
        <f t="shared" si="354"/>
        <v>-556.1809999999997</v>
      </c>
      <c r="BB185" s="72">
        <f t="shared" si="354"/>
        <v>-74.945000000000164</v>
      </c>
      <c r="BC185" s="72">
        <f t="shared" si="355"/>
        <v>546.7800000000002</v>
      </c>
      <c r="BD185" s="64"/>
    </row>
    <row r="186" spans="2:56" s="5" customFormat="1" ht="13.5" customHeight="1" thickBot="1">
      <c r="B186" s="52" t="str">
        <f t="shared" ref="B186:Q186" si="392">+B76</f>
        <v xml:space="preserve">Net change in cash </v>
      </c>
      <c r="C186" s="239">
        <f t="shared" si="392"/>
        <v>-1851.0429999999997</v>
      </c>
      <c r="D186" s="74">
        <f t="shared" si="392"/>
        <v>-8811.134</v>
      </c>
      <c r="E186" s="74">
        <f t="shared" si="392"/>
        <v>-6666.6579999999994</v>
      </c>
      <c r="F186" s="74">
        <f t="shared" si="392"/>
        <v>-4616.2939999999999</v>
      </c>
      <c r="G186" s="74">
        <f t="shared" si="392"/>
        <v>-4616.0259999999998</v>
      </c>
      <c r="H186" s="74">
        <f t="shared" si="392"/>
        <v>1605.8279999999995</v>
      </c>
      <c r="I186" s="239">
        <f t="shared" si="392"/>
        <v>-3464.7310000000002</v>
      </c>
      <c r="J186" s="74">
        <f t="shared" si="392"/>
        <v>-3229.8779999999988</v>
      </c>
      <c r="K186" s="74">
        <f t="shared" si="392"/>
        <v>25302.776999999998</v>
      </c>
      <c r="L186" s="74">
        <f t="shared" si="392"/>
        <v>25302.776999999998</v>
      </c>
      <c r="M186" s="74">
        <f t="shared" si="392"/>
        <v>-18544.64</v>
      </c>
      <c r="N186" s="74">
        <f t="shared" si="392"/>
        <v>-18544.64</v>
      </c>
      <c r="O186" s="74">
        <f t="shared" si="392"/>
        <v>13606.821</v>
      </c>
      <c r="P186" s="74">
        <f t="shared" si="352"/>
        <v>-9817.5149999999994</v>
      </c>
      <c r="Q186" s="74">
        <f t="shared" si="392"/>
        <v>-9791.4869999999974</v>
      </c>
      <c r="R186" s="216"/>
      <c r="S186" s="74">
        <f t="shared" ref="S186:AX186" si="393">+S76</f>
        <v>-4007.8020000000006</v>
      </c>
      <c r="T186" s="74">
        <f t="shared" si="393"/>
        <v>-2315.5599999999995</v>
      </c>
      <c r="U186" s="74">
        <f t="shared" si="393"/>
        <v>-2564.1650000000004</v>
      </c>
      <c r="V186" s="74">
        <f t="shared" si="393"/>
        <v>76.392999999978656</v>
      </c>
      <c r="W186" s="74">
        <f t="shared" si="393"/>
        <v>-1029.4960000000001</v>
      </c>
      <c r="X186" s="74">
        <f t="shared" si="393"/>
        <v>6887.54</v>
      </c>
      <c r="Y186" s="74">
        <f t="shared" si="393"/>
        <v>-2166.2359999999999</v>
      </c>
      <c r="Z186" s="74">
        <f t="shared" si="393"/>
        <v>-10358.466000000008</v>
      </c>
      <c r="AA186" s="74">
        <f t="shared" si="393"/>
        <v>-8505.277</v>
      </c>
      <c r="AB186" s="74">
        <f t="shared" si="393"/>
        <v>14355.085999999999</v>
      </c>
      <c r="AC186" s="74">
        <f t="shared" si="393"/>
        <v>792.81700000000103</v>
      </c>
      <c r="AD186" s="74">
        <f t="shared" si="393"/>
        <v>-11258.919999999998</v>
      </c>
      <c r="AE186" s="74">
        <f t="shared" si="393"/>
        <v>16970.315999999999</v>
      </c>
      <c r="AF186" s="74">
        <f t="shared" si="393"/>
        <v>1059.2130000000029</v>
      </c>
      <c r="AG186" s="74">
        <f t="shared" si="393"/>
        <v>-629.60200000000259</v>
      </c>
      <c r="AH186" s="74">
        <f t="shared" si="393"/>
        <v>-15794.099000000002</v>
      </c>
      <c r="AI186" s="74">
        <f t="shared" si="393"/>
        <v>-195.88599999999997</v>
      </c>
      <c r="AJ186" s="74">
        <f t="shared" si="393"/>
        <v>-2480.8690000000001</v>
      </c>
      <c r="AK186" s="74">
        <f t="shared" si="393"/>
        <v>-4676.5559999999987</v>
      </c>
      <c r="AL186" s="74">
        <f t="shared" si="393"/>
        <v>3888.5800000000127</v>
      </c>
      <c r="AM186" s="74">
        <f t="shared" si="393"/>
        <v>35243.775999999991</v>
      </c>
      <c r="AN186" s="74">
        <f t="shared" si="393"/>
        <v>-1179.7939999999944</v>
      </c>
      <c r="AO186" s="74">
        <f t="shared" si="393"/>
        <v>-5979.6779999999962</v>
      </c>
      <c r="AP186" s="74">
        <f t="shared" si="393"/>
        <v>-2781.5270000000091</v>
      </c>
      <c r="AQ186" s="74">
        <f t="shared" si="393"/>
        <v>-7581.48</v>
      </c>
      <c r="AR186" s="74">
        <f t="shared" si="393"/>
        <v>-4646.2129999999997</v>
      </c>
      <c r="AS186" s="74">
        <f t="shared" si="393"/>
        <v>-6215.1569999999992</v>
      </c>
      <c r="AT186" s="74">
        <f t="shared" si="393"/>
        <v>-101.78999999999905</v>
      </c>
      <c r="AU186" s="74">
        <f t="shared" si="393"/>
        <v>20.399999999999977</v>
      </c>
      <c r="AV186" s="74">
        <f t="shared" si="393"/>
        <v>4353.6080000000002</v>
      </c>
      <c r="AW186" s="74">
        <f t="shared" si="393"/>
        <v>4073.291999999999</v>
      </c>
      <c r="AX186" s="74">
        <f t="shared" si="393"/>
        <v>5159.5210000000052</v>
      </c>
      <c r="AY186" s="74">
        <f t="shared" si="354"/>
        <v>-2656.4569999999999</v>
      </c>
      <c r="AZ186" s="74">
        <f t="shared" si="354"/>
        <v>-5087.496000000001</v>
      </c>
      <c r="BA186" s="74">
        <f t="shared" si="354"/>
        <v>-592.44399999999996</v>
      </c>
      <c r="BB186" s="74">
        <f t="shared" si="354"/>
        <v>-1481.1180000000006</v>
      </c>
      <c r="BC186" s="74">
        <f t="shared" si="355"/>
        <v>-2630.4290000000001</v>
      </c>
      <c r="BD186" s="65"/>
    </row>
    <row r="187" spans="2:56" ht="13.5" customHeight="1" thickTop="1">
      <c r="C187" s="38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51"/>
      <c r="AQ187" s="51"/>
      <c r="AR187" s="51"/>
      <c r="AS187" s="51"/>
      <c r="AT187" s="51"/>
      <c r="AU187" s="51"/>
      <c r="AV187" s="51"/>
      <c r="AW187" s="51"/>
      <c r="AX187" s="51"/>
      <c r="AY187" s="51"/>
      <c r="AZ187" s="51"/>
      <c r="BA187" s="51"/>
      <c r="BB187" s="51"/>
      <c r="BC187" s="51"/>
      <c r="BD187" s="51"/>
    </row>
    <row r="188" spans="2:56" ht="13.5" customHeight="1">
      <c r="B188" s="6" t="s">
        <v>375</v>
      </c>
      <c r="C188" s="118">
        <f t="shared" ref="C188:Q188" si="394">C113</f>
        <v>47546.082999999999</v>
      </c>
      <c r="D188" s="118">
        <f t="shared" si="394"/>
        <v>38734.949000000001</v>
      </c>
      <c r="E188" s="118">
        <f t="shared" si="394"/>
        <v>32068.291000000001</v>
      </c>
      <c r="F188" s="118">
        <f t="shared" si="394"/>
        <v>27451.996999999999</v>
      </c>
      <c r="G188" s="118">
        <f t="shared" si="394"/>
        <v>27452.264999999999</v>
      </c>
      <c r="H188" s="118">
        <f t="shared" si="394"/>
        <v>29058.093000000001</v>
      </c>
      <c r="I188" s="118">
        <f t="shared" si="394"/>
        <v>25593.362000000001</v>
      </c>
      <c r="J188" s="118">
        <f t="shared" si="394"/>
        <v>25828.2</v>
      </c>
      <c r="K188" s="118">
        <f t="shared" si="394"/>
        <v>51130.991999999998</v>
      </c>
      <c r="L188" s="118">
        <f t="shared" si="394"/>
        <v>51130.991999999998</v>
      </c>
      <c r="M188" s="118">
        <f t="shared" si="394"/>
        <v>32586.3</v>
      </c>
      <c r="N188" s="118">
        <f t="shared" si="394"/>
        <v>32586.3</v>
      </c>
      <c r="O188" s="118">
        <f t="shared" si="394"/>
        <v>46193.173000000003</v>
      </c>
      <c r="P188" s="118">
        <f>P113</f>
        <v>36375.699999999997</v>
      </c>
      <c r="Q188" s="118">
        <f t="shared" si="394"/>
        <v>24976.799999999999</v>
      </c>
      <c r="R188" s="118"/>
      <c r="S188" s="118">
        <f t="shared" ref="S188:AX188" si="395">S113</f>
        <v>43538.281000000003</v>
      </c>
      <c r="T188" s="118">
        <f t="shared" si="395"/>
        <v>41222.720999999998</v>
      </c>
      <c r="U188" s="118">
        <f t="shared" si="395"/>
        <v>38658.555999999997</v>
      </c>
      <c r="V188" s="118">
        <f t="shared" si="395"/>
        <v>38734.949000000001</v>
      </c>
      <c r="W188" s="118">
        <f t="shared" si="395"/>
        <v>37705.453000000001</v>
      </c>
      <c r="X188" s="118">
        <f t="shared" si="395"/>
        <v>44592.993000000002</v>
      </c>
      <c r="Y188" s="118">
        <f t="shared" si="395"/>
        <v>42426.756999999998</v>
      </c>
      <c r="Z188" s="118">
        <f t="shared" si="395"/>
        <v>32068.291000000001</v>
      </c>
      <c r="AA188" s="118">
        <f t="shared" si="395"/>
        <v>23563.013999999999</v>
      </c>
      <c r="AB188" s="118">
        <f t="shared" si="395"/>
        <v>37918.1</v>
      </c>
      <c r="AC188" s="118">
        <f t="shared" si="395"/>
        <v>38710.917000000001</v>
      </c>
      <c r="AD188" s="118">
        <f t="shared" si="395"/>
        <v>27451.996999999999</v>
      </c>
      <c r="AE188" s="118">
        <f t="shared" si="395"/>
        <v>44940.269</v>
      </c>
      <c r="AF188" s="118">
        <f t="shared" si="395"/>
        <v>45481.794000000002</v>
      </c>
      <c r="AG188" s="118">
        <f t="shared" si="395"/>
        <v>44852.2</v>
      </c>
      <c r="AH188" s="118">
        <f t="shared" si="395"/>
        <v>29058.093000000001</v>
      </c>
      <c r="AI188" s="118">
        <f t="shared" si="395"/>
        <v>28862.206999999999</v>
      </c>
      <c r="AJ188" s="118">
        <f t="shared" si="395"/>
        <v>26381.3</v>
      </c>
      <c r="AK188" s="118">
        <f t="shared" si="395"/>
        <v>21704.781999999999</v>
      </c>
      <c r="AL188" s="118">
        <f t="shared" si="395"/>
        <v>25593.362000000001</v>
      </c>
      <c r="AM188" s="118">
        <f t="shared" si="395"/>
        <v>61071.991000000002</v>
      </c>
      <c r="AN188" s="118">
        <f t="shared" si="395"/>
        <v>59892.2</v>
      </c>
      <c r="AO188" s="118">
        <f t="shared" si="395"/>
        <v>53912.5</v>
      </c>
      <c r="AP188" s="118">
        <f t="shared" si="395"/>
        <v>51130.991999999998</v>
      </c>
      <c r="AQ188" s="118">
        <f t="shared" si="395"/>
        <v>43549.512000000002</v>
      </c>
      <c r="AR188" s="118">
        <f t="shared" si="395"/>
        <v>38903.300000000003</v>
      </c>
      <c r="AS188" s="118">
        <f t="shared" si="395"/>
        <v>32688.1</v>
      </c>
      <c r="AT188" s="118">
        <f t="shared" si="395"/>
        <v>32586.3</v>
      </c>
      <c r="AU188" s="118">
        <f t="shared" si="395"/>
        <v>32606.799999999999</v>
      </c>
      <c r="AV188" s="118">
        <f t="shared" si="395"/>
        <v>36960.400000000001</v>
      </c>
      <c r="AW188" s="118">
        <f t="shared" si="395"/>
        <v>41033.699999999997</v>
      </c>
      <c r="AX188" s="118">
        <f t="shared" si="395"/>
        <v>46193.173000000003</v>
      </c>
      <c r="AY188" s="118">
        <f>AY113</f>
        <v>43536.716</v>
      </c>
      <c r="AZ188" s="118">
        <f>AZ113</f>
        <v>38449.22</v>
      </c>
      <c r="BA188" s="118">
        <f>BA113</f>
        <v>37856.775999999998</v>
      </c>
      <c r="BB188" s="118">
        <f>BB113</f>
        <v>36375.699999999997</v>
      </c>
      <c r="BC188" s="118">
        <f>BC113</f>
        <v>24976.799999999999</v>
      </c>
      <c r="BD188" s="118"/>
    </row>
    <row r="189" spans="2:56" ht="13.5" customHeight="1">
      <c r="C189" s="38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51"/>
      <c r="AQ189" s="51"/>
      <c r="AR189" s="51"/>
      <c r="AS189" s="51"/>
      <c r="AT189" s="51"/>
      <c r="AU189" s="51"/>
      <c r="AV189" s="51"/>
      <c r="AW189" s="51"/>
      <c r="AX189" s="51"/>
      <c r="AY189" s="51"/>
      <c r="AZ189" s="51"/>
      <c r="BA189" s="51"/>
      <c r="BB189" s="51"/>
      <c r="BC189" s="51"/>
      <c r="BD189" s="51"/>
    </row>
    <row r="190" spans="2:56" s="5" customFormat="1" ht="13.5" customHeight="1">
      <c r="B190" s="5" t="s">
        <v>392</v>
      </c>
      <c r="C190" s="43">
        <f t="shared" ref="C190:Q190" si="396">C115</f>
        <v>90696.316999999995</v>
      </c>
      <c r="D190" s="43">
        <f t="shared" si="396"/>
        <v>92871.95100000003</v>
      </c>
      <c r="E190" s="43">
        <f t="shared" si="396"/>
        <v>97798.409</v>
      </c>
      <c r="F190" s="43">
        <f t="shared" si="396"/>
        <v>104172.30299999999</v>
      </c>
      <c r="G190" s="43">
        <f t="shared" si="396"/>
        <v>104172.01300000002</v>
      </c>
      <c r="H190" s="43">
        <f t="shared" si="396"/>
        <v>102787.22899999999</v>
      </c>
      <c r="I190" s="43">
        <f t="shared" si="396"/>
        <v>109879.33900000001</v>
      </c>
      <c r="J190" s="43">
        <f t="shared" si="396"/>
        <v>109644.501</v>
      </c>
      <c r="K190" s="43">
        <f t="shared" si="396"/>
        <v>62478.657999999996</v>
      </c>
      <c r="L190" s="43">
        <f t="shared" si="396"/>
        <v>62478.657999999996</v>
      </c>
      <c r="M190" s="43">
        <f t="shared" si="396"/>
        <v>63241.099999999991</v>
      </c>
      <c r="N190" s="43">
        <f t="shared" si="396"/>
        <v>63241.099999999991</v>
      </c>
      <c r="O190" s="43">
        <f t="shared" si="396"/>
        <v>62148.638999999988</v>
      </c>
      <c r="P190" s="43">
        <f>P115</f>
        <v>55054.5</v>
      </c>
      <c r="Q190" s="43">
        <f t="shared" si="396"/>
        <v>63581</v>
      </c>
      <c r="R190" s="43"/>
      <c r="S190" s="43">
        <f t="shared" ref="S190:AX190" si="397">S115</f>
        <v>84850.819000000003</v>
      </c>
      <c r="T190" s="43">
        <f t="shared" si="397"/>
        <v>84322.978999999992</v>
      </c>
      <c r="U190" s="43">
        <f t="shared" si="397"/>
        <v>86523.644</v>
      </c>
      <c r="V190" s="43">
        <f t="shared" si="397"/>
        <v>92845.851000000024</v>
      </c>
      <c r="W190" s="43">
        <f t="shared" si="397"/>
        <v>86945.146999999997</v>
      </c>
      <c r="X190" s="43">
        <f t="shared" si="397"/>
        <v>86087.106999999989</v>
      </c>
      <c r="Y190" s="43">
        <f t="shared" si="397"/>
        <v>83697.542999999991</v>
      </c>
      <c r="Z190" s="43">
        <f t="shared" si="397"/>
        <v>97798.409</v>
      </c>
      <c r="AA190" s="43">
        <f t="shared" si="397"/>
        <v>108633.78599999999</v>
      </c>
      <c r="AB190" s="43">
        <f t="shared" si="397"/>
        <v>106989.59999999998</v>
      </c>
      <c r="AC190" s="43">
        <f t="shared" si="397"/>
        <v>107028.58300000003</v>
      </c>
      <c r="AD190" s="43">
        <f t="shared" si="397"/>
        <v>104172.30299999999</v>
      </c>
      <c r="AE190" s="43">
        <f t="shared" si="397"/>
        <v>123471.03099999999</v>
      </c>
      <c r="AF190" s="43">
        <f t="shared" si="397"/>
        <v>118419.20600000001</v>
      </c>
      <c r="AG190" s="43">
        <f t="shared" si="397"/>
        <v>111908.10000000002</v>
      </c>
      <c r="AH190" s="43">
        <f t="shared" si="397"/>
        <v>102787.22899999999</v>
      </c>
      <c r="AI190" s="43">
        <f t="shared" si="397"/>
        <v>104997.193</v>
      </c>
      <c r="AJ190" s="43">
        <f t="shared" si="397"/>
        <v>104723.00000000001</v>
      </c>
      <c r="AK190" s="43">
        <f t="shared" si="397"/>
        <v>112938.43099999998</v>
      </c>
      <c r="AL190" s="43">
        <f t="shared" si="397"/>
        <v>109879.33900000001</v>
      </c>
      <c r="AM190" s="43">
        <f t="shared" si="397"/>
        <v>60805.109000000004</v>
      </c>
      <c r="AN190" s="43">
        <f t="shared" si="397"/>
        <v>62414.8</v>
      </c>
      <c r="AO190" s="43">
        <f t="shared" si="397"/>
        <v>62112.800000000003</v>
      </c>
      <c r="AP190" s="43">
        <f t="shared" si="397"/>
        <v>62478.657999999996</v>
      </c>
      <c r="AQ190" s="43">
        <f t="shared" si="397"/>
        <v>63414.187999999995</v>
      </c>
      <c r="AR190" s="43">
        <f t="shared" si="397"/>
        <v>64247.099999999991</v>
      </c>
      <c r="AS190" s="43">
        <f t="shared" si="397"/>
        <v>65533.80000000001</v>
      </c>
      <c r="AT190" s="43">
        <f t="shared" si="397"/>
        <v>63241.099999999991</v>
      </c>
      <c r="AU190" s="43">
        <f t="shared" si="397"/>
        <v>60478</v>
      </c>
      <c r="AV190" s="43">
        <f t="shared" si="397"/>
        <v>62460.500000000007</v>
      </c>
      <c r="AW190" s="43">
        <f t="shared" si="397"/>
        <v>62843</v>
      </c>
      <c r="AX190" s="43">
        <f t="shared" si="397"/>
        <v>62148.638999999988</v>
      </c>
      <c r="AY190" s="43">
        <f t="shared" ref="AY190:BB191" si="398">AY115</f>
        <v>58436.607000000004</v>
      </c>
      <c r="AZ190" s="43">
        <f t="shared" si="398"/>
        <v>55054.467999999993</v>
      </c>
      <c r="BA190" s="43">
        <f t="shared" si="398"/>
        <v>53906.891999999993</v>
      </c>
      <c r="BB190" s="43">
        <f t="shared" si="398"/>
        <v>55054.5</v>
      </c>
      <c r="BC190" s="43">
        <f>BC115</f>
        <v>63581</v>
      </c>
      <c r="BD190" s="43"/>
    </row>
    <row r="191" spans="2:56" ht="13.5" customHeight="1">
      <c r="B191" s="1" t="s">
        <v>126</v>
      </c>
      <c r="C191" s="118">
        <f t="shared" ref="C191:Q191" si="399">C116</f>
        <v>138242.4</v>
      </c>
      <c r="D191" s="118">
        <f t="shared" si="399"/>
        <v>131606.90000000002</v>
      </c>
      <c r="E191" s="118">
        <f t="shared" si="399"/>
        <v>129866.7</v>
      </c>
      <c r="F191" s="118">
        <f t="shared" si="399"/>
        <v>131624.29999999999</v>
      </c>
      <c r="G191" s="118">
        <f t="shared" si="399"/>
        <v>131624.27800000002</v>
      </c>
      <c r="H191" s="118">
        <f t="shared" si="399"/>
        <v>131845.32199999999</v>
      </c>
      <c r="I191" s="118">
        <f t="shared" si="399"/>
        <v>135472.701</v>
      </c>
      <c r="J191" s="118">
        <f t="shared" si="399"/>
        <v>135472.701</v>
      </c>
      <c r="K191" s="118">
        <f t="shared" si="399"/>
        <v>113609.65</v>
      </c>
      <c r="L191" s="118">
        <f t="shared" si="399"/>
        <v>113609.65</v>
      </c>
      <c r="M191" s="118">
        <f t="shared" si="399"/>
        <v>95827.4</v>
      </c>
      <c r="N191" s="118">
        <f t="shared" si="399"/>
        <v>95827.4</v>
      </c>
      <c r="O191" s="118">
        <f t="shared" si="399"/>
        <v>108341.81199999999</v>
      </c>
      <c r="P191" s="118">
        <f>P116</f>
        <v>91430.2</v>
      </c>
      <c r="Q191" s="118">
        <f t="shared" si="399"/>
        <v>88557.8</v>
      </c>
      <c r="R191" s="118"/>
      <c r="S191" s="118">
        <f t="shared" ref="S191:AX191" si="400">S116</f>
        <v>128389.1</v>
      </c>
      <c r="T191" s="118">
        <f t="shared" si="400"/>
        <v>125545.7</v>
      </c>
      <c r="U191" s="118">
        <f t="shared" si="400"/>
        <v>125182.2</v>
      </c>
      <c r="V191" s="118">
        <f t="shared" si="400"/>
        <v>131580.80000000002</v>
      </c>
      <c r="W191" s="118">
        <f t="shared" si="400"/>
        <v>124650.6</v>
      </c>
      <c r="X191" s="118">
        <f t="shared" si="400"/>
        <v>130680.09999999999</v>
      </c>
      <c r="Y191" s="118">
        <f t="shared" si="400"/>
        <v>126124.29999999999</v>
      </c>
      <c r="Z191" s="118">
        <f t="shared" si="400"/>
        <v>129866.7</v>
      </c>
      <c r="AA191" s="118">
        <f t="shared" si="400"/>
        <v>132196.79999999999</v>
      </c>
      <c r="AB191" s="118">
        <f t="shared" si="400"/>
        <v>144907.69999999998</v>
      </c>
      <c r="AC191" s="118">
        <f t="shared" si="400"/>
        <v>145739.50000000003</v>
      </c>
      <c r="AD191" s="118">
        <f t="shared" si="400"/>
        <v>131624.29999999999</v>
      </c>
      <c r="AE191" s="118">
        <f t="shared" si="400"/>
        <v>168411.3</v>
      </c>
      <c r="AF191" s="118">
        <f t="shared" si="400"/>
        <v>163901</v>
      </c>
      <c r="AG191" s="118">
        <f t="shared" si="400"/>
        <v>156760.30000000002</v>
      </c>
      <c r="AH191" s="118">
        <f t="shared" si="400"/>
        <v>131845.32199999999</v>
      </c>
      <c r="AI191" s="118">
        <f t="shared" si="400"/>
        <v>133859.4</v>
      </c>
      <c r="AJ191" s="118">
        <f t="shared" si="400"/>
        <v>131104.30000000002</v>
      </c>
      <c r="AK191" s="118">
        <f t="shared" si="400"/>
        <v>134643.21299999999</v>
      </c>
      <c r="AL191" s="118">
        <f t="shared" si="400"/>
        <v>135472.701</v>
      </c>
      <c r="AM191" s="118">
        <f t="shared" si="400"/>
        <v>121877.1</v>
      </c>
      <c r="AN191" s="118">
        <f t="shared" si="400"/>
        <v>122307</v>
      </c>
      <c r="AO191" s="118">
        <f t="shared" si="400"/>
        <v>116025.3</v>
      </c>
      <c r="AP191" s="118">
        <f t="shared" si="400"/>
        <v>113609.65</v>
      </c>
      <c r="AQ191" s="118">
        <f t="shared" si="400"/>
        <v>106963.7</v>
      </c>
      <c r="AR191" s="118">
        <f t="shared" si="400"/>
        <v>103150.39999999999</v>
      </c>
      <c r="AS191" s="118">
        <f t="shared" si="400"/>
        <v>98221.900000000009</v>
      </c>
      <c r="AT191" s="118">
        <f t="shared" si="400"/>
        <v>95827.4</v>
      </c>
      <c r="AU191" s="118">
        <f t="shared" si="400"/>
        <v>93084.800000000003</v>
      </c>
      <c r="AV191" s="118">
        <f t="shared" si="400"/>
        <v>99420.900000000009</v>
      </c>
      <c r="AW191" s="118">
        <f t="shared" si="400"/>
        <v>103876.7</v>
      </c>
      <c r="AX191" s="118">
        <f t="shared" si="400"/>
        <v>108341.81199999999</v>
      </c>
      <c r="AY191" s="118">
        <f t="shared" si="398"/>
        <v>101973.323</v>
      </c>
      <c r="AZ191" s="118">
        <f t="shared" si="398"/>
        <v>93503.687999999995</v>
      </c>
      <c r="BA191" s="118">
        <f t="shared" si="398"/>
        <v>91763.667999999991</v>
      </c>
      <c r="BB191" s="118">
        <f t="shared" si="398"/>
        <v>91430.2</v>
      </c>
      <c r="BC191" s="118">
        <f>BC116</f>
        <v>88557.8</v>
      </c>
      <c r="BD191" s="118"/>
    </row>
    <row r="192" spans="2:56" ht="13.5" customHeight="1">
      <c r="C192" s="38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145"/>
      <c r="T192" s="145"/>
      <c r="U192" s="145"/>
      <c r="V192" s="51"/>
      <c r="W192" s="51"/>
      <c r="X192" s="51"/>
      <c r="Y192" s="51"/>
      <c r="Z192" s="5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51"/>
      <c r="AQ192" s="51"/>
      <c r="AR192" s="51"/>
      <c r="AS192" s="51"/>
      <c r="AT192" s="51"/>
      <c r="AU192" s="51"/>
      <c r="AV192" s="51"/>
      <c r="AW192" s="51"/>
      <c r="AX192" s="51"/>
      <c r="AY192" s="51"/>
      <c r="AZ192" s="51"/>
      <c r="BA192" s="51"/>
      <c r="BB192" s="51"/>
      <c r="BC192" s="51"/>
      <c r="BD192" s="51"/>
    </row>
    <row r="193" spans="2:56" s="5" customFormat="1" ht="13.5" customHeight="1">
      <c r="B193" s="5" t="s">
        <v>399</v>
      </c>
      <c r="C193" s="43">
        <f t="shared" ref="C193:H193" si="401">C118</f>
        <v>78405.899999999994</v>
      </c>
      <c r="D193" s="43">
        <f t="shared" si="401"/>
        <v>79273.100000000006</v>
      </c>
      <c r="E193" s="43">
        <f t="shared" si="401"/>
        <v>83318.5</v>
      </c>
      <c r="F193" s="43">
        <f t="shared" si="401"/>
        <v>93733.1</v>
      </c>
      <c r="G193" s="43">
        <f t="shared" si="401"/>
        <v>93733.1</v>
      </c>
      <c r="H193" s="43">
        <f t="shared" si="401"/>
        <v>96143</v>
      </c>
      <c r="I193" s="43">
        <f t="shared" ref="I193:Q193" si="402">I118</f>
        <v>105219.9</v>
      </c>
      <c r="J193" s="43">
        <f t="shared" si="402"/>
        <v>105219.9</v>
      </c>
      <c r="K193" s="43">
        <f t="shared" si="402"/>
        <v>59094.400000000001</v>
      </c>
      <c r="L193" s="43">
        <f t="shared" si="402"/>
        <v>59094.400000000001</v>
      </c>
      <c r="M193" s="43">
        <f t="shared" si="402"/>
        <v>60654.5</v>
      </c>
      <c r="N193" s="43">
        <f t="shared" si="402"/>
        <v>60654.5</v>
      </c>
      <c r="O193" s="43">
        <f t="shared" si="402"/>
        <v>59647.9</v>
      </c>
      <c r="P193" s="43">
        <f>P118</f>
        <v>49115.199999999997</v>
      </c>
      <c r="Q193" s="43">
        <f t="shared" si="402"/>
        <v>49752.4</v>
      </c>
      <c r="R193" s="43"/>
      <c r="S193" s="43">
        <f t="shared" ref="S193:AB193" si="403">S118</f>
        <v>72606.3</v>
      </c>
      <c r="T193" s="43">
        <f t="shared" si="403"/>
        <v>72084.100000000006</v>
      </c>
      <c r="U193" s="43">
        <f t="shared" si="403"/>
        <v>73953</v>
      </c>
      <c r="V193" s="43">
        <f t="shared" si="403"/>
        <v>79273.100000000006</v>
      </c>
      <c r="W193" s="43">
        <f t="shared" si="403"/>
        <v>73339.3</v>
      </c>
      <c r="X193" s="43">
        <f t="shared" si="403"/>
        <v>72176.899999999994</v>
      </c>
      <c r="Y193" s="43">
        <f t="shared" si="403"/>
        <v>68630.399999999994</v>
      </c>
      <c r="Z193" s="43">
        <f t="shared" si="403"/>
        <v>83318.5</v>
      </c>
      <c r="AA193" s="43">
        <f t="shared" si="403"/>
        <v>94275</v>
      </c>
      <c r="AB193" s="43">
        <f t="shared" si="403"/>
        <v>93495.2</v>
      </c>
      <c r="AC193" s="43">
        <f t="shared" ref="AC193:AH193" si="404">AC118</f>
        <v>94994.7</v>
      </c>
      <c r="AD193" s="43">
        <f t="shared" si="404"/>
        <v>93733.1</v>
      </c>
      <c r="AE193" s="43">
        <f t="shared" si="404"/>
        <v>113656.8</v>
      </c>
      <c r="AF193" s="43">
        <f t="shared" si="404"/>
        <v>109037.5</v>
      </c>
      <c r="AG193" s="43">
        <f t="shared" si="404"/>
        <v>104688.2</v>
      </c>
      <c r="AH193" s="43">
        <f t="shared" si="404"/>
        <v>96143</v>
      </c>
      <c r="AI193" s="43">
        <f t="shared" ref="AI193:AN193" si="405">AI118</f>
        <v>99913.8</v>
      </c>
      <c r="AJ193" s="43">
        <f t="shared" si="405"/>
        <v>100113.2</v>
      </c>
      <c r="AK193" s="43">
        <f t="shared" si="405"/>
        <v>108781.9</v>
      </c>
      <c r="AL193" s="43">
        <f t="shared" si="405"/>
        <v>105219.9</v>
      </c>
      <c r="AM193" s="43">
        <f t="shared" si="405"/>
        <v>56948.2</v>
      </c>
      <c r="AN193" s="43">
        <f t="shared" si="405"/>
        <v>59098.7</v>
      </c>
      <c r="AO193" s="43">
        <f t="shared" ref="AO193:AT193" si="406">AO118</f>
        <v>59358.7</v>
      </c>
      <c r="AP193" s="43">
        <f t="shared" si="406"/>
        <v>59094.400000000001</v>
      </c>
      <c r="AQ193" s="43">
        <f t="shared" si="406"/>
        <v>60383.199999999997</v>
      </c>
      <c r="AR193" s="43">
        <f t="shared" si="406"/>
        <v>61584.2</v>
      </c>
      <c r="AS193" s="43">
        <f t="shared" si="406"/>
        <v>62889.4</v>
      </c>
      <c r="AT193" s="43">
        <f t="shared" si="406"/>
        <v>60654.5</v>
      </c>
      <c r="AU193" s="43">
        <f t="shared" ref="AU193:AZ193" si="407">AU118</f>
        <v>57456.3</v>
      </c>
      <c r="AV193" s="43">
        <f t="shared" si="407"/>
        <v>59276.4</v>
      </c>
      <c r="AW193" s="43">
        <f t="shared" si="407"/>
        <v>60028.9</v>
      </c>
      <c r="AX193" s="43">
        <f t="shared" si="407"/>
        <v>59647.9</v>
      </c>
      <c r="AY193" s="43">
        <f t="shared" si="407"/>
        <v>55467.3</v>
      </c>
      <c r="AZ193" s="43">
        <f t="shared" si="407"/>
        <v>51570.2</v>
      </c>
      <c r="BA193" s="43">
        <f>BA118</f>
        <v>50086.3</v>
      </c>
      <c r="BB193" s="43">
        <f>BB118</f>
        <v>49115.199999999997</v>
      </c>
      <c r="BC193" s="43">
        <f>BC118</f>
        <v>49752.4</v>
      </c>
      <c r="BD193" s="43"/>
    </row>
    <row r="194" spans="2:56" ht="13.5" customHeight="1">
      <c r="C194" s="38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145"/>
      <c r="T194" s="145"/>
      <c r="U194" s="145"/>
      <c r="V194" s="51"/>
      <c r="W194" s="51"/>
      <c r="X194" s="51"/>
      <c r="Y194" s="51"/>
      <c r="Z194" s="5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51"/>
      <c r="AQ194" s="51"/>
      <c r="AR194" s="51"/>
      <c r="AS194" s="51"/>
      <c r="AT194" s="51"/>
      <c r="AU194" s="51"/>
      <c r="AV194" s="51"/>
      <c r="AW194" s="51"/>
      <c r="AX194" s="51"/>
      <c r="AY194" s="51"/>
      <c r="AZ194" s="51"/>
      <c r="BA194" s="51"/>
      <c r="BB194" s="51"/>
      <c r="BC194" s="51"/>
      <c r="BD194" s="51"/>
    </row>
    <row r="195" spans="2:56" ht="13.5" customHeight="1">
      <c r="B195" s="1" t="s">
        <v>22</v>
      </c>
      <c r="C195" s="42">
        <f t="shared" ref="C195:H195" si="408">C140</f>
        <v>36715.351000000002</v>
      </c>
      <c r="D195" s="42">
        <f t="shared" si="408"/>
        <v>35201.502000000015</v>
      </c>
      <c r="E195" s="42">
        <f t="shared" si="408"/>
        <v>38524.74500000001</v>
      </c>
      <c r="F195" s="42">
        <f t="shared" si="408"/>
        <v>39313.172999999995</v>
      </c>
      <c r="G195" s="42">
        <f t="shared" si="408"/>
        <v>39330.412999999993</v>
      </c>
      <c r="H195" s="42">
        <f t="shared" si="408"/>
        <v>38552.527000000009</v>
      </c>
      <c r="I195" s="42">
        <f t="shared" ref="I195:Q195" si="409">I140</f>
        <v>41207.631999999998</v>
      </c>
      <c r="J195" s="42">
        <f t="shared" si="409"/>
        <v>28391.068999999996</v>
      </c>
      <c r="K195" s="42">
        <f t="shared" si="409"/>
        <v>26473.460999999999</v>
      </c>
      <c r="L195" s="42">
        <f t="shared" si="409"/>
        <v>26000.221999999994</v>
      </c>
      <c r="M195" s="42">
        <f t="shared" si="409"/>
        <v>25084.899999999998</v>
      </c>
      <c r="N195" s="42">
        <f t="shared" si="409"/>
        <v>24240.747999999989</v>
      </c>
      <c r="O195" s="42">
        <f t="shared" si="409"/>
        <v>22278.399999999994</v>
      </c>
      <c r="P195" s="42">
        <f>P140</f>
        <v>22399.227999999999</v>
      </c>
      <c r="Q195" s="42">
        <f t="shared" si="409"/>
        <v>22741.928</v>
      </c>
      <c r="R195" s="42"/>
      <c r="S195" s="42"/>
      <c r="T195" s="42"/>
      <c r="U195" s="42"/>
      <c r="V195" s="42">
        <f t="shared" ref="V195:AB195" si="410">V140</f>
        <v>35201.501999999993</v>
      </c>
      <c r="W195" s="42">
        <f t="shared" si="410"/>
        <v>35795.888999999996</v>
      </c>
      <c r="X195" s="42">
        <f t="shared" si="410"/>
        <v>37158.96699999999</v>
      </c>
      <c r="Y195" s="42">
        <f t="shared" si="410"/>
        <v>38183.176999999996</v>
      </c>
      <c r="Z195" s="42">
        <f t="shared" si="410"/>
        <v>38524.745000000003</v>
      </c>
      <c r="AA195" s="42">
        <f t="shared" si="410"/>
        <v>38820.885000000002</v>
      </c>
      <c r="AB195" s="42">
        <f t="shared" si="410"/>
        <v>38060.633000000002</v>
      </c>
      <c r="AC195" s="42">
        <f t="shared" ref="AC195:AH195" si="411">AC140</f>
        <v>38554.927000000011</v>
      </c>
      <c r="AD195" s="42">
        <f t="shared" si="411"/>
        <v>39313.172999999995</v>
      </c>
      <c r="AE195" s="42">
        <f t="shared" si="411"/>
        <v>38731.160999999993</v>
      </c>
      <c r="AF195" s="42">
        <f t="shared" si="411"/>
        <v>37479.738999999994</v>
      </c>
      <c r="AG195" s="42">
        <f t="shared" si="411"/>
        <v>37312.372999999992</v>
      </c>
      <c r="AH195" s="42">
        <f t="shared" si="411"/>
        <v>38552.527000000009</v>
      </c>
      <c r="AI195" s="42">
        <f t="shared" ref="AI195:AN195" si="412">AI140</f>
        <v>39122.527000000016</v>
      </c>
      <c r="AJ195" s="42">
        <f t="shared" si="412"/>
        <v>40510.427000000011</v>
      </c>
      <c r="AK195" s="42">
        <f t="shared" si="412"/>
        <v>40844.119000000013</v>
      </c>
      <c r="AL195" s="42">
        <f t="shared" si="412"/>
        <v>41207.63200000002</v>
      </c>
      <c r="AM195" s="42">
        <f t="shared" si="412"/>
        <v>39227.532000000014</v>
      </c>
      <c r="AN195" s="42">
        <f t="shared" si="412"/>
        <v>36378.932000000015</v>
      </c>
      <c r="AO195" s="42">
        <f t="shared" ref="AO195:AT195" si="413">AO140</f>
        <v>32729.540000000012</v>
      </c>
      <c r="AP195" s="42">
        <f t="shared" si="413"/>
        <v>26473.461000000003</v>
      </c>
      <c r="AQ195" s="42">
        <f t="shared" si="413"/>
        <v>26287.947000000004</v>
      </c>
      <c r="AR195" s="42">
        <f t="shared" si="413"/>
        <v>26055.947000000004</v>
      </c>
      <c r="AS195" s="42">
        <f t="shared" si="413"/>
        <v>25035.147000000008</v>
      </c>
      <c r="AT195" s="42">
        <f t="shared" si="413"/>
        <v>25084.899999999998</v>
      </c>
      <c r="AU195" s="42">
        <f t="shared" ref="AU195:AZ195" si="414">AU140</f>
        <v>24055.013999999996</v>
      </c>
      <c r="AV195" s="42">
        <f t="shared" si="414"/>
        <v>23355.013999999996</v>
      </c>
      <c r="AW195" s="42">
        <f t="shared" si="414"/>
        <v>23144.013999999996</v>
      </c>
      <c r="AX195" s="42">
        <f t="shared" si="414"/>
        <v>22278.399999999998</v>
      </c>
      <c r="AY195" s="42">
        <f t="shared" si="414"/>
        <v>22151.199999999997</v>
      </c>
      <c r="AZ195" s="42">
        <f t="shared" si="414"/>
        <v>21953.399999999998</v>
      </c>
      <c r="BA195" s="42">
        <f>BA140</f>
        <v>21938.918999999998</v>
      </c>
      <c r="BB195" s="42">
        <f>BB140</f>
        <v>22399.227999999999</v>
      </c>
      <c r="BC195" s="42">
        <f>BC140</f>
        <v>22741.928</v>
      </c>
      <c r="BD195" s="42"/>
    </row>
    <row r="196" spans="2:56" ht="13.5" customHeight="1">
      <c r="C196" s="38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145"/>
      <c r="T196" s="145"/>
      <c r="U196" s="145"/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51"/>
      <c r="AQ196" s="51"/>
      <c r="AR196" s="51"/>
      <c r="AS196" s="51"/>
      <c r="AT196" s="51"/>
      <c r="AU196" s="51"/>
      <c r="AV196" s="51"/>
      <c r="AW196" s="51"/>
      <c r="AX196" s="51"/>
      <c r="AY196" s="51"/>
      <c r="AZ196" s="51"/>
      <c r="BA196" s="51"/>
      <c r="BB196" s="51"/>
      <c r="BC196" s="51"/>
      <c r="BD196" s="51"/>
    </row>
    <row r="197" spans="2:56" s="5" customFormat="1" ht="13.5" customHeight="1">
      <c r="B197" s="5" t="s">
        <v>381</v>
      </c>
      <c r="C197" s="39">
        <f t="shared" ref="C197:Q197" si="415">+C125</f>
        <v>2.470256024516829</v>
      </c>
      <c r="D197" s="39">
        <f t="shared" si="415"/>
        <v>2.6382951216115718</v>
      </c>
      <c r="E197" s="39">
        <f t="shared" si="415"/>
        <v>2.5385867966160442</v>
      </c>
      <c r="F197" s="39">
        <f t="shared" si="415"/>
        <v>2.6498065419446046</v>
      </c>
      <c r="G197" s="39">
        <f t="shared" si="415"/>
        <v>2.6486376585976874</v>
      </c>
      <c r="H197" s="39">
        <f t="shared" si="415"/>
        <v>2.6661606125066708</v>
      </c>
      <c r="I197" s="39">
        <f t="shared" si="415"/>
        <v>2.6664803015130794</v>
      </c>
      <c r="J197" s="39">
        <f t="shared" si="415"/>
        <v>3.8619363363880388</v>
      </c>
      <c r="K197" s="39">
        <f t="shared" si="415"/>
        <v>2.360048729555988</v>
      </c>
      <c r="L197" s="39">
        <f t="shared" si="415"/>
        <v>2.4030047897283344</v>
      </c>
      <c r="M197" s="39">
        <f t="shared" si="415"/>
        <v>2.521082404155488</v>
      </c>
      <c r="N197" s="39">
        <f t="shared" si="415"/>
        <v>2.6088757657148212</v>
      </c>
      <c r="O197" s="39">
        <f t="shared" si="415"/>
        <v>2.7896365537920138</v>
      </c>
      <c r="P197" s="39">
        <f>+P125</f>
        <v>2.4578748874738006</v>
      </c>
      <c r="Q197" s="39">
        <f t="shared" si="415"/>
        <v>2.7957612037114883</v>
      </c>
      <c r="R197" s="39"/>
      <c r="S197" s="143"/>
      <c r="T197" s="143"/>
      <c r="U197" s="143"/>
      <c r="V197" s="39">
        <f t="shared" ref="V197:AX197" si="416">+V125</f>
        <v>2.6375536759766685</v>
      </c>
      <c r="W197" s="39">
        <f t="shared" si="416"/>
        <v>2.4289143091263918</v>
      </c>
      <c r="X197" s="39">
        <f t="shared" si="416"/>
        <v>2.316724977849896</v>
      </c>
      <c r="Y197" s="39">
        <f t="shared" si="416"/>
        <v>2.1920004980203718</v>
      </c>
      <c r="Z197" s="39">
        <f t="shared" si="416"/>
        <v>2.5385867966160447</v>
      </c>
      <c r="AA197" s="39">
        <f t="shared" si="416"/>
        <v>2.7983335774029876</v>
      </c>
      <c r="AB197" s="39">
        <f t="shared" si="416"/>
        <v>2.8110304944218867</v>
      </c>
      <c r="AC197" s="39">
        <f t="shared" si="416"/>
        <v>2.776002740194528</v>
      </c>
      <c r="AD197" s="39">
        <f t="shared" si="416"/>
        <v>2.6498065419446046</v>
      </c>
      <c r="AE197" s="39">
        <f t="shared" si="416"/>
        <v>3.1878990407749463</v>
      </c>
      <c r="AF197" s="39">
        <f t="shared" si="416"/>
        <v>3.1595525785278289</v>
      </c>
      <c r="AG197" s="39">
        <f t="shared" si="416"/>
        <v>2.9992222687096328</v>
      </c>
      <c r="AH197" s="39">
        <f t="shared" si="416"/>
        <v>2.6661606125066708</v>
      </c>
      <c r="AI197" s="39">
        <f t="shared" si="416"/>
        <v>2.683803962867735</v>
      </c>
      <c r="AJ197" s="39">
        <f t="shared" si="416"/>
        <v>2.5850875380800105</v>
      </c>
      <c r="AK197" s="39">
        <f t="shared" si="416"/>
        <v>2.7651087540901531</v>
      </c>
      <c r="AL197" s="39">
        <f t="shared" si="416"/>
        <v>2.666480301513078</v>
      </c>
      <c r="AM197" s="39">
        <f t="shared" si="416"/>
        <v>1.5500620584542506</v>
      </c>
      <c r="AN197" s="39">
        <f t="shared" si="416"/>
        <v>1.7156853312791034</v>
      </c>
      <c r="AO197" s="39">
        <f t="shared" si="416"/>
        <v>1.8977596385405961</v>
      </c>
      <c r="AP197" s="39">
        <f t="shared" si="416"/>
        <v>2.3600487295559875</v>
      </c>
      <c r="AQ197" s="39">
        <f t="shared" si="416"/>
        <v>2.4122913820542924</v>
      </c>
      <c r="AR197" s="39">
        <f t="shared" si="416"/>
        <v>2.4657365168880632</v>
      </c>
      <c r="AS197" s="39">
        <f t="shared" si="416"/>
        <v>2.6176718674749537</v>
      </c>
      <c r="AT197" s="39">
        <f t="shared" si="416"/>
        <v>2.521082404155488</v>
      </c>
      <c r="AU197" s="39">
        <f t="shared" si="416"/>
        <v>2.5141535980814651</v>
      </c>
      <c r="AV197" s="39">
        <f t="shared" si="416"/>
        <v>2.6743936013054848</v>
      </c>
      <c r="AW197" s="39">
        <f t="shared" si="416"/>
        <v>2.7153025400001924</v>
      </c>
      <c r="AX197" s="39">
        <f t="shared" si="416"/>
        <v>2.7896365537920134</v>
      </c>
      <c r="AY197" s="39">
        <f t="shared" ref="AY197:BB198" si="417">+AY125</f>
        <v>2.638078614251147</v>
      </c>
      <c r="AZ197" s="39">
        <f t="shared" si="417"/>
        <v>2.5077877686372041</v>
      </c>
      <c r="BA197" s="39">
        <f t="shared" si="417"/>
        <v>2.4571352854714492</v>
      </c>
      <c r="BB197" s="39">
        <f t="shared" si="417"/>
        <v>2.4578748874738006</v>
      </c>
      <c r="BC197" s="39">
        <f>+BC125</f>
        <v>2.7957612037114883</v>
      </c>
      <c r="BD197" s="39"/>
    </row>
    <row r="198" spans="2:56" ht="12.75">
      <c r="B198" s="1" t="s">
        <v>382</v>
      </c>
      <c r="C198" s="40">
        <f t="shared" ref="C198:Q198" si="418">+C126</f>
        <v>3.7652479476500167</v>
      </c>
      <c r="D198" s="40">
        <f t="shared" si="418"/>
        <v>3.7386728554934949</v>
      </c>
      <c r="E198" s="40">
        <f t="shared" si="418"/>
        <v>3.3709944089182153</v>
      </c>
      <c r="F198" s="40">
        <f t="shared" si="418"/>
        <v>3.3480965782131094</v>
      </c>
      <c r="G198" s="40">
        <f t="shared" si="418"/>
        <v>3.346628422132258</v>
      </c>
      <c r="H198" s="40">
        <f t="shared" si="418"/>
        <v>3.4198879362693906</v>
      </c>
      <c r="I198" s="40">
        <f t="shared" si="418"/>
        <v>3.2875633571955798</v>
      </c>
      <c r="J198" s="40">
        <f t="shared" si="418"/>
        <v>4.771666082738907</v>
      </c>
      <c r="K198" s="40">
        <f t="shared" si="418"/>
        <v>4.2914543738727629</v>
      </c>
      <c r="L198" s="40">
        <f t="shared" si="418"/>
        <v>4.3695646137175297</v>
      </c>
      <c r="M198" s="40">
        <f t="shared" si="418"/>
        <v>3.8201228627580739</v>
      </c>
      <c r="N198" s="40">
        <f t="shared" si="418"/>
        <v>3.9531535908050377</v>
      </c>
      <c r="O198" s="40">
        <f t="shared" si="418"/>
        <v>4.8630876544096528</v>
      </c>
      <c r="P198" s="40">
        <f>+P126</f>
        <v>4.0818460350508508</v>
      </c>
      <c r="Q198" s="40">
        <f t="shared" si="418"/>
        <v>3.8940322034262005</v>
      </c>
      <c r="R198" s="40"/>
      <c r="S198" s="142"/>
      <c r="T198" s="142"/>
      <c r="U198" s="142"/>
      <c r="V198" s="40">
        <f t="shared" ref="V198:AX198" si="419">+V126</f>
        <v>3.7379314098585921</v>
      </c>
      <c r="W198" s="40">
        <f t="shared" si="419"/>
        <v>3.4822602115008241</v>
      </c>
      <c r="X198" s="40">
        <f t="shared" si="419"/>
        <v>3.5167850602520794</v>
      </c>
      <c r="Y198" s="40">
        <f t="shared" si="419"/>
        <v>3.3031379238034595</v>
      </c>
      <c r="Z198" s="40">
        <f t="shared" si="419"/>
        <v>3.3709944089182158</v>
      </c>
      <c r="AA198" s="40">
        <f t="shared" si="419"/>
        <v>3.405301038345725</v>
      </c>
      <c r="AB198" s="40">
        <f t="shared" si="419"/>
        <v>3.8072856013718948</v>
      </c>
      <c r="AC198" s="40">
        <f t="shared" si="419"/>
        <v>3.7800486562975464</v>
      </c>
      <c r="AD198" s="40">
        <f t="shared" si="419"/>
        <v>3.3480965782131094</v>
      </c>
      <c r="AE198" s="40">
        <f t="shared" si="419"/>
        <v>4.3482120249377498</v>
      </c>
      <c r="AF198" s="40">
        <f t="shared" si="419"/>
        <v>4.3730560663722882</v>
      </c>
      <c r="AG198" s="40">
        <f t="shared" si="419"/>
        <v>4.2012953719132273</v>
      </c>
      <c r="AH198" s="40">
        <f t="shared" si="419"/>
        <v>3.4198879362693906</v>
      </c>
      <c r="AI198" s="40">
        <f t="shared" si="419"/>
        <v>3.4215427853113871</v>
      </c>
      <c r="AJ198" s="40">
        <f t="shared" si="419"/>
        <v>3.2363099998921263</v>
      </c>
      <c r="AK198" s="40">
        <f t="shared" si="419"/>
        <v>3.2965140709731049</v>
      </c>
      <c r="AL198" s="40">
        <f t="shared" si="419"/>
        <v>3.287563357195578</v>
      </c>
      <c r="AM198" s="40">
        <f t="shared" si="419"/>
        <v>3.1069275528218285</v>
      </c>
      <c r="AN198" s="40">
        <f t="shared" si="419"/>
        <v>3.362028330023541</v>
      </c>
      <c r="AO198" s="40">
        <f t="shared" si="419"/>
        <v>3.5449719122236352</v>
      </c>
      <c r="AP198" s="40">
        <f t="shared" si="419"/>
        <v>4.291454373872762</v>
      </c>
      <c r="AQ198" s="40">
        <f t="shared" si="419"/>
        <v>4.0689255802288393</v>
      </c>
      <c r="AR198" s="40">
        <f t="shared" si="419"/>
        <v>3.9588044909670708</v>
      </c>
      <c r="AS198" s="40">
        <f t="shared" si="419"/>
        <v>3.9233602263250131</v>
      </c>
      <c r="AT198" s="40">
        <f t="shared" si="419"/>
        <v>3.8201228627580739</v>
      </c>
      <c r="AU198" s="40">
        <f t="shared" si="419"/>
        <v>3.8696630980967219</v>
      </c>
      <c r="AV198" s="40">
        <f t="shared" si="419"/>
        <v>4.2569402869979021</v>
      </c>
      <c r="AW198" s="40">
        <f t="shared" si="419"/>
        <v>4.4882750243756337</v>
      </c>
      <c r="AX198" s="40">
        <f t="shared" si="419"/>
        <v>4.8630876544096528</v>
      </c>
      <c r="AY198" s="40">
        <f t="shared" si="417"/>
        <v>4.6035123605041717</v>
      </c>
      <c r="AZ198" s="40">
        <f t="shared" si="417"/>
        <v>4.2591893738555306</v>
      </c>
      <c r="BA198" s="40">
        <f t="shared" si="417"/>
        <v>4.1826886730380837</v>
      </c>
      <c r="BB198" s="40">
        <f t="shared" si="417"/>
        <v>4.0818460350508508</v>
      </c>
      <c r="BC198" s="40">
        <f>+BC126</f>
        <v>3.8940322034262005</v>
      </c>
      <c r="BD198" s="40"/>
    </row>
    <row r="199" spans="2:56" ht="12.75"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142"/>
      <c r="T199" s="142"/>
      <c r="U199" s="142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  <c r="BC199" s="40"/>
      <c r="BD199" s="40"/>
    </row>
    <row r="200" spans="2:56" ht="12.75">
      <c r="B200" s="5" t="s">
        <v>383</v>
      </c>
      <c r="C200" s="39">
        <f>C128</f>
        <v>2.2961653560114401</v>
      </c>
      <c r="D200" s="39">
        <f t="shared" ref="D200:Q200" si="420">D128</f>
        <v>2.4785633010773229</v>
      </c>
      <c r="E200" s="39">
        <f t="shared" si="420"/>
        <v>2.4005482450305635</v>
      </c>
      <c r="F200" s="39">
        <f t="shared" si="420"/>
        <v>2.4116268356156341</v>
      </c>
      <c r="G200" s="39">
        <f t="shared" si="420"/>
        <v>2.4105643894458986</v>
      </c>
      <c r="H200" s="39">
        <f t="shared" si="420"/>
        <v>2.4251296938330391</v>
      </c>
      <c r="I200" s="39">
        <f t="shared" si="420"/>
        <v>2.4315587947397712</v>
      </c>
      <c r="J200" s="39">
        <f t="shared" si="420"/>
        <v>3.5209643567841713</v>
      </c>
      <c r="K200" s="39">
        <f t="shared" si="420"/>
        <v>2.0439208156425033</v>
      </c>
      <c r="L200" s="39">
        <f t="shared" si="420"/>
        <v>2.0811229227196599</v>
      </c>
      <c r="M200" s="39">
        <f t="shared" si="420"/>
        <v>2.2304095292387052</v>
      </c>
      <c r="N200" s="39">
        <f t="shared" si="420"/>
        <v>2.3080805922325505</v>
      </c>
      <c r="O200" s="39">
        <f t="shared" si="420"/>
        <v>2.5478490376328642</v>
      </c>
      <c r="P200" s="39">
        <f>P128</f>
        <v>2.2151879520133462</v>
      </c>
      <c r="Q200" s="39">
        <f t="shared" si="420"/>
        <v>2.5095189818558921</v>
      </c>
      <c r="R200" s="40"/>
      <c r="S200" s="142"/>
      <c r="T200" s="142"/>
      <c r="U200" s="142"/>
      <c r="V200" s="39">
        <f t="shared" ref="V200:AX200" si="421">V128</f>
        <v>2.4778218554424196</v>
      </c>
      <c r="W200" s="39">
        <f t="shared" si="421"/>
        <v>2.2842859692631183</v>
      </c>
      <c r="X200" s="39">
        <f t="shared" si="421"/>
        <v>2.1665458837970393</v>
      </c>
      <c r="Y200" s="39">
        <f t="shared" si="421"/>
        <v>2.055634160562386</v>
      </c>
      <c r="Z200" s="39">
        <f t="shared" si="421"/>
        <v>2.400548245030564</v>
      </c>
      <c r="AA200" s="39">
        <f t="shared" si="421"/>
        <v>2.5433806055683683</v>
      </c>
      <c r="AB200" s="39">
        <f t="shared" si="421"/>
        <v>2.5584729502528236</v>
      </c>
      <c r="AC200" s="39">
        <f t="shared" si="421"/>
        <v>2.5255392909964529</v>
      </c>
      <c r="AD200" s="39">
        <f t="shared" si="421"/>
        <v>2.4116268356156341</v>
      </c>
      <c r="AE200" s="39">
        <f t="shared" si="421"/>
        <v>2.9135075759799713</v>
      </c>
      <c r="AF200" s="39">
        <f t="shared" si="421"/>
        <v>2.8906259459277455</v>
      </c>
      <c r="AG200" s="39">
        <f t="shared" si="421"/>
        <v>2.7355027781267101</v>
      </c>
      <c r="AH200" s="39">
        <f t="shared" si="421"/>
        <v>2.4251296938330391</v>
      </c>
      <c r="AI200" s="39">
        <f t="shared" si="421"/>
        <v>2.4531389038340996</v>
      </c>
      <c r="AJ200" s="39">
        <f t="shared" si="421"/>
        <v>2.3653120220134927</v>
      </c>
      <c r="AK200" s="39">
        <f t="shared" si="421"/>
        <v>2.5396540197133386</v>
      </c>
      <c r="AL200" s="39">
        <f t="shared" si="421"/>
        <v>2.4315587947397699</v>
      </c>
      <c r="AM200" s="39">
        <f t="shared" si="421"/>
        <v>1.323833194502269</v>
      </c>
      <c r="AN200" s="39">
        <f t="shared" si="421"/>
        <v>1.4796476158233556</v>
      </c>
      <c r="AO200" s="39">
        <f t="shared" si="421"/>
        <v>1.6424245498103542</v>
      </c>
      <c r="AP200" s="39">
        <f t="shared" si="421"/>
        <v>2.0439208156425028</v>
      </c>
      <c r="AQ200" s="39">
        <f t="shared" si="421"/>
        <v>2.1059837042428606</v>
      </c>
      <c r="AR200" s="39">
        <f t="shared" si="421"/>
        <v>2.1690518483170074</v>
      </c>
      <c r="AS200" s="39">
        <f t="shared" si="421"/>
        <v>2.3173940220922207</v>
      </c>
      <c r="AT200" s="39">
        <f t="shared" si="421"/>
        <v>2.2304095292387052</v>
      </c>
      <c r="AU200" s="39">
        <f t="shared" si="421"/>
        <v>2.2673983893752885</v>
      </c>
      <c r="AV200" s="39">
        <f t="shared" si="421"/>
        <v>2.4283564976668401</v>
      </c>
      <c r="AW200" s="39">
        <f t="shared" si="421"/>
        <v>2.4847202391080483</v>
      </c>
      <c r="AX200" s="39">
        <f t="shared" si="421"/>
        <v>2.5478490376328637</v>
      </c>
      <c r="AY200" s="39">
        <f t="shared" ref="AY200:BB201" si="422">AY128</f>
        <v>2.4100787316262782</v>
      </c>
      <c r="AZ200" s="39">
        <f t="shared" si="422"/>
        <v>2.2964665154372441</v>
      </c>
      <c r="BA200" s="39">
        <f t="shared" si="422"/>
        <v>2.2427850250962682</v>
      </c>
      <c r="BB200" s="39">
        <f t="shared" si="422"/>
        <v>2.2151879520133462</v>
      </c>
      <c r="BC200" s="39">
        <f>BC128</f>
        <v>2.5095189818558921</v>
      </c>
      <c r="BD200" s="40"/>
    </row>
    <row r="201" spans="2:56" ht="12.75">
      <c r="B201" s="1" t="s">
        <v>384</v>
      </c>
      <c r="C201" s="40">
        <f>C129</f>
        <v>3.5911572791446282</v>
      </c>
      <c r="D201" s="40">
        <f t="shared" ref="D201:Q201" si="423">D129</f>
        <v>3.5789410349592461</v>
      </c>
      <c r="E201" s="40">
        <f t="shared" si="423"/>
        <v>3.2329558573327342</v>
      </c>
      <c r="F201" s="40">
        <f t="shared" si="423"/>
        <v>3.1099168718841392</v>
      </c>
      <c r="G201" s="40">
        <f t="shared" si="423"/>
        <v>3.1085551529804691</v>
      </c>
      <c r="H201" s="40">
        <f t="shared" si="423"/>
        <v>3.1788570175957589</v>
      </c>
      <c r="I201" s="40">
        <f t="shared" si="423"/>
        <v>3.0526418504222717</v>
      </c>
      <c r="J201" s="40">
        <f t="shared" si="423"/>
        <v>4.43069410313504</v>
      </c>
      <c r="K201" s="40">
        <f t="shared" si="423"/>
        <v>3.9753264599592777</v>
      </c>
      <c r="L201" s="40">
        <f t="shared" si="423"/>
        <v>4.0476827467088556</v>
      </c>
      <c r="M201" s="40">
        <f t="shared" si="423"/>
        <v>3.529449987841291</v>
      </c>
      <c r="N201" s="40">
        <f t="shared" si="423"/>
        <v>3.6523584173227674</v>
      </c>
      <c r="O201" s="40">
        <f t="shared" si="423"/>
        <v>4.6213001382505041</v>
      </c>
      <c r="P201" s="40">
        <f>P129</f>
        <v>3.8391590995903968</v>
      </c>
      <c r="Q201" s="40">
        <f t="shared" si="423"/>
        <v>3.6077899815706043</v>
      </c>
      <c r="R201" s="40"/>
      <c r="S201" s="142"/>
      <c r="T201" s="142"/>
      <c r="U201" s="142"/>
      <c r="V201" s="40">
        <f t="shared" ref="V201:AX201" si="424">V129</f>
        <v>3.5781995893243428</v>
      </c>
      <c r="W201" s="40">
        <f t="shared" si="424"/>
        <v>3.3376318716375506</v>
      </c>
      <c r="X201" s="40">
        <f t="shared" si="424"/>
        <v>3.3666059661992227</v>
      </c>
      <c r="Y201" s="40">
        <f t="shared" si="424"/>
        <v>3.1667715863454737</v>
      </c>
      <c r="Z201" s="40">
        <f t="shared" si="424"/>
        <v>3.2329558573327351</v>
      </c>
      <c r="AA201" s="40">
        <f t="shared" si="424"/>
        <v>3.1503480665111057</v>
      </c>
      <c r="AB201" s="40">
        <f t="shared" si="424"/>
        <v>3.5547280572028317</v>
      </c>
      <c r="AC201" s="40">
        <f t="shared" si="424"/>
        <v>3.5295852070994709</v>
      </c>
      <c r="AD201" s="40">
        <f t="shared" si="424"/>
        <v>3.1099168718841392</v>
      </c>
      <c r="AE201" s="40">
        <f t="shared" si="424"/>
        <v>4.0738205601427753</v>
      </c>
      <c r="AF201" s="40">
        <f t="shared" si="424"/>
        <v>4.1041294337722052</v>
      </c>
      <c r="AG201" s="40">
        <f t="shared" si="424"/>
        <v>3.9375758813303041</v>
      </c>
      <c r="AH201" s="40">
        <f t="shared" si="424"/>
        <v>3.1788570175957589</v>
      </c>
      <c r="AI201" s="40">
        <f t="shared" si="424"/>
        <v>3.1908777262777517</v>
      </c>
      <c r="AJ201" s="40">
        <f t="shared" si="424"/>
        <v>3.0165344838256085</v>
      </c>
      <c r="AK201" s="40">
        <f t="shared" si="424"/>
        <v>3.0710593365962904</v>
      </c>
      <c r="AL201" s="40">
        <f t="shared" si="424"/>
        <v>3.0526418504222699</v>
      </c>
      <c r="AM201" s="40">
        <f t="shared" si="424"/>
        <v>2.8806986888698471</v>
      </c>
      <c r="AN201" s="40">
        <f t="shared" si="424"/>
        <v>3.1259906145677929</v>
      </c>
      <c r="AO201" s="40">
        <f t="shared" si="424"/>
        <v>3.2896368234933937</v>
      </c>
      <c r="AP201" s="40">
        <f t="shared" si="424"/>
        <v>3.9753264599592772</v>
      </c>
      <c r="AQ201" s="40">
        <f t="shared" si="424"/>
        <v>3.7626179024174076</v>
      </c>
      <c r="AR201" s="40">
        <f t="shared" si="424"/>
        <v>3.6621198223960154</v>
      </c>
      <c r="AS201" s="40">
        <f t="shared" si="424"/>
        <v>3.6230823809422801</v>
      </c>
      <c r="AT201" s="40">
        <f t="shared" si="424"/>
        <v>3.529449987841291</v>
      </c>
      <c r="AU201" s="40">
        <f t="shared" si="424"/>
        <v>3.6229078893905453</v>
      </c>
      <c r="AV201" s="40">
        <f t="shared" si="424"/>
        <v>4.0109031833592574</v>
      </c>
      <c r="AW201" s="40">
        <f t="shared" si="424"/>
        <v>4.2576927234834896</v>
      </c>
      <c r="AX201" s="40">
        <f t="shared" si="424"/>
        <v>4.6213001382505032</v>
      </c>
      <c r="AY201" s="40">
        <f t="shared" si="422"/>
        <v>4.3755124778793029</v>
      </c>
      <c r="AZ201" s="40">
        <f t="shared" si="422"/>
        <v>4.0478681206555702</v>
      </c>
      <c r="BA201" s="40">
        <f t="shared" si="422"/>
        <v>3.9683384126629031</v>
      </c>
      <c r="BB201" s="40">
        <f t="shared" si="422"/>
        <v>3.8391590995903968</v>
      </c>
      <c r="BC201" s="40">
        <f>BC129</f>
        <v>3.6077899815706043</v>
      </c>
      <c r="BD201" s="40"/>
    </row>
    <row r="202" spans="2:56" ht="12.75"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144"/>
      <c r="T202" s="144"/>
      <c r="U202" s="144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5"/>
      <c r="AW202" s="55"/>
      <c r="AX202" s="55"/>
      <c r="AY202" s="55"/>
      <c r="AZ202" s="55"/>
      <c r="BA202" s="55"/>
      <c r="BB202" s="55"/>
      <c r="BC202" s="55"/>
      <c r="BD202" s="55"/>
    </row>
    <row r="203" spans="2:56" s="5" customFormat="1" ht="13.5" customHeight="1">
      <c r="B203" s="5" t="s">
        <v>385</v>
      </c>
      <c r="C203" s="39">
        <f t="shared" ref="C203:H203" si="425">+C131</f>
        <v>2.1355072977512863</v>
      </c>
      <c r="D203" s="39">
        <f t="shared" si="425"/>
        <v>2.2519806115091332</v>
      </c>
      <c r="E203" s="39">
        <f t="shared" si="425"/>
        <v>2.1627268395936166</v>
      </c>
      <c r="F203" s="39">
        <f t="shared" si="425"/>
        <v>2.3842669733119739</v>
      </c>
      <c r="G203" s="39">
        <f t="shared" si="425"/>
        <v>2.383221859378899</v>
      </c>
      <c r="H203" s="39">
        <f t="shared" si="425"/>
        <v>2.4938183688970628</v>
      </c>
      <c r="I203" s="39">
        <f t="shared" ref="I203:Q203" si="426">+I131</f>
        <v>2.5534080677093991</v>
      </c>
      <c r="J203" s="39">
        <f t="shared" si="426"/>
        <v>3.7060915177234084</v>
      </c>
      <c r="K203" s="39">
        <f t="shared" si="426"/>
        <v>2.2322128564905057</v>
      </c>
      <c r="L203" s="39">
        <f t="shared" si="426"/>
        <v>2.2728421318864127</v>
      </c>
      <c r="M203" s="39">
        <f t="shared" si="426"/>
        <v>2.417968578706712</v>
      </c>
      <c r="N203" s="39">
        <f t="shared" si="426"/>
        <v>2.502171137623312</v>
      </c>
      <c r="O203" s="39">
        <f t="shared" si="426"/>
        <v>2.6773870654984209</v>
      </c>
      <c r="P203" s="39">
        <f>+P131</f>
        <v>2.1927184276172373</v>
      </c>
      <c r="Q203" s="39">
        <f t="shared" si="426"/>
        <v>2.187694904319458</v>
      </c>
      <c r="R203" s="39"/>
      <c r="S203" s="143"/>
      <c r="T203" s="143"/>
      <c r="U203" s="143"/>
      <c r="V203" s="39">
        <f t="shared" ref="V203:AX203" si="427">+V131</f>
        <v>2.2519806115091345</v>
      </c>
      <c r="W203" s="39">
        <f t="shared" si="427"/>
        <v>2.0488190696981996</v>
      </c>
      <c r="X203" s="39">
        <f t="shared" si="427"/>
        <v>1.9423817675017718</v>
      </c>
      <c r="Y203" s="39">
        <f t="shared" si="427"/>
        <v>1.7973988911399383</v>
      </c>
      <c r="Z203" s="39">
        <f t="shared" si="427"/>
        <v>2.162726839593617</v>
      </c>
      <c r="AA203" s="39">
        <f t="shared" si="427"/>
        <v>2.428460865845794</v>
      </c>
      <c r="AB203" s="39">
        <f t="shared" si="427"/>
        <v>2.4564804269019906</v>
      </c>
      <c r="AC203" s="39">
        <f t="shared" si="427"/>
        <v>2.4638796488967536</v>
      </c>
      <c r="AD203" s="39">
        <f t="shared" si="427"/>
        <v>2.3842669733119739</v>
      </c>
      <c r="AE203" s="39">
        <f t="shared" si="427"/>
        <v>2.9345053715275933</v>
      </c>
      <c r="AF203" s="39">
        <f t="shared" si="427"/>
        <v>2.9092385088380688</v>
      </c>
      <c r="AG203" s="39">
        <f t="shared" si="427"/>
        <v>2.8057234526466601</v>
      </c>
      <c r="AH203" s="39">
        <f t="shared" si="427"/>
        <v>2.4938183688970628</v>
      </c>
      <c r="AI203" s="39">
        <f t="shared" si="427"/>
        <v>2.5538687723316023</v>
      </c>
      <c r="AJ203" s="39">
        <f t="shared" si="427"/>
        <v>2.4712946126191158</v>
      </c>
      <c r="AK203" s="39">
        <f t="shared" si="427"/>
        <v>2.6633430384433057</v>
      </c>
      <c r="AL203" s="39">
        <f t="shared" si="427"/>
        <v>2.5534080677093978</v>
      </c>
      <c r="AM203" s="39">
        <f t="shared" si="427"/>
        <v>1.4517405785304049</v>
      </c>
      <c r="AN203" s="39">
        <f t="shared" si="427"/>
        <v>1.6245309235576233</v>
      </c>
      <c r="AO203" s="39">
        <f t="shared" si="427"/>
        <v>1.8136124125178654</v>
      </c>
      <c r="AP203" s="39">
        <f t="shared" si="427"/>
        <v>2.2322128564905057</v>
      </c>
      <c r="AQ203" s="39">
        <f t="shared" si="427"/>
        <v>2.296991849534693</v>
      </c>
      <c r="AR203" s="39">
        <f t="shared" si="427"/>
        <v>2.3635371993963599</v>
      </c>
      <c r="AS203" s="39">
        <f t="shared" si="427"/>
        <v>2.5120443670652297</v>
      </c>
      <c r="AT203" s="39">
        <f t="shared" si="427"/>
        <v>2.417968578706712</v>
      </c>
      <c r="AU203" s="39">
        <f t="shared" si="427"/>
        <v>2.3885373752016945</v>
      </c>
      <c r="AV203" s="39">
        <f t="shared" si="427"/>
        <v>2.538058851088679</v>
      </c>
      <c r="AW203" s="39">
        <f t="shared" si="427"/>
        <v>2.5937117044606008</v>
      </c>
      <c r="AX203" s="39">
        <f t="shared" si="427"/>
        <v>2.6773870654984204</v>
      </c>
      <c r="AY203" s="39">
        <f>+AY131</f>
        <v>2.5040313843042368</v>
      </c>
      <c r="AZ203" s="39">
        <f>+AZ131</f>
        <v>2.3490757695846658</v>
      </c>
      <c r="BA203" s="39">
        <f>+BA131</f>
        <v>2.2829885100537544</v>
      </c>
      <c r="BB203" s="39">
        <f>+BB131</f>
        <v>2.1927184276172373</v>
      </c>
      <c r="BC203" s="39">
        <f>+BC131</f>
        <v>2.187694904319458</v>
      </c>
      <c r="BD203" s="39"/>
    </row>
    <row r="204" spans="2:56" ht="12.75"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144"/>
      <c r="T204" s="144"/>
      <c r="U204" s="144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5"/>
      <c r="AW204" s="55"/>
      <c r="AX204" s="55"/>
      <c r="AY204" s="55"/>
      <c r="AZ204" s="55"/>
      <c r="BA204" s="55"/>
      <c r="BB204" s="55"/>
      <c r="BC204" s="55"/>
      <c r="BD204" s="55"/>
    </row>
    <row r="205" spans="2:56" s="5" customFormat="1" ht="12.75">
      <c r="B205" s="5" t="s">
        <v>386</v>
      </c>
      <c r="C205" s="39">
        <f t="shared" ref="C205:K205" si="428">+C133</f>
        <v>1.3552917283394559</v>
      </c>
      <c r="D205" s="39">
        <f t="shared" si="428"/>
        <v>2.1841402677679582</v>
      </c>
      <c r="E205" s="39">
        <f t="shared" si="428"/>
        <v>2.0781077357338678</v>
      </c>
      <c r="F205" s="39">
        <f t="shared" si="428"/>
        <v>2.3103179643581213</v>
      </c>
      <c r="G205" s="39">
        <f t="shared" si="428"/>
        <v>2.3097283582027766</v>
      </c>
      <c r="H205" s="39">
        <f t="shared" si="428"/>
        <v>2.108978299883443</v>
      </c>
      <c r="I205" s="39">
        <f t="shared" si="428"/>
        <v>2.2537734721538221</v>
      </c>
      <c r="J205" s="39">
        <f t="shared" si="428"/>
        <v>0.70180133958276514</v>
      </c>
      <c r="K205" s="39">
        <f t="shared" si="428"/>
        <v>1.0595116383672551</v>
      </c>
      <c r="L205" s="39">
        <f t="shared" ref="L205:Q206" si="429">+L133</f>
        <v>1.0062968627010003</v>
      </c>
      <c r="M205" s="39">
        <f t="shared" si="429"/>
        <v>1.3801750821889189</v>
      </c>
      <c r="N205" s="39">
        <f t="shared" si="429"/>
        <v>1.2684251578448207</v>
      </c>
      <c r="O205" s="39">
        <f t="shared" si="429"/>
        <v>1.8615710748909893</v>
      </c>
      <c r="P205" s="39">
        <f>+P133</f>
        <v>1.5178842429577464</v>
      </c>
      <c r="Q205" s="39">
        <f t="shared" si="429"/>
        <v>1.5792609106664566</v>
      </c>
      <c r="R205" s="39"/>
      <c r="S205" s="143"/>
      <c r="T205" s="143"/>
      <c r="U205" s="143"/>
      <c r="V205" s="39">
        <f t="shared" ref="V205:AX205" si="430">+V133</f>
        <v>2.184140267767956</v>
      </c>
      <c r="W205" s="39">
        <f t="shared" si="430"/>
        <v>2.4246039083848259</v>
      </c>
      <c r="X205" s="39">
        <f t="shared" si="430"/>
        <v>2.5151720297036748</v>
      </c>
      <c r="Y205" s="39">
        <f t="shared" si="430"/>
        <v>2.3386475272523741</v>
      </c>
      <c r="Z205" s="39">
        <f t="shared" si="430"/>
        <v>2.0781077357338669</v>
      </c>
      <c r="AA205" s="39">
        <f t="shared" si="430"/>
        <v>2.1732336759417037</v>
      </c>
      <c r="AB205" s="39">
        <f t="shared" si="430"/>
        <v>2.1182754626830609</v>
      </c>
      <c r="AC205" s="39">
        <f t="shared" si="430"/>
        <v>2.3165374448574858</v>
      </c>
      <c r="AD205" s="39">
        <f t="shared" si="430"/>
        <v>2.3103179643581213</v>
      </c>
      <c r="AE205" s="39">
        <f t="shared" si="430"/>
        <v>2.073814674214403</v>
      </c>
      <c r="AF205" s="39">
        <f t="shared" si="430"/>
        <v>1.7980696272154666</v>
      </c>
      <c r="AG205" s="39">
        <f t="shared" si="430"/>
        <v>1.7039843141017901</v>
      </c>
      <c r="AH205" s="39">
        <f t="shared" si="430"/>
        <v>2.108978299883443</v>
      </c>
      <c r="AI205" s="39">
        <f t="shared" si="430"/>
        <v>2.0994429842799618</v>
      </c>
      <c r="AJ205" s="39">
        <f t="shared" si="430"/>
        <v>2.2114747476716992</v>
      </c>
      <c r="AK205" s="39">
        <f t="shared" si="430"/>
        <v>2.1678664830393704</v>
      </c>
      <c r="AL205" s="39">
        <f t="shared" si="430"/>
        <v>2.2537734721538247</v>
      </c>
      <c r="AM205" s="39">
        <f t="shared" si="430"/>
        <v>1.9352191948479702</v>
      </c>
      <c r="AN205" s="39">
        <f t="shared" si="430"/>
        <v>1.6562177635919479</v>
      </c>
      <c r="AO205" s="39">
        <f t="shared" si="430"/>
        <v>1.5579444841709809</v>
      </c>
      <c r="AP205" s="39">
        <f t="shared" si="430"/>
        <v>1.0595116383672556</v>
      </c>
      <c r="AQ205" s="39">
        <f t="shared" si="430"/>
        <v>1.1887342980917421</v>
      </c>
      <c r="AR205" s="39">
        <f t="shared" si="430"/>
        <v>3.2266183850025794</v>
      </c>
      <c r="AS205" s="39">
        <f t="shared" si="430"/>
        <v>1.286673539099672</v>
      </c>
      <c r="AT205" s="39">
        <f t="shared" si="430"/>
        <v>1.3801750821889189</v>
      </c>
      <c r="AU205" s="39">
        <f t="shared" si="430"/>
        <v>1.5124121093527427</v>
      </c>
      <c r="AV205" s="39">
        <f t="shared" si="430"/>
        <v>-0.30071764502514675</v>
      </c>
      <c r="AW205" s="39">
        <f t="shared" si="430"/>
        <v>1.9900762442605002</v>
      </c>
      <c r="AX205" s="39">
        <f t="shared" si="430"/>
        <v>1.8615710748909899</v>
      </c>
      <c r="AY205" s="39">
        <f t="shared" ref="AY205:BB206" si="431">+AY133</f>
        <v>1.8585655785605886</v>
      </c>
      <c r="AZ205" s="39">
        <f t="shared" si="431"/>
        <v>1.6739159446195446</v>
      </c>
      <c r="BA205" s="39">
        <f t="shared" si="431"/>
        <v>1.5933925654223275</v>
      </c>
      <c r="BB205" s="39">
        <f t="shared" si="431"/>
        <v>1.5178842429577464</v>
      </c>
      <c r="BC205" s="39">
        <f>+BC133</f>
        <v>1.5792609106664566</v>
      </c>
      <c r="BD205" s="39"/>
    </row>
    <row r="206" spans="2:56" ht="12.75">
      <c r="B206" s="1" t="s">
        <v>387</v>
      </c>
      <c r="C206" s="40">
        <f t="shared" ref="C206:K206" si="432">+C134</f>
        <v>4.8100649729216176</v>
      </c>
      <c r="D206" s="40">
        <f t="shared" si="432"/>
        <v>3.9726864631180598</v>
      </c>
      <c r="E206" s="40">
        <f t="shared" si="432"/>
        <v>3.803296356788187</v>
      </c>
      <c r="F206" s="40">
        <f t="shared" si="432"/>
        <v>4.2869937371978519</v>
      </c>
      <c r="G206" s="40">
        <f t="shared" si="432"/>
        <v>4.2842929100980029</v>
      </c>
      <c r="H206" s="40">
        <f t="shared" si="432"/>
        <v>4.0773082053648366</v>
      </c>
      <c r="I206" s="40">
        <f t="shared" si="432"/>
        <v>4.9898788398452307</v>
      </c>
      <c r="J206" s="40">
        <f t="shared" si="432"/>
        <v>3.4379067072741738</v>
      </c>
      <c r="K206" s="40">
        <f t="shared" si="432"/>
        <v>2.9768875520071965</v>
      </c>
      <c r="L206" s="40">
        <f t="shared" si="429"/>
        <v>2.9236727763409416</v>
      </c>
      <c r="M206" s="40">
        <f t="shared" si="429"/>
        <v>3.3207712321705576</v>
      </c>
      <c r="N206" s="40">
        <f t="shared" si="429"/>
        <v>3.2090213078264593</v>
      </c>
      <c r="O206" s="40">
        <f t="shared" si="429"/>
        <v>3.0033237102339396</v>
      </c>
      <c r="P206" s="40">
        <f>+P134</f>
        <v>3.2862717136150232</v>
      </c>
      <c r="Q206" s="40">
        <f t="shared" si="429"/>
        <v>3.583098786828423</v>
      </c>
      <c r="R206" s="40"/>
      <c r="S206" s="142"/>
      <c r="T206" s="142"/>
      <c r="U206" s="142"/>
      <c r="V206" s="40">
        <f t="shared" ref="V206:AX206" si="433">+V134</f>
        <v>3.9726864631180572</v>
      </c>
      <c r="W206" s="40">
        <f t="shared" si="433"/>
        <v>4.0434479978284861</v>
      </c>
      <c r="X206" s="40">
        <f t="shared" si="433"/>
        <v>4.2364239984814107</v>
      </c>
      <c r="Y206" s="40">
        <f t="shared" si="433"/>
        <v>4.1562607694037581</v>
      </c>
      <c r="Z206" s="40">
        <f t="shared" si="433"/>
        <v>3.8032963567881857</v>
      </c>
      <c r="AA206" s="40">
        <f t="shared" si="433"/>
        <v>4.2027681125216247</v>
      </c>
      <c r="AB206" s="40">
        <f t="shared" si="433"/>
        <v>4.1091119499538786</v>
      </c>
      <c r="AC206" s="40">
        <f t="shared" si="433"/>
        <v>4.2339312095514954</v>
      </c>
      <c r="AD206" s="40">
        <f t="shared" si="433"/>
        <v>4.2869937371978519</v>
      </c>
      <c r="AE206" s="40">
        <f t="shared" si="433"/>
        <v>3.9334313361078777</v>
      </c>
      <c r="AF206" s="40">
        <f t="shared" si="433"/>
        <v>3.6861291312742206</v>
      </c>
      <c r="AG206" s="40">
        <f t="shared" si="433"/>
        <v>3.7140704947661414</v>
      </c>
      <c r="AH206" s="40">
        <f t="shared" si="433"/>
        <v>4.0773082053648366</v>
      </c>
      <c r="AI206" s="40">
        <f t="shared" si="433"/>
        <v>4.202623290203011</v>
      </c>
      <c r="AJ206" s="40">
        <f t="shared" si="433"/>
        <v>4.4879271490031512</v>
      </c>
      <c r="AK206" s="40">
        <f t="shared" si="433"/>
        <v>4.7365033704175135</v>
      </c>
      <c r="AL206" s="40">
        <f t="shared" si="433"/>
        <v>4.9898788398452334</v>
      </c>
      <c r="AM206" s="40">
        <f t="shared" si="433"/>
        <v>4.374944877579714</v>
      </c>
      <c r="AN206" s="40">
        <f t="shared" si="433"/>
        <v>3.9875927200072008</v>
      </c>
      <c r="AO206" s="40">
        <f t="shared" si="433"/>
        <v>3.5726090880899033</v>
      </c>
      <c r="AP206" s="40">
        <f t="shared" si="433"/>
        <v>2.9768875520071969</v>
      </c>
      <c r="AQ206" s="40">
        <f t="shared" si="433"/>
        <v>3.1679721563030099</v>
      </c>
      <c r="AR206" s="40">
        <f t="shared" si="433"/>
        <v>3.2558692861289651</v>
      </c>
      <c r="AS206" s="40">
        <f t="shared" si="433"/>
        <v>3.0541840917408818</v>
      </c>
      <c r="AT206" s="40">
        <f t="shared" si="433"/>
        <v>3.3207712321705576</v>
      </c>
      <c r="AU206" s="40">
        <f t="shared" si="433"/>
        <v>3.2249101000693514</v>
      </c>
      <c r="AV206" s="40">
        <f t="shared" si="433"/>
        <v>3.2610727701215256</v>
      </c>
      <c r="AW206" s="40">
        <f t="shared" si="433"/>
        <v>3.4040631051496568</v>
      </c>
      <c r="AX206" s="40">
        <f t="shared" si="433"/>
        <v>3.0033237102339401</v>
      </c>
      <c r="AY206" s="40">
        <f t="shared" si="431"/>
        <v>2.9521050567286555</v>
      </c>
      <c r="AZ206" s="40">
        <f t="shared" si="431"/>
        <v>2.8444039739303775</v>
      </c>
      <c r="BA206" s="40">
        <f t="shared" si="431"/>
        <v>3.0004340860089318</v>
      </c>
      <c r="BB206" s="40">
        <f t="shared" si="431"/>
        <v>3.2862717136150232</v>
      </c>
      <c r="BC206" s="40">
        <f>+BC134</f>
        <v>3.583098786828423</v>
      </c>
      <c r="BD206" s="40"/>
    </row>
    <row r="207" spans="2:56" ht="12.75"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  <c r="BC207" s="40"/>
      <c r="BD207" s="40"/>
    </row>
    <row r="208" spans="2:56" s="5" customFormat="1" ht="12.75" customHeight="1">
      <c r="B208" s="5" t="s">
        <v>388</v>
      </c>
      <c r="C208" s="232">
        <f t="shared" ref="C208:H208" si="434">+C136</f>
        <v>0.94196273747356785</v>
      </c>
      <c r="D208" s="67">
        <f t="shared" si="434"/>
        <v>0.93191678602450023</v>
      </c>
      <c r="E208" s="67">
        <f t="shared" si="434"/>
        <v>0.93335978531993957</v>
      </c>
      <c r="F208" s="67">
        <f t="shared" si="434"/>
        <v>0.98741301358073774</v>
      </c>
      <c r="G208" s="67">
        <f t="shared" si="434"/>
        <v>0.98624173449160613</v>
      </c>
      <c r="H208" s="67">
        <f t="shared" si="434"/>
        <v>1.1688464779911782</v>
      </c>
      <c r="I208" s="232">
        <f t="shared" ref="I208:Q208" si="435">+I136</f>
        <v>1.1471245101841268</v>
      </c>
      <c r="J208" s="67">
        <f t="shared" si="435"/>
        <v>1.1359299345240563</v>
      </c>
      <c r="K208" s="67">
        <f t="shared" si="435"/>
        <v>0.43878019575579186</v>
      </c>
      <c r="L208" s="67">
        <f t="shared" si="435"/>
        <v>0.43878019575579186</v>
      </c>
      <c r="M208" s="67">
        <f t="shared" si="435"/>
        <v>0.47540119735271386</v>
      </c>
      <c r="N208" s="67">
        <f t="shared" si="435"/>
        <v>0.46959202110798726</v>
      </c>
      <c r="O208" s="67">
        <f t="shared" si="435"/>
        <v>0.55641068305047747</v>
      </c>
      <c r="P208" s="67">
        <f>+P136</f>
        <v>0.53508635519832048</v>
      </c>
      <c r="Q208" s="67">
        <f t="shared" si="435"/>
        <v>0.60936537099493293</v>
      </c>
      <c r="R208" s="67"/>
      <c r="S208" s="67">
        <f t="shared" ref="S208:AX208" si="436">+S136</f>
        <v>0.86882203102519706</v>
      </c>
      <c r="T208" s="67">
        <f t="shared" si="436"/>
        <v>0.85161380872092418</v>
      </c>
      <c r="U208" s="67">
        <f t="shared" si="436"/>
        <v>0.85895364930079876</v>
      </c>
      <c r="V208" s="67">
        <f t="shared" si="436"/>
        <v>0.93165488748728487</v>
      </c>
      <c r="W208" s="67">
        <f t="shared" si="436"/>
        <v>0.85815785517849441</v>
      </c>
      <c r="X208" s="67">
        <f t="shared" si="436"/>
        <v>0.83204674100627662</v>
      </c>
      <c r="Y208" s="67">
        <f t="shared" si="436"/>
        <v>0.79284628748631858</v>
      </c>
      <c r="Z208" s="67">
        <f t="shared" si="436"/>
        <v>0.93335978531993957</v>
      </c>
      <c r="AA208" s="67">
        <f t="shared" si="436"/>
        <v>1.0469233322638634</v>
      </c>
      <c r="AB208" s="67">
        <f t="shared" si="436"/>
        <v>1.0441799365233038</v>
      </c>
      <c r="AC208" s="67">
        <f t="shared" si="436"/>
        <v>1.0401556516404868</v>
      </c>
      <c r="AD208" s="67">
        <f t="shared" si="436"/>
        <v>0.98741301358073774</v>
      </c>
      <c r="AE208" s="67">
        <f t="shared" si="436"/>
        <v>1.5070234125550468</v>
      </c>
      <c r="AF208" s="67">
        <f t="shared" si="436"/>
        <v>1.4315011643627125</v>
      </c>
      <c r="AG208" s="67">
        <f t="shared" si="436"/>
        <v>1.3251983805092706</v>
      </c>
      <c r="AH208" s="67">
        <f t="shared" si="436"/>
        <v>1.1688464779911782</v>
      </c>
      <c r="AI208" s="67">
        <f t="shared" si="436"/>
        <v>1.1837592124295784</v>
      </c>
      <c r="AJ208" s="67">
        <f t="shared" si="436"/>
        <v>1.1575464961788355</v>
      </c>
      <c r="AK208" s="67">
        <f t="shared" si="436"/>
        <v>1.209105340617757</v>
      </c>
      <c r="AL208" s="67">
        <f t="shared" si="436"/>
        <v>1.1471245101841268</v>
      </c>
      <c r="AM208" s="67">
        <f t="shared" si="436"/>
        <v>0.40803896042019117</v>
      </c>
      <c r="AN208" s="67">
        <f t="shared" si="436"/>
        <v>0.6898965179540576</v>
      </c>
      <c r="AO208" s="67">
        <f t="shared" si="436"/>
        <v>0.40253838556396909</v>
      </c>
      <c r="AP208" s="67">
        <f t="shared" si="436"/>
        <v>0.43878019575579186</v>
      </c>
      <c r="AQ208" s="67">
        <f t="shared" si="436"/>
        <v>0.4410965304209632</v>
      </c>
      <c r="AR208" s="67">
        <f t="shared" si="436"/>
        <v>0.44762514561537475</v>
      </c>
      <c r="AS208" s="67">
        <f t="shared" si="436"/>
        <v>0.46085427146279873</v>
      </c>
      <c r="AT208" s="67">
        <f t="shared" si="436"/>
        <v>0.47540119735271386</v>
      </c>
      <c r="AU208" s="67">
        <f t="shared" si="436"/>
        <v>0.47500449651235582</v>
      </c>
      <c r="AV208" s="67">
        <f t="shared" si="436"/>
        <v>0.50713811892724026</v>
      </c>
      <c r="AW208" s="67">
        <f t="shared" si="436"/>
        <v>0.51314189688495926</v>
      </c>
      <c r="AX208" s="67">
        <f t="shared" si="436"/>
        <v>0.55641068305047747</v>
      </c>
      <c r="AY208" s="67">
        <f>+AY136</f>
        <v>0.52261958512560125</v>
      </c>
      <c r="AZ208" s="67">
        <f>+AZ136</f>
        <v>0.48914391214071268</v>
      </c>
      <c r="BA208" s="67">
        <f>+BA136</f>
        <v>0.48524505342864155</v>
      </c>
      <c r="BB208" s="67">
        <f>+BB136</f>
        <v>0.53508635519832048</v>
      </c>
      <c r="BC208" s="67">
        <f>+BC136</f>
        <v>0.60936537099493293</v>
      </c>
      <c r="BD208" s="67"/>
    </row>
    <row r="209" spans="2:57" s="5" customFormat="1" ht="13.5" customHeight="1"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</row>
    <row r="210" spans="2:57" s="5" customFormat="1" ht="13.5" customHeight="1">
      <c r="B210" s="350" t="s">
        <v>400</v>
      </c>
      <c r="C210" s="351">
        <v>5.3620000000000001E-2</v>
      </c>
      <c r="D210" s="351">
        <v>5.305E-2</v>
      </c>
      <c r="E210" s="351">
        <v>5.2060000000000002E-2</v>
      </c>
      <c r="F210" s="351">
        <f>AVERAGE(AA210:AD210)</f>
        <v>5.1929443050947197E-2</v>
      </c>
      <c r="G210" s="351">
        <f>AVERAGE(AB210:AE210)</f>
        <v>5.0759344984395598E-2</v>
      </c>
      <c r="H210" s="351">
        <f>AVERAGE(AE210:AH210)</f>
        <v>4.5050808986704542E-2</v>
      </c>
      <c r="I210" s="351">
        <f>AVERAGE(AF210:AI210)</f>
        <v>4.5579169675107507E-2</v>
      </c>
      <c r="J210" s="351">
        <f>AVERAGE(AH210:AM210)</f>
        <v>4.8875818765421415E-2</v>
      </c>
      <c r="K210" s="351">
        <f>AVERAGE(AM210:AP210)</f>
        <v>4.9920738122252388E-2</v>
      </c>
      <c r="L210" s="351">
        <f>AVERAGE(AM210:AP210)</f>
        <v>4.9920738122252388E-2</v>
      </c>
      <c r="M210" s="351">
        <f>AVERAGE(AQ210:AT210)</f>
        <v>5.6391272889584405E-2</v>
      </c>
      <c r="N210" s="351">
        <f>AVERAGE(AQ210:AT210)</f>
        <v>5.6391272889584405E-2</v>
      </c>
      <c r="O210" s="351">
        <f>AVERAGE(AU210:AX210)</f>
        <v>5.48675E-2</v>
      </c>
      <c r="P210" s="351">
        <f>AVERAGE(AY210:BB210)</f>
        <v>5.2088915057738994E-2</v>
      </c>
      <c r="Q210" s="351">
        <f>AVERAGE(AZ210:BC210)</f>
        <v>5.4085873204396478E-2</v>
      </c>
      <c r="R210" s="352"/>
      <c r="S210" s="351">
        <v>4.9390000000000003E-2</v>
      </c>
      <c r="T210" s="351">
        <v>5.3929999999999999E-2</v>
      </c>
      <c r="U210" s="351">
        <v>5.6129999999999999E-2</v>
      </c>
      <c r="V210" s="351">
        <v>5.2690000000000001E-2</v>
      </c>
      <c r="W210" s="351">
        <v>5.3429999999999998E-2</v>
      </c>
      <c r="X210" s="351">
        <v>5.16E-2</v>
      </c>
      <c r="Y210" s="351">
        <v>5.28E-2</v>
      </c>
      <c r="Z210" s="351">
        <v>5.0450000000000002E-2</v>
      </c>
      <c r="AA210" s="351">
        <v>5.2109999999999997E-2</v>
      </c>
      <c r="AB210" s="351">
        <v>5.2339999999999998E-2</v>
      </c>
      <c r="AC210" s="351">
        <v>5.1459999999999999E-2</v>
      </c>
      <c r="AD210" s="351">
        <f t="shared" ref="AD210:AK210" si="437">AVERAGE(AC211:AD211)</f>
        <v>5.1807772203788807E-2</v>
      </c>
      <c r="AE210" s="351">
        <f t="shared" si="437"/>
        <v>4.7429607733793601E-2</v>
      </c>
      <c r="AF210" s="351">
        <f t="shared" si="437"/>
        <v>4.2658268199253835E-2</v>
      </c>
      <c r="AG210" s="351">
        <f t="shared" si="437"/>
        <v>4.3373258223603883E-2</v>
      </c>
      <c r="AH210" s="351">
        <f t="shared" si="437"/>
        <v>4.6742101790166857E-2</v>
      </c>
      <c r="AI210" s="351">
        <f t="shared" si="437"/>
        <v>4.9543050487405454E-2</v>
      </c>
      <c r="AJ210" s="351">
        <f t="shared" si="437"/>
        <v>4.9547452628697537E-2</v>
      </c>
      <c r="AK210" s="351">
        <f t="shared" si="437"/>
        <v>4.92896546430329E-2</v>
      </c>
      <c r="AL210" s="351">
        <f>AVERAGE(AK211:AL211)</f>
        <v>4.8596583004019193E-2</v>
      </c>
      <c r="AM210" s="351">
        <f>AVERAGE(AL211:AM211)</f>
        <v>4.9536070039206556E-2</v>
      </c>
      <c r="AN210" s="351">
        <f>AVERAGE(AM211:AN211)</f>
        <v>5.0011529672139149E-2</v>
      </c>
      <c r="AO210" s="351">
        <f>AVERAGE(AN211:AO211)</f>
        <v>4.9662372937384652E-2</v>
      </c>
      <c r="AP210" s="351">
        <f>AVERAGE(AO211:AP211)</f>
        <v>5.0472979840279181E-2</v>
      </c>
      <c r="AQ210" s="351">
        <v>5.3580000000000003E-2</v>
      </c>
      <c r="AR210" s="351">
        <f>1/17.6695</f>
        <v>5.6594697076883901E-2</v>
      </c>
      <c r="AS210" s="351">
        <f>AVERAGE(AR211:AS211)</f>
        <v>5.7904773244378413E-2</v>
      </c>
      <c r="AT210" s="351">
        <f>AVERAGE(AQ211:AT211)</f>
        <v>5.7485621237075325E-2</v>
      </c>
      <c r="AU210" s="354">
        <v>5.8869999999999999E-2</v>
      </c>
      <c r="AV210" s="354">
        <v>5.8029999999999998E-2</v>
      </c>
      <c r="AW210" s="354">
        <v>5.2810000000000003E-2</v>
      </c>
      <c r="AX210" s="354">
        <v>4.9759999999999999E-2</v>
      </c>
      <c r="AY210" s="354">
        <v>4.8939999999999997E-2</v>
      </c>
      <c r="AZ210" s="354">
        <f>AVERAGE(AY211:AZ211)</f>
        <v>5.1098017080330932E-2</v>
      </c>
      <c r="BA210" s="354">
        <v>5.3679999999999999E-2</v>
      </c>
      <c r="BB210" s="354">
        <f>1/18.3024</f>
        <v>5.4637643150625061E-2</v>
      </c>
      <c r="BC210" s="354">
        <f>1/17.5661</f>
        <v>5.6927832586629937E-2</v>
      </c>
      <c r="BD210" s="220"/>
    </row>
    <row r="211" spans="2:57" s="5" customFormat="1" ht="13.5" customHeight="1">
      <c r="B211" s="350" t="s">
        <v>401</v>
      </c>
      <c r="C211" s="353">
        <f>1/20.6356</f>
        <v>4.8459943011107016E-2</v>
      </c>
      <c r="D211" s="353">
        <f>1/19.7051</f>
        <v>5.0748283439312661E-2</v>
      </c>
      <c r="E211" s="353">
        <f>1/19.673</f>
        <v>5.083108829360037E-2</v>
      </c>
      <c r="F211" s="353">
        <f>1/18.8838</f>
        <v>5.295544329001578E-2</v>
      </c>
      <c r="G211" s="353">
        <f>1/18.8838</f>
        <v>5.295544329001578E-2</v>
      </c>
      <c r="H211" s="353">
        <f>1/19.94</f>
        <v>5.0150451354062181E-2</v>
      </c>
      <c r="I211" s="353">
        <f>1/20.5031</f>
        <v>4.8773112358618941E-2</v>
      </c>
      <c r="J211" s="353">
        <f>1/20.5031</f>
        <v>4.8773112358618941E-2</v>
      </c>
      <c r="K211" s="353">
        <f>1/19.476</f>
        <v>5.1345245430273162E-2</v>
      </c>
      <c r="L211" s="353">
        <f>1/19.476</f>
        <v>5.1345245430273162E-2</v>
      </c>
      <c r="M211" s="353">
        <f>1/16.9742</f>
        <v>5.8912938459544484E-2</v>
      </c>
      <c r="N211" s="353">
        <f>1/16.9742</f>
        <v>5.8912938459544484E-2</v>
      </c>
      <c r="O211" s="353">
        <f>AX211</f>
        <v>4.8009999999999997E-2</v>
      </c>
      <c r="P211" s="353">
        <f>BB211</f>
        <v>5.5525325100778469E-2</v>
      </c>
      <c r="Q211" s="351">
        <f>BC211</f>
        <v>5.5744467361614362E-2</v>
      </c>
      <c r="R211" s="352"/>
      <c r="S211" s="351">
        <f>1/18.73</f>
        <v>5.3390282968499729E-2</v>
      </c>
      <c r="T211" s="351">
        <f>1/18.1167</f>
        <v>5.5197690528628281E-2</v>
      </c>
      <c r="U211" s="351">
        <f>1/18.225</f>
        <v>5.4869684499314127E-2</v>
      </c>
      <c r="V211" s="351">
        <f>D211</f>
        <v>5.0748283439312661E-2</v>
      </c>
      <c r="W211" s="351">
        <f>1/18.2733</f>
        <v>5.4724652908888928E-2</v>
      </c>
      <c r="X211" s="351">
        <f>1/19.8032</f>
        <v>5.0496889391613474E-2</v>
      </c>
      <c r="Y211" s="351">
        <f>1/18.6822</f>
        <v>5.3526886555116629E-2</v>
      </c>
      <c r="Z211" s="351">
        <f>E211</f>
        <v>5.083108829360037E-2</v>
      </c>
      <c r="AA211" s="353">
        <f>1/19.425</f>
        <v>5.1480051480051477E-2</v>
      </c>
      <c r="AB211" s="351">
        <v>5.203E-2</v>
      </c>
      <c r="AC211" s="353">
        <f>1/19.7394</f>
        <v>5.0660101117561834E-2</v>
      </c>
      <c r="AD211" s="353">
        <f>1/18.8838</f>
        <v>5.295544329001578E-2</v>
      </c>
      <c r="AE211" s="353">
        <f>1/23.8642</f>
        <v>4.1903772177571422E-2</v>
      </c>
      <c r="AF211" s="353">
        <f>1/23.0347</f>
        <v>4.3412764220936241E-2</v>
      </c>
      <c r="AG211" s="353">
        <f>1/23.0767</f>
        <v>4.3333752226271526E-2</v>
      </c>
      <c r="AH211" s="353">
        <f>1/19.94</f>
        <v>5.0150451354062181E-2</v>
      </c>
      <c r="AI211" s="353">
        <f>1/20.435</f>
        <v>4.8935649620748721E-2</v>
      </c>
      <c r="AJ211" s="353">
        <f>1/19.9365</f>
        <v>5.0159255636646354E-2</v>
      </c>
      <c r="AK211" s="353">
        <f>1/20.6526</f>
        <v>4.8420053649419446E-2</v>
      </c>
      <c r="AL211" s="353">
        <f>1/20.5031</f>
        <v>4.8773112358618941E-2</v>
      </c>
      <c r="AM211" s="353">
        <f>1/19.8811</f>
        <v>5.0299027719794179E-2</v>
      </c>
      <c r="AN211" s="353">
        <f>1/20.111</f>
        <v>4.9724031624484112E-2</v>
      </c>
      <c r="AO211" s="353">
        <f>1/20.161</f>
        <v>4.9600714250285199E-2</v>
      </c>
      <c r="AP211" s="353">
        <f>1/19.476</f>
        <v>5.1345245430273162E-2</v>
      </c>
      <c r="AQ211" s="353">
        <v>5.5219999999999998E-2</v>
      </c>
      <c r="AR211" s="353">
        <f>1/17.1231</f>
        <v>5.8400640071015177E-2</v>
      </c>
      <c r="AS211" s="353">
        <f>1/17.4189</f>
        <v>5.7408906417741649E-2</v>
      </c>
      <c r="AT211" s="353">
        <f>1/16.9742</f>
        <v>5.8912938459544484E-2</v>
      </c>
      <c r="AU211" s="355">
        <v>6.0319999999999999E-2</v>
      </c>
      <c r="AV211" s="355">
        <v>5.4510000000000003E-2</v>
      </c>
      <c r="AW211" s="355">
        <v>5.0659999999999997E-2</v>
      </c>
      <c r="AX211" s="355">
        <v>4.8009999999999997E-2</v>
      </c>
      <c r="AY211" s="355">
        <v>4.8820000000000002E-2</v>
      </c>
      <c r="AZ211" s="355">
        <f>1/18.735</f>
        <v>5.3376034160661862E-2</v>
      </c>
      <c r="BA211" s="355">
        <v>5.4609999999999999E-2</v>
      </c>
      <c r="BB211" s="355">
        <f>1/18.0098</f>
        <v>5.5525325100778469E-2</v>
      </c>
      <c r="BC211" s="355">
        <f>1/17.939</f>
        <v>5.5744467361614362E-2</v>
      </c>
      <c r="BD211" s="273"/>
    </row>
    <row r="212" spans="2:57" s="5" customFormat="1" ht="13.5" customHeight="1">
      <c r="B212" s="358" t="s">
        <v>402</v>
      </c>
      <c r="C212" s="404">
        <f>1/C211</f>
        <v>20.6356</v>
      </c>
      <c r="D212" s="404">
        <f t="shared" ref="D212:Q212" si="438">1/D211</f>
        <v>19.705100000000002</v>
      </c>
      <c r="E212" s="404">
        <f t="shared" si="438"/>
        <v>19.672999999999998</v>
      </c>
      <c r="F212" s="404">
        <f t="shared" si="438"/>
        <v>18.883800000000001</v>
      </c>
      <c r="G212" s="404">
        <f t="shared" si="438"/>
        <v>18.883800000000001</v>
      </c>
      <c r="H212" s="404">
        <f t="shared" si="438"/>
        <v>19.940000000000001</v>
      </c>
      <c r="I212" s="404">
        <f t="shared" si="438"/>
        <v>20.5031</v>
      </c>
      <c r="J212" s="404">
        <f t="shared" si="438"/>
        <v>20.5031</v>
      </c>
      <c r="K212" s="404">
        <f t="shared" si="438"/>
        <v>19.475999999999999</v>
      </c>
      <c r="L212" s="404">
        <f t="shared" si="438"/>
        <v>19.475999999999999</v>
      </c>
      <c r="M212" s="404">
        <f t="shared" si="438"/>
        <v>16.9742</v>
      </c>
      <c r="N212" s="404">
        <f t="shared" si="438"/>
        <v>16.9742</v>
      </c>
      <c r="O212" s="404">
        <f t="shared" si="438"/>
        <v>20.828993959591752</v>
      </c>
      <c r="P212" s="404">
        <f t="shared" si="438"/>
        <v>18.009799999999998</v>
      </c>
      <c r="Q212" s="404">
        <f t="shared" si="438"/>
        <v>17.939</v>
      </c>
      <c r="R212" s="352"/>
      <c r="S212" s="404">
        <f t="shared" ref="S212:BB212" si="439">1/S211</f>
        <v>18.73</v>
      </c>
      <c r="T212" s="404">
        <f t="shared" si="439"/>
        <v>18.116700000000002</v>
      </c>
      <c r="U212" s="404">
        <f t="shared" si="439"/>
        <v>18.225000000000001</v>
      </c>
      <c r="V212" s="404">
        <f t="shared" si="439"/>
        <v>19.705100000000002</v>
      </c>
      <c r="W212" s="404">
        <f t="shared" si="439"/>
        <v>18.273299999999999</v>
      </c>
      <c r="X212" s="404">
        <f t="shared" si="439"/>
        <v>19.8032</v>
      </c>
      <c r="Y212" s="404">
        <f t="shared" si="439"/>
        <v>18.682200000000002</v>
      </c>
      <c r="Z212" s="404">
        <f t="shared" si="439"/>
        <v>19.672999999999998</v>
      </c>
      <c r="AA212" s="404">
        <f t="shared" si="439"/>
        <v>19.425000000000001</v>
      </c>
      <c r="AB212" s="404">
        <f t="shared" si="439"/>
        <v>19.219680953296177</v>
      </c>
      <c r="AC212" s="404">
        <f t="shared" si="439"/>
        <v>19.7394</v>
      </c>
      <c r="AD212" s="404">
        <f t="shared" si="439"/>
        <v>18.883800000000001</v>
      </c>
      <c r="AE212" s="404">
        <f t="shared" si="439"/>
        <v>23.8642</v>
      </c>
      <c r="AF212" s="404">
        <f t="shared" si="439"/>
        <v>23.034700000000001</v>
      </c>
      <c r="AG212" s="404">
        <f t="shared" si="439"/>
        <v>23.076699999999999</v>
      </c>
      <c r="AH212" s="404">
        <f t="shared" si="439"/>
        <v>19.940000000000001</v>
      </c>
      <c r="AI212" s="404">
        <f t="shared" si="439"/>
        <v>20.434999999999999</v>
      </c>
      <c r="AJ212" s="404">
        <f t="shared" si="439"/>
        <v>19.936499999999999</v>
      </c>
      <c r="AK212" s="404">
        <f t="shared" si="439"/>
        <v>20.6526</v>
      </c>
      <c r="AL212" s="404">
        <f t="shared" si="439"/>
        <v>20.5031</v>
      </c>
      <c r="AM212" s="404">
        <f t="shared" si="439"/>
        <v>19.8811</v>
      </c>
      <c r="AN212" s="404">
        <f t="shared" si="439"/>
        <v>20.111000000000001</v>
      </c>
      <c r="AO212" s="404">
        <f t="shared" si="439"/>
        <v>20.161000000000001</v>
      </c>
      <c r="AP212" s="404">
        <f t="shared" si="439"/>
        <v>19.475999999999999</v>
      </c>
      <c r="AQ212" s="404">
        <f t="shared" si="439"/>
        <v>18.109380659181458</v>
      </c>
      <c r="AR212" s="404">
        <f t="shared" si="439"/>
        <v>17.123100000000001</v>
      </c>
      <c r="AS212" s="404">
        <f t="shared" si="439"/>
        <v>17.418900000000001</v>
      </c>
      <c r="AT212" s="404">
        <f t="shared" si="439"/>
        <v>16.9742</v>
      </c>
      <c r="AU212" s="404">
        <f t="shared" si="439"/>
        <v>16.578249336870027</v>
      </c>
      <c r="AV212" s="404">
        <f t="shared" si="439"/>
        <v>18.345257750871397</v>
      </c>
      <c r="AW212" s="404">
        <f t="shared" si="439"/>
        <v>19.739439399921043</v>
      </c>
      <c r="AX212" s="404">
        <f t="shared" si="439"/>
        <v>20.828993959591752</v>
      </c>
      <c r="AY212" s="404">
        <f t="shared" si="439"/>
        <v>20.483408439164275</v>
      </c>
      <c r="AZ212" s="404">
        <f t="shared" si="439"/>
        <v>18.734999999999999</v>
      </c>
      <c r="BA212" s="404">
        <f t="shared" si="439"/>
        <v>18.311664530305805</v>
      </c>
      <c r="BB212" s="404">
        <f t="shared" si="439"/>
        <v>18.009799999999998</v>
      </c>
      <c r="BC212" s="404">
        <f>1/BC211</f>
        <v>17.939</v>
      </c>
      <c r="BD212" s="30"/>
    </row>
    <row r="213" spans="2:57" s="5" customFormat="1" ht="13.5" customHeight="1"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52"/>
      <c r="S213" s="30"/>
      <c r="T213" s="30"/>
      <c r="W213" s="30"/>
      <c r="X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</row>
    <row r="214" spans="2:57" ht="13.5" customHeight="1">
      <c r="B214" s="15" t="s">
        <v>403</v>
      </c>
      <c r="C214" s="69">
        <f t="shared" ref="C214:Q214" si="440">C3</f>
        <v>42735</v>
      </c>
      <c r="D214" s="69">
        <f t="shared" si="440"/>
        <v>43100</v>
      </c>
      <c r="E214" s="69">
        <f t="shared" si="440"/>
        <v>43465</v>
      </c>
      <c r="F214" s="69">
        <f t="shared" si="440"/>
        <v>43830</v>
      </c>
      <c r="G214" s="69">
        <f t="shared" si="440"/>
        <v>43830</v>
      </c>
      <c r="H214" s="69">
        <f t="shared" si="440"/>
        <v>44196</v>
      </c>
      <c r="I214" s="69">
        <f t="shared" si="440"/>
        <v>44561</v>
      </c>
      <c r="J214" s="69">
        <f t="shared" si="440"/>
        <v>44561</v>
      </c>
      <c r="K214" s="69">
        <f t="shared" si="440"/>
        <v>44926</v>
      </c>
      <c r="L214" s="69">
        <f t="shared" si="440"/>
        <v>44926</v>
      </c>
      <c r="M214" s="69">
        <f t="shared" si="440"/>
        <v>45291</v>
      </c>
      <c r="N214" s="69">
        <f t="shared" si="440"/>
        <v>45291</v>
      </c>
      <c r="O214" s="69">
        <f t="shared" si="440"/>
        <v>45657</v>
      </c>
      <c r="P214" s="69">
        <f t="shared" si="440"/>
        <v>46022</v>
      </c>
      <c r="Q214" s="122">
        <f t="shared" si="440"/>
        <v>46112</v>
      </c>
      <c r="R214" s="212"/>
      <c r="S214" s="69">
        <f t="shared" ref="S214:BB214" si="441">S3</f>
        <v>42825</v>
      </c>
      <c r="T214" s="69">
        <f t="shared" si="441"/>
        <v>42916</v>
      </c>
      <c r="U214" s="69">
        <f t="shared" si="441"/>
        <v>43008</v>
      </c>
      <c r="V214" s="69">
        <f t="shared" si="441"/>
        <v>43100</v>
      </c>
      <c r="W214" s="69">
        <f t="shared" si="441"/>
        <v>43190</v>
      </c>
      <c r="X214" s="69">
        <f t="shared" si="441"/>
        <v>43281</v>
      </c>
      <c r="Y214" s="69">
        <f t="shared" si="441"/>
        <v>43373</v>
      </c>
      <c r="Z214" s="69">
        <f t="shared" si="441"/>
        <v>43465</v>
      </c>
      <c r="AA214" s="69">
        <f t="shared" si="441"/>
        <v>43555</v>
      </c>
      <c r="AB214" s="69">
        <f t="shared" si="441"/>
        <v>43646</v>
      </c>
      <c r="AC214" s="69">
        <f t="shared" si="441"/>
        <v>43738</v>
      </c>
      <c r="AD214" s="69">
        <f t="shared" si="441"/>
        <v>43830</v>
      </c>
      <c r="AE214" s="69">
        <f t="shared" si="441"/>
        <v>43921</v>
      </c>
      <c r="AF214" s="69">
        <f t="shared" si="441"/>
        <v>44012</v>
      </c>
      <c r="AG214" s="69">
        <f t="shared" si="441"/>
        <v>44104</v>
      </c>
      <c r="AH214" s="69">
        <f t="shared" si="441"/>
        <v>44196</v>
      </c>
      <c r="AI214" s="69">
        <f t="shared" si="441"/>
        <v>44286</v>
      </c>
      <c r="AJ214" s="69">
        <f t="shared" si="441"/>
        <v>44377</v>
      </c>
      <c r="AK214" s="69">
        <f t="shared" si="441"/>
        <v>44469</v>
      </c>
      <c r="AL214" s="69">
        <f t="shared" si="441"/>
        <v>44561</v>
      </c>
      <c r="AM214" s="69">
        <f t="shared" si="441"/>
        <v>44651</v>
      </c>
      <c r="AN214" s="69">
        <f t="shared" si="441"/>
        <v>44742</v>
      </c>
      <c r="AO214" s="69">
        <f t="shared" si="441"/>
        <v>44834</v>
      </c>
      <c r="AP214" s="69">
        <f t="shared" si="441"/>
        <v>44926</v>
      </c>
      <c r="AQ214" s="69">
        <f t="shared" si="441"/>
        <v>45016</v>
      </c>
      <c r="AR214" s="69">
        <f t="shared" si="441"/>
        <v>45107</v>
      </c>
      <c r="AS214" s="69">
        <f t="shared" si="441"/>
        <v>45199</v>
      </c>
      <c r="AT214" s="69">
        <f t="shared" si="441"/>
        <v>45291</v>
      </c>
      <c r="AU214" s="69">
        <f t="shared" si="441"/>
        <v>45382</v>
      </c>
      <c r="AV214" s="69">
        <f t="shared" si="441"/>
        <v>45473</v>
      </c>
      <c r="AW214" s="69">
        <f t="shared" si="441"/>
        <v>45565</v>
      </c>
      <c r="AX214" s="69">
        <f t="shared" si="441"/>
        <v>45657</v>
      </c>
      <c r="AY214" s="69">
        <f t="shared" si="441"/>
        <v>45747</v>
      </c>
      <c r="AZ214" s="69">
        <f t="shared" si="441"/>
        <v>45838</v>
      </c>
      <c r="BA214" s="69">
        <f t="shared" si="441"/>
        <v>45930</v>
      </c>
      <c r="BB214" s="69">
        <f t="shared" si="441"/>
        <v>46022</v>
      </c>
      <c r="BC214" s="69">
        <f>BC3</f>
        <v>46112</v>
      </c>
      <c r="BD214" s="274"/>
    </row>
    <row r="215" spans="2:57" ht="13.5" customHeight="1">
      <c r="B215" s="1" t="s">
        <v>404</v>
      </c>
      <c r="C215" s="21">
        <f t="shared" ref="C215:Q215" si="442">C139*C$210</f>
        <v>5162.9303880000007</v>
      </c>
      <c r="D215" s="21">
        <f t="shared" si="442"/>
        <v>4964.747910000001</v>
      </c>
      <c r="E215" s="21">
        <f t="shared" si="442"/>
        <v>5272.7565380000005</v>
      </c>
      <c r="F215" s="21">
        <f t="shared" si="442"/>
        <v>5270.4324333559252</v>
      </c>
      <c r="G215" s="21">
        <f t="shared" si="442"/>
        <v>5165.1278550185853</v>
      </c>
      <c r="H215" s="21">
        <f t="shared" si="442"/>
        <v>4386.2203759674385</v>
      </c>
      <c r="I215" s="21">
        <f t="shared" si="442"/>
        <v>4718.4387355934468</v>
      </c>
      <c r="J215" s="21">
        <f t="shared" si="442"/>
        <v>3612.67569437363</v>
      </c>
      <c r="K215" s="21">
        <f t="shared" si="442"/>
        <v>3770.3440691507503</v>
      </c>
      <c r="L215" s="21">
        <f t="shared" si="442"/>
        <v>3425.3497853852255</v>
      </c>
      <c r="M215" s="21">
        <f t="shared" si="442"/>
        <v>4159.8657793915727</v>
      </c>
      <c r="N215" s="21">
        <f t="shared" si="442"/>
        <v>3734.3900163981939</v>
      </c>
      <c r="O215" s="21">
        <f t="shared" si="442"/>
        <v>3416.0979555200001</v>
      </c>
      <c r="P215" s="21">
        <f>P139*P$210</f>
        <v>3066.8989541068154</v>
      </c>
      <c r="Q215" s="21">
        <f t="shared" si="442"/>
        <v>3159.5371592748893</v>
      </c>
      <c r="R215" s="21"/>
      <c r="S215" s="21"/>
      <c r="T215" s="21"/>
      <c r="U215" s="21"/>
      <c r="V215" s="21">
        <f t="shared" ref="V215:AE216" si="443">V139*AVERAGE(S$210:V$210)</f>
        <v>4963.3441169999987</v>
      </c>
      <c r="W215" s="21">
        <f t="shared" si="443"/>
        <v>5104.2205754999995</v>
      </c>
      <c r="X215" s="21">
        <f t="shared" si="443"/>
        <v>5248.3548162500001</v>
      </c>
      <c r="Y215" s="21">
        <f t="shared" si="443"/>
        <v>5291.3728329999994</v>
      </c>
      <c r="Z215" s="21">
        <f t="shared" si="443"/>
        <v>5273.7693609999997</v>
      </c>
      <c r="AA215" s="21">
        <f t="shared" si="443"/>
        <v>5270.5209699999996</v>
      </c>
      <c r="AB215" s="21">
        <f t="shared" si="443"/>
        <v>5165.0472525000005</v>
      </c>
      <c r="AC215" s="21">
        <f t="shared" si="443"/>
        <v>5170.5690059099998</v>
      </c>
      <c r="AD215" s="21">
        <f t="shared" si="443"/>
        <v>5270.4324333559252</v>
      </c>
      <c r="AE215" s="21">
        <f t="shared" si="443"/>
        <v>5143.2302735923167</v>
      </c>
      <c r="AF215" s="21">
        <f t="shared" ref="AF215:AO216" si="444">AF139*AVERAGE(AC$210:AF$210)</f>
        <v>4806.1147461267201</v>
      </c>
      <c r="AG215" s="21">
        <f t="shared" si="444"/>
        <v>4519.738350712686</v>
      </c>
      <c r="AH215" s="21">
        <f t="shared" si="444"/>
        <v>4386.2203759674385</v>
      </c>
      <c r="AI215" s="21">
        <f t="shared" si="444"/>
        <v>4465.0144956537488</v>
      </c>
      <c r="AJ215" s="21">
        <f t="shared" si="444"/>
        <v>4744.7028475179459</v>
      </c>
      <c r="AK215" s="21">
        <f t="shared" si="444"/>
        <v>4999.6469735512819</v>
      </c>
      <c r="AL215" s="21">
        <f t="shared" si="444"/>
        <v>5097.8478231000563</v>
      </c>
      <c r="AM215" s="21">
        <f t="shared" si="444"/>
        <v>4840.6364014403352</v>
      </c>
      <c r="AN215" s="21">
        <f t="shared" si="444"/>
        <v>4545.0465315372976</v>
      </c>
      <c r="AO215" s="21">
        <f t="shared" si="444"/>
        <v>4213.5890048566062</v>
      </c>
      <c r="AP215" s="21">
        <f t="shared" ref="AP215:AY216" si="445">AP139*AVERAGE(AM$210:AP$210)</f>
        <v>3770.3440691507503</v>
      </c>
      <c r="AQ215" s="21">
        <f t="shared" si="445"/>
        <v>3842.1383469737125</v>
      </c>
      <c r="AR215" s="21">
        <f t="shared" si="445"/>
        <v>3965.5927350591369</v>
      </c>
      <c r="AS215" s="21">
        <f t="shared" si="445"/>
        <v>3966.0736078822206</v>
      </c>
      <c r="AT215" s="21">
        <f t="shared" si="445"/>
        <v>4159.8657793915727</v>
      </c>
      <c r="AU215" s="21">
        <f t="shared" si="445"/>
        <v>4109.2014110520377</v>
      </c>
      <c r="AV215" s="21">
        <f t="shared" si="445"/>
        <v>3972.15221471738</v>
      </c>
      <c r="AW215" s="21">
        <f t="shared" si="445"/>
        <v>3825.2112819373287</v>
      </c>
      <c r="AX215" s="21">
        <f t="shared" si="445"/>
        <v>3416.0979555200001</v>
      </c>
      <c r="AY215" s="21">
        <f t="shared" si="445"/>
        <v>3210.3133076399999</v>
      </c>
      <c r="AZ215" s="21">
        <f t="shared" ref="AZ215:BC216" si="446">AZ139*AVERAGE(AW$210:AZ$210)</f>
        <v>3053.9189483805285</v>
      </c>
      <c r="BA215" s="21">
        <f t="shared" si="446"/>
        <v>3029.6070875859687</v>
      </c>
      <c r="BB215" s="21">
        <f t="shared" si="446"/>
        <v>3066.8989541068154</v>
      </c>
      <c r="BC215" s="21">
        <f t="shared" si="446"/>
        <v>3159.5371592748897</v>
      </c>
      <c r="BD215" s="21"/>
    </row>
    <row r="216" spans="2:57" ht="13.5" customHeight="1">
      <c r="B216" s="1" t="s">
        <v>355</v>
      </c>
      <c r="C216" s="21">
        <f t="shared" ref="C216:Q216" si="447">C140*C$210</f>
        <v>1968.6771206200001</v>
      </c>
      <c r="D216" s="21">
        <f t="shared" si="447"/>
        <v>1867.4396811000008</v>
      </c>
      <c r="E216" s="21">
        <f t="shared" si="447"/>
        <v>2005.5982247000006</v>
      </c>
      <c r="F216" s="21">
        <f t="shared" si="447"/>
        <v>2041.5111784555347</v>
      </c>
      <c r="G216" s="21">
        <f t="shared" si="447"/>
        <v>1996.3860018457572</v>
      </c>
      <c r="H216" s="21">
        <f t="shared" si="447"/>
        <v>1736.82252983177</v>
      </c>
      <c r="I216" s="21">
        <f t="shared" si="447"/>
        <v>1878.2096508373895</v>
      </c>
      <c r="J216" s="21">
        <f t="shared" si="447"/>
        <v>1387.6367430005739</v>
      </c>
      <c r="K216" s="21">
        <f t="shared" si="447"/>
        <v>1321.5747137706619</v>
      </c>
      <c r="L216" s="21">
        <f t="shared" si="447"/>
        <v>1297.9502735824249</v>
      </c>
      <c r="M216" s="21">
        <f t="shared" si="447"/>
        <v>1414.5694413079357</v>
      </c>
      <c r="N216" s="21">
        <f t="shared" si="447"/>
        <v>1366.9666355156467</v>
      </c>
      <c r="O216" s="21">
        <f t="shared" si="447"/>
        <v>1222.3601119999996</v>
      </c>
      <c r="P216" s="21">
        <f>P140*P$210</f>
        <v>1166.7514846509289</v>
      </c>
      <c r="Q216" s="21">
        <f t="shared" si="447"/>
        <v>1230.0170342315139</v>
      </c>
      <c r="R216" s="21"/>
      <c r="S216" s="21"/>
      <c r="T216" s="21"/>
      <c r="U216" s="21"/>
      <c r="V216" s="21">
        <f t="shared" si="443"/>
        <v>1866.9116585699996</v>
      </c>
      <c r="W216" s="21">
        <f t="shared" si="443"/>
        <v>1934.5888210049998</v>
      </c>
      <c r="X216" s="21">
        <f t="shared" si="443"/>
        <v>1986.6112732374995</v>
      </c>
      <c r="Y216" s="21">
        <f t="shared" si="443"/>
        <v>2009.5806055099997</v>
      </c>
      <c r="Z216" s="21">
        <f t="shared" si="443"/>
        <v>2005.9834721500001</v>
      </c>
      <c r="AA216" s="21">
        <f t="shared" si="443"/>
        <v>2008.5925898999999</v>
      </c>
      <c r="AB216" s="21">
        <f t="shared" si="443"/>
        <v>1976.2983685250001</v>
      </c>
      <c r="AC216" s="21">
        <f t="shared" si="443"/>
        <v>1989.0486839300004</v>
      </c>
      <c r="AD216" s="21">
        <f t="shared" si="443"/>
        <v>2041.5111784555347</v>
      </c>
      <c r="AE216" s="21">
        <f t="shared" si="443"/>
        <v>1965.968362845168</v>
      </c>
      <c r="AF216" s="21">
        <f t="shared" si="444"/>
        <v>1811.7298065861141</v>
      </c>
      <c r="AG216" s="21">
        <f t="shared" si="444"/>
        <v>1728.2056348557032</v>
      </c>
      <c r="AH216" s="21">
        <f t="shared" si="444"/>
        <v>1736.82252983177</v>
      </c>
      <c r="AI216" s="21">
        <f t="shared" si="444"/>
        <v>1783.1722962519755</v>
      </c>
      <c r="AJ216" s="21">
        <f t="shared" si="444"/>
        <v>1916.2025765736857</v>
      </c>
      <c r="AK216" s="21">
        <f t="shared" si="444"/>
        <v>1992.3991971451524</v>
      </c>
      <c r="AL216" s="21">
        <f t="shared" si="444"/>
        <v>2029.2362614818744</v>
      </c>
      <c r="AM216" s="21">
        <f t="shared" si="444"/>
        <v>1931.6593939468189</v>
      </c>
      <c r="AN216" s="21">
        <f t="shared" si="444"/>
        <v>1795.6080359400539</v>
      </c>
      <c r="AO216" s="21">
        <f t="shared" si="444"/>
        <v>1618.5293938747236</v>
      </c>
      <c r="AP216" s="21">
        <f t="shared" si="445"/>
        <v>1321.5747137706619</v>
      </c>
      <c r="AQ216" s="21">
        <f t="shared" si="445"/>
        <v>1338.8903720789128</v>
      </c>
      <c r="AR216" s="21">
        <f t="shared" si="445"/>
        <v>1369.9568781443638</v>
      </c>
      <c r="AS216" s="21">
        <f t="shared" si="445"/>
        <v>1367.8731792510919</v>
      </c>
      <c r="AT216" s="21">
        <f t="shared" si="445"/>
        <v>1414.5694413079357</v>
      </c>
      <c r="AU216" s="21">
        <f t="shared" si="445"/>
        <v>1388.3056148517733</v>
      </c>
      <c r="AV216" s="21">
        <f t="shared" si="445"/>
        <v>1356.2863537949686</v>
      </c>
      <c r="AW216" s="21">
        <f t="shared" si="445"/>
        <v>1314.5546596623919</v>
      </c>
      <c r="AX216" s="21">
        <f t="shared" si="445"/>
        <v>1222.3601119999998</v>
      </c>
      <c r="AY216" s="21">
        <f t="shared" si="445"/>
        <v>1160.3906119999999</v>
      </c>
      <c r="AZ216" s="21">
        <f t="shared" si="446"/>
        <v>1111.9837105428339</v>
      </c>
      <c r="BA216" s="21">
        <f t="shared" si="446"/>
        <v>1116.0219337514991</v>
      </c>
      <c r="BB216" s="21">
        <f t="shared" si="446"/>
        <v>1166.7514846509289</v>
      </c>
      <c r="BC216" s="21">
        <f t="shared" si="446"/>
        <v>1230.0170342315139</v>
      </c>
      <c r="BD216" s="21"/>
    </row>
    <row r="217" spans="2:57" ht="13.5" customHeight="1">
      <c r="B217" s="1" t="s">
        <v>390</v>
      </c>
      <c r="C217" s="242">
        <f t="shared" ref="C217:H217" si="448">C216/C215</f>
        <v>0.38131002602625053</v>
      </c>
      <c r="D217" s="161">
        <f t="shared" si="448"/>
        <v>0.37613987959763306</v>
      </c>
      <c r="E217" s="161">
        <f t="shared" si="448"/>
        <v>0.38036996592691918</v>
      </c>
      <c r="F217" s="161">
        <f t="shared" si="448"/>
        <v>0.38735174091883978</v>
      </c>
      <c r="G217" s="161">
        <f t="shared" si="448"/>
        <v>0.38651240741427373</v>
      </c>
      <c r="H217" s="161">
        <f t="shared" si="448"/>
        <v>0.39597247309961964</v>
      </c>
      <c r="I217" s="242">
        <f t="shared" ref="I217:Q217" si="449">I216/I215</f>
        <v>0.39805744147299255</v>
      </c>
      <c r="J217" s="161">
        <f t="shared" si="449"/>
        <v>0.38410221685873303</v>
      </c>
      <c r="K217" s="161">
        <f t="shared" si="449"/>
        <v>0.35051833189015547</v>
      </c>
      <c r="L217" s="161">
        <f t="shared" si="449"/>
        <v>0.37892488502059751</v>
      </c>
      <c r="M217" s="161">
        <f t="shared" si="449"/>
        <v>0.34005170270537727</v>
      </c>
      <c r="N217" s="161">
        <f t="shared" si="449"/>
        <v>0.3660481710568842</v>
      </c>
      <c r="O217" s="161">
        <f t="shared" si="449"/>
        <v>0.35782349567137378</v>
      </c>
      <c r="P217" s="161">
        <f>P216/P215</f>
        <v>0.38043362435810224</v>
      </c>
      <c r="Q217" s="161">
        <f t="shared" si="449"/>
        <v>0.38930291755574781</v>
      </c>
      <c r="R217" s="138"/>
      <c r="S217" s="21"/>
      <c r="T217" s="44"/>
      <c r="U217" s="44"/>
      <c r="V217" s="161">
        <f t="shared" ref="V217:AA217" si="450">V216/V215</f>
        <v>0.37613987959763301</v>
      </c>
      <c r="W217" s="161">
        <f t="shared" si="450"/>
        <v>0.37901748021841536</v>
      </c>
      <c r="X217" s="161">
        <f t="shared" si="450"/>
        <v>0.3785207637041873</v>
      </c>
      <c r="Y217" s="161">
        <f t="shared" si="450"/>
        <v>0.37978435255537396</v>
      </c>
      <c r="Z217" s="161">
        <f t="shared" si="450"/>
        <v>0.38036996592691918</v>
      </c>
      <c r="AA217" s="161">
        <f t="shared" si="450"/>
        <v>0.38109943994777429</v>
      </c>
      <c r="AB217" s="161">
        <f t="shared" ref="AB217:AG217" si="451">AB216/AB215</f>
        <v>0.38262929106184396</v>
      </c>
      <c r="AC217" s="161">
        <f t="shared" si="451"/>
        <v>0.384686614114714</v>
      </c>
      <c r="AD217" s="161">
        <f t="shared" si="451"/>
        <v>0.38735174091883978</v>
      </c>
      <c r="AE217" s="161">
        <f t="shared" si="451"/>
        <v>0.38224389309172946</v>
      </c>
      <c r="AF217" s="161">
        <f t="shared" si="451"/>
        <v>0.37696349385877631</v>
      </c>
      <c r="AG217" s="161">
        <f t="shared" si="451"/>
        <v>0.38236851356300183</v>
      </c>
      <c r="AH217" s="161">
        <f t="shared" ref="AH217:AM217" si="452">AH216/AH215</f>
        <v>0.39597247309961964</v>
      </c>
      <c r="AI217" s="161">
        <f t="shared" si="452"/>
        <v>0.39936539914656893</v>
      </c>
      <c r="AJ217" s="161">
        <f t="shared" si="452"/>
        <v>0.40386145100237242</v>
      </c>
      <c r="AK217" s="161">
        <f t="shared" si="452"/>
        <v>0.39850797620015521</v>
      </c>
      <c r="AL217" s="161">
        <f t="shared" si="452"/>
        <v>0.39805744147299282</v>
      </c>
      <c r="AM217" s="161">
        <f t="shared" si="452"/>
        <v>0.39905071022728583</v>
      </c>
      <c r="AN217" s="161">
        <f t="shared" ref="AN217:AS217" si="453">AN216/AN215</f>
        <v>0.39506923053056509</v>
      </c>
      <c r="AO217" s="161">
        <f t="shared" si="453"/>
        <v>0.38412132555149486</v>
      </c>
      <c r="AP217" s="161">
        <f t="shared" si="453"/>
        <v>0.35051833189015547</v>
      </c>
      <c r="AQ217" s="161">
        <f t="shared" si="453"/>
        <v>0.34847531534971909</v>
      </c>
      <c r="AR217" s="161">
        <f t="shared" si="453"/>
        <v>0.34546080993966072</v>
      </c>
      <c r="AS217" s="161">
        <f t="shared" si="453"/>
        <v>0.34489354320922461</v>
      </c>
      <c r="AT217" s="161">
        <f t="shared" ref="AT217:AZ217" si="454">AT216/AT215</f>
        <v>0.34005170270537727</v>
      </c>
      <c r="AU217" s="161">
        <f t="shared" si="454"/>
        <v>0.33785290035134569</v>
      </c>
      <c r="AV217" s="161">
        <f t="shared" si="454"/>
        <v>0.34144873622157224</v>
      </c>
      <c r="AW217" s="161">
        <f t="shared" si="454"/>
        <v>0.34365543829427858</v>
      </c>
      <c r="AX217" s="161">
        <f t="shared" si="454"/>
        <v>0.35782349567137384</v>
      </c>
      <c r="AY217" s="161">
        <f t="shared" si="454"/>
        <v>0.361457122966306</v>
      </c>
      <c r="AZ217" s="161">
        <f t="shared" si="454"/>
        <v>0.36411696883196948</v>
      </c>
      <c r="BA217" s="161">
        <f>BA216/BA215</f>
        <v>0.36837183881846547</v>
      </c>
      <c r="BB217" s="161">
        <f>BB216/BB215</f>
        <v>0.38043362435810224</v>
      </c>
      <c r="BC217" s="161">
        <f>BC216/BC215</f>
        <v>0.38930291755574775</v>
      </c>
      <c r="BD217" s="138"/>
    </row>
    <row r="218" spans="2:57" ht="13.5" customHeight="1">
      <c r="B218" s="1" t="s">
        <v>336</v>
      </c>
      <c r="C218" s="21">
        <f t="shared" ref="C218:Q218" si="455">C142*C$210</f>
        <v>409.28285412000002</v>
      </c>
      <c r="D218" s="21">
        <f t="shared" si="455"/>
        <v>470.06973704999996</v>
      </c>
      <c r="E218" s="21">
        <f t="shared" si="455"/>
        <v>527.33156624000003</v>
      </c>
      <c r="F218" s="21">
        <f t="shared" si="455"/>
        <v>476.21044107005088</v>
      </c>
      <c r="G218" s="21">
        <f t="shared" si="455"/>
        <v>465.97794402439439</v>
      </c>
      <c r="H218" s="21">
        <f t="shared" si="455"/>
        <v>425.97283363236932</v>
      </c>
      <c r="I218" s="21">
        <f t="shared" si="455"/>
        <v>376.40385891526887</v>
      </c>
      <c r="J218" s="21">
        <f t="shared" si="455"/>
        <v>403.62838818881005</v>
      </c>
      <c r="K218" s="21">
        <f t="shared" si="455"/>
        <v>443.94512412119047</v>
      </c>
      <c r="L218" s="21">
        <f t="shared" si="455"/>
        <v>443.94512412119047</v>
      </c>
      <c r="M218" s="21">
        <f t="shared" si="455"/>
        <v>425.97617914900144</v>
      </c>
      <c r="N218" s="21">
        <f t="shared" si="455"/>
        <v>425.97617914900144</v>
      </c>
      <c r="O218" s="21">
        <f t="shared" si="455"/>
        <v>407.00245126250002</v>
      </c>
      <c r="P218" s="21">
        <f>P142*P$210</f>
        <v>355.038045033549</v>
      </c>
      <c r="Q218" s="21">
        <f t="shared" si="455"/>
        <v>343.28303722830447</v>
      </c>
      <c r="R218" s="21"/>
      <c r="S218" s="21"/>
      <c r="T218" s="21"/>
      <c r="U218" s="21"/>
      <c r="V218" s="21">
        <f t="shared" ref="V218:AE220" si="456">V142*AVERAGE(S$210:V$210)</f>
        <v>469.93682383499998</v>
      </c>
      <c r="W218" s="21">
        <f t="shared" si="456"/>
        <v>478.45027858500004</v>
      </c>
      <c r="X218" s="21">
        <f t="shared" si="456"/>
        <v>468.93589356250004</v>
      </c>
      <c r="Y218" s="21">
        <f t="shared" si="456"/>
        <v>483.50686277999989</v>
      </c>
      <c r="Z218" s="21">
        <f t="shared" si="456"/>
        <v>527.43285928000012</v>
      </c>
      <c r="AA218" s="21">
        <f t="shared" si="456"/>
        <v>477.92134520000002</v>
      </c>
      <c r="AB218" s="21">
        <f t="shared" si="456"/>
        <v>480.95510480000002</v>
      </c>
      <c r="AC218" s="21">
        <f t="shared" si="456"/>
        <v>469.78767143000005</v>
      </c>
      <c r="AD218" s="21">
        <f t="shared" si="456"/>
        <v>476.21044107005088</v>
      </c>
      <c r="AE218" s="21">
        <f t="shared" si="456"/>
        <v>499.81001188404878</v>
      </c>
      <c r="AF218" s="21">
        <f t="shared" ref="AF218:AO220" si="457">AF142*AVERAGE(AC$210:AF$210)</f>
        <v>491.49927798645399</v>
      </c>
      <c r="AG218" s="21">
        <f t="shared" si="457"/>
        <v>465.3130944313217</v>
      </c>
      <c r="AH218" s="21">
        <f t="shared" si="457"/>
        <v>425.97283363236932</v>
      </c>
      <c r="AI218" s="21">
        <f t="shared" si="457"/>
        <v>424.2998177849621</v>
      </c>
      <c r="AJ218" s="21">
        <f t="shared" si="457"/>
        <v>426.96828913528788</v>
      </c>
      <c r="AK218" s="21">
        <f t="shared" si="457"/>
        <v>420.64768909253968</v>
      </c>
      <c r="AL218" s="21">
        <f t="shared" si="457"/>
        <v>406.67044764253507</v>
      </c>
      <c r="AM218" s="21">
        <f t="shared" si="457"/>
        <v>441.52771017664628</v>
      </c>
      <c r="AN218" s="21">
        <f t="shared" si="457"/>
        <v>450.29875466740532</v>
      </c>
      <c r="AO218" s="21">
        <f t="shared" si="457"/>
        <v>453.03848083196556</v>
      </c>
      <c r="AP218" s="21">
        <f t="shared" ref="AP218:AY220" si="458">AP142*AVERAGE(AM$210:AP$210)</f>
        <v>443.94512412119047</v>
      </c>
      <c r="AQ218" s="21">
        <f t="shared" si="458"/>
        <v>422.63325118405834</v>
      </c>
      <c r="AR218" s="21">
        <f t="shared" si="458"/>
        <v>420.76531879852001</v>
      </c>
      <c r="AS218" s="21">
        <f t="shared" si="458"/>
        <v>447.86860849353894</v>
      </c>
      <c r="AT218" s="21">
        <f t="shared" si="458"/>
        <v>425.97617914900144</v>
      </c>
      <c r="AU218" s="21">
        <f t="shared" si="458"/>
        <v>430.49436163256701</v>
      </c>
      <c r="AV218" s="21">
        <f t="shared" si="458"/>
        <v>415.90189775017677</v>
      </c>
      <c r="AW218" s="21">
        <f t="shared" si="458"/>
        <v>386.17223566558954</v>
      </c>
      <c r="AX218" s="21">
        <f t="shared" si="458"/>
        <v>407.00245126250002</v>
      </c>
      <c r="AY218" s="21">
        <f t="shared" si="458"/>
        <v>393.072261895</v>
      </c>
      <c r="AZ218" s="21">
        <f t="shared" ref="AZ218:BC220" si="459">AZ142*AVERAGE(AW$210:AZ$210)</f>
        <v>390.93733546093409</v>
      </c>
      <c r="BA218" s="21">
        <f t="shared" si="459"/>
        <v>371.95349131498199</v>
      </c>
      <c r="BB218" s="21">
        <f t="shared" si="459"/>
        <v>355.038045033549</v>
      </c>
      <c r="BC218" s="21">
        <f t="shared" si="459"/>
        <v>343.28303722830447</v>
      </c>
      <c r="BD218" s="21"/>
    </row>
    <row r="219" spans="2:57" ht="13.5" customHeight="1">
      <c r="B219" s="1" t="s">
        <v>357</v>
      </c>
      <c r="C219" s="21">
        <f t="shared" ref="C219:Q219" si="460">C143*C$210</f>
        <v>1413.9794538799999</v>
      </c>
      <c r="D219" s="21">
        <f t="shared" si="460"/>
        <v>840.74143974999993</v>
      </c>
      <c r="E219" s="21">
        <f t="shared" si="460"/>
        <v>909.74641759999997</v>
      </c>
      <c r="F219" s="21">
        <f t="shared" si="460"/>
        <v>941.31364163649164</v>
      </c>
      <c r="G219" s="21">
        <f t="shared" si="460"/>
        <v>920.10353023558741</v>
      </c>
      <c r="H219" s="21">
        <f t="shared" si="460"/>
        <v>838.45506736124298</v>
      </c>
      <c r="I219" s="21">
        <f t="shared" si="460"/>
        <v>1029.8806187978269</v>
      </c>
      <c r="J219" s="21">
        <f t="shared" si="460"/>
        <v>1104.3697994760348</v>
      </c>
      <c r="K219" s="21">
        <f t="shared" si="460"/>
        <v>851.20968796786474</v>
      </c>
      <c r="L219" s="21">
        <f t="shared" si="460"/>
        <v>851.20968796786474</v>
      </c>
      <c r="M219" s="21">
        <f t="shared" si="460"/>
        <v>826.64773324044097</v>
      </c>
      <c r="N219" s="21">
        <f t="shared" si="460"/>
        <v>826.64773324044097</v>
      </c>
      <c r="O219" s="21">
        <f t="shared" si="460"/>
        <v>464.69612132000003</v>
      </c>
      <c r="P219" s="21">
        <f>P143*P$210</f>
        <v>627.84483044398212</v>
      </c>
      <c r="Q219" s="21">
        <f t="shared" si="460"/>
        <v>687.88355224199483</v>
      </c>
      <c r="R219" s="21"/>
      <c r="S219" s="21"/>
      <c r="T219" s="21"/>
      <c r="U219" s="21"/>
      <c r="V219" s="21">
        <f t="shared" si="456"/>
        <v>840.50371832499991</v>
      </c>
      <c r="W219" s="21">
        <f t="shared" si="456"/>
        <v>774.53640557999995</v>
      </c>
      <c r="X219" s="21">
        <f t="shared" si="456"/>
        <v>807.15683002499998</v>
      </c>
      <c r="Y219" s="21">
        <f t="shared" si="456"/>
        <v>878.82847645999982</v>
      </c>
      <c r="Z219" s="21">
        <f t="shared" si="456"/>
        <v>909.9211671999999</v>
      </c>
      <c r="AA219" s="21">
        <f t="shared" si="456"/>
        <v>969.95782805999988</v>
      </c>
      <c r="AB219" s="21">
        <f t="shared" si="456"/>
        <v>957.5029713749999</v>
      </c>
      <c r="AC219" s="21">
        <f t="shared" si="456"/>
        <v>900.76795192999998</v>
      </c>
      <c r="AD219" s="21">
        <f t="shared" si="456"/>
        <v>941.31364163649164</v>
      </c>
      <c r="AE219" s="21">
        <f t="shared" si="456"/>
        <v>929.45502588075249</v>
      </c>
      <c r="AF219" s="21">
        <f t="shared" si="457"/>
        <v>927.97988304033993</v>
      </c>
      <c r="AG219" s="21">
        <f t="shared" si="457"/>
        <v>935.31942079856617</v>
      </c>
      <c r="AH219" s="21">
        <f t="shared" si="457"/>
        <v>838.45506736124298</v>
      </c>
      <c r="AI219" s="21">
        <f t="shared" si="457"/>
        <v>892.37902057207066</v>
      </c>
      <c r="AJ219" s="21">
        <f t="shared" si="457"/>
        <v>971.97298709440793</v>
      </c>
      <c r="AK219" s="21">
        <f t="shared" si="457"/>
        <v>1080.49117079347</v>
      </c>
      <c r="AL219" s="21">
        <f t="shared" si="457"/>
        <v>1112.6931946762081</v>
      </c>
      <c r="AM219" s="21">
        <f t="shared" si="457"/>
        <v>1077.2064941557016</v>
      </c>
      <c r="AN219" s="21">
        <f t="shared" si="457"/>
        <v>1049.8152395365646</v>
      </c>
      <c r="AO219" s="21">
        <f t="shared" si="457"/>
        <v>912.72059154536225</v>
      </c>
      <c r="AP219" s="21">
        <f t="shared" si="458"/>
        <v>851.20968796786474</v>
      </c>
      <c r="AQ219" s="21">
        <f t="shared" si="458"/>
        <v>836.49173088240036</v>
      </c>
      <c r="AR219" s="21">
        <f t="shared" si="458"/>
        <v>12.30776473758764</v>
      </c>
      <c r="AS219" s="21">
        <f t="shared" si="458"/>
        <v>791.61249170906467</v>
      </c>
      <c r="AT219" s="21">
        <f t="shared" si="458"/>
        <v>826.64773324044097</v>
      </c>
      <c r="AU219" s="21">
        <f t="shared" si="458"/>
        <v>737.22072931060006</v>
      </c>
      <c r="AV219" s="21">
        <f t="shared" si="458"/>
        <v>1481.3553930478911</v>
      </c>
      <c r="AW219" s="21">
        <f t="shared" si="458"/>
        <v>546.04246727133466</v>
      </c>
      <c r="AX219" s="21">
        <f t="shared" si="458"/>
        <v>464.69612132000003</v>
      </c>
      <c r="AY219" s="21">
        <f t="shared" si="458"/>
        <v>429.84003615500001</v>
      </c>
      <c r="AZ219" s="21">
        <f t="shared" si="459"/>
        <v>457.58747136769676</v>
      </c>
      <c r="BA219" s="21">
        <f t="shared" si="459"/>
        <v>523.35400600732851</v>
      </c>
      <c r="BB219" s="21">
        <f t="shared" si="459"/>
        <v>627.84483044398212</v>
      </c>
      <c r="BC219" s="21">
        <f t="shared" si="459"/>
        <v>687.88355224199483</v>
      </c>
      <c r="BD219" s="21"/>
    </row>
    <row r="220" spans="2:57" ht="13.5" customHeight="1">
      <c r="B220" s="1" t="s">
        <v>342</v>
      </c>
      <c r="C220" s="21">
        <f t="shared" ref="C220:Q220" si="461">C144*C$210</f>
        <v>-403.26164983999973</v>
      </c>
      <c r="D220" s="21">
        <f t="shared" si="461"/>
        <v>-223.73338829999909</v>
      </c>
      <c r="E220" s="21">
        <f t="shared" si="461"/>
        <v>-252.37334439999944</v>
      </c>
      <c r="F220" s="21">
        <f t="shared" si="461"/>
        <v>-192.67183923309366</v>
      </c>
      <c r="G220" s="21">
        <f t="shared" si="461"/>
        <v>-297.29022498727232</v>
      </c>
      <c r="H220" s="21">
        <f t="shared" si="461"/>
        <v>-61.202515126235376</v>
      </c>
      <c r="I220" s="21">
        <f t="shared" si="461"/>
        <v>-213.77988836881741</v>
      </c>
      <c r="J220" s="21">
        <f t="shared" si="461"/>
        <v>-846.35097978188048</v>
      </c>
      <c r="K220" s="21">
        <f t="shared" si="461"/>
        <v>-1157.7639550437548</v>
      </c>
      <c r="L220" s="21">
        <f t="shared" si="461"/>
        <v>-616.7813026969103</v>
      </c>
      <c r="M220" s="21">
        <f t="shared" si="461"/>
        <v>-517.50350078553686</v>
      </c>
      <c r="N220" s="21">
        <f t="shared" si="461"/>
        <v>-476.34841674417095</v>
      </c>
      <c r="O220" s="21">
        <f t="shared" si="461"/>
        <v>309.13073750999951</v>
      </c>
      <c r="P220" s="21">
        <f>P144*P$210</f>
        <v>227.79279515149636</v>
      </c>
      <c r="Q220" s="21">
        <f t="shared" si="461"/>
        <v>173.82144973365538</v>
      </c>
      <c r="R220" s="21"/>
      <c r="S220" s="21"/>
      <c r="T220" s="21"/>
      <c r="U220" s="21"/>
      <c r="V220" s="21">
        <f t="shared" si="456"/>
        <v>-223.67012721000032</v>
      </c>
      <c r="W220" s="21">
        <f t="shared" si="456"/>
        <v>-150.06388711500011</v>
      </c>
      <c r="X220" s="21">
        <f t="shared" si="456"/>
        <v>349.77605389999979</v>
      </c>
      <c r="Y220" s="21">
        <f t="shared" si="456"/>
        <v>388.22219508999996</v>
      </c>
      <c r="Z220" s="21">
        <f t="shared" si="456"/>
        <v>-252.4218217999998</v>
      </c>
      <c r="AA220" s="21">
        <f t="shared" si="456"/>
        <v>-609.91225827999983</v>
      </c>
      <c r="AB220" s="21">
        <f t="shared" si="456"/>
        <v>-874.89315224999973</v>
      </c>
      <c r="AC220" s="21">
        <f t="shared" si="456"/>
        <v>-697.40383481999959</v>
      </c>
      <c r="AD220" s="21">
        <f t="shared" si="456"/>
        <v>-192.67183923309372</v>
      </c>
      <c r="AE220" s="21">
        <f t="shared" si="456"/>
        <v>138.76335935109122</v>
      </c>
      <c r="AF220" s="21">
        <f t="shared" si="457"/>
        <v>34.479130836848398</v>
      </c>
      <c r="AG220" s="21">
        <f t="shared" si="457"/>
        <v>-2.5698650001259247</v>
      </c>
      <c r="AH220" s="21">
        <f t="shared" si="457"/>
        <v>-61.202515126235419</v>
      </c>
      <c r="AI220" s="21">
        <f t="shared" si="457"/>
        <v>-121.93380492737406</v>
      </c>
      <c r="AJ220" s="21">
        <f t="shared" si="457"/>
        <v>-191.83289193649989</v>
      </c>
      <c r="AK220" s="21">
        <f t="shared" si="457"/>
        <v>-384.27948528248794</v>
      </c>
      <c r="AL220" s="21">
        <f t="shared" si="457"/>
        <v>-230.96990331198555</v>
      </c>
      <c r="AM220" s="21">
        <f t="shared" si="457"/>
        <v>772.61358938077535</v>
      </c>
      <c r="AN220" s="21">
        <f t="shared" si="457"/>
        <v>-1135.8610026094793</v>
      </c>
      <c r="AO220" s="21">
        <f t="shared" si="457"/>
        <v>-1007.0934069243441</v>
      </c>
      <c r="AP220" s="21">
        <f t="shared" si="458"/>
        <v>-1157.763955043755</v>
      </c>
      <c r="AQ220" s="21">
        <f t="shared" si="458"/>
        <v>-2376.54880061109</v>
      </c>
      <c r="AR220" s="21">
        <f t="shared" si="458"/>
        <v>365.60356901978338</v>
      </c>
      <c r="AS220" s="21">
        <f t="shared" si="458"/>
        <v>-586.80677211023396</v>
      </c>
      <c r="AT220" s="21">
        <f t="shared" si="458"/>
        <v>-517.50350078553686</v>
      </c>
      <c r="AU220" s="21">
        <f t="shared" si="458"/>
        <v>-287.19972061366298</v>
      </c>
      <c r="AV220" s="21">
        <f t="shared" si="458"/>
        <v>-958.67424676248004</v>
      </c>
      <c r="AW220" s="21">
        <f t="shared" si="458"/>
        <v>189.49898296798759</v>
      </c>
      <c r="AX220" s="21">
        <f t="shared" si="458"/>
        <v>309.1307375099999</v>
      </c>
      <c r="AY220" s="21">
        <f t="shared" si="458"/>
        <v>334.44757977499995</v>
      </c>
      <c r="AZ220" s="21">
        <f t="shared" si="459"/>
        <v>239.14877817680258</v>
      </c>
      <c r="BA220" s="21">
        <f t="shared" si="459"/>
        <v>100.45770746661047</v>
      </c>
      <c r="BB220" s="21">
        <f t="shared" si="459"/>
        <v>227.79279515149634</v>
      </c>
      <c r="BC220" s="21">
        <f t="shared" si="459"/>
        <v>173.82144973365519</v>
      </c>
      <c r="BD220" s="21"/>
    </row>
    <row r="221" spans="2:57" ht="13.5" customHeight="1">
      <c r="B221" s="1" t="s">
        <v>391</v>
      </c>
      <c r="C221" s="21">
        <f t="shared" ref="C221:Q221" si="462">C145*C$211</f>
        <v>2304.0804725813641</v>
      </c>
      <c r="D221" s="21">
        <f t="shared" si="462"/>
        <v>1965.7321708593206</v>
      </c>
      <c r="E221" s="21">
        <f t="shared" si="462"/>
        <v>1630.0661312458701</v>
      </c>
      <c r="F221" s="21">
        <f t="shared" si="462"/>
        <v>1453.7326703311833</v>
      </c>
      <c r="G221" s="21">
        <f t="shared" si="462"/>
        <v>1453.7468623899849</v>
      </c>
      <c r="H221" s="21">
        <f t="shared" si="462"/>
        <v>1457.2764794383147</v>
      </c>
      <c r="I221" s="21">
        <f t="shared" si="462"/>
        <v>1248.2679204608085</v>
      </c>
      <c r="J221" s="21">
        <f t="shared" si="462"/>
        <v>1259.7217006208818</v>
      </c>
      <c r="K221" s="21">
        <f t="shared" si="462"/>
        <v>2625.3333333333335</v>
      </c>
      <c r="L221" s="21">
        <f t="shared" si="462"/>
        <v>2625.3333333333335</v>
      </c>
      <c r="M221" s="21">
        <f t="shared" si="462"/>
        <v>1919.7546865242543</v>
      </c>
      <c r="N221" s="21">
        <f t="shared" si="462"/>
        <v>1919.7546865242543</v>
      </c>
      <c r="O221" s="21">
        <f t="shared" si="462"/>
        <v>2217.7342357299999</v>
      </c>
      <c r="P221" s="21">
        <f>P145*P$211</f>
        <v>2019.7725682683872</v>
      </c>
      <c r="Q221" s="21">
        <f t="shared" si="462"/>
        <v>1392.3184123975695</v>
      </c>
      <c r="R221" s="21"/>
      <c r="S221" s="21"/>
      <c r="T221" s="21"/>
      <c r="U221" s="21"/>
      <c r="V221" s="21">
        <f t="shared" ref="V221:AX221" si="463">V145*V$211</f>
        <v>1965.7321708593206</v>
      </c>
      <c r="W221" s="21">
        <f t="shared" si="463"/>
        <v>2063.417828197425</v>
      </c>
      <c r="X221" s="21">
        <f t="shared" si="463"/>
        <v>2251.8074351619939</v>
      </c>
      <c r="Y221" s="21">
        <f t="shared" si="463"/>
        <v>2270.9722088405001</v>
      </c>
      <c r="Z221" s="21">
        <f t="shared" si="463"/>
        <v>1630.0661312458701</v>
      </c>
      <c r="AA221" s="21">
        <f t="shared" si="463"/>
        <v>1213.0251737451736</v>
      </c>
      <c r="AB221" s="21">
        <f t="shared" si="463"/>
        <v>1972.878743</v>
      </c>
      <c r="AC221" s="21">
        <f t="shared" si="463"/>
        <v>1961.0989695735434</v>
      </c>
      <c r="AD221" s="21">
        <f t="shared" si="463"/>
        <v>1453.7326703311833</v>
      </c>
      <c r="AE221" s="21">
        <f t="shared" si="463"/>
        <v>1883.1667937747754</v>
      </c>
      <c r="AF221" s="21">
        <f t="shared" si="463"/>
        <v>1974.4903992671927</v>
      </c>
      <c r="AG221" s="21">
        <f t="shared" si="463"/>
        <v>1943.6141216031756</v>
      </c>
      <c r="AH221" s="21">
        <f t="shared" si="463"/>
        <v>1457.2764794383147</v>
      </c>
      <c r="AI221" s="21">
        <f t="shared" si="463"/>
        <v>1412.3908490335209</v>
      </c>
      <c r="AJ221" s="21">
        <f t="shared" si="463"/>
        <v>1323.2663707270583</v>
      </c>
      <c r="AK221" s="21">
        <f t="shared" si="463"/>
        <v>1050.9467088889535</v>
      </c>
      <c r="AL221" s="21">
        <f t="shared" si="463"/>
        <v>1248.2679204608085</v>
      </c>
      <c r="AM221" s="21">
        <f t="shared" si="463"/>
        <v>3071.8617682120207</v>
      </c>
      <c r="AN221" s="21">
        <f t="shared" si="463"/>
        <v>2978.0816468599273</v>
      </c>
      <c r="AO221" s="21">
        <f t="shared" si="463"/>
        <v>2674.0985070185006</v>
      </c>
      <c r="AP221" s="21">
        <f t="shared" si="463"/>
        <v>2625.3333333333335</v>
      </c>
      <c r="AQ221" s="21">
        <f t="shared" si="463"/>
        <v>2404.80405264</v>
      </c>
      <c r="AR221" s="21">
        <f t="shared" si="463"/>
        <v>2271.9776208747248</v>
      </c>
      <c r="AS221" s="21">
        <f t="shared" si="463"/>
        <v>1876.5880738737808</v>
      </c>
      <c r="AT221" s="21">
        <f t="shared" si="463"/>
        <v>1919.7546865242543</v>
      </c>
      <c r="AU221" s="21">
        <f t="shared" si="463"/>
        <v>1966.8421759999999</v>
      </c>
      <c r="AV221" s="21">
        <f t="shared" si="463"/>
        <v>2014.7114040000001</v>
      </c>
      <c r="AW221" s="21">
        <f t="shared" si="463"/>
        <v>2078.7672419999999</v>
      </c>
      <c r="AX221" s="21">
        <f t="shared" si="463"/>
        <v>2217.7342357299999</v>
      </c>
      <c r="AY221" s="21">
        <f t="shared" ref="AY221:BB224" si="464">AY145*AY$211</f>
        <v>2125.4624751199999</v>
      </c>
      <c r="AZ221" s="21">
        <f t="shared" si="464"/>
        <v>2052.2668801708032</v>
      </c>
      <c r="BA221" s="21">
        <f t="shared" si="464"/>
        <v>2067.3585373599999</v>
      </c>
      <c r="BB221" s="21">
        <f t="shared" si="464"/>
        <v>2019.7725682683872</v>
      </c>
      <c r="BC221" s="21">
        <f>BC145*BC$211</f>
        <v>1392.3184123975695</v>
      </c>
      <c r="BD221" s="21"/>
    </row>
    <row r="222" spans="2:57" ht="13.5" customHeight="1">
      <c r="B222" s="1" t="s">
        <v>374</v>
      </c>
      <c r="C222" s="21">
        <f t="shared" ref="C222:Q222" si="465">C146*C$211</f>
        <v>6699.2188257186599</v>
      </c>
      <c r="D222" s="21">
        <f t="shared" si="465"/>
        <v>6678.8242637692783</v>
      </c>
      <c r="E222" s="21">
        <f t="shared" si="465"/>
        <v>6601.2656940985107</v>
      </c>
      <c r="F222" s="21">
        <f t="shared" si="465"/>
        <v>6970.2231542380232</v>
      </c>
      <c r="G222" s="21">
        <f t="shared" si="465"/>
        <v>6970.2219892182729</v>
      </c>
      <c r="H222" s="21">
        <f t="shared" si="465"/>
        <v>6612.1024072216633</v>
      </c>
      <c r="I222" s="21">
        <f t="shared" si="465"/>
        <v>6607.4252673985884</v>
      </c>
      <c r="J222" s="21">
        <f t="shared" si="465"/>
        <v>6607.4252673985884</v>
      </c>
      <c r="K222" s="21">
        <f t="shared" si="465"/>
        <v>5833.3153624974329</v>
      </c>
      <c r="L222" s="21">
        <f t="shared" si="465"/>
        <v>5833.3153624974329</v>
      </c>
      <c r="M222" s="21">
        <f t="shared" si="465"/>
        <v>5645.4737189381531</v>
      </c>
      <c r="N222" s="21">
        <f t="shared" si="465"/>
        <v>5645.4737189381531</v>
      </c>
      <c r="O222" s="21">
        <f t="shared" si="465"/>
        <v>5201.4903941199991</v>
      </c>
      <c r="P222" s="21">
        <f>P146*P$211</f>
        <v>5076.6915790291951</v>
      </c>
      <c r="Q222" s="21">
        <f t="shared" si="465"/>
        <v>4936.6073917163721</v>
      </c>
      <c r="R222" s="21"/>
      <c r="S222" s="21"/>
      <c r="T222" s="21"/>
      <c r="U222" s="21"/>
      <c r="V222" s="21">
        <f t="shared" ref="V222:AX222" si="466">V146*V$211</f>
        <v>6677.4997335715125</v>
      </c>
      <c r="W222" s="21">
        <f t="shared" si="466"/>
        <v>6821.4608198847509</v>
      </c>
      <c r="X222" s="21">
        <f t="shared" si="466"/>
        <v>6598.9385553849879</v>
      </c>
      <c r="Y222" s="21">
        <f t="shared" si="466"/>
        <v>6751.0410979434955</v>
      </c>
      <c r="Z222" s="21">
        <f t="shared" si="466"/>
        <v>6601.2656940985107</v>
      </c>
      <c r="AA222" s="21">
        <f t="shared" si="466"/>
        <v>6805.4980694980686</v>
      </c>
      <c r="AB222" s="21">
        <f t="shared" si="466"/>
        <v>7539.5476309999995</v>
      </c>
      <c r="AC222" s="21">
        <f t="shared" si="466"/>
        <v>7383.1778068229041</v>
      </c>
      <c r="AD222" s="21">
        <f t="shared" si="466"/>
        <v>6970.2231542380232</v>
      </c>
      <c r="AE222" s="21">
        <f t="shared" si="466"/>
        <v>7057.0687473286334</v>
      </c>
      <c r="AF222" s="21">
        <f t="shared" si="466"/>
        <v>7115.3954685756707</v>
      </c>
      <c r="AG222" s="21">
        <f t="shared" si="466"/>
        <v>6793.0119991159927</v>
      </c>
      <c r="AH222" s="21">
        <f t="shared" si="466"/>
        <v>6612.1024072216633</v>
      </c>
      <c r="AI222" s="21">
        <f t="shared" si="466"/>
        <v>6550.4966968436511</v>
      </c>
      <c r="AJ222" s="21">
        <f t="shared" si="466"/>
        <v>6576.0940987635749</v>
      </c>
      <c r="AK222" s="21">
        <f t="shared" si="466"/>
        <v>6519.4315969902091</v>
      </c>
      <c r="AL222" s="21">
        <f t="shared" si="466"/>
        <v>6607.4252673985884</v>
      </c>
      <c r="AM222" s="21">
        <f t="shared" si="466"/>
        <v>6130.2996313081276</v>
      </c>
      <c r="AN222" s="21">
        <f t="shared" si="466"/>
        <v>6081.5971358957786</v>
      </c>
      <c r="AO222" s="21">
        <f t="shared" si="466"/>
        <v>5754.9377511036155</v>
      </c>
      <c r="AP222" s="21">
        <f t="shared" si="466"/>
        <v>5833.3153624974329</v>
      </c>
      <c r="AQ222" s="21">
        <f t="shared" si="466"/>
        <v>5906.5355139999992</v>
      </c>
      <c r="AR222" s="21">
        <f t="shared" si="466"/>
        <v>6024.0493835812431</v>
      </c>
      <c r="AS222" s="21">
        <f t="shared" si="466"/>
        <v>5638.811865272779</v>
      </c>
      <c r="AT222" s="21">
        <f t="shared" si="466"/>
        <v>5645.4737189381531</v>
      </c>
      <c r="AU222" s="21">
        <f t="shared" si="466"/>
        <v>5614.8751359999997</v>
      </c>
      <c r="AV222" s="21">
        <f t="shared" si="466"/>
        <v>5419.4332590000004</v>
      </c>
      <c r="AW222" s="21">
        <f t="shared" si="466"/>
        <v>5262.3936219999996</v>
      </c>
      <c r="AX222" s="21">
        <f t="shared" si="466"/>
        <v>5201.4903941199991</v>
      </c>
      <c r="AY222" s="21">
        <f t="shared" si="464"/>
        <v>4978.3376288600002</v>
      </c>
      <c r="AZ222" s="21">
        <f t="shared" si="464"/>
        <v>4990.8560448358685</v>
      </c>
      <c r="BA222" s="21">
        <f t="shared" si="464"/>
        <v>5011.2139094799995</v>
      </c>
      <c r="BB222" s="21">
        <f t="shared" si="464"/>
        <v>5076.6915790291951</v>
      </c>
      <c r="BC222" s="21">
        <f>BC146*BC$211</f>
        <v>4936.6073917163721</v>
      </c>
      <c r="BD222" s="21"/>
    </row>
    <row r="223" spans="2:57" ht="13.5" customHeight="1">
      <c r="B223" s="1" t="s">
        <v>392</v>
      </c>
      <c r="C223" s="21">
        <f t="shared" ref="C223:Q223" si="467">C147*C$211</f>
        <v>4395.1383531372967</v>
      </c>
      <c r="D223" s="21">
        <f t="shared" si="467"/>
        <v>4713.0920929099584</v>
      </c>
      <c r="E223" s="21">
        <f t="shared" si="467"/>
        <v>4971.1995628526411</v>
      </c>
      <c r="F223" s="21">
        <f t="shared" si="467"/>
        <v>5516.4904839068404</v>
      </c>
      <c r="G223" s="21">
        <f t="shared" si="467"/>
        <v>5516.475126828288</v>
      </c>
      <c r="H223" s="21">
        <f t="shared" si="467"/>
        <v>5154.8259277833495</v>
      </c>
      <c r="I223" s="21">
        <f t="shared" si="467"/>
        <v>5359.1573469377809</v>
      </c>
      <c r="J223" s="21">
        <f t="shared" si="467"/>
        <v>5347.7035667777072</v>
      </c>
      <c r="K223" s="21">
        <f t="shared" si="467"/>
        <v>3207.9820291640995</v>
      </c>
      <c r="L223" s="21">
        <f t="shared" si="467"/>
        <v>3207.9820291640995</v>
      </c>
      <c r="M223" s="21">
        <f t="shared" si="467"/>
        <v>3725.7190324138983</v>
      </c>
      <c r="N223" s="21">
        <f t="shared" si="467"/>
        <v>3725.7190324138983</v>
      </c>
      <c r="O223" s="21">
        <f t="shared" si="467"/>
        <v>2983.7561583899992</v>
      </c>
      <c r="P223" s="21">
        <f>P147*P$211</f>
        <v>3056.9190107608083</v>
      </c>
      <c r="Q223" s="21">
        <f t="shared" si="467"/>
        <v>3544.2889793188028</v>
      </c>
      <c r="R223" s="21"/>
      <c r="S223" s="21"/>
      <c r="T223" s="21"/>
      <c r="U223" s="21"/>
      <c r="V223" s="21">
        <f t="shared" ref="V223:AX223" si="468">V147*V$211</f>
        <v>4711.7675627121916</v>
      </c>
      <c r="W223" s="21">
        <f t="shared" si="468"/>
        <v>4758.0429916873254</v>
      </c>
      <c r="X223" s="21">
        <f t="shared" si="468"/>
        <v>4347.1311202229936</v>
      </c>
      <c r="Y223" s="21">
        <f t="shared" si="468"/>
        <v>4480.0688891029959</v>
      </c>
      <c r="Z223" s="21">
        <f t="shared" si="468"/>
        <v>4971.1995628526411</v>
      </c>
      <c r="AA223" s="21">
        <f t="shared" si="468"/>
        <v>5592.4728957528951</v>
      </c>
      <c r="AB223" s="21">
        <f t="shared" si="468"/>
        <v>5566.6688879999983</v>
      </c>
      <c r="AC223" s="21">
        <f t="shared" si="468"/>
        <v>5422.0788372493607</v>
      </c>
      <c r="AD223" s="21">
        <f t="shared" si="468"/>
        <v>5516.4904839068404</v>
      </c>
      <c r="AE223" s="21">
        <f t="shared" si="468"/>
        <v>5173.9019535538582</v>
      </c>
      <c r="AF223" s="21">
        <f t="shared" si="468"/>
        <v>5140.9050693084782</v>
      </c>
      <c r="AG223" s="21">
        <f t="shared" si="468"/>
        <v>4849.3978775128171</v>
      </c>
      <c r="AH223" s="21">
        <f t="shared" si="468"/>
        <v>5154.8259277833495</v>
      </c>
      <c r="AI223" s="21">
        <f t="shared" si="468"/>
        <v>5138.1058478101304</v>
      </c>
      <c r="AJ223" s="21">
        <f t="shared" si="468"/>
        <v>5252.8277280365164</v>
      </c>
      <c r="AK223" s="21">
        <f t="shared" si="468"/>
        <v>5468.4848881012558</v>
      </c>
      <c r="AL223" s="21">
        <f t="shared" si="468"/>
        <v>5359.1573469377809</v>
      </c>
      <c r="AM223" s="21">
        <f t="shared" si="468"/>
        <v>3058.4378630961069</v>
      </c>
      <c r="AN223" s="21">
        <f t="shared" si="468"/>
        <v>3103.5154890358513</v>
      </c>
      <c r="AO223" s="21">
        <f t="shared" si="468"/>
        <v>3080.8392440851148</v>
      </c>
      <c r="AP223" s="21">
        <f t="shared" si="468"/>
        <v>3207.9820291640995</v>
      </c>
      <c r="AQ223" s="21">
        <f t="shared" si="468"/>
        <v>3501.7314613599997</v>
      </c>
      <c r="AR223" s="21">
        <f t="shared" si="468"/>
        <v>3752.0717627065187</v>
      </c>
      <c r="AS223" s="21">
        <f t="shared" si="468"/>
        <v>3762.2237913989984</v>
      </c>
      <c r="AT223" s="21">
        <f t="shared" si="468"/>
        <v>3725.7190324138983</v>
      </c>
      <c r="AU223" s="21">
        <f t="shared" si="468"/>
        <v>3648.03296</v>
      </c>
      <c r="AV223" s="21">
        <f t="shared" si="468"/>
        <v>3404.7218550000007</v>
      </c>
      <c r="AW223" s="21">
        <f t="shared" si="468"/>
        <v>3183.6263799999997</v>
      </c>
      <c r="AX223" s="21">
        <f t="shared" si="468"/>
        <v>2983.7561583899992</v>
      </c>
      <c r="AY223" s="21">
        <f t="shared" si="464"/>
        <v>2852.8751537400003</v>
      </c>
      <c r="AZ223" s="21">
        <f t="shared" si="464"/>
        <v>2938.5891646650648</v>
      </c>
      <c r="BA223" s="21">
        <f t="shared" si="464"/>
        <v>2943.8553721199996</v>
      </c>
      <c r="BB223" s="21">
        <f t="shared" si="464"/>
        <v>3056.9190107608083</v>
      </c>
      <c r="BC223" s="21">
        <f>BC147*BC$211</f>
        <v>3544.2889793188028</v>
      </c>
      <c r="BD223" s="21"/>
    </row>
    <row r="224" spans="2:57" ht="13.5" customHeight="1">
      <c r="B224" s="1" t="s">
        <v>393</v>
      </c>
      <c r="C224" s="21">
        <f t="shared" ref="C224:Q224" si="469">C148*C$211</f>
        <v>3799.5454457345554</v>
      </c>
      <c r="D224" s="21">
        <f t="shared" si="469"/>
        <v>4022.9737479129767</v>
      </c>
      <c r="E224" s="21">
        <f t="shared" si="469"/>
        <v>4235.1700299903423</v>
      </c>
      <c r="F224" s="21">
        <f t="shared" si="469"/>
        <v>4963.6778614473787</v>
      </c>
      <c r="G224" s="21">
        <f t="shared" si="469"/>
        <v>4963.6778614473787</v>
      </c>
      <c r="H224" s="21">
        <f t="shared" si="469"/>
        <v>4821.6148445336003</v>
      </c>
      <c r="I224" s="21">
        <f t="shared" si="469"/>
        <v>5131.9020050626486</v>
      </c>
      <c r="J224" s="21">
        <f t="shared" si="469"/>
        <v>5131.9020050626486</v>
      </c>
      <c r="K224" s="21">
        <f t="shared" si="469"/>
        <v>3034.2164715547342</v>
      </c>
      <c r="L224" s="21">
        <f t="shared" si="469"/>
        <v>3034.2164715547342</v>
      </c>
      <c r="M224" s="21">
        <f t="shared" si="469"/>
        <v>3573.3348257944408</v>
      </c>
      <c r="N224" s="21">
        <f t="shared" si="469"/>
        <v>3573.3348257944408</v>
      </c>
      <c r="O224" s="21">
        <f t="shared" si="469"/>
        <v>2863.6956789999999</v>
      </c>
      <c r="P224" s="21">
        <f>P148*P$211</f>
        <v>2727.1374473897545</v>
      </c>
      <c r="Q224" s="21">
        <f t="shared" si="469"/>
        <v>2773.4210379619826</v>
      </c>
      <c r="R224" s="21"/>
      <c r="S224" s="21"/>
      <c r="T224" s="21"/>
      <c r="U224" s="21"/>
      <c r="V224" s="21">
        <f t="shared" ref="V224:AX224" si="470">V148*V$211</f>
        <v>4022.9737479129767</v>
      </c>
      <c r="W224" s="21">
        <f t="shared" si="470"/>
        <v>4013.4677370808781</v>
      </c>
      <c r="X224" s="21">
        <f t="shared" si="470"/>
        <v>3644.7089359295464</v>
      </c>
      <c r="Y224" s="21">
        <f t="shared" si="470"/>
        <v>3673.5716350322759</v>
      </c>
      <c r="Z224" s="21">
        <f t="shared" si="470"/>
        <v>4235.1700299903423</v>
      </c>
      <c r="AA224" s="21">
        <f t="shared" si="470"/>
        <v>4853.2818532818528</v>
      </c>
      <c r="AB224" s="21">
        <f t="shared" si="470"/>
        <v>4864.5552559999996</v>
      </c>
      <c r="AC224" s="21">
        <f t="shared" si="470"/>
        <v>4812.4411076324513</v>
      </c>
      <c r="AD224" s="21">
        <f t="shared" si="470"/>
        <v>4963.6778614473787</v>
      </c>
      <c r="AE224" s="21">
        <f t="shared" si="470"/>
        <v>4762.6486536317998</v>
      </c>
      <c r="AF224" s="21">
        <f t="shared" si="470"/>
        <v>4733.6192787403352</v>
      </c>
      <c r="AG224" s="21">
        <f t="shared" si="470"/>
        <v>4536.5325198143582</v>
      </c>
      <c r="AH224" s="21">
        <f t="shared" si="470"/>
        <v>4821.6148445336003</v>
      </c>
      <c r="AI224" s="21">
        <f t="shared" si="470"/>
        <v>4889.3467090775639</v>
      </c>
      <c r="AJ224" s="21">
        <f t="shared" si="470"/>
        <v>5021.6035914027034</v>
      </c>
      <c r="AK224" s="21">
        <f t="shared" si="470"/>
        <v>5267.2254340857808</v>
      </c>
      <c r="AL224" s="21">
        <f t="shared" si="470"/>
        <v>5131.9020050626486</v>
      </c>
      <c r="AM224" s="21">
        <f t="shared" si="470"/>
        <v>2864.4390903923827</v>
      </c>
      <c r="AN224" s="21">
        <f t="shared" si="470"/>
        <v>2938.625627765899</v>
      </c>
      <c r="AO224" s="21">
        <f t="shared" si="470"/>
        <v>2944.2339169684037</v>
      </c>
      <c r="AP224" s="21">
        <f t="shared" si="470"/>
        <v>3034.2164715547342</v>
      </c>
      <c r="AQ224" s="21">
        <f t="shared" si="470"/>
        <v>3334.3603039999998</v>
      </c>
      <c r="AR224" s="21">
        <f t="shared" si="470"/>
        <v>3596.5566982614127</v>
      </c>
      <c r="AS224" s="21">
        <f t="shared" si="470"/>
        <v>3610.411679267922</v>
      </c>
      <c r="AT224" s="21">
        <f t="shared" si="470"/>
        <v>3573.3348257944408</v>
      </c>
      <c r="AU224" s="21">
        <f t="shared" si="470"/>
        <v>3465.7640160000001</v>
      </c>
      <c r="AV224" s="21">
        <f t="shared" si="470"/>
        <v>3231.1565640000003</v>
      </c>
      <c r="AW224" s="21">
        <f t="shared" si="470"/>
        <v>3041.0640739999999</v>
      </c>
      <c r="AX224" s="21">
        <f t="shared" si="470"/>
        <v>2863.6956789999999</v>
      </c>
      <c r="AY224" s="21">
        <f t="shared" si="464"/>
        <v>2707.9135860000001</v>
      </c>
      <c r="AZ224" s="21">
        <f t="shared" si="464"/>
        <v>2752.612756872164</v>
      </c>
      <c r="BA224" s="21">
        <f t="shared" si="464"/>
        <v>2735.2128430000002</v>
      </c>
      <c r="BB224" s="21">
        <f t="shared" si="464"/>
        <v>2727.1374473897545</v>
      </c>
      <c r="BC224" s="21">
        <f>BC148*BC$211</f>
        <v>2773.4210379619826</v>
      </c>
      <c r="BD224" s="21"/>
    </row>
    <row r="225" spans="1:56" ht="13.5" customHeight="1">
      <c r="B225" s="1" t="s">
        <v>394</v>
      </c>
      <c r="C225" s="40">
        <f t="shared" ref="C225:H225" si="471">C222/C216</f>
        <v>3.4029037852631006</v>
      </c>
      <c r="D225" s="40">
        <f t="shared" si="471"/>
        <v>3.5764605043816831</v>
      </c>
      <c r="E225" s="40">
        <f t="shared" si="471"/>
        <v>3.2914197932569143</v>
      </c>
      <c r="F225" s="40">
        <f t="shared" si="471"/>
        <v>3.4142468715313177</v>
      </c>
      <c r="G225" s="40">
        <f t="shared" si="471"/>
        <v>3.4914199873040381</v>
      </c>
      <c r="H225" s="40">
        <f t="shared" si="471"/>
        <v>3.8070109603323239</v>
      </c>
      <c r="I225" s="40">
        <f t="shared" ref="I225:Q225" si="472">I222/I216</f>
        <v>3.517938087717047</v>
      </c>
      <c r="J225" s="40">
        <f t="shared" si="472"/>
        <v>4.7616390245698872</v>
      </c>
      <c r="K225" s="40">
        <f t="shared" si="472"/>
        <v>4.4139126617019331</v>
      </c>
      <c r="L225" s="40">
        <f t="shared" si="472"/>
        <v>4.4942518070412003</v>
      </c>
      <c r="M225" s="40">
        <f t="shared" si="472"/>
        <v>3.990948449811166</v>
      </c>
      <c r="N225" s="40">
        <f t="shared" si="472"/>
        <v>4.1299279530758772</v>
      </c>
      <c r="O225" s="40">
        <f t="shared" si="472"/>
        <v>4.2552847913283358</v>
      </c>
      <c r="P225" s="40">
        <f>P222/P216</f>
        <v>4.3511335925559589</v>
      </c>
      <c r="Q225" s="40">
        <f t="shared" si="472"/>
        <v>4.0134463623917611</v>
      </c>
      <c r="R225" s="40"/>
      <c r="S225" s="40"/>
      <c r="T225" s="40"/>
      <c r="U225" s="40"/>
      <c r="V225" s="40">
        <f t="shared" ref="V225:AA225" si="473">V222/V216</f>
        <v>3.5767625655550752</v>
      </c>
      <c r="W225" s="40">
        <f t="shared" si="473"/>
        <v>3.526052019850435</v>
      </c>
      <c r="X225" s="40">
        <f t="shared" si="473"/>
        <v>3.321705984599074</v>
      </c>
      <c r="Y225" s="40">
        <f t="shared" si="473"/>
        <v>3.3594278723794653</v>
      </c>
      <c r="Z225" s="40">
        <f t="shared" si="473"/>
        <v>3.2907876788353181</v>
      </c>
      <c r="AA225" s="40">
        <f t="shared" si="473"/>
        <v>3.3881923610187612</v>
      </c>
      <c r="AB225" s="40">
        <f t="shared" ref="AB225:AG225" si="474">AB222/AB216</f>
        <v>3.8149844937771724</v>
      </c>
      <c r="AC225" s="40">
        <f t="shared" si="474"/>
        <v>3.7119140755444358</v>
      </c>
      <c r="AD225" s="40">
        <f t="shared" si="474"/>
        <v>3.4142468715313177</v>
      </c>
      <c r="AE225" s="40">
        <f t="shared" si="474"/>
        <v>3.589614604537978</v>
      </c>
      <c r="AF225" s="40">
        <f t="shared" si="474"/>
        <v>3.927404319733184</v>
      </c>
      <c r="AG225" s="40">
        <f t="shared" si="474"/>
        <v>3.9306734465561304</v>
      </c>
      <c r="AH225" s="40">
        <f t="shared" ref="AH225:AM225" si="475">AH222/AH216</f>
        <v>3.8070109603323239</v>
      </c>
      <c r="AI225" s="40">
        <f t="shared" si="475"/>
        <v>3.6735074398654843</v>
      </c>
      <c r="AJ225" s="40">
        <f t="shared" si="475"/>
        <v>3.4318365809329645</v>
      </c>
      <c r="AK225" s="40">
        <f t="shared" si="475"/>
        <v>3.2721512869166491</v>
      </c>
      <c r="AL225" s="40">
        <f t="shared" si="475"/>
        <v>3.2561143287344154</v>
      </c>
      <c r="AM225" s="40">
        <f t="shared" si="475"/>
        <v>3.173592430693764</v>
      </c>
      <c r="AN225" s="40">
        <f t="shared" ref="AN225:AS225" si="476">AN222/AN216</f>
        <v>3.3869291149122547</v>
      </c>
      <c r="AO225" s="40">
        <f t="shared" si="476"/>
        <v>3.5556584717478756</v>
      </c>
      <c r="AP225" s="40">
        <f t="shared" si="476"/>
        <v>4.4139126617019331</v>
      </c>
      <c r="AQ225" s="40">
        <f t="shared" si="476"/>
        <v>4.411515413938516</v>
      </c>
      <c r="AR225" s="40">
        <f t="shared" si="476"/>
        <v>4.3972547455223179</v>
      </c>
      <c r="AS225" s="40">
        <f t="shared" si="476"/>
        <v>4.1223206586739414</v>
      </c>
      <c r="AT225" s="40">
        <f t="shared" ref="AT225:AY225" si="477">AT222/AT216</f>
        <v>3.990948449811166</v>
      </c>
      <c r="AU225" s="40">
        <f t="shared" si="477"/>
        <v>4.0444085768532236</v>
      </c>
      <c r="AV225" s="40">
        <f t="shared" si="477"/>
        <v>3.9957883848319411</v>
      </c>
      <c r="AW225" s="40">
        <f t="shared" si="477"/>
        <v>4.0031759678608605</v>
      </c>
      <c r="AX225" s="40">
        <f t="shared" si="477"/>
        <v>4.2552847913283349</v>
      </c>
      <c r="AY225" s="40">
        <f t="shared" si="477"/>
        <v>4.2902257027739559</v>
      </c>
      <c r="AZ225" s="40">
        <f>AZ222/AZ216</f>
        <v>4.4882456438138796</v>
      </c>
      <c r="BA225" s="40">
        <f>BA222/BA216</f>
        <v>4.4902467934790877</v>
      </c>
      <c r="BB225" s="40">
        <f>BB222/BB216</f>
        <v>4.3511335925559589</v>
      </c>
      <c r="BC225" s="40">
        <f>BC222/BC216</f>
        <v>4.0134463623917611</v>
      </c>
      <c r="BD225" s="40"/>
    </row>
    <row r="226" spans="1:56" ht="13.5" customHeight="1">
      <c r="B226" s="5" t="s">
        <v>395</v>
      </c>
      <c r="C226" s="39">
        <f t="shared" ref="C226:H226" si="478">C223/C216</f>
        <v>2.2325338711475071</v>
      </c>
      <c r="D226" s="39">
        <f t="shared" si="478"/>
        <v>2.5238256103317607</v>
      </c>
      <c r="E226" s="39">
        <f t="shared" si="478"/>
        <v>2.4786617287698478</v>
      </c>
      <c r="F226" s="39">
        <f t="shared" si="478"/>
        <v>2.7021603124800095</v>
      </c>
      <c r="G226" s="39">
        <f t="shared" si="478"/>
        <v>2.76323071877284</v>
      </c>
      <c r="H226" s="39">
        <f t="shared" si="478"/>
        <v>2.9679635306680701</v>
      </c>
      <c r="I226" s="39">
        <f t="shared" ref="I226:Q226" si="479">I223/I216</f>
        <v>2.8533328771622646</v>
      </c>
      <c r="J226" s="39">
        <f t="shared" si="479"/>
        <v>3.8538209612510208</v>
      </c>
      <c r="K226" s="39">
        <f t="shared" si="479"/>
        <v>2.4273936204569311</v>
      </c>
      <c r="L226" s="39">
        <f t="shared" si="479"/>
        <v>2.4715754481948418</v>
      </c>
      <c r="M226" s="39">
        <f t="shared" si="479"/>
        <v>2.6338184069415731</v>
      </c>
      <c r="N226" s="39">
        <f t="shared" si="479"/>
        <v>2.7255376507477695</v>
      </c>
      <c r="O226" s="39">
        <f t="shared" si="479"/>
        <v>2.4409796500214989</v>
      </c>
      <c r="P226" s="39">
        <f>P223/P216</f>
        <v>2.6200258161020327</v>
      </c>
      <c r="Q226" s="39">
        <f t="shared" si="479"/>
        <v>2.8814958497978789</v>
      </c>
      <c r="R226" s="39"/>
      <c r="S226" s="39"/>
      <c r="T226" s="39"/>
      <c r="U226" s="39"/>
      <c r="V226" s="39">
        <f t="shared" ref="V226:AA226" si="480">V223/V216</f>
        <v>2.52382995257594</v>
      </c>
      <c r="W226" s="39">
        <f t="shared" si="480"/>
        <v>2.4594595709570828</v>
      </c>
      <c r="X226" s="39">
        <f t="shared" si="480"/>
        <v>2.1882142615342413</v>
      </c>
      <c r="Y226" s="39">
        <f t="shared" si="480"/>
        <v>2.2293551583943683</v>
      </c>
      <c r="Z226" s="39">
        <f t="shared" si="480"/>
        <v>2.4781857038555466</v>
      </c>
      <c r="AA226" s="39">
        <f t="shared" si="480"/>
        <v>2.7842743839014772</v>
      </c>
      <c r="AB226" s="39">
        <f t="shared" ref="AB226:AG226" si="481">AB223/AB216</f>
        <v>2.8167148122247614</v>
      </c>
      <c r="AC226" s="39">
        <f t="shared" si="481"/>
        <v>2.7259658755744045</v>
      </c>
      <c r="AD226" s="39">
        <f t="shared" si="481"/>
        <v>2.7021603124800095</v>
      </c>
      <c r="AE226" s="39">
        <f t="shared" si="481"/>
        <v>2.6317320519167144</v>
      </c>
      <c r="AF226" s="39">
        <f t="shared" si="481"/>
        <v>2.8375671971725236</v>
      </c>
      <c r="AG226" s="39">
        <f t="shared" si="481"/>
        <v>2.8060305901720533</v>
      </c>
      <c r="AH226" s="39">
        <f t="shared" ref="AH226:AM226" si="482">AH223/AH216</f>
        <v>2.9679635306680701</v>
      </c>
      <c r="AI226" s="39">
        <f t="shared" si="482"/>
        <v>2.8814410467288227</v>
      </c>
      <c r="AJ226" s="39">
        <f t="shared" si="482"/>
        <v>2.7412695255994111</v>
      </c>
      <c r="AK226" s="39">
        <f t="shared" si="482"/>
        <v>2.7446733043944609</v>
      </c>
      <c r="AL226" s="39">
        <f t="shared" si="482"/>
        <v>2.6409725908525759</v>
      </c>
      <c r="AM226" s="39">
        <f t="shared" si="482"/>
        <v>1.5833215072389255</v>
      </c>
      <c r="AN226" s="39">
        <f t="shared" ref="AN226:AS226" si="483">AN223/AN216</f>
        <v>1.728392514912682</v>
      </c>
      <c r="AO226" s="39">
        <f t="shared" si="483"/>
        <v>1.9034805643595101</v>
      </c>
      <c r="AP226" s="39">
        <f t="shared" si="483"/>
        <v>2.4273936204569311</v>
      </c>
      <c r="AQ226" s="39">
        <f t="shared" si="483"/>
        <v>2.6153981941948055</v>
      </c>
      <c r="AR226" s="39">
        <f t="shared" si="483"/>
        <v>2.738824719642841</v>
      </c>
      <c r="AS226" s="39">
        <f t="shared" si="483"/>
        <v>2.7504185683783997</v>
      </c>
      <c r="AT226" s="39">
        <f t="shared" ref="AT226:AY226" si="484">AT223/AT216</f>
        <v>2.6338184069415731</v>
      </c>
      <c r="AU226" s="39">
        <f t="shared" si="484"/>
        <v>2.6276872476594382</v>
      </c>
      <c r="AV226" s="39">
        <f t="shared" si="484"/>
        <v>2.5103267060627643</v>
      </c>
      <c r="AW226" s="39">
        <f t="shared" si="484"/>
        <v>2.4218288350349986</v>
      </c>
      <c r="AX226" s="39">
        <f t="shared" si="484"/>
        <v>2.4409796500214984</v>
      </c>
      <c r="AY226" s="39">
        <f t="shared" si="484"/>
        <v>2.4585472548962679</v>
      </c>
      <c r="AZ226" s="39">
        <f>AZ223/AZ216</f>
        <v>2.642654866976911</v>
      </c>
      <c r="BA226" s="39">
        <f>BA223/BA216</f>
        <v>2.6378113933874512</v>
      </c>
      <c r="BB226" s="39">
        <f>BB223/BB216</f>
        <v>2.6200258161020327</v>
      </c>
      <c r="BC226" s="39">
        <f>BC223/BC216</f>
        <v>2.8814958497978789</v>
      </c>
      <c r="BD226" s="39"/>
    </row>
    <row r="227" spans="1:56" ht="13.5" customHeight="1">
      <c r="B227" s="5" t="s">
        <v>396</v>
      </c>
      <c r="C227" s="39">
        <f t="shared" ref="C227:H227" si="485">C151</f>
        <v>2.1355072977512863</v>
      </c>
      <c r="D227" s="39">
        <f t="shared" si="485"/>
        <v>2.2519806115091332</v>
      </c>
      <c r="E227" s="39">
        <f t="shared" si="485"/>
        <v>2.1627268395936166</v>
      </c>
      <c r="F227" s="39">
        <f t="shared" si="485"/>
        <v>2.3842669733119739</v>
      </c>
      <c r="G227" s="39">
        <f t="shared" si="485"/>
        <v>2.383221859378899</v>
      </c>
      <c r="H227" s="39">
        <f t="shared" si="485"/>
        <v>2.4938183688970628</v>
      </c>
      <c r="I227" s="39">
        <f t="shared" ref="I227:Q227" si="486">I151</f>
        <v>2.5534080677093991</v>
      </c>
      <c r="J227" s="39">
        <f t="shared" si="486"/>
        <v>3.7060915177234084</v>
      </c>
      <c r="K227" s="39">
        <f t="shared" si="486"/>
        <v>2.2322128564905057</v>
      </c>
      <c r="L227" s="39">
        <f t="shared" si="486"/>
        <v>2.2728421318864127</v>
      </c>
      <c r="M227" s="39">
        <f t="shared" si="486"/>
        <v>2.417968578706712</v>
      </c>
      <c r="N227" s="39">
        <f t="shared" si="486"/>
        <v>2.502171137623312</v>
      </c>
      <c r="O227" s="39">
        <f t="shared" si="486"/>
        <v>2.6773870654984209</v>
      </c>
      <c r="P227" s="39">
        <f>P151</f>
        <v>2.1927184276172373</v>
      </c>
      <c r="Q227" s="39">
        <f t="shared" si="486"/>
        <v>2.187694904319458</v>
      </c>
      <c r="R227" s="39"/>
      <c r="S227" s="39"/>
      <c r="T227" s="39"/>
      <c r="U227" s="39"/>
      <c r="V227" s="39">
        <f t="shared" ref="V227:AX227" si="487">V151</f>
        <v>2.2519806115091345</v>
      </c>
      <c r="W227" s="39">
        <f t="shared" si="487"/>
        <v>2.0488190696981996</v>
      </c>
      <c r="X227" s="39">
        <f t="shared" si="487"/>
        <v>1.9423817675017718</v>
      </c>
      <c r="Y227" s="39">
        <f t="shared" si="487"/>
        <v>1.7973988911399383</v>
      </c>
      <c r="Z227" s="39">
        <f t="shared" si="487"/>
        <v>2.162726839593617</v>
      </c>
      <c r="AA227" s="39">
        <f t="shared" si="487"/>
        <v>2.428460865845794</v>
      </c>
      <c r="AB227" s="39">
        <f t="shared" si="487"/>
        <v>2.4564804269019906</v>
      </c>
      <c r="AC227" s="39">
        <f t="shared" si="487"/>
        <v>2.4638796488967536</v>
      </c>
      <c r="AD227" s="39">
        <f t="shared" si="487"/>
        <v>2.3842669733119739</v>
      </c>
      <c r="AE227" s="39">
        <f t="shared" si="487"/>
        <v>2.9345053715275933</v>
      </c>
      <c r="AF227" s="39">
        <f t="shared" si="487"/>
        <v>2.9092385088380688</v>
      </c>
      <c r="AG227" s="39">
        <f t="shared" si="487"/>
        <v>2.8057234526466601</v>
      </c>
      <c r="AH227" s="39">
        <f t="shared" si="487"/>
        <v>2.4938183688970628</v>
      </c>
      <c r="AI227" s="39">
        <f t="shared" si="487"/>
        <v>2.5538687723316023</v>
      </c>
      <c r="AJ227" s="39">
        <f t="shared" si="487"/>
        <v>2.4712946126191158</v>
      </c>
      <c r="AK227" s="39">
        <f t="shared" si="487"/>
        <v>2.6633430384433057</v>
      </c>
      <c r="AL227" s="39">
        <f t="shared" si="487"/>
        <v>2.5534080677093978</v>
      </c>
      <c r="AM227" s="39">
        <f t="shared" si="487"/>
        <v>1.4517405785304049</v>
      </c>
      <c r="AN227" s="39">
        <f t="shared" si="487"/>
        <v>1.6245309235576233</v>
      </c>
      <c r="AO227" s="39">
        <f t="shared" si="487"/>
        <v>1.8136124125178654</v>
      </c>
      <c r="AP227" s="39">
        <f t="shared" si="487"/>
        <v>2.2322128564905057</v>
      </c>
      <c r="AQ227" s="39">
        <f t="shared" si="487"/>
        <v>2.296991849534693</v>
      </c>
      <c r="AR227" s="39">
        <f t="shared" si="487"/>
        <v>2.3635371993963599</v>
      </c>
      <c r="AS227" s="39">
        <f t="shared" si="487"/>
        <v>2.5120443670652297</v>
      </c>
      <c r="AT227" s="39">
        <f t="shared" si="487"/>
        <v>2.417968578706712</v>
      </c>
      <c r="AU227" s="39">
        <f t="shared" si="487"/>
        <v>2.3885373752016945</v>
      </c>
      <c r="AV227" s="39">
        <f t="shared" si="487"/>
        <v>2.538058851088679</v>
      </c>
      <c r="AW227" s="39">
        <f t="shared" si="487"/>
        <v>2.5937117044606008</v>
      </c>
      <c r="AX227" s="39">
        <f t="shared" si="487"/>
        <v>2.6773870654984204</v>
      </c>
      <c r="AY227" s="39">
        <f>AY151</f>
        <v>2.5040313843042368</v>
      </c>
      <c r="AZ227" s="39">
        <f>AZ151</f>
        <v>2.3490757695846658</v>
      </c>
      <c r="BA227" s="39">
        <f>BA151</f>
        <v>2.2829885100537544</v>
      </c>
      <c r="BB227" s="39">
        <f>BB151</f>
        <v>2.1927184276172373</v>
      </c>
      <c r="BC227" s="39">
        <f>BC151</f>
        <v>2.187694904319458</v>
      </c>
      <c r="BD227" s="39"/>
    </row>
    <row r="228" spans="1:56" ht="13.5" customHeight="1">
      <c r="B228" s="5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39"/>
      <c r="AQ228" s="39"/>
      <c r="AR228" s="39"/>
      <c r="AS228" s="39"/>
      <c r="AT228" s="39"/>
      <c r="AU228" s="39"/>
      <c r="AV228" s="39"/>
      <c r="AW228" s="39"/>
      <c r="AX228" s="39"/>
      <c r="AY228" s="39"/>
      <c r="AZ228" s="39"/>
      <c r="BA228" s="39"/>
      <c r="BB228" s="39"/>
      <c r="BC228" s="39"/>
      <c r="BD228" s="39"/>
    </row>
    <row r="229" spans="1:56" ht="13.5" customHeight="1">
      <c r="A229" s="23"/>
      <c r="B229" s="15" t="s">
        <v>397</v>
      </c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209"/>
      <c r="S229" s="36"/>
      <c r="T229" s="36"/>
      <c r="U229" s="16"/>
      <c r="V229" s="16"/>
      <c r="W229" s="36"/>
      <c r="X229" s="36"/>
      <c r="Y229" s="16"/>
      <c r="Z229" s="1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  <c r="AW229" s="36"/>
      <c r="AX229" s="36"/>
      <c r="AY229" s="36"/>
      <c r="AZ229" s="36"/>
      <c r="BA229" s="36"/>
      <c r="BB229" s="36"/>
      <c r="BC229" s="36"/>
      <c r="BD229" s="270"/>
    </row>
    <row r="230" spans="1:56" s="5" customFormat="1" ht="13.5" customHeight="1">
      <c r="A230" s="56"/>
      <c r="B230" s="57" t="s">
        <v>59</v>
      </c>
      <c r="C230" s="69">
        <f t="shared" ref="C230:H230" si="488">+C123</f>
        <v>42735</v>
      </c>
      <c r="D230" s="69">
        <f t="shared" si="488"/>
        <v>43100</v>
      </c>
      <c r="E230" s="69">
        <f t="shared" si="488"/>
        <v>43465</v>
      </c>
      <c r="F230" s="69">
        <f t="shared" si="488"/>
        <v>43830</v>
      </c>
      <c r="G230" s="69">
        <f t="shared" si="488"/>
        <v>43830</v>
      </c>
      <c r="H230" s="69">
        <f t="shared" si="488"/>
        <v>44196</v>
      </c>
      <c r="I230" s="69">
        <f t="shared" ref="I230:Q230" si="489">+I123</f>
        <v>44561</v>
      </c>
      <c r="J230" s="69">
        <f t="shared" si="489"/>
        <v>44561</v>
      </c>
      <c r="K230" s="69">
        <f t="shared" si="489"/>
        <v>44926</v>
      </c>
      <c r="L230" s="69">
        <f t="shared" si="489"/>
        <v>44926</v>
      </c>
      <c r="M230" s="69">
        <f t="shared" si="489"/>
        <v>45291</v>
      </c>
      <c r="N230" s="69">
        <f t="shared" si="489"/>
        <v>45291</v>
      </c>
      <c r="O230" s="69">
        <f t="shared" si="489"/>
        <v>45657</v>
      </c>
      <c r="P230" s="69">
        <f>+P123</f>
        <v>46022</v>
      </c>
      <c r="Q230" s="122">
        <f t="shared" si="489"/>
        <v>46112</v>
      </c>
      <c r="R230" s="212"/>
      <c r="S230" s="36">
        <f>+S123</f>
        <v>42825</v>
      </c>
      <c r="T230" s="36">
        <f>+T123</f>
        <v>42916</v>
      </c>
      <c r="U230" s="36">
        <f>+U123</f>
        <v>43008</v>
      </c>
      <c r="V230" s="36">
        <f>+V123</f>
        <v>43100</v>
      </c>
      <c r="W230" s="36">
        <f>+W123</f>
        <v>43190</v>
      </c>
      <c r="X230" s="36">
        <f>X3</f>
        <v>43281</v>
      </c>
      <c r="Y230" s="36">
        <f>Y3</f>
        <v>43373</v>
      </c>
      <c r="Z230" s="36">
        <f>Z3</f>
        <v>43465</v>
      </c>
      <c r="AA230" s="36">
        <f>+AA123</f>
        <v>43555</v>
      </c>
      <c r="AB230" s="36">
        <f>AB3</f>
        <v>43646</v>
      </c>
      <c r="AC230" s="36">
        <f t="shared" ref="AC230:AX230" si="490">+AC123</f>
        <v>43738</v>
      </c>
      <c r="AD230" s="36">
        <f t="shared" si="490"/>
        <v>43830</v>
      </c>
      <c r="AE230" s="36">
        <f t="shared" si="490"/>
        <v>43921</v>
      </c>
      <c r="AF230" s="36">
        <f t="shared" si="490"/>
        <v>44012</v>
      </c>
      <c r="AG230" s="36">
        <f t="shared" si="490"/>
        <v>44104</v>
      </c>
      <c r="AH230" s="36">
        <f t="shared" si="490"/>
        <v>44196</v>
      </c>
      <c r="AI230" s="36">
        <f t="shared" si="490"/>
        <v>44286</v>
      </c>
      <c r="AJ230" s="36">
        <f t="shared" si="490"/>
        <v>44377</v>
      </c>
      <c r="AK230" s="36">
        <f t="shared" si="490"/>
        <v>44469</v>
      </c>
      <c r="AL230" s="36">
        <f t="shared" si="490"/>
        <v>44561</v>
      </c>
      <c r="AM230" s="36">
        <f t="shared" si="490"/>
        <v>44651</v>
      </c>
      <c r="AN230" s="36">
        <f t="shared" si="490"/>
        <v>44742</v>
      </c>
      <c r="AO230" s="36">
        <f t="shared" si="490"/>
        <v>44834</v>
      </c>
      <c r="AP230" s="36">
        <f t="shared" si="490"/>
        <v>44926</v>
      </c>
      <c r="AQ230" s="36">
        <f t="shared" si="490"/>
        <v>45016</v>
      </c>
      <c r="AR230" s="92">
        <f t="shared" si="490"/>
        <v>45107</v>
      </c>
      <c r="AS230" s="92">
        <f t="shared" si="490"/>
        <v>45199</v>
      </c>
      <c r="AT230" s="92">
        <f t="shared" si="490"/>
        <v>45291</v>
      </c>
      <c r="AU230" s="92">
        <f t="shared" si="490"/>
        <v>45382</v>
      </c>
      <c r="AV230" s="92">
        <f t="shared" si="490"/>
        <v>45473</v>
      </c>
      <c r="AW230" s="92">
        <f t="shared" si="490"/>
        <v>45565</v>
      </c>
      <c r="AX230" s="92">
        <f t="shared" si="490"/>
        <v>45657</v>
      </c>
      <c r="AY230" s="92">
        <f>+AY123</f>
        <v>45747</v>
      </c>
      <c r="AZ230" s="92">
        <f>+AZ123</f>
        <v>45838</v>
      </c>
      <c r="BA230" s="92">
        <f>+BA123</f>
        <v>45930</v>
      </c>
      <c r="BB230" s="92">
        <f>+BB123</f>
        <v>46022</v>
      </c>
      <c r="BC230" s="92">
        <f>+BC123</f>
        <v>46112</v>
      </c>
      <c r="BD230" s="270"/>
    </row>
    <row r="231" spans="1:56" s="5" customFormat="1" ht="13.5" customHeight="1">
      <c r="B231" s="10"/>
      <c r="C231" s="13" t="s">
        <v>287</v>
      </c>
      <c r="D231" s="13" t="s">
        <v>287</v>
      </c>
      <c r="E231" s="13" t="s">
        <v>287</v>
      </c>
      <c r="F231" s="13" t="s">
        <v>287</v>
      </c>
      <c r="G231" s="13" t="s">
        <v>287</v>
      </c>
      <c r="H231" s="13" t="s">
        <v>287</v>
      </c>
      <c r="I231" s="13" t="s">
        <v>287</v>
      </c>
      <c r="J231" s="13" t="s">
        <v>287</v>
      </c>
      <c r="K231" s="13" t="s">
        <v>287</v>
      </c>
      <c r="L231" s="13" t="s">
        <v>287</v>
      </c>
      <c r="M231" s="13" t="s">
        <v>287</v>
      </c>
      <c r="N231" s="13" t="s">
        <v>287</v>
      </c>
      <c r="O231" s="13" t="s">
        <v>287</v>
      </c>
      <c r="P231" s="13" t="s">
        <v>287</v>
      </c>
      <c r="Q231" s="13" t="s">
        <v>287</v>
      </c>
      <c r="R231" s="207"/>
      <c r="S231" s="13" t="s">
        <v>287</v>
      </c>
      <c r="T231" s="13" t="s">
        <v>287</v>
      </c>
      <c r="U231" s="13" t="s">
        <v>287</v>
      </c>
      <c r="V231" s="13" t="s">
        <v>287</v>
      </c>
      <c r="W231" s="13" t="s">
        <v>287</v>
      </c>
      <c r="X231" s="13" t="s">
        <v>287</v>
      </c>
      <c r="Y231" s="13" t="s">
        <v>287</v>
      </c>
      <c r="Z231" s="13" t="s">
        <v>287</v>
      </c>
      <c r="AA231" s="13" t="s">
        <v>287</v>
      </c>
      <c r="AB231" s="13" t="str">
        <f>AB4</f>
        <v>Act</v>
      </c>
      <c r="AC231" s="13" t="s">
        <v>287</v>
      </c>
      <c r="AD231" s="13" t="s">
        <v>287</v>
      </c>
      <c r="AE231" s="13" t="s">
        <v>287</v>
      </c>
      <c r="AF231" s="13" t="s">
        <v>287</v>
      </c>
      <c r="AG231" s="13" t="s">
        <v>287</v>
      </c>
      <c r="AH231" s="13" t="s">
        <v>287</v>
      </c>
      <c r="AI231" s="13" t="s">
        <v>287</v>
      </c>
      <c r="AJ231" s="13" t="s">
        <v>287</v>
      </c>
      <c r="AK231" s="13" t="s">
        <v>287</v>
      </c>
      <c r="AL231" s="13" t="s">
        <v>287</v>
      </c>
      <c r="AM231" s="13" t="s">
        <v>287</v>
      </c>
      <c r="AN231" s="13" t="s">
        <v>287</v>
      </c>
      <c r="AO231" s="13" t="s">
        <v>287</v>
      </c>
      <c r="AP231" s="13" t="s">
        <v>287</v>
      </c>
      <c r="AQ231" s="13" t="s">
        <v>287</v>
      </c>
      <c r="AR231" s="13" t="s">
        <v>287</v>
      </c>
      <c r="AS231" s="13" t="s">
        <v>287</v>
      </c>
      <c r="AT231" s="13" t="s">
        <v>287</v>
      </c>
      <c r="AU231" s="13" t="s">
        <v>287</v>
      </c>
      <c r="AV231" s="13" t="s">
        <v>287</v>
      </c>
      <c r="AW231" s="13" t="s">
        <v>287</v>
      </c>
      <c r="AX231" s="13" t="s">
        <v>287</v>
      </c>
      <c r="AY231" s="13" t="s">
        <v>287</v>
      </c>
      <c r="AZ231" s="13" t="s">
        <v>287</v>
      </c>
      <c r="BA231" s="13" t="s">
        <v>287</v>
      </c>
      <c r="BB231" s="13" t="s">
        <v>287</v>
      </c>
      <c r="BC231" s="13" t="s">
        <v>287</v>
      </c>
      <c r="BD231" s="207"/>
    </row>
    <row r="232" spans="1:56" s="5" customFormat="1" ht="13.5" customHeight="1">
      <c r="A232" s="3"/>
      <c r="B232" s="3"/>
      <c r="C232" s="222" t="s">
        <v>288</v>
      </c>
      <c r="D232" s="20" t="s">
        <v>288</v>
      </c>
      <c r="E232" s="20" t="s">
        <v>288</v>
      </c>
      <c r="F232" s="20" t="s">
        <v>288</v>
      </c>
      <c r="G232" s="20" t="s">
        <v>288</v>
      </c>
      <c r="H232" s="20" t="s">
        <v>288</v>
      </c>
      <c r="I232" s="222" t="s">
        <v>288</v>
      </c>
      <c r="J232" s="20" t="s">
        <v>288</v>
      </c>
      <c r="K232" s="20" t="s">
        <v>288</v>
      </c>
      <c r="L232" s="20" t="s">
        <v>288</v>
      </c>
      <c r="M232" s="20" t="s">
        <v>288</v>
      </c>
      <c r="N232" s="20" t="s">
        <v>288</v>
      </c>
      <c r="O232" s="20" t="s">
        <v>288</v>
      </c>
      <c r="P232" s="20" t="s">
        <v>288</v>
      </c>
      <c r="Q232" s="20" t="s">
        <v>285</v>
      </c>
      <c r="R232" s="20"/>
      <c r="S232" s="20" t="s">
        <v>289</v>
      </c>
      <c r="T232" s="20" t="s">
        <v>290</v>
      </c>
      <c r="U232" s="20" t="s">
        <v>291</v>
      </c>
      <c r="V232" s="20" t="s">
        <v>292</v>
      </c>
      <c r="W232" s="20" t="s">
        <v>289</v>
      </c>
      <c r="X232" s="20" t="s">
        <v>290</v>
      </c>
      <c r="Y232" s="20" t="s">
        <v>291</v>
      </c>
      <c r="Z232" s="20" t="s">
        <v>292</v>
      </c>
      <c r="AA232" s="20" t="s">
        <v>289</v>
      </c>
      <c r="AB232" s="20" t="str">
        <f>AB5</f>
        <v>Q2</v>
      </c>
      <c r="AC232" s="20" t="s">
        <v>291</v>
      </c>
      <c r="AD232" s="20" t="s">
        <v>292</v>
      </c>
      <c r="AE232" s="20" t="s">
        <v>289</v>
      </c>
      <c r="AF232" s="20" t="s">
        <v>289</v>
      </c>
      <c r="AG232" s="20" t="s">
        <v>289</v>
      </c>
      <c r="AH232" s="20" t="s">
        <v>292</v>
      </c>
      <c r="AI232" s="20" t="s">
        <v>289</v>
      </c>
      <c r="AJ232" s="20" t="s">
        <v>290</v>
      </c>
      <c r="AK232" s="20" t="s">
        <v>289</v>
      </c>
      <c r="AL232" s="20" t="s">
        <v>292</v>
      </c>
      <c r="AM232" s="20" t="s">
        <v>289</v>
      </c>
      <c r="AN232" s="20" t="s">
        <v>290</v>
      </c>
      <c r="AO232" s="20" t="s">
        <v>291</v>
      </c>
      <c r="AP232" s="20" t="s">
        <v>292</v>
      </c>
      <c r="AQ232" s="20" t="s">
        <v>289</v>
      </c>
      <c r="AR232" s="20" t="s">
        <v>290</v>
      </c>
      <c r="AS232" s="20" t="s">
        <v>291</v>
      </c>
      <c r="AT232" s="20" t="s">
        <v>292</v>
      </c>
      <c r="AU232" s="20" t="s">
        <v>289</v>
      </c>
      <c r="AV232" s="20" t="s">
        <v>290</v>
      </c>
      <c r="AW232" s="20" t="s">
        <v>291</v>
      </c>
      <c r="AX232" s="20" t="s">
        <v>292</v>
      </c>
      <c r="AY232" s="20" t="s">
        <v>289</v>
      </c>
      <c r="AZ232" s="20" t="s">
        <v>290</v>
      </c>
      <c r="BA232" s="20" t="s">
        <v>291</v>
      </c>
      <c r="BB232" s="20" t="s">
        <v>292</v>
      </c>
      <c r="BC232" s="20" t="s">
        <v>289</v>
      </c>
      <c r="BD232" s="20"/>
    </row>
    <row r="233" spans="1:56" s="5" customFormat="1" ht="13.5" customHeight="1">
      <c r="B233" s="5" t="str">
        <f>+B9</f>
        <v>Net Sales including non-recurring licensing revenues</v>
      </c>
      <c r="C233" s="43">
        <f t="shared" ref="C233:Q233" si="491">C9*C$210</f>
        <v>5162.9303880000007</v>
      </c>
      <c r="D233" s="43">
        <f t="shared" si="491"/>
        <v>4964.747910000001</v>
      </c>
      <c r="E233" s="43">
        <f t="shared" si="491"/>
        <v>5272.7565380000005</v>
      </c>
      <c r="F233" s="43">
        <f t="shared" si="491"/>
        <v>5270.4324333559252</v>
      </c>
      <c r="G233" s="43">
        <f t="shared" si="491"/>
        <v>5165.1278550185853</v>
      </c>
      <c r="H233" s="43">
        <f t="shared" si="491"/>
        <v>4386.2203759674385</v>
      </c>
      <c r="I233" s="43">
        <f t="shared" si="491"/>
        <v>4718.4387355934468</v>
      </c>
      <c r="J233" s="43">
        <f t="shared" si="491"/>
        <v>3612.67569437363</v>
      </c>
      <c r="K233" s="43">
        <f t="shared" si="491"/>
        <v>3770.3440691507503</v>
      </c>
      <c r="L233" s="43">
        <f t="shared" si="491"/>
        <v>3425.3497853852255</v>
      </c>
      <c r="M233" s="43">
        <f t="shared" si="491"/>
        <v>4159.8657793915727</v>
      </c>
      <c r="N233" s="43">
        <f t="shared" si="491"/>
        <v>3734.3900163981939</v>
      </c>
      <c r="O233" s="43">
        <f t="shared" si="491"/>
        <v>3416.0979555200001</v>
      </c>
      <c r="P233" s="43">
        <f t="shared" si="491"/>
        <v>3066.8989541068154</v>
      </c>
      <c r="Q233" s="43">
        <f t="shared" si="491"/>
        <v>3159.5371592748893</v>
      </c>
      <c r="R233" s="43"/>
      <c r="S233" s="43">
        <f t="shared" ref="S233:BB233" si="492">S9*S$210</f>
        <v>1084.3228769999998</v>
      </c>
      <c r="T233" s="43">
        <f t="shared" si="492"/>
        <v>1239.1388239999999</v>
      </c>
      <c r="U233" s="43">
        <f t="shared" si="492"/>
        <v>1272.07419</v>
      </c>
      <c r="V233" s="43">
        <f t="shared" si="492"/>
        <v>1369.5237489999997</v>
      </c>
      <c r="W233" s="43">
        <f t="shared" si="492"/>
        <v>1218.8451599999999</v>
      </c>
      <c r="X233" s="43">
        <f t="shared" si="492"/>
        <v>1377.81288</v>
      </c>
      <c r="Y233" s="43">
        <f t="shared" si="492"/>
        <v>1321.7529599999998</v>
      </c>
      <c r="Z233" s="43">
        <f t="shared" si="492"/>
        <v>1348.795885</v>
      </c>
      <c r="AA233" s="43">
        <f t="shared" si="492"/>
        <v>1219.1238719999997</v>
      </c>
      <c r="AB233" s="43">
        <f t="shared" si="492"/>
        <v>1272.2597840000001</v>
      </c>
      <c r="AC233" s="43">
        <f t="shared" si="492"/>
        <v>1326.9552275400001</v>
      </c>
      <c r="AD233" s="43">
        <f t="shared" si="492"/>
        <v>1450.7850644258488</v>
      </c>
      <c r="AE233" s="43">
        <f t="shared" si="492"/>
        <v>1101.7328721267447</v>
      </c>
      <c r="AF233" s="43">
        <f t="shared" si="492"/>
        <v>955.8523471943206</v>
      </c>
      <c r="AG233" s="43">
        <f t="shared" si="492"/>
        <v>1038.4859216477478</v>
      </c>
      <c r="AH233" s="43">
        <f t="shared" si="492"/>
        <v>1298.6187064269509</v>
      </c>
      <c r="AI233" s="43">
        <f t="shared" si="492"/>
        <v>1180.5563957593358</v>
      </c>
      <c r="AJ233" s="43">
        <f t="shared" si="492"/>
        <v>1226.4580044086758</v>
      </c>
      <c r="AK233" s="43">
        <f t="shared" si="492"/>
        <v>1287.833540989096</v>
      </c>
      <c r="AL233" s="43">
        <f t="shared" si="492"/>
        <v>1400.1577516038492</v>
      </c>
      <c r="AM233" s="43">
        <f t="shared" si="492"/>
        <v>921.82663457360263</v>
      </c>
      <c r="AN233" s="43">
        <f t="shared" si="492"/>
        <v>926.88868517859089</v>
      </c>
      <c r="AO233" s="43">
        <f t="shared" si="492"/>
        <v>956.0851050786481</v>
      </c>
      <c r="AP233" s="43">
        <f t="shared" si="492"/>
        <v>965.65959915700785</v>
      </c>
      <c r="AQ233" s="43">
        <f t="shared" si="492"/>
        <v>992.28193614000008</v>
      </c>
      <c r="AR233" s="43">
        <f t="shared" si="492"/>
        <v>1048.1451088033052</v>
      </c>
      <c r="AS233" s="43">
        <f t="shared" si="492"/>
        <v>950.564757579716</v>
      </c>
      <c r="AT233" s="43">
        <f t="shared" si="492"/>
        <v>1167.6517901040966</v>
      </c>
      <c r="AU233" s="43">
        <f t="shared" si="492"/>
        <v>939.05891799999995</v>
      </c>
      <c r="AV233" s="43">
        <f t="shared" si="492"/>
        <v>912.24900899999989</v>
      </c>
      <c r="AW233" s="43">
        <f t="shared" si="492"/>
        <v>811.30946800000004</v>
      </c>
      <c r="AX233" s="43">
        <f t="shared" si="492"/>
        <v>757.66387264000002</v>
      </c>
      <c r="AY233" s="43">
        <f t="shared" si="492"/>
        <v>732.80798400000003</v>
      </c>
      <c r="AZ233" s="43">
        <f t="shared" si="492"/>
        <v>752.64313278302643</v>
      </c>
      <c r="BA233" s="43">
        <f t="shared" si="492"/>
        <v>785.18197647999989</v>
      </c>
      <c r="BB233" s="43">
        <f t="shared" si="492"/>
        <v>794.87192936445535</v>
      </c>
      <c r="BC233" s="43">
        <f>BC9*BC$210</f>
        <v>826.16517041346697</v>
      </c>
      <c r="BD233" s="43"/>
    </row>
    <row r="234" spans="1:56" s="37" customFormat="1" ht="13.5" customHeight="1">
      <c r="B234" s="25" t="str">
        <f>+B11</f>
        <v xml:space="preserve">% y-o-y growth </v>
      </c>
      <c r="C234" s="233"/>
      <c r="D234" s="53" t="e">
        <f>+D233/C232-1</f>
        <v>#VALUE!</v>
      </c>
      <c r="E234" s="53">
        <f>+E233/D233-1</f>
        <v>6.203912738038686E-2</v>
      </c>
      <c r="F234" s="53">
        <f>+F233/E233-1</f>
        <v>-4.4077602053604892E-4</v>
      </c>
      <c r="G234" s="53">
        <f>+G233/E233-1</f>
        <v>-2.0412223133336571E-2</v>
      </c>
      <c r="H234" s="53">
        <f>+H233/G233-1</f>
        <v>-0.15080120006987596</v>
      </c>
      <c r="I234" s="53">
        <f>+I233/H233-1</f>
        <v>7.5741374383801574E-2</v>
      </c>
      <c r="J234" s="53"/>
      <c r="K234" s="53">
        <f>+K233/J233-1</f>
        <v>4.36431022642505E-2</v>
      </c>
      <c r="L234" s="53">
        <f>+L233/J233-1</f>
        <v>-5.18524010555792E-2</v>
      </c>
      <c r="M234" s="53">
        <f>+M233/K233-1</f>
        <v>0.10331197978134665</v>
      </c>
      <c r="N234" s="53">
        <f>+N233/L233-1</f>
        <v>9.0221510320357856E-2</v>
      </c>
      <c r="O234" s="53">
        <f>+O233/N233-1</f>
        <v>-8.5232677754742192E-2</v>
      </c>
      <c r="P234" s="53">
        <f>+P233/O233-1</f>
        <v>-0.10222160077374876</v>
      </c>
      <c r="Q234" s="53"/>
      <c r="R234" s="213"/>
      <c r="S234" s="41"/>
      <c r="T234" s="41"/>
      <c r="U234" s="41"/>
      <c r="V234" s="41"/>
      <c r="W234" s="41">
        <f>W233/S233-1</f>
        <v>0.12406109458114845</v>
      </c>
      <c r="X234" s="41">
        <f>X233/T233-1</f>
        <v>0.11191163840089646</v>
      </c>
      <c r="Y234" s="41">
        <f>Y233/U233-1</f>
        <v>3.9053358986868236E-2</v>
      </c>
      <c r="Z234" s="41">
        <f>Z233/V233-1</f>
        <v>-1.5135089125058898E-2</v>
      </c>
      <c r="AA234" s="41">
        <f t="shared" ref="AA234:BC234" si="493">AA233/W233-1</f>
        <v>2.2866891476169826E-4</v>
      </c>
      <c r="AB234" s="41">
        <f t="shared" si="493"/>
        <v>-7.6609166260660833E-2</v>
      </c>
      <c r="AC234" s="41">
        <f t="shared" si="493"/>
        <v>3.935884917557031E-3</v>
      </c>
      <c r="AD234" s="41">
        <f t="shared" si="493"/>
        <v>7.5614984120335516E-2</v>
      </c>
      <c r="AE234" s="41">
        <f t="shared" si="493"/>
        <v>-9.6291281443511068E-2</v>
      </c>
      <c r="AF234" s="41">
        <f t="shared" si="493"/>
        <v>-0.24869719280986047</v>
      </c>
      <c r="AG234" s="41">
        <f t="shared" si="493"/>
        <v>-0.21739189077768384</v>
      </c>
      <c r="AH234" s="41">
        <f t="shared" si="493"/>
        <v>-0.10488552834607379</v>
      </c>
      <c r="AI234" s="41">
        <f t="shared" si="493"/>
        <v>7.1545041113671326E-2</v>
      </c>
      <c r="AJ234" s="41">
        <f t="shared" si="493"/>
        <v>0.28310403589911592</v>
      </c>
      <c r="AK234" s="41">
        <f t="shared" si="493"/>
        <v>0.24010688459378704</v>
      </c>
      <c r="AL234" s="41">
        <f t="shared" si="493"/>
        <v>7.8190037363834897E-2</v>
      </c>
      <c r="AM234" s="41">
        <f t="shared" si="493"/>
        <v>-0.2191591711460068</v>
      </c>
      <c r="AN234" s="41">
        <f t="shared" si="493"/>
        <v>-0.24425566807280874</v>
      </c>
      <c r="AO234" s="41">
        <f t="shared" si="493"/>
        <v>-0.25760195347580006</v>
      </c>
      <c r="AP234" s="41">
        <f t="shared" si="493"/>
        <v>-0.31032085631003614</v>
      </c>
      <c r="AQ234" s="41">
        <f t="shared" si="493"/>
        <v>7.643009967811043E-2</v>
      </c>
      <c r="AR234" s="41">
        <f t="shared" si="493"/>
        <v>0.13082091254717487</v>
      </c>
      <c r="AS234" s="41">
        <f t="shared" si="493"/>
        <v>-5.773908064887201E-3</v>
      </c>
      <c r="AT234" s="41">
        <f t="shared" si="493"/>
        <v>0.20917535653704666</v>
      </c>
      <c r="AU234" s="41">
        <f t="shared" si="493"/>
        <v>-5.3636991868499462E-2</v>
      </c>
      <c r="AV234" s="41">
        <f t="shared" si="493"/>
        <v>-0.12965389874161748</v>
      </c>
      <c r="AW234" s="41">
        <f t="shared" si="493"/>
        <v>-0.14649742531406418</v>
      </c>
      <c r="AX234" s="41">
        <f t="shared" si="493"/>
        <v>-0.3511217307580593</v>
      </c>
      <c r="AY234" s="41">
        <f t="shared" si="493"/>
        <v>-0.21963577582466443</v>
      </c>
      <c r="AZ234" s="41">
        <f t="shared" si="493"/>
        <v>-0.17495867317184832</v>
      </c>
      <c r="BA234" s="41">
        <f t="shared" si="493"/>
        <v>-3.2204100347070219E-2</v>
      </c>
      <c r="BB234" s="41">
        <f t="shared" si="493"/>
        <v>4.9108922924895104E-2</v>
      </c>
      <c r="BC234" s="41">
        <f t="shared" si="493"/>
        <v>0.12739651921350648</v>
      </c>
      <c r="BD234" s="214"/>
    </row>
    <row r="235" spans="1:56" s="5" customFormat="1" ht="13.5" hidden="1" customHeight="1" outlineLevel="1" thickBot="1">
      <c r="B235" s="22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8"/>
      <c r="AJ235" s="48"/>
      <c r="AK235" s="48"/>
      <c r="AL235" s="48"/>
      <c r="AM235" s="48"/>
      <c r="AN235" s="48"/>
      <c r="AO235" s="48"/>
      <c r="AP235" s="48"/>
      <c r="AQ235" s="48"/>
      <c r="AR235" s="48"/>
      <c r="AS235" s="48"/>
      <c r="AT235" s="48"/>
      <c r="AU235" s="48"/>
      <c r="AV235" s="48"/>
      <c r="AW235" s="48"/>
      <c r="AX235" s="48"/>
      <c r="AY235" s="48"/>
      <c r="AZ235" s="48"/>
      <c r="BA235" s="48"/>
      <c r="BB235" s="48"/>
      <c r="BC235" s="48"/>
      <c r="BD235" s="7"/>
    </row>
    <row r="236" spans="1:56" s="37" customFormat="1" ht="13.5" hidden="1" customHeight="1" outlineLevel="1" thickTop="1">
      <c r="B236" s="25"/>
      <c r="C236" s="234"/>
      <c r="D236" s="41"/>
      <c r="E236" s="41"/>
      <c r="F236" s="41"/>
      <c r="G236" s="41"/>
      <c r="H236" s="41"/>
      <c r="I236" s="234"/>
      <c r="J236" s="41"/>
      <c r="K236" s="41"/>
      <c r="L236" s="41"/>
      <c r="M236" s="41"/>
      <c r="N236" s="41"/>
      <c r="O236" s="41"/>
      <c r="P236" s="41"/>
      <c r="Q236" s="41"/>
      <c r="R236" s="214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  <c r="BC236" s="41"/>
      <c r="BD236" s="214"/>
    </row>
    <row r="237" spans="1:56" s="37" customFormat="1" ht="13.5" hidden="1" customHeight="1" outlineLevel="1">
      <c r="B237" s="25"/>
      <c r="C237" s="234"/>
      <c r="D237" s="41"/>
      <c r="E237" s="41"/>
      <c r="F237" s="41"/>
      <c r="G237" s="41"/>
      <c r="H237" s="41"/>
      <c r="I237" s="234"/>
      <c r="J237" s="41"/>
      <c r="K237" s="41"/>
      <c r="L237" s="41"/>
      <c r="M237" s="41"/>
      <c r="N237" s="41"/>
      <c r="O237" s="41"/>
      <c r="P237" s="41"/>
      <c r="Q237" s="41"/>
      <c r="R237" s="214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  <c r="BC237" s="41"/>
      <c r="BD237" s="214"/>
    </row>
    <row r="238" spans="1:56" ht="13.5" customHeight="1" collapsed="1">
      <c r="U238" s="42"/>
      <c r="V238" s="42"/>
      <c r="Z238" s="42"/>
    </row>
    <row r="239" spans="1:56" s="5" customFormat="1" ht="13.5" customHeight="1" thickBot="1">
      <c r="B239" s="22" t="str">
        <f>B52</f>
        <v xml:space="preserve">Adj. EBITDA </v>
      </c>
      <c r="C239" s="48">
        <f t="shared" ref="C239:Q239" si="494">C52*C$210</f>
        <v>1968.6771206200001</v>
      </c>
      <c r="D239" s="48">
        <f t="shared" si="494"/>
        <v>1867.4396811000008</v>
      </c>
      <c r="E239" s="48">
        <f t="shared" si="494"/>
        <v>2005.5982247000006</v>
      </c>
      <c r="F239" s="48">
        <f t="shared" si="494"/>
        <v>2041.5111784555347</v>
      </c>
      <c r="G239" s="48">
        <f t="shared" si="494"/>
        <v>1996.3860018457572</v>
      </c>
      <c r="H239" s="48">
        <f t="shared" si="494"/>
        <v>1736.82252983177</v>
      </c>
      <c r="I239" s="48">
        <f t="shared" si="494"/>
        <v>1878.2096508373895</v>
      </c>
      <c r="J239" s="48">
        <f t="shared" si="494"/>
        <v>1387.6367430005739</v>
      </c>
      <c r="K239" s="48">
        <f t="shared" si="494"/>
        <v>1321.5747137706619</v>
      </c>
      <c r="L239" s="48">
        <f t="shared" si="494"/>
        <v>1297.9502735824249</v>
      </c>
      <c r="M239" s="48">
        <f t="shared" si="494"/>
        <v>1414.5694413079357</v>
      </c>
      <c r="N239" s="48">
        <f t="shared" si="494"/>
        <v>1366.9666355156467</v>
      </c>
      <c r="O239" s="48">
        <f t="shared" si="494"/>
        <v>1222.3601119999996</v>
      </c>
      <c r="P239" s="48">
        <f>P52*P$210</f>
        <v>1166.7514846509289</v>
      </c>
      <c r="Q239" s="48">
        <f t="shared" si="494"/>
        <v>1230.0170342315139</v>
      </c>
      <c r="R239" s="48"/>
      <c r="S239" s="49">
        <f t="shared" ref="S239:AX239" si="495">S52*S$210</f>
        <v>394.36359214999976</v>
      </c>
      <c r="T239" s="49">
        <f t="shared" si="495"/>
        <v>478.32652628</v>
      </c>
      <c r="U239" s="49">
        <f t="shared" si="495"/>
        <v>493.26269405999983</v>
      </c>
      <c r="V239" s="49">
        <f t="shared" si="495"/>
        <v>503.69316370999996</v>
      </c>
      <c r="W239" s="49">
        <f t="shared" si="495"/>
        <v>458.37981695999997</v>
      </c>
      <c r="X239" s="49">
        <f t="shared" si="495"/>
        <v>527.99565839999991</v>
      </c>
      <c r="Y239" s="49">
        <f t="shared" si="495"/>
        <v>518.0774015999998</v>
      </c>
      <c r="Z239" s="49">
        <f t="shared" si="495"/>
        <v>499.51185715000042</v>
      </c>
      <c r="AA239" s="49">
        <f t="shared" si="495"/>
        <v>462.48729731999987</v>
      </c>
      <c r="AB239" s="49">
        <f t="shared" si="495"/>
        <v>495.77609948000014</v>
      </c>
      <c r="AC239" s="49">
        <f t="shared" si="495"/>
        <v>530.36559436000005</v>
      </c>
      <c r="AD239" s="49">
        <f t="shared" si="495"/>
        <v>552.23836821921645</v>
      </c>
      <c r="AE239" s="49">
        <f t="shared" si="495"/>
        <v>393.34322285789705</v>
      </c>
      <c r="AF239" s="49">
        <f t="shared" si="495"/>
        <v>350.68509121242596</v>
      </c>
      <c r="AG239" s="49">
        <f t="shared" si="495"/>
        <v>439.76146512911976</v>
      </c>
      <c r="AH239" s="49">
        <f t="shared" si="495"/>
        <v>556.20890228883923</v>
      </c>
      <c r="AI239" s="49">
        <f t="shared" si="495"/>
        <v>439.10996507997214</v>
      </c>
      <c r="AJ239" s="49">
        <f t="shared" si="495"/>
        <v>476.08660807336616</v>
      </c>
      <c r="AK239" s="49">
        <f t="shared" si="495"/>
        <v>516.19537186285345</v>
      </c>
      <c r="AL239" s="49">
        <f t="shared" si="495"/>
        <v>595.94184124160813</v>
      </c>
      <c r="AM239" s="49">
        <f t="shared" si="495"/>
        <v>340.96172368686268</v>
      </c>
      <c r="AN239" s="49">
        <f t="shared" si="495"/>
        <v>338.08294173662779</v>
      </c>
      <c r="AO239" s="49">
        <f t="shared" si="495"/>
        <v>338.86126926365671</v>
      </c>
      <c r="AP239" s="49">
        <f t="shared" si="495"/>
        <v>303.1892214543434</v>
      </c>
      <c r="AQ239" s="49">
        <f t="shared" si="495"/>
        <v>358.85665788000011</v>
      </c>
      <c r="AR239" s="49">
        <f t="shared" si="495"/>
        <v>369.45584198760588</v>
      </c>
      <c r="AS239" s="49">
        <f t="shared" si="495"/>
        <v>335.99244675050574</v>
      </c>
      <c r="AT239" s="49">
        <f t="shared" si="495"/>
        <v>348.17396694529111</v>
      </c>
      <c r="AU239" s="49">
        <f t="shared" si="495"/>
        <v>333.65749899999997</v>
      </c>
      <c r="AV239" s="49">
        <f t="shared" si="495"/>
        <v>338.20464299999992</v>
      </c>
      <c r="AW239" s="49">
        <f t="shared" si="495"/>
        <v>295.28711500000003</v>
      </c>
      <c r="AX239" s="49">
        <f t="shared" si="495"/>
        <v>258.30913599999991</v>
      </c>
      <c r="AY239" s="49">
        <f>AY52*AY$210</f>
        <v>271.15207000000004</v>
      </c>
      <c r="AZ239" s="49">
        <f>AZ52*AZ$210</f>
        <v>287.69716556738717</v>
      </c>
      <c r="BA239" s="49">
        <f>BA52*BA$210</f>
        <v>299.37437991999997</v>
      </c>
      <c r="BB239" s="49">
        <f>BB52*BB$210</f>
        <v>308.77966824023088</v>
      </c>
      <c r="BC239" s="49">
        <f>BC52*BC$210</f>
        <v>334.91782467366124</v>
      </c>
      <c r="BD239" s="272"/>
    </row>
    <row r="240" spans="1:56" s="37" customFormat="1" ht="13.5" customHeight="1" thickTop="1">
      <c r="B240" s="25" t="str">
        <f>B53</f>
        <v xml:space="preserve">% growth </v>
      </c>
      <c r="C240" s="233"/>
      <c r="D240" s="53" t="e">
        <f>+D239/C238-1</f>
        <v>#DIV/0!</v>
      </c>
      <c r="E240" s="53">
        <f>+E239/D239-1</f>
        <v>7.3982868093827037E-2</v>
      </c>
      <c r="F240" s="53">
        <f>+F239/E239-1</f>
        <v>1.7906354978403538E-2</v>
      </c>
      <c r="G240" s="53">
        <f>+G239/E239-1</f>
        <v>-4.5932543920262914E-3</v>
      </c>
      <c r="H240" s="53">
        <f>+H239/G239-1</f>
        <v>-0.13001667602057321</v>
      </c>
      <c r="I240" s="53">
        <f>+I239/H239-1</f>
        <v>8.1405623532137428E-2</v>
      </c>
      <c r="J240" s="53">
        <f>+J239/H239-1</f>
        <v>-0.20104862807429069</v>
      </c>
      <c r="K240" s="53">
        <f>+K239/J239-1</f>
        <v>-4.7607581424416567E-2</v>
      </c>
      <c r="L240" s="53">
        <f>+L239/J239-1</f>
        <v>-6.4632527115284E-2</v>
      </c>
      <c r="M240" s="53">
        <f>+M239/K239-1</f>
        <v>7.0366606267719067E-2</v>
      </c>
      <c r="N240" s="53">
        <f>+N239/L239-1</f>
        <v>5.3173348269138332E-2</v>
      </c>
      <c r="O240" s="53">
        <f>+O239/N239-1</f>
        <v>-0.10578643235216834</v>
      </c>
      <c r="P240" s="53">
        <f>+P239/O239-1</f>
        <v>-4.5492835378998953E-2</v>
      </c>
      <c r="Q240" s="53"/>
      <c r="R240" s="213"/>
      <c r="S240" s="41"/>
      <c r="T240" s="41"/>
      <c r="U240" s="41"/>
      <c r="V240" s="41"/>
      <c r="W240" s="41">
        <f>W239/S239-1</f>
        <v>0.16232792804476492</v>
      </c>
      <c r="X240" s="41">
        <f>X239/T239-1</f>
        <v>0.1038393845858443</v>
      </c>
      <c r="Y240" s="41">
        <f>Y239/U239-1</f>
        <v>5.0307286236776605E-2</v>
      </c>
      <c r="Z240" s="41">
        <f>Z239/V239-1</f>
        <v>-8.3012970221825189E-3</v>
      </c>
      <c r="AA240" s="41">
        <f t="shared" ref="AA240:BC240" si="496">AA239/W239-1</f>
        <v>8.9608665303828605E-3</v>
      </c>
      <c r="AB240" s="41">
        <f t="shared" si="496"/>
        <v>-6.1022393664439623E-2</v>
      </c>
      <c r="AC240" s="41">
        <f t="shared" si="496"/>
        <v>2.371883568372235E-2</v>
      </c>
      <c r="AD240" s="41">
        <f t="shared" si="496"/>
        <v>0.10555607502502706</v>
      </c>
      <c r="AE240" s="41">
        <f t="shared" si="496"/>
        <v>-0.14950480772720831</v>
      </c>
      <c r="AF240" s="41">
        <f t="shared" si="496"/>
        <v>-0.29265430185068297</v>
      </c>
      <c r="AG240" s="41">
        <f t="shared" si="496"/>
        <v>-0.17083334626978142</v>
      </c>
      <c r="AH240" s="41">
        <f t="shared" si="496"/>
        <v>7.1898917172785737E-3</v>
      </c>
      <c r="AI240" s="41">
        <f t="shared" si="496"/>
        <v>0.11635319884133155</v>
      </c>
      <c r="AJ240" s="41">
        <f t="shared" si="496"/>
        <v>0.35759010007351244</v>
      </c>
      <c r="AK240" s="41">
        <f t="shared" si="496"/>
        <v>0.17380764981600128</v>
      </c>
      <c r="AL240" s="41">
        <f t="shared" si="496"/>
        <v>7.1435280502101017E-2</v>
      </c>
      <c r="AM240" s="41">
        <f t="shared" si="496"/>
        <v>-0.22351631527021798</v>
      </c>
      <c r="AN240" s="41">
        <f t="shared" si="496"/>
        <v>-0.28987092683663906</v>
      </c>
      <c r="AO240" s="41">
        <f t="shared" si="496"/>
        <v>-0.34354066747873158</v>
      </c>
      <c r="AP240" s="41">
        <f t="shared" si="496"/>
        <v>-0.4912436072240417</v>
      </c>
      <c r="AQ240" s="41">
        <f t="shared" si="496"/>
        <v>5.2483704034685275E-2</v>
      </c>
      <c r="AR240" s="41">
        <f t="shared" si="496"/>
        <v>9.2796460211287846E-2</v>
      </c>
      <c r="AS240" s="41">
        <f t="shared" si="496"/>
        <v>-8.4660678967085623E-3</v>
      </c>
      <c r="AT240" s="41">
        <f t="shared" si="496"/>
        <v>0.14837184935257297</v>
      </c>
      <c r="AU240" s="41">
        <f t="shared" si="496"/>
        <v>-7.0220680950627945E-2</v>
      </c>
      <c r="AV240" s="41">
        <f t="shared" si="496"/>
        <v>-8.4587101991621338E-2</v>
      </c>
      <c r="AW240" s="41">
        <f t="shared" si="496"/>
        <v>-0.12114954411678136</v>
      </c>
      <c r="AX240" s="41">
        <f t="shared" si="496"/>
        <v>-0.25810324572431842</v>
      </c>
      <c r="AY240" s="41">
        <f t="shared" si="496"/>
        <v>-0.18733410514474891</v>
      </c>
      <c r="AZ240" s="41">
        <f t="shared" si="496"/>
        <v>-0.14933998831178896</v>
      </c>
      <c r="BA240" s="41">
        <f t="shared" si="496"/>
        <v>1.3841663629650558E-2</v>
      </c>
      <c r="BB240" s="41">
        <f t="shared" si="496"/>
        <v>0.1953881036566627</v>
      </c>
      <c r="BC240" s="41">
        <f t="shared" si="496"/>
        <v>0.23516602574216461</v>
      </c>
      <c r="BD240" s="214"/>
    </row>
    <row r="241" spans="2:56" s="37" customFormat="1" ht="13.5" customHeight="1">
      <c r="B241" s="25" t="str">
        <f>B54</f>
        <v>% margin</v>
      </c>
      <c r="C241" s="233">
        <f t="shared" ref="C241:H241" si="497">C239/C233</f>
        <v>0.38131002602625053</v>
      </c>
      <c r="D241" s="53">
        <f t="shared" si="497"/>
        <v>0.37613987959763306</v>
      </c>
      <c r="E241" s="53">
        <f t="shared" si="497"/>
        <v>0.38036996592691918</v>
      </c>
      <c r="F241" s="53">
        <f t="shared" si="497"/>
        <v>0.38735174091883978</v>
      </c>
      <c r="G241" s="53">
        <f t="shared" si="497"/>
        <v>0.38651240741427373</v>
      </c>
      <c r="H241" s="53">
        <f t="shared" si="497"/>
        <v>0.39597247309961964</v>
      </c>
      <c r="I241" s="233">
        <f t="shared" ref="I241:Q241" si="498">I239/I233</f>
        <v>0.39805744147299255</v>
      </c>
      <c r="J241" s="53">
        <f t="shared" si="498"/>
        <v>0.38410221685873303</v>
      </c>
      <c r="K241" s="53">
        <f t="shared" si="498"/>
        <v>0.35051833189015547</v>
      </c>
      <c r="L241" s="53">
        <f t="shared" si="498"/>
        <v>0.37892488502059751</v>
      </c>
      <c r="M241" s="53">
        <f t="shared" si="498"/>
        <v>0.34005170270537727</v>
      </c>
      <c r="N241" s="53">
        <f t="shared" si="498"/>
        <v>0.3660481710568842</v>
      </c>
      <c r="O241" s="53">
        <f t="shared" si="498"/>
        <v>0.35782349567137378</v>
      </c>
      <c r="P241" s="53">
        <f>P239/P233</f>
        <v>0.38043362435810224</v>
      </c>
      <c r="Q241" s="53">
        <f t="shared" si="498"/>
        <v>0.38930291755574781</v>
      </c>
      <c r="R241" s="213"/>
      <c r="S241" s="53">
        <f>S239/S233</f>
        <v>0.36369572247805654</v>
      </c>
      <c r="T241" s="53">
        <f>T239/T233</f>
        <v>0.38601528498311344</v>
      </c>
      <c r="U241" s="53">
        <f>U239/U233</f>
        <v>0.38776252040771286</v>
      </c>
      <c r="V241" s="53">
        <f t="shared" ref="V241:AA241" si="499">V239/V233</f>
        <v>0.3677870968486579</v>
      </c>
      <c r="W241" s="53">
        <f t="shared" si="499"/>
        <v>0.37607715237594252</v>
      </c>
      <c r="X241" s="53">
        <f t="shared" si="499"/>
        <v>0.38321289201477049</v>
      </c>
      <c r="Y241" s="53">
        <f t="shared" si="499"/>
        <v>0.39196235399389601</v>
      </c>
      <c r="Z241" s="53">
        <f t="shared" si="499"/>
        <v>0.37033910223562139</v>
      </c>
      <c r="AA241" s="53">
        <f t="shared" si="499"/>
        <v>0.3793603816167419</v>
      </c>
      <c r="AB241" s="53">
        <f t="shared" ref="AB241:AG241" si="500">AB239/AB233</f>
        <v>0.38968149879050185</v>
      </c>
      <c r="AC241" s="53">
        <f t="shared" si="500"/>
        <v>0.39968612606713783</v>
      </c>
      <c r="AD241" s="53">
        <f t="shared" si="500"/>
        <v>0.38064795520745587</v>
      </c>
      <c r="AE241" s="53">
        <f t="shared" si="500"/>
        <v>0.35702231712357074</v>
      </c>
      <c r="AF241" s="53">
        <f t="shared" si="500"/>
        <v>0.36688207361919384</v>
      </c>
      <c r="AG241" s="53">
        <f t="shared" si="500"/>
        <v>0.42346406047696611</v>
      </c>
      <c r="AH241" s="53">
        <f t="shared" ref="AH241:AM241" si="501">AH239/AH233</f>
        <v>0.42830809346586812</v>
      </c>
      <c r="AI241" s="53">
        <f t="shared" si="501"/>
        <v>0.37195170570189989</v>
      </c>
      <c r="AJ241" s="53">
        <f t="shared" si="501"/>
        <v>0.38818011408625969</v>
      </c>
      <c r="AK241" s="53">
        <f t="shared" si="501"/>
        <v>0.40082460615709653</v>
      </c>
      <c r="AL241" s="53">
        <f t="shared" si="501"/>
        <v>0.42562478446372931</v>
      </c>
      <c r="AM241" s="53">
        <f t="shared" si="501"/>
        <v>0.36987619027147867</v>
      </c>
      <c r="AN241" s="53">
        <f t="shared" ref="AN241:AS241" si="502">AN239/AN233</f>
        <v>0.36475031699355215</v>
      </c>
      <c r="AO241" s="53">
        <f t="shared" si="502"/>
        <v>0.35442584291257395</v>
      </c>
      <c r="AP241" s="53">
        <f t="shared" si="502"/>
        <v>0.31397111541066708</v>
      </c>
      <c r="AQ241" s="53">
        <f t="shared" si="502"/>
        <v>0.36164787930732761</v>
      </c>
      <c r="AR241" s="53">
        <f t="shared" si="502"/>
        <v>0.35248539432619524</v>
      </c>
      <c r="AS241" s="53">
        <f t="shared" si="502"/>
        <v>0.3534661306042885</v>
      </c>
      <c r="AT241" s="53">
        <f t="shared" ref="AT241:AY241" si="503">AT239/AT233</f>
        <v>0.29818304557581443</v>
      </c>
      <c r="AU241" s="53">
        <f t="shared" si="503"/>
        <v>0.35531050566094513</v>
      </c>
      <c r="AV241" s="53">
        <f t="shared" si="503"/>
        <v>0.37073719967176194</v>
      </c>
      <c r="AW241" s="53">
        <f t="shared" si="503"/>
        <v>0.36396360038534642</v>
      </c>
      <c r="AX241" s="53">
        <f t="shared" si="503"/>
        <v>0.34092840549457493</v>
      </c>
      <c r="AY241" s="53">
        <f t="shared" si="503"/>
        <v>0.37001789816744141</v>
      </c>
      <c r="AZ241" s="53">
        <f>AZ239/AZ233</f>
        <v>0.38224910722772132</v>
      </c>
      <c r="BA241" s="53">
        <f>BA239/BA233</f>
        <v>0.38128024953158818</v>
      </c>
      <c r="BB241" s="53">
        <f>BB239/BB233</f>
        <v>0.38846467818673319</v>
      </c>
      <c r="BC241" s="53">
        <f>BC239/BC233</f>
        <v>0.40538845822566755</v>
      </c>
      <c r="BD241" s="213"/>
    </row>
    <row r="242" spans="2:56" ht="13.5" customHeight="1">
      <c r="U242" s="42"/>
      <c r="V242" s="42"/>
      <c r="Z242" s="42"/>
    </row>
    <row r="243" spans="2:56" s="5" customFormat="1" ht="13.5" customHeight="1">
      <c r="B243" s="5" t="str">
        <f t="shared" ref="B243:B257" si="504">B57</f>
        <v xml:space="preserve">Adjusted EBITDA </v>
      </c>
      <c r="C243" s="235">
        <f t="shared" ref="C243:Q243" si="505">C57*C$210</f>
        <v>1968.6771206200001</v>
      </c>
      <c r="D243" s="68">
        <f t="shared" si="505"/>
        <v>1867.4396811000008</v>
      </c>
      <c r="E243" s="68">
        <f t="shared" si="505"/>
        <v>2005.5982247000006</v>
      </c>
      <c r="F243" s="68">
        <f t="shared" si="505"/>
        <v>2041.5111784555347</v>
      </c>
      <c r="G243" s="68">
        <f t="shared" si="505"/>
        <v>1996.3860018457572</v>
      </c>
      <c r="H243" s="68">
        <f t="shared" si="505"/>
        <v>1736.82252983177</v>
      </c>
      <c r="I243" s="235">
        <f t="shared" si="505"/>
        <v>1878.2096508373895</v>
      </c>
      <c r="J243" s="68">
        <f t="shared" si="505"/>
        <v>1387.6367430005739</v>
      </c>
      <c r="K243" s="68">
        <f t="shared" si="505"/>
        <v>1321.5747137706619</v>
      </c>
      <c r="L243" s="68">
        <f t="shared" si="505"/>
        <v>1297.9502735824249</v>
      </c>
      <c r="M243" s="68">
        <f t="shared" si="505"/>
        <v>1414.5694413079357</v>
      </c>
      <c r="N243" s="68">
        <f t="shared" si="505"/>
        <v>1366.9666355156467</v>
      </c>
      <c r="O243" s="68">
        <f t="shared" si="505"/>
        <v>1222.3601119999996</v>
      </c>
      <c r="P243" s="68">
        <f t="shared" ref="P243:P257" si="506">P57*P$210</f>
        <v>1166.7514846509289</v>
      </c>
      <c r="Q243" s="68">
        <f t="shared" si="505"/>
        <v>1230.0170342315139</v>
      </c>
      <c r="R243" s="68"/>
      <c r="S243" s="68">
        <f t="shared" ref="S243:AX243" si="507">S57*S$210</f>
        <v>394.36359214999976</v>
      </c>
      <c r="T243" s="68">
        <f t="shared" si="507"/>
        <v>478.32652628</v>
      </c>
      <c r="U243" s="68">
        <f t="shared" si="507"/>
        <v>493.26269405999983</v>
      </c>
      <c r="V243" s="68">
        <f t="shared" si="507"/>
        <v>503.69316370999996</v>
      </c>
      <c r="W243" s="68">
        <f t="shared" si="507"/>
        <v>458.37981695999997</v>
      </c>
      <c r="X243" s="68">
        <f t="shared" si="507"/>
        <v>527.99565839999991</v>
      </c>
      <c r="Y243" s="68">
        <f t="shared" si="507"/>
        <v>518.0774015999998</v>
      </c>
      <c r="Z243" s="68">
        <f t="shared" si="507"/>
        <v>499.51185715000042</v>
      </c>
      <c r="AA243" s="68">
        <f t="shared" si="507"/>
        <v>462.48729731999987</v>
      </c>
      <c r="AB243" s="68">
        <f t="shared" si="507"/>
        <v>495.77609948000014</v>
      </c>
      <c r="AC243" s="68">
        <f t="shared" si="507"/>
        <v>530.36559436000005</v>
      </c>
      <c r="AD243" s="68">
        <f t="shared" si="507"/>
        <v>552.23836821921645</v>
      </c>
      <c r="AE243" s="68">
        <f t="shared" si="507"/>
        <v>393.34322285789705</v>
      </c>
      <c r="AF243" s="68">
        <f t="shared" si="507"/>
        <v>350.68509121242596</v>
      </c>
      <c r="AG243" s="68">
        <f t="shared" si="507"/>
        <v>439.76146512911976</v>
      </c>
      <c r="AH243" s="68">
        <f t="shared" si="507"/>
        <v>556.20890228883923</v>
      </c>
      <c r="AI243" s="68">
        <f t="shared" si="507"/>
        <v>439.10996507997214</v>
      </c>
      <c r="AJ243" s="68">
        <f t="shared" si="507"/>
        <v>476.08660807336616</v>
      </c>
      <c r="AK243" s="68">
        <f t="shared" si="507"/>
        <v>516.19537186285345</v>
      </c>
      <c r="AL243" s="68">
        <f t="shared" si="507"/>
        <v>595.94184124160813</v>
      </c>
      <c r="AM243" s="68">
        <f t="shared" si="507"/>
        <v>340.96172368686268</v>
      </c>
      <c r="AN243" s="68">
        <f t="shared" si="507"/>
        <v>338.08294173662779</v>
      </c>
      <c r="AO243" s="68">
        <f t="shared" si="507"/>
        <v>338.86126926365671</v>
      </c>
      <c r="AP243" s="68">
        <f t="shared" si="507"/>
        <v>303.1892214543434</v>
      </c>
      <c r="AQ243" s="68">
        <f t="shared" si="507"/>
        <v>358.85665788000011</v>
      </c>
      <c r="AR243" s="68">
        <f t="shared" si="507"/>
        <v>369.45584198760588</v>
      </c>
      <c r="AS243" s="68">
        <f t="shared" si="507"/>
        <v>335.99244675050574</v>
      </c>
      <c r="AT243" s="68">
        <f t="shared" si="507"/>
        <v>348.17396694529111</v>
      </c>
      <c r="AU243" s="68">
        <f t="shared" si="507"/>
        <v>333.65749899999997</v>
      </c>
      <c r="AV243" s="68">
        <f t="shared" si="507"/>
        <v>338.20464299999992</v>
      </c>
      <c r="AW243" s="68">
        <f t="shared" si="507"/>
        <v>295.28711500000003</v>
      </c>
      <c r="AX243" s="68">
        <f t="shared" si="507"/>
        <v>258.30913599999991</v>
      </c>
      <c r="AY243" s="68">
        <f t="shared" ref="AY243:BB257" si="508">AY57*AY$210</f>
        <v>271.15207000000004</v>
      </c>
      <c r="AZ243" s="68">
        <f t="shared" si="508"/>
        <v>287.69716556738717</v>
      </c>
      <c r="BA243" s="68">
        <f t="shared" si="508"/>
        <v>299.37437991999997</v>
      </c>
      <c r="BB243" s="68">
        <f t="shared" si="508"/>
        <v>308.77966824023088</v>
      </c>
      <c r="BC243" s="68">
        <f t="shared" ref="BC243:BC257" si="509">BC57*BC$210</f>
        <v>334.91782467366124</v>
      </c>
      <c r="BD243" s="68"/>
    </row>
    <row r="244" spans="2:56" ht="13.5" customHeight="1">
      <c r="B244" s="1" t="str">
        <f t="shared" si="504"/>
        <v>Working Capital</v>
      </c>
      <c r="C244" s="236">
        <f t="shared" ref="C244:Q244" si="510">C58*C$210</f>
        <v>-21.527786559999996</v>
      </c>
      <c r="D244" s="70">
        <f t="shared" si="510"/>
        <v>-336.106763</v>
      </c>
      <c r="E244" s="70">
        <f t="shared" si="510"/>
        <v>-112.31913763999999</v>
      </c>
      <c r="F244" s="70">
        <f t="shared" si="510"/>
        <v>-265.68209162001568</v>
      </c>
      <c r="G244" s="70">
        <f t="shared" si="510"/>
        <v>-351.82444093946742</v>
      </c>
      <c r="H244" s="70">
        <f t="shared" si="510"/>
        <v>-59.702233085360646</v>
      </c>
      <c r="I244" s="257">
        <f t="shared" si="510"/>
        <v>-181.78167040678352</v>
      </c>
      <c r="J244" s="70">
        <f t="shared" si="510"/>
        <v>-185.61838509547297</v>
      </c>
      <c r="K244" s="70">
        <f t="shared" si="510"/>
        <v>-501.49724548019162</v>
      </c>
      <c r="L244" s="70">
        <f t="shared" si="510"/>
        <v>75.579348547494547</v>
      </c>
      <c r="M244" s="70">
        <f t="shared" si="510"/>
        <v>-178.91868175425651</v>
      </c>
      <c r="N244" s="70">
        <f t="shared" si="510"/>
        <v>-89.710169258941121</v>
      </c>
      <c r="O244" s="70">
        <f t="shared" si="510"/>
        <v>78.687676450000012</v>
      </c>
      <c r="P244" s="70">
        <f t="shared" si="506"/>
        <v>211.45203369764818</v>
      </c>
      <c r="Q244" s="70">
        <f t="shared" si="510"/>
        <v>122.77412088588193</v>
      </c>
      <c r="R244" s="215"/>
      <c r="S244" s="70">
        <f t="shared" ref="S244:AX244" si="511">S58*S$210</f>
        <v>44.806854950000002</v>
      </c>
      <c r="T244" s="70">
        <f t="shared" si="511"/>
        <v>-222.79205661999998</v>
      </c>
      <c r="U244" s="70">
        <f t="shared" si="511"/>
        <v>-188.54482362000002</v>
      </c>
      <c r="V244" s="70">
        <f t="shared" si="511"/>
        <v>13.03250267000004</v>
      </c>
      <c r="W244" s="70">
        <f t="shared" si="511"/>
        <v>26.231244780000008</v>
      </c>
      <c r="X244" s="70">
        <f t="shared" si="511"/>
        <v>-90.979726799999995</v>
      </c>
      <c r="Y244" s="70">
        <f t="shared" si="511"/>
        <v>-68.225467199999926</v>
      </c>
      <c r="Z244" s="70">
        <f t="shared" si="511"/>
        <v>20.527196899999936</v>
      </c>
      <c r="AA244" s="70">
        <f t="shared" si="511"/>
        <v>-231.14536919999995</v>
      </c>
      <c r="AB244" s="70">
        <f t="shared" si="511"/>
        <v>37.493916019999929</v>
      </c>
      <c r="AC244" s="70">
        <f t="shared" si="511"/>
        <v>1.1476094600000666</v>
      </c>
      <c r="AD244" s="70">
        <f t="shared" si="511"/>
        <v>-73.522844499690294</v>
      </c>
      <c r="AE244" s="70">
        <f t="shared" si="511"/>
        <v>110.38098146494076</v>
      </c>
      <c r="AF244" s="70">
        <f t="shared" si="511"/>
        <v>17.428803321632749</v>
      </c>
      <c r="AG244" s="70">
        <f t="shared" si="511"/>
        <v>50.42353797459247</v>
      </c>
      <c r="AH244" s="70">
        <f t="shared" si="511"/>
        <v>-244.16185594270848</v>
      </c>
      <c r="AI244" s="70">
        <f t="shared" si="511"/>
        <v>53.206015925191842</v>
      </c>
      <c r="AJ244" s="70">
        <f t="shared" si="511"/>
        <v>-43.884872457574296</v>
      </c>
      <c r="AK244" s="70">
        <f t="shared" si="511"/>
        <v>-98.735853229211997</v>
      </c>
      <c r="AL244" s="70">
        <f t="shared" si="511"/>
        <v>-105.61529401871589</v>
      </c>
      <c r="AM244" s="70">
        <f t="shared" si="511"/>
        <v>54.319520642542514</v>
      </c>
      <c r="AN244" s="70">
        <f t="shared" si="511"/>
        <v>-283.29711139586766</v>
      </c>
      <c r="AO244" s="70">
        <f t="shared" si="511"/>
        <v>-14.365784957224196</v>
      </c>
      <c r="AP244" s="70">
        <f t="shared" si="511"/>
        <v>-261.88057009068388</v>
      </c>
      <c r="AQ244" s="70">
        <f t="shared" si="511"/>
        <v>5.4414240600000046</v>
      </c>
      <c r="AR244" s="70">
        <f t="shared" si="511"/>
        <v>-45.860777045190872</v>
      </c>
      <c r="AS244" s="70">
        <f t="shared" si="511"/>
        <v>-112.3725507680635</v>
      </c>
      <c r="AT244" s="70">
        <f t="shared" si="511"/>
        <v>-30.087054385545446</v>
      </c>
      <c r="AU244" s="70">
        <f t="shared" si="511"/>
        <v>32.46009381999999</v>
      </c>
      <c r="AV244" s="70">
        <f t="shared" si="511"/>
        <v>23.883116950000002</v>
      </c>
      <c r="AW244" s="70">
        <f t="shared" si="511"/>
        <v>22.474034840000012</v>
      </c>
      <c r="AX244" s="70">
        <f t="shared" si="511"/>
        <v>2.2703000000000113</v>
      </c>
      <c r="AY244" s="70">
        <f t="shared" si="508"/>
        <v>30.471610079999994</v>
      </c>
      <c r="AZ244" s="70">
        <f t="shared" si="508"/>
        <v>-45.696956674939955</v>
      </c>
      <c r="BA244" s="70">
        <f t="shared" si="508"/>
        <v>-23.061947919999994</v>
      </c>
      <c r="BB244" s="70">
        <f t="shared" si="508"/>
        <v>260.11512151411836</v>
      </c>
      <c r="BC244" s="70">
        <f t="shared" si="509"/>
        <v>-66.424932113559649</v>
      </c>
      <c r="BD244" s="215"/>
    </row>
    <row r="245" spans="2:56" ht="13.5" customHeight="1">
      <c r="B245" s="1" t="str">
        <f t="shared" si="504"/>
        <v>Taxes, net</v>
      </c>
      <c r="C245" s="236">
        <f t="shared" ref="C245:Q245" si="512">C59*C$210</f>
        <v>-389.76045556000003</v>
      </c>
      <c r="D245" s="70">
        <f t="shared" si="512"/>
        <v>-340.58073474999998</v>
      </c>
      <c r="E245" s="70">
        <f t="shared" si="512"/>
        <v>-349.98740620000001</v>
      </c>
      <c r="F245" s="70">
        <f t="shared" si="512"/>
        <v>-448.49548959598815</v>
      </c>
      <c r="G245" s="70">
        <f t="shared" si="512"/>
        <v>-447.52646528846168</v>
      </c>
      <c r="H245" s="70">
        <f t="shared" si="512"/>
        <v>-391.10760710027773</v>
      </c>
      <c r="I245" s="257">
        <f t="shared" si="512"/>
        <v>-417.80610790217986</v>
      </c>
      <c r="J245" s="70">
        <f t="shared" si="512"/>
        <v>-448.02517804674949</v>
      </c>
      <c r="K245" s="70">
        <f t="shared" si="512"/>
        <v>-589.98380055214693</v>
      </c>
      <c r="L245" s="70">
        <f t="shared" si="512"/>
        <v>-604.94020345578815</v>
      </c>
      <c r="M245" s="70">
        <f t="shared" si="512"/>
        <v>-395.54581295086791</v>
      </c>
      <c r="N245" s="70">
        <f t="shared" si="512"/>
        <v>-395.54581295086791</v>
      </c>
      <c r="O245" s="70">
        <f t="shared" si="512"/>
        <v>-44.5642065125</v>
      </c>
      <c r="P245" s="70">
        <f t="shared" si="506"/>
        <v>-100.74464972402241</v>
      </c>
      <c r="Q245" s="70">
        <f t="shared" si="512"/>
        <v>-85.563905495228425</v>
      </c>
      <c r="R245" s="215"/>
      <c r="S245" s="70">
        <f t="shared" ref="S245:AX245" si="513">S59*S$210</f>
        <v>-116.22168338</v>
      </c>
      <c r="T245" s="70">
        <f t="shared" si="513"/>
        <v>-80.777810110000004</v>
      </c>
      <c r="U245" s="70">
        <f t="shared" si="513"/>
        <v>-83.213566950000015</v>
      </c>
      <c r="V245" s="70">
        <f t="shared" si="513"/>
        <v>-57.248264589999977</v>
      </c>
      <c r="W245" s="70">
        <f t="shared" si="513"/>
        <v>-145.10540771999999</v>
      </c>
      <c r="X245" s="70">
        <f t="shared" si="513"/>
        <v>-38.236528800000002</v>
      </c>
      <c r="Y245" s="70">
        <f t="shared" si="513"/>
        <v>-102.43881119999999</v>
      </c>
      <c r="Z245" s="70">
        <f t="shared" si="513"/>
        <v>-66.887568550000026</v>
      </c>
      <c r="AA245" s="70">
        <f t="shared" si="513"/>
        <v>-232.57135934999999</v>
      </c>
      <c r="AB245" s="70">
        <f t="shared" si="513"/>
        <v>-80.646361779999992</v>
      </c>
      <c r="AC245" s="70">
        <f t="shared" si="513"/>
        <v>-78.81201919999998</v>
      </c>
      <c r="AD245" s="70">
        <f t="shared" si="513"/>
        <v>-57.051236828534272</v>
      </c>
      <c r="AE245" s="70">
        <f t="shared" si="513"/>
        <v>-180.59586761326429</v>
      </c>
      <c r="AF245" s="70">
        <f t="shared" si="513"/>
        <v>-57.380233770571103</v>
      </c>
      <c r="AG245" s="70">
        <f t="shared" si="513"/>
        <v>-107.85658483744335</v>
      </c>
      <c r="AH245" s="70">
        <f t="shared" si="513"/>
        <v>-48.705083096946666</v>
      </c>
      <c r="AI245" s="70">
        <f t="shared" si="513"/>
        <v>-155.74254265119802</v>
      </c>
      <c r="AJ245" s="70">
        <f t="shared" si="513"/>
        <v>-109.10363933074984</v>
      </c>
      <c r="AK245" s="70">
        <f t="shared" si="513"/>
        <v>-104.06352270992288</v>
      </c>
      <c r="AL245" s="70">
        <f t="shared" si="513"/>
        <v>-83.088202177453866</v>
      </c>
      <c r="AM245" s="70">
        <f t="shared" si="513"/>
        <v>946.03550643460335</v>
      </c>
      <c r="AN245" s="70">
        <f t="shared" si="513"/>
        <v>-1693.4506085803566</v>
      </c>
      <c r="AO245" s="70">
        <f t="shared" si="513"/>
        <v>-24.55258055651375</v>
      </c>
      <c r="AP245" s="70">
        <f t="shared" si="513"/>
        <v>173.59025584825685</v>
      </c>
      <c r="AQ245" s="70">
        <f t="shared" si="513"/>
        <v>-258.03088547999999</v>
      </c>
      <c r="AR245" s="70">
        <f t="shared" si="513"/>
        <v>-58.211607572370511</v>
      </c>
      <c r="AS245" s="70">
        <f t="shared" si="513"/>
        <v>-37.144638131257381</v>
      </c>
      <c r="AT245" s="70">
        <f t="shared" si="513"/>
        <v>-30.378563970838638</v>
      </c>
      <c r="AU245" s="70">
        <f t="shared" si="513"/>
        <v>-88.971761619999995</v>
      </c>
      <c r="AV245" s="70">
        <f t="shared" si="513"/>
        <v>-36.935456670000001</v>
      </c>
      <c r="AW245" s="70">
        <f t="shared" si="513"/>
        <v>28.500923280000006</v>
      </c>
      <c r="AX245" s="70">
        <f t="shared" si="513"/>
        <v>39.604581119999992</v>
      </c>
      <c r="AY245" s="70">
        <f t="shared" si="508"/>
        <v>-49.319040299999998</v>
      </c>
      <c r="AZ245" s="70">
        <f t="shared" si="508"/>
        <v>-1.3810772056471796</v>
      </c>
      <c r="BA245" s="70">
        <f t="shared" si="508"/>
        <v>-34.986423119999991</v>
      </c>
      <c r="BB245" s="70">
        <f t="shared" si="508"/>
        <v>-13.525985663082452</v>
      </c>
      <c r="BC245" s="70">
        <f t="shared" si="509"/>
        <v>-37.325075002419432</v>
      </c>
      <c r="BD245" s="215"/>
    </row>
    <row r="246" spans="2:56" ht="13.5" customHeight="1">
      <c r="B246" s="1" t="str">
        <f t="shared" si="504"/>
        <v>Cash interest paid</v>
      </c>
      <c r="C246" s="236">
        <f t="shared" ref="C246:Q246" si="514">C60*C$210</f>
        <v>-409.28285412000002</v>
      </c>
      <c r="D246" s="70">
        <f t="shared" si="514"/>
        <v>-470.06973704999996</v>
      </c>
      <c r="E246" s="70">
        <f t="shared" si="514"/>
        <v>-527.33156624000003</v>
      </c>
      <c r="F246" s="70">
        <f t="shared" si="514"/>
        <v>-476.21044107005088</v>
      </c>
      <c r="G246" s="70">
        <f t="shared" si="514"/>
        <v>-465.97794402439439</v>
      </c>
      <c r="H246" s="70">
        <f t="shared" si="514"/>
        <v>-425.97283363236932</v>
      </c>
      <c r="I246" s="257">
        <f t="shared" si="514"/>
        <v>-376.40385891526887</v>
      </c>
      <c r="J246" s="70">
        <f t="shared" si="514"/>
        <v>-403.62838818881005</v>
      </c>
      <c r="K246" s="70">
        <f t="shared" si="514"/>
        <v>-443.94512412119047</v>
      </c>
      <c r="L246" s="70">
        <f t="shared" si="514"/>
        <v>-443.94512412119047</v>
      </c>
      <c r="M246" s="70">
        <f t="shared" si="514"/>
        <v>-425.97617914900144</v>
      </c>
      <c r="N246" s="70">
        <f t="shared" si="514"/>
        <v>-425.97617914900144</v>
      </c>
      <c r="O246" s="70">
        <f t="shared" si="514"/>
        <v>-407.00245126250002</v>
      </c>
      <c r="P246" s="70">
        <f t="shared" si="506"/>
        <v>-355.038045033549</v>
      </c>
      <c r="Q246" s="70">
        <f t="shared" si="514"/>
        <v>-343.28303722830447</v>
      </c>
      <c r="R246" s="215"/>
      <c r="S246" s="70">
        <f t="shared" ref="S246:AX246" si="515">S60*S$210</f>
        <v>-116.97438698000001</v>
      </c>
      <c r="T246" s="70">
        <f t="shared" si="515"/>
        <v>-117.52155950000001</v>
      </c>
      <c r="U246" s="70">
        <f t="shared" si="515"/>
        <v>-120.16355304000002</v>
      </c>
      <c r="V246" s="70">
        <f t="shared" si="515"/>
        <v>-114.47118528999998</v>
      </c>
      <c r="W246" s="70">
        <f t="shared" si="515"/>
        <v>-126.11157701999998</v>
      </c>
      <c r="X246" s="70">
        <f t="shared" si="515"/>
        <v>-108.23832720000001</v>
      </c>
      <c r="Y246" s="70">
        <f t="shared" si="515"/>
        <v>-134.97839519999999</v>
      </c>
      <c r="Z246" s="70">
        <f t="shared" si="515"/>
        <v>-157.14867255000004</v>
      </c>
      <c r="AA246" s="70">
        <f t="shared" si="515"/>
        <v>-76.496958899999996</v>
      </c>
      <c r="AB246" s="70">
        <f t="shared" si="515"/>
        <v>-111.12608972000001</v>
      </c>
      <c r="AC246" s="70">
        <f t="shared" si="515"/>
        <v>-123.5086314</v>
      </c>
      <c r="AD246" s="70">
        <f t="shared" si="515"/>
        <v>-164.70198499752053</v>
      </c>
      <c r="AE246" s="70">
        <f t="shared" si="515"/>
        <v>-101.70397187808189</v>
      </c>
      <c r="AF246" s="70">
        <f t="shared" si="515"/>
        <v>-104.26853850273118</v>
      </c>
      <c r="AG246" s="70">
        <f t="shared" si="515"/>
        <v>-98.827443553261048</v>
      </c>
      <c r="AH246" s="70">
        <f t="shared" si="515"/>
        <v>-120.98089934782446</v>
      </c>
      <c r="AI246" s="70">
        <f t="shared" si="515"/>
        <v>-98.987014873836102</v>
      </c>
      <c r="AJ246" s="70">
        <f t="shared" si="515"/>
        <v>-107.1085120557501</v>
      </c>
      <c r="AK246" s="70">
        <f t="shared" si="515"/>
        <v>-92.431114924512457</v>
      </c>
      <c r="AL246" s="70">
        <f t="shared" si="515"/>
        <v>-108.04201298760466</v>
      </c>
      <c r="AM246" s="70">
        <f t="shared" si="515"/>
        <v>-134.05267990550934</v>
      </c>
      <c r="AN246" s="70">
        <f t="shared" si="515"/>
        <v>-115.94477994223021</v>
      </c>
      <c r="AO246" s="70">
        <f t="shared" si="515"/>
        <v>-95.027758718735001</v>
      </c>
      <c r="AP246" s="70">
        <f t="shared" si="515"/>
        <v>-98.674675587745796</v>
      </c>
      <c r="AQ246" s="70">
        <f t="shared" si="515"/>
        <v>-113.11804242000001</v>
      </c>
      <c r="AR246" s="70">
        <f t="shared" si="515"/>
        <v>-114.49599592518182</v>
      </c>
      <c r="AS246" s="70">
        <f t="shared" si="515"/>
        <v>-122.04670123400183</v>
      </c>
      <c r="AT246" s="70">
        <f t="shared" si="515"/>
        <v>-75.417570954526084</v>
      </c>
      <c r="AU246" s="70">
        <f t="shared" si="515"/>
        <v>-118.70476155999999</v>
      </c>
      <c r="AV246" s="70">
        <f t="shared" si="515"/>
        <v>-100.14341554000002</v>
      </c>
      <c r="AW246" s="70">
        <f t="shared" si="515"/>
        <v>-92.147852139999998</v>
      </c>
      <c r="AX246" s="70">
        <f t="shared" si="515"/>
        <v>-96.082330399999989</v>
      </c>
      <c r="AY246" s="70">
        <f t="shared" si="508"/>
        <v>-102.87187999999999</v>
      </c>
      <c r="AZ246" s="70">
        <f t="shared" si="508"/>
        <v>-99.145124854846557</v>
      </c>
      <c r="BA246" s="70">
        <f t="shared" si="508"/>
        <v>-71.861791759999988</v>
      </c>
      <c r="BB246" s="70">
        <f t="shared" si="508"/>
        <v>-78.405017921146964</v>
      </c>
      <c r="BC246" s="70">
        <f t="shared" si="509"/>
        <v>-92.96315061396669</v>
      </c>
      <c r="BD246" s="215"/>
    </row>
    <row r="247" spans="2:56" ht="13.5" customHeight="1">
      <c r="B247" s="1" t="str">
        <f t="shared" si="504"/>
        <v>Cash interest received</v>
      </c>
      <c r="C247" s="236">
        <f t="shared" ref="C247:Q247" si="516">C61*C$210</f>
        <v>0</v>
      </c>
      <c r="D247" s="70">
        <f t="shared" si="516"/>
        <v>0</v>
      </c>
      <c r="E247" s="70">
        <f t="shared" si="516"/>
        <v>0</v>
      </c>
      <c r="F247" s="70">
        <f t="shared" si="516"/>
        <v>0</v>
      </c>
      <c r="G247" s="70">
        <f t="shared" si="516"/>
        <v>0</v>
      </c>
      <c r="H247" s="70">
        <f t="shared" si="516"/>
        <v>0</v>
      </c>
      <c r="I247" s="257">
        <f t="shared" si="516"/>
        <v>0</v>
      </c>
      <c r="J247" s="70">
        <f t="shared" si="516"/>
        <v>0</v>
      </c>
      <c r="K247" s="70">
        <f t="shared" si="516"/>
        <v>0</v>
      </c>
      <c r="L247" s="70">
        <f t="shared" si="516"/>
        <v>0</v>
      </c>
      <c r="M247" s="70">
        <f t="shared" si="516"/>
        <v>0</v>
      </c>
      <c r="N247" s="70">
        <f t="shared" si="516"/>
        <v>0</v>
      </c>
      <c r="O247" s="70">
        <f t="shared" si="516"/>
        <v>0</v>
      </c>
      <c r="P247" s="70">
        <f t="shared" si="506"/>
        <v>0</v>
      </c>
      <c r="Q247" s="70">
        <f t="shared" si="516"/>
        <v>4.8018519948327292</v>
      </c>
      <c r="R247" s="215"/>
      <c r="S247" s="70">
        <f t="shared" ref="S247:AX247" si="517">S61*S$210</f>
        <v>0</v>
      </c>
      <c r="T247" s="70">
        <f t="shared" si="517"/>
        <v>0</v>
      </c>
      <c r="U247" s="70">
        <f t="shared" si="517"/>
        <v>0</v>
      </c>
      <c r="V247" s="70">
        <f t="shared" si="517"/>
        <v>0</v>
      </c>
      <c r="W247" s="70">
        <f t="shared" si="517"/>
        <v>0</v>
      </c>
      <c r="X247" s="70">
        <f t="shared" si="517"/>
        <v>0</v>
      </c>
      <c r="Y247" s="70">
        <f t="shared" si="517"/>
        <v>0</v>
      </c>
      <c r="Z247" s="70">
        <f t="shared" si="517"/>
        <v>0</v>
      </c>
      <c r="AA247" s="70">
        <f t="shared" si="517"/>
        <v>0</v>
      </c>
      <c r="AB247" s="70">
        <f t="shared" si="517"/>
        <v>0</v>
      </c>
      <c r="AC247" s="70">
        <f t="shared" si="517"/>
        <v>0</v>
      </c>
      <c r="AD247" s="70">
        <f t="shared" si="517"/>
        <v>0</v>
      </c>
      <c r="AE247" s="70">
        <f t="shared" si="517"/>
        <v>0</v>
      </c>
      <c r="AF247" s="70">
        <f t="shared" si="517"/>
        <v>0</v>
      </c>
      <c r="AG247" s="70">
        <f t="shared" si="517"/>
        <v>0</v>
      </c>
      <c r="AH247" s="70">
        <f t="shared" si="517"/>
        <v>0</v>
      </c>
      <c r="AI247" s="70">
        <f t="shared" si="517"/>
        <v>0</v>
      </c>
      <c r="AJ247" s="70">
        <f t="shared" si="517"/>
        <v>0</v>
      </c>
      <c r="AK247" s="70">
        <f t="shared" si="517"/>
        <v>0</v>
      </c>
      <c r="AL247" s="70">
        <f t="shared" si="517"/>
        <v>0</v>
      </c>
      <c r="AM247" s="70">
        <f t="shared" si="517"/>
        <v>5.4282120909662934</v>
      </c>
      <c r="AN247" s="70">
        <f t="shared" si="517"/>
        <v>0</v>
      </c>
      <c r="AO247" s="70">
        <f t="shared" si="517"/>
        <v>-5.442052488851548</v>
      </c>
      <c r="AP247" s="70">
        <f t="shared" si="517"/>
        <v>0</v>
      </c>
      <c r="AQ247" s="70">
        <f t="shared" si="517"/>
        <v>10.962307260000001</v>
      </c>
      <c r="AR247" s="70">
        <f t="shared" si="517"/>
        <v>0</v>
      </c>
      <c r="AS247" s="70">
        <f t="shared" si="517"/>
        <v>-11.847142891480091</v>
      </c>
      <c r="AT247" s="70">
        <f t="shared" si="517"/>
        <v>0</v>
      </c>
      <c r="AU247" s="70">
        <f t="shared" si="517"/>
        <v>-7.2529606099999997</v>
      </c>
      <c r="AV247" s="70">
        <f t="shared" si="517"/>
        <v>-10.565231949999998</v>
      </c>
      <c r="AW247" s="70">
        <f t="shared" si="517"/>
        <v>-12.827601810000003</v>
      </c>
      <c r="AX247" s="70">
        <f t="shared" si="517"/>
        <v>27.276889439999998</v>
      </c>
      <c r="AY247" s="70">
        <f t="shared" si="508"/>
        <v>-6.7662486399999997</v>
      </c>
      <c r="AZ247" s="70">
        <f t="shared" si="508"/>
        <v>-3.4875929597838264</v>
      </c>
      <c r="BA247" s="70">
        <f t="shared" si="508"/>
        <v>-7.46533128</v>
      </c>
      <c r="BB247" s="70">
        <f t="shared" si="508"/>
        <v>18.881676719993006</v>
      </c>
      <c r="BC247" s="70">
        <f t="shared" si="509"/>
        <v>-2.8164475893909291</v>
      </c>
      <c r="BD247" s="215"/>
    </row>
    <row r="248" spans="2:56" s="5" customFormat="1" ht="13.5" customHeight="1" thickBot="1">
      <c r="B248" s="22" t="str">
        <f t="shared" si="504"/>
        <v xml:space="preserve">Net cash from operations </v>
      </c>
      <c r="C248" s="237">
        <f t="shared" ref="C248:Q248" si="518">C62*C$210</f>
        <v>1148.1060243800002</v>
      </c>
      <c r="D248" s="71">
        <f t="shared" si="518"/>
        <v>720.68244630000083</v>
      </c>
      <c r="E248" s="71">
        <f t="shared" si="518"/>
        <v>1015.9601146200006</v>
      </c>
      <c r="F248" s="71">
        <f t="shared" si="518"/>
        <v>851.1231561694799</v>
      </c>
      <c r="G248" s="71">
        <f t="shared" si="518"/>
        <v>731.05715159343379</v>
      </c>
      <c r="H248" s="71">
        <f t="shared" si="518"/>
        <v>860.03985601376223</v>
      </c>
      <c r="I248" s="237">
        <f t="shared" si="518"/>
        <v>902.2180136131575</v>
      </c>
      <c r="J248" s="71">
        <f t="shared" si="518"/>
        <v>350.36479166954155</v>
      </c>
      <c r="K248" s="71">
        <f t="shared" si="518"/>
        <v>-213.85145638286721</v>
      </c>
      <c r="L248" s="71">
        <f t="shared" si="518"/>
        <v>324.64429455294095</v>
      </c>
      <c r="M248" s="71">
        <f t="shared" si="518"/>
        <v>414.12876745380976</v>
      </c>
      <c r="N248" s="71">
        <f t="shared" si="518"/>
        <v>455.73447415683626</v>
      </c>
      <c r="O248" s="71">
        <f t="shared" si="518"/>
        <v>849.48113067499958</v>
      </c>
      <c r="P248" s="71">
        <f t="shared" si="506"/>
        <v>922.42082359100561</v>
      </c>
      <c r="Q248" s="71">
        <f t="shared" si="518"/>
        <v>928.7460643886958</v>
      </c>
      <c r="R248" s="71"/>
      <c r="S248" s="71">
        <f t="shared" ref="S248:AX248" si="519">S62*S$210</f>
        <v>205.97437673999983</v>
      </c>
      <c r="T248" s="71">
        <f t="shared" si="519"/>
        <v>57.235100050000014</v>
      </c>
      <c r="U248" s="71">
        <f t="shared" si="519"/>
        <v>101.34075044999977</v>
      </c>
      <c r="V248" s="71">
        <f t="shared" si="519"/>
        <v>345.00621650000005</v>
      </c>
      <c r="W248" s="71">
        <f t="shared" si="519"/>
        <v>213.39407700000001</v>
      </c>
      <c r="X248" s="71">
        <f t="shared" si="519"/>
        <v>290.54107559999989</v>
      </c>
      <c r="Y248" s="71">
        <f t="shared" si="519"/>
        <v>212.43472799999995</v>
      </c>
      <c r="Z248" s="71">
        <f t="shared" si="519"/>
        <v>296.0028129500003</v>
      </c>
      <c r="AA248" s="71">
        <f t="shared" si="519"/>
        <v>-77.726390130000084</v>
      </c>
      <c r="AB248" s="71">
        <f t="shared" si="519"/>
        <v>341.49756400000007</v>
      </c>
      <c r="AC248" s="71">
        <f t="shared" si="519"/>
        <v>329.19255322000021</v>
      </c>
      <c r="AD248" s="71">
        <f t="shared" si="519"/>
        <v>256.96230189347131</v>
      </c>
      <c r="AE248" s="71">
        <f t="shared" si="519"/>
        <v>221.42436483149163</v>
      </c>
      <c r="AF248" s="71">
        <f t="shared" si="519"/>
        <v>206.46512226075652</v>
      </c>
      <c r="AG248" s="71">
        <f t="shared" si="519"/>
        <v>283.50097471300779</v>
      </c>
      <c r="AH248" s="71">
        <f t="shared" si="519"/>
        <v>142.36106390135964</v>
      </c>
      <c r="AI248" s="71">
        <f t="shared" si="519"/>
        <v>237.58642348012987</v>
      </c>
      <c r="AJ248" s="71">
        <f t="shared" si="519"/>
        <v>215.98958422929192</v>
      </c>
      <c r="AK248" s="71">
        <f t="shared" si="519"/>
        <v>220.96488099920609</v>
      </c>
      <c r="AL248" s="71">
        <f t="shared" si="519"/>
        <v>299.19633205783367</v>
      </c>
      <c r="AM248" s="71">
        <f t="shared" si="519"/>
        <v>1212.6922829494654</v>
      </c>
      <c r="AN248" s="71">
        <f t="shared" si="519"/>
        <v>-1754.609558181827</v>
      </c>
      <c r="AO248" s="71">
        <f t="shared" si="519"/>
        <v>199.47309254233224</v>
      </c>
      <c r="AP248" s="71">
        <f t="shared" si="519"/>
        <v>116.22423162417056</v>
      </c>
      <c r="AQ248" s="71">
        <f t="shared" si="519"/>
        <v>4.1114613000001183</v>
      </c>
      <c r="AR248" s="71">
        <f t="shared" si="519"/>
        <v>150.88746144486265</v>
      </c>
      <c r="AS248" s="71">
        <f t="shared" si="519"/>
        <v>52.58141372570293</v>
      </c>
      <c r="AT248" s="71">
        <f t="shared" si="519"/>
        <v>212.29077763438099</v>
      </c>
      <c r="AU248" s="71">
        <f t="shared" si="519"/>
        <v>151.18810902999996</v>
      </c>
      <c r="AV248" s="71">
        <f t="shared" si="519"/>
        <v>214.44365578999995</v>
      </c>
      <c r="AW248" s="71">
        <f t="shared" si="519"/>
        <v>241.28661917000002</v>
      </c>
      <c r="AX248" s="71">
        <f t="shared" si="519"/>
        <v>231.37857615999994</v>
      </c>
      <c r="AY248" s="71">
        <f t="shared" si="508"/>
        <v>142.66651114000004</v>
      </c>
      <c r="AZ248" s="71">
        <f t="shared" si="508"/>
        <v>137.98641387216961</v>
      </c>
      <c r="BA248" s="71">
        <f t="shared" si="508"/>
        <v>161.99888583999999</v>
      </c>
      <c r="BB248" s="71">
        <f t="shared" si="508"/>
        <v>495.84546289011274</v>
      </c>
      <c r="BC248" s="71">
        <f t="shared" si="509"/>
        <v>135.38821935432452</v>
      </c>
      <c r="BD248" s="267"/>
    </row>
    <row r="249" spans="2:56" s="5" customFormat="1" ht="13.5" customHeight="1" thickTop="1">
      <c r="B249" s="1" t="str">
        <f t="shared" si="504"/>
        <v>Net Capex</v>
      </c>
      <c r="C249" s="238">
        <f t="shared" ref="C249:Q249" si="520">C63*C$210</f>
        <v>-1413.9794538799999</v>
      </c>
      <c r="D249" s="72">
        <f t="shared" si="520"/>
        <v>-840.74143974999993</v>
      </c>
      <c r="E249" s="72">
        <f t="shared" si="520"/>
        <v>-909.74641759999997</v>
      </c>
      <c r="F249" s="72">
        <f t="shared" si="520"/>
        <v>-941.31364163649164</v>
      </c>
      <c r="G249" s="72">
        <f t="shared" si="520"/>
        <v>-920.10353023558741</v>
      </c>
      <c r="H249" s="72">
        <f t="shared" si="520"/>
        <v>-838.45506736124298</v>
      </c>
      <c r="I249" s="238">
        <f t="shared" si="520"/>
        <v>-1029.8806187978269</v>
      </c>
      <c r="J249" s="72">
        <f t="shared" si="520"/>
        <v>-1104.3697994760348</v>
      </c>
      <c r="K249" s="72">
        <f t="shared" si="520"/>
        <v>-851.20968796786474</v>
      </c>
      <c r="L249" s="72">
        <f t="shared" si="520"/>
        <v>-851.20968796786474</v>
      </c>
      <c r="M249" s="72">
        <f t="shared" si="520"/>
        <v>-826.64773324044097</v>
      </c>
      <c r="N249" s="72">
        <f t="shared" si="520"/>
        <v>-826.64773324044097</v>
      </c>
      <c r="O249" s="72">
        <f t="shared" si="520"/>
        <v>-464.69612132000003</v>
      </c>
      <c r="P249" s="72">
        <f t="shared" si="506"/>
        <v>-627.84483044398212</v>
      </c>
      <c r="Q249" s="72">
        <f t="shared" si="520"/>
        <v>-687.88355224199483</v>
      </c>
      <c r="R249" s="64"/>
      <c r="S249" s="72">
        <f t="shared" ref="S249:AX249" si="521">S63*S$210</f>
        <v>-215.50076933</v>
      </c>
      <c r="T249" s="72">
        <f t="shared" si="521"/>
        <v>-161.68656226000002</v>
      </c>
      <c r="U249" s="72">
        <f t="shared" si="521"/>
        <v>-200.53391096999999</v>
      </c>
      <c r="V249" s="72">
        <f t="shared" si="521"/>
        <v>-258.92377092999999</v>
      </c>
      <c r="W249" s="72">
        <f t="shared" si="521"/>
        <v>-152.08721267999996</v>
      </c>
      <c r="X249" s="72">
        <f t="shared" si="521"/>
        <v>-194.24221439999999</v>
      </c>
      <c r="Y249" s="72">
        <f t="shared" si="521"/>
        <v>-273.14944799999995</v>
      </c>
      <c r="Z249" s="72">
        <f t="shared" si="521"/>
        <v>-287.10161675000001</v>
      </c>
      <c r="AA249" s="72">
        <f t="shared" si="521"/>
        <v>-214.60383134999998</v>
      </c>
      <c r="AB249" s="72">
        <f t="shared" si="521"/>
        <v>-180.97758819999996</v>
      </c>
      <c r="AC249" s="72">
        <f t="shared" si="521"/>
        <v>-215.78706362000011</v>
      </c>
      <c r="AD249" s="72">
        <f t="shared" si="521"/>
        <v>-329.36630574464891</v>
      </c>
      <c r="AE249" s="72">
        <f t="shared" si="521"/>
        <v>-204.06669357797844</v>
      </c>
      <c r="AF249" s="72">
        <f t="shared" si="521"/>
        <v>-185.31114301035564</v>
      </c>
      <c r="AG249" s="72">
        <f t="shared" si="521"/>
        <v>-225.0941548297788</v>
      </c>
      <c r="AH249" s="72">
        <f t="shared" si="521"/>
        <v>-223.19447089008256</v>
      </c>
      <c r="AI249" s="72">
        <f t="shared" si="521"/>
        <v>-261.08469232630608</v>
      </c>
      <c r="AJ249" s="72">
        <f t="shared" si="521"/>
        <v>-263.29025807108849</v>
      </c>
      <c r="AK249" s="72">
        <f t="shared" si="521"/>
        <v>-334.73876141173417</v>
      </c>
      <c r="AL249" s="72">
        <f t="shared" si="521"/>
        <v>-253.69403928342905</v>
      </c>
      <c r="AM249" s="72">
        <f t="shared" si="521"/>
        <v>-225.38926728659993</v>
      </c>
      <c r="AN249" s="72">
        <f t="shared" si="521"/>
        <v>-235.43107634666327</v>
      </c>
      <c r="AO249" s="72">
        <f t="shared" si="521"/>
        <v>-197.60082108259274</v>
      </c>
      <c r="AP249" s="72">
        <f t="shared" si="521"/>
        <v>-192.54437396767673</v>
      </c>
      <c r="AQ249" s="72">
        <f t="shared" si="521"/>
        <v>-210.17108628</v>
      </c>
      <c r="AR249" s="72">
        <f t="shared" si="521"/>
        <v>649.82953677240448</v>
      </c>
      <c r="AS249" s="72">
        <f t="shared" si="521"/>
        <v>-1055.7823629466113</v>
      </c>
      <c r="AT249" s="72">
        <f t="shared" si="521"/>
        <v>-229.11814113976163</v>
      </c>
      <c r="AU249" s="72">
        <f t="shared" si="521"/>
        <v>-119.92778581</v>
      </c>
      <c r="AV249" s="72">
        <f t="shared" si="521"/>
        <v>-72.698707339999984</v>
      </c>
      <c r="AW249" s="72">
        <f t="shared" si="521"/>
        <v>-123.47020248000003</v>
      </c>
      <c r="AX249" s="72">
        <f t="shared" si="521"/>
        <v>-141.39179600000003</v>
      </c>
      <c r="AY249" s="72">
        <f t="shared" si="508"/>
        <v>-86.777569479999997</v>
      </c>
      <c r="AZ249" s="72">
        <f t="shared" si="508"/>
        <v>-106.35137600765145</v>
      </c>
      <c r="BA249" s="72">
        <f t="shared" si="508"/>
        <v>-192.83090639999998</v>
      </c>
      <c r="BB249" s="72">
        <f t="shared" si="508"/>
        <v>-251.69573389282286</v>
      </c>
      <c r="BC249" s="72">
        <f t="shared" si="509"/>
        <v>-138.7998474334087</v>
      </c>
      <c r="BD249" s="64"/>
    </row>
    <row r="250" spans="2:56" ht="13.5" customHeight="1">
      <c r="B250" s="1" t="str">
        <f t="shared" si="504"/>
        <v>Purchase and development of intangible assets</v>
      </c>
      <c r="C250" s="238">
        <f t="shared" ref="C250:Q250" si="522">C64*C$210</f>
        <v>-132.55528887999998</v>
      </c>
      <c r="D250" s="72">
        <f t="shared" si="522"/>
        <v>-94.301149499999994</v>
      </c>
      <c r="E250" s="72">
        <f t="shared" si="522"/>
        <v>-404.72906886000004</v>
      </c>
      <c r="F250" s="72">
        <f t="shared" si="522"/>
        <v>-108.71667778153829</v>
      </c>
      <c r="G250" s="72">
        <f t="shared" si="522"/>
        <v>-106.93725004587543</v>
      </c>
      <c r="H250" s="72">
        <f t="shared" si="522"/>
        <v>-55.645723091770755</v>
      </c>
      <c r="I250" s="238">
        <f t="shared" si="522"/>
        <v>-86.573074880899199</v>
      </c>
      <c r="J250" s="72">
        <f t="shared" si="522"/>
        <v>-92.834730163041442</v>
      </c>
      <c r="K250" s="72">
        <f t="shared" si="522"/>
        <v>-93.202018074245203</v>
      </c>
      <c r="L250" s="72">
        <f t="shared" si="522"/>
        <v>-90.215909281986441</v>
      </c>
      <c r="M250" s="72">
        <f t="shared" si="522"/>
        <v>-105.43566518202219</v>
      </c>
      <c r="N250" s="72">
        <f t="shared" si="522"/>
        <v>-105.43515766056619</v>
      </c>
      <c r="O250" s="72">
        <f t="shared" si="522"/>
        <v>-75.654271844999997</v>
      </c>
      <c r="P250" s="72">
        <f t="shared" si="506"/>
        <v>-67.043642570815848</v>
      </c>
      <c r="Q250" s="72">
        <f t="shared" si="522"/>
        <v>-67.311491779067552</v>
      </c>
      <c r="R250" s="64"/>
      <c r="S250" s="72">
        <f t="shared" ref="S250:AX250" si="523">S64*S$210</f>
        <v>-12.61652733</v>
      </c>
      <c r="T250" s="72">
        <f t="shared" si="523"/>
        <v>-17.603399160000002</v>
      </c>
      <c r="U250" s="72">
        <f t="shared" si="523"/>
        <v>-34.979317919999993</v>
      </c>
      <c r="V250" s="72">
        <f t="shared" si="523"/>
        <v>-30.167501430000009</v>
      </c>
      <c r="W250" s="72">
        <f t="shared" si="523"/>
        <v>-20.301636809999998</v>
      </c>
      <c r="X250" s="72">
        <f t="shared" si="523"/>
        <v>-36.165562799999996</v>
      </c>
      <c r="Y250" s="72">
        <f t="shared" si="523"/>
        <v>-24.243753600000002</v>
      </c>
      <c r="Z250" s="72">
        <f t="shared" si="523"/>
        <v>-314.51887105000003</v>
      </c>
      <c r="AA250" s="72">
        <f t="shared" si="523"/>
        <v>-24.906339269999997</v>
      </c>
      <c r="AB250" s="72">
        <f t="shared" si="523"/>
        <v>-50.433096779999993</v>
      </c>
      <c r="AC250" s="72">
        <f t="shared" si="523"/>
        <v>-35.445442160000006</v>
      </c>
      <c r="AD250" s="72">
        <f t="shared" si="523"/>
        <v>1.9051790150221355</v>
      </c>
      <c r="AE250" s="72">
        <f t="shared" si="523"/>
        <v>-9.4845460881344401</v>
      </c>
      <c r="AF250" s="72">
        <f t="shared" si="523"/>
        <v>-14.138144512742301</v>
      </c>
      <c r="AG250" s="72">
        <f t="shared" si="523"/>
        <v>-16.625013250365594</v>
      </c>
      <c r="AH250" s="72">
        <f t="shared" si="523"/>
        <v>-14.979768555407297</v>
      </c>
      <c r="AI250" s="72">
        <f t="shared" si="523"/>
        <v>-24.08783114697653</v>
      </c>
      <c r="AJ250" s="72">
        <f t="shared" si="523"/>
        <v>-22.365720116594069</v>
      </c>
      <c r="AK250" s="72">
        <f t="shared" si="523"/>
        <v>-27.631780392884238</v>
      </c>
      <c r="AL250" s="72">
        <f t="shared" si="523"/>
        <v>-19.496949101212504</v>
      </c>
      <c r="AM250" s="72">
        <f t="shared" si="523"/>
        <v>-25.32283900404239</v>
      </c>
      <c r="AN250" s="72">
        <f t="shared" si="523"/>
        <v>-15.848653753100898</v>
      </c>
      <c r="AO250" s="72">
        <f t="shared" si="523"/>
        <v>-12.877453302663842</v>
      </c>
      <c r="AP250" s="72">
        <f t="shared" si="523"/>
        <v>-39.348735083481643</v>
      </c>
      <c r="AQ250" s="72">
        <f t="shared" si="523"/>
        <v>-10.919604000000001</v>
      </c>
      <c r="AR250" s="72">
        <f t="shared" si="523"/>
        <v>-36.318401765754558</v>
      </c>
      <c r="AS250" s="72">
        <f t="shared" si="523"/>
        <v>-34.052523240007567</v>
      </c>
      <c r="AT250" s="72">
        <f t="shared" si="523"/>
        <v>-25.070054277700915</v>
      </c>
      <c r="AU250" s="72">
        <f t="shared" si="523"/>
        <v>-22.364712999999998</v>
      </c>
      <c r="AV250" s="72">
        <f t="shared" si="523"/>
        <v>-27.15804</v>
      </c>
      <c r="AW250" s="72">
        <f t="shared" si="523"/>
        <v>-15.923429630000003</v>
      </c>
      <c r="AX250" s="72">
        <f t="shared" si="523"/>
        <v>-11.416486560000001</v>
      </c>
      <c r="AY250" s="72">
        <f t="shared" si="508"/>
        <v>-11.774963999999999</v>
      </c>
      <c r="AZ250" s="72">
        <f t="shared" si="508"/>
        <v>-15.712486958150519</v>
      </c>
      <c r="BA250" s="72">
        <f t="shared" si="508"/>
        <v>-12.765265040000001</v>
      </c>
      <c r="BB250" s="72">
        <f t="shared" si="508"/>
        <v>-27.384386747093277</v>
      </c>
      <c r="BC250" s="72">
        <f t="shared" si="509"/>
        <v>-11.273418687130327</v>
      </c>
      <c r="BD250" s="64"/>
    </row>
    <row r="251" spans="2:56" ht="13.5" customHeight="1">
      <c r="B251" s="1" t="str">
        <f t="shared" si="504"/>
        <v>Disposals/ Acquisition, of subsidiaries</v>
      </c>
      <c r="C251" s="238">
        <f t="shared" ref="C251:Q251" si="524">C65*C$210</f>
        <v>-4.8329314600000002</v>
      </c>
      <c r="D251" s="72">
        <f t="shared" si="524"/>
        <v>-9.3732453500000013</v>
      </c>
      <c r="E251" s="72">
        <f t="shared" si="524"/>
        <v>46.142027439999978</v>
      </c>
      <c r="F251" s="72">
        <f t="shared" si="524"/>
        <v>6.2353240154563823</v>
      </c>
      <c r="G251" s="72">
        <f t="shared" si="524"/>
        <v>-1.3065962992433271</v>
      </c>
      <c r="H251" s="72">
        <f t="shared" si="524"/>
        <v>-27.141580686983939</v>
      </c>
      <c r="I251" s="238">
        <f t="shared" si="524"/>
        <v>0.45579169675107506</v>
      </c>
      <c r="J251" s="72">
        <f t="shared" si="524"/>
        <v>0.48875818765421414</v>
      </c>
      <c r="K251" s="72">
        <f t="shared" si="524"/>
        <v>0.49920738122252389</v>
      </c>
      <c r="L251" s="72">
        <f t="shared" si="524"/>
        <v>0</v>
      </c>
      <c r="M251" s="72">
        <f t="shared" si="524"/>
        <v>0.45113018311667524</v>
      </c>
      <c r="N251" s="72">
        <f t="shared" si="524"/>
        <v>0</v>
      </c>
      <c r="O251" s="72">
        <f t="shared" si="524"/>
        <v>0</v>
      </c>
      <c r="P251" s="72">
        <f t="shared" si="506"/>
        <v>0.26044457528869497</v>
      </c>
      <c r="Q251" s="72">
        <f t="shared" si="524"/>
        <v>0.27042936602198242</v>
      </c>
      <c r="R251" s="64"/>
      <c r="S251" s="72">
        <f t="shared" ref="S251:AX251" si="525">S65*S$210</f>
        <v>-6.91331586</v>
      </c>
      <c r="T251" s="72">
        <f t="shared" si="525"/>
        <v>0</v>
      </c>
      <c r="U251" s="72">
        <f t="shared" si="525"/>
        <v>-2.3855249999999999</v>
      </c>
      <c r="V251" s="72">
        <f t="shared" si="525"/>
        <v>0.30491702999999881</v>
      </c>
      <c r="W251" s="72">
        <f t="shared" si="525"/>
        <v>4.54155</v>
      </c>
      <c r="X251" s="72">
        <f t="shared" si="525"/>
        <v>303.95083200000005</v>
      </c>
      <c r="Y251" s="72">
        <f t="shared" si="525"/>
        <v>0.53650080000000311</v>
      </c>
      <c r="Z251" s="72">
        <f t="shared" si="525"/>
        <v>-257.26256065000007</v>
      </c>
      <c r="AA251" s="72">
        <f t="shared" si="525"/>
        <v>0</v>
      </c>
      <c r="AB251" s="72">
        <f t="shared" si="525"/>
        <v>-5.6818733799999999</v>
      </c>
      <c r="AC251" s="72">
        <f t="shared" si="525"/>
        <v>11.17232622</v>
      </c>
      <c r="AD251" s="72">
        <f t="shared" si="525"/>
        <v>0.59698095910425819</v>
      </c>
      <c r="AE251" s="72">
        <f t="shared" si="525"/>
        <v>9.0206845244979394</v>
      </c>
      <c r="AF251" s="72">
        <f t="shared" si="525"/>
        <v>-8.1132186870842862</v>
      </c>
      <c r="AG251" s="72">
        <f t="shared" si="525"/>
        <v>0</v>
      </c>
      <c r="AH251" s="72">
        <f t="shared" si="525"/>
        <v>-28.160527097114667</v>
      </c>
      <c r="AI251" s="72">
        <f t="shared" si="525"/>
        <v>0</v>
      </c>
      <c r="AJ251" s="72">
        <f t="shared" si="525"/>
        <v>0</v>
      </c>
      <c r="AK251" s="72">
        <f t="shared" si="525"/>
        <v>0.49289654643032899</v>
      </c>
      <c r="AL251" s="72">
        <f t="shared" si="525"/>
        <v>0</v>
      </c>
      <c r="AM251" s="72">
        <f t="shared" si="525"/>
        <v>0</v>
      </c>
      <c r="AN251" s="72">
        <f t="shared" si="525"/>
        <v>0</v>
      </c>
      <c r="AO251" s="72">
        <f t="shared" si="525"/>
        <v>0.49662372937384652</v>
      </c>
      <c r="AP251" s="72">
        <f t="shared" si="525"/>
        <v>0</v>
      </c>
      <c r="AQ251" s="72">
        <f t="shared" si="525"/>
        <v>0</v>
      </c>
      <c r="AR251" s="72">
        <f t="shared" si="525"/>
        <v>0</v>
      </c>
      <c r="AS251" s="72">
        <f t="shared" si="525"/>
        <v>0.4632381859550273</v>
      </c>
      <c r="AT251" s="72">
        <f t="shared" si="525"/>
        <v>0</v>
      </c>
      <c r="AU251" s="72">
        <f t="shared" si="525"/>
        <v>0</v>
      </c>
      <c r="AV251" s="72">
        <f t="shared" si="525"/>
        <v>0</v>
      </c>
      <c r="AW251" s="72">
        <f t="shared" si="525"/>
        <v>0.52810000000000001</v>
      </c>
      <c r="AX251" s="72">
        <f t="shared" si="525"/>
        <v>-0.49759999999999999</v>
      </c>
      <c r="AY251" s="72">
        <f t="shared" si="508"/>
        <v>0</v>
      </c>
      <c r="AZ251" s="72">
        <f t="shared" si="508"/>
        <v>0</v>
      </c>
      <c r="BA251" s="72">
        <f t="shared" si="508"/>
        <v>0.26839999999999997</v>
      </c>
      <c r="BB251" s="72">
        <f t="shared" si="508"/>
        <v>0</v>
      </c>
      <c r="BC251" s="72">
        <f t="shared" si="509"/>
        <v>0</v>
      </c>
      <c r="BD251" s="64"/>
    </row>
    <row r="252" spans="2:56" ht="13.5" customHeight="1" thickBot="1">
      <c r="B252" s="52" t="str">
        <f t="shared" si="504"/>
        <v xml:space="preserve">Free cash flow </v>
      </c>
      <c r="C252" s="239">
        <f t="shared" ref="C252:Q252" si="526">C66*C$210</f>
        <v>-403.26164983999973</v>
      </c>
      <c r="D252" s="74">
        <f t="shared" si="526"/>
        <v>-223.73338829999909</v>
      </c>
      <c r="E252" s="74">
        <f t="shared" si="526"/>
        <v>-252.37334439999944</v>
      </c>
      <c r="F252" s="74">
        <f t="shared" si="526"/>
        <v>-192.67183923309366</v>
      </c>
      <c r="G252" s="74">
        <f t="shared" si="526"/>
        <v>-297.29022498727232</v>
      </c>
      <c r="H252" s="74">
        <f t="shared" si="526"/>
        <v>-61.202515126235376</v>
      </c>
      <c r="I252" s="239">
        <f t="shared" si="526"/>
        <v>-213.77988836881741</v>
      </c>
      <c r="J252" s="74">
        <f t="shared" si="526"/>
        <v>-846.35097978188048</v>
      </c>
      <c r="K252" s="74">
        <f t="shared" si="526"/>
        <v>-1157.7639550437548</v>
      </c>
      <c r="L252" s="74">
        <f t="shared" si="526"/>
        <v>-616.7813026969103</v>
      </c>
      <c r="M252" s="74">
        <f t="shared" si="526"/>
        <v>-517.50350078553686</v>
      </c>
      <c r="N252" s="74">
        <f t="shared" si="526"/>
        <v>-476.34841674417095</v>
      </c>
      <c r="O252" s="74">
        <f t="shared" si="526"/>
        <v>309.13073750999951</v>
      </c>
      <c r="P252" s="74">
        <f t="shared" si="506"/>
        <v>227.79279515149636</v>
      </c>
      <c r="Q252" s="74">
        <f t="shared" si="526"/>
        <v>173.82144973365538</v>
      </c>
      <c r="R252" s="216"/>
      <c r="S252" s="74">
        <f t="shared" ref="S252:AX252" si="527">S66*S$210</f>
        <v>-29.056235780000154</v>
      </c>
      <c r="T252" s="74">
        <f t="shared" si="527"/>
        <v>-122.05486136999998</v>
      </c>
      <c r="U252" s="74">
        <f t="shared" si="527"/>
        <v>-136.55800344000019</v>
      </c>
      <c r="V252" s="74">
        <f t="shared" si="527"/>
        <v>56.21986117000003</v>
      </c>
      <c r="W252" s="74">
        <f t="shared" si="527"/>
        <v>45.54677751000002</v>
      </c>
      <c r="X252" s="74">
        <f t="shared" si="527"/>
        <v>364.08413039999994</v>
      </c>
      <c r="Y252" s="74">
        <f t="shared" si="527"/>
        <v>-84.421972800000006</v>
      </c>
      <c r="Z252" s="74">
        <f t="shared" si="527"/>
        <v>-562.8802354999998</v>
      </c>
      <c r="AA252" s="74">
        <f t="shared" si="527"/>
        <v>-317.23656075000008</v>
      </c>
      <c r="AB252" s="74">
        <f t="shared" si="527"/>
        <v>104.40500564000008</v>
      </c>
      <c r="AC252" s="74">
        <f t="shared" si="527"/>
        <v>89.132373660000084</v>
      </c>
      <c r="AD252" s="74">
        <f t="shared" si="527"/>
        <v>-69.901843877051206</v>
      </c>
      <c r="AE252" s="74">
        <f t="shared" si="527"/>
        <v>16.893809689876683</v>
      </c>
      <c r="AF252" s="74">
        <f t="shared" si="527"/>
        <v>-1.0973839494257174</v>
      </c>
      <c r="AG252" s="74">
        <f t="shared" si="527"/>
        <v>41.781806632863422</v>
      </c>
      <c r="AH252" s="74">
        <f t="shared" si="527"/>
        <v>-123.97370264124487</v>
      </c>
      <c r="AI252" s="74">
        <f t="shared" si="527"/>
        <v>-47.586099993152772</v>
      </c>
      <c r="AJ252" s="74">
        <f t="shared" si="527"/>
        <v>-69.666393958390671</v>
      </c>
      <c r="AK252" s="74">
        <f t="shared" si="527"/>
        <v>-140.91276425898201</v>
      </c>
      <c r="AL252" s="74">
        <f t="shared" si="527"/>
        <v>26.00534367319214</v>
      </c>
      <c r="AM252" s="74">
        <f t="shared" si="527"/>
        <v>961.9801766588231</v>
      </c>
      <c r="AN252" s="74">
        <f t="shared" si="527"/>
        <v>-2005.889288281591</v>
      </c>
      <c r="AO252" s="74">
        <f t="shared" si="527"/>
        <v>-10.508558113550512</v>
      </c>
      <c r="AP252" s="74">
        <f t="shared" si="527"/>
        <v>-115.66887742698782</v>
      </c>
      <c r="AQ252" s="74">
        <f t="shared" si="527"/>
        <v>-216.97922897999987</v>
      </c>
      <c r="AR252" s="74">
        <f t="shared" si="527"/>
        <v>764.39859645151262</v>
      </c>
      <c r="AS252" s="74">
        <f t="shared" si="527"/>
        <v>-1036.790234274961</v>
      </c>
      <c r="AT252" s="74">
        <f t="shared" si="527"/>
        <v>-41.897417783081572</v>
      </c>
      <c r="AU252" s="74">
        <f t="shared" si="527"/>
        <v>8.8956102199999663</v>
      </c>
      <c r="AV252" s="74">
        <f t="shared" si="527"/>
        <v>114.58690844999995</v>
      </c>
      <c r="AW252" s="74">
        <f t="shared" si="527"/>
        <v>102.42108706</v>
      </c>
      <c r="AX252" s="74">
        <f t="shared" si="527"/>
        <v>78.072693599999909</v>
      </c>
      <c r="AY252" s="74">
        <f t="shared" si="508"/>
        <v>44.113977660000032</v>
      </c>
      <c r="AZ252" s="74">
        <f t="shared" si="508"/>
        <v>15.922550906367649</v>
      </c>
      <c r="BA252" s="74">
        <f t="shared" si="508"/>
        <v>-43.328885599999985</v>
      </c>
      <c r="BB252" s="74">
        <f t="shared" si="508"/>
        <v>216.76534225019662</v>
      </c>
      <c r="BC252" s="74">
        <f t="shared" si="509"/>
        <v>-14.685046766214501</v>
      </c>
      <c r="BD252" s="65"/>
    </row>
    <row r="253" spans="2:56" ht="13.5" customHeight="1" thickTop="1">
      <c r="B253" s="79" t="str">
        <f t="shared" si="504"/>
        <v>Other investing activities</v>
      </c>
      <c r="C253" s="240">
        <f t="shared" ref="C253:Q253" si="528">C67*C$210</f>
        <v>-6.1651739800000005</v>
      </c>
      <c r="D253" s="80">
        <f t="shared" si="528"/>
        <v>19.31301165</v>
      </c>
      <c r="E253" s="80">
        <f t="shared" si="528"/>
        <v>24.199726580000004</v>
      </c>
      <c r="F253" s="80">
        <f t="shared" si="528"/>
        <v>96.392730427244459</v>
      </c>
      <c r="G253" s="80">
        <f t="shared" si="528"/>
        <v>125.98794284934887</v>
      </c>
      <c r="H253" s="80">
        <f t="shared" si="528"/>
        <v>204.04714246678432</v>
      </c>
      <c r="I253" s="240">
        <f t="shared" si="528"/>
        <v>248.09402952121306</v>
      </c>
      <c r="J253" s="80">
        <f t="shared" si="528"/>
        <v>280.80047420636134</v>
      </c>
      <c r="K253" s="80">
        <f t="shared" si="528"/>
        <v>3354.8801738297107</v>
      </c>
      <c r="L253" s="80">
        <f t="shared" si="528"/>
        <v>3073.2873241504467</v>
      </c>
      <c r="M253" s="80">
        <f t="shared" si="528"/>
        <v>42.996146318665417</v>
      </c>
      <c r="N253" s="80">
        <f t="shared" si="528"/>
        <v>43.447276501782092</v>
      </c>
      <c r="O253" s="80">
        <f t="shared" si="528"/>
        <v>46.0121598375</v>
      </c>
      <c r="P253" s="80">
        <f t="shared" si="506"/>
        <v>-171.32330651523171</v>
      </c>
      <c r="Q253" s="80">
        <f t="shared" si="528"/>
        <v>-89.583783935271981</v>
      </c>
      <c r="R253" s="217"/>
      <c r="S253" s="80">
        <f t="shared" ref="S253:AX253" si="529">S67*S$210</f>
        <v>1.9947633200000001</v>
      </c>
      <c r="T253" s="80">
        <f t="shared" si="529"/>
        <v>11.96679735</v>
      </c>
      <c r="U253" s="80">
        <f t="shared" si="529"/>
        <v>1.1998910100000009</v>
      </c>
      <c r="V253" s="80">
        <f t="shared" si="529"/>
        <v>4.2359071699999999</v>
      </c>
      <c r="W253" s="80">
        <f t="shared" si="529"/>
        <v>15.66369909</v>
      </c>
      <c r="X253" s="80">
        <f t="shared" si="529"/>
        <v>5.9674883999999997</v>
      </c>
      <c r="Y253" s="80">
        <f t="shared" si="529"/>
        <v>0.38950560000000051</v>
      </c>
      <c r="Z253" s="80">
        <f t="shared" si="529"/>
        <v>2.4545943000000001</v>
      </c>
      <c r="AA253" s="80">
        <f t="shared" si="529"/>
        <v>-4.1688000000000001E-4</v>
      </c>
      <c r="AB253" s="80">
        <f t="shared" si="529"/>
        <v>2.6944631999999999</v>
      </c>
      <c r="AC253" s="80">
        <f t="shared" si="529"/>
        <v>59.929441180000005</v>
      </c>
      <c r="AD253" s="80">
        <f t="shared" si="529"/>
        <v>33.165781531699473</v>
      </c>
      <c r="AE253" s="80">
        <f t="shared" si="529"/>
        <v>-0.95788835779169568</v>
      </c>
      <c r="AF253" s="80">
        <f t="shared" si="529"/>
        <v>23.443704454263933</v>
      </c>
      <c r="AG253" s="80">
        <f t="shared" si="529"/>
        <v>93.19421152169582</v>
      </c>
      <c r="AH253" s="80">
        <f t="shared" si="529"/>
        <v>86.530708291723101</v>
      </c>
      <c r="AI253" s="80">
        <f t="shared" si="529"/>
        <v>62.856803987936409</v>
      </c>
      <c r="AJ253" s="80">
        <f t="shared" si="529"/>
        <v>27.552644742481899</v>
      </c>
      <c r="AK253" s="80">
        <f t="shared" si="529"/>
        <v>-23.997604866398781</v>
      </c>
      <c r="AL253" s="80">
        <f t="shared" si="529"/>
        <v>199.49854675835059</v>
      </c>
      <c r="AM253" s="80">
        <f t="shared" si="529"/>
        <v>3242.8463294547114</v>
      </c>
      <c r="AN253" s="80">
        <f t="shared" si="529"/>
        <v>19.534303443819113</v>
      </c>
      <c r="AO253" s="80">
        <f t="shared" si="529"/>
        <v>54.660394149803018</v>
      </c>
      <c r="AP253" s="80">
        <f t="shared" si="529"/>
        <v>12.545462923140342</v>
      </c>
      <c r="AQ253" s="80">
        <f t="shared" si="529"/>
        <v>10.46787102</v>
      </c>
      <c r="AR253" s="80">
        <f t="shared" si="529"/>
        <v>10.80602167576898</v>
      </c>
      <c r="AS253" s="80">
        <f t="shared" si="529"/>
        <v>10.46802490711873</v>
      </c>
      <c r="AT253" s="80">
        <f t="shared" si="529"/>
        <v>11.231253249193591</v>
      </c>
      <c r="AU253" s="80">
        <f t="shared" si="529"/>
        <v>-30.699468730000003</v>
      </c>
      <c r="AV253" s="80">
        <f t="shared" si="529"/>
        <v>10.894378110000002</v>
      </c>
      <c r="AW253" s="80">
        <f t="shared" si="529"/>
        <v>11.603835680000001</v>
      </c>
      <c r="AX253" s="80">
        <f t="shared" si="529"/>
        <v>47.402321440000001</v>
      </c>
      <c r="AY253" s="80">
        <f t="shared" si="508"/>
        <v>10.062015059999998</v>
      </c>
      <c r="AZ253" s="80">
        <f t="shared" si="508"/>
        <v>-32.238403250202829</v>
      </c>
      <c r="BA253" s="80">
        <f t="shared" si="508"/>
        <v>64.717627919999998</v>
      </c>
      <c r="BB253" s="80">
        <f t="shared" si="508"/>
        <v>-222.34023953142759</v>
      </c>
      <c r="BC253" s="80">
        <f t="shared" si="509"/>
        <v>104.65208555114683</v>
      </c>
      <c r="BD253" s="64"/>
    </row>
    <row r="254" spans="2:56" ht="13.5" customHeight="1">
      <c r="B254" s="1" t="str">
        <f t="shared" si="504"/>
        <v>Equity Issuance/Buyback</v>
      </c>
      <c r="C254" s="236">
        <f t="shared" ref="C254:Q254" si="530">C68*C$210</f>
        <v>-127.58471488000001</v>
      </c>
      <c r="D254" s="75">
        <f t="shared" si="530"/>
        <v>-221.5498503</v>
      </c>
      <c r="E254" s="75">
        <f t="shared" si="530"/>
        <v>-201.96447936000001</v>
      </c>
      <c r="F254" s="75">
        <f t="shared" si="530"/>
        <v>-139.17739855691985</v>
      </c>
      <c r="G254" s="75">
        <f t="shared" si="530"/>
        <v>-136.04138947630324</v>
      </c>
      <c r="H254" s="75">
        <f t="shared" si="530"/>
        <v>-68.461912384735427</v>
      </c>
      <c r="I254" s="236">
        <f t="shared" si="530"/>
        <v>-19.970695509827056</v>
      </c>
      <c r="J254" s="75">
        <f t="shared" si="530"/>
        <v>-16.055706464440934</v>
      </c>
      <c r="K254" s="75">
        <f t="shared" si="530"/>
        <v>-63.777137561369742</v>
      </c>
      <c r="L254" s="75">
        <f t="shared" si="530"/>
        <v>-31.416418439524609</v>
      </c>
      <c r="M254" s="75">
        <f t="shared" si="530"/>
        <v>-67.504977733209486</v>
      </c>
      <c r="N254" s="75">
        <f t="shared" si="530"/>
        <v>-67.504977733209486</v>
      </c>
      <c r="O254" s="75">
        <f t="shared" si="530"/>
        <v>0</v>
      </c>
      <c r="P254" s="75">
        <f t="shared" si="506"/>
        <v>0</v>
      </c>
      <c r="Q254" s="75">
        <f t="shared" si="530"/>
        <v>-2.1634349281758594</v>
      </c>
      <c r="R254" s="218"/>
      <c r="S254" s="75">
        <f t="shared" ref="S254:AX254" si="531">S68*S$210</f>
        <v>-63.83351282000001</v>
      </c>
      <c r="T254" s="75">
        <f t="shared" si="531"/>
        <v>0</v>
      </c>
      <c r="U254" s="75">
        <f t="shared" si="531"/>
        <v>0</v>
      </c>
      <c r="V254" s="75">
        <f t="shared" si="531"/>
        <v>-151.94784351999999</v>
      </c>
      <c r="W254" s="75">
        <f t="shared" si="531"/>
        <v>-93.291772080000001</v>
      </c>
      <c r="X254" s="75">
        <f t="shared" si="531"/>
        <v>-50.523882</v>
      </c>
      <c r="Y254" s="75">
        <f t="shared" si="531"/>
        <v>5.2800000010756772E-5</v>
      </c>
      <c r="Z254" s="75">
        <f t="shared" si="531"/>
        <v>-58.23221520000002</v>
      </c>
      <c r="AA254" s="75">
        <f t="shared" si="531"/>
        <v>-67.44988124999999</v>
      </c>
      <c r="AB254" s="75">
        <f t="shared" si="531"/>
        <v>-57.264984639999994</v>
      </c>
      <c r="AC254" s="75">
        <f t="shared" si="531"/>
        <v>-56.031191799999995</v>
      </c>
      <c r="AD254" s="75">
        <f t="shared" si="531"/>
        <v>41.299912614327546</v>
      </c>
      <c r="AE254" s="75">
        <f t="shared" si="531"/>
        <v>-72.358514699460045</v>
      </c>
      <c r="AF254" s="75">
        <f t="shared" si="531"/>
        <v>0.25330479656716393</v>
      </c>
      <c r="AG254" s="75">
        <f t="shared" si="531"/>
        <v>0</v>
      </c>
      <c r="AH254" s="75">
        <f t="shared" si="531"/>
        <v>0</v>
      </c>
      <c r="AI254" s="75">
        <f t="shared" si="531"/>
        <v>-2.5019240496139754</v>
      </c>
      <c r="AJ254" s="75">
        <f t="shared" si="531"/>
        <v>0</v>
      </c>
      <c r="AK254" s="75">
        <f t="shared" si="531"/>
        <v>-3.1052482425110726</v>
      </c>
      <c r="AL254" s="75">
        <f t="shared" si="531"/>
        <v>-15.777075058586847</v>
      </c>
      <c r="AM254" s="75">
        <f t="shared" si="531"/>
        <v>-29.535485472316594</v>
      </c>
      <c r="AN254" s="75">
        <f t="shared" si="531"/>
        <v>-2.5005764836069573</v>
      </c>
      <c r="AO254" s="75">
        <f t="shared" si="531"/>
        <v>-17.68566492571555</v>
      </c>
      <c r="AP254" s="75">
        <f t="shared" si="531"/>
        <v>-13.890567835883552</v>
      </c>
      <c r="AQ254" s="75">
        <f t="shared" si="531"/>
        <v>-44.134488959999999</v>
      </c>
      <c r="AR254" s="75">
        <f t="shared" si="531"/>
        <v>-4.936415857834124</v>
      </c>
      <c r="AS254" s="75">
        <f t="shared" si="531"/>
        <v>-10.788759446119347</v>
      </c>
      <c r="AT254" s="75">
        <f t="shared" si="531"/>
        <v>-5.738617111233518</v>
      </c>
      <c r="AU254" s="75">
        <f t="shared" si="531"/>
        <v>0</v>
      </c>
      <c r="AV254" s="75">
        <f t="shared" si="531"/>
        <v>0</v>
      </c>
      <c r="AW254" s="75">
        <f t="shared" si="531"/>
        <v>0</v>
      </c>
      <c r="AX254" s="75">
        <f t="shared" si="531"/>
        <v>0</v>
      </c>
      <c r="AY254" s="75">
        <f t="shared" si="508"/>
        <v>0</v>
      </c>
      <c r="AZ254" s="75">
        <f t="shared" si="508"/>
        <v>0</v>
      </c>
      <c r="BA254" s="75">
        <f t="shared" si="508"/>
        <v>0</v>
      </c>
      <c r="BB254" s="75">
        <f t="shared" si="508"/>
        <v>0</v>
      </c>
      <c r="BC254" s="75">
        <f t="shared" si="509"/>
        <v>-2.2771133034651974</v>
      </c>
      <c r="BD254" s="218"/>
    </row>
    <row r="255" spans="2:56" s="5" customFormat="1" ht="13.5" customHeight="1">
      <c r="B255" s="1" t="str">
        <f t="shared" si="504"/>
        <v xml:space="preserve">Dividends Paid </v>
      </c>
      <c r="C255" s="236">
        <f t="shared" ref="C255:Q255" si="532">C69*C$210</f>
        <v>-55.603511040000001</v>
      </c>
      <c r="D255" s="75">
        <f t="shared" si="532"/>
        <v>-50.301585600000003</v>
      </c>
      <c r="E255" s="75">
        <f t="shared" si="532"/>
        <v>-55.645268080000001</v>
      </c>
      <c r="F255" s="75">
        <f t="shared" si="532"/>
        <v>-15.256195285608619</v>
      </c>
      <c r="G255" s="75">
        <f t="shared" si="532"/>
        <v>-95.854759218052379</v>
      </c>
      <c r="H255" s="75">
        <f t="shared" si="532"/>
        <v>-63.993637997007113</v>
      </c>
      <c r="I255" s="236">
        <f t="shared" si="532"/>
        <v>-48.012732702400847</v>
      </c>
      <c r="J255" s="75">
        <f t="shared" si="532"/>
        <v>-51.4853964809448</v>
      </c>
      <c r="K255" s="75">
        <f t="shared" si="532"/>
        <v>-52.586106172075688</v>
      </c>
      <c r="L255" s="75">
        <f t="shared" si="532"/>
        <v>-52.586106172075688</v>
      </c>
      <c r="M255" s="75">
        <f t="shared" si="532"/>
        <v>-57.9337997682061</v>
      </c>
      <c r="N255" s="75">
        <f t="shared" si="532"/>
        <v>-57.9337997682061</v>
      </c>
      <c r="O255" s="75">
        <f t="shared" si="532"/>
        <v>-55.907458594999994</v>
      </c>
      <c r="P255" s="75">
        <f t="shared" si="506"/>
        <v>-53.076208353743375</v>
      </c>
      <c r="Q255" s="75">
        <f t="shared" si="532"/>
        <v>-55.111016845112609</v>
      </c>
      <c r="R255" s="218"/>
      <c r="S255" s="75">
        <f t="shared" ref="S255:AX255" si="533">S69*S$210</f>
        <v>0</v>
      </c>
      <c r="T255" s="75">
        <f t="shared" si="533"/>
        <v>-58.47047456</v>
      </c>
      <c r="U255" s="75">
        <f t="shared" si="533"/>
        <v>0</v>
      </c>
      <c r="V255" s="75">
        <f t="shared" si="533"/>
        <v>7.1658400000000002</v>
      </c>
      <c r="W255" s="75">
        <f t="shared" si="533"/>
        <v>0</v>
      </c>
      <c r="X255" s="75">
        <f t="shared" si="533"/>
        <v>-55.153588799999994</v>
      </c>
      <c r="Y255" s="75">
        <f t="shared" si="533"/>
        <v>0</v>
      </c>
      <c r="Z255" s="75">
        <f t="shared" si="533"/>
        <v>0</v>
      </c>
      <c r="AA255" s="75">
        <f t="shared" si="533"/>
        <v>0</v>
      </c>
      <c r="AB255" s="75">
        <f t="shared" si="533"/>
        <v>-32.125611579999998</v>
      </c>
      <c r="AC255" s="75">
        <f t="shared" si="533"/>
        <v>0</v>
      </c>
      <c r="AD255" s="75">
        <f t="shared" si="533"/>
        <v>16.578487105212417</v>
      </c>
      <c r="AE255" s="75">
        <f t="shared" si="533"/>
        <v>0</v>
      </c>
      <c r="AF255" s="75">
        <f t="shared" si="533"/>
        <v>0</v>
      </c>
      <c r="AG255" s="75">
        <f t="shared" si="533"/>
        <v>12.390395303478696</v>
      </c>
      <c r="AH255" s="75">
        <f t="shared" si="533"/>
        <v>-79.748850000886037</v>
      </c>
      <c r="AI255" s="75">
        <f t="shared" si="533"/>
        <v>0</v>
      </c>
      <c r="AJ255" s="75">
        <f t="shared" si="533"/>
        <v>-52.192890219448955</v>
      </c>
      <c r="AK255" s="75">
        <f t="shared" si="533"/>
        <v>0</v>
      </c>
      <c r="AL255" s="75">
        <f t="shared" si="533"/>
        <v>0</v>
      </c>
      <c r="AM255" s="75">
        <f t="shared" si="533"/>
        <v>0</v>
      </c>
      <c r="AN255" s="75">
        <f t="shared" si="533"/>
        <v>-52.681745264394003</v>
      </c>
      <c r="AO255" s="75">
        <f t="shared" si="533"/>
        <v>0</v>
      </c>
      <c r="AP255" s="75">
        <f t="shared" si="533"/>
        <v>0</v>
      </c>
      <c r="AQ255" s="75">
        <f t="shared" si="533"/>
        <v>0</v>
      </c>
      <c r="AR255" s="75">
        <f t="shared" si="533"/>
        <v>-58.142788420724983</v>
      </c>
      <c r="AS255" s="75">
        <f t="shared" si="533"/>
        <v>0</v>
      </c>
      <c r="AT255" s="75">
        <f t="shared" si="533"/>
        <v>0</v>
      </c>
      <c r="AU255" s="75">
        <f t="shared" si="533"/>
        <v>0</v>
      </c>
      <c r="AV255" s="75">
        <f t="shared" si="533"/>
        <v>-59.129900619999994</v>
      </c>
      <c r="AW255" s="75">
        <f t="shared" si="533"/>
        <v>0</v>
      </c>
      <c r="AX255" s="75">
        <f t="shared" si="533"/>
        <v>0</v>
      </c>
      <c r="AY255" s="75">
        <f t="shared" si="508"/>
        <v>0</v>
      </c>
      <c r="AZ255" s="75">
        <f t="shared" si="508"/>
        <v>-52.066528896071524</v>
      </c>
      <c r="BA255" s="75">
        <f t="shared" si="508"/>
        <v>0</v>
      </c>
      <c r="BB255" s="75">
        <f t="shared" si="508"/>
        <v>0</v>
      </c>
      <c r="BC255" s="75">
        <f t="shared" si="509"/>
        <v>0</v>
      </c>
      <c r="BD255" s="218"/>
    </row>
    <row r="256" spans="2:56" ht="13.5" customHeight="1">
      <c r="B256" s="1" t="str">
        <f t="shared" si="504"/>
        <v>Change in debt</v>
      </c>
      <c r="C256" s="238">
        <f t="shared" ref="C256:Q256" si="534">C70*C$210</f>
        <v>95.273839079999988</v>
      </c>
      <c r="D256" s="72">
        <f t="shared" si="534"/>
        <v>-72.806244399999969</v>
      </c>
      <c r="E256" s="72">
        <f t="shared" si="534"/>
        <v>-44.143600219999996</v>
      </c>
      <c r="F256" s="72">
        <f t="shared" si="534"/>
        <v>6.0876886088625941</v>
      </c>
      <c r="G256" s="72">
        <f t="shared" si="534"/>
        <v>86.228198682416732</v>
      </c>
      <c r="H256" s="72">
        <f t="shared" si="534"/>
        <v>-176.18317205769858</v>
      </c>
      <c r="I256" s="238">
        <f t="shared" si="534"/>
        <v>0.50064159971137734</v>
      </c>
      <c r="J256" s="72">
        <f t="shared" si="534"/>
        <v>-52.357829845907574</v>
      </c>
      <c r="K256" s="72">
        <f t="shared" si="534"/>
        <v>-918.54322883380189</v>
      </c>
      <c r="L256" s="72">
        <f t="shared" si="534"/>
        <v>-918.55630806719012</v>
      </c>
      <c r="M256" s="72">
        <f t="shared" si="534"/>
        <v>-433.84580684583455</v>
      </c>
      <c r="N256" s="72">
        <f t="shared" si="534"/>
        <v>-449.6999876536496</v>
      </c>
      <c r="O256" s="72">
        <f t="shared" si="534"/>
        <v>-85.993832749999996</v>
      </c>
      <c r="P256" s="72">
        <f t="shared" si="506"/>
        <v>-435.79279227043821</v>
      </c>
      <c r="Q256" s="72">
        <f t="shared" si="534"/>
        <v>-416.41243821622254</v>
      </c>
      <c r="R256" s="64"/>
      <c r="S256" s="72">
        <f t="shared" ref="S256:AX256" si="535">S70*S$210</f>
        <v>-6.1215447700000007</v>
      </c>
      <c r="T256" s="72">
        <f t="shared" si="535"/>
        <v>-9.9786139699999996</v>
      </c>
      <c r="U256" s="72">
        <f t="shared" si="535"/>
        <v>-51.433266120000006</v>
      </c>
      <c r="V256" s="72">
        <f t="shared" si="535"/>
        <v>-7.7513312799999685</v>
      </c>
      <c r="W256" s="72">
        <f t="shared" si="535"/>
        <v>-9.5375755800000004</v>
      </c>
      <c r="X256" s="72">
        <f t="shared" si="535"/>
        <v>-9.8842896000000007</v>
      </c>
      <c r="Y256" s="72">
        <f t="shared" si="535"/>
        <v>-10.306190399999998</v>
      </c>
      <c r="Z256" s="72">
        <f t="shared" si="535"/>
        <v>-14.261306899999996</v>
      </c>
      <c r="AA256" s="72">
        <f t="shared" si="535"/>
        <v>-20.976880499999996</v>
      </c>
      <c r="AB256" s="72">
        <f t="shared" si="535"/>
        <v>693.94402791999983</v>
      </c>
      <c r="AC256" s="72">
        <f t="shared" si="535"/>
        <v>-107.20183221999987</v>
      </c>
      <c r="AD256" s="72">
        <f t="shared" si="535"/>
        <v>-552.03258774802339</v>
      </c>
      <c r="AE256" s="72">
        <f t="shared" si="535"/>
        <v>681.62099524879511</v>
      </c>
      <c r="AF256" s="72">
        <f t="shared" si="535"/>
        <v>-29.145920480994597</v>
      </c>
      <c r="AG256" s="72">
        <f t="shared" si="535"/>
        <v>-142.57379854410439</v>
      </c>
      <c r="AH256" s="72">
        <f t="shared" si="535"/>
        <v>-668.95431072225381</v>
      </c>
      <c r="AI256" s="72">
        <f t="shared" si="535"/>
        <v>-23.68326259669638</v>
      </c>
      <c r="AJ256" s="72">
        <f t="shared" si="535"/>
        <v>-17.22408186240887</v>
      </c>
      <c r="AK256" s="72">
        <f t="shared" si="535"/>
        <v>-20.414246973850297</v>
      </c>
      <c r="AL256" s="72">
        <f t="shared" si="535"/>
        <v>60.785334970172272</v>
      </c>
      <c r="AM256" s="72">
        <f t="shared" si="535"/>
        <v>481.72668969089455</v>
      </c>
      <c r="AN256" s="72">
        <f t="shared" si="535"/>
        <v>-47.020690163156125</v>
      </c>
      <c r="AO256" s="72">
        <f t="shared" si="535"/>
        <v>269.63097780385652</v>
      </c>
      <c r="AP256" s="72">
        <f t="shared" si="535"/>
        <v>-1646.1198591722236</v>
      </c>
      <c r="AQ256" s="72">
        <f t="shared" si="535"/>
        <v>-55.834378499999993</v>
      </c>
      <c r="AR256" s="72">
        <f t="shared" si="535"/>
        <v>-26.351566258241615</v>
      </c>
      <c r="AS256" s="72">
        <f t="shared" si="535"/>
        <v>212.28474709598893</v>
      </c>
      <c r="AT256" s="72">
        <f t="shared" si="535"/>
        <v>-566.34253437992118</v>
      </c>
      <c r="AU256" s="72">
        <f t="shared" si="535"/>
        <v>-21.42190995</v>
      </c>
      <c r="AV256" s="72">
        <f t="shared" si="535"/>
        <v>-23.198537040000001</v>
      </c>
      <c r="AW256" s="72">
        <f t="shared" si="535"/>
        <v>-20.246931520000004</v>
      </c>
      <c r="AX256" s="72">
        <f t="shared" si="535"/>
        <v>-20.911888799999993</v>
      </c>
      <c r="AY256" s="72">
        <f t="shared" si="508"/>
        <v>-242.99067262</v>
      </c>
      <c r="AZ256" s="72">
        <f t="shared" si="508"/>
        <v>-126.4042818306565</v>
      </c>
      <c r="BA256" s="72">
        <f t="shared" si="508"/>
        <v>-18.405422640000026</v>
      </c>
      <c r="BB256" s="72">
        <f t="shared" si="508"/>
        <v>-31.942149663432144</v>
      </c>
      <c r="BC256" s="72">
        <f t="shared" si="509"/>
        <v>-244.66705757111711</v>
      </c>
      <c r="BD256" s="64"/>
    </row>
    <row r="257" spans="2:56" ht="13.5" customHeight="1" thickBot="1">
      <c r="B257" s="46" t="str">
        <f t="shared" si="504"/>
        <v>Other financing activities</v>
      </c>
      <c r="C257" s="241">
        <f t="shared" ref="C257:Q257" si="536">C71*C$210</f>
        <v>-35.98459648</v>
      </c>
      <c r="D257" s="73">
        <f t="shared" si="536"/>
        <v>-51.756163549999997</v>
      </c>
      <c r="E257" s="73">
        <f t="shared" si="536"/>
        <v>-30.160908940000002</v>
      </c>
      <c r="F257" s="73">
        <f t="shared" si="536"/>
        <v>-113.76053265563375</v>
      </c>
      <c r="G257" s="73">
        <f t="shared" si="536"/>
        <v>-75.102460892667068</v>
      </c>
      <c r="H257" s="73">
        <f t="shared" si="536"/>
        <v>5.003973557389223</v>
      </c>
      <c r="I257" s="241">
        <f t="shared" si="536"/>
        <v>-187.04980199617191</v>
      </c>
      <c r="J257" s="73">
        <f t="shared" si="536"/>
        <v>-147.68405374633511</v>
      </c>
      <c r="K257" s="73">
        <f t="shared" si="536"/>
        <v>-7.2450466444206114</v>
      </c>
      <c r="L257" s="73">
        <f t="shared" si="536"/>
        <v>-39.605765766265741</v>
      </c>
      <c r="M257" s="73">
        <f t="shared" si="536"/>
        <v>-10.999399733477887</v>
      </c>
      <c r="N257" s="73">
        <f t="shared" si="536"/>
        <v>-10.999399733477887</v>
      </c>
      <c r="O257" s="73">
        <f t="shared" si="536"/>
        <v>33.753059444999998</v>
      </c>
      <c r="P257" s="73">
        <f t="shared" si="506"/>
        <v>-6.248950872731708</v>
      </c>
      <c r="Q257" s="73">
        <f t="shared" si="536"/>
        <v>-71.113512321843757</v>
      </c>
      <c r="R257" s="219"/>
      <c r="S257" s="73">
        <f t="shared" ref="S257:AX257" si="537">S71*S$210</f>
        <v>-187.44744689000001</v>
      </c>
      <c r="T257" s="73">
        <f t="shared" si="537"/>
        <v>-188.95734535999998</v>
      </c>
      <c r="U257" s="73">
        <f t="shared" si="537"/>
        <v>380.76936165000001</v>
      </c>
      <c r="V257" s="73">
        <f t="shared" si="537"/>
        <v>-24.253891970000005</v>
      </c>
      <c r="W257" s="73">
        <f t="shared" si="537"/>
        <v>-0.28050749999999997</v>
      </c>
      <c r="X257" s="73">
        <f t="shared" si="537"/>
        <v>-49.5701076</v>
      </c>
      <c r="Y257" s="73">
        <f t="shared" si="537"/>
        <v>0.71459519999999954</v>
      </c>
      <c r="Z257" s="73">
        <f t="shared" si="537"/>
        <v>18.819262599999995</v>
      </c>
      <c r="AA257" s="73">
        <f t="shared" si="537"/>
        <v>-82.619310689999992</v>
      </c>
      <c r="AB257" s="73">
        <f t="shared" si="537"/>
        <v>-12.433157640000003</v>
      </c>
      <c r="AC257" s="73">
        <f t="shared" si="537"/>
        <v>-5.919598179999995</v>
      </c>
      <c r="AD257" s="73">
        <f t="shared" si="537"/>
        <v>-13.087523990804527</v>
      </c>
      <c r="AE257" s="73">
        <f t="shared" si="537"/>
        <v>2.4157796403130432</v>
      </c>
      <c r="AF257" s="73">
        <f t="shared" si="537"/>
        <v>27.560099360687328</v>
      </c>
      <c r="AG257" s="73">
        <f t="shared" si="537"/>
        <v>-20.608630151912489</v>
      </c>
      <c r="AH257" s="73">
        <f t="shared" si="537"/>
        <v>-5.178136778416472</v>
      </c>
      <c r="AI257" s="73">
        <f t="shared" si="537"/>
        <v>-36.938951642056097</v>
      </c>
      <c r="AJ257" s="73">
        <f t="shared" si="537"/>
        <v>-34.067589741176704</v>
      </c>
      <c r="AK257" s="73">
        <f t="shared" si="537"/>
        <v>-55.403149087717566</v>
      </c>
      <c r="AL257" s="73">
        <f t="shared" si="537"/>
        <v>-75.161613523668279</v>
      </c>
      <c r="AM257" s="73">
        <f t="shared" si="537"/>
        <v>-10.849934956757451</v>
      </c>
      <c r="AN257" s="73">
        <f t="shared" si="537"/>
        <v>-1.3497611743213638</v>
      </c>
      <c r="AO257" s="73">
        <f t="shared" si="537"/>
        <v>2.8227099530150701</v>
      </c>
      <c r="AP257" s="73">
        <f t="shared" si="537"/>
        <v>2.2233852349441374</v>
      </c>
      <c r="AQ257" s="73">
        <f t="shared" si="537"/>
        <v>-3.6686226</v>
      </c>
      <c r="AR257" s="73">
        <f t="shared" si="537"/>
        <v>-9.6118735674467306</v>
      </c>
      <c r="AS257" s="73">
        <f t="shared" si="537"/>
        <v>-4.4310469629795692</v>
      </c>
      <c r="AT257" s="73">
        <f t="shared" si="537"/>
        <v>6.8853402836706961</v>
      </c>
      <c r="AU257" s="73">
        <f t="shared" si="537"/>
        <v>7.0538033999999996</v>
      </c>
      <c r="AV257" s="73">
        <f t="shared" si="537"/>
        <v>7.5403601699999996</v>
      </c>
      <c r="AW257" s="73">
        <f t="shared" si="537"/>
        <v>11.341686840000005</v>
      </c>
      <c r="AX257" s="73">
        <f t="shared" si="537"/>
        <v>7.4963937599999975</v>
      </c>
      <c r="AY257" s="73">
        <f t="shared" si="508"/>
        <v>36.165387559999999</v>
      </c>
      <c r="AZ257" s="73">
        <f t="shared" si="508"/>
        <v>-2.5571491667680859</v>
      </c>
      <c r="BA257" s="73">
        <f t="shared" si="508"/>
        <v>-4.1231607999999973</v>
      </c>
      <c r="BB257" s="73">
        <f t="shared" si="508"/>
        <v>-39.999508261211581</v>
      </c>
      <c r="BC257" s="73">
        <f t="shared" si="509"/>
        <v>-25.952544958755801</v>
      </c>
      <c r="BD257" s="64"/>
    </row>
    <row r="258" spans="2:56" ht="13.5" customHeight="1" thickTop="1" thickBot="1">
      <c r="B258" s="58" t="str">
        <f>B73</f>
        <v>Cash flow after financing activities</v>
      </c>
      <c r="C258" s="239">
        <f t="shared" ref="C258:Q258" si="538">C73*C$210</f>
        <v>-533.32580713999971</v>
      </c>
      <c r="D258" s="74">
        <f t="shared" si="538"/>
        <v>-600.83422049999911</v>
      </c>
      <c r="E258" s="74">
        <f t="shared" si="538"/>
        <v>-560.08787441999948</v>
      </c>
      <c r="F258" s="74">
        <f t="shared" si="538"/>
        <v>-358.38554669514883</v>
      </c>
      <c r="G258" s="74">
        <f t="shared" si="538"/>
        <v>-392.07269304252935</v>
      </c>
      <c r="H258" s="74">
        <f t="shared" si="538"/>
        <v>-160.79012154150297</v>
      </c>
      <c r="I258" s="239">
        <f t="shared" si="538"/>
        <v>-220.21844745629275</v>
      </c>
      <c r="J258" s="74">
        <f t="shared" si="538"/>
        <v>-833.13349211314755</v>
      </c>
      <c r="K258" s="74">
        <f t="shared" si="538"/>
        <v>1154.9646995742883</v>
      </c>
      <c r="L258" s="74">
        <f t="shared" si="538"/>
        <v>1414.3414230084804</v>
      </c>
      <c r="M258" s="74">
        <f t="shared" si="538"/>
        <v>-1044.7913385475995</v>
      </c>
      <c r="N258" s="74">
        <f t="shared" si="538"/>
        <v>-1019.0393051309318</v>
      </c>
      <c r="O258" s="74">
        <f t="shared" si="538"/>
        <v>246.99466544749956</v>
      </c>
      <c r="P258" s="74">
        <f>P73*P$210</f>
        <v>-438.64846286064869</v>
      </c>
      <c r="Q258" s="74">
        <f t="shared" si="538"/>
        <v>-460.5627365129713</v>
      </c>
      <c r="R258" s="216"/>
      <c r="S258" s="74">
        <f t="shared" ref="S258:AX258" si="539">S73*S$210</f>
        <v>-284.46397694000018</v>
      </c>
      <c r="T258" s="74">
        <f t="shared" si="539"/>
        <v>-367.49449790999995</v>
      </c>
      <c r="U258" s="74">
        <f t="shared" si="539"/>
        <v>193.97798309999979</v>
      </c>
      <c r="V258" s="74">
        <f t="shared" si="539"/>
        <v>-116.33145842999994</v>
      </c>
      <c r="W258" s="74">
        <f t="shared" si="539"/>
        <v>-41.899378559999981</v>
      </c>
      <c r="X258" s="74">
        <f t="shared" si="539"/>
        <v>204.91975079999995</v>
      </c>
      <c r="Y258" s="74">
        <f t="shared" si="539"/>
        <v>-93.624009599999994</v>
      </c>
      <c r="Z258" s="74">
        <f t="shared" si="539"/>
        <v>-614.09990069999969</v>
      </c>
      <c r="AA258" s="74">
        <f t="shared" si="539"/>
        <v>-488.28305007</v>
      </c>
      <c r="AB258" s="74">
        <f t="shared" si="539"/>
        <v>699.21974289999991</v>
      </c>
      <c r="AC258" s="74">
        <f t="shared" si="539"/>
        <v>-20.090807359999776</v>
      </c>
      <c r="AD258" s="74">
        <f t="shared" si="539"/>
        <v>-543.97777436463969</v>
      </c>
      <c r="AE258" s="74">
        <f t="shared" si="539"/>
        <v>627.61418152173303</v>
      </c>
      <c r="AF258" s="74">
        <f t="shared" si="539"/>
        <v>21.013804181098109</v>
      </c>
      <c r="AG258" s="74">
        <f t="shared" si="539"/>
        <v>-15.816015237978938</v>
      </c>
      <c r="AH258" s="74">
        <f t="shared" si="539"/>
        <v>-791.32429185107799</v>
      </c>
      <c r="AI258" s="74">
        <f t="shared" si="539"/>
        <v>-47.853434293582808</v>
      </c>
      <c r="AJ258" s="74">
        <f t="shared" si="539"/>
        <v>-145.59831103894331</v>
      </c>
      <c r="AK258" s="74">
        <f t="shared" si="539"/>
        <v>-243.83301342945973</v>
      </c>
      <c r="AL258" s="74">
        <f t="shared" si="539"/>
        <v>195.35053681945988</v>
      </c>
      <c r="AM258" s="74">
        <f t="shared" si="539"/>
        <v>4646.1677753753556</v>
      </c>
      <c r="AN258" s="74">
        <f t="shared" si="539"/>
        <v>-2089.9077579232508</v>
      </c>
      <c r="AO258" s="74">
        <f t="shared" si="539"/>
        <v>298.91985886740855</v>
      </c>
      <c r="AP258" s="74">
        <f t="shared" si="539"/>
        <v>-1760.9104562770106</v>
      </c>
      <c r="AQ258" s="74">
        <f t="shared" si="539"/>
        <v>-310.14884801999989</v>
      </c>
      <c r="AR258" s="74">
        <f t="shared" si="539"/>
        <v>676.16197402303419</v>
      </c>
      <c r="AS258" s="74">
        <f t="shared" si="539"/>
        <v>-829.25726868095228</v>
      </c>
      <c r="AT258" s="74">
        <f t="shared" si="539"/>
        <v>-595.86197574137202</v>
      </c>
      <c r="AU258" s="74">
        <f t="shared" si="539"/>
        <v>-36.171965060000034</v>
      </c>
      <c r="AV258" s="74">
        <f t="shared" si="539"/>
        <v>50.693209069999966</v>
      </c>
      <c r="AW258" s="74">
        <f t="shared" si="539"/>
        <v>105.11967806000001</v>
      </c>
      <c r="AX258" s="74">
        <f t="shared" si="539"/>
        <v>112.05951999999991</v>
      </c>
      <c r="AY258" s="74">
        <f t="shared" ref="AY258:BB261" si="540">AY73*AY$210</f>
        <v>-152.64929233999996</v>
      </c>
      <c r="AZ258" s="74">
        <f t="shared" si="540"/>
        <v>-197.34381223733132</v>
      </c>
      <c r="BA258" s="74">
        <f t="shared" si="540"/>
        <v>-1.1398411200000143</v>
      </c>
      <c r="BB258" s="74">
        <f t="shared" si="540"/>
        <v>-77.516555205874681</v>
      </c>
      <c r="BC258" s="74">
        <f>BC73*BC$210</f>
        <v>-182.92967704840578</v>
      </c>
      <c r="BD258" s="65"/>
    </row>
    <row r="259" spans="2:56" ht="13.5" customHeight="1" thickTop="1">
      <c r="B259" s="1" t="str">
        <f>B74</f>
        <v>FX</v>
      </c>
      <c r="C259" s="238">
        <f t="shared" ref="C259:Q259" si="541">C74*C$210</f>
        <v>25.919264559999998</v>
      </c>
      <c r="D259" s="72">
        <f t="shared" si="541"/>
        <v>-5.8592133500000001</v>
      </c>
      <c r="E259" s="72">
        <f t="shared" si="541"/>
        <v>1.1450597</v>
      </c>
      <c r="F259" s="72">
        <f t="shared" si="541"/>
        <v>-3.1390829029867069</v>
      </c>
      <c r="G259" s="72">
        <f t="shared" si="541"/>
        <v>-3.0683516449617292</v>
      </c>
      <c r="H259" s="72">
        <f t="shared" si="541"/>
        <v>-0.51880511629088955</v>
      </c>
      <c r="I259" s="238">
        <f t="shared" si="541"/>
        <v>1.0729336541520307</v>
      </c>
      <c r="J259" s="72">
        <f t="shared" si="541"/>
        <v>1.1505367737380201</v>
      </c>
      <c r="K259" s="72">
        <f t="shared" si="541"/>
        <v>-5.009246546139293</v>
      </c>
      <c r="L259" s="72">
        <f t="shared" si="541"/>
        <v>-5.009246546139293</v>
      </c>
      <c r="M259" s="72">
        <f t="shared" si="541"/>
        <v>-13.231479096993416</v>
      </c>
      <c r="N259" s="72">
        <f t="shared" si="541"/>
        <v>-13.231479096993416</v>
      </c>
      <c r="O259" s="72">
        <f t="shared" si="541"/>
        <v>8.1362467074999998</v>
      </c>
      <c r="P259" s="72">
        <f>P74*P$210</f>
        <v>-3.4899052199534544</v>
      </c>
      <c r="Q259" s="72">
        <f t="shared" si="541"/>
        <v>0.24073622163276914</v>
      </c>
      <c r="R259" s="64"/>
      <c r="S259" s="72">
        <f t="shared" ref="S259:AX259" si="542">S74*S$210</f>
        <v>-16.47981313</v>
      </c>
      <c r="T259" s="72">
        <f t="shared" si="542"/>
        <v>6.1989299199999977</v>
      </c>
      <c r="U259" s="72">
        <f t="shared" si="542"/>
        <v>4.9731180000001353E-2</v>
      </c>
      <c r="V259" s="72">
        <f t="shared" si="542"/>
        <v>5.6583790999999994</v>
      </c>
      <c r="W259" s="72">
        <f t="shared" si="542"/>
        <v>-7.8901683899999995</v>
      </c>
      <c r="X259" s="72">
        <f t="shared" si="542"/>
        <v>7.4813291999999993</v>
      </c>
      <c r="Y259" s="72">
        <f t="shared" si="542"/>
        <v>-5.2764623999999998</v>
      </c>
      <c r="Z259" s="72">
        <f t="shared" si="542"/>
        <v>6.2867763000000005</v>
      </c>
      <c r="AA259" s="72">
        <f t="shared" si="542"/>
        <v>-0.81187379999999998</v>
      </c>
      <c r="AB259" s="72">
        <f t="shared" si="542"/>
        <v>-0.95913050000000011</v>
      </c>
      <c r="AC259" s="72">
        <f t="shared" si="542"/>
        <v>1.9502825399999999</v>
      </c>
      <c r="AD259" s="72">
        <f t="shared" si="542"/>
        <v>-3.338648264128762</v>
      </c>
      <c r="AE259" s="72">
        <f t="shared" si="542"/>
        <v>17.956754628798791</v>
      </c>
      <c r="AF259" s="72">
        <f t="shared" si="542"/>
        <v>-6.2345485555891473</v>
      </c>
      <c r="AG259" s="72">
        <f t="shared" si="542"/>
        <v>-1.5366711656040632</v>
      </c>
      <c r="AH259" s="72">
        <f t="shared" si="542"/>
        <v>-9.7473174547106556</v>
      </c>
      <c r="AI259" s="72">
        <f t="shared" si="542"/>
        <v>1.613765783526258</v>
      </c>
      <c r="AJ259" s="72">
        <f t="shared" si="542"/>
        <v>-1.3897564987823372</v>
      </c>
      <c r="AK259" s="72">
        <f t="shared" si="542"/>
        <v>1.332989420166182</v>
      </c>
      <c r="AL259" s="72">
        <f t="shared" si="542"/>
        <v>-0.39013336835626639</v>
      </c>
      <c r="AM259" s="72">
        <f t="shared" si="542"/>
        <v>-2.1931599649158313</v>
      </c>
      <c r="AN259" s="72">
        <f t="shared" si="542"/>
        <v>0.35413164160841748</v>
      </c>
      <c r="AO259" s="72">
        <f t="shared" si="542"/>
        <v>-0.40375509198093734</v>
      </c>
      <c r="AP259" s="72">
        <f t="shared" si="542"/>
        <v>-2.7770738237920005</v>
      </c>
      <c r="AQ259" s="72">
        <f t="shared" si="542"/>
        <v>-5.5960559400000003</v>
      </c>
      <c r="AR259" s="72">
        <f t="shared" si="542"/>
        <v>-3.6648462039106948</v>
      </c>
      <c r="AS259" s="72">
        <f t="shared" si="542"/>
        <v>1.2319819555473956</v>
      </c>
      <c r="AT259" s="72">
        <f t="shared" si="542"/>
        <v>-4.9848081599517506</v>
      </c>
      <c r="AU259" s="72">
        <f t="shared" si="542"/>
        <v>-1.1224154199999998</v>
      </c>
      <c r="AV259" s="72">
        <f t="shared" si="542"/>
        <v>5.83213106</v>
      </c>
      <c r="AW259" s="72">
        <f t="shared" si="542"/>
        <v>0.87896963999999944</v>
      </c>
      <c r="AX259" s="72">
        <f t="shared" si="542"/>
        <v>2.4983998399999994</v>
      </c>
      <c r="AY259" s="72">
        <f t="shared" si="540"/>
        <v>-1.72748412</v>
      </c>
      <c r="AZ259" s="72">
        <f t="shared" si="540"/>
        <v>-1.4940038233947157</v>
      </c>
      <c r="BA259" s="72">
        <f t="shared" si="540"/>
        <v>-0.80675671999999976</v>
      </c>
      <c r="BB259" s="72">
        <f t="shared" si="540"/>
        <v>0.68657662383075468</v>
      </c>
      <c r="BC259" s="72">
        <f>BC74*BC$210</f>
        <v>2.0580550036718455</v>
      </c>
      <c r="BD259" s="64"/>
    </row>
    <row r="260" spans="2:56" ht="13.5" customHeight="1">
      <c r="B260" s="1" t="str">
        <f>B75</f>
        <v>Balancing figure</v>
      </c>
      <c r="C260" s="238">
        <f t="shared" ref="C260:Q260" si="543">C75*C$210</f>
        <v>408.15361691999965</v>
      </c>
      <c r="D260" s="72">
        <f t="shared" si="543"/>
        <v>139.2627751499991</v>
      </c>
      <c r="E260" s="72">
        <f t="shared" si="543"/>
        <v>211.87659923999939</v>
      </c>
      <c r="F260" s="72">
        <f t="shared" si="543"/>
        <v>121.80305321870628</v>
      </c>
      <c r="G260" s="72">
        <f t="shared" si="543"/>
        <v>160.83458849655142</v>
      </c>
      <c r="H260" s="72">
        <f t="shared" si="543"/>
        <v>233.65277715129562</v>
      </c>
      <c r="I260" s="238">
        <f t="shared" si="543"/>
        <v>61.225951674535814</v>
      </c>
      <c r="J260" s="72">
        <f t="shared" si="543"/>
        <v>674.12002357698782</v>
      </c>
      <c r="K260" s="72">
        <f t="shared" si="543"/>
        <v>113.17785135460198</v>
      </c>
      <c r="L260" s="72">
        <f t="shared" si="543"/>
        <v>-146.19887207959039</v>
      </c>
      <c r="M260" s="72">
        <f t="shared" si="543"/>
        <v>12.266962765490344</v>
      </c>
      <c r="N260" s="72">
        <f t="shared" si="543"/>
        <v>-13.485070651177365</v>
      </c>
      <c r="O260" s="72">
        <f t="shared" si="543"/>
        <v>491.44133906250039</v>
      </c>
      <c r="P260" s="72">
        <f>P75*P$210</f>
        <v>-69.245336832476298</v>
      </c>
      <c r="Q260" s="72">
        <f t="shared" si="543"/>
        <v>-69.259124073157764</v>
      </c>
      <c r="R260" s="64"/>
      <c r="S260" s="72">
        <f t="shared" ref="S260:AX260" si="544">S75*S$210</f>
        <v>102.99844929000014</v>
      </c>
      <c r="T260" s="72">
        <f t="shared" si="544"/>
        <v>236.41741718999995</v>
      </c>
      <c r="U260" s="72">
        <f t="shared" si="544"/>
        <v>-337.95429572999979</v>
      </c>
      <c r="V260" s="72">
        <f t="shared" si="544"/>
        <v>114.69822649999882</v>
      </c>
      <c r="W260" s="72">
        <f t="shared" si="544"/>
        <v>-5.2164243300000228</v>
      </c>
      <c r="X260" s="72">
        <f t="shared" si="544"/>
        <v>142.99598400000005</v>
      </c>
      <c r="Y260" s="72">
        <f t="shared" si="544"/>
        <v>-15.476788800000005</v>
      </c>
      <c r="Z260" s="72">
        <f t="shared" si="544"/>
        <v>85.228514699999408</v>
      </c>
      <c r="AA260" s="72">
        <f t="shared" si="544"/>
        <v>45.88493940000005</v>
      </c>
      <c r="AB260" s="72">
        <f t="shared" si="544"/>
        <v>53.084588839999995</v>
      </c>
      <c r="AC260" s="72">
        <f t="shared" si="544"/>
        <v>58.938887639999827</v>
      </c>
      <c r="AD260" s="72">
        <f t="shared" si="544"/>
        <v>-35.983139991913447</v>
      </c>
      <c r="AE260" s="72">
        <f t="shared" si="544"/>
        <v>159.3244948479894</v>
      </c>
      <c r="AF260" s="72">
        <f t="shared" si="544"/>
        <v>30.40493660862742</v>
      </c>
      <c r="AG260" s="72">
        <f t="shared" si="544"/>
        <v>-9.9552037205145645</v>
      </c>
      <c r="AH260" s="72">
        <f t="shared" si="544"/>
        <v>62.822226163815984</v>
      </c>
      <c r="AI260" s="72">
        <f t="shared" si="544"/>
        <v>36.53487852228065</v>
      </c>
      <c r="AJ260" s="72">
        <f t="shared" si="544"/>
        <v>24.067328282221403</v>
      </c>
      <c r="AK260" s="72">
        <f t="shared" si="544"/>
        <v>11.994193850490234</v>
      </c>
      <c r="AL260" s="72">
        <f t="shared" si="544"/>
        <v>-5.9887027133340727</v>
      </c>
      <c r="AM260" s="72">
        <f t="shared" si="544"/>
        <v>-2898.1364590283324</v>
      </c>
      <c r="AN260" s="72">
        <f t="shared" si="544"/>
        <v>2030.5503236436309</v>
      </c>
      <c r="AO260" s="72">
        <f t="shared" si="544"/>
        <v>-595.48110265690184</v>
      </c>
      <c r="AP260" s="72">
        <f t="shared" si="544"/>
        <v>1623.2955739046099</v>
      </c>
      <c r="AQ260" s="72">
        <f t="shared" si="544"/>
        <v>-90.470794440000105</v>
      </c>
      <c r="AR260" s="72">
        <f t="shared" si="544"/>
        <v>-935.44814510880349</v>
      </c>
      <c r="AS260" s="72">
        <f t="shared" si="544"/>
        <v>468.13802996219368</v>
      </c>
      <c r="AT260" s="72">
        <f t="shared" si="544"/>
        <v>594.99532251560186</v>
      </c>
      <c r="AU260" s="72">
        <f t="shared" si="544"/>
        <v>38.495328480000033</v>
      </c>
      <c r="AV260" s="72">
        <f t="shared" si="544"/>
        <v>196.11453211</v>
      </c>
      <c r="AW260" s="72">
        <f t="shared" si="544"/>
        <v>109.11190281999995</v>
      </c>
      <c r="AX260" s="72">
        <f t="shared" si="544"/>
        <v>142.17984512000035</v>
      </c>
      <c r="AY260" s="72">
        <f t="shared" si="540"/>
        <v>24.369770879999987</v>
      </c>
      <c r="AZ260" s="72">
        <f t="shared" si="540"/>
        <v>-61.123141443389308</v>
      </c>
      <c r="BA260" s="72">
        <f t="shared" si="540"/>
        <v>-29.855796079999983</v>
      </c>
      <c r="BB260" s="72">
        <f t="shared" si="540"/>
        <v>-4.0948181659236038</v>
      </c>
      <c r="BC260" s="72">
        <f>BC75*BC$210</f>
        <v>31.12700030171753</v>
      </c>
      <c r="BD260" s="64"/>
    </row>
    <row r="261" spans="2:56" s="5" customFormat="1" ht="13.5" customHeight="1" thickBot="1">
      <c r="B261" s="52" t="str">
        <f>B76</f>
        <v xml:space="preserve">Net change in cash </v>
      </c>
      <c r="C261" s="239">
        <f t="shared" ref="C261:Q261" si="545">C76*C$210</f>
        <v>-99.252925659999988</v>
      </c>
      <c r="D261" s="74">
        <f t="shared" si="545"/>
        <v>-467.43065869999998</v>
      </c>
      <c r="E261" s="74">
        <f t="shared" si="545"/>
        <v>-347.06621547999998</v>
      </c>
      <c r="F261" s="74">
        <f t="shared" si="545"/>
        <v>-239.72157637942922</v>
      </c>
      <c r="G261" s="74">
        <f t="shared" si="545"/>
        <v>-234.30645619093966</v>
      </c>
      <c r="H261" s="74">
        <f t="shared" si="545"/>
        <v>72.343850493501762</v>
      </c>
      <c r="I261" s="239">
        <f t="shared" si="545"/>
        <v>-157.91956212760491</v>
      </c>
      <c r="J261" s="74">
        <f t="shared" si="545"/>
        <v>-157.86293176242174</v>
      </c>
      <c r="K261" s="74">
        <f t="shared" si="545"/>
        <v>1263.1333043827508</v>
      </c>
      <c r="L261" s="74">
        <f t="shared" si="545"/>
        <v>1263.1333043827508</v>
      </c>
      <c r="M261" s="74">
        <f t="shared" si="545"/>
        <v>-1045.7558548791026</v>
      </c>
      <c r="N261" s="74">
        <f t="shared" si="545"/>
        <v>-1045.7558548791026</v>
      </c>
      <c r="O261" s="74">
        <f t="shared" si="545"/>
        <v>746.57225121750002</v>
      </c>
      <c r="P261" s="74">
        <f>P76*P$210</f>
        <v>-511.38370491307842</v>
      </c>
      <c r="Q261" s="74">
        <f t="shared" si="545"/>
        <v>-529.5811243644963</v>
      </c>
      <c r="R261" s="216"/>
      <c r="S261" s="74">
        <f t="shared" ref="S261:AX261" si="546">S76*S$210</f>
        <v>-197.94534078000004</v>
      </c>
      <c r="T261" s="74">
        <f t="shared" si="546"/>
        <v>-124.87815079999997</v>
      </c>
      <c r="U261" s="74">
        <f t="shared" si="546"/>
        <v>-143.92658145000001</v>
      </c>
      <c r="V261" s="74">
        <f t="shared" si="546"/>
        <v>4.025147169998875</v>
      </c>
      <c r="W261" s="74">
        <f t="shared" si="546"/>
        <v>-55.005971280000004</v>
      </c>
      <c r="X261" s="74">
        <f t="shared" si="546"/>
        <v>355.397064</v>
      </c>
      <c r="Y261" s="74">
        <f t="shared" si="546"/>
        <v>-114.37726079999999</v>
      </c>
      <c r="Z261" s="74">
        <f t="shared" si="546"/>
        <v>-522.58460970000044</v>
      </c>
      <c r="AA261" s="74">
        <f t="shared" si="546"/>
        <v>-443.20998446999999</v>
      </c>
      <c r="AB261" s="74">
        <f t="shared" si="546"/>
        <v>751.34520123999994</v>
      </c>
      <c r="AC261" s="74">
        <f t="shared" si="546"/>
        <v>40.798362820000051</v>
      </c>
      <c r="AD261" s="74">
        <f t="shared" si="546"/>
        <v>-583.29956262068174</v>
      </c>
      <c r="AE261" s="74">
        <f t="shared" si="546"/>
        <v>804.89543099852119</v>
      </c>
      <c r="AF261" s="74">
        <f t="shared" si="546"/>
        <v>45.184192234136376</v>
      </c>
      <c r="AG261" s="74">
        <f t="shared" si="546"/>
        <v>-27.307890124097565</v>
      </c>
      <c r="AH261" s="74">
        <f t="shared" si="546"/>
        <v>-738.24938314197266</v>
      </c>
      <c r="AI261" s="74">
        <f t="shared" si="546"/>
        <v>-9.7047899877759036</v>
      </c>
      <c r="AJ261" s="74">
        <f t="shared" si="546"/>
        <v>-122.92073925550424</v>
      </c>
      <c r="AK261" s="74">
        <f t="shared" si="546"/>
        <v>-230.50583015880329</v>
      </c>
      <c r="AL261" s="74">
        <f t="shared" si="546"/>
        <v>188.97170073776957</v>
      </c>
      <c r="AM261" s="74">
        <f t="shared" si="546"/>
        <v>1745.8381563821067</v>
      </c>
      <c r="AN261" s="74">
        <f t="shared" si="546"/>
        <v>-59.003302638011455</v>
      </c>
      <c r="AO261" s="74">
        <f t="shared" si="546"/>
        <v>-296.96499888147417</v>
      </c>
      <c r="AP261" s="74">
        <f t="shared" si="546"/>
        <v>-140.39195619619269</v>
      </c>
      <c r="AQ261" s="74">
        <f t="shared" si="546"/>
        <v>-406.21569840000001</v>
      </c>
      <c r="AR261" s="74">
        <f t="shared" si="546"/>
        <v>-262.95101728967995</v>
      </c>
      <c r="AS261" s="74">
        <f t="shared" si="546"/>
        <v>-359.88725676321116</v>
      </c>
      <c r="AT261" s="74">
        <f t="shared" si="546"/>
        <v>-5.8514613857218434</v>
      </c>
      <c r="AU261" s="74">
        <f t="shared" si="546"/>
        <v>1.2009479999999986</v>
      </c>
      <c r="AV261" s="74">
        <f t="shared" si="546"/>
        <v>252.63987223999999</v>
      </c>
      <c r="AW261" s="74">
        <f t="shared" si="546"/>
        <v>215.11055051999995</v>
      </c>
      <c r="AX261" s="74">
        <f t="shared" si="546"/>
        <v>256.73776496000028</v>
      </c>
      <c r="AY261" s="74">
        <f t="shared" si="540"/>
        <v>-130.00700558</v>
      </c>
      <c r="AZ261" s="74">
        <f t="shared" si="540"/>
        <v>-259.96095750411536</v>
      </c>
      <c r="BA261" s="74">
        <f t="shared" si="540"/>
        <v>-31.802393919999997</v>
      </c>
      <c r="BB261" s="74">
        <f t="shared" si="540"/>
        <v>-80.92479674796752</v>
      </c>
      <c r="BC261" s="74">
        <f>BC76*BC$210</f>
        <v>-149.74462174301641</v>
      </c>
      <c r="BD261" s="65"/>
    </row>
    <row r="262" spans="2:56" ht="13.5" customHeight="1" thickTop="1">
      <c r="C262" s="38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51"/>
      <c r="AN262" s="51"/>
      <c r="AO262" s="51"/>
      <c r="AP262" s="51"/>
      <c r="AQ262" s="51"/>
      <c r="AR262" s="51"/>
      <c r="AS262" s="51"/>
      <c r="AT262" s="51"/>
      <c r="AU262" s="51"/>
      <c r="AV262" s="51"/>
      <c r="AW262" s="51"/>
      <c r="AX262" s="51"/>
      <c r="AY262" s="51"/>
      <c r="AZ262" s="51"/>
      <c r="BA262" s="51"/>
      <c r="BB262" s="51"/>
      <c r="BC262" s="51"/>
      <c r="BD262" s="51"/>
    </row>
    <row r="263" spans="2:56" ht="13.5" customHeight="1">
      <c r="B263" s="6" t="s">
        <v>375</v>
      </c>
      <c r="C263" s="118">
        <f t="shared" ref="C263:Q263" si="547">C188*C$211</f>
        <v>2304.0804725813641</v>
      </c>
      <c r="D263" s="118">
        <f t="shared" si="547"/>
        <v>1965.7321708593206</v>
      </c>
      <c r="E263" s="118">
        <f t="shared" si="547"/>
        <v>1630.0661312458701</v>
      </c>
      <c r="F263" s="118">
        <f t="shared" si="547"/>
        <v>1453.7326703311833</v>
      </c>
      <c r="G263" s="118">
        <f t="shared" si="547"/>
        <v>1453.7468623899849</v>
      </c>
      <c r="H263" s="118">
        <f t="shared" si="547"/>
        <v>1457.2764794383147</v>
      </c>
      <c r="I263" s="118">
        <f t="shared" si="547"/>
        <v>1248.2679204608085</v>
      </c>
      <c r="J263" s="118">
        <f t="shared" si="547"/>
        <v>1259.7217006208818</v>
      </c>
      <c r="K263" s="118">
        <f t="shared" si="547"/>
        <v>2625.3333333333335</v>
      </c>
      <c r="L263" s="118">
        <f t="shared" si="547"/>
        <v>2625.3333333333335</v>
      </c>
      <c r="M263" s="118">
        <f t="shared" si="547"/>
        <v>1919.7546865242543</v>
      </c>
      <c r="N263" s="118">
        <f t="shared" si="547"/>
        <v>1919.7546865242543</v>
      </c>
      <c r="O263" s="118">
        <f t="shared" si="547"/>
        <v>2217.7342357299999</v>
      </c>
      <c r="P263" s="118">
        <f>P188*P$211</f>
        <v>2019.7725682683872</v>
      </c>
      <c r="Q263" s="118">
        <f t="shared" si="547"/>
        <v>1392.3184123975695</v>
      </c>
      <c r="R263" s="118"/>
      <c r="S263" s="118">
        <f t="shared" ref="S263:AX263" si="548">S188*S$211</f>
        <v>2324.5211425520556</v>
      </c>
      <c r="T263" s="118">
        <f t="shared" si="548"/>
        <v>2275.3989965059859</v>
      </c>
      <c r="U263" s="118">
        <f t="shared" si="548"/>
        <v>2121.182770919067</v>
      </c>
      <c r="V263" s="118">
        <f t="shared" si="548"/>
        <v>1965.7321708593206</v>
      </c>
      <c r="W263" s="118">
        <f t="shared" si="548"/>
        <v>2063.417828197425</v>
      </c>
      <c r="X263" s="118">
        <f t="shared" si="548"/>
        <v>2251.8074351619939</v>
      </c>
      <c r="Y263" s="118">
        <f t="shared" si="548"/>
        <v>2270.9722088405001</v>
      </c>
      <c r="Z263" s="118">
        <f t="shared" si="548"/>
        <v>1630.0661312458701</v>
      </c>
      <c r="AA263" s="118">
        <f t="shared" si="548"/>
        <v>1213.0251737451736</v>
      </c>
      <c r="AB263" s="118">
        <f t="shared" si="548"/>
        <v>1972.878743</v>
      </c>
      <c r="AC263" s="118">
        <f t="shared" si="548"/>
        <v>1961.0989695735434</v>
      </c>
      <c r="AD263" s="118">
        <f t="shared" si="548"/>
        <v>1453.7326703311833</v>
      </c>
      <c r="AE263" s="118">
        <f t="shared" si="548"/>
        <v>1883.1667937747754</v>
      </c>
      <c r="AF263" s="118">
        <f t="shared" si="548"/>
        <v>1974.4903992671927</v>
      </c>
      <c r="AG263" s="118">
        <f t="shared" si="548"/>
        <v>1943.6141216031756</v>
      </c>
      <c r="AH263" s="118">
        <f t="shared" si="548"/>
        <v>1457.2764794383147</v>
      </c>
      <c r="AI263" s="118">
        <f t="shared" si="548"/>
        <v>1412.3908490335209</v>
      </c>
      <c r="AJ263" s="118">
        <f t="shared" si="548"/>
        <v>1323.2663707270583</v>
      </c>
      <c r="AK263" s="118">
        <f t="shared" si="548"/>
        <v>1050.9467088889535</v>
      </c>
      <c r="AL263" s="118">
        <f t="shared" si="548"/>
        <v>1248.2679204608085</v>
      </c>
      <c r="AM263" s="118">
        <f t="shared" si="548"/>
        <v>3071.8617682120207</v>
      </c>
      <c r="AN263" s="118">
        <f t="shared" si="548"/>
        <v>2978.0816468599273</v>
      </c>
      <c r="AO263" s="118">
        <f t="shared" si="548"/>
        <v>2674.0985070185006</v>
      </c>
      <c r="AP263" s="118">
        <f t="shared" si="548"/>
        <v>2625.3333333333335</v>
      </c>
      <c r="AQ263" s="118">
        <f t="shared" si="548"/>
        <v>2404.80405264</v>
      </c>
      <c r="AR263" s="118">
        <f t="shared" si="548"/>
        <v>2271.9776208747248</v>
      </c>
      <c r="AS263" s="118">
        <f t="shared" si="548"/>
        <v>1876.5880738737808</v>
      </c>
      <c r="AT263" s="118">
        <f t="shared" si="548"/>
        <v>1919.7546865242543</v>
      </c>
      <c r="AU263" s="118">
        <f t="shared" si="548"/>
        <v>1966.8421759999999</v>
      </c>
      <c r="AV263" s="118">
        <f t="shared" si="548"/>
        <v>2014.7114040000001</v>
      </c>
      <c r="AW263" s="118">
        <f t="shared" si="548"/>
        <v>2078.7672419999999</v>
      </c>
      <c r="AX263" s="118">
        <f t="shared" si="548"/>
        <v>2217.7342357299999</v>
      </c>
      <c r="AY263" s="118">
        <f>AY188*AY$211</f>
        <v>2125.4624751199999</v>
      </c>
      <c r="AZ263" s="118">
        <f>AZ188*AZ$211</f>
        <v>2052.2668801708032</v>
      </c>
      <c r="BA263" s="118">
        <f>BA188*BA$211</f>
        <v>2067.3585373599999</v>
      </c>
      <c r="BB263" s="118">
        <f>BB188*BB$211</f>
        <v>2019.7725682683872</v>
      </c>
      <c r="BC263" s="118">
        <f>BC188*BC$211</f>
        <v>1392.3184123975695</v>
      </c>
      <c r="BD263" s="118"/>
    </row>
    <row r="264" spans="2:56" ht="13.5" customHeight="1"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  <c r="AA264" s="118"/>
      <c r="AB264" s="118"/>
      <c r="AC264" s="118"/>
      <c r="AD264" s="118"/>
      <c r="AE264" s="118"/>
      <c r="AF264" s="118"/>
      <c r="AG264" s="118"/>
      <c r="AH264" s="118"/>
      <c r="AI264" s="118"/>
      <c r="AJ264" s="118"/>
      <c r="AK264" s="118"/>
      <c r="AL264" s="118"/>
      <c r="AM264" s="118"/>
      <c r="AN264" s="118"/>
      <c r="AO264" s="118"/>
      <c r="AP264" s="118"/>
      <c r="AQ264" s="118"/>
      <c r="AR264" s="118"/>
      <c r="AS264" s="118"/>
      <c r="AT264" s="118"/>
      <c r="AU264" s="118"/>
      <c r="AV264" s="118"/>
      <c r="AW264" s="118"/>
      <c r="AX264" s="118"/>
      <c r="AY264" s="118"/>
      <c r="AZ264" s="118"/>
      <c r="BA264" s="118"/>
      <c r="BB264" s="118"/>
      <c r="BC264" s="118"/>
      <c r="BD264" s="118"/>
    </row>
    <row r="265" spans="2:56" s="5" customFormat="1" ht="13.5" customHeight="1">
      <c r="B265" s="5" t="s">
        <v>392</v>
      </c>
      <c r="C265" s="43">
        <f t="shared" ref="C265:Q265" si="549">C115*C$211</f>
        <v>4395.1383531372967</v>
      </c>
      <c r="D265" s="43">
        <f t="shared" si="549"/>
        <v>4713.0920929099584</v>
      </c>
      <c r="E265" s="43">
        <f t="shared" si="549"/>
        <v>4971.1995628526411</v>
      </c>
      <c r="F265" s="43">
        <f t="shared" si="549"/>
        <v>5516.4904839068404</v>
      </c>
      <c r="G265" s="43">
        <f t="shared" si="549"/>
        <v>5516.475126828288</v>
      </c>
      <c r="H265" s="43">
        <f t="shared" si="549"/>
        <v>5154.8259277833495</v>
      </c>
      <c r="I265" s="43">
        <f t="shared" si="549"/>
        <v>5359.1573469377809</v>
      </c>
      <c r="J265" s="43">
        <f t="shared" si="549"/>
        <v>5347.7035667777072</v>
      </c>
      <c r="K265" s="43">
        <f t="shared" si="549"/>
        <v>3207.9820291640995</v>
      </c>
      <c r="L265" s="43">
        <f t="shared" si="549"/>
        <v>3207.9820291640995</v>
      </c>
      <c r="M265" s="43">
        <f t="shared" si="549"/>
        <v>3725.7190324138983</v>
      </c>
      <c r="N265" s="43">
        <f t="shared" si="549"/>
        <v>3725.7190324138983</v>
      </c>
      <c r="O265" s="43">
        <f t="shared" si="549"/>
        <v>2983.7561583899992</v>
      </c>
      <c r="P265" s="43">
        <f>P115*P$211</f>
        <v>3056.9190107608083</v>
      </c>
      <c r="Q265" s="43">
        <f t="shared" si="549"/>
        <v>3544.2889793188028</v>
      </c>
      <c r="R265" s="43"/>
      <c r="S265" s="43">
        <f t="shared" ref="S265:AX265" si="550">S115*S$211</f>
        <v>4530.2092365189537</v>
      </c>
      <c r="T265" s="43">
        <f t="shared" si="550"/>
        <v>4654.4336992940207</v>
      </c>
      <c r="U265" s="43">
        <f t="shared" si="550"/>
        <v>4747.5250480109735</v>
      </c>
      <c r="V265" s="43">
        <f t="shared" si="550"/>
        <v>4711.7675627121916</v>
      </c>
      <c r="W265" s="43">
        <f t="shared" si="550"/>
        <v>4758.0429916873254</v>
      </c>
      <c r="X265" s="43">
        <f t="shared" si="550"/>
        <v>4347.1311202229936</v>
      </c>
      <c r="Y265" s="43">
        <f t="shared" si="550"/>
        <v>4480.0688891029959</v>
      </c>
      <c r="Z265" s="43">
        <f t="shared" si="550"/>
        <v>4971.1995628526411</v>
      </c>
      <c r="AA265" s="43">
        <f t="shared" si="550"/>
        <v>5592.4728957528951</v>
      </c>
      <c r="AB265" s="43">
        <f t="shared" si="550"/>
        <v>5566.6688879999983</v>
      </c>
      <c r="AC265" s="43">
        <f t="shared" si="550"/>
        <v>5422.0788372493607</v>
      </c>
      <c r="AD265" s="43">
        <f t="shared" si="550"/>
        <v>5516.4904839068404</v>
      </c>
      <c r="AE265" s="43">
        <f t="shared" si="550"/>
        <v>5173.9019535538582</v>
      </c>
      <c r="AF265" s="43">
        <f t="shared" si="550"/>
        <v>5140.9050693084782</v>
      </c>
      <c r="AG265" s="43">
        <f t="shared" si="550"/>
        <v>4849.3978775128171</v>
      </c>
      <c r="AH265" s="43">
        <f t="shared" si="550"/>
        <v>5154.8259277833495</v>
      </c>
      <c r="AI265" s="43">
        <f t="shared" si="550"/>
        <v>5138.1058478101304</v>
      </c>
      <c r="AJ265" s="43">
        <f t="shared" si="550"/>
        <v>5252.8277280365164</v>
      </c>
      <c r="AK265" s="43">
        <f t="shared" si="550"/>
        <v>5468.4848881012558</v>
      </c>
      <c r="AL265" s="43">
        <f t="shared" si="550"/>
        <v>5359.1573469377809</v>
      </c>
      <c r="AM265" s="43">
        <f t="shared" si="550"/>
        <v>3058.4378630961069</v>
      </c>
      <c r="AN265" s="43">
        <f t="shared" si="550"/>
        <v>3103.5154890358513</v>
      </c>
      <c r="AO265" s="43">
        <f t="shared" si="550"/>
        <v>3080.8392440851148</v>
      </c>
      <c r="AP265" s="43">
        <f t="shared" si="550"/>
        <v>3207.9820291640995</v>
      </c>
      <c r="AQ265" s="43">
        <f t="shared" si="550"/>
        <v>3501.7314613599997</v>
      </c>
      <c r="AR265" s="43">
        <f t="shared" si="550"/>
        <v>3752.0717627065187</v>
      </c>
      <c r="AS265" s="43">
        <f t="shared" si="550"/>
        <v>3762.2237913989984</v>
      </c>
      <c r="AT265" s="43">
        <f t="shared" si="550"/>
        <v>3725.7190324138983</v>
      </c>
      <c r="AU265" s="43">
        <f t="shared" si="550"/>
        <v>3648.03296</v>
      </c>
      <c r="AV265" s="43">
        <f t="shared" si="550"/>
        <v>3404.7218550000007</v>
      </c>
      <c r="AW265" s="43">
        <f t="shared" si="550"/>
        <v>3183.6263799999997</v>
      </c>
      <c r="AX265" s="43">
        <f t="shared" si="550"/>
        <v>2983.7561583899992</v>
      </c>
      <c r="AY265" s="43">
        <f t="shared" ref="AY265:BB266" si="551">AY115*AY$211</f>
        <v>2852.8751537400003</v>
      </c>
      <c r="AZ265" s="43">
        <f t="shared" si="551"/>
        <v>2938.5891646650648</v>
      </c>
      <c r="BA265" s="43">
        <f t="shared" si="551"/>
        <v>2943.8553721199996</v>
      </c>
      <c r="BB265" s="43">
        <f t="shared" si="551"/>
        <v>3056.9190107608083</v>
      </c>
      <c r="BC265" s="43">
        <f>BC115*BC$211</f>
        <v>3544.2889793188028</v>
      </c>
      <c r="BD265" s="43"/>
    </row>
    <row r="266" spans="2:56" ht="13.5" customHeight="1">
      <c r="B266" s="1" t="s">
        <v>126</v>
      </c>
      <c r="C266" s="118">
        <f t="shared" ref="C266:Q266" si="552">C116*C$211</f>
        <v>6699.2188257186599</v>
      </c>
      <c r="D266" s="118">
        <f t="shared" si="552"/>
        <v>6678.8242637692783</v>
      </c>
      <c r="E266" s="118">
        <f t="shared" si="552"/>
        <v>6601.2656940985107</v>
      </c>
      <c r="F266" s="118">
        <f t="shared" si="552"/>
        <v>6970.2231542380232</v>
      </c>
      <c r="G266" s="118">
        <f t="shared" si="552"/>
        <v>6970.2219892182729</v>
      </c>
      <c r="H266" s="118">
        <f t="shared" si="552"/>
        <v>6612.1024072216633</v>
      </c>
      <c r="I266" s="118">
        <f t="shared" si="552"/>
        <v>6607.4252673985884</v>
      </c>
      <c r="J266" s="118">
        <f t="shared" si="552"/>
        <v>6607.4252673985884</v>
      </c>
      <c r="K266" s="118">
        <f t="shared" si="552"/>
        <v>5833.3153624974329</v>
      </c>
      <c r="L266" s="118">
        <f t="shared" si="552"/>
        <v>5833.3153624974329</v>
      </c>
      <c r="M266" s="118">
        <f t="shared" si="552"/>
        <v>5645.4737189381531</v>
      </c>
      <c r="N266" s="118">
        <f t="shared" si="552"/>
        <v>5645.4737189381531</v>
      </c>
      <c r="O266" s="118">
        <f t="shared" si="552"/>
        <v>5201.4903941199991</v>
      </c>
      <c r="P266" s="118">
        <f>P116*P$211</f>
        <v>5076.6915790291951</v>
      </c>
      <c r="Q266" s="118">
        <f t="shared" si="552"/>
        <v>4936.6073917163721</v>
      </c>
      <c r="R266" s="118"/>
      <c r="S266" s="118">
        <f t="shared" ref="S266:AX266" si="553">S116*S$211</f>
        <v>6854.7303790710084</v>
      </c>
      <c r="T266" s="118">
        <f t="shared" si="553"/>
        <v>6929.8326958000071</v>
      </c>
      <c r="U266" s="118">
        <f t="shared" si="553"/>
        <v>6868.707818930041</v>
      </c>
      <c r="V266" s="118">
        <f t="shared" si="553"/>
        <v>6677.4997335715125</v>
      </c>
      <c r="W266" s="118">
        <f t="shared" si="553"/>
        <v>6821.4608198847509</v>
      </c>
      <c r="X266" s="118">
        <f t="shared" si="553"/>
        <v>6598.9385553849879</v>
      </c>
      <c r="Y266" s="118">
        <f t="shared" si="553"/>
        <v>6751.0410979434955</v>
      </c>
      <c r="Z266" s="118">
        <f t="shared" si="553"/>
        <v>6601.2656940985107</v>
      </c>
      <c r="AA266" s="118">
        <f t="shared" si="553"/>
        <v>6805.4980694980686</v>
      </c>
      <c r="AB266" s="118">
        <f t="shared" si="553"/>
        <v>7539.5476309999995</v>
      </c>
      <c r="AC266" s="118">
        <f t="shared" si="553"/>
        <v>7383.1778068229041</v>
      </c>
      <c r="AD266" s="118">
        <f t="shared" si="553"/>
        <v>6970.2231542380232</v>
      </c>
      <c r="AE266" s="118">
        <f t="shared" si="553"/>
        <v>7057.0687473286334</v>
      </c>
      <c r="AF266" s="118">
        <f t="shared" si="553"/>
        <v>7115.3954685756707</v>
      </c>
      <c r="AG266" s="118">
        <f t="shared" si="553"/>
        <v>6793.0119991159927</v>
      </c>
      <c r="AH266" s="118">
        <f t="shared" si="553"/>
        <v>6612.1024072216633</v>
      </c>
      <c r="AI266" s="118">
        <f t="shared" si="553"/>
        <v>6550.4966968436511</v>
      </c>
      <c r="AJ266" s="118">
        <f t="shared" si="553"/>
        <v>6576.0940987635749</v>
      </c>
      <c r="AK266" s="118">
        <f t="shared" si="553"/>
        <v>6519.4315969902091</v>
      </c>
      <c r="AL266" s="118">
        <f t="shared" si="553"/>
        <v>6607.4252673985884</v>
      </c>
      <c r="AM266" s="118">
        <f t="shared" si="553"/>
        <v>6130.2996313081276</v>
      </c>
      <c r="AN266" s="118">
        <f t="shared" si="553"/>
        <v>6081.5971358957786</v>
      </c>
      <c r="AO266" s="118">
        <f t="shared" si="553"/>
        <v>5754.9377511036155</v>
      </c>
      <c r="AP266" s="118">
        <f t="shared" si="553"/>
        <v>5833.3153624974329</v>
      </c>
      <c r="AQ266" s="118">
        <f t="shared" si="553"/>
        <v>5906.5355139999992</v>
      </c>
      <c r="AR266" s="118">
        <f t="shared" si="553"/>
        <v>6024.0493835812431</v>
      </c>
      <c r="AS266" s="118">
        <f t="shared" si="553"/>
        <v>5638.811865272779</v>
      </c>
      <c r="AT266" s="118">
        <f t="shared" si="553"/>
        <v>5645.4737189381531</v>
      </c>
      <c r="AU266" s="118">
        <f t="shared" si="553"/>
        <v>5614.8751359999997</v>
      </c>
      <c r="AV266" s="118">
        <f t="shared" si="553"/>
        <v>5419.4332590000004</v>
      </c>
      <c r="AW266" s="118">
        <f t="shared" si="553"/>
        <v>5262.3936219999996</v>
      </c>
      <c r="AX266" s="118">
        <f t="shared" si="553"/>
        <v>5201.4903941199991</v>
      </c>
      <c r="AY266" s="118">
        <f t="shared" si="551"/>
        <v>4978.3376288600002</v>
      </c>
      <c r="AZ266" s="118">
        <f t="shared" si="551"/>
        <v>4990.8560448358685</v>
      </c>
      <c r="BA266" s="118">
        <f t="shared" si="551"/>
        <v>5011.2139094799995</v>
      </c>
      <c r="BB266" s="118">
        <f t="shared" si="551"/>
        <v>5076.6915790291951</v>
      </c>
      <c r="BC266" s="118">
        <f>BC116*BC$211</f>
        <v>4936.6073917163721</v>
      </c>
      <c r="BD266" s="118"/>
    </row>
    <row r="267" spans="2:56" ht="13.5" customHeight="1"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  <c r="AA267" s="118"/>
      <c r="AB267" s="118"/>
      <c r="AC267" s="118"/>
      <c r="AD267" s="118"/>
      <c r="AE267" s="118"/>
      <c r="AF267" s="118"/>
      <c r="AG267" s="118"/>
      <c r="AH267" s="118"/>
      <c r="AI267" s="118"/>
      <c r="AJ267" s="118"/>
      <c r="AK267" s="118"/>
      <c r="AL267" s="118"/>
      <c r="AM267" s="118"/>
      <c r="AN267" s="118"/>
      <c r="AO267" s="118"/>
      <c r="AP267" s="118"/>
      <c r="AQ267" s="118"/>
      <c r="AR267" s="118"/>
      <c r="AS267" s="118"/>
      <c r="AT267" s="118"/>
      <c r="AU267" s="118"/>
      <c r="AV267" s="118"/>
      <c r="AW267" s="118"/>
      <c r="AX267" s="118"/>
      <c r="AY267" s="118"/>
      <c r="AZ267" s="118"/>
      <c r="BA267" s="118"/>
      <c r="BB267" s="118"/>
      <c r="BC267" s="118"/>
      <c r="BD267" s="118"/>
    </row>
    <row r="268" spans="2:56" ht="13.5" customHeight="1">
      <c r="B268" s="1" t="s">
        <v>378</v>
      </c>
      <c r="C268" s="118">
        <f>C120*C$211</f>
        <v>4665.9365368586323</v>
      </c>
      <c r="D268" s="118">
        <f t="shared" ref="D268:AX268" si="554">D120*D$211</f>
        <v>5057.4173183592065</v>
      </c>
      <c r="E268" s="118">
        <f t="shared" si="554"/>
        <v>5326.1342957352717</v>
      </c>
      <c r="F268" s="118">
        <f t="shared" si="554"/>
        <v>5586.8116057149509</v>
      </c>
      <c r="G268" s="118">
        <f t="shared" si="554"/>
        <v>5593.4310361262033</v>
      </c>
      <c r="H268" s="118">
        <f t="shared" si="554"/>
        <v>4410.1821965897689</v>
      </c>
      <c r="I268" s="118">
        <f t="shared" si="554"/>
        <v>4671.8183591749539</v>
      </c>
      <c r="J268" s="118">
        <f t="shared" si="554"/>
        <v>4707.7758973033342</v>
      </c>
      <c r="K268" s="118">
        <f t="shared" si="554"/>
        <v>7311.1367837338275</v>
      </c>
      <c r="L268" s="118">
        <f t="shared" si="554"/>
        <v>7311.1367837338275</v>
      </c>
      <c r="M268" s="118">
        <f t="shared" si="554"/>
        <v>7836.9996818701311</v>
      </c>
      <c r="N268" s="118">
        <f t="shared" si="554"/>
        <v>7933.9487575261273</v>
      </c>
      <c r="O268" s="118">
        <f t="shared" si="554"/>
        <v>5362.5069562499993</v>
      </c>
      <c r="P268" s="118">
        <f>P120*P$211</f>
        <v>5712.9451742939955</v>
      </c>
      <c r="Q268" s="118">
        <f t="shared" si="554"/>
        <v>5816.3610011706342</v>
      </c>
      <c r="R268" s="118"/>
      <c r="S268" s="118">
        <f t="shared" si="554"/>
        <v>5214.1970101441539</v>
      </c>
      <c r="T268" s="118">
        <f t="shared" si="554"/>
        <v>5465.4276993050607</v>
      </c>
      <c r="U268" s="118">
        <f t="shared" si="554"/>
        <v>5527.1027160493823</v>
      </c>
      <c r="V268" s="118">
        <f t="shared" si="554"/>
        <v>5057.4173183592065</v>
      </c>
      <c r="W268" s="118">
        <f t="shared" si="554"/>
        <v>5544.484575856578</v>
      </c>
      <c r="X268" s="118">
        <f t="shared" si="554"/>
        <v>5224.6236971802537</v>
      </c>
      <c r="Y268" s="118">
        <f t="shared" si="554"/>
        <v>5650.6147027651987</v>
      </c>
      <c r="Z268" s="118">
        <f t="shared" si="554"/>
        <v>5326.1342957352717</v>
      </c>
      <c r="AA268" s="118">
        <f t="shared" si="554"/>
        <v>5341.8170398970396</v>
      </c>
      <c r="AB268" s="118">
        <f t="shared" si="554"/>
        <v>5331.1394840000003</v>
      </c>
      <c r="AC268" s="118">
        <f t="shared" si="554"/>
        <v>5212.7571760033234</v>
      </c>
      <c r="AD268" s="118">
        <f t="shared" si="554"/>
        <v>5586.8116057149509</v>
      </c>
      <c r="AE268" s="118">
        <f t="shared" si="554"/>
        <v>3433.1928160172974</v>
      </c>
      <c r="AF268" s="118">
        <f t="shared" si="554"/>
        <v>3591.268520970536</v>
      </c>
      <c r="AG268" s="118">
        <f t="shared" si="554"/>
        <v>3659.3750406253935</v>
      </c>
      <c r="AH268" s="118">
        <f t="shared" si="554"/>
        <v>4410.1821965897689</v>
      </c>
      <c r="AI268" s="118">
        <f t="shared" si="554"/>
        <v>4340.4991436261325</v>
      </c>
      <c r="AJ268" s="118">
        <f t="shared" si="554"/>
        <v>4537.8978255962684</v>
      </c>
      <c r="AK268" s="118">
        <f t="shared" si="554"/>
        <v>4522.7530674103991</v>
      </c>
      <c r="AL268" s="118">
        <f t="shared" si="554"/>
        <v>4671.8183591749539</v>
      </c>
      <c r="AM268" s="118">
        <f t="shared" si="554"/>
        <v>7495.4554828455166</v>
      </c>
      <c r="AN268" s="118">
        <f t="shared" si="554"/>
        <v>4498.5231962607531</v>
      </c>
      <c r="AO268" s="118">
        <f t="shared" si="554"/>
        <v>7653.5290908189063</v>
      </c>
      <c r="AP268" s="118">
        <f t="shared" si="554"/>
        <v>7311.1367837338275</v>
      </c>
      <c r="AQ268" s="118">
        <f t="shared" si="554"/>
        <v>7938.6964527199989</v>
      </c>
      <c r="AR268" s="118">
        <f t="shared" si="554"/>
        <v>8382.1737886247229</v>
      </c>
      <c r="AS268" s="118">
        <f t="shared" si="554"/>
        <v>8163.586678837356</v>
      </c>
      <c r="AT268" s="118">
        <f t="shared" si="554"/>
        <v>7836.9996818701311</v>
      </c>
      <c r="AU268" s="118">
        <f t="shared" si="554"/>
        <v>7679.9966879999993</v>
      </c>
      <c r="AV268" s="118">
        <f t="shared" si="554"/>
        <v>6713.5987770000002</v>
      </c>
      <c r="AW268" s="118">
        <f t="shared" si="554"/>
        <v>6204.1832859999995</v>
      </c>
      <c r="AX268" s="118">
        <f t="shared" si="554"/>
        <v>5362.5069562499993</v>
      </c>
      <c r="AY268" s="118">
        <f>AY120*AY$211</f>
        <v>5458.7987800999999</v>
      </c>
      <c r="AZ268" s="118">
        <f>AZ120*AZ$211</f>
        <v>6007.6167600747258</v>
      </c>
      <c r="BA268" s="118">
        <f>BA120*BA$211</f>
        <v>6066.7395809999998</v>
      </c>
      <c r="BB268" s="118">
        <f>BB120*BB$211</f>
        <v>5712.9451742939955</v>
      </c>
      <c r="BC268" s="118">
        <f>BC120*BC$211</f>
        <v>5816.3610011706342</v>
      </c>
      <c r="BD268" s="118"/>
    </row>
    <row r="269" spans="2:56" ht="13.5" customHeight="1"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  <c r="AA269" s="118"/>
      <c r="AB269" s="118"/>
      <c r="AC269" s="118"/>
      <c r="AD269" s="118"/>
      <c r="AE269" s="118"/>
      <c r="AF269" s="118"/>
      <c r="AG269" s="118"/>
      <c r="AH269" s="118"/>
      <c r="AI269" s="118"/>
      <c r="AJ269" s="118"/>
      <c r="AK269" s="118"/>
      <c r="AL269" s="118"/>
      <c r="AM269" s="118"/>
      <c r="AN269" s="118"/>
      <c r="AO269" s="118"/>
      <c r="AP269" s="118"/>
      <c r="AQ269" s="118"/>
      <c r="AR269" s="118"/>
      <c r="AS269" s="118"/>
      <c r="AT269" s="118"/>
      <c r="AU269" s="118"/>
      <c r="AV269" s="118"/>
      <c r="AW269" s="118"/>
      <c r="AX269" s="118"/>
      <c r="AY269" s="118"/>
      <c r="AZ269" s="118"/>
      <c r="BA269" s="118"/>
      <c r="BB269" s="118"/>
      <c r="BC269" s="118"/>
      <c r="BD269" s="118"/>
    </row>
    <row r="270" spans="2:56" ht="13.5" customHeight="1">
      <c r="B270" s="1" t="s">
        <v>372</v>
      </c>
      <c r="C270" s="118">
        <f t="shared" ref="C270:H270" si="555">C108*C$211</f>
        <v>309.74626373839385</v>
      </c>
      <c r="D270" s="118">
        <f t="shared" si="555"/>
        <v>285.34744812256719</v>
      </c>
      <c r="E270" s="118">
        <f t="shared" si="555"/>
        <v>270.31464443653744</v>
      </c>
      <c r="F270" s="118">
        <f t="shared" si="555"/>
        <v>495.85358879039177</v>
      </c>
      <c r="G270" s="118">
        <f t="shared" si="555"/>
        <v>495.84935235492856</v>
      </c>
      <c r="H270" s="118">
        <f t="shared" si="555"/>
        <v>466.01559679037098</v>
      </c>
      <c r="I270" s="118">
        <f>I108*I$211</f>
        <v>472.1509918012398</v>
      </c>
      <c r="J270" s="118">
        <f>J108*J$211</f>
        <v>472.1509918012398</v>
      </c>
      <c r="K270" s="118">
        <f>K108*K$211</f>
        <v>429.70835900595608</v>
      </c>
      <c r="L270" s="118">
        <f t="shared" ref="L270:AX270" si="556">L108*L$211</f>
        <v>429.70835900595608</v>
      </c>
      <c r="M270" s="118">
        <f t="shared" si="556"/>
        <v>429.56369077776861</v>
      </c>
      <c r="N270" s="118">
        <f t="shared" si="556"/>
        <v>429.56369077776861</v>
      </c>
      <c r="O270" s="118">
        <f t="shared" si="556"/>
        <v>258.61253839</v>
      </c>
      <c r="P270" s="118">
        <f>P108*P$211</f>
        <v>301.83566724783174</v>
      </c>
      <c r="Q270" s="118">
        <f t="shared" si="556"/>
        <v>362.87975918390106</v>
      </c>
      <c r="R270" s="118"/>
      <c r="S270" s="118">
        <f t="shared" si="556"/>
        <v>308.69193806727174</v>
      </c>
      <c r="T270" s="118">
        <f t="shared" si="556"/>
        <v>304.73540987045101</v>
      </c>
      <c r="U270" s="118">
        <f t="shared" si="556"/>
        <v>293.7832647462277</v>
      </c>
      <c r="V270" s="118">
        <f t="shared" si="556"/>
        <v>285.34744812256719</v>
      </c>
      <c r="W270" s="118">
        <f t="shared" si="556"/>
        <v>283.31500057460892</v>
      </c>
      <c r="X270" s="118">
        <f t="shared" si="556"/>
        <v>281.79789124989901</v>
      </c>
      <c r="Y270" s="118">
        <f t="shared" si="556"/>
        <v>278.70914560383676</v>
      </c>
      <c r="Z270" s="118">
        <f t="shared" si="556"/>
        <v>270.31464443653744</v>
      </c>
      <c r="AA270" s="118">
        <f t="shared" si="556"/>
        <v>509.52380952380946</v>
      </c>
      <c r="AB270" s="118">
        <f t="shared" si="556"/>
        <v>500.138375</v>
      </c>
      <c r="AC270" s="118">
        <f t="shared" si="556"/>
        <v>489.20433245184762</v>
      </c>
      <c r="AD270" s="118">
        <f t="shared" si="556"/>
        <v>495.85358879039177</v>
      </c>
      <c r="AE270" s="118">
        <f t="shared" si="556"/>
        <v>445.33233881714028</v>
      </c>
      <c r="AF270" s="118">
        <f t="shared" si="556"/>
        <v>437.5702744120826</v>
      </c>
      <c r="AG270" s="118">
        <f t="shared" si="556"/>
        <v>426.40412190651182</v>
      </c>
      <c r="AH270" s="118">
        <f t="shared" si="556"/>
        <v>466.01559679037098</v>
      </c>
      <c r="AI270" s="118">
        <f t="shared" si="556"/>
        <v>441.60508930756066</v>
      </c>
      <c r="AJ270" s="118">
        <f t="shared" si="556"/>
        <v>446.57788478418985</v>
      </c>
      <c r="AK270" s="118">
        <f t="shared" si="556"/>
        <v>445.87606403067895</v>
      </c>
      <c r="AL270" s="118">
        <f t="shared" si="556"/>
        <v>472.1509918012398</v>
      </c>
      <c r="AM270" s="118">
        <f t="shared" si="556"/>
        <v>446.37369159654145</v>
      </c>
      <c r="AN270" s="118">
        <f t="shared" si="556"/>
        <v>426.97031475312014</v>
      </c>
      <c r="AO270" s="118">
        <f t="shared" si="556"/>
        <v>414.51316898963341</v>
      </c>
      <c r="AP270" s="118">
        <f t="shared" si="556"/>
        <v>429.70835900595608</v>
      </c>
      <c r="AQ270" s="118">
        <f t="shared" si="556"/>
        <v>444.64248399999997</v>
      </c>
      <c r="AR270" s="118">
        <f t="shared" si="556"/>
        <v>451.46030800497567</v>
      </c>
      <c r="AS270" s="118">
        <f t="shared" si="556"/>
        <v>431.57145399537285</v>
      </c>
      <c r="AT270" s="118">
        <f t="shared" si="556"/>
        <v>429.56369077776861</v>
      </c>
      <c r="AU270" s="118">
        <f t="shared" si="556"/>
        <v>358.04142400000006</v>
      </c>
      <c r="AV270" s="118">
        <f t="shared" si="556"/>
        <v>313.22536200000002</v>
      </c>
      <c r="AW270" s="118">
        <f t="shared" si="556"/>
        <v>270.35215599999998</v>
      </c>
      <c r="AX270" s="118">
        <f t="shared" si="556"/>
        <v>258.61253839</v>
      </c>
      <c r="AY270" s="118">
        <f>AY108*AY$211</f>
        <v>246.56399422000004</v>
      </c>
      <c r="AZ270" s="118">
        <f>AZ108*AZ$211</f>
        <v>247.62316519882575</v>
      </c>
      <c r="BA270" s="118">
        <f>BA108*BA$211</f>
        <v>256.80969593000003</v>
      </c>
      <c r="BB270" s="118">
        <f>BB108*BB$211</f>
        <v>301.83566724783174</v>
      </c>
      <c r="BC270" s="118">
        <f>BC108*BC$211</f>
        <v>362.87975918390106</v>
      </c>
      <c r="BD270" s="118"/>
    </row>
    <row r="271" spans="2:56" ht="13.5" customHeight="1"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  <c r="AA271" s="118"/>
      <c r="AB271" s="118"/>
      <c r="AC271" s="118"/>
      <c r="AD271" s="118"/>
      <c r="AE271" s="118"/>
      <c r="AF271" s="118"/>
      <c r="AG271" s="118"/>
      <c r="AH271" s="118"/>
      <c r="AI271" s="118"/>
      <c r="AJ271" s="118"/>
      <c r="AK271" s="118"/>
      <c r="AL271" s="118"/>
      <c r="AM271" s="118"/>
      <c r="AN271" s="118"/>
      <c r="AO271" s="118"/>
      <c r="AP271" s="118"/>
      <c r="AQ271" s="118"/>
      <c r="AR271" s="118"/>
      <c r="AS271" s="118"/>
      <c r="AT271" s="118"/>
      <c r="AU271" s="118"/>
      <c r="AV271" s="118"/>
      <c r="AW271" s="118"/>
      <c r="AX271" s="118"/>
      <c r="AY271" s="118"/>
      <c r="AZ271" s="118"/>
      <c r="BA271" s="118"/>
      <c r="BB271" s="118"/>
      <c r="BC271" s="118"/>
      <c r="BD271" s="118"/>
    </row>
    <row r="272" spans="2:56" ht="13.5" customHeight="1">
      <c r="B272" s="1" t="s">
        <v>405</v>
      </c>
      <c r="C272" s="118">
        <f t="shared" ref="C272:Q272" si="557">C193*C$211</f>
        <v>3799.5454457345554</v>
      </c>
      <c r="D272" s="118">
        <f t="shared" si="557"/>
        <v>4022.9737479129767</v>
      </c>
      <c r="E272" s="118">
        <f t="shared" si="557"/>
        <v>4235.1700299903423</v>
      </c>
      <c r="F272" s="118">
        <f t="shared" si="557"/>
        <v>4963.6778614473787</v>
      </c>
      <c r="G272" s="118">
        <f t="shared" si="557"/>
        <v>4963.6778614473787</v>
      </c>
      <c r="H272" s="118">
        <f t="shared" si="557"/>
        <v>4821.6148445336003</v>
      </c>
      <c r="I272" s="118">
        <f t="shared" si="557"/>
        <v>5131.9020050626486</v>
      </c>
      <c r="J272" s="118">
        <f t="shared" si="557"/>
        <v>5131.9020050626486</v>
      </c>
      <c r="K272" s="118">
        <f t="shared" si="557"/>
        <v>3034.2164715547342</v>
      </c>
      <c r="L272" s="118">
        <f t="shared" si="557"/>
        <v>3034.2164715547342</v>
      </c>
      <c r="M272" s="118">
        <f t="shared" si="557"/>
        <v>3573.3348257944408</v>
      </c>
      <c r="N272" s="118">
        <f t="shared" si="557"/>
        <v>3573.3348257944408</v>
      </c>
      <c r="O272" s="118">
        <f t="shared" si="557"/>
        <v>2863.6956789999999</v>
      </c>
      <c r="P272" s="118">
        <f>P193*P$211</f>
        <v>2727.1374473897545</v>
      </c>
      <c r="Q272" s="118">
        <f t="shared" si="557"/>
        <v>2773.4210379619826</v>
      </c>
      <c r="R272" s="118"/>
      <c r="S272" s="118">
        <f t="shared" ref="S272:AX272" si="558">S193*S$211</f>
        <v>3876.4709022957823</v>
      </c>
      <c r="T272" s="118">
        <f t="shared" si="558"/>
        <v>3978.875843834694</v>
      </c>
      <c r="U272" s="118">
        <f t="shared" si="558"/>
        <v>4057.7777777777778</v>
      </c>
      <c r="V272" s="118">
        <f t="shared" si="558"/>
        <v>4022.9737479129767</v>
      </c>
      <c r="W272" s="118">
        <f t="shared" si="558"/>
        <v>4013.4677370808781</v>
      </c>
      <c r="X272" s="118">
        <f t="shared" si="558"/>
        <v>3644.7089359295464</v>
      </c>
      <c r="Y272" s="118">
        <f t="shared" si="558"/>
        <v>3673.5716350322759</v>
      </c>
      <c r="Z272" s="118">
        <f t="shared" si="558"/>
        <v>4235.1700299903423</v>
      </c>
      <c r="AA272" s="118">
        <f t="shared" si="558"/>
        <v>4853.2818532818528</v>
      </c>
      <c r="AB272" s="118">
        <f t="shared" si="558"/>
        <v>4864.5552559999996</v>
      </c>
      <c r="AC272" s="118">
        <f t="shared" si="558"/>
        <v>4812.4411076324513</v>
      </c>
      <c r="AD272" s="118">
        <f t="shared" si="558"/>
        <v>4963.6778614473787</v>
      </c>
      <c r="AE272" s="118">
        <f t="shared" si="558"/>
        <v>4762.6486536317998</v>
      </c>
      <c r="AF272" s="118">
        <f t="shared" si="558"/>
        <v>4733.6192787403352</v>
      </c>
      <c r="AG272" s="118">
        <f t="shared" si="558"/>
        <v>4536.5325198143582</v>
      </c>
      <c r="AH272" s="118">
        <f t="shared" si="558"/>
        <v>4821.6148445336003</v>
      </c>
      <c r="AI272" s="118">
        <f t="shared" si="558"/>
        <v>4889.3467090775639</v>
      </c>
      <c r="AJ272" s="118">
        <f t="shared" si="558"/>
        <v>5021.6035914027034</v>
      </c>
      <c r="AK272" s="118">
        <f t="shared" si="558"/>
        <v>5267.2254340857808</v>
      </c>
      <c r="AL272" s="118">
        <f t="shared" si="558"/>
        <v>5131.9020050626486</v>
      </c>
      <c r="AM272" s="118">
        <f t="shared" si="558"/>
        <v>2864.4390903923827</v>
      </c>
      <c r="AN272" s="118">
        <f t="shared" si="558"/>
        <v>2938.625627765899</v>
      </c>
      <c r="AO272" s="118">
        <f t="shared" si="558"/>
        <v>2944.2339169684037</v>
      </c>
      <c r="AP272" s="118">
        <f t="shared" si="558"/>
        <v>3034.2164715547342</v>
      </c>
      <c r="AQ272" s="118">
        <f t="shared" si="558"/>
        <v>3334.3603039999998</v>
      </c>
      <c r="AR272" s="118">
        <f t="shared" si="558"/>
        <v>3596.5566982614127</v>
      </c>
      <c r="AS272" s="118">
        <f t="shared" si="558"/>
        <v>3610.411679267922</v>
      </c>
      <c r="AT272" s="118">
        <f t="shared" si="558"/>
        <v>3573.3348257944408</v>
      </c>
      <c r="AU272" s="118">
        <f t="shared" si="558"/>
        <v>3465.7640160000001</v>
      </c>
      <c r="AV272" s="118">
        <f t="shared" si="558"/>
        <v>3231.1565640000003</v>
      </c>
      <c r="AW272" s="118">
        <f t="shared" si="558"/>
        <v>3041.0640739999999</v>
      </c>
      <c r="AX272" s="118">
        <f t="shared" si="558"/>
        <v>2863.6956789999999</v>
      </c>
      <c r="AY272" s="118">
        <f>AY193*AY$211</f>
        <v>2707.9135860000001</v>
      </c>
      <c r="AZ272" s="118">
        <f>AZ193*AZ$211</f>
        <v>2752.612756872164</v>
      </c>
      <c r="BA272" s="118">
        <f>BA193*BA$211</f>
        <v>2735.2128430000002</v>
      </c>
      <c r="BB272" s="118">
        <f>BB193*BB$211</f>
        <v>2727.1374473897545</v>
      </c>
      <c r="BC272" s="118">
        <f>BC193*BC$211</f>
        <v>2773.4210379619826</v>
      </c>
      <c r="BD272" s="118"/>
    </row>
    <row r="273" spans="2:56" ht="13.5" customHeight="1"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8"/>
      <c r="AH273" s="118"/>
      <c r="AI273" s="118"/>
      <c r="AJ273" s="118"/>
      <c r="AK273" s="118"/>
      <c r="AL273" s="118"/>
      <c r="AM273" s="118"/>
      <c r="AN273" s="118"/>
      <c r="AO273" s="118"/>
      <c r="AP273" s="118"/>
      <c r="AQ273" s="118"/>
      <c r="AR273" s="118"/>
      <c r="AS273" s="118"/>
      <c r="AT273" s="118"/>
      <c r="AU273" s="118"/>
      <c r="AV273" s="118"/>
      <c r="AW273" s="118"/>
      <c r="AX273" s="118"/>
      <c r="AY273" s="118"/>
      <c r="AZ273" s="118"/>
      <c r="BA273" s="118"/>
      <c r="BB273" s="118"/>
      <c r="BC273" s="118"/>
      <c r="BD273" s="118"/>
    </row>
    <row r="274" spans="2:56" s="5" customFormat="1" ht="13.5" customHeight="1">
      <c r="B274" s="5" t="s">
        <v>22</v>
      </c>
      <c r="C274" s="43">
        <f t="shared" ref="C274:Q274" si="559">C195*C$210</f>
        <v>1968.6771206200001</v>
      </c>
      <c r="D274" s="43">
        <f t="shared" si="559"/>
        <v>1867.4396811000008</v>
      </c>
      <c r="E274" s="43">
        <f t="shared" si="559"/>
        <v>2005.5982247000006</v>
      </c>
      <c r="F274" s="43">
        <f t="shared" si="559"/>
        <v>2041.5111784555347</v>
      </c>
      <c r="G274" s="43">
        <f t="shared" si="559"/>
        <v>1996.3860018457572</v>
      </c>
      <c r="H274" s="43">
        <f t="shared" si="559"/>
        <v>1736.82252983177</v>
      </c>
      <c r="I274" s="43">
        <f t="shared" si="559"/>
        <v>1878.2096508373895</v>
      </c>
      <c r="J274" s="43">
        <f t="shared" si="559"/>
        <v>1387.6367430005739</v>
      </c>
      <c r="K274" s="43">
        <f t="shared" si="559"/>
        <v>1321.5747137706619</v>
      </c>
      <c r="L274" s="43">
        <f t="shared" si="559"/>
        <v>1297.9502735824249</v>
      </c>
      <c r="M274" s="43">
        <f t="shared" si="559"/>
        <v>1414.5694413079357</v>
      </c>
      <c r="N274" s="43">
        <f t="shared" si="559"/>
        <v>1366.9666355156467</v>
      </c>
      <c r="O274" s="43">
        <f t="shared" si="559"/>
        <v>1222.3601119999996</v>
      </c>
      <c r="P274" s="43">
        <f>P195*P$210</f>
        <v>1166.7514846509289</v>
      </c>
      <c r="Q274" s="43">
        <f t="shared" si="559"/>
        <v>1230.0170342315139</v>
      </c>
      <c r="R274" s="43"/>
      <c r="S274" s="405"/>
      <c r="T274" s="405"/>
      <c r="U274" s="405"/>
      <c r="V274" s="43">
        <f t="shared" ref="V274:BC274" si="560">SUM(S239:V239)</f>
        <v>1869.6459761999995</v>
      </c>
      <c r="W274" s="43">
        <f t="shared" si="560"/>
        <v>1933.6622010099998</v>
      </c>
      <c r="X274" s="43">
        <f t="shared" si="560"/>
        <v>1983.3313331299996</v>
      </c>
      <c r="Y274" s="43">
        <f t="shared" si="560"/>
        <v>2008.1460406699996</v>
      </c>
      <c r="Z274" s="43">
        <f t="shared" si="560"/>
        <v>2003.9647341100001</v>
      </c>
      <c r="AA274" s="43">
        <f t="shared" si="560"/>
        <v>2008.0722144700001</v>
      </c>
      <c r="AB274" s="43">
        <f t="shared" si="560"/>
        <v>1975.8526555500002</v>
      </c>
      <c r="AC274" s="43">
        <f t="shared" si="560"/>
        <v>1988.1408483100004</v>
      </c>
      <c r="AD274" s="43">
        <f t="shared" si="560"/>
        <v>2040.8673593792166</v>
      </c>
      <c r="AE274" s="43">
        <f t="shared" si="560"/>
        <v>1971.7232849171137</v>
      </c>
      <c r="AF274" s="43">
        <f t="shared" si="560"/>
        <v>1826.6322766495393</v>
      </c>
      <c r="AG274" s="43">
        <f t="shared" si="560"/>
        <v>1736.028147418659</v>
      </c>
      <c r="AH274" s="43">
        <f t="shared" si="560"/>
        <v>1739.998681488282</v>
      </c>
      <c r="AI274" s="43">
        <f t="shared" si="560"/>
        <v>1785.7654237103573</v>
      </c>
      <c r="AJ274" s="43">
        <f t="shared" si="560"/>
        <v>1911.1669405712973</v>
      </c>
      <c r="AK274" s="43">
        <f t="shared" si="560"/>
        <v>1987.600847305031</v>
      </c>
      <c r="AL274" s="43">
        <f t="shared" si="560"/>
        <v>2027.3337862577996</v>
      </c>
      <c r="AM274" s="43">
        <f t="shared" si="560"/>
        <v>1929.1855448646902</v>
      </c>
      <c r="AN274" s="43">
        <f t="shared" si="560"/>
        <v>1791.1818785279522</v>
      </c>
      <c r="AO274" s="43">
        <f t="shared" si="560"/>
        <v>1613.8477759287553</v>
      </c>
      <c r="AP274" s="43">
        <f t="shared" si="560"/>
        <v>1321.0951561414904</v>
      </c>
      <c r="AQ274" s="43">
        <f t="shared" si="560"/>
        <v>1338.9900903346279</v>
      </c>
      <c r="AR274" s="43">
        <f t="shared" si="560"/>
        <v>1370.3629905856062</v>
      </c>
      <c r="AS274" s="43">
        <f t="shared" si="560"/>
        <v>1367.4941680724551</v>
      </c>
      <c r="AT274" s="43">
        <f t="shared" si="560"/>
        <v>1412.4789135634028</v>
      </c>
      <c r="AU274" s="43">
        <f t="shared" si="560"/>
        <v>1387.2797546834026</v>
      </c>
      <c r="AV274" s="43">
        <f t="shared" si="560"/>
        <v>1356.0285556957965</v>
      </c>
      <c r="AW274" s="43">
        <f t="shared" si="560"/>
        <v>1315.3232239452909</v>
      </c>
      <c r="AX274" s="43">
        <f>SUM(AU239:AX239)</f>
        <v>1225.4583929999999</v>
      </c>
      <c r="AY274" s="43">
        <f t="shared" si="560"/>
        <v>1162.9529639999998</v>
      </c>
      <c r="AZ274" s="43">
        <f t="shared" si="560"/>
        <v>1112.4454865673872</v>
      </c>
      <c r="BA274" s="43">
        <f t="shared" si="560"/>
        <v>1116.532751487387</v>
      </c>
      <c r="BB274" s="43">
        <f>SUM(AY239:BB239)</f>
        <v>1167.0032837276181</v>
      </c>
      <c r="BC274" s="43">
        <f t="shared" si="560"/>
        <v>1230.7690384012792</v>
      </c>
      <c r="BD274" s="43"/>
    </row>
    <row r="275" spans="2:56" ht="13.5" customHeight="1">
      <c r="C275" s="38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40"/>
      <c r="R275" s="40"/>
      <c r="S275" s="40"/>
      <c r="T275" s="40"/>
      <c r="U275" s="40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51"/>
      <c r="AH275" s="51"/>
      <c r="AI275" s="51"/>
      <c r="AJ275" s="51"/>
      <c r="AK275" s="51"/>
      <c r="AL275" s="51"/>
      <c r="AM275" s="51"/>
      <c r="AN275" s="51"/>
      <c r="AO275" s="51"/>
      <c r="AP275" s="51"/>
      <c r="AQ275" s="51"/>
      <c r="AR275" s="51"/>
      <c r="AS275" s="51"/>
      <c r="AT275" s="51"/>
      <c r="AU275" s="51"/>
      <c r="AV275" s="51"/>
      <c r="AW275" s="51"/>
      <c r="AX275" s="51"/>
      <c r="AY275" s="51"/>
      <c r="AZ275" s="51"/>
      <c r="BA275" s="51"/>
      <c r="BB275" s="51"/>
      <c r="BC275" s="51"/>
      <c r="BD275" s="51"/>
    </row>
    <row r="276" spans="2:56" s="5" customFormat="1" ht="13.5" customHeight="1">
      <c r="B276" s="5" t="str">
        <f>+B125</f>
        <v>Total Net Leverage</v>
      </c>
      <c r="C276" s="39">
        <f t="shared" ref="C276:Q276" si="561">C265/C$274</f>
        <v>2.2325338711475071</v>
      </c>
      <c r="D276" s="39">
        <f t="shared" si="561"/>
        <v>2.5238256103317607</v>
      </c>
      <c r="E276" s="39">
        <f t="shared" si="561"/>
        <v>2.4786617287698478</v>
      </c>
      <c r="F276" s="39">
        <f t="shared" si="561"/>
        <v>2.7021603124800095</v>
      </c>
      <c r="G276" s="39">
        <f t="shared" si="561"/>
        <v>2.76323071877284</v>
      </c>
      <c r="H276" s="39">
        <f t="shared" si="561"/>
        <v>2.9679635306680701</v>
      </c>
      <c r="I276" s="39">
        <f t="shared" si="561"/>
        <v>2.8533328771622646</v>
      </c>
      <c r="J276" s="39">
        <f t="shared" si="561"/>
        <v>3.8538209612510208</v>
      </c>
      <c r="K276" s="39">
        <f t="shared" si="561"/>
        <v>2.4273936204569311</v>
      </c>
      <c r="L276" s="39">
        <f t="shared" si="561"/>
        <v>2.4715754481948418</v>
      </c>
      <c r="M276" s="39">
        <f t="shared" si="561"/>
        <v>2.6338184069415731</v>
      </c>
      <c r="N276" s="39">
        <f t="shared" si="561"/>
        <v>2.7255376507477695</v>
      </c>
      <c r="O276" s="39">
        <f t="shared" si="561"/>
        <v>2.4409796500214989</v>
      </c>
      <c r="P276" s="39">
        <f>P265/P$274</f>
        <v>2.6200258161020327</v>
      </c>
      <c r="Q276" s="39">
        <f t="shared" si="561"/>
        <v>2.8814958497978789</v>
      </c>
      <c r="R276" s="39"/>
      <c r="S276" s="283"/>
      <c r="T276" s="283"/>
      <c r="U276" s="283"/>
      <c r="V276" s="39">
        <f t="shared" ref="V276:AT276" si="562">V265/V$274</f>
        <v>2.5201389047399876</v>
      </c>
      <c r="W276" s="39">
        <f t="shared" si="562"/>
        <v>2.460638155517588</v>
      </c>
      <c r="X276" s="39">
        <f t="shared" si="562"/>
        <v>2.1918330273956581</v>
      </c>
      <c r="Y276" s="39">
        <f t="shared" si="562"/>
        <v>2.2309477490034846</v>
      </c>
      <c r="Z276" s="39">
        <f t="shared" si="562"/>
        <v>2.4806821588407084</v>
      </c>
      <c r="AA276" s="39">
        <f t="shared" si="562"/>
        <v>2.7849959057517975</v>
      </c>
      <c r="AB276" s="39">
        <f t="shared" si="562"/>
        <v>2.8173502069416481</v>
      </c>
      <c r="AC276" s="39">
        <f t="shared" si="562"/>
        <v>2.7272106208462774</v>
      </c>
      <c r="AD276" s="39">
        <f t="shared" si="562"/>
        <v>2.7030127453186501</v>
      </c>
      <c r="AE276" s="39">
        <f t="shared" si="562"/>
        <v>2.624050744408263</v>
      </c>
      <c r="AF276" s="39">
        <f t="shared" si="562"/>
        <v>2.8144170750875332</v>
      </c>
      <c r="AG276" s="39">
        <f t="shared" si="562"/>
        <v>2.7933866652585677</v>
      </c>
      <c r="AH276" s="39">
        <f t="shared" si="562"/>
        <v>2.9625458815717294</v>
      </c>
      <c r="AI276" s="39">
        <f t="shared" si="562"/>
        <v>2.8772568779691565</v>
      </c>
      <c r="AJ276" s="39">
        <f t="shared" si="562"/>
        <v>2.7484923564376382</v>
      </c>
      <c r="AK276" s="39">
        <f t="shared" si="562"/>
        <v>2.7512993343285812</v>
      </c>
      <c r="AL276" s="39">
        <f t="shared" si="562"/>
        <v>2.6434509123581984</v>
      </c>
      <c r="AM276" s="39">
        <f t="shared" si="562"/>
        <v>1.5853518451023956</v>
      </c>
      <c r="AN276" s="39">
        <f t="shared" si="562"/>
        <v>1.7326635146545892</v>
      </c>
      <c r="AO276" s="39">
        <f t="shared" si="562"/>
        <v>1.9090023793056434</v>
      </c>
      <c r="AP276" s="39">
        <f t="shared" si="562"/>
        <v>2.428274764501916</v>
      </c>
      <c r="AQ276" s="39">
        <f t="shared" si="562"/>
        <v>2.6152034183351422</v>
      </c>
      <c r="AR276" s="39">
        <f t="shared" si="562"/>
        <v>2.7380130582066591</v>
      </c>
      <c r="AS276" s="39">
        <f t="shared" si="562"/>
        <v>2.7511808673392903</v>
      </c>
      <c r="AT276" s="39">
        <f t="shared" si="562"/>
        <v>2.6377165681112023</v>
      </c>
      <c r="AU276" s="39">
        <f t="shared" ref="AU276:BC276" si="563">AU265/AU$274</f>
        <v>2.6296303594746355</v>
      </c>
      <c r="AV276" s="39">
        <f t="shared" si="563"/>
        <v>2.5108039507715176</v>
      </c>
      <c r="AW276" s="39">
        <f t="shared" si="563"/>
        <v>2.4204137219221016</v>
      </c>
      <c r="AX276" s="39">
        <f t="shared" si="563"/>
        <v>2.4348082117138019</v>
      </c>
      <c r="AY276" s="39">
        <f t="shared" si="563"/>
        <v>2.4531303002380076</v>
      </c>
      <c r="AZ276" s="39">
        <f t="shared" si="563"/>
        <v>2.641557901171868</v>
      </c>
      <c r="BA276" s="39">
        <f t="shared" si="563"/>
        <v>2.6366045852200468</v>
      </c>
      <c r="BB276" s="39">
        <f t="shared" si="563"/>
        <v>2.6194605048551876</v>
      </c>
      <c r="BC276" s="39">
        <f t="shared" si="563"/>
        <v>2.8797352457961534</v>
      </c>
      <c r="BD276" s="39"/>
    </row>
    <row r="277" spans="2:56" ht="12.75">
      <c r="B277" s="1" t="str">
        <f>+B126</f>
        <v xml:space="preserve">Total Gross Leverage </v>
      </c>
      <c r="C277" s="40">
        <f t="shared" ref="C277:Q277" si="564">C266/C$274</f>
        <v>3.4029037852631006</v>
      </c>
      <c r="D277" s="40">
        <f t="shared" si="564"/>
        <v>3.5764605043816831</v>
      </c>
      <c r="E277" s="40">
        <f t="shared" si="564"/>
        <v>3.2914197932569143</v>
      </c>
      <c r="F277" s="40">
        <f t="shared" si="564"/>
        <v>3.4142468715313177</v>
      </c>
      <c r="G277" s="40">
        <f t="shared" si="564"/>
        <v>3.4914199873040381</v>
      </c>
      <c r="H277" s="40">
        <f t="shared" si="564"/>
        <v>3.8070109603323239</v>
      </c>
      <c r="I277" s="40">
        <f t="shared" si="564"/>
        <v>3.517938087717047</v>
      </c>
      <c r="J277" s="40">
        <f t="shared" si="564"/>
        <v>4.7616390245698872</v>
      </c>
      <c r="K277" s="40">
        <f t="shared" si="564"/>
        <v>4.4139126617019331</v>
      </c>
      <c r="L277" s="40">
        <f t="shared" si="564"/>
        <v>4.4942518070412003</v>
      </c>
      <c r="M277" s="40">
        <f t="shared" si="564"/>
        <v>3.990948449811166</v>
      </c>
      <c r="N277" s="40">
        <f t="shared" si="564"/>
        <v>4.1299279530758772</v>
      </c>
      <c r="O277" s="40">
        <f t="shared" si="564"/>
        <v>4.2552847913283358</v>
      </c>
      <c r="P277" s="40">
        <f>P266/P$274</f>
        <v>4.3511335925559589</v>
      </c>
      <c r="Q277" s="40">
        <f t="shared" si="564"/>
        <v>4.0134463623917611</v>
      </c>
      <c r="R277" s="40"/>
      <c r="S277" s="284"/>
      <c r="T277" s="284"/>
      <c r="U277" s="284"/>
      <c r="V277" s="40">
        <f t="shared" ref="V277:AT277" si="565">V266/V$274</f>
        <v>3.5715316260799996</v>
      </c>
      <c r="W277" s="40">
        <f t="shared" si="565"/>
        <v>3.5277417205144377</v>
      </c>
      <c r="X277" s="40">
        <f t="shared" si="565"/>
        <v>3.327199265778177</v>
      </c>
      <c r="Y277" s="40">
        <f t="shared" si="565"/>
        <v>3.3618277561581489</v>
      </c>
      <c r="Z277" s="40">
        <f t="shared" si="565"/>
        <v>3.2941027263287954</v>
      </c>
      <c r="AA277" s="40">
        <f t="shared" si="565"/>
        <v>3.3890703832552536</v>
      </c>
      <c r="AB277" s="40">
        <f t="shared" si="565"/>
        <v>3.8158450782360003</v>
      </c>
      <c r="AC277" s="40">
        <f t="shared" si="565"/>
        <v>3.7136090298124009</v>
      </c>
      <c r="AD277" s="40">
        <f t="shared" si="565"/>
        <v>3.4153239416589032</v>
      </c>
      <c r="AE277" s="40">
        <f t="shared" si="565"/>
        <v>3.5791374993196854</v>
      </c>
      <c r="AF277" s="40">
        <f t="shared" si="565"/>
        <v>3.895362826735401</v>
      </c>
      <c r="AG277" s="40">
        <f t="shared" si="565"/>
        <v>3.9129619005410032</v>
      </c>
      <c r="AH277" s="40">
        <f t="shared" si="565"/>
        <v>3.8000617342802236</v>
      </c>
      <c r="AI277" s="40">
        <f t="shared" si="565"/>
        <v>3.6681731037402541</v>
      </c>
      <c r="AJ277" s="40">
        <f t="shared" si="565"/>
        <v>3.4408789515780396</v>
      </c>
      <c r="AK277" s="40">
        <f t="shared" si="565"/>
        <v>3.2800507233783103</v>
      </c>
      <c r="AL277" s="40">
        <f t="shared" si="565"/>
        <v>3.259169906892863</v>
      </c>
      <c r="AM277" s="40">
        <f t="shared" si="565"/>
        <v>3.1776620178532888</v>
      </c>
      <c r="AN277" s="40">
        <f t="shared" si="565"/>
        <v>3.3952984946977134</v>
      </c>
      <c r="AO277" s="40">
        <f t="shared" si="565"/>
        <v>3.5659730966829875</v>
      </c>
      <c r="AP277" s="40">
        <f t="shared" si="565"/>
        <v>4.4155149122904511</v>
      </c>
      <c r="AQ277" s="40">
        <f t="shared" si="565"/>
        <v>4.411186876315039</v>
      </c>
      <c r="AR277" s="40">
        <f t="shared" si="565"/>
        <v>4.3959516018503582</v>
      </c>
      <c r="AS277" s="40">
        <f t="shared" si="565"/>
        <v>4.1234631905018944</v>
      </c>
      <c r="AT277" s="40">
        <f t="shared" si="565"/>
        <v>3.9968552200866121</v>
      </c>
      <c r="AU277" s="40">
        <f t="shared" ref="AU277:BC277" si="566">AU266/AU$274</f>
        <v>4.0473993201763374</v>
      </c>
      <c r="AV277" s="40">
        <f t="shared" si="566"/>
        <v>3.9965480345059667</v>
      </c>
      <c r="AW277" s="40">
        <f t="shared" si="566"/>
        <v>4.0008368484634023</v>
      </c>
      <c r="AX277" s="40">
        <f t="shared" si="566"/>
        <v>4.2445263126285511</v>
      </c>
      <c r="AY277" s="40">
        <f t="shared" si="566"/>
        <v>4.2807729830593573</v>
      </c>
      <c r="AZ277" s="40">
        <f t="shared" si="566"/>
        <v>4.486382573438167</v>
      </c>
      <c r="BA277" s="40">
        <f t="shared" si="566"/>
        <v>4.488192489476301</v>
      </c>
      <c r="BB277" s="40">
        <f t="shared" si="566"/>
        <v>4.350194767930156</v>
      </c>
      <c r="BC277" s="40">
        <f t="shared" si="566"/>
        <v>4.0109941326837664</v>
      </c>
      <c r="BD277" s="40"/>
    </row>
    <row r="278" spans="2:56" ht="12.75"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  <c r="BC278" s="40"/>
      <c r="BD278" s="40"/>
    </row>
    <row r="279" spans="2:56" ht="12.75">
      <c r="B279" s="5" t="s">
        <v>383</v>
      </c>
      <c r="C279" s="39">
        <f t="shared" ref="C279:O279" si="567">(C265-C270)/C274</f>
        <v>2.0751966112717768</v>
      </c>
      <c r="D279" s="39">
        <f t="shared" si="567"/>
        <v>2.3710241833242303</v>
      </c>
      <c r="E279" s="39">
        <f t="shared" si="567"/>
        <v>2.3438816710756045</v>
      </c>
      <c r="F279" s="39">
        <f t="shared" si="567"/>
        <v>2.459274751027674</v>
      </c>
      <c r="G279" s="39">
        <f t="shared" si="567"/>
        <v>2.5148572319338762</v>
      </c>
      <c r="H279" s="39">
        <f t="shared" si="567"/>
        <v>2.6996484962957847</v>
      </c>
      <c r="I279" s="39">
        <f t="shared" si="567"/>
        <v>2.6019493366769231</v>
      </c>
      <c r="J279" s="39">
        <f t="shared" si="567"/>
        <v>3.5135654915232024</v>
      </c>
      <c r="K279" s="39">
        <f t="shared" si="567"/>
        <v>2.1022448759111687</v>
      </c>
      <c r="L279" s="39">
        <f t="shared" si="567"/>
        <v>2.1405085593070776</v>
      </c>
      <c r="M279" s="39">
        <f t="shared" si="567"/>
        <v>2.330147425345515</v>
      </c>
      <c r="N279" s="39">
        <f t="shared" si="567"/>
        <v>2.4112917287061326</v>
      </c>
      <c r="O279" s="39">
        <f t="shared" si="567"/>
        <v>2.2294114420513749</v>
      </c>
      <c r="P279" s="39">
        <f>(P265-P270)/P274</f>
        <v>2.3613283374884655</v>
      </c>
      <c r="Q279" s="39">
        <f>(Q265-Q270)/Q274</f>
        <v>2.5864757410636776</v>
      </c>
      <c r="R279" s="40"/>
      <c r="S279" s="284"/>
      <c r="T279" s="284"/>
      <c r="U279" s="284"/>
      <c r="V279" s="39">
        <f t="shared" ref="V279:AT279" si="568">(V265-V270)/V274</f>
        <v>2.3675177926391138</v>
      </c>
      <c r="W279" s="39">
        <f t="shared" si="568"/>
        <v>2.3141208370187174</v>
      </c>
      <c r="X279" s="39">
        <f t="shared" si="568"/>
        <v>2.0497499137259019</v>
      </c>
      <c r="Y279" s="39">
        <f t="shared" si="568"/>
        <v>2.0921584677663252</v>
      </c>
      <c r="Z279" s="39">
        <f t="shared" si="568"/>
        <v>2.3457922379576499</v>
      </c>
      <c r="AA279" s="39">
        <f t="shared" si="568"/>
        <v>2.5312581139272687</v>
      </c>
      <c r="AB279" s="39">
        <f t="shared" si="568"/>
        <v>2.5642248670560273</v>
      </c>
      <c r="AC279" s="39">
        <f t="shared" si="568"/>
        <v>2.4811494160439667</v>
      </c>
      <c r="AD279" s="39">
        <f t="shared" si="568"/>
        <v>2.4600505623469853</v>
      </c>
      <c r="AE279" s="39">
        <f t="shared" si="568"/>
        <v>2.3981912933261804</v>
      </c>
      <c r="AF279" s="39">
        <f t="shared" si="568"/>
        <v>2.5748667944942842</v>
      </c>
      <c r="AG279" s="39">
        <f t="shared" si="568"/>
        <v>2.5477661535516911</v>
      </c>
      <c r="AH279" s="39">
        <f t="shared" si="568"/>
        <v>2.6947206229963774</v>
      </c>
      <c r="AI279" s="39">
        <f t="shared" si="568"/>
        <v>2.6299651097199876</v>
      </c>
      <c r="AJ279" s="39">
        <f t="shared" si="568"/>
        <v>2.5148247079952175</v>
      </c>
      <c r="AK279" s="39">
        <f t="shared" si="568"/>
        <v>2.5269705589433027</v>
      </c>
      <c r="AL279" s="39">
        <f t="shared" si="568"/>
        <v>2.4105583344306285</v>
      </c>
      <c r="AM279" s="39">
        <f t="shared" si="568"/>
        <v>1.3539724981107357</v>
      </c>
      <c r="AN279" s="39">
        <f t="shared" si="568"/>
        <v>1.4942900028010542</v>
      </c>
      <c r="AO279" s="39">
        <f t="shared" si="568"/>
        <v>1.6521546299873506</v>
      </c>
      <c r="AP279" s="39">
        <f t="shared" si="568"/>
        <v>2.1030079909403496</v>
      </c>
      <c r="AQ279" s="39">
        <f t="shared" si="568"/>
        <v>2.2831303976237796</v>
      </c>
      <c r="AR279" s="39">
        <f t="shared" si="568"/>
        <v>2.4085672755151326</v>
      </c>
      <c r="AS279" s="39">
        <f t="shared" si="568"/>
        <v>2.4355879645895171</v>
      </c>
      <c r="AT279" s="39">
        <f t="shared" si="568"/>
        <v>2.3335961407881034</v>
      </c>
      <c r="AU279" s="39">
        <f t="shared" ref="AU279:BC279" si="569">(AU265-AU270)/AU274</f>
        <v>2.3715415184955422</v>
      </c>
      <c r="AV279" s="39">
        <f t="shared" si="569"/>
        <v>2.279816660213112</v>
      </c>
      <c r="AW279" s="39">
        <f t="shared" si="569"/>
        <v>2.2148732501367081</v>
      </c>
      <c r="AX279" s="39">
        <f t="shared" si="569"/>
        <v>2.2237749037963459</v>
      </c>
      <c r="AY279" s="39">
        <f t="shared" si="569"/>
        <v>2.2411148517611075</v>
      </c>
      <c r="AZ279" s="39">
        <f t="shared" si="569"/>
        <v>2.4189643734989721</v>
      </c>
      <c r="BA279" s="39">
        <f t="shared" si="569"/>
        <v>2.4065981697450942</v>
      </c>
      <c r="BB279" s="39">
        <f t="shared" si="569"/>
        <v>2.3608188442390201</v>
      </c>
      <c r="BC279" s="39">
        <f t="shared" si="569"/>
        <v>2.5848953953760714</v>
      </c>
      <c r="BD279" s="40"/>
    </row>
    <row r="280" spans="2:56" ht="12.75">
      <c r="B280" s="1" t="s">
        <v>384</v>
      </c>
      <c r="C280" s="40">
        <f t="shared" ref="C280:O280" si="570">(C266-C270)/C274</f>
        <v>3.2455665253873698</v>
      </c>
      <c r="D280" s="40">
        <f t="shared" si="570"/>
        <v>3.4236590773741526</v>
      </c>
      <c r="E280" s="40">
        <f t="shared" si="570"/>
        <v>3.1566397355626714</v>
      </c>
      <c r="F280" s="40">
        <f t="shared" si="570"/>
        <v>3.1713613100789821</v>
      </c>
      <c r="G280" s="40">
        <f t="shared" si="570"/>
        <v>3.2430465004650744</v>
      </c>
      <c r="H280" s="40">
        <f t="shared" si="570"/>
        <v>3.5386959259600386</v>
      </c>
      <c r="I280" s="40">
        <f t="shared" si="570"/>
        <v>3.2665545472317055</v>
      </c>
      <c r="J280" s="40">
        <f t="shared" si="570"/>
        <v>4.4213835548420697</v>
      </c>
      <c r="K280" s="40">
        <f t="shared" si="570"/>
        <v>4.0887639171561707</v>
      </c>
      <c r="L280" s="40">
        <f t="shared" si="570"/>
        <v>4.1631849181534353</v>
      </c>
      <c r="M280" s="40">
        <f t="shared" si="570"/>
        <v>3.6872774682151075</v>
      </c>
      <c r="N280" s="40">
        <f t="shared" si="570"/>
        <v>3.8156820310342399</v>
      </c>
      <c r="O280" s="40">
        <f t="shared" si="570"/>
        <v>4.0437165833582114</v>
      </c>
      <c r="P280" s="40">
        <f>(P266-P270)/P274</f>
        <v>4.0924361139423908</v>
      </c>
      <c r="Q280" s="40">
        <f>(Q266-Q270)/Q274</f>
        <v>3.7184262536575603</v>
      </c>
      <c r="R280" s="40"/>
      <c r="S280" s="284"/>
      <c r="T280" s="284"/>
      <c r="U280" s="284"/>
      <c r="V280" s="40">
        <f t="shared" ref="V280:AT280" si="571">(V266-V270)/V274</f>
        <v>3.4189105139791258</v>
      </c>
      <c r="W280" s="40">
        <f t="shared" si="571"/>
        <v>3.3812244020155671</v>
      </c>
      <c r="X280" s="40">
        <f t="shared" si="571"/>
        <v>3.1851161521084208</v>
      </c>
      <c r="Y280" s="40">
        <f t="shared" si="571"/>
        <v>3.2230384749209895</v>
      </c>
      <c r="Z280" s="40">
        <f t="shared" si="571"/>
        <v>3.1592128054457369</v>
      </c>
      <c r="AA280" s="40">
        <f t="shared" si="571"/>
        <v>3.1353325914307248</v>
      </c>
      <c r="AB280" s="40">
        <f t="shared" si="571"/>
        <v>3.5627197383503795</v>
      </c>
      <c r="AC280" s="40">
        <f t="shared" si="571"/>
        <v>3.4675478250100897</v>
      </c>
      <c r="AD280" s="40">
        <f t="shared" si="571"/>
        <v>3.1723617586872384</v>
      </c>
      <c r="AE280" s="40">
        <f t="shared" si="571"/>
        <v>3.3532780482376023</v>
      </c>
      <c r="AF280" s="40">
        <f t="shared" si="571"/>
        <v>3.655812546142152</v>
      </c>
      <c r="AG280" s="40">
        <f t="shared" si="571"/>
        <v>3.6673413888341266</v>
      </c>
      <c r="AH280" s="40">
        <f t="shared" si="571"/>
        <v>3.5322364757048712</v>
      </c>
      <c r="AI280" s="40">
        <f t="shared" si="571"/>
        <v>3.4208813354910852</v>
      </c>
      <c r="AJ280" s="40">
        <f t="shared" si="571"/>
        <v>3.2072113031356189</v>
      </c>
      <c r="AK280" s="40">
        <f t="shared" si="571"/>
        <v>3.0557219479930318</v>
      </c>
      <c r="AL280" s="40">
        <f t="shared" si="571"/>
        <v>3.0262773289652931</v>
      </c>
      <c r="AM280" s="40">
        <f t="shared" si="571"/>
        <v>2.9462826708616285</v>
      </c>
      <c r="AN280" s="40">
        <f t="shared" si="571"/>
        <v>3.1569249828441781</v>
      </c>
      <c r="AO280" s="40">
        <f t="shared" si="571"/>
        <v>3.3091253473646947</v>
      </c>
      <c r="AP280" s="40">
        <f t="shared" si="571"/>
        <v>4.0902481387288852</v>
      </c>
      <c r="AQ280" s="40">
        <f t="shared" si="571"/>
        <v>4.0791138556036763</v>
      </c>
      <c r="AR280" s="40">
        <f t="shared" si="571"/>
        <v>4.0665058191588317</v>
      </c>
      <c r="AS280" s="40">
        <f t="shared" si="571"/>
        <v>3.8078702877521202</v>
      </c>
      <c r="AT280" s="40">
        <f t="shared" si="571"/>
        <v>3.6927347927635128</v>
      </c>
      <c r="AU280" s="40">
        <f t="shared" ref="AU280:BC280" si="572">(AU266-AU270)/AU274</f>
        <v>3.7893104791972441</v>
      </c>
      <c r="AV280" s="40">
        <f t="shared" si="572"/>
        <v>3.7655607439475611</v>
      </c>
      <c r="AW280" s="40">
        <f t="shared" si="572"/>
        <v>3.7952963766780088</v>
      </c>
      <c r="AX280" s="40">
        <f t="shared" si="572"/>
        <v>4.0334930047110946</v>
      </c>
      <c r="AY280" s="40">
        <f t="shared" si="572"/>
        <v>4.0687575345824563</v>
      </c>
      <c r="AZ280" s="40">
        <f t="shared" si="572"/>
        <v>4.2637890457652716</v>
      </c>
      <c r="BA280" s="40">
        <f t="shared" si="572"/>
        <v>4.2581860740013484</v>
      </c>
      <c r="BB280" s="40">
        <f t="shared" si="572"/>
        <v>4.0915531073139881</v>
      </c>
      <c r="BC280" s="40">
        <f t="shared" si="572"/>
        <v>3.7161542822636848</v>
      </c>
      <c r="BD280" s="40"/>
    </row>
    <row r="281" spans="2:56" ht="12.75"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168"/>
      <c r="R281" s="168"/>
      <c r="S281" s="168"/>
      <c r="T281" s="168"/>
      <c r="U281" s="168"/>
      <c r="V281" s="168"/>
      <c r="W281" s="168"/>
      <c r="X281" s="168"/>
      <c r="Y281" s="168"/>
      <c r="Z281" s="168"/>
      <c r="AA281" s="168"/>
      <c r="AB281" s="168"/>
      <c r="AC281" s="168"/>
      <c r="AD281" s="168"/>
      <c r="AE281" s="168"/>
      <c r="AF281" s="168"/>
      <c r="AG281" s="168"/>
      <c r="AH281" s="168"/>
      <c r="AI281" s="168"/>
      <c r="AJ281" s="168"/>
      <c r="AK281" s="168"/>
      <c r="AL281" s="168"/>
      <c r="AM281" s="168"/>
      <c r="AN281" s="168"/>
      <c r="AO281" s="168"/>
      <c r="AP281" s="168"/>
      <c r="AQ281" s="168"/>
      <c r="AR281" s="168"/>
      <c r="AS281" s="168"/>
      <c r="AT281" s="168"/>
      <c r="AU281" s="168"/>
      <c r="AV281" s="168"/>
      <c r="AW281" s="168"/>
      <c r="AX281" s="168"/>
      <c r="AY281" s="168"/>
      <c r="AZ281" s="168"/>
      <c r="BA281" s="168"/>
      <c r="BB281" s="168"/>
      <c r="BC281" s="168"/>
      <c r="BD281" s="168"/>
    </row>
    <row r="282" spans="2:56" s="5" customFormat="1" ht="13.5" customHeight="1">
      <c r="B282" s="5" t="str">
        <f>+B131</f>
        <v>Net Leverage (based on company reported debt)</v>
      </c>
      <c r="C282" s="39">
        <f t="shared" ref="C282:P282" si="573">C272/C274</f>
        <v>1.9299992903549139</v>
      </c>
      <c r="D282" s="39">
        <f t="shared" si="573"/>
        <v>2.1542723915683721</v>
      </c>
      <c r="E282" s="39">
        <f t="shared" si="573"/>
        <v>2.1116742016581327</v>
      </c>
      <c r="F282" s="39">
        <f t="shared" si="573"/>
        <v>2.43137432399589</v>
      </c>
      <c r="G282" s="39">
        <f t="shared" si="573"/>
        <v>2.4863317298649732</v>
      </c>
      <c r="H282" s="39">
        <f t="shared" si="573"/>
        <v>2.7761125628653756</v>
      </c>
      <c r="I282" s="39">
        <f t="shared" si="573"/>
        <v>2.7323371503147258</v>
      </c>
      <c r="J282" s="39">
        <f t="shared" si="573"/>
        <v>3.6983036309384656</v>
      </c>
      <c r="K282" s="39">
        <f t="shared" si="573"/>
        <v>2.2959099019817306</v>
      </c>
      <c r="L282" s="39">
        <f t="shared" si="573"/>
        <v>2.3376985492518947</v>
      </c>
      <c r="M282" s="39">
        <f t="shared" si="573"/>
        <v>2.5260936094381292</v>
      </c>
      <c r="N282" s="39">
        <f t="shared" si="573"/>
        <v>2.6140614795960317</v>
      </c>
      <c r="O282" s="39">
        <f t="shared" si="573"/>
        <v>2.3427594298005046</v>
      </c>
      <c r="P282" s="39">
        <f t="shared" si="573"/>
        <v>2.3373764535690005</v>
      </c>
      <c r="Q282" s="39">
        <f>Q272/Q274</f>
        <v>2.2547826255875814</v>
      </c>
      <c r="R282" s="39"/>
      <c r="S282" s="283"/>
      <c r="T282" s="283"/>
      <c r="U282" s="283"/>
      <c r="V282" s="39">
        <f t="shared" ref="V282:AT282" si="574">V272/V274</f>
        <v>2.1517302201187589</v>
      </c>
      <c r="W282" s="39">
        <f t="shared" si="574"/>
        <v>2.0755785239968718</v>
      </c>
      <c r="X282" s="39">
        <f t="shared" si="574"/>
        <v>1.8376702243581455</v>
      </c>
      <c r="Y282" s="39">
        <f t="shared" si="574"/>
        <v>1.8293348992718788</v>
      </c>
      <c r="Z282" s="39">
        <f t="shared" si="574"/>
        <v>2.1133954894027935</v>
      </c>
      <c r="AA282" s="39">
        <f t="shared" si="574"/>
        <v>2.4168861151055778</v>
      </c>
      <c r="AB282" s="39">
        <f t="shared" si="574"/>
        <v>2.462003045791842</v>
      </c>
      <c r="AC282" s="39">
        <f t="shared" si="574"/>
        <v>2.4205735281397289</v>
      </c>
      <c r="AD282" s="39">
        <f t="shared" si="574"/>
        <v>2.4321413337499855</v>
      </c>
      <c r="AE282" s="39">
        <f t="shared" si="574"/>
        <v>2.4154751785223296</v>
      </c>
      <c r="AF282" s="39">
        <f t="shared" si="574"/>
        <v>2.5914462036239025</v>
      </c>
      <c r="AG282" s="39">
        <f t="shared" si="574"/>
        <v>2.6131676070804697</v>
      </c>
      <c r="AH282" s="39">
        <f t="shared" si="574"/>
        <v>2.7710451139017551</v>
      </c>
      <c r="AI282" s="39">
        <f t="shared" si="574"/>
        <v>2.7379557494840334</v>
      </c>
      <c r="AJ282" s="39">
        <f t="shared" si="574"/>
        <v>2.6275065169877916</v>
      </c>
      <c r="AK282" s="39">
        <f t="shared" si="574"/>
        <v>2.6500418538397996</v>
      </c>
      <c r="AL282" s="39">
        <f t="shared" si="574"/>
        <v>2.531355240981549</v>
      </c>
      <c r="AM282" s="39">
        <f t="shared" si="574"/>
        <v>1.4847919102531373</v>
      </c>
      <c r="AN282" s="39">
        <f t="shared" si="574"/>
        <v>1.640607055594461</v>
      </c>
      <c r="AO282" s="39">
        <f t="shared" si="574"/>
        <v>1.8243566468182062</v>
      </c>
      <c r="AP282" s="39">
        <f t="shared" si="574"/>
        <v>2.2967433174282013</v>
      </c>
      <c r="AQ282" s="39">
        <f t="shared" si="574"/>
        <v>2.4902053630334993</v>
      </c>
      <c r="AR282" s="39">
        <f t="shared" si="574"/>
        <v>2.6245284811175997</v>
      </c>
      <c r="AS282" s="39">
        <f t="shared" si="574"/>
        <v>2.6401660523035066</v>
      </c>
      <c r="AT282" s="39">
        <f t="shared" si="574"/>
        <v>2.5298323334113562</v>
      </c>
      <c r="AU282" s="39">
        <f t="shared" ref="AU282:BC282" si="575">AU272/AU274</f>
        <v>2.4982444992076869</v>
      </c>
      <c r="AV282" s="39">
        <f t="shared" si="575"/>
        <v>2.3828086439832017</v>
      </c>
      <c r="AW282" s="39">
        <f t="shared" si="575"/>
        <v>2.312027962889895</v>
      </c>
      <c r="AX282" s="39">
        <f t="shared" si="575"/>
        <v>2.3368363180323826</v>
      </c>
      <c r="AY282" s="39">
        <f t="shared" si="575"/>
        <v>2.3284807467071391</v>
      </c>
      <c r="AZ282" s="39">
        <f t="shared" si="575"/>
        <v>2.4743799045522241</v>
      </c>
      <c r="BA282" s="39">
        <f t="shared" si="575"/>
        <v>2.4497381195099663</v>
      </c>
      <c r="BB282" s="39">
        <f t="shared" si="575"/>
        <v>2.3368721283103744</v>
      </c>
      <c r="BC282" s="39">
        <f t="shared" si="575"/>
        <v>2.253404945548962</v>
      </c>
      <c r="BD282" s="39"/>
    </row>
    <row r="283" spans="2:56" ht="12.75">
      <c r="C283" s="168"/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8"/>
      <c r="V283" s="168"/>
      <c r="W283" s="168"/>
      <c r="X283" s="168"/>
      <c r="Y283" s="168"/>
      <c r="Z283" s="168"/>
      <c r="AA283" s="168"/>
      <c r="AB283" s="168"/>
      <c r="AC283" s="168"/>
      <c r="AD283" s="168"/>
      <c r="AE283" s="168"/>
      <c r="AF283" s="168"/>
      <c r="AG283" s="168"/>
      <c r="AH283" s="168"/>
      <c r="AI283" s="168"/>
      <c r="AJ283" s="168"/>
      <c r="AK283" s="168"/>
      <c r="AL283" s="168"/>
      <c r="AM283" s="168"/>
      <c r="AN283" s="168"/>
      <c r="AO283" s="168"/>
      <c r="AP283" s="168"/>
      <c r="AQ283" s="168"/>
      <c r="AR283" s="168"/>
      <c r="AS283" s="168"/>
      <c r="AT283" s="168"/>
      <c r="AU283" s="168"/>
      <c r="AV283" s="168"/>
      <c r="AW283" s="168"/>
      <c r="AX283" s="168"/>
      <c r="AY283" s="168"/>
      <c r="AZ283" s="168"/>
      <c r="BA283" s="168"/>
      <c r="BB283" s="168"/>
      <c r="BC283" s="168"/>
      <c r="BD283" s="168"/>
    </row>
    <row r="284" spans="2:56" s="5" customFormat="1" ht="12.75">
      <c r="B284" s="5" t="str">
        <f>B133</f>
        <v>EBITDA - Capex / Interest</v>
      </c>
      <c r="C284" s="39">
        <f t="shared" ref="C284:P284" si="576">(C274+C249)/-C246</f>
        <v>1.3552917283394557</v>
      </c>
      <c r="D284" s="39">
        <f t="shared" si="576"/>
        <v>2.1841402677679587</v>
      </c>
      <c r="E284" s="39">
        <f t="shared" si="576"/>
        <v>2.0781077357338682</v>
      </c>
      <c r="F284" s="39">
        <f t="shared" si="576"/>
        <v>2.3103179643581213</v>
      </c>
      <c r="G284" s="39">
        <f t="shared" si="576"/>
        <v>2.3097283582027766</v>
      </c>
      <c r="H284" s="39">
        <f t="shared" si="576"/>
        <v>2.108978299883443</v>
      </c>
      <c r="I284" s="39">
        <f t="shared" si="576"/>
        <v>2.2537734721538216</v>
      </c>
      <c r="J284" s="39">
        <f t="shared" si="576"/>
        <v>0.7018013395827648</v>
      </c>
      <c r="K284" s="39">
        <f t="shared" si="576"/>
        <v>1.0595116383672556</v>
      </c>
      <c r="L284" s="39">
        <f t="shared" si="576"/>
        <v>1.0062968627010003</v>
      </c>
      <c r="M284" s="39">
        <f t="shared" si="576"/>
        <v>1.3801750821889189</v>
      </c>
      <c r="N284" s="39">
        <f t="shared" si="576"/>
        <v>1.2684251578448205</v>
      </c>
      <c r="O284" s="39">
        <f t="shared" si="576"/>
        <v>1.8615710748909893</v>
      </c>
      <c r="P284" s="39">
        <f t="shared" si="576"/>
        <v>1.5178842429577464</v>
      </c>
      <c r="Q284" s="39">
        <f>(Q274+Q249)/-Q246</f>
        <v>1.5792609106664561</v>
      </c>
      <c r="R284" s="39"/>
      <c r="S284" s="283"/>
      <c r="T284" s="283"/>
      <c r="U284" s="283"/>
      <c r="V284" s="39">
        <f t="shared" ref="V284:AT284" si="577">(SUM(V274)+SUM(S249:V249))/-SUM(S246:V246)</f>
        <v>2.201947125092381</v>
      </c>
      <c r="W284" s="39">
        <f t="shared" si="577"/>
        <v>2.4263196530478819</v>
      </c>
      <c r="X284" s="39">
        <f t="shared" si="577"/>
        <v>2.5108374929877533</v>
      </c>
      <c r="Y284" s="39">
        <f t="shared" si="577"/>
        <v>2.3351479907780237</v>
      </c>
      <c r="Z284" s="39">
        <f t="shared" si="577"/>
        <v>2.0843917221559543</v>
      </c>
      <c r="AA284" s="39">
        <f t="shared" si="577"/>
        <v>2.1787735928024548</v>
      </c>
      <c r="AB284" s="39">
        <f t="shared" si="577"/>
        <v>2.1261488771861501</v>
      </c>
      <c r="AC284" s="39">
        <f t="shared" si="577"/>
        <v>2.3269623472556704</v>
      </c>
      <c r="AD284" s="39">
        <f t="shared" si="577"/>
        <v>2.3120107956717604</v>
      </c>
      <c r="AE284" s="39">
        <f t="shared" si="577"/>
        <v>2.07872470143757</v>
      </c>
      <c r="AF284" s="39">
        <f t="shared" si="577"/>
        <v>1.8052034202630902</v>
      </c>
      <c r="AG284" s="39">
        <f t="shared" si="577"/>
        <v>1.6872983571880784</v>
      </c>
      <c r="AH284" s="39">
        <f t="shared" si="577"/>
        <v>2.1192409480721195</v>
      </c>
      <c r="AI284" s="39">
        <f t="shared" si="577"/>
        <v>2.1062562192001044</v>
      </c>
      <c r="AJ284" s="39">
        <f t="shared" si="577"/>
        <v>2.2035567904728497</v>
      </c>
      <c r="AK284" s="39">
        <f t="shared" si="577"/>
        <v>2.1579890125743217</v>
      </c>
      <c r="AL284" s="39">
        <f t="shared" si="577"/>
        <v>2.2493766410037455</v>
      </c>
      <c r="AM284" s="39">
        <f t="shared" si="577"/>
        <v>1.9293636849965405</v>
      </c>
      <c r="AN284" s="39">
        <f t="shared" si="577"/>
        <v>1.6470081607082496</v>
      </c>
      <c r="AO284" s="39">
        <f t="shared" si="577"/>
        <v>1.5488486543651296</v>
      </c>
      <c r="AP284" s="39">
        <f t="shared" si="577"/>
        <v>1.0595666657845788</v>
      </c>
      <c r="AQ284" s="39">
        <f t="shared" si="577"/>
        <v>1.1903597202455267</v>
      </c>
      <c r="AR284" s="39">
        <f t="shared" si="577"/>
        <v>3.3700943072351004</v>
      </c>
      <c r="AS284" s="39">
        <f t="shared" si="577"/>
        <v>1.2464459927674976</v>
      </c>
      <c r="AT284" s="39">
        <f t="shared" si="577"/>
        <v>1.3344290826253555</v>
      </c>
      <c r="AU284" s="39">
        <f t="shared" ref="AU284:BB284" si="578">(SUM(AU274)+SUM(AR249:AU249))/-SUM(AR246:AU246)</f>
        <v>1.468150321001167</v>
      </c>
      <c r="AV284" s="39">
        <f t="shared" si="578"/>
        <v>-0.29184436292552784</v>
      </c>
      <c r="AW284" s="39">
        <f t="shared" si="578"/>
        <v>1.9929639815675373</v>
      </c>
      <c r="AX284" s="39">
        <f t="shared" si="578"/>
        <v>1.8865407192098214</v>
      </c>
      <c r="AY284" s="39">
        <f t="shared" si="578"/>
        <v>1.8878548892748388</v>
      </c>
      <c r="AZ284" s="39">
        <f t="shared" si="578"/>
        <v>1.6770256487142032</v>
      </c>
      <c r="BA284" s="39">
        <f t="shared" si="578"/>
        <v>1.592548677623884</v>
      </c>
      <c r="BB284" s="39">
        <f t="shared" si="578"/>
        <v>1.5026171402293</v>
      </c>
      <c r="BC284" s="39">
        <f>(SUM(BC274)+SUM(AZ249:BC249))/-SUM(AZ246:BC246)</f>
        <v>1.5804046443110731</v>
      </c>
      <c r="BD284" s="39"/>
    </row>
    <row r="285" spans="2:56" ht="12.75">
      <c r="B285" s="1" t="str">
        <f>B134</f>
        <v>EBITDA/Interest</v>
      </c>
      <c r="C285" s="40">
        <f t="shared" ref="C285:P285" si="579">C274/-C246</f>
        <v>4.8100649729216167</v>
      </c>
      <c r="D285" s="40">
        <f t="shared" si="579"/>
        <v>3.9726864631180598</v>
      </c>
      <c r="E285" s="40">
        <f t="shared" si="579"/>
        <v>3.803296356788187</v>
      </c>
      <c r="F285" s="40">
        <f t="shared" si="579"/>
        <v>4.2869937371978519</v>
      </c>
      <c r="G285" s="40">
        <f t="shared" si="579"/>
        <v>4.2842929100980029</v>
      </c>
      <c r="H285" s="40">
        <f t="shared" si="579"/>
        <v>4.0773082053648366</v>
      </c>
      <c r="I285" s="40">
        <f t="shared" si="579"/>
        <v>4.9898788398452298</v>
      </c>
      <c r="J285" s="40">
        <f t="shared" si="579"/>
        <v>3.4379067072741738</v>
      </c>
      <c r="K285" s="40">
        <f t="shared" si="579"/>
        <v>2.9768875520071969</v>
      </c>
      <c r="L285" s="40">
        <f t="shared" si="579"/>
        <v>2.9236727763409416</v>
      </c>
      <c r="M285" s="40">
        <f t="shared" si="579"/>
        <v>3.3207712321705576</v>
      </c>
      <c r="N285" s="40">
        <f t="shared" si="579"/>
        <v>3.2090213078264593</v>
      </c>
      <c r="O285" s="40">
        <f t="shared" si="579"/>
        <v>3.0033237102339392</v>
      </c>
      <c r="P285" s="40">
        <f t="shared" si="579"/>
        <v>3.2862717136150232</v>
      </c>
      <c r="Q285" s="40">
        <f>Q274/-Q246</f>
        <v>3.5830987868284225</v>
      </c>
      <c r="R285" s="40"/>
      <c r="S285" s="284"/>
      <c r="T285" s="284"/>
      <c r="U285" s="284"/>
      <c r="V285" s="40">
        <f t="shared" ref="V285:AT285" si="580">(SUM(V274))/-SUM(S246:V246)</f>
        <v>3.9853414767725419</v>
      </c>
      <c r="W285" s="40">
        <f t="shared" si="580"/>
        <v>4.0430526545745051</v>
      </c>
      <c r="X285" s="40">
        <f t="shared" si="580"/>
        <v>4.22898993524836</v>
      </c>
      <c r="Y285" s="40">
        <f t="shared" si="580"/>
        <v>4.1507816856682398</v>
      </c>
      <c r="Z285" s="40">
        <f t="shared" si="580"/>
        <v>3.8063673072185029</v>
      </c>
      <c r="AA285" s="40">
        <f t="shared" si="580"/>
        <v>4.2110101547283207</v>
      </c>
      <c r="AB285" s="40">
        <f t="shared" si="580"/>
        <v>4.1185037546216119</v>
      </c>
      <c r="AC285" s="40">
        <f t="shared" si="580"/>
        <v>4.2456208922683905</v>
      </c>
      <c r="AD285" s="40">
        <f t="shared" si="580"/>
        <v>4.289035243658244</v>
      </c>
      <c r="AE285" s="40">
        <f t="shared" si="580"/>
        <v>3.9352559013869515</v>
      </c>
      <c r="AF285" s="40">
        <f t="shared" si="580"/>
        <v>3.6962659744327473</v>
      </c>
      <c r="AG285" s="40">
        <f t="shared" si="580"/>
        <v>3.6975952673788517</v>
      </c>
      <c r="AH285" s="40">
        <f t="shared" si="580"/>
        <v>4.0866062155600824</v>
      </c>
      <c r="AI285" s="40">
        <f t="shared" si="580"/>
        <v>4.2210300605239457</v>
      </c>
      <c r="AJ285" s="40">
        <f t="shared" si="580"/>
        <v>4.4873199704222628</v>
      </c>
      <c r="AK285" s="40">
        <f t="shared" si="580"/>
        <v>4.7379383016819991</v>
      </c>
      <c r="AL285" s="40">
        <f t="shared" si="580"/>
        <v>4.9864488128017097</v>
      </c>
      <c r="AM285" s="40">
        <f t="shared" si="580"/>
        <v>4.3682871961078975</v>
      </c>
      <c r="AN285" s="40">
        <f t="shared" si="580"/>
        <v>3.9762460129424055</v>
      </c>
      <c r="AO285" s="40">
        <f t="shared" si="580"/>
        <v>3.5620492137404169</v>
      </c>
      <c r="AP285" s="40">
        <f t="shared" si="580"/>
        <v>2.9774520425788218</v>
      </c>
      <c r="AQ285" s="40">
        <f t="shared" si="580"/>
        <v>3.167218850682171</v>
      </c>
      <c r="AR285" s="40">
        <f t="shared" si="580"/>
        <v>3.2525739664553757</v>
      </c>
      <c r="AS285" s="40">
        <f t="shared" si="580"/>
        <v>3.0501587021924057</v>
      </c>
      <c r="AT285" s="40">
        <f t="shared" si="580"/>
        <v>3.3228675247860942</v>
      </c>
      <c r="AU285" s="40">
        <f t="shared" ref="AU285:BB285" si="581">(SUM(AU274))/-SUM(AR246:AU246)</f>
        <v>3.2212500646603814</v>
      </c>
      <c r="AV285" s="40">
        <f t="shared" si="581"/>
        <v>3.2572375820450001</v>
      </c>
      <c r="AW285" s="40">
        <f t="shared" si="581"/>
        <v>3.4039258019985281</v>
      </c>
      <c r="AX285" s="40">
        <f t="shared" si="581"/>
        <v>3.010374695632887</v>
      </c>
      <c r="AY285" s="40">
        <f t="shared" si="581"/>
        <v>2.9724380961719508</v>
      </c>
      <c r="AZ285" s="40">
        <f t="shared" si="581"/>
        <v>2.850617563687476</v>
      </c>
      <c r="BA285" s="40">
        <f t="shared" si="581"/>
        <v>3.01797315976546</v>
      </c>
      <c r="BB285" s="40">
        <f t="shared" si="581"/>
        <v>3.3126792534159497</v>
      </c>
      <c r="BC285" s="40">
        <f>(SUM(BC274))/-SUM(AZ246:BC246)</f>
        <v>3.5947973196186358</v>
      </c>
      <c r="BD285" s="40"/>
    </row>
    <row r="286" spans="2:56" ht="12.75"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  <c r="BC286" s="40"/>
      <c r="BD286" s="40"/>
    </row>
    <row r="287" spans="2:56" s="5" customFormat="1" ht="12.75" customHeight="1" thickBot="1">
      <c r="B287" s="52" t="str">
        <f>+B136</f>
        <v xml:space="preserve">Gearing (Net debt / Equity) </v>
      </c>
      <c r="C287" s="179">
        <f t="shared" ref="C287:O287" si="582">C265/C268</f>
        <v>0.94196273747356796</v>
      </c>
      <c r="D287" s="179">
        <f t="shared" si="582"/>
        <v>0.93191678602450023</v>
      </c>
      <c r="E287" s="179">
        <f t="shared" si="582"/>
        <v>0.93335978531993957</v>
      </c>
      <c r="F287" s="179">
        <f t="shared" si="582"/>
        <v>0.98741301358073785</v>
      </c>
      <c r="G287" s="179">
        <f t="shared" si="582"/>
        <v>0.98624173449160613</v>
      </c>
      <c r="H287" s="179">
        <f t="shared" si="582"/>
        <v>1.1688464779911782</v>
      </c>
      <c r="I287" s="179">
        <f t="shared" si="582"/>
        <v>1.147124510184127</v>
      </c>
      <c r="J287" s="179">
        <f t="shared" si="582"/>
        <v>1.1359299345240563</v>
      </c>
      <c r="K287" s="179">
        <f t="shared" si="582"/>
        <v>0.43878019575579186</v>
      </c>
      <c r="L287" s="179">
        <f t="shared" si="582"/>
        <v>0.43878019575579186</v>
      </c>
      <c r="M287" s="179">
        <f t="shared" si="582"/>
        <v>0.47540119735271391</v>
      </c>
      <c r="N287" s="179">
        <f t="shared" si="582"/>
        <v>0.46959202110798726</v>
      </c>
      <c r="O287" s="179">
        <f t="shared" si="582"/>
        <v>0.55641068305047747</v>
      </c>
      <c r="P287" s="179">
        <f>P265/P268</f>
        <v>0.5350863551983206</v>
      </c>
      <c r="Q287" s="179">
        <f>Q265/Q268</f>
        <v>0.60936537099493293</v>
      </c>
      <c r="R287" s="40"/>
      <c r="S287" s="179">
        <f>S265/S268</f>
        <v>0.86882203102519706</v>
      </c>
      <c r="T287" s="179">
        <f>T265/T268</f>
        <v>0.85161380872092418</v>
      </c>
      <c r="U287" s="179">
        <f>U265/U268</f>
        <v>0.85895364930079876</v>
      </c>
      <c r="V287" s="179">
        <f t="shared" ref="V287:AT287" si="583">V265/V268</f>
        <v>0.93165488748728464</v>
      </c>
      <c r="W287" s="179">
        <f t="shared" si="583"/>
        <v>0.85815785517849441</v>
      </c>
      <c r="X287" s="179">
        <f t="shared" si="583"/>
        <v>0.83204674100627651</v>
      </c>
      <c r="Y287" s="179">
        <f t="shared" si="583"/>
        <v>0.79284628748631869</v>
      </c>
      <c r="Z287" s="179">
        <f t="shared" si="583"/>
        <v>0.93335978531993957</v>
      </c>
      <c r="AA287" s="179">
        <f t="shared" si="583"/>
        <v>1.0469233322638634</v>
      </c>
      <c r="AB287" s="179">
        <f t="shared" si="583"/>
        <v>1.0441799365233038</v>
      </c>
      <c r="AC287" s="179">
        <f t="shared" si="583"/>
        <v>1.0401556516404868</v>
      </c>
      <c r="AD287" s="179">
        <f t="shared" si="583"/>
        <v>0.98741301358073785</v>
      </c>
      <c r="AE287" s="179">
        <f t="shared" si="583"/>
        <v>1.5070234125550468</v>
      </c>
      <c r="AF287" s="179">
        <f t="shared" si="583"/>
        <v>1.4315011643627125</v>
      </c>
      <c r="AG287" s="179">
        <f t="shared" si="583"/>
        <v>1.3251983805092704</v>
      </c>
      <c r="AH287" s="179">
        <f t="shared" si="583"/>
        <v>1.1688464779911782</v>
      </c>
      <c r="AI287" s="179">
        <f t="shared" si="583"/>
        <v>1.1837592124295784</v>
      </c>
      <c r="AJ287" s="179">
        <f t="shared" si="583"/>
        <v>1.1575464961788353</v>
      </c>
      <c r="AK287" s="179">
        <f t="shared" si="583"/>
        <v>1.209105340617757</v>
      </c>
      <c r="AL287" s="179">
        <f t="shared" si="583"/>
        <v>1.147124510184127</v>
      </c>
      <c r="AM287" s="179">
        <f t="shared" si="583"/>
        <v>0.40803896042019122</v>
      </c>
      <c r="AN287" s="179">
        <f t="shared" si="583"/>
        <v>0.6898965179540576</v>
      </c>
      <c r="AO287" s="179">
        <f t="shared" si="583"/>
        <v>0.40253838556396909</v>
      </c>
      <c r="AP287" s="179">
        <f t="shared" si="583"/>
        <v>0.43878019575579186</v>
      </c>
      <c r="AQ287" s="179">
        <f t="shared" si="583"/>
        <v>0.4410965304209632</v>
      </c>
      <c r="AR287" s="179">
        <f t="shared" si="583"/>
        <v>0.4476251456153747</v>
      </c>
      <c r="AS287" s="179">
        <f t="shared" si="583"/>
        <v>0.46085427146279873</v>
      </c>
      <c r="AT287" s="179">
        <f t="shared" si="583"/>
        <v>0.47540119735271391</v>
      </c>
      <c r="AU287" s="179">
        <f t="shared" ref="AU287:BC287" si="584">AU265/AU268</f>
        <v>0.47500449651235582</v>
      </c>
      <c r="AV287" s="179">
        <f t="shared" si="584"/>
        <v>0.50713811892724026</v>
      </c>
      <c r="AW287" s="179">
        <f t="shared" si="584"/>
        <v>0.51314189688495926</v>
      </c>
      <c r="AX287" s="179">
        <f t="shared" si="584"/>
        <v>0.55641068305047747</v>
      </c>
      <c r="AY287" s="179">
        <f t="shared" si="584"/>
        <v>0.52261958512560125</v>
      </c>
      <c r="AZ287" s="179">
        <f t="shared" si="584"/>
        <v>0.48914391214071273</v>
      </c>
      <c r="BA287" s="179">
        <f t="shared" si="584"/>
        <v>0.4852450534286416</v>
      </c>
      <c r="BB287" s="179">
        <f t="shared" si="584"/>
        <v>0.5350863551983206</v>
      </c>
      <c r="BC287" s="179">
        <f t="shared" si="584"/>
        <v>0.60936537099493293</v>
      </c>
      <c r="BD287" s="268"/>
    </row>
    <row r="288" spans="2:56" ht="13.5" customHeight="1" thickTop="1"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40"/>
      <c r="S288" s="32"/>
      <c r="T288" s="32"/>
      <c r="W288" s="32"/>
      <c r="X288" s="32"/>
      <c r="AA288" s="32"/>
      <c r="AB288" s="32"/>
      <c r="AC288" s="32"/>
      <c r="AD288" s="32"/>
      <c r="AE288" s="32"/>
      <c r="AH288" s="32"/>
      <c r="AI288" s="32"/>
      <c r="AJ288" s="32"/>
      <c r="AL288" s="32"/>
      <c r="AN288" s="32"/>
      <c r="AP288" s="32"/>
      <c r="AR288" s="32"/>
      <c r="AT288" s="32"/>
      <c r="AU288" s="32"/>
      <c r="AV288" s="32"/>
      <c r="AX288" s="32"/>
      <c r="AY288" s="32"/>
      <c r="AZ288" s="32"/>
      <c r="BB288" s="32"/>
      <c r="BC288" s="32"/>
    </row>
  </sheetData>
  <pageMargins left="0.51181102362204722" right="0.47244094488188981" top="0.23622047244094491" bottom="0.43307086614173229" header="0.51181102362204722" footer="0.23622047244094491"/>
  <pageSetup paperSize="9" fitToHeight="0" orientation="portrait" r:id="rId1"/>
  <headerFooter alignWithMargins="0">
    <oddFooter>&amp;L&amp;8U.S. Bank Loan Team&amp;C&amp;"Arial,Bold"&amp;8- Confidential -&amp;R&amp;8&amp;D &amp;T</oddFooter>
  </headerFooter>
  <rowBreaks count="1" manualBreakCount="1">
    <brk id="90" min="1" max="10" man="1"/>
  </rowBreaks>
  <ignoredErrors>
    <ignoredError sqref="AD19:AH22 R19:Z25 E217:F222 AD23:AE25 AG23:AH25 H221:H222 H217 J10:J11 Z62:AP74 X75:AP77 X72:Y74 R62:Y62 S66:Y66 S65:Y65 S71:Y71 S70:Y70 S67:Y67 S68:Y68 S69:Y69 S64:Y64 S63:Y63" formula="1"/>
    <ignoredError sqref="W215:AH216 W222:AH227 AH217 AH221" formulaRange="1"/>
    <ignoredError sqref="W217:AG221 S75:W75 S77:W77 S73:W73 S76:W76 S72:W72 S74:W74" formula="1" formulaRange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D24A3-3160-42DB-ACAB-865A53FA331E}">
  <dimension ref="B2:BK181"/>
  <sheetViews>
    <sheetView showGridLines="0" zoomScale="85" zoomScaleNormal="85" workbookViewId="0">
      <pane xSplit="2" ySplit="6" topLeftCell="M7" activePane="bottomRight" state="frozen"/>
      <selection pane="bottomRight" activeCell="BD1" sqref="BD1"/>
      <selection pane="bottomLeft" activeCell="J25" sqref="J25"/>
      <selection pane="topRight" activeCell="J25" sqref="J25"/>
    </sheetView>
  </sheetViews>
  <sheetFormatPr defaultColWidth="9.28515625" defaultRowHeight="12.75" outlineLevelRow="1" outlineLevelCol="1"/>
  <cols>
    <col min="1" max="1" width="2.7109375" style="1" customWidth="1"/>
    <col min="2" max="2" width="50.7109375" style="1" customWidth="1"/>
    <col min="3" max="7" width="12.7109375" style="1" hidden="1" customWidth="1" outlineLevel="1"/>
    <col min="8" max="8" width="12.7109375" style="1" hidden="1" customWidth="1" outlineLevel="1" collapsed="1"/>
    <col min="9" max="9" width="12.7109375" style="1" hidden="1" customWidth="1" outlineLevel="1"/>
    <col min="10" max="10" width="12.7109375" style="1" hidden="1" customWidth="1" outlineLevel="1" collapsed="1"/>
    <col min="11" max="12" width="12.7109375" style="1" hidden="1" customWidth="1" outlineLevel="1"/>
    <col min="13" max="13" width="12.7109375" style="1" customWidth="1" collapsed="1"/>
    <col min="14" max="18" width="12.7109375" style="1" customWidth="1"/>
    <col min="19" max="22" width="12.7109375" style="1" hidden="1" customWidth="1" outlineLevel="1"/>
    <col min="23" max="23" width="12.7109375" style="1" hidden="1" customWidth="1" outlineLevel="1" collapsed="1"/>
    <col min="24" max="34" width="12.7109375" style="1" hidden="1" customWidth="1" outlineLevel="1"/>
    <col min="35" max="35" width="12.7109375" style="1" hidden="1" customWidth="1" outlineLevel="1" collapsed="1"/>
    <col min="36" max="38" width="12.7109375" style="1" hidden="1" customWidth="1" outlineLevel="1"/>
    <col min="39" max="39" width="12.7109375" style="1" hidden="1" customWidth="1" outlineLevel="1" collapsed="1"/>
    <col min="40" max="42" width="12.7109375" style="1" hidden="1" customWidth="1" outlineLevel="1"/>
    <col min="43" max="43" width="12.7109375" style="1" hidden="1" customWidth="1" outlineLevel="1" collapsed="1"/>
    <col min="44" max="44" width="12.7109375" style="1" hidden="1" customWidth="1" outlineLevel="1"/>
    <col min="45" max="45" width="12.7109375" style="1" hidden="1" customWidth="1" outlineLevel="1" collapsed="1"/>
    <col min="46" max="46" width="12.7109375" style="1" hidden="1" customWidth="1" outlineLevel="1"/>
    <col min="47" max="47" width="12.7109375" style="1" customWidth="1" collapsed="1"/>
    <col min="48" max="57" width="12.7109375" style="1" customWidth="1"/>
    <col min="58" max="62" width="12.7109375" style="1" hidden="1" customWidth="1" outlineLevel="1"/>
    <col min="63" max="63" width="12.7109375" style="1" customWidth="1" collapsed="1"/>
    <col min="64" max="67" width="12.7109375" style="1" customWidth="1"/>
    <col min="68" max="16384" width="9.28515625" style="1"/>
  </cols>
  <sheetData>
    <row r="2" spans="2:62" ht="21">
      <c r="B2" s="9" t="s">
        <v>283</v>
      </c>
      <c r="C2" s="322" t="s">
        <v>284</v>
      </c>
      <c r="D2" s="317" t="s">
        <v>284</v>
      </c>
      <c r="E2" s="317" t="s">
        <v>284</v>
      </c>
      <c r="F2" s="317" t="s">
        <v>284</v>
      </c>
      <c r="G2" s="317" t="s">
        <v>284</v>
      </c>
      <c r="H2" s="317" t="s">
        <v>284</v>
      </c>
      <c r="I2" s="317" t="s">
        <v>284</v>
      </c>
      <c r="J2" s="317" t="s">
        <v>284</v>
      </c>
      <c r="K2" s="317" t="s">
        <v>284</v>
      </c>
      <c r="L2" s="317" t="s">
        <v>284</v>
      </c>
      <c r="M2" s="317" t="s">
        <v>284</v>
      </c>
      <c r="N2" s="317" t="s">
        <v>284</v>
      </c>
      <c r="O2" s="317" t="s">
        <v>284</v>
      </c>
      <c r="P2" s="317" t="s">
        <v>284</v>
      </c>
      <c r="Q2" s="317" t="s">
        <v>285</v>
      </c>
      <c r="R2" s="275"/>
      <c r="S2" s="322" t="s">
        <v>286</v>
      </c>
      <c r="T2" s="322" t="s">
        <v>286</v>
      </c>
      <c r="U2" s="322" t="s">
        <v>286</v>
      </c>
      <c r="V2" s="322" t="s">
        <v>286</v>
      </c>
      <c r="W2" s="322" t="s">
        <v>286</v>
      </c>
      <c r="X2" s="322" t="s">
        <v>286</v>
      </c>
      <c r="Y2" s="322" t="s">
        <v>286</v>
      </c>
      <c r="Z2" s="322" t="s">
        <v>286</v>
      </c>
      <c r="AA2" s="322" t="s">
        <v>286</v>
      </c>
      <c r="AB2" s="322" t="s">
        <v>286</v>
      </c>
      <c r="AC2" s="322" t="s">
        <v>286</v>
      </c>
      <c r="AD2" s="322" t="s">
        <v>286</v>
      </c>
      <c r="AE2" s="322" t="s">
        <v>286</v>
      </c>
      <c r="AF2" s="322" t="s">
        <v>286</v>
      </c>
      <c r="AG2" s="322" t="s">
        <v>286</v>
      </c>
      <c r="AH2" s="322" t="s">
        <v>286</v>
      </c>
      <c r="AI2" s="322" t="s">
        <v>286</v>
      </c>
      <c r="AJ2" s="317" t="s">
        <v>286</v>
      </c>
      <c r="AK2" s="322" t="s">
        <v>286</v>
      </c>
      <c r="AL2" s="322" t="s">
        <v>286</v>
      </c>
      <c r="AM2" s="322" t="s">
        <v>286</v>
      </c>
      <c r="AN2" s="317" t="s">
        <v>286</v>
      </c>
      <c r="AO2" s="322" t="s">
        <v>286</v>
      </c>
      <c r="AP2" s="322" t="s">
        <v>286</v>
      </c>
      <c r="AQ2" s="322" t="s">
        <v>286</v>
      </c>
      <c r="AR2" s="317" t="s">
        <v>286</v>
      </c>
      <c r="AS2" s="322" t="s">
        <v>286</v>
      </c>
      <c r="AT2" s="322" t="s">
        <v>286</v>
      </c>
      <c r="AU2" s="322" t="s">
        <v>286</v>
      </c>
      <c r="AV2" s="317" t="s">
        <v>286</v>
      </c>
      <c r="AW2" s="322" t="s">
        <v>286</v>
      </c>
      <c r="AX2" s="322" t="s">
        <v>286</v>
      </c>
      <c r="AY2" s="322" t="s">
        <v>286</v>
      </c>
      <c r="AZ2" s="317" t="s">
        <v>286</v>
      </c>
      <c r="BA2" s="322" t="s">
        <v>286</v>
      </c>
      <c r="BB2" s="322" t="s">
        <v>286</v>
      </c>
      <c r="BC2" s="322" t="s">
        <v>286</v>
      </c>
      <c r="BD2" s="275"/>
      <c r="BF2" s="322" t="s">
        <v>286</v>
      </c>
      <c r="BG2" s="322" t="s">
        <v>286</v>
      </c>
      <c r="BH2" s="322" t="s">
        <v>286</v>
      </c>
      <c r="BI2" s="322" t="s">
        <v>286</v>
      </c>
      <c r="BJ2" s="322" t="s">
        <v>286</v>
      </c>
    </row>
    <row r="3" spans="2:62">
      <c r="B3" s="146" t="s">
        <v>58</v>
      </c>
      <c r="C3" s="12">
        <v>42707</v>
      </c>
      <c r="D3" s="13">
        <v>43100</v>
      </c>
      <c r="E3" s="13">
        <v>43465</v>
      </c>
      <c r="F3" s="13">
        <v>43830</v>
      </c>
      <c r="G3" s="13">
        <v>43830</v>
      </c>
      <c r="H3" s="13">
        <v>44196</v>
      </c>
      <c r="I3" s="13">
        <v>44561</v>
      </c>
      <c r="J3" s="13">
        <v>44561</v>
      </c>
      <c r="K3" s="13">
        <v>44926</v>
      </c>
      <c r="L3" s="13">
        <v>44926</v>
      </c>
      <c r="M3" s="13">
        <v>45291</v>
      </c>
      <c r="N3" s="13">
        <v>45291</v>
      </c>
      <c r="O3" s="13">
        <v>45657</v>
      </c>
      <c r="P3" s="13">
        <v>46022</v>
      </c>
      <c r="Q3" s="13">
        <f>BC3</f>
        <v>46112</v>
      </c>
      <c r="R3" s="207"/>
      <c r="S3" s="12">
        <v>42801</v>
      </c>
      <c r="T3" s="12">
        <v>42892</v>
      </c>
      <c r="U3" s="12">
        <v>42987</v>
      </c>
      <c r="V3" s="12">
        <v>43079</v>
      </c>
      <c r="W3" s="12">
        <v>43190</v>
      </c>
      <c r="X3" s="12">
        <v>43281</v>
      </c>
      <c r="Y3" s="12">
        <v>43373</v>
      </c>
      <c r="Z3" s="12">
        <v>43465</v>
      </c>
      <c r="AA3" s="12">
        <v>43555</v>
      </c>
      <c r="AB3" s="12">
        <v>43646</v>
      </c>
      <c r="AC3" s="12">
        <v>43738</v>
      </c>
      <c r="AD3" s="12">
        <v>43830</v>
      </c>
      <c r="AE3" s="12">
        <v>43921</v>
      </c>
      <c r="AF3" s="12">
        <v>44012</v>
      </c>
      <c r="AG3" s="12">
        <v>44104</v>
      </c>
      <c r="AH3" s="12">
        <v>44196</v>
      </c>
      <c r="AI3" s="12">
        <v>44286</v>
      </c>
      <c r="AJ3" s="13">
        <v>44377</v>
      </c>
      <c r="AK3" s="12">
        <v>44469</v>
      </c>
      <c r="AL3" s="12">
        <v>44561</v>
      </c>
      <c r="AM3" s="12">
        <v>44651</v>
      </c>
      <c r="AN3" s="13">
        <v>44742</v>
      </c>
      <c r="AO3" s="12">
        <v>44834</v>
      </c>
      <c r="AP3" s="12">
        <v>44926</v>
      </c>
      <c r="AQ3" s="12">
        <v>45016</v>
      </c>
      <c r="AR3" s="13">
        <v>45107</v>
      </c>
      <c r="AS3" s="12">
        <v>45199</v>
      </c>
      <c r="AT3" s="12">
        <v>45291</v>
      </c>
      <c r="AU3" s="12">
        <v>45382</v>
      </c>
      <c r="AV3" s="13">
        <v>45473</v>
      </c>
      <c r="AW3" s="12">
        <v>45565</v>
      </c>
      <c r="AX3" s="12">
        <v>45657</v>
      </c>
      <c r="AY3" s="12">
        <v>45747</v>
      </c>
      <c r="AZ3" s="13">
        <v>45838</v>
      </c>
      <c r="BA3" s="12">
        <v>45930</v>
      </c>
      <c r="BB3" s="12">
        <v>46022</v>
      </c>
      <c r="BC3" s="12">
        <v>46112</v>
      </c>
      <c r="BD3" s="207"/>
      <c r="BF3" s="12">
        <v>43830</v>
      </c>
      <c r="BG3" s="12">
        <v>44286</v>
      </c>
      <c r="BH3" s="12">
        <v>44377</v>
      </c>
      <c r="BI3" s="12">
        <v>44469</v>
      </c>
      <c r="BJ3" s="12">
        <v>44560</v>
      </c>
    </row>
    <row r="4" spans="2:62">
      <c r="B4" s="146"/>
      <c r="C4" s="12" t="s">
        <v>287</v>
      </c>
      <c r="D4" s="12" t="s">
        <v>287</v>
      </c>
      <c r="E4" s="12" t="s">
        <v>287</v>
      </c>
      <c r="F4" s="12" t="s">
        <v>287</v>
      </c>
      <c r="G4" s="12" t="s">
        <v>287</v>
      </c>
      <c r="H4" s="12" t="s">
        <v>287</v>
      </c>
      <c r="I4" s="12" t="s">
        <v>287</v>
      </c>
      <c r="J4" s="12" t="s">
        <v>287</v>
      </c>
      <c r="K4" s="12" t="s">
        <v>287</v>
      </c>
      <c r="L4" s="12" t="s">
        <v>287</v>
      </c>
      <c r="M4" s="12" t="s">
        <v>287</v>
      </c>
      <c r="N4" s="12" t="s">
        <v>287</v>
      </c>
      <c r="O4" s="12" t="s">
        <v>287</v>
      </c>
      <c r="P4" s="12" t="s">
        <v>287</v>
      </c>
      <c r="Q4" s="12" t="s">
        <v>287</v>
      </c>
      <c r="R4" s="207"/>
      <c r="S4" s="329" t="s">
        <v>287</v>
      </c>
      <c r="T4" s="329" t="s">
        <v>287</v>
      </c>
      <c r="U4" s="329" t="s">
        <v>287</v>
      </c>
      <c r="V4" s="329" t="s">
        <v>287</v>
      </c>
      <c r="W4" s="329" t="s">
        <v>287</v>
      </c>
      <c r="X4" s="329" t="s">
        <v>287</v>
      </c>
      <c r="Y4" s="329" t="s">
        <v>287</v>
      </c>
      <c r="Z4" s="329" t="s">
        <v>287</v>
      </c>
      <c r="AA4" s="329" t="s">
        <v>287</v>
      </c>
      <c r="AB4" s="329" t="s">
        <v>287</v>
      </c>
      <c r="AC4" s="329" t="s">
        <v>287</v>
      </c>
      <c r="AD4" s="329" t="s">
        <v>287</v>
      </c>
      <c r="AE4" s="329" t="s">
        <v>287</v>
      </c>
      <c r="AF4" s="329" t="s">
        <v>287</v>
      </c>
      <c r="AG4" s="329" t="s">
        <v>287</v>
      </c>
      <c r="AH4" s="329" t="s">
        <v>287</v>
      </c>
      <c r="AI4" s="329" t="s">
        <v>287</v>
      </c>
      <c r="AJ4" s="329" t="s">
        <v>287</v>
      </c>
      <c r="AK4" s="329" t="s">
        <v>287</v>
      </c>
      <c r="AL4" s="329" t="s">
        <v>287</v>
      </c>
      <c r="AM4" s="329" t="s">
        <v>287</v>
      </c>
      <c r="AN4" s="329" t="s">
        <v>287</v>
      </c>
      <c r="AO4" s="329" t="s">
        <v>287</v>
      </c>
      <c r="AP4" s="329" t="s">
        <v>287</v>
      </c>
      <c r="AQ4" s="329" t="s">
        <v>287</v>
      </c>
      <c r="AR4" s="329" t="s">
        <v>287</v>
      </c>
      <c r="AS4" s="329" t="s">
        <v>287</v>
      </c>
      <c r="AT4" s="329" t="s">
        <v>287</v>
      </c>
      <c r="AU4" s="329" t="s">
        <v>287</v>
      </c>
      <c r="AV4" s="329" t="s">
        <v>287</v>
      </c>
      <c r="AW4" s="329" t="s">
        <v>287</v>
      </c>
      <c r="AX4" s="329" t="s">
        <v>287</v>
      </c>
      <c r="AY4" s="329" t="s">
        <v>287</v>
      </c>
      <c r="AZ4" s="329" t="s">
        <v>287</v>
      </c>
      <c r="BA4" s="329" t="s">
        <v>287</v>
      </c>
      <c r="BB4" s="329" t="s">
        <v>287</v>
      </c>
      <c r="BC4" s="329" t="s">
        <v>287</v>
      </c>
      <c r="BD4" s="207"/>
      <c r="BF4" s="12"/>
      <c r="BG4" s="12"/>
      <c r="BH4" s="12"/>
      <c r="BI4" s="12"/>
      <c r="BJ4" s="12"/>
    </row>
    <row r="5" spans="2:62">
      <c r="B5" s="5"/>
      <c r="C5" s="222" t="s">
        <v>288</v>
      </c>
      <c r="D5" s="222" t="s">
        <v>288</v>
      </c>
      <c r="E5" s="222" t="s">
        <v>288</v>
      </c>
      <c r="F5" s="222" t="s">
        <v>288</v>
      </c>
      <c r="G5" s="222" t="s">
        <v>288</v>
      </c>
      <c r="H5" s="222" t="s">
        <v>288</v>
      </c>
      <c r="I5" s="222" t="s">
        <v>288</v>
      </c>
      <c r="J5" s="222" t="s">
        <v>288</v>
      </c>
      <c r="K5" s="222" t="s">
        <v>288</v>
      </c>
      <c r="L5" s="222" t="s">
        <v>288</v>
      </c>
      <c r="M5" s="222" t="s">
        <v>288</v>
      </c>
      <c r="N5" s="222" t="s">
        <v>288</v>
      </c>
      <c r="O5" s="222" t="s">
        <v>288</v>
      </c>
      <c r="P5" s="222" t="s">
        <v>288</v>
      </c>
      <c r="Q5" s="343" t="s">
        <v>285</v>
      </c>
      <c r="R5" s="207"/>
      <c r="S5" s="222" t="s">
        <v>289</v>
      </c>
      <c r="T5" s="222" t="s">
        <v>290</v>
      </c>
      <c r="U5" s="222" t="s">
        <v>291</v>
      </c>
      <c r="V5" s="222" t="s">
        <v>292</v>
      </c>
      <c r="W5" s="222" t="s">
        <v>289</v>
      </c>
      <c r="X5" s="222" t="s">
        <v>290</v>
      </c>
      <c r="Y5" s="222" t="s">
        <v>291</v>
      </c>
      <c r="Z5" s="222" t="s">
        <v>292</v>
      </c>
      <c r="AA5" s="222" t="s">
        <v>289</v>
      </c>
      <c r="AB5" s="222" t="s">
        <v>290</v>
      </c>
      <c r="AC5" s="222" t="s">
        <v>291</v>
      </c>
      <c r="AD5" s="222" t="s">
        <v>292</v>
      </c>
      <c r="AE5" s="222" t="s">
        <v>289</v>
      </c>
      <c r="AF5" s="222" t="s">
        <v>290</v>
      </c>
      <c r="AG5" s="222" t="s">
        <v>291</v>
      </c>
      <c r="AH5" s="222" t="s">
        <v>292</v>
      </c>
      <c r="AI5" s="222" t="s">
        <v>289</v>
      </c>
      <c r="AJ5" s="222" t="s">
        <v>290</v>
      </c>
      <c r="AK5" s="222" t="s">
        <v>291</v>
      </c>
      <c r="AL5" s="222" t="s">
        <v>292</v>
      </c>
      <c r="AM5" s="222" t="s">
        <v>289</v>
      </c>
      <c r="AN5" s="222" t="s">
        <v>290</v>
      </c>
      <c r="AO5" s="222" t="s">
        <v>291</v>
      </c>
      <c r="AP5" s="222" t="s">
        <v>292</v>
      </c>
      <c r="AQ5" s="222" t="s">
        <v>289</v>
      </c>
      <c r="AR5" s="222" t="s">
        <v>290</v>
      </c>
      <c r="AS5" s="222" t="s">
        <v>291</v>
      </c>
      <c r="AT5" s="222" t="s">
        <v>292</v>
      </c>
      <c r="AU5" s="222" t="s">
        <v>289</v>
      </c>
      <c r="AV5" s="222" t="s">
        <v>290</v>
      </c>
      <c r="AW5" s="222" t="s">
        <v>291</v>
      </c>
      <c r="AX5" s="376" t="s">
        <v>292</v>
      </c>
      <c r="AY5" s="222" t="s">
        <v>289</v>
      </c>
      <c r="AZ5" s="222" t="s">
        <v>290</v>
      </c>
      <c r="BA5" s="222" t="s">
        <v>291</v>
      </c>
      <c r="BB5" s="376" t="s">
        <v>292</v>
      </c>
      <c r="BC5" s="222" t="s">
        <v>289</v>
      </c>
      <c r="BD5" s="222"/>
      <c r="BE5" s="222"/>
      <c r="BF5" s="222" t="s">
        <v>292</v>
      </c>
      <c r="BG5" s="222" t="s">
        <v>289</v>
      </c>
      <c r="BH5" s="222" t="s">
        <v>290</v>
      </c>
      <c r="BI5" s="222" t="s">
        <v>291</v>
      </c>
      <c r="BJ5" s="222" t="s">
        <v>292</v>
      </c>
    </row>
    <row r="6" spans="2:62">
      <c r="B6" s="10"/>
      <c r="C6" s="326"/>
      <c r="D6" s="326"/>
      <c r="E6" s="326"/>
      <c r="F6" s="326"/>
      <c r="G6" s="323" t="s">
        <v>295</v>
      </c>
      <c r="H6" s="326"/>
      <c r="I6" s="326"/>
      <c r="J6" s="323" t="s">
        <v>295</v>
      </c>
      <c r="K6" s="326"/>
      <c r="L6" s="323" t="s">
        <v>295</v>
      </c>
      <c r="M6" s="326"/>
      <c r="N6" s="323" t="s">
        <v>295</v>
      </c>
      <c r="O6" s="326"/>
      <c r="P6" s="326"/>
      <c r="Q6" s="327"/>
      <c r="R6" s="207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270"/>
      <c r="BF6" s="328" t="s">
        <v>295</v>
      </c>
      <c r="BG6" s="328" t="s">
        <v>295</v>
      </c>
      <c r="BH6" s="328" t="s">
        <v>295</v>
      </c>
      <c r="BI6" s="328" t="s">
        <v>295</v>
      </c>
      <c r="BJ6" s="328" t="s">
        <v>295</v>
      </c>
    </row>
    <row r="7" spans="2:62">
      <c r="B7" s="5"/>
      <c r="C7" s="222"/>
      <c r="D7" s="222"/>
      <c r="E7" s="222"/>
      <c r="F7" s="222"/>
      <c r="G7" s="324"/>
      <c r="H7" s="222"/>
      <c r="I7" s="222"/>
      <c r="J7" s="324"/>
      <c r="K7" s="222"/>
      <c r="L7" s="324"/>
      <c r="M7" s="222"/>
      <c r="N7" s="324"/>
      <c r="O7" s="222"/>
      <c r="P7" s="222"/>
      <c r="Q7" s="20"/>
      <c r="R7" s="207"/>
      <c r="S7" s="270"/>
      <c r="T7" s="270"/>
      <c r="U7" s="270"/>
      <c r="V7" s="270"/>
      <c r="W7" s="270"/>
      <c r="X7" s="270"/>
      <c r="Y7" s="270"/>
      <c r="Z7" s="270"/>
      <c r="AA7" s="270"/>
      <c r="AB7" s="270"/>
      <c r="AC7" s="270"/>
      <c r="AD7" s="270"/>
      <c r="AE7" s="270"/>
      <c r="AF7" s="270"/>
      <c r="AG7" s="270"/>
      <c r="AH7" s="270"/>
      <c r="AI7" s="270"/>
      <c r="AJ7" s="270"/>
      <c r="AK7" s="270"/>
      <c r="AL7" s="270"/>
      <c r="AM7" s="270"/>
      <c r="AN7" s="270"/>
      <c r="AO7" s="270"/>
      <c r="AP7" s="270"/>
      <c r="AQ7" s="270"/>
      <c r="AR7" s="270"/>
      <c r="AS7" s="270"/>
      <c r="AT7" s="270"/>
      <c r="AU7" s="270"/>
      <c r="AV7" s="270"/>
      <c r="AW7" s="270"/>
      <c r="AX7" s="270"/>
      <c r="AY7" s="270"/>
      <c r="AZ7" s="270"/>
      <c r="BA7" s="270"/>
      <c r="BB7" s="270"/>
      <c r="BC7" s="270"/>
      <c r="BD7" s="270"/>
      <c r="BF7" s="325"/>
      <c r="BG7" s="270"/>
      <c r="BH7" s="270"/>
      <c r="BI7" s="270"/>
      <c r="BJ7" s="270"/>
    </row>
    <row r="8" spans="2:62" hidden="1" outlineLevel="1">
      <c r="B8" s="5" t="s">
        <v>406</v>
      </c>
      <c r="R8" s="207"/>
    </row>
    <row r="9" spans="2:62" hidden="1" outlineLevel="1">
      <c r="B9" s="1" t="s">
        <v>407</v>
      </c>
      <c r="C9" s="358"/>
      <c r="D9" s="4">
        <v>33997.199999999997</v>
      </c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  <c r="R9" s="207"/>
      <c r="S9" s="360"/>
      <c r="T9" s="4">
        <v>8075.9</v>
      </c>
      <c r="U9" s="4">
        <v>8024.9</v>
      </c>
      <c r="V9" s="360"/>
      <c r="W9" s="360"/>
      <c r="X9" s="360"/>
      <c r="Y9" s="360"/>
      <c r="Z9" s="360"/>
      <c r="AA9" s="360"/>
      <c r="AB9" s="360"/>
      <c r="AC9" s="360"/>
      <c r="AD9" s="360"/>
      <c r="AE9" s="360"/>
      <c r="AF9" s="360"/>
      <c r="AG9" s="360"/>
      <c r="AH9" s="360"/>
      <c r="AI9" s="360"/>
      <c r="AJ9" s="360"/>
      <c r="AK9" s="360"/>
      <c r="AL9" s="360"/>
      <c r="AM9" s="360"/>
      <c r="AN9" s="360"/>
      <c r="AO9" s="360"/>
      <c r="AP9" s="360"/>
      <c r="AQ9" s="360"/>
      <c r="AR9" s="360"/>
      <c r="AS9" s="360"/>
      <c r="AT9" s="360"/>
      <c r="AU9" s="360"/>
      <c r="AV9" s="360"/>
      <c r="AW9" s="360"/>
      <c r="AX9" s="360"/>
      <c r="AY9" s="360"/>
      <c r="AZ9" s="360"/>
      <c r="BA9" s="360"/>
      <c r="BB9" s="360"/>
      <c r="BC9" s="360"/>
      <c r="BD9" s="4"/>
      <c r="BF9" s="360"/>
      <c r="BG9" s="360"/>
      <c r="BH9" s="360"/>
      <c r="BI9" s="360"/>
      <c r="BJ9" s="360"/>
    </row>
    <row r="10" spans="2:62" hidden="1" outlineLevel="1">
      <c r="B10" s="1" t="s">
        <v>408</v>
      </c>
      <c r="C10" s="358"/>
      <c r="D10" s="360"/>
      <c r="E10" s="359"/>
      <c r="F10" s="359"/>
      <c r="G10" s="359"/>
      <c r="H10" s="359"/>
      <c r="I10" s="359"/>
      <c r="J10" s="359"/>
      <c r="K10" s="359"/>
      <c r="L10" s="359"/>
      <c r="M10" s="359"/>
      <c r="N10" s="359"/>
      <c r="O10" s="359"/>
      <c r="P10" s="359"/>
      <c r="Q10" s="359"/>
      <c r="R10" s="207"/>
      <c r="S10" s="360"/>
      <c r="T10" s="360"/>
      <c r="U10" s="360"/>
      <c r="V10" s="360"/>
      <c r="W10" s="360"/>
      <c r="X10" s="360"/>
      <c r="Y10" s="360"/>
      <c r="Z10" s="360"/>
      <c r="AA10" s="360"/>
      <c r="AB10" s="360"/>
      <c r="AC10" s="360"/>
      <c r="AD10" s="360"/>
      <c r="AE10" s="360"/>
      <c r="AF10" s="360"/>
      <c r="AG10" s="360"/>
      <c r="AH10" s="360"/>
      <c r="AI10" s="360"/>
      <c r="AJ10" s="360"/>
      <c r="AK10" s="360"/>
      <c r="AL10" s="360"/>
      <c r="AM10" s="360"/>
      <c r="AN10" s="360"/>
      <c r="AO10" s="360"/>
      <c r="AP10" s="360"/>
      <c r="AQ10" s="360"/>
      <c r="AR10" s="360"/>
      <c r="AS10" s="360"/>
      <c r="AT10" s="360"/>
      <c r="AU10" s="360"/>
      <c r="AV10" s="360"/>
      <c r="AW10" s="360"/>
      <c r="AX10" s="360"/>
      <c r="AY10" s="360"/>
      <c r="AZ10" s="360"/>
      <c r="BA10" s="360"/>
      <c r="BB10" s="360"/>
      <c r="BC10" s="360"/>
      <c r="BD10" s="4"/>
      <c r="BF10" s="360"/>
      <c r="BG10" s="360"/>
      <c r="BH10" s="360"/>
      <c r="BI10" s="360"/>
      <c r="BJ10" s="360"/>
    </row>
    <row r="11" spans="2:62" s="5" customFormat="1" hidden="1" outlineLevel="1">
      <c r="B11" s="5" t="s">
        <v>409</v>
      </c>
      <c r="C11" s="24">
        <v>36686.699999999997</v>
      </c>
      <c r="D11" s="7">
        <f>+D9+D10</f>
        <v>33997.199999999997</v>
      </c>
      <c r="E11" s="24">
        <v>36490.1</v>
      </c>
      <c r="F11" s="24">
        <v>34795.5</v>
      </c>
      <c r="G11" s="24">
        <v>35060.5</v>
      </c>
      <c r="H11" s="24">
        <v>32613</v>
      </c>
      <c r="I11" s="24">
        <v>35941.917999999998</v>
      </c>
      <c r="J11" s="24">
        <v>0</v>
      </c>
      <c r="K11" s="24">
        <v>0</v>
      </c>
      <c r="L11" s="24">
        <v>0</v>
      </c>
      <c r="M11" s="24">
        <v>0</v>
      </c>
      <c r="N11" s="24">
        <v>0</v>
      </c>
      <c r="O11" s="24">
        <v>0</v>
      </c>
      <c r="P11" s="369"/>
      <c r="Q11" s="369"/>
      <c r="R11" s="207"/>
      <c r="S11" s="24">
        <v>7290.7</v>
      </c>
      <c r="T11" s="7">
        <f>+T9+T10</f>
        <v>8075.9</v>
      </c>
      <c r="U11" s="7">
        <f>+U9+U10</f>
        <v>8024.9</v>
      </c>
      <c r="V11" s="7">
        <f>D11-U11-T11-S11</f>
        <v>10605.699999999993</v>
      </c>
      <c r="W11" s="24">
        <v>7899.4</v>
      </c>
      <c r="X11" s="24">
        <v>9247.9</v>
      </c>
      <c r="Y11" s="24">
        <v>8700</v>
      </c>
      <c r="Z11" s="7">
        <f>E11-Y11-X11-W11</f>
        <v>10642.799999999997</v>
      </c>
      <c r="AA11" s="24">
        <v>7184.9</v>
      </c>
      <c r="AB11" s="24">
        <v>8050</v>
      </c>
      <c r="AC11" s="24">
        <v>8659</v>
      </c>
      <c r="AD11" s="7">
        <f>F11-AC11-AB11-AA11</f>
        <v>10901.6</v>
      </c>
      <c r="AE11" s="24">
        <v>6727.6</v>
      </c>
      <c r="AF11" s="24">
        <v>6740.6</v>
      </c>
      <c r="AG11" s="24">
        <v>8033.4</v>
      </c>
      <c r="AH11" s="7">
        <f>H11-AG11-AF11-AE11</f>
        <v>11111.4</v>
      </c>
      <c r="AI11" s="24">
        <v>7416.1</v>
      </c>
      <c r="AJ11" s="24">
        <v>7856.8</v>
      </c>
      <c r="AK11" s="24">
        <v>9109.7999999999993</v>
      </c>
      <c r="AL11" s="7">
        <f>I11-AK11-AJ11-AI11</f>
        <v>11559.217999999999</v>
      </c>
      <c r="AM11" s="24">
        <v>0</v>
      </c>
      <c r="AN11" s="24">
        <v>0</v>
      </c>
      <c r="AO11" s="24">
        <v>0</v>
      </c>
      <c r="AP11" s="7">
        <f>K11-AO11-AN11-AM11</f>
        <v>0</v>
      </c>
      <c r="AQ11" s="24">
        <v>0</v>
      </c>
      <c r="AR11" s="24">
        <v>0</v>
      </c>
      <c r="AS11" s="24">
        <v>0</v>
      </c>
      <c r="AT11" s="7">
        <f>N11-AS11-AR11-AQ11</f>
        <v>0</v>
      </c>
      <c r="AU11" s="24">
        <v>0</v>
      </c>
      <c r="AV11" s="24">
        <v>0</v>
      </c>
      <c r="AW11" s="24">
        <v>0</v>
      </c>
      <c r="AX11" s="7">
        <f>O11-SUM(AU11:AW11)</f>
        <v>0</v>
      </c>
      <c r="AY11" s="24">
        <v>0</v>
      </c>
      <c r="AZ11" s="24">
        <v>0</v>
      </c>
      <c r="BA11" s="24">
        <v>0</v>
      </c>
      <c r="BB11" s="369"/>
      <c r="BC11" s="24">
        <v>0</v>
      </c>
      <c r="BD11" s="24"/>
      <c r="BF11" s="7">
        <f>G11-AC11-AB11-AA11</f>
        <v>11166.6</v>
      </c>
      <c r="BG11" s="24">
        <v>0</v>
      </c>
      <c r="BH11" s="24">
        <v>0</v>
      </c>
      <c r="BI11" s="24">
        <v>0</v>
      </c>
      <c r="BJ11" s="7">
        <f t="shared" ref="BJ11:BJ20" si="0">J11-BG11-BH11-BI11</f>
        <v>0</v>
      </c>
    </row>
    <row r="12" spans="2:62" hidden="1" outlineLevel="1">
      <c r="B12" s="1" t="s">
        <v>410</v>
      </c>
      <c r="C12" s="4">
        <v>21941.200000000001</v>
      </c>
      <c r="D12" s="4">
        <v>22196.6</v>
      </c>
      <c r="E12" s="4">
        <v>22002.2</v>
      </c>
      <c r="F12" s="4">
        <v>21347.1</v>
      </c>
      <c r="G12" s="4">
        <v>21347.1</v>
      </c>
      <c r="H12" s="4">
        <v>22134.7</v>
      </c>
      <c r="I12" s="4">
        <v>22026.616000000002</v>
      </c>
      <c r="J12" s="4">
        <v>22026.616000000002</v>
      </c>
      <c r="K12" s="4">
        <v>20339.038</v>
      </c>
      <c r="L12" s="4">
        <v>20339.038</v>
      </c>
      <c r="M12" s="4">
        <v>17585.2</v>
      </c>
      <c r="N12" s="4">
        <v>17585.174999999999</v>
      </c>
      <c r="O12" s="4">
        <v>15337.288</v>
      </c>
      <c r="P12" s="360"/>
      <c r="Q12" s="360"/>
      <c r="R12" s="207"/>
      <c r="S12" s="4">
        <v>5540.6</v>
      </c>
      <c r="T12" s="4">
        <v>5641.9</v>
      </c>
      <c r="U12" s="4">
        <v>5445.2</v>
      </c>
      <c r="V12" s="32">
        <f>D12-U12-T12-S12</f>
        <v>5568.8999999999978</v>
      </c>
      <c r="W12" s="4">
        <v>5474.2</v>
      </c>
      <c r="X12" s="4">
        <v>5658.8</v>
      </c>
      <c r="Y12" s="4">
        <v>5407.3</v>
      </c>
      <c r="Z12" s="32">
        <f>E12-Y12-X12-W12</f>
        <v>5461.9000000000024</v>
      </c>
      <c r="AA12" s="4">
        <v>5281.6</v>
      </c>
      <c r="AB12" s="4">
        <v>5348.1</v>
      </c>
      <c r="AC12" s="4">
        <v>5338.3</v>
      </c>
      <c r="AD12" s="32">
        <f>F12-AC12-AB12-AA12</f>
        <v>5379.0999999999985</v>
      </c>
      <c r="AE12" s="4">
        <v>5405.3</v>
      </c>
      <c r="AF12" s="4">
        <v>5514.7</v>
      </c>
      <c r="AG12" s="4">
        <v>5597.9</v>
      </c>
      <c r="AH12" s="32">
        <f>H12-AG12-AF12-AE12</f>
        <v>5616.800000000002</v>
      </c>
      <c r="AI12" s="4">
        <v>5624.8</v>
      </c>
      <c r="AJ12" s="4">
        <v>5570.1</v>
      </c>
      <c r="AK12" s="4">
        <v>5459.4</v>
      </c>
      <c r="AL12" s="32">
        <f>J12-AK12-AJ12-AI12</f>
        <v>5372.3159999999998</v>
      </c>
      <c r="AM12" s="4">
        <v>5275.7</v>
      </c>
      <c r="AN12" s="4">
        <v>5140.1000000000004</v>
      </c>
      <c r="AO12" s="4">
        <v>4986.6000000000004</v>
      </c>
      <c r="AP12" s="32">
        <f>K12-AO12-AN12-AM12</f>
        <v>4936.6379999999999</v>
      </c>
      <c r="AQ12" s="4">
        <v>4657.6000000000004</v>
      </c>
      <c r="AR12" s="4">
        <v>4449.5</v>
      </c>
      <c r="AS12" s="4">
        <v>4296.6000000000004</v>
      </c>
      <c r="AT12" s="32">
        <f>N12-AS12-AR12-AQ12</f>
        <v>4181.4749999999985</v>
      </c>
      <c r="AU12" s="4">
        <v>4083.6</v>
      </c>
      <c r="AV12" s="4">
        <v>3858.3</v>
      </c>
      <c r="AW12" s="4">
        <v>3731.1</v>
      </c>
      <c r="AX12" s="32">
        <f>O12-SUM(AU12:AW12)</f>
        <v>3664.2880000000005</v>
      </c>
      <c r="AY12" s="4">
        <v>3544</v>
      </c>
      <c r="AZ12" s="4">
        <v>3229.5</v>
      </c>
      <c r="BA12" s="4">
        <v>3051</v>
      </c>
      <c r="BB12" s="360"/>
      <c r="BC12" s="4">
        <v>3544</v>
      </c>
      <c r="BD12" s="4"/>
      <c r="BF12" s="32">
        <f>G12-AC12-AB12-AA12</f>
        <v>5379.0999999999985</v>
      </c>
      <c r="BG12" s="4">
        <v>5624.8</v>
      </c>
      <c r="BH12" s="4">
        <v>5570.1</v>
      </c>
      <c r="BI12" s="4">
        <v>5459.4</v>
      </c>
      <c r="BJ12" s="32">
        <f t="shared" si="0"/>
        <v>5372.3160000000025</v>
      </c>
    </row>
    <row r="13" spans="2:62" hidden="1" outlineLevel="1">
      <c r="B13" s="1" t="s">
        <v>411</v>
      </c>
      <c r="C13" s="4">
        <v>31891.599999999999</v>
      </c>
      <c r="D13" s="4">
        <v>33048.300000000003</v>
      </c>
      <c r="E13" s="4">
        <v>36233</v>
      </c>
      <c r="F13" s="4">
        <v>41702</v>
      </c>
      <c r="G13" s="4">
        <v>41702</v>
      </c>
      <c r="H13" s="4">
        <v>45367.1</v>
      </c>
      <c r="I13" s="4">
        <v>48020.928999999996</v>
      </c>
      <c r="J13" s="4">
        <v>48020.928999999996</v>
      </c>
      <c r="K13" s="4">
        <v>48411.775999999998</v>
      </c>
      <c r="L13" s="4">
        <v>48411.775999999998</v>
      </c>
      <c r="M13" s="4">
        <v>48802.5</v>
      </c>
      <c r="N13" s="4">
        <v>48802.544000000002</v>
      </c>
      <c r="O13" s="4">
        <v>47393.110999999997</v>
      </c>
      <c r="P13" s="360"/>
      <c r="Q13" s="360"/>
      <c r="R13" s="207"/>
      <c r="S13" s="4">
        <v>8096.3</v>
      </c>
      <c r="T13" s="4">
        <v>8036.7</v>
      </c>
      <c r="U13" s="4">
        <v>8322.5</v>
      </c>
      <c r="V13" s="32">
        <f>D13-U13-T13-S13</f>
        <v>8592.8000000000029</v>
      </c>
      <c r="W13" s="4">
        <v>8669.7000000000007</v>
      </c>
      <c r="X13" s="4">
        <v>8825.7000000000007</v>
      </c>
      <c r="Y13" s="4">
        <v>9219.9</v>
      </c>
      <c r="Z13" s="32">
        <f>E13-Y13-X13-W13</f>
        <v>9517.6999999999971</v>
      </c>
      <c r="AA13" s="4">
        <v>9898.1</v>
      </c>
      <c r="AB13" s="4">
        <v>10215.700000000001</v>
      </c>
      <c r="AC13" s="4">
        <v>10572.1</v>
      </c>
      <c r="AD13" s="32">
        <f>F13-AC13-AB13-AA13</f>
        <v>11016.1</v>
      </c>
      <c r="AE13" s="4">
        <v>10824.7</v>
      </c>
      <c r="AF13" s="4">
        <v>11308.8</v>
      </c>
      <c r="AG13" s="4">
        <v>11407.9</v>
      </c>
      <c r="AH13" s="32">
        <f>H13-AG13-AF13-AE13</f>
        <v>11825.699999999997</v>
      </c>
      <c r="AI13" s="4">
        <v>11676.5</v>
      </c>
      <c r="AJ13" s="4">
        <v>11981.6</v>
      </c>
      <c r="AK13" s="4">
        <v>12066.6</v>
      </c>
      <c r="AL13" s="32">
        <f>J13-AK13-AJ13-AI13</f>
        <v>12296.228999999999</v>
      </c>
      <c r="AM13" s="4">
        <v>11804.5</v>
      </c>
      <c r="AN13" s="4">
        <v>11750</v>
      </c>
      <c r="AO13" s="4">
        <v>12394</v>
      </c>
      <c r="AP13" s="32">
        <f>K13-AO13-AN13-AM13</f>
        <v>12463.275999999998</v>
      </c>
      <c r="AQ13" s="4">
        <v>12122.7</v>
      </c>
      <c r="AR13" s="4">
        <v>12291.5</v>
      </c>
      <c r="AS13" s="4">
        <v>12147.9</v>
      </c>
      <c r="AT13" s="32">
        <f>N13-AS13-AR13-AQ13</f>
        <v>12240.444</v>
      </c>
      <c r="AU13" s="4">
        <v>11908.7</v>
      </c>
      <c r="AV13" s="4">
        <v>11904.8</v>
      </c>
      <c r="AW13" s="4">
        <v>11675.4</v>
      </c>
      <c r="AX13" s="32">
        <f>O13-SUM(AU13:AW13)</f>
        <v>11904.210999999996</v>
      </c>
      <c r="AY13" s="4">
        <v>11537.7</v>
      </c>
      <c r="AZ13" s="4">
        <v>11602</v>
      </c>
      <c r="BA13" s="4">
        <v>11679.8</v>
      </c>
      <c r="BB13" s="360"/>
      <c r="BC13" s="4">
        <v>11537.7</v>
      </c>
      <c r="BD13" s="4"/>
      <c r="BF13" s="32">
        <f>G13-AC13-AB13-AA13</f>
        <v>11016.1</v>
      </c>
      <c r="BG13" s="4">
        <v>11676.5</v>
      </c>
      <c r="BH13" s="4">
        <v>11981.6</v>
      </c>
      <c r="BI13" s="4">
        <v>12066.6</v>
      </c>
      <c r="BJ13" s="32">
        <f t="shared" si="0"/>
        <v>12296.228999999998</v>
      </c>
    </row>
    <row r="14" spans="2:62" hidden="1" outlineLevel="1">
      <c r="B14" s="1" t="s">
        <v>412</v>
      </c>
      <c r="C14" s="4">
        <v>8828.2999999999993</v>
      </c>
      <c r="D14" s="4">
        <v>7688.3</v>
      </c>
      <c r="E14" s="4">
        <v>8635.5</v>
      </c>
      <c r="F14" s="4">
        <v>8200.2999999999993</v>
      </c>
      <c r="G14" s="4">
        <v>8200.2999999999993</v>
      </c>
      <c r="H14" s="4">
        <v>4276</v>
      </c>
      <c r="I14" s="4">
        <v>5029.067</v>
      </c>
      <c r="J14" s="4">
        <v>4388.2</v>
      </c>
      <c r="K14" s="4">
        <v>7338.79</v>
      </c>
      <c r="L14" s="4">
        <v>0</v>
      </c>
      <c r="M14" s="4">
        <v>7870.6</v>
      </c>
      <c r="N14" s="4">
        <v>0</v>
      </c>
      <c r="O14" s="4">
        <v>0</v>
      </c>
      <c r="P14" s="360"/>
      <c r="Q14" s="360"/>
      <c r="R14" s="207"/>
      <c r="S14" s="4">
        <v>1758.6</v>
      </c>
      <c r="T14" s="4">
        <v>2009.6</v>
      </c>
      <c r="U14" s="4">
        <v>1801.7</v>
      </c>
      <c r="V14" s="32">
        <f>D14-U14-T14-S14</f>
        <v>2118.4000000000005</v>
      </c>
      <c r="W14" s="4">
        <v>1778.4</v>
      </c>
      <c r="X14" s="4">
        <v>2312.6</v>
      </c>
      <c r="Y14" s="4">
        <v>1946.5</v>
      </c>
      <c r="Z14" s="32">
        <f>E14-Y14-X14-W14</f>
        <v>2597.9999999999995</v>
      </c>
      <c r="AA14" s="4">
        <v>2260.3000000000002</v>
      </c>
      <c r="AB14" s="4">
        <v>1946.5</v>
      </c>
      <c r="AC14" s="4">
        <v>2633.1</v>
      </c>
      <c r="AD14" s="32">
        <f>F14-AC14-AB14-AA14</f>
        <v>1360.3999999999987</v>
      </c>
      <c r="AE14" s="4">
        <v>1756.5</v>
      </c>
      <c r="AF14" s="4">
        <v>567.1</v>
      </c>
      <c r="AG14" s="4">
        <v>782.5</v>
      </c>
      <c r="AH14" s="32">
        <f>H14-AG14-AF14-AE14</f>
        <v>1169.9000000000001</v>
      </c>
      <c r="AI14" s="4">
        <v>951.5</v>
      </c>
      <c r="AJ14" s="4">
        <v>1220.2</v>
      </c>
      <c r="AK14" s="4">
        <v>1409.1</v>
      </c>
      <c r="AL14" s="32">
        <f>J14-AK14-AJ14-AI14</f>
        <v>807.39999999999986</v>
      </c>
      <c r="AM14" s="4">
        <v>1661.1</v>
      </c>
      <c r="AN14" s="4">
        <v>1742.7</v>
      </c>
      <c r="AO14" s="4">
        <v>1932.7</v>
      </c>
      <c r="AP14" s="32">
        <f>K14-AO14-AN14-AM14</f>
        <v>2002.2900000000004</v>
      </c>
      <c r="AQ14" s="4">
        <v>1850.3</v>
      </c>
      <c r="AR14" s="4">
        <v>1917.6</v>
      </c>
      <c r="AS14" s="4">
        <v>1974.7</v>
      </c>
      <c r="AT14" s="32">
        <f>N14-AS14-AR14-AQ14</f>
        <v>-5742.6</v>
      </c>
      <c r="AU14" s="4">
        <v>0</v>
      </c>
      <c r="AV14" s="4">
        <v>0</v>
      </c>
      <c r="AW14" s="4">
        <v>0</v>
      </c>
      <c r="AX14" s="32">
        <f>O14-SUM(AU14:AW14)</f>
        <v>0</v>
      </c>
      <c r="AY14" s="4">
        <v>0</v>
      </c>
      <c r="AZ14" s="4">
        <v>0</v>
      </c>
      <c r="BA14" s="4">
        <v>0</v>
      </c>
      <c r="BB14" s="360"/>
      <c r="BC14" s="4">
        <v>0</v>
      </c>
      <c r="BD14" s="4"/>
      <c r="BF14" s="32">
        <f>G14-AC14-AB14-AA14</f>
        <v>1360.3999999999987</v>
      </c>
      <c r="BG14" s="4">
        <v>859.5</v>
      </c>
      <c r="BH14" s="4">
        <v>1051.0999999999999</v>
      </c>
      <c r="BI14" s="4">
        <v>1174.2</v>
      </c>
      <c r="BJ14" s="32">
        <f t="shared" si="0"/>
        <v>1303.3999999999999</v>
      </c>
    </row>
    <row r="15" spans="2:62" s="5" customFormat="1" hidden="1" outlineLevel="1">
      <c r="B15" s="5" t="s">
        <v>413</v>
      </c>
      <c r="C15" s="137">
        <f t="shared" ref="C15:K15" si="1">+C11+C12+C13+C14</f>
        <v>99347.8</v>
      </c>
      <c r="D15" s="137">
        <f t="shared" si="1"/>
        <v>96930.400000000009</v>
      </c>
      <c r="E15" s="137">
        <f t="shared" si="1"/>
        <v>103360.8</v>
      </c>
      <c r="F15" s="137">
        <f t="shared" si="1"/>
        <v>106044.90000000001</v>
      </c>
      <c r="G15" s="137">
        <f t="shared" si="1"/>
        <v>106309.90000000001</v>
      </c>
      <c r="H15" s="137">
        <f t="shared" si="1"/>
        <v>104390.79999999999</v>
      </c>
      <c r="I15" s="137">
        <f t="shared" si="1"/>
        <v>111018.52999999998</v>
      </c>
      <c r="J15" s="137">
        <f t="shared" si="1"/>
        <v>74435.744999999995</v>
      </c>
      <c r="K15" s="137">
        <f t="shared" si="1"/>
        <v>76089.603999999992</v>
      </c>
      <c r="L15" s="137">
        <f>+L11+L12+L13+L14</f>
        <v>68750.813999999998</v>
      </c>
      <c r="M15" s="137">
        <f>+M11+M12+M13+M14</f>
        <v>74258.3</v>
      </c>
      <c r="N15" s="137">
        <f>+N11+N12+N13+N14</f>
        <v>66387.718999999997</v>
      </c>
      <c r="O15" s="137">
        <f>+O11+O12+O13+O14</f>
        <v>62730.398999999998</v>
      </c>
      <c r="P15" s="370"/>
      <c r="Q15" s="370"/>
      <c r="R15" s="207"/>
      <c r="S15" s="137">
        <f>+S11+S12+S13+S14</f>
        <v>22686.199999999997</v>
      </c>
      <c r="T15" s="137">
        <f t="shared" ref="T15:Z15" si="2">+T11+T12+T13+T14</f>
        <v>23764.1</v>
      </c>
      <c r="U15" s="137">
        <f t="shared" si="2"/>
        <v>23594.3</v>
      </c>
      <c r="V15" s="137">
        <f t="shared" si="2"/>
        <v>26885.799999999996</v>
      </c>
      <c r="W15" s="137">
        <f t="shared" si="2"/>
        <v>23821.7</v>
      </c>
      <c r="X15" s="137">
        <f t="shared" si="2"/>
        <v>26045</v>
      </c>
      <c r="Y15" s="137">
        <f t="shared" si="2"/>
        <v>25273.699999999997</v>
      </c>
      <c r="Z15" s="137">
        <f t="shared" si="2"/>
        <v>28220.399999999998</v>
      </c>
      <c r="AA15" s="137">
        <f t="shared" ref="AA15:AG15" si="3">+AA11+AA12+AA13+AA14</f>
        <v>24624.899999999998</v>
      </c>
      <c r="AB15" s="137">
        <f t="shared" si="3"/>
        <v>25560.300000000003</v>
      </c>
      <c r="AC15" s="137">
        <f t="shared" si="3"/>
        <v>27202.5</v>
      </c>
      <c r="AD15" s="137">
        <f t="shared" si="3"/>
        <v>28657.199999999997</v>
      </c>
      <c r="AE15" s="137">
        <f t="shared" si="3"/>
        <v>24714.100000000002</v>
      </c>
      <c r="AF15" s="137">
        <f t="shared" si="3"/>
        <v>24131.199999999997</v>
      </c>
      <c r="AG15" s="137">
        <f t="shared" si="3"/>
        <v>25821.699999999997</v>
      </c>
      <c r="AH15" s="137">
        <f t="shared" ref="AH15:AM15" si="4">+AH11+AH12+AH13+AH14</f>
        <v>29723.8</v>
      </c>
      <c r="AI15" s="137">
        <f t="shared" si="4"/>
        <v>25668.9</v>
      </c>
      <c r="AJ15" s="137">
        <f t="shared" si="4"/>
        <v>26628.7</v>
      </c>
      <c r="AK15" s="137">
        <f t="shared" si="4"/>
        <v>28044.899999999998</v>
      </c>
      <c r="AL15" s="137">
        <f t="shared" si="4"/>
        <v>30035.163</v>
      </c>
      <c r="AM15" s="137">
        <f t="shared" si="4"/>
        <v>18741.3</v>
      </c>
      <c r="AN15" s="137">
        <f t="shared" ref="AN15:AT15" si="5">+AN11+AN12+AN13+AN14</f>
        <v>18632.8</v>
      </c>
      <c r="AO15" s="137">
        <f t="shared" si="5"/>
        <v>19313.3</v>
      </c>
      <c r="AP15" s="137">
        <f t="shared" si="5"/>
        <v>19402.203999999998</v>
      </c>
      <c r="AQ15" s="137">
        <f t="shared" si="5"/>
        <v>18630.600000000002</v>
      </c>
      <c r="AR15" s="137">
        <f t="shared" si="5"/>
        <v>18658.599999999999</v>
      </c>
      <c r="AS15" s="137">
        <f t="shared" si="5"/>
        <v>18419.2</v>
      </c>
      <c r="AT15" s="137">
        <f t="shared" si="5"/>
        <v>10679.318999999998</v>
      </c>
      <c r="AU15" s="137">
        <f t="shared" ref="AU15:AZ15" si="6">+AU11+AU12+AU13+AU14</f>
        <v>15992.300000000001</v>
      </c>
      <c r="AV15" s="137">
        <f t="shared" si="6"/>
        <v>15763.099999999999</v>
      </c>
      <c r="AW15" s="137">
        <f t="shared" si="6"/>
        <v>15406.5</v>
      </c>
      <c r="AX15" s="137">
        <f t="shared" si="6"/>
        <v>15568.498999999996</v>
      </c>
      <c r="AY15" s="137">
        <f t="shared" si="6"/>
        <v>15081.7</v>
      </c>
      <c r="AZ15" s="137">
        <f t="shared" si="6"/>
        <v>14831.5</v>
      </c>
      <c r="BA15" s="137">
        <f>+BA11+BA12+BA13+BA14</f>
        <v>14730.8</v>
      </c>
      <c r="BB15" s="370"/>
      <c r="BC15" s="137">
        <f>+BC11+BC12+BC13+BC14</f>
        <v>15081.7</v>
      </c>
      <c r="BD15" s="137"/>
      <c r="BF15" s="137">
        <f>+BF11+BF12+BF13+BF14</f>
        <v>28922.199999999993</v>
      </c>
      <c r="BG15" s="137">
        <f>+BG11+BG12+BG13+BG14</f>
        <v>18160.8</v>
      </c>
      <c r="BH15" s="137">
        <f>+BH11+BH12+BH13+BH14</f>
        <v>18602.8</v>
      </c>
      <c r="BI15" s="137">
        <f>+BI11+BI12+BI13+BI14</f>
        <v>18700.2</v>
      </c>
      <c r="BJ15" s="137">
        <f t="shared" si="0"/>
        <v>18971.944999999989</v>
      </c>
    </row>
    <row r="16" spans="2:62" hidden="1" outlineLevel="1">
      <c r="B16" s="1" t="s">
        <v>414</v>
      </c>
      <c r="C16" s="4">
        <v>-3060.4</v>
      </c>
      <c r="D16" s="4">
        <v>-3344.2</v>
      </c>
      <c r="E16" s="4">
        <v>-4812.1000000000004</v>
      </c>
      <c r="F16" s="4">
        <v>-5394.1</v>
      </c>
      <c r="G16" s="4">
        <v>-5394.1</v>
      </c>
      <c r="H16" s="4">
        <v>-7252.5</v>
      </c>
      <c r="I16" s="4">
        <v>-7496.7070000000003</v>
      </c>
      <c r="J16" s="4">
        <v>-520.29999999999995</v>
      </c>
      <c r="K16" s="4">
        <v>-562.995</v>
      </c>
      <c r="L16" s="4">
        <v>-135.04599999999999</v>
      </c>
      <c r="M16" s="4">
        <v>-490.4</v>
      </c>
      <c r="N16" s="4">
        <v>-164.88300000000001</v>
      </c>
      <c r="O16" s="4">
        <v>-469.53500000000003</v>
      </c>
      <c r="P16" s="360"/>
      <c r="Q16" s="360"/>
      <c r="R16" s="207"/>
      <c r="S16" s="4">
        <v>-731.9</v>
      </c>
      <c r="T16" s="4">
        <v>-787.3</v>
      </c>
      <c r="U16" s="4">
        <v>-931.3</v>
      </c>
      <c r="V16" s="32">
        <f>D16-U16-T16-S16</f>
        <v>-893.6999999999997</v>
      </c>
      <c r="W16" s="4">
        <v>-1009.7</v>
      </c>
      <c r="X16" s="4">
        <v>-1066.7</v>
      </c>
      <c r="Y16" s="4">
        <v>-1250.5999999999999</v>
      </c>
      <c r="Z16" s="32">
        <f>E16-Y16-X16-W16</f>
        <v>-1485.1000000000001</v>
      </c>
      <c r="AA16" s="4">
        <v>-1229.7</v>
      </c>
      <c r="AB16" s="4">
        <v>-1252.7</v>
      </c>
      <c r="AC16" s="4">
        <v>-1416.4</v>
      </c>
      <c r="AD16" s="32">
        <f>F16-AC16-AB16-AA16</f>
        <v>-1495.3</v>
      </c>
      <c r="AE16" s="4">
        <v>-1632.8</v>
      </c>
      <c r="AF16" s="4">
        <v>-1799.8</v>
      </c>
      <c r="AG16" s="4">
        <v>-1878.7</v>
      </c>
      <c r="AH16" s="32">
        <f>H16-AG16-AF16-AE16</f>
        <v>-1941.2</v>
      </c>
      <c r="AI16" s="4">
        <v>-1840</v>
      </c>
      <c r="AJ16" s="4">
        <v>-1875.5</v>
      </c>
      <c r="AK16" s="4">
        <v>-1917</v>
      </c>
      <c r="AL16" s="32">
        <f>J16-AK16-AJ16-AI16</f>
        <v>5112.2</v>
      </c>
      <c r="AM16" s="4">
        <v>-132.1</v>
      </c>
      <c r="AN16" s="4">
        <v>-99.3</v>
      </c>
      <c r="AO16" s="4">
        <v>-61.6</v>
      </c>
      <c r="AP16" s="32">
        <f>K16-AO16-AN16-AM16</f>
        <v>-269.995</v>
      </c>
      <c r="AQ16" s="4">
        <v>-111</v>
      </c>
      <c r="AR16" s="4">
        <v>-138.4</v>
      </c>
      <c r="AS16" s="4">
        <v>-103.5</v>
      </c>
      <c r="AT16" s="32">
        <f>N16-AS16-AR16-AQ16</f>
        <v>188.017</v>
      </c>
      <c r="AU16" s="4">
        <v>-40.9</v>
      </c>
      <c r="AV16" s="4">
        <v>-42.8</v>
      </c>
      <c r="AW16" s="4">
        <v>-43.7</v>
      </c>
      <c r="AX16" s="32">
        <f>O16-SUM(AU16:AW16)</f>
        <v>-342.13500000000005</v>
      </c>
      <c r="AY16" s="4">
        <v>-108.1</v>
      </c>
      <c r="AZ16" s="4">
        <v>-102.1</v>
      </c>
      <c r="BA16" s="4">
        <v>-103.8</v>
      </c>
      <c r="BB16" s="360"/>
      <c r="BC16" s="4">
        <v>-108.1</v>
      </c>
      <c r="BD16" s="4"/>
      <c r="BF16" s="32">
        <f>G16-AC16-AB16-AA16</f>
        <v>-1495.3</v>
      </c>
      <c r="BG16" s="4">
        <v>-138.5</v>
      </c>
      <c r="BH16" s="4">
        <v>-128.9</v>
      </c>
      <c r="BI16" s="4">
        <v>-110.1</v>
      </c>
      <c r="BJ16" s="32">
        <f t="shared" si="0"/>
        <v>-142.79999999999995</v>
      </c>
    </row>
    <row r="17" spans="2:62" s="5" customFormat="1" hidden="1" outlineLevel="1">
      <c r="B17" s="5" t="s">
        <v>296</v>
      </c>
      <c r="C17" s="137">
        <f t="shared" ref="C17:K17" si="7">+C15+C16</f>
        <v>96287.400000000009</v>
      </c>
      <c r="D17" s="137">
        <f t="shared" si="7"/>
        <v>93586.200000000012</v>
      </c>
      <c r="E17" s="137">
        <f t="shared" si="7"/>
        <v>98548.7</v>
      </c>
      <c r="F17" s="137">
        <f t="shared" si="7"/>
        <v>100650.8</v>
      </c>
      <c r="G17" s="137">
        <f t="shared" si="7"/>
        <v>100915.8</v>
      </c>
      <c r="H17" s="137">
        <f t="shared" si="7"/>
        <v>97138.299999999988</v>
      </c>
      <c r="I17" s="137">
        <f t="shared" si="7"/>
        <v>103521.82299999999</v>
      </c>
      <c r="J17" s="137">
        <f t="shared" si="7"/>
        <v>73915.444999999992</v>
      </c>
      <c r="K17" s="137">
        <f t="shared" si="7"/>
        <v>75526.608999999997</v>
      </c>
      <c r="L17" s="137">
        <f>+L15+L16</f>
        <v>68615.767999999996</v>
      </c>
      <c r="M17" s="137">
        <f>+M15+M16</f>
        <v>73767.900000000009</v>
      </c>
      <c r="N17" s="137">
        <f>+N15+N16</f>
        <v>66222.835999999996</v>
      </c>
      <c r="O17" s="137">
        <f>+O15+O16</f>
        <v>62260.863999999994</v>
      </c>
      <c r="P17" s="370"/>
      <c r="Q17" s="370"/>
      <c r="R17" s="207"/>
      <c r="S17" s="137">
        <f>+S15+S16</f>
        <v>21954.299999999996</v>
      </c>
      <c r="T17" s="137">
        <f t="shared" ref="T17:Z17" si="8">+T15+T16</f>
        <v>22976.799999999999</v>
      </c>
      <c r="U17" s="137">
        <f t="shared" si="8"/>
        <v>22663</v>
      </c>
      <c r="V17" s="137">
        <f t="shared" si="8"/>
        <v>25992.099999999995</v>
      </c>
      <c r="W17" s="137">
        <f t="shared" si="8"/>
        <v>22812</v>
      </c>
      <c r="X17" s="137">
        <f t="shared" si="8"/>
        <v>24978.3</v>
      </c>
      <c r="Y17" s="137">
        <f t="shared" si="8"/>
        <v>24023.1</v>
      </c>
      <c r="Z17" s="137">
        <f t="shared" si="8"/>
        <v>26735.3</v>
      </c>
      <c r="AA17" s="137">
        <f t="shared" ref="AA17:AG17" si="9">+AA15+AA16</f>
        <v>23395.199999999997</v>
      </c>
      <c r="AB17" s="137">
        <f t="shared" si="9"/>
        <v>24307.600000000002</v>
      </c>
      <c r="AC17" s="137">
        <f t="shared" si="9"/>
        <v>25786.1</v>
      </c>
      <c r="AD17" s="137">
        <f t="shared" si="9"/>
        <v>27161.899999999998</v>
      </c>
      <c r="AE17" s="137">
        <f t="shared" si="9"/>
        <v>23081.300000000003</v>
      </c>
      <c r="AF17" s="137">
        <f t="shared" si="9"/>
        <v>22331.399999999998</v>
      </c>
      <c r="AG17" s="137">
        <f t="shared" si="9"/>
        <v>23942.999999999996</v>
      </c>
      <c r="AH17" s="137">
        <f t="shared" ref="AH17:AM17" si="10">+AH15+AH16</f>
        <v>27782.6</v>
      </c>
      <c r="AI17" s="137">
        <f t="shared" si="10"/>
        <v>23828.9</v>
      </c>
      <c r="AJ17" s="137">
        <f t="shared" si="10"/>
        <v>24753.200000000001</v>
      </c>
      <c r="AK17" s="137">
        <f t="shared" si="10"/>
        <v>26127.899999999998</v>
      </c>
      <c r="AL17" s="137">
        <f t="shared" si="10"/>
        <v>35147.362999999998</v>
      </c>
      <c r="AM17" s="137">
        <f t="shared" si="10"/>
        <v>18609.2</v>
      </c>
      <c r="AN17" s="137">
        <f t="shared" ref="AN17:AT17" si="11">+AN15+AN16</f>
        <v>18533.5</v>
      </c>
      <c r="AO17" s="137">
        <f t="shared" si="11"/>
        <v>19251.7</v>
      </c>
      <c r="AP17" s="137">
        <f t="shared" si="11"/>
        <v>19132.208999999999</v>
      </c>
      <c r="AQ17" s="137">
        <f t="shared" si="11"/>
        <v>18519.600000000002</v>
      </c>
      <c r="AR17" s="137">
        <f t="shared" si="11"/>
        <v>18520.199999999997</v>
      </c>
      <c r="AS17" s="137">
        <f t="shared" si="11"/>
        <v>18315.7</v>
      </c>
      <c r="AT17" s="137">
        <f t="shared" si="11"/>
        <v>10867.335999999998</v>
      </c>
      <c r="AU17" s="137">
        <f t="shared" ref="AU17:AZ17" si="12">+AU15+AU16</f>
        <v>15951.400000000001</v>
      </c>
      <c r="AV17" s="137">
        <f t="shared" si="12"/>
        <v>15720.3</v>
      </c>
      <c r="AW17" s="137">
        <f t="shared" si="12"/>
        <v>15362.8</v>
      </c>
      <c r="AX17" s="137">
        <f t="shared" si="12"/>
        <v>15226.363999999996</v>
      </c>
      <c r="AY17" s="137">
        <f t="shared" si="12"/>
        <v>14973.6</v>
      </c>
      <c r="AZ17" s="137">
        <f t="shared" si="12"/>
        <v>14729.4</v>
      </c>
      <c r="BA17" s="137">
        <f>+BA15+BA16</f>
        <v>14627</v>
      </c>
      <c r="BB17" s="370"/>
      <c r="BC17" s="137">
        <f>+BC15+BC16</f>
        <v>14973.6</v>
      </c>
      <c r="BD17" s="137"/>
      <c r="BF17" s="137">
        <f>+BF15+BF16</f>
        <v>27426.899999999994</v>
      </c>
      <c r="BG17" s="137">
        <f>+BG15+BG16</f>
        <v>18022.3</v>
      </c>
      <c r="BH17" s="137">
        <f>+BH15+BH16</f>
        <v>18473.899999999998</v>
      </c>
      <c r="BI17" s="137">
        <f>+BI15+BI16</f>
        <v>18590.100000000002</v>
      </c>
      <c r="BJ17" s="137">
        <f t="shared" si="0"/>
        <v>18829.144999999993</v>
      </c>
    </row>
    <row r="18" spans="2:62" s="5" customFormat="1" hidden="1" outlineLevel="1">
      <c r="B18" s="1" t="s">
        <v>297</v>
      </c>
      <c r="C18" s="4">
        <v>0</v>
      </c>
      <c r="D18" s="4">
        <v>0</v>
      </c>
      <c r="E18" s="4">
        <v>2733.6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360"/>
      <c r="Q18" s="360"/>
      <c r="R18" s="207"/>
      <c r="S18" s="4">
        <v>0</v>
      </c>
      <c r="T18" s="4">
        <v>0</v>
      </c>
      <c r="U18" s="4">
        <v>0</v>
      </c>
      <c r="V18" s="32">
        <f>D18-U18-T18-S18</f>
        <v>0</v>
      </c>
      <c r="W18" s="4">
        <v>0</v>
      </c>
      <c r="X18" s="4">
        <v>1723.5</v>
      </c>
      <c r="Y18" s="4">
        <v>1010.1</v>
      </c>
      <c r="Z18" s="32">
        <f>E18-Y18-X18-W18</f>
        <v>0</v>
      </c>
      <c r="AA18" s="4">
        <v>0</v>
      </c>
      <c r="AB18" s="4">
        <v>0</v>
      </c>
      <c r="AC18" s="4">
        <v>0</v>
      </c>
      <c r="AD18" s="32">
        <f>F18-AC18-AB18-AA18</f>
        <v>0</v>
      </c>
      <c r="AE18" s="4">
        <v>0</v>
      </c>
      <c r="AF18" s="4">
        <v>0</v>
      </c>
      <c r="AG18" s="4">
        <v>0</v>
      </c>
      <c r="AH18" s="32">
        <f>H18-AG18-AF18-AE18</f>
        <v>0</v>
      </c>
      <c r="AI18" s="4">
        <v>0</v>
      </c>
      <c r="AJ18" s="4">
        <v>0</v>
      </c>
      <c r="AK18" s="4">
        <v>0</v>
      </c>
      <c r="AL18" s="32">
        <f>J18-AK18-AJ18-AI18</f>
        <v>0</v>
      </c>
      <c r="AM18" s="4">
        <v>0</v>
      </c>
      <c r="AN18" s="4">
        <v>0</v>
      </c>
      <c r="AO18" s="4">
        <v>0</v>
      </c>
      <c r="AP18" s="32">
        <f>K18-AO18-AN18-AM18</f>
        <v>0</v>
      </c>
      <c r="AQ18" s="4">
        <v>0</v>
      </c>
      <c r="AR18" s="4">
        <v>0</v>
      </c>
      <c r="AS18" s="4">
        <v>0</v>
      </c>
      <c r="AT18" s="32">
        <f>N18-AS18-AR18-AQ18</f>
        <v>0</v>
      </c>
      <c r="AU18" s="4">
        <v>0</v>
      </c>
      <c r="AV18" s="4">
        <v>0</v>
      </c>
      <c r="AW18" s="4">
        <v>0</v>
      </c>
      <c r="AX18" s="32">
        <f>O18-SUM(AU18:AW18)</f>
        <v>0</v>
      </c>
      <c r="AY18" s="4">
        <v>0</v>
      </c>
      <c r="AZ18" s="4">
        <v>0</v>
      </c>
      <c r="BA18" s="4">
        <v>0</v>
      </c>
      <c r="BB18" s="360"/>
      <c r="BC18" s="4">
        <v>0</v>
      </c>
      <c r="BD18" s="4"/>
      <c r="BF18" s="32">
        <f>G18-AC18-AB18-AA18</f>
        <v>0</v>
      </c>
      <c r="BG18" s="4">
        <v>0</v>
      </c>
      <c r="BH18" s="4">
        <v>0</v>
      </c>
      <c r="BI18" s="4">
        <v>0</v>
      </c>
      <c r="BJ18" s="32">
        <f t="shared" si="0"/>
        <v>0</v>
      </c>
    </row>
    <row r="19" spans="2:62" s="5" customFormat="1" hidden="1" outlineLevel="1">
      <c r="B19" s="1" t="s">
        <v>415</v>
      </c>
      <c r="C19" s="4"/>
      <c r="D19" s="4"/>
      <c r="E19" s="4"/>
      <c r="F19" s="4">
        <v>841.4</v>
      </c>
      <c r="G19" s="4">
        <v>841.4</v>
      </c>
      <c r="H19" s="4">
        <v>223.3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360"/>
      <c r="Q19" s="360"/>
      <c r="R19" s="207"/>
      <c r="S19" s="4"/>
      <c r="T19" s="4"/>
      <c r="U19" s="4"/>
      <c r="V19" s="32"/>
      <c r="W19" s="4"/>
      <c r="X19" s="4"/>
      <c r="Y19" s="4"/>
      <c r="Z19" s="32"/>
      <c r="AA19" s="4"/>
      <c r="AB19" s="4"/>
      <c r="AC19" s="4"/>
      <c r="AD19" s="32">
        <f>F19-AC19-AB19-AA19</f>
        <v>841.4</v>
      </c>
      <c r="AE19" s="4">
        <v>147.5</v>
      </c>
      <c r="AF19" s="4">
        <v>75.8</v>
      </c>
      <c r="AG19" s="4">
        <v>0</v>
      </c>
      <c r="AH19" s="32">
        <f>H19-AG19-AF19-AE19</f>
        <v>0</v>
      </c>
      <c r="AI19" s="4">
        <v>0</v>
      </c>
      <c r="AJ19" s="4">
        <v>0</v>
      </c>
      <c r="AK19" s="4">
        <v>0</v>
      </c>
      <c r="AL19" s="32">
        <f>J19-AK19-AJ19-AI19</f>
        <v>0</v>
      </c>
      <c r="AM19" s="4">
        <v>0</v>
      </c>
      <c r="AN19" s="4">
        <v>0</v>
      </c>
      <c r="AO19" s="4">
        <v>0</v>
      </c>
      <c r="AP19" s="32">
        <f>K19-AO19-AN19-AM19</f>
        <v>0</v>
      </c>
      <c r="AQ19" s="4">
        <v>0</v>
      </c>
      <c r="AR19" s="4">
        <v>0</v>
      </c>
      <c r="AS19" s="4">
        <v>0</v>
      </c>
      <c r="AT19" s="32">
        <f>N19-AS19-AR19-AQ19</f>
        <v>0</v>
      </c>
      <c r="AU19" s="4">
        <v>0</v>
      </c>
      <c r="AV19" s="4">
        <v>0</v>
      </c>
      <c r="AW19" s="4">
        <v>0</v>
      </c>
      <c r="AX19" s="32">
        <f>O19-SUM(AU19:AW19)</f>
        <v>0</v>
      </c>
      <c r="AY19" s="4">
        <v>0</v>
      </c>
      <c r="AZ19" s="4">
        <v>0</v>
      </c>
      <c r="BA19" s="4">
        <v>0</v>
      </c>
      <c r="BB19" s="360"/>
      <c r="BC19" s="4">
        <v>0</v>
      </c>
      <c r="BD19" s="4"/>
      <c r="BF19" s="32">
        <f>G19-AC19-AB19-AA19</f>
        <v>841.4</v>
      </c>
      <c r="BG19" s="4">
        <v>0</v>
      </c>
      <c r="BH19" s="4">
        <v>0</v>
      </c>
      <c r="BI19" s="4">
        <v>0</v>
      </c>
      <c r="BJ19" s="32">
        <f t="shared" si="0"/>
        <v>0</v>
      </c>
    </row>
    <row r="20" spans="2:62" s="169" customFormat="1" hidden="1" outlineLevel="1">
      <c r="B20" s="169" t="s">
        <v>416</v>
      </c>
      <c r="C20" s="85">
        <f t="shared" ref="C20:H20" si="13">+C17+C18+C19</f>
        <v>96287.400000000009</v>
      </c>
      <c r="D20" s="85">
        <f t="shared" si="13"/>
        <v>93586.200000000012</v>
      </c>
      <c r="E20" s="85">
        <f t="shared" si="13"/>
        <v>101282.3</v>
      </c>
      <c r="F20" s="85">
        <f t="shared" si="13"/>
        <v>101492.2</v>
      </c>
      <c r="G20" s="85">
        <f t="shared" si="13"/>
        <v>101757.2</v>
      </c>
      <c r="H20" s="85">
        <f t="shared" si="13"/>
        <v>97361.599999999991</v>
      </c>
      <c r="I20" s="85">
        <f t="shared" ref="I20:O20" si="14">+I17+I18+I19</f>
        <v>103521.82299999999</v>
      </c>
      <c r="J20" s="85">
        <f t="shared" si="14"/>
        <v>73915.444999999992</v>
      </c>
      <c r="K20" s="85">
        <f t="shared" si="14"/>
        <v>75526.608999999997</v>
      </c>
      <c r="L20" s="85">
        <f t="shared" si="14"/>
        <v>68615.767999999996</v>
      </c>
      <c r="M20" s="85">
        <f t="shared" si="14"/>
        <v>73767.900000000009</v>
      </c>
      <c r="N20" s="85">
        <f t="shared" si="14"/>
        <v>66222.835999999996</v>
      </c>
      <c r="O20" s="85">
        <f t="shared" si="14"/>
        <v>62260.863999999994</v>
      </c>
      <c r="P20" s="371"/>
      <c r="Q20" s="371"/>
      <c r="R20" s="207"/>
      <c r="S20" s="85">
        <f t="shared" ref="S20:AD20" si="15">+S17+S18+S19</f>
        <v>21954.299999999996</v>
      </c>
      <c r="T20" s="85">
        <f t="shared" si="15"/>
        <v>22976.799999999999</v>
      </c>
      <c r="U20" s="85">
        <f t="shared" si="15"/>
        <v>22663</v>
      </c>
      <c r="V20" s="85">
        <f t="shared" si="15"/>
        <v>25992.099999999995</v>
      </c>
      <c r="W20" s="85">
        <f t="shared" si="15"/>
        <v>22812</v>
      </c>
      <c r="X20" s="85">
        <f t="shared" si="15"/>
        <v>26701.8</v>
      </c>
      <c r="Y20" s="85">
        <f t="shared" si="15"/>
        <v>25033.199999999997</v>
      </c>
      <c r="Z20" s="85">
        <f t="shared" si="15"/>
        <v>26735.3</v>
      </c>
      <c r="AA20" s="85">
        <f t="shared" si="15"/>
        <v>23395.199999999997</v>
      </c>
      <c r="AB20" s="85">
        <f t="shared" si="15"/>
        <v>24307.600000000002</v>
      </c>
      <c r="AC20" s="85">
        <f t="shared" si="15"/>
        <v>25786.1</v>
      </c>
      <c r="AD20" s="85">
        <f t="shared" si="15"/>
        <v>28003.3</v>
      </c>
      <c r="AE20" s="85">
        <f t="shared" ref="AE20:AJ20" si="16">+AE17+AE18+AE19</f>
        <v>23228.800000000003</v>
      </c>
      <c r="AF20" s="85">
        <f t="shared" si="16"/>
        <v>22407.199999999997</v>
      </c>
      <c r="AG20" s="85">
        <f t="shared" si="16"/>
        <v>23942.999999999996</v>
      </c>
      <c r="AH20" s="85">
        <f t="shared" si="16"/>
        <v>27782.6</v>
      </c>
      <c r="AI20" s="85">
        <f t="shared" si="16"/>
        <v>23828.9</v>
      </c>
      <c r="AJ20" s="85">
        <f t="shared" si="16"/>
        <v>24753.200000000001</v>
      </c>
      <c r="AK20" s="85">
        <f t="shared" ref="AK20:AP20" si="17">+AK17+AK18+AK19</f>
        <v>26127.899999999998</v>
      </c>
      <c r="AL20" s="85">
        <f t="shared" si="17"/>
        <v>35147.362999999998</v>
      </c>
      <c r="AM20" s="85">
        <f t="shared" si="17"/>
        <v>18609.2</v>
      </c>
      <c r="AN20" s="85">
        <f t="shared" si="17"/>
        <v>18533.5</v>
      </c>
      <c r="AO20" s="85">
        <f t="shared" si="17"/>
        <v>19251.7</v>
      </c>
      <c r="AP20" s="85">
        <f t="shared" si="17"/>
        <v>19132.208999999999</v>
      </c>
      <c r="AQ20" s="85">
        <f t="shared" ref="AQ20:AV20" si="18">+AQ17+AQ18+AQ19</f>
        <v>18519.600000000002</v>
      </c>
      <c r="AR20" s="85">
        <f t="shared" si="18"/>
        <v>18520.199999999997</v>
      </c>
      <c r="AS20" s="85">
        <f t="shared" si="18"/>
        <v>18315.7</v>
      </c>
      <c r="AT20" s="85">
        <f t="shared" si="18"/>
        <v>10867.335999999998</v>
      </c>
      <c r="AU20" s="85">
        <f t="shared" si="18"/>
        <v>15951.400000000001</v>
      </c>
      <c r="AV20" s="85">
        <f t="shared" si="18"/>
        <v>15720.3</v>
      </c>
      <c r="AW20" s="85">
        <f>+AW17+AW18+AW19</f>
        <v>15362.8</v>
      </c>
      <c r="AX20" s="85">
        <f>+AX17+AX18+AX19</f>
        <v>15226.363999999996</v>
      </c>
      <c r="AY20" s="85">
        <f>+AY17+AY18+AY19</f>
        <v>14973.6</v>
      </c>
      <c r="AZ20" s="85">
        <f>+AZ17+AZ18+AZ19</f>
        <v>14729.4</v>
      </c>
      <c r="BA20" s="85">
        <f>+BA17+BA18+BA19</f>
        <v>14627</v>
      </c>
      <c r="BB20" s="371"/>
      <c r="BC20" s="85">
        <f>+BC17+BC18+BC19</f>
        <v>14973.6</v>
      </c>
      <c r="BD20" s="85"/>
      <c r="BF20" s="85">
        <f>+BF17+BF18+BF19</f>
        <v>28268.299999999996</v>
      </c>
      <c r="BG20" s="85">
        <f>+BG17+BG18+BG19</f>
        <v>18022.3</v>
      </c>
      <c r="BH20" s="85">
        <f>+BH17+BH18+BH19</f>
        <v>18473.899999999998</v>
      </c>
      <c r="BI20" s="85">
        <f>+BI17+BI18+BI19</f>
        <v>18590.100000000002</v>
      </c>
      <c r="BJ20" s="85">
        <f t="shared" si="0"/>
        <v>18829.144999999993</v>
      </c>
    </row>
    <row r="21" spans="2:62" hidden="1" outlineLevel="1">
      <c r="B21" s="158" t="s">
        <v>44</v>
      </c>
      <c r="C21" s="159">
        <f>+C20-Model!C8</f>
        <v>96287.400000000009</v>
      </c>
      <c r="D21" s="159">
        <f>+D20-Model!D9</f>
        <v>0</v>
      </c>
      <c r="E21" s="159">
        <f>+E20-Model!E9</f>
        <v>0</v>
      </c>
      <c r="F21" s="159">
        <f>+F20-Model!F9</f>
        <v>1.9000000000232831E-2</v>
      </c>
      <c r="G21" s="159">
        <f>+G20-Model!G9</f>
        <v>1.9000000000232831E-2</v>
      </c>
      <c r="H21" s="159">
        <f>+H20-Model!H9</f>
        <v>-3.4000000014202669E-2</v>
      </c>
      <c r="I21" s="159">
        <f>+I20-Model!I9</f>
        <v>0</v>
      </c>
      <c r="J21" s="159">
        <f>+J20-Model!J9</f>
        <v>4.499999999825377E-2</v>
      </c>
      <c r="K21" s="159">
        <f>+K20-Model!K9</f>
        <v>0</v>
      </c>
      <c r="L21" s="159">
        <f>+L20-Model!L9</f>
        <v>0</v>
      </c>
      <c r="M21" s="159">
        <f>+M20-Model!L9</f>
        <v>5152.1320000000123</v>
      </c>
      <c r="N21" s="159">
        <f>+N20-Model!N9</f>
        <v>0</v>
      </c>
      <c r="O21" s="159">
        <f>+O20-Model!O9</f>
        <v>0</v>
      </c>
      <c r="P21" s="372"/>
      <c r="Q21" s="372"/>
      <c r="R21" s="207"/>
      <c r="S21" s="159">
        <f>+S20-Model!S9</f>
        <v>0</v>
      </c>
      <c r="T21" s="159">
        <f>+T20-Model!T9</f>
        <v>0</v>
      </c>
      <c r="U21" s="159">
        <f>+U20-Model!U9</f>
        <v>0</v>
      </c>
      <c r="V21" s="159">
        <f>+V20-Model!V9</f>
        <v>0</v>
      </c>
      <c r="W21" s="159">
        <f>+W20-Model!W9</f>
        <v>0</v>
      </c>
      <c r="X21" s="159">
        <f>+X20-Model!X9</f>
        <v>0</v>
      </c>
      <c r="Y21" s="159">
        <f>+Y20-Model!Y9</f>
        <v>0</v>
      </c>
      <c r="Z21" s="159">
        <f>+Z20-Model!Z9</f>
        <v>0</v>
      </c>
      <c r="AA21" s="159">
        <f>+AA20-Model!AA9</f>
        <v>0</v>
      </c>
      <c r="AB21" s="159">
        <f>+AB20-Model!AB9</f>
        <v>0</v>
      </c>
      <c r="AC21" s="159">
        <f>+AC20-Model!AC9</f>
        <v>-4.9000000002706656E-2</v>
      </c>
      <c r="AD21" s="159">
        <f>+AD20-Model!AD9</f>
        <v>6.8000000006577466E-2</v>
      </c>
      <c r="AE21" s="159">
        <f>+AE20-Model!AE9</f>
        <v>0</v>
      </c>
      <c r="AF21" s="159">
        <f>+AF20-Model!AF9</f>
        <v>0</v>
      </c>
      <c r="AG21" s="159">
        <f>+AG20-Model!AG9</f>
        <v>0</v>
      </c>
      <c r="AH21" s="159">
        <f>+AH20-Model!AH9</f>
        <v>-3.4000000006926712E-2</v>
      </c>
      <c r="AI21" s="159">
        <f>+AI20-Model!AI9</f>
        <v>0</v>
      </c>
      <c r="AJ21" s="159">
        <f>+AJ20-Model!AJ9</f>
        <v>0</v>
      </c>
      <c r="AK21" s="159">
        <f>+AJ20-Model!AJ9</f>
        <v>0</v>
      </c>
      <c r="AL21" s="159">
        <f>+AK20-Model!AK9</f>
        <v>3.2999999999447027E-2</v>
      </c>
      <c r="AM21" s="159">
        <f>+AM20-Model!AM9</f>
        <v>0</v>
      </c>
      <c r="AN21" s="159">
        <f>+AN20-Model!AN9</f>
        <v>0</v>
      </c>
      <c r="AO21" s="159">
        <f>+AO20-Model!AO9</f>
        <v>0</v>
      </c>
      <c r="AP21" s="159">
        <f>+AP20-Model!AP9</f>
        <v>0</v>
      </c>
      <c r="AQ21" s="159">
        <f>+AQ20-Model!AQ9</f>
        <v>-3.2999999999447027E-2</v>
      </c>
      <c r="AR21" s="159">
        <f>+AR20-Model!AR9</f>
        <v>0</v>
      </c>
      <c r="AS21" s="159">
        <f>+AS20-Model!AS9</f>
        <v>1899.7000000000007</v>
      </c>
      <c r="AT21" s="159">
        <f>+AT20-Model!AT9</f>
        <v>-9444.7309999999979</v>
      </c>
      <c r="AU21" s="159">
        <f>+AU20-Model!AU9</f>
        <v>0</v>
      </c>
      <c r="AV21" s="159">
        <f>+AV20-Model!AV9</f>
        <v>0</v>
      </c>
      <c r="AW21" s="159">
        <f>+AW20-Model!AW9</f>
        <v>0</v>
      </c>
      <c r="AX21" s="159">
        <f>+AX20-Model!AX9</f>
        <v>0</v>
      </c>
      <c r="AY21" s="159">
        <f>+AY20-Model!AY9</f>
        <v>0</v>
      </c>
      <c r="AZ21" s="159">
        <f>+AZ20-Model!AZ9</f>
        <v>0</v>
      </c>
      <c r="BA21" s="330">
        <f>+BA20-Model!BA9</f>
        <v>-8.5999999999330612E-2</v>
      </c>
      <c r="BB21" s="372"/>
      <c r="BC21" s="159">
        <f>+BC20-Model!BC9</f>
        <v>461.10000000000036</v>
      </c>
      <c r="BD21" s="159"/>
      <c r="BF21" s="159">
        <f>+BF20-Model!BF9</f>
        <v>6.8000000002939487E-2</v>
      </c>
      <c r="BG21" s="159">
        <f>+BG20-Model!BG9</f>
        <v>0</v>
      </c>
      <c r="BH21" s="159">
        <f>+BH20-Model!BH9</f>
        <v>0</v>
      </c>
      <c r="BI21" s="159">
        <f>+BI20-Model!BI9</f>
        <v>0</v>
      </c>
      <c r="BJ21" s="159">
        <f>+BJ20-Model!BJ9</f>
        <v>4.5000000001891749E-2</v>
      </c>
    </row>
    <row r="22" spans="2:62" hidden="1" outlineLevel="1">
      <c r="R22" s="207"/>
    </row>
    <row r="23" spans="2:62" hidden="1" outlineLevel="1">
      <c r="B23" s="5" t="s">
        <v>417</v>
      </c>
      <c r="R23" s="207"/>
    </row>
    <row r="24" spans="2:62" s="5" customFormat="1" hidden="1" outlineLevel="1">
      <c r="B24" s="5" t="s">
        <v>409</v>
      </c>
      <c r="C24" s="361"/>
      <c r="D24" s="139">
        <f t="shared" ref="D24:F30" si="19">D11/C11-1</f>
        <v>-7.3309946111261071E-2</v>
      </c>
      <c r="E24" s="139">
        <f t="shared" si="19"/>
        <v>7.3326626898685854E-2</v>
      </c>
      <c r="F24" s="139">
        <f t="shared" si="19"/>
        <v>-4.6439993313254768E-2</v>
      </c>
      <c r="G24" s="139">
        <f t="shared" ref="G24:G30" si="20">G11/E11-1</f>
        <v>-3.9177749581393306E-2</v>
      </c>
      <c r="H24" s="139">
        <f t="shared" ref="H24:I30" si="21">H11/G11-1</f>
        <v>-6.9807903481125533E-2</v>
      </c>
      <c r="I24" s="243">
        <f t="shared" si="21"/>
        <v>0.10207334498512854</v>
      </c>
      <c r="J24" s="362"/>
      <c r="K24" s="362"/>
      <c r="L24" s="362"/>
      <c r="M24" s="362"/>
      <c r="N24" s="362"/>
      <c r="O24" s="362"/>
      <c r="P24" s="362"/>
      <c r="Q24" s="362"/>
      <c r="R24" s="207"/>
      <c r="S24" s="361"/>
      <c r="T24" s="361"/>
      <c r="U24" s="361"/>
      <c r="V24" s="361"/>
      <c r="W24" s="139">
        <f t="shared" ref="W24:AG30" si="22">W11/S11-1</f>
        <v>8.3489925521554875E-2</v>
      </c>
      <c r="X24" s="139">
        <f t="shared" si="22"/>
        <v>0.14512314416969008</v>
      </c>
      <c r="Y24" s="139">
        <f t="shared" si="22"/>
        <v>8.4125658886715193E-2</v>
      </c>
      <c r="Z24" s="139">
        <f t="shared" si="22"/>
        <v>3.4981189360441256E-3</v>
      </c>
      <c r="AA24" s="139">
        <f t="shared" si="22"/>
        <v>-9.0449907587918044E-2</v>
      </c>
      <c r="AB24" s="139">
        <f t="shared" si="22"/>
        <v>-0.12953210999253884</v>
      </c>
      <c r="AC24" s="139">
        <f t="shared" si="22"/>
        <v>-4.7126436781609327E-3</v>
      </c>
      <c r="AD24" s="139">
        <f t="shared" si="22"/>
        <v>2.43169090840758E-2</v>
      </c>
      <c r="AE24" s="139">
        <f t="shared" si="22"/>
        <v>-6.3647371570933364E-2</v>
      </c>
      <c r="AF24" s="139">
        <f t="shared" si="22"/>
        <v>-0.16265838509316766</v>
      </c>
      <c r="AG24" s="139">
        <f t="shared" si="22"/>
        <v>-7.2248527543596341E-2</v>
      </c>
      <c r="AH24" s="139">
        <f t="shared" ref="AH24:AH30" si="23">AH11/BF11-1</f>
        <v>-4.9433130944066539E-3</v>
      </c>
      <c r="AI24" s="139">
        <f t="shared" ref="AI24:AL30" si="24">AI11/AE11-1</f>
        <v>0.10233961591057739</v>
      </c>
      <c r="AJ24" s="139">
        <f t="shared" si="24"/>
        <v>0.16559356733821917</v>
      </c>
      <c r="AK24" s="243">
        <f t="shared" si="24"/>
        <v>0.1339905892897153</v>
      </c>
      <c r="AL24" s="139">
        <f t="shared" si="24"/>
        <v>4.0302572133124492E-2</v>
      </c>
      <c r="AM24" s="362"/>
      <c r="AN24" s="362"/>
      <c r="AO24" s="362"/>
      <c r="AP24" s="362"/>
      <c r="AQ24" s="362"/>
      <c r="AR24" s="362"/>
      <c r="AS24" s="362"/>
      <c r="AT24" s="362"/>
      <c r="AU24" s="362"/>
      <c r="AV24" s="362"/>
      <c r="AW24" s="362"/>
      <c r="AX24" s="362"/>
      <c r="AY24" s="362"/>
      <c r="AZ24" s="362"/>
      <c r="BA24" s="362"/>
      <c r="BB24" s="362"/>
      <c r="BC24" s="362"/>
      <c r="BD24" s="139"/>
      <c r="BF24" s="139">
        <f t="shared" ref="BF24:BF30" si="25">BF11/Z11-1</f>
        <v>4.9216371631525924E-2</v>
      </c>
      <c r="BG24" s="362"/>
      <c r="BH24" s="362"/>
      <c r="BI24" s="362"/>
      <c r="BJ24" s="362"/>
    </row>
    <row r="25" spans="2:62" hidden="1" outlineLevel="1">
      <c r="B25" s="1" t="s">
        <v>410</v>
      </c>
      <c r="C25" s="358"/>
      <c r="D25" s="138">
        <f t="shared" si="19"/>
        <v>1.1640201994421284E-2</v>
      </c>
      <c r="E25" s="138">
        <f t="shared" si="19"/>
        <v>-8.7580980870942682E-3</v>
      </c>
      <c r="F25" s="138">
        <f t="shared" si="19"/>
        <v>-2.9774295297743003E-2</v>
      </c>
      <c r="G25" s="138">
        <f t="shared" si="20"/>
        <v>-2.9774295297743003E-2</v>
      </c>
      <c r="H25" s="138">
        <f t="shared" si="21"/>
        <v>3.6894941233235556E-2</v>
      </c>
      <c r="I25" s="244">
        <f t="shared" si="21"/>
        <v>-4.8830117417447694E-3</v>
      </c>
      <c r="J25" s="138">
        <f t="shared" ref="J25:J30" si="26">J12/H12-1</f>
        <v>-4.8830117417447694E-3</v>
      </c>
      <c r="K25" s="138">
        <f t="shared" ref="K25:K30" si="27">K12/J12-1</f>
        <v>-7.6615400204915751E-2</v>
      </c>
      <c r="L25" s="138">
        <f t="shared" ref="L25:N26" si="28">L12/J12-1</f>
        <v>-7.6615400204915751E-2</v>
      </c>
      <c r="M25" s="138">
        <f t="shared" si="28"/>
        <v>-0.13539666920333204</v>
      </c>
      <c r="N25" s="138">
        <f t="shared" si="28"/>
        <v>-0.13539789836667793</v>
      </c>
      <c r="O25" s="138">
        <f>O12/N12-1</f>
        <v>-0.12782852601694317</v>
      </c>
      <c r="P25" s="363"/>
      <c r="Q25" s="363"/>
      <c r="R25" s="207"/>
      <c r="S25" s="358"/>
      <c r="T25" s="358"/>
      <c r="U25" s="358"/>
      <c r="V25" s="358"/>
      <c r="W25" s="138">
        <f t="shared" si="22"/>
        <v>-1.1984261632314253E-2</v>
      </c>
      <c r="X25" s="138">
        <f t="shared" si="22"/>
        <v>2.9954447969655629E-3</v>
      </c>
      <c r="Y25" s="138">
        <f t="shared" si="22"/>
        <v>-6.9602585763607339E-3</v>
      </c>
      <c r="Z25" s="138">
        <f t="shared" si="22"/>
        <v>-1.9213848336295358E-2</v>
      </c>
      <c r="AA25" s="138">
        <f t="shared" si="22"/>
        <v>-3.5183223119359841E-2</v>
      </c>
      <c r="AB25" s="138">
        <f t="shared" si="22"/>
        <v>-5.4905633703258627E-2</v>
      </c>
      <c r="AC25" s="138">
        <f t="shared" si="22"/>
        <v>-1.2760527435134006E-2</v>
      </c>
      <c r="AD25" s="138">
        <f t="shared" si="22"/>
        <v>-1.5159559860122629E-2</v>
      </c>
      <c r="AE25" s="138">
        <f t="shared" si="22"/>
        <v>2.3420933050590786E-2</v>
      </c>
      <c r="AF25" s="138">
        <f t="shared" si="22"/>
        <v>3.1151249976627104E-2</v>
      </c>
      <c r="AG25" s="138">
        <f t="shared" si="22"/>
        <v>4.8629713579229294E-2</v>
      </c>
      <c r="AH25" s="138">
        <f t="shared" si="23"/>
        <v>4.4189548437471693E-2</v>
      </c>
      <c r="AI25" s="138">
        <f t="shared" si="24"/>
        <v>4.0608291861691237E-2</v>
      </c>
      <c r="AJ25" s="138">
        <f t="shared" si="24"/>
        <v>1.0045877382269364E-2</v>
      </c>
      <c r="AK25" s="244">
        <f t="shared" si="24"/>
        <v>-2.4741420889976551E-2</v>
      </c>
      <c r="AL25" s="139">
        <f t="shared" si="24"/>
        <v>-4.3527275316906811E-2</v>
      </c>
      <c r="AM25" s="138">
        <f t="shared" ref="AM25:AN30" si="29">AM12/BG12-1</f>
        <v>-6.2064428957474105E-2</v>
      </c>
      <c r="AN25" s="138">
        <f t="shared" si="29"/>
        <v>-7.719789590851156E-2</v>
      </c>
      <c r="AO25" s="244">
        <f t="shared" ref="AO25:BC30" si="30">AO12/AK12-1</f>
        <v>-8.6602923398175546E-2</v>
      </c>
      <c r="AP25" s="139">
        <f t="shared" si="30"/>
        <v>-8.1096867719620325E-2</v>
      </c>
      <c r="AQ25" s="138">
        <f t="shared" si="30"/>
        <v>-0.1171598081771138</v>
      </c>
      <c r="AR25" s="138">
        <f t="shared" si="30"/>
        <v>-0.13435536273613358</v>
      </c>
      <c r="AS25" s="244">
        <f t="shared" si="30"/>
        <v>-0.13837083383467697</v>
      </c>
      <c r="AT25" s="139">
        <f t="shared" si="30"/>
        <v>-0.15297111110841055</v>
      </c>
      <c r="AU25" s="138">
        <f t="shared" si="30"/>
        <v>-0.12323943661971837</v>
      </c>
      <c r="AV25" s="138">
        <f t="shared" si="30"/>
        <v>-0.13286886166985046</v>
      </c>
      <c r="AW25" s="244">
        <f t="shared" si="30"/>
        <v>-0.13161569613182522</v>
      </c>
      <c r="AX25" s="139">
        <f t="shared" si="30"/>
        <v>-0.12368530243514508</v>
      </c>
      <c r="AY25" s="138">
        <f t="shared" si="30"/>
        <v>-0.13213830933490056</v>
      </c>
      <c r="AZ25" s="138">
        <f t="shared" si="30"/>
        <v>-0.1629733302231553</v>
      </c>
      <c r="BA25" s="244">
        <f t="shared" si="30"/>
        <v>-0.182278684570234</v>
      </c>
      <c r="BB25" s="363"/>
      <c r="BC25" s="138">
        <f t="shared" si="30"/>
        <v>0</v>
      </c>
      <c r="BD25" s="138"/>
      <c r="BF25" s="138">
        <f t="shared" si="25"/>
        <v>-1.5159559860122629E-2</v>
      </c>
      <c r="BG25" s="138">
        <f t="shared" ref="BG25:BJ30" si="31">BG12/AE12-1</f>
        <v>4.0608291861691237E-2</v>
      </c>
      <c r="BH25" s="138">
        <f t="shared" si="31"/>
        <v>1.0045877382269364E-2</v>
      </c>
      <c r="BI25" s="138">
        <f t="shared" si="31"/>
        <v>-2.4741420889976551E-2</v>
      </c>
      <c r="BJ25" s="138">
        <f t="shared" si="31"/>
        <v>-4.3527275316906366E-2</v>
      </c>
    </row>
    <row r="26" spans="2:62" hidden="1" outlineLevel="1">
      <c r="B26" s="1" t="s">
        <v>411</v>
      </c>
      <c r="C26" s="358"/>
      <c r="D26" s="138">
        <f t="shared" si="19"/>
        <v>3.6269738739981738E-2</v>
      </c>
      <c r="E26" s="138">
        <f t="shared" si="19"/>
        <v>9.6365017262612485E-2</v>
      </c>
      <c r="F26" s="138">
        <f t="shared" si="19"/>
        <v>0.15093975105566759</v>
      </c>
      <c r="G26" s="138">
        <f t="shared" si="20"/>
        <v>0.15093975105566759</v>
      </c>
      <c r="H26" s="138">
        <f t="shared" si="21"/>
        <v>8.7887871085319702E-2</v>
      </c>
      <c r="I26" s="244">
        <f t="shared" si="21"/>
        <v>5.8496774094001891E-2</v>
      </c>
      <c r="J26" s="138">
        <f t="shared" si="26"/>
        <v>5.8496774094001891E-2</v>
      </c>
      <c r="K26" s="138">
        <f t="shared" si="27"/>
        <v>8.1390970174692878E-3</v>
      </c>
      <c r="L26" s="138">
        <f t="shared" si="28"/>
        <v>8.1390970174692878E-3</v>
      </c>
      <c r="M26" s="138">
        <f t="shared" si="28"/>
        <v>8.0708462337759634E-3</v>
      </c>
      <c r="N26" s="138">
        <f t="shared" si="28"/>
        <v>8.0717551035518476E-3</v>
      </c>
      <c r="O26" s="138">
        <f>O13/N13-1</f>
        <v>-2.8880318206362499E-2</v>
      </c>
      <c r="P26" s="363"/>
      <c r="Q26" s="363"/>
      <c r="R26" s="207"/>
      <c r="S26" s="358"/>
      <c r="T26" s="358"/>
      <c r="U26" s="358"/>
      <c r="V26" s="358"/>
      <c r="W26" s="138">
        <f t="shared" si="22"/>
        <v>7.082247446364387E-2</v>
      </c>
      <c r="X26" s="138">
        <f t="shared" si="22"/>
        <v>9.8174623912800074E-2</v>
      </c>
      <c r="Y26" s="138">
        <f t="shared" si="22"/>
        <v>0.10782817662961852</v>
      </c>
      <c r="Z26" s="138">
        <f t="shared" si="22"/>
        <v>0.10763662601247481</v>
      </c>
      <c r="AA26" s="138">
        <f t="shared" si="22"/>
        <v>0.14168887043380973</v>
      </c>
      <c r="AB26" s="138">
        <f t="shared" si="22"/>
        <v>0.15749458966427587</v>
      </c>
      <c r="AC26" s="138">
        <f t="shared" si="22"/>
        <v>0.14666102669226366</v>
      </c>
      <c r="AD26" s="138">
        <f t="shared" si="22"/>
        <v>0.1574329932651799</v>
      </c>
      <c r="AE26" s="138">
        <f t="shared" si="22"/>
        <v>9.3613925904971751E-2</v>
      </c>
      <c r="AF26" s="138">
        <f t="shared" si="22"/>
        <v>0.10700196755973623</v>
      </c>
      <c r="AG26" s="138">
        <f t="shared" si="22"/>
        <v>7.9057140965371087E-2</v>
      </c>
      <c r="AH26" s="138">
        <f t="shared" si="23"/>
        <v>7.3492433801435775E-2</v>
      </c>
      <c r="AI26" s="138">
        <f t="shared" si="24"/>
        <v>7.8690402505381174E-2</v>
      </c>
      <c r="AJ26" s="138">
        <f t="shared" si="24"/>
        <v>5.9493491794001319E-2</v>
      </c>
      <c r="AK26" s="244">
        <f t="shared" si="24"/>
        <v>5.7740688470270696E-2</v>
      </c>
      <c r="AL26" s="139">
        <f t="shared" si="24"/>
        <v>3.9788680585504554E-2</v>
      </c>
      <c r="AM26" s="138">
        <f t="shared" si="29"/>
        <v>1.0962189012118317E-2</v>
      </c>
      <c r="AN26" s="138">
        <f t="shared" si="29"/>
        <v>-1.9329638779461922E-2</v>
      </c>
      <c r="AO26" s="244">
        <f t="shared" si="30"/>
        <v>2.7132746589760171E-2</v>
      </c>
      <c r="AP26" s="139">
        <f t="shared" si="30"/>
        <v>1.3585221940807912E-2</v>
      </c>
      <c r="AQ26" s="138">
        <f t="shared" si="30"/>
        <v>2.695582193231405E-2</v>
      </c>
      <c r="AR26" s="138">
        <f t="shared" si="30"/>
        <v>4.6085106382978802E-2</v>
      </c>
      <c r="AS26" s="244">
        <f t="shared" si="30"/>
        <v>-1.9856382120380878E-2</v>
      </c>
      <c r="AT26" s="139">
        <f t="shared" si="30"/>
        <v>-1.7879087328243282E-2</v>
      </c>
      <c r="AU26" s="138">
        <f t="shared" si="30"/>
        <v>-1.76528331147352E-2</v>
      </c>
      <c r="AV26" s="138">
        <f t="shared" si="30"/>
        <v>-3.1460765569702676E-2</v>
      </c>
      <c r="AW26" s="244">
        <f t="shared" si="30"/>
        <v>-3.8895611587187906E-2</v>
      </c>
      <c r="AX26" s="139">
        <f t="shared" si="30"/>
        <v>-2.7469019914637349E-2</v>
      </c>
      <c r="AY26" s="138">
        <f t="shared" si="30"/>
        <v>-3.1153694357906381E-2</v>
      </c>
      <c r="AZ26" s="138">
        <f t="shared" si="30"/>
        <v>-2.5435118607620377E-2</v>
      </c>
      <c r="BA26" s="244">
        <f t="shared" si="30"/>
        <v>3.7686074995280094E-4</v>
      </c>
      <c r="BB26" s="363"/>
      <c r="BC26" s="138">
        <f t="shared" si="30"/>
        <v>0</v>
      </c>
      <c r="BD26" s="138"/>
      <c r="BF26" s="138">
        <f t="shared" si="25"/>
        <v>0.1574329932651799</v>
      </c>
      <c r="BG26" s="138">
        <f t="shared" si="31"/>
        <v>7.8690402505381174E-2</v>
      </c>
      <c r="BH26" s="138">
        <f t="shared" si="31"/>
        <v>5.9493491794001319E-2</v>
      </c>
      <c r="BI26" s="138">
        <f t="shared" si="31"/>
        <v>5.7740688470270696E-2</v>
      </c>
      <c r="BJ26" s="138">
        <f t="shared" si="31"/>
        <v>3.9788680585504554E-2</v>
      </c>
    </row>
    <row r="27" spans="2:62" hidden="1" outlineLevel="1">
      <c r="B27" s="1" t="s">
        <v>412</v>
      </c>
      <c r="C27" s="358"/>
      <c r="D27" s="138">
        <f t="shared" si="19"/>
        <v>-0.12913018361405926</v>
      </c>
      <c r="E27" s="138">
        <f t="shared" si="19"/>
        <v>0.12320018729758209</v>
      </c>
      <c r="F27" s="138">
        <f t="shared" si="19"/>
        <v>-5.0396618609229393E-2</v>
      </c>
      <c r="G27" s="138">
        <f t="shared" si="20"/>
        <v>-5.0396618609229393E-2</v>
      </c>
      <c r="H27" s="138">
        <f t="shared" si="21"/>
        <v>-0.47855566259770976</v>
      </c>
      <c r="I27" s="244">
        <f t="shared" si="21"/>
        <v>0.17611482694106639</v>
      </c>
      <c r="J27" s="138">
        <f t="shared" si="26"/>
        <v>2.6239476145930807E-2</v>
      </c>
      <c r="K27" s="138">
        <f t="shared" si="27"/>
        <v>0.6723918691035049</v>
      </c>
      <c r="L27" s="138">
        <f t="shared" ref="L27:M30" si="32">L14/J14-1</f>
        <v>-1</v>
      </c>
      <c r="M27" s="138">
        <f t="shared" si="32"/>
        <v>7.2465624442176413E-2</v>
      </c>
      <c r="N27" s="363"/>
      <c r="O27" s="363"/>
      <c r="P27" s="363"/>
      <c r="Q27" s="363"/>
      <c r="R27" s="207"/>
      <c r="S27" s="358"/>
      <c r="T27" s="358"/>
      <c r="U27" s="358"/>
      <c r="V27" s="358"/>
      <c r="W27" s="138">
        <f t="shared" si="22"/>
        <v>1.1258955987717645E-2</v>
      </c>
      <c r="X27" s="138">
        <f t="shared" si="22"/>
        <v>0.15077627388535042</v>
      </c>
      <c r="Y27" s="138">
        <f t="shared" si="22"/>
        <v>8.0368540822556511E-2</v>
      </c>
      <c r="Z27" s="138">
        <f t="shared" si="22"/>
        <v>0.22639728096676692</v>
      </c>
      <c r="AA27" s="138">
        <f t="shared" si="22"/>
        <v>0.27097390913180397</v>
      </c>
      <c r="AB27" s="138">
        <f t="shared" si="22"/>
        <v>-0.15830666781976988</v>
      </c>
      <c r="AC27" s="138">
        <f t="shared" si="22"/>
        <v>0.35273567942460815</v>
      </c>
      <c r="AD27" s="138">
        <f t="shared" si="22"/>
        <v>-0.47636643571978488</v>
      </c>
      <c r="AE27" s="138">
        <f t="shared" si="22"/>
        <v>-0.22289076671238339</v>
      </c>
      <c r="AF27" s="138">
        <f t="shared" si="22"/>
        <v>-0.70865656306190594</v>
      </c>
      <c r="AG27" s="138">
        <f t="shared" si="22"/>
        <v>-0.70282176901750781</v>
      </c>
      <c r="AH27" s="138">
        <f t="shared" si="23"/>
        <v>-0.14003234342840254</v>
      </c>
      <c r="AI27" s="138">
        <f t="shared" si="24"/>
        <v>-0.45829775120979221</v>
      </c>
      <c r="AJ27" s="138">
        <f t="shared" si="24"/>
        <v>1.1516487391994357</v>
      </c>
      <c r="AK27" s="244">
        <f t="shared" si="24"/>
        <v>0.80076677316293909</v>
      </c>
      <c r="AL27" s="139">
        <f t="shared" si="24"/>
        <v>-0.30985554320882147</v>
      </c>
      <c r="AM27" s="138">
        <f t="shared" si="29"/>
        <v>0.93263525305410111</v>
      </c>
      <c r="AN27" s="138">
        <f t="shared" si="29"/>
        <v>0.65797735705451443</v>
      </c>
      <c r="AO27" s="244">
        <f t="shared" si="30"/>
        <v>0.3715846994535521</v>
      </c>
      <c r="AP27" s="139">
        <f t="shared" si="30"/>
        <v>1.4799232103046824</v>
      </c>
      <c r="AQ27" s="138">
        <f t="shared" si="30"/>
        <v>0.11390042742760831</v>
      </c>
      <c r="AR27" s="138">
        <f t="shared" si="30"/>
        <v>0.10036150800482013</v>
      </c>
      <c r="AS27" s="244">
        <f t="shared" si="30"/>
        <v>2.1731256791017728E-2</v>
      </c>
      <c r="AT27" s="139">
        <f t="shared" si="30"/>
        <v>-3.8680161215408355</v>
      </c>
      <c r="AU27" s="138">
        <f t="shared" si="30"/>
        <v>-1</v>
      </c>
      <c r="AV27" s="138">
        <f t="shared" si="30"/>
        <v>-1</v>
      </c>
      <c r="AW27" s="244">
        <f t="shared" si="30"/>
        <v>-1</v>
      </c>
      <c r="AX27" s="139">
        <f t="shared" si="30"/>
        <v>-1</v>
      </c>
      <c r="AY27" s="138" t="e">
        <f t="shared" si="30"/>
        <v>#DIV/0!</v>
      </c>
      <c r="AZ27" s="138" t="e">
        <f t="shared" si="30"/>
        <v>#DIV/0!</v>
      </c>
      <c r="BA27" s="244" t="e">
        <f t="shared" si="30"/>
        <v>#DIV/0!</v>
      </c>
      <c r="BB27" s="363"/>
      <c r="BC27" s="138" t="e">
        <f t="shared" si="30"/>
        <v>#DIV/0!</v>
      </c>
      <c r="BD27" s="138"/>
      <c r="BF27" s="138">
        <f t="shared" si="25"/>
        <v>-0.47636643571978488</v>
      </c>
      <c r="BG27" s="138">
        <f t="shared" si="31"/>
        <v>-0.51067463706233984</v>
      </c>
      <c r="BH27" s="138">
        <f t="shared" si="31"/>
        <v>0.85346499735496351</v>
      </c>
      <c r="BI27" s="138">
        <f t="shared" si="31"/>
        <v>0.50057507987220462</v>
      </c>
      <c r="BJ27" s="138">
        <f t="shared" si="31"/>
        <v>0.11411231729207594</v>
      </c>
    </row>
    <row r="28" spans="2:62" s="5" customFormat="1" hidden="1" outlineLevel="1">
      <c r="B28" s="5" t="s">
        <v>413</v>
      </c>
      <c r="C28" s="361"/>
      <c r="D28" s="139">
        <f t="shared" si="19"/>
        <v>-2.4332697855412921E-2</v>
      </c>
      <c r="E28" s="139">
        <f t="shared" si="19"/>
        <v>6.6340384440794598E-2</v>
      </c>
      <c r="F28" s="139">
        <f t="shared" si="19"/>
        <v>2.5968258759607288E-2</v>
      </c>
      <c r="G28" s="139">
        <f t="shared" si="20"/>
        <v>2.8532093404849856E-2</v>
      </c>
      <c r="H28" s="139">
        <f t="shared" si="21"/>
        <v>-1.8051940600075977E-2</v>
      </c>
      <c r="I28" s="243">
        <f t="shared" si="21"/>
        <v>6.3489598700268601E-2</v>
      </c>
      <c r="J28" s="139">
        <f t="shared" si="26"/>
        <v>-0.2869511010548822</v>
      </c>
      <c r="K28" s="139">
        <f t="shared" si="27"/>
        <v>2.2218612845212871E-2</v>
      </c>
      <c r="L28" s="138">
        <f t="shared" si="32"/>
        <v>-7.6373669666367938E-2</v>
      </c>
      <c r="M28" s="138">
        <f t="shared" si="32"/>
        <v>-2.4067729410183203E-2</v>
      </c>
      <c r="N28" s="138">
        <f>N15/L15-1</f>
        <v>-3.4371883945985005E-2</v>
      </c>
      <c r="O28" s="139">
        <f>O15/N15-1</f>
        <v>-5.5090309700202234E-2</v>
      </c>
      <c r="P28" s="362"/>
      <c r="Q28" s="362"/>
      <c r="R28" s="207"/>
      <c r="S28" s="361"/>
      <c r="T28" s="361"/>
      <c r="U28" s="361"/>
      <c r="V28" s="361"/>
      <c r="W28" s="139">
        <f t="shared" si="22"/>
        <v>5.0052454796308155E-2</v>
      </c>
      <c r="X28" s="139">
        <f t="shared" si="22"/>
        <v>9.5980912384647565E-2</v>
      </c>
      <c r="Y28" s="139">
        <f t="shared" si="22"/>
        <v>7.1178208296071466E-2</v>
      </c>
      <c r="Z28" s="139">
        <f t="shared" si="22"/>
        <v>4.9639586696323068E-2</v>
      </c>
      <c r="AA28" s="139">
        <f t="shared" si="22"/>
        <v>3.3717157045886514E-2</v>
      </c>
      <c r="AB28" s="139">
        <f t="shared" si="22"/>
        <v>-1.8610097907467704E-2</v>
      </c>
      <c r="AC28" s="139">
        <f t="shared" si="22"/>
        <v>7.6316487099237662E-2</v>
      </c>
      <c r="AD28" s="139">
        <f t="shared" si="22"/>
        <v>1.5478164731896005E-2</v>
      </c>
      <c r="AE28" s="139">
        <f t="shared" si="22"/>
        <v>3.62234973543063E-3</v>
      </c>
      <c r="AF28" s="139">
        <f t="shared" si="22"/>
        <v>-5.5910924363172798E-2</v>
      </c>
      <c r="AG28" s="139">
        <f t="shared" si="22"/>
        <v>-5.0760040437459852E-2</v>
      </c>
      <c r="AH28" s="139">
        <f t="shared" si="23"/>
        <v>2.7715733934486453E-2</v>
      </c>
      <c r="AI28" s="139">
        <f t="shared" si="24"/>
        <v>3.8633816323475179E-2</v>
      </c>
      <c r="AJ28" s="139">
        <f t="shared" si="24"/>
        <v>0.10349671794191773</v>
      </c>
      <c r="AK28" s="243">
        <f t="shared" si="24"/>
        <v>8.6098126769345251E-2</v>
      </c>
      <c r="AL28" s="139">
        <f t="shared" si="24"/>
        <v>1.0475208418842863E-2</v>
      </c>
      <c r="AM28" s="139">
        <f t="shared" si="29"/>
        <v>3.1964450905246355E-2</v>
      </c>
      <c r="AN28" s="139">
        <f t="shared" si="29"/>
        <v>1.6126604597157534E-3</v>
      </c>
      <c r="AO28" s="243">
        <f t="shared" si="30"/>
        <v>-0.31134359544872681</v>
      </c>
      <c r="AP28" s="139">
        <f t="shared" si="30"/>
        <v>-0.35401702331364082</v>
      </c>
      <c r="AQ28" s="138">
        <f t="shared" si="30"/>
        <v>-5.9067407276974793E-3</v>
      </c>
      <c r="AR28" s="138">
        <f t="shared" si="30"/>
        <v>1.3846550169593907E-3</v>
      </c>
      <c r="AS28" s="243">
        <f t="shared" si="30"/>
        <v>-4.6294522427549833E-2</v>
      </c>
      <c r="AT28" s="139">
        <f t="shared" si="30"/>
        <v>-0.44958217118014021</v>
      </c>
      <c r="AU28" s="138">
        <f t="shared" si="30"/>
        <v>-0.14161111290028239</v>
      </c>
      <c r="AV28" s="138">
        <f t="shared" si="30"/>
        <v>-0.15518313271092155</v>
      </c>
      <c r="AW28" s="243">
        <f t="shared" si="30"/>
        <v>-0.16356302119527455</v>
      </c>
      <c r="AX28" s="139">
        <f t="shared" si="30"/>
        <v>0.45781758181397136</v>
      </c>
      <c r="AY28" s="138">
        <f t="shared" si="30"/>
        <v>-5.6939902327995395E-2</v>
      </c>
      <c r="AZ28" s="138">
        <f t="shared" si="30"/>
        <v>-5.9100050117045444E-2</v>
      </c>
      <c r="BA28" s="243">
        <f t="shared" si="30"/>
        <v>-4.3858111835913483E-2</v>
      </c>
      <c r="BB28" s="362"/>
      <c r="BC28" s="138">
        <f t="shared" si="30"/>
        <v>0</v>
      </c>
      <c r="BD28" s="139"/>
      <c r="BF28" s="139">
        <f t="shared" si="25"/>
        <v>2.4868534818783372E-2</v>
      </c>
      <c r="BG28" s="139">
        <f t="shared" si="31"/>
        <v>-0.265164420310673</v>
      </c>
      <c r="BH28" s="139">
        <f t="shared" si="31"/>
        <v>-0.22909759978782651</v>
      </c>
      <c r="BI28" s="139">
        <f t="shared" si="31"/>
        <v>-0.27579516453215691</v>
      </c>
      <c r="BJ28" s="139">
        <f t="shared" si="31"/>
        <v>-0.36172545233112896</v>
      </c>
    </row>
    <row r="29" spans="2:62" hidden="1" outlineLevel="1">
      <c r="B29" s="1" t="s">
        <v>414</v>
      </c>
      <c r="C29" s="358"/>
      <c r="D29" s="138">
        <f t="shared" si="19"/>
        <v>9.2732976081557839E-2</v>
      </c>
      <c r="E29" s="138">
        <f t="shared" si="19"/>
        <v>0.43893905866874006</v>
      </c>
      <c r="F29" s="138">
        <f t="shared" si="19"/>
        <v>0.12094511751626102</v>
      </c>
      <c r="G29" s="138">
        <f t="shared" si="20"/>
        <v>0.12094511751626102</v>
      </c>
      <c r="H29" s="138">
        <f t="shared" si="21"/>
        <v>0.34452457314473217</v>
      </c>
      <c r="I29" s="244">
        <f t="shared" si="21"/>
        <v>3.3672113064460607E-2</v>
      </c>
      <c r="J29" s="138">
        <f t="shared" si="26"/>
        <v>-0.92825922095829028</v>
      </c>
      <c r="K29" s="138">
        <f t="shared" si="27"/>
        <v>8.2058427830098202E-2</v>
      </c>
      <c r="L29" s="138">
        <f t="shared" si="32"/>
        <v>-0.74044589659811644</v>
      </c>
      <c r="M29" s="138">
        <f t="shared" si="32"/>
        <v>-0.12894430678780455</v>
      </c>
      <c r="N29" s="138">
        <f>N16/L16-1</f>
        <v>0.22093953171511949</v>
      </c>
      <c r="O29" s="138">
        <f>O16/N16-1</f>
        <v>1.8476859348750327</v>
      </c>
      <c r="P29" s="363"/>
      <c r="Q29" s="363"/>
      <c r="R29" s="207"/>
      <c r="S29" s="358"/>
      <c r="T29" s="358"/>
      <c r="U29" s="358"/>
      <c r="V29" s="358"/>
      <c r="W29" s="138">
        <f t="shared" si="22"/>
        <v>0.37956004918704744</v>
      </c>
      <c r="X29" s="138">
        <f t="shared" si="22"/>
        <v>0.35488378000762122</v>
      </c>
      <c r="Y29" s="138">
        <f t="shared" si="22"/>
        <v>0.34285407494899589</v>
      </c>
      <c r="Z29" s="138">
        <f t="shared" si="22"/>
        <v>0.66174331431129074</v>
      </c>
      <c r="AA29" s="138">
        <f t="shared" si="22"/>
        <v>0.21788650094087347</v>
      </c>
      <c r="AB29" s="138">
        <f t="shared" si="22"/>
        <v>0.17436955095153284</v>
      </c>
      <c r="AC29" s="138">
        <f t="shared" si="22"/>
        <v>0.13257636334559431</v>
      </c>
      <c r="AD29" s="138">
        <f t="shared" si="22"/>
        <v>6.868224361995745E-3</v>
      </c>
      <c r="AE29" s="138">
        <f t="shared" si="22"/>
        <v>0.32780352931609325</v>
      </c>
      <c r="AF29" s="138">
        <f t="shared" si="22"/>
        <v>0.43673664883850871</v>
      </c>
      <c r="AG29" s="138">
        <f t="shared" si="22"/>
        <v>0.3263908500423609</v>
      </c>
      <c r="AH29" s="138">
        <f t="shared" si="23"/>
        <v>0.29820102989366681</v>
      </c>
      <c r="AI29" s="138">
        <f t="shared" si="24"/>
        <v>0.1268985791278785</v>
      </c>
      <c r="AJ29" s="138">
        <f t="shared" si="24"/>
        <v>4.2060228914323927E-2</v>
      </c>
      <c r="AK29" s="244">
        <f t="shared" si="24"/>
        <v>2.0386437430137905E-2</v>
      </c>
      <c r="AL29" s="139">
        <f t="shared" si="24"/>
        <v>-3.6335256542344938</v>
      </c>
      <c r="AM29" s="138">
        <f t="shared" si="29"/>
        <v>-4.6209386281588438E-2</v>
      </c>
      <c r="AN29" s="138">
        <f t="shared" si="29"/>
        <v>-0.22963537626066721</v>
      </c>
      <c r="AO29" s="244">
        <f t="shared" si="30"/>
        <v>-0.96786645800730309</v>
      </c>
      <c r="AP29" s="139">
        <f t="shared" si="30"/>
        <v>-1.0528138570478462</v>
      </c>
      <c r="AQ29" s="138">
        <f t="shared" si="30"/>
        <v>-0.15972747918243746</v>
      </c>
      <c r="AR29" s="138">
        <f t="shared" si="30"/>
        <v>0.39375629405840895</v>
      </c>
      <c r="AS29" s="244">
        <f t="shared" si="30"/>
        <v>0.68019480519480524</v>
      </c>
      <c r="AT29" s="139">
        <f t="shared" si="30"/>
        <v>-1.6963721550399082</v>
      </c>
      <c r="AU29" s="138">
        <f t="shared" si="30"/>
        <v>-0.63153153153153152</v>
      </c>
      <c r="AV29" s="138">
        <f t="shared" si="30"/>
        <v>-0.69075144508670516</v>
      </c>
      <c r="AW29" s="244">
        <f t="shared" si="30"/>
        <v>-0.57777777777777772</v>
      </c>
      <c r="AX29" s="139">
        <f t="shared" si="30"/>
        <v>-2.8197024737124838</v>
      </c>
      <c r="AY29" s="138">
        <f t="shared" si="30"/>
        <v>1.6430317848410758</v>
      </c>
      <c r="AZ29" s="138">
        <f t="shared" si="30"/>
        <v>1.3855140186915889</v>
      </c>
      <c r="BA29" s="244">
        <f t="shared" si="30"/>
        <v>1.375286041189931</v>
      </c>
      <c r="BB29" s="363"/>
      <c r="BC29" s="138">
        <f t="shared" si="30"/>
        <v>0</v>
      </c>
      <c r="BD29" s="138"/>
      <c r="BF29" s="138">
        <f t="shared" si="25"/>
        <v>6.868224361995745E-3</v>
      </c>
      <c r="BG29" s="138">
        <f t="shared" si="31"/>
        <v>-0.91517638412542868</v>
      </c>
      <c r="BH29" s="138">
        <f t="shared" si="31"/>
        <v>-0.92838093121457943</v>
      </c>
      <c r="BI29" s="138">
        <f t="shared" si="31"/>
        <v>-0.94139564592537395</v>
      </c>
      <c r="BJ29" s="138">
        <f t="shared" si="31"/>
        <v>-0.9264372553059963</v>
      </c>
    </row>
    <row r="30" spans="2:62" s="5" customFormat="1" hidden="1" outlineLevel="1">
      <c r="B30" s="5" t="s">
        <v>418</v>
      </c>
      <c r="C30" s="361"/>
      <c r="D30" s="139">
        <f t="shared" si="19"/>
        <v>-2.80535147900971E-2</v>
      </c>
      <c r="E30" s="139">
        <f t="shared" si="19"/>
        <v>5.3025980326159017E-2</v>
      </c>
      <c r="F30" s="139">
        <f t="shared" si="19"/>
        <v>2.1330570570692542E-2</v>
      </c>
      <c r="G30" s="139">
        <f t="shared" si="20"/>
        <v>2.4019596402590881E-2</v>
      </c>
      <c r="H30" s="139">
        <f t="shared" si="21"/>
        <v>-3.7432195949494651E-2</v>
      </c>
      <c r="I30" s="243">
        <f t="shared" si="21"/>
        <v>6.5715819609772907E-2</v>
      </c>
      <c r="J30" s="139">
        <f t="shared" si="26"/>
        <v>-0.23907001666695837</v>
      </c>
      <c r="K30" s="139">
        <f t="shared" si="27"/>
        <v>2.179739295352956E-2</v>
      </c>
      <c r="L30" s="138">
        <f t="shared" si="32"/>
        <v>-7.1699182762141156E-2</v>
      </c>
      <c r="M30" s="138">
        <f t="shared" si="32"/>
        <v>-2.3285952107289565E-2</v>
      </c>
      <c r="N30" s="138">
        <f>N17/L17-1</f>
        <v>-3.4874374648112938E-2</v>
      </c>
      <c r="O30" s="139">
        <f>O17/N17-1</f>
        <v>-5.9827881729498933E-2</v>
      </c>
      <c r="P30" s="362"/>
      <c r="Q30" s="362"/>
      <c r="R30" s="207"/>
      <c r="S30" s="361"/>
      <c r="T30" s="361"/>
      <c r="U30" s="361"/>
      <c r="V30" s="361"/>
      <c r="W30" s="139">
        <f t="shared" si="22"/>
        <v>3.9067517525040785E-2</v>
      </c>
      <c r="X30" s="139">
        <f t="shared" si="22"/>
        <v>8.7109606211482893E-2</v>
      </c>
      <c r="Y30" s="139">
        <f t="shared" si="22"/>
        <v>6.0014119931165233E-2</v>
      </c>
      <c r="Z30" s="139">
        <f t="shared" si="22"/>
        <v>2.8593303349864208E-2</v>
      </c>
      <c r="AA30" s="139">
        <f t="shared" si="22"/>
        <v>2.556549184639656E-2</v>
      </c>
      <c r="AB30" s="139">
        <f t="shared" si="22"/>
        <v>-2.685130693441895E-2</v>
      </c>
      <c r="AC30" s="139">
        <f t="shared" si="22"/>
        <v>7.3387697674321739E-2</v>
      </c>
      <c r="AD30" s="139">
        <f t="shared" si="22"/>
        <v>1.5956432132798071E-2</v>
      </c>
      <c r="AE30" s="139">
        <f t="shared" si="22"/>
        <v>-1.3417282177540457E-2</v>
      </c>
      <c r="AF30" s="139">
        <f t="shared" si="22"/>
        <v>-8.1299675821553952E-2</v>
      </c>
      <c r="AG30" s="139">
        <f t="shared" si="22"/>
        <v>-7.147649314941007E-2</v>
      </c>
      <c r="AH30" s="139">
        <f t="shared" si="23"/>
        <v>1.2969019466290588E-2</v>
      </c>
      <c r="AI30" s="139">
        <f t="shared" si="24"/>
        <v>3.2389856723841204E-2</v>
      </c>
      <c r="AJ30" s="139">
        <f t="shared" si="24"/>
        <v>0.1084481940227664</v>
      </c>
      <c r="AK30" s="243">
        <f t="shared" si="24"/>
        <v>9.1254228793384407E-2</v>
      </c>
      <c r="AL30" s="139">
        <f t="shared" si="24"/>
        <v>0.26508544916602483</v>
      </c>
      <c r="AM30" s="139">
        <f t="shared" si="29"/>
        <v>3.2565210877635087E-2</v>
      </c>
      <c r="AN30" s="139">
        <f t="shared" si="29"/>
        <v>3.2261731415674788E-3</v>
      </c>
      <c r="AO30" s="243">
        <f t="shared" si="30"/>
        <v>-0.26317461410982124</v>
      </c>
      <c r="AP30" s="139">
        <f t="shared" si="30"/>
        <v>-0.45565734191779905</v>
      </c>
      <c r="AQ30" s="138">
        <f t="shared" si="30"/>
        <v>-4.814822775831229E-3</v>
      </c>
      <c r="AR30" s="138">
        <f t="shared" si="30"/>
        <v>-7.1761944586845594E-4</v>
      </c>
      <c r="AS30" s="243">
        <f t="shared" si="30"/>
        <v>-4.8619082990073559E-2</v>
      </c>
      <c r="AT30" s="139">
        <f t="shared" si="30"/>
        <v>-0.43198738838782291</v>
      </c>
      <c r="AU30" s="138">
        <f t="shared" si="30"/>
        <v>-0.13867470139743843</v>
      </c>
      <c r="AV30" s="138">
        <f t="shared" si="30"/>
        <v>-0.15118087277675174</v>
      </c>
      <c r="AW30" s="243">
        <f t="shared" si="30"/>
        <v>-0.16122233930453111</v>
      </c>
      <c r="AX30" s="139">
        <f t="shared" si="30"/>
        <v>0.40111283943001297</v>
      </c>
      <c r="AY30" s="138">
        <f t="shared" si="30"/>
        <v>-6.1298694785410723E-2</v>
      </c>
      <c r="AZ30" s="138">
        <f t="shared" si="30"/>
        <v>-6.3033148222362168E-2</v>
      </c>
      <c r="BA30" s="243">
        <f t="shared" si="30"/>
        <v>-4.7894914989454973E-2</v>
      </c>
      <c r="BB30" s="362"/>
      <c r="BC30" s="138">
        <f t="shared" si="30"/>
        <v>0</v>
      </c>
      <c r="BD30" s="139"/>
      <c r="BF30" s="139">
        <f t="shared" si="25"/>
        <v>2.5868421151062249E-2</v>
      </c>
      <c r="BG30" s="139">
        <f t="shared" si="31"/>
        <v>-0.21918176185916749</v>
      </c>
      <c r="BH30" s="139">
        <f t="shared" si="31"/>
        <v>-0.17273883410802726</v>
      </c>
      <c r="BI30" s="139">
        <f t="shared" si="31"/>
        <v>-0.22356847512842981</v>
      </c>
      <c r="BJ30" s="139">
        <f t="shared" si="31"/>
        <v>-0.3222684341998231</v>
      </c>
    </row>
    <row r="31" spans="2:62" hidden="1" outlineLevel="1">
      <c r="B31" s="169" t="s">
        <v>416</v>
      </c>
      <c r="C31" s="361"/>
      <c r="D31" s="139">
        <f>D20/C20-1</f>
        <v>-2.80535147900971E-2</v>
      </c>
      <c r="E31" s="139">
        <f>E20/D20-1</f>
        <v>8.2235415050509575E-2</v>
      </c>
      <c r="F31" s="139">
        <f>F20/E20-1</f>
        <v>2.0724252904997797E-3</v>
      </c>
      <c r="G31" s="139">
        <f>G20/E20-1</f>
        <v>4.6888745614979133E-3</v>
      </c>
      <c r="H31" s="139">
        <f>H20/G20-1</f>
        <v>-4.319694331211954E-2</v>
      </c>
      <c r="I31" s="243">
        <f>I20/H20-1</f>
        <v>6.327158756635054E-2</v>
      </c>
      <c r="J31" s="139">
        <f>J20/H20-1</f>
        <v>-0.24081521873099865</v>
      </c>
      <c r="K31" s="139">
        <f>K20/J20-1</f>
        <v>2.179739295352956E-2</v>
      </c>
      <c r="L31" s="362"/>
      <c r="M31" s="362"/>
      <c r="N31" s="363"/>
      <c r="O31" s="139">
        <f>O20/N20-1</f>
        <v>-5.9827881729498933E-2</v>
      </c>
      <c r="P31" s="362"/>
      <c r="Q31" s="362"/>
      <c r="R31" s="207"/>
      <c r="S31" s="361"/>
      <c r="T31" s="361"/>
      <c r="U31" s="361"/>
      <c r="V31" s="361"/>
      <c r="W31" s="139">
        <f t="shared" ref="W31:AG31" si="33">W20/S20-1</f>
        <v>3.9067517525040785E-2</v>
      </c>
      <c r="X31" s="139">
        <f t="shared" si="33"/>
        <v>0.16212005153023923</v>
      </c>
      <c r="Y31" s="139">
        <f t="shared" si="33"/>
        <v>0.10458456515024483</v>
      </c>
      <c r="Z31" s="139">
        <f t="shared" si="33"/>
        <v>2.8593303349864208E-2</v>
      </c>
      <c r="AA31" s="139">
        <f t="shared" si="33"/>
        <v>2.556549184639656E-2</v>
      </c>
      <c r="AB31" s="139">
        <f t="shared" si="33"/>
        <v>-8.9664367196218842E-2</v>
      </c>
      <c r="AC31" s="139">
        <f t="shared" si="33"/>
        <v>3.0076058993656396E-2</v>
      </c>
      <c r="AD31" s="139">
        <f t="shared" si="33"/>
        <v>4.7427932359090708E-2</v>
      </c>
      <c r="AE31" s="139">
        <f t="shared" si="33"/>
        <v>-7.1125700998493357E-3</v>
      </c>
      <c r="AF31" s="139">
        <f t="shared" si="33"/>
        <v>-7.8181309549276934E-2</v>
      </c>
      <c r="AG31" s="139">
        <f t="shared" si="33"/>
        <v>-7.147649314941007E-2</v>
      </c>
      <c r="AH31" s="139">
        <f>AH20/BF20-1</f>
        <v>-1.7181790203160352E-2</v>
      </c>
      <c r="AI31" s="139">
        <f>AI20/AE20-1</f>
        <v>2.5834309133489386E-2</v>
      </c>
      <c r="AJ31" s="139">
        <f>AJ20/AF20-1</f>
        <v>0.10469848977114515</v>
      </c>
      <c r="AK31" s="243">
        <f>AK20/AG20-1</f>
        <v>9.1254228793384407E-2</v>
      </c>
      <c r="AL31" s="139">
        <f>AL20/AH20-1</f>
        <v>0.26508544916602483</v>
      </c>
      <c r="AM31" s="139">
        <f>AM20/BG20-1</f>
        <v>3.2565210877635087E-2</v>
      </c>
      <c r="AN31" s="139">
        <f>AN20/BH20-1</f>
        <v>3.2261731415674788E-3</v>
      </c>
      <c r="AO31" s="243">
        <f t="shared" ref="AO31:BC31" si="34">AO20/AK20-1</f>
        <v>-0.26317461410982124</v>
      </c>
      <c r="AP31" s="139">
        <f t="shared" si="34"/>
        <v>-0.45565734191779905</v>
      </c>
      <c r="AQ31" s="138">
        <f t="shared" si="34"/>
        <v>-4.814822775831229E-3</v>
      </c>
      <c r="AR31" s="138">
        <f t="shared" si="34"/>
        <v>-7.1761944586845594E-4</v>
      </c>
      <c r="AS31" s="243">
        <f t="shared" si="34"/>
        <v>-4.8619082990073559E-2</v>
      </c>
      <c r="AT31" s="139">
        <f t="shared" si="34"/>
        <v>-0.43198738838782291</v>
      </c>
      <c r="AU31" s="138">
        <f t="shared" si="34"/>
        <v>-0.13867470139743843</v>
      </c>
      <c r="AV31" s="138">
        <f t="shared" si="34"/>
        <v>-0.15118087277675174</v>
      </c>
      <c r="AW31" s="243">
        <f t="shared" si="34"/>
        <v>-0.16122233930453111</v>
      </c>
      <c r="AX31" s="139">
        <f t="shared" si="34"/>
        <v>0.40111283943001297</v>
      </c>
      <c r="AY31" s="138">
        <f t="shared" si="34"/>
        <v>-6.1298694785410723E-2</v>
      </c>
      <c r="AZ31" s="138">
        <f t="shared" si="34"/>
        <v>-6.3033148222362168E-2</v>
      </c>
      <c r="BA31" s="243">
        <f t="shared" si="34"/>
        <v>-4.7894914989454973E-2</v>
      </c>
      <c r="BB31" s="362"/>
      <c r="BC31" s="138">
        <f t="shared" si="34"/>
        <v>0</v>
      </c>
      <c r="BD31" s="139"/>
      <c r="BF31" s="139">
        <f>BF20/Z20-1</f>
        <v>5.7339921377354885E-2</v>
      </c>
      <c r="BG31" s="139">
        <f>BG20/AE20-1</f>
        <v>-0.22413986086237792</v>
      </c>
      <c r="BH31" s="139">
        <f>BH20/AF20-1</f>
        <v>-0.17553732728765747</v>
      </c>
      <c r="BI31" s="139">
        <f>BI20/AG20-1</f>
        <v>-0.22356847512842981</v>
      </c>
      <c r="BJ31" s="139">
        <f>BJ20/AH20-1</f>
        <v>-0.3222684341998231</v>
      </c>
    </row>
    <row r="32" spans="2:62" hidden="1" outlineLevel="1">
      <c r="B32" s="169"/>
      <c r="R32" s="207"/>
    </row>
    <row r="33" spans="2:62" hidden="1" outlineLevel="1">
      <c r="B33" s="169"/>
      <c r="R33" s="207"/>
    </row>
    <row r="34" spans="2:62" hidden="1" outlineLevel="1">
      <c r="B34" s="5" t="s">
        <v>419</v>
      </c>
      <c r="R34" s="207"/>
    </row>
    <row r="35" spans="2:62" hidden="1" outlineLevel="1">
      <c r="B35" s="1" t="s">
        <v>407</v>
      </c>
      <c r="C35" s="363"/>
      <c r="D35" s="138">
        <f>D9/D$17</f>
        <v>0.36327150797874036</v>
      </c>
      <c r="E35" s="363"/>
      <c r="F35" s="363"/>
      <c r="G35" s="363"/>
      <c r="H35" s="363"/>
      <c r="I35" s="364"/>
      <c r="J35" s="363"/>
      <c r="K35" s="363"/>
      <c r="L35" s="363"/>
      <c r="M35" s="363"/>
      <c r="N35" s="363"/>
      <c r="O35" s="363"/>
      <c r="P35" s="363"/>
      <c r="Q35" s="363"/>
      <c r="R35" s="207"/>
      <c r="S35" s="363"/>
      <c r="T35" s="138">
        <f>T9/T$17</f>
        <v>0.35148062393370705</v>
      </c>
      <c r="U35" s="138">
        <f>U9/U$17</f>
        <v>0.35409698627719188</v>
      </c>
      <c r="V35" s="363"/>
      <c r="W35" s="363"/>
      <c r="X35" s="363"/>
      <c r="Y35" s="363"/>
      <c r="Z35" s="363"/>
      <c r="AA35" s="363"/>
      <c r="AB35" s="363"/>
      <c r="AC35" s="363"/>
      <c r="AD35" s="363"/>
      <c r="AE35" s="363"/>
      <c r="AF35" s="363"/>
      <c r="AG35" s="363"/>
      <c r="AH35" s="363"/>
      <c r="AI35" s="363"/>
      <c r="AJ35" s="363"/>
      <c r="AK35" s="364"/>
      <c r="AL35" s="363"/>
      <c r="AM35" s="363"/>
      <c r="AN35" s="363"/>
      <c r="AO35" s="364"/>
      <c r="AP35" s="363"/>
      <c r="AQ35" s="363"/>
      <c r="AR35" s="363"/>
      <c r="AS35" s="364"/>
      <c r="AT35" s="363"/>
      <c r="AU35" s="363"/>
      <c r="AV35" s="363"/>
      <c r="AW35" s="364"/>
      <c r="AX35" s="363"/>
      <c r="AY35" s="363"/>
      <c r="AZ35" s="363"/>
      <c r="BA35" s="364"/>
      <c r="BB35" s="363"/>
      <c r="BC35" s="363"/>
      <c r="BD35" s="138"/>
      <c r="BF35" s="363"/>
      <c r="BG35" s="363"/>
      <c r="BH35" s="363"/>
      <c r="BI35" s="363"/>
      <c r="BJ35" s="363"/>
    </row>
    <row r="36" spans="2:62" hidden="1" outlineLevel="1">
      <c r="B36" s="1" t="s">
        <v>408</v>
      </c>
      <c r="C36" s="363"/>
      <c r="D36" s="363"/>
      <c r="E36" s="363"/>
      <c r="F36" s="363"/>
      <c r="G36" s="363"/>
      <c r="H36" s="363"/>
      <c r="I36" s="364"/>
      <c r="J36" s="363"/>
      <c r="K36" s="363"/>
      <c r="L36" s="363"/>
      <c r="M36" s="363"/>
      <c r="N36" s="363"/>
      <c r="O36" s="363"/>
      <c r="P36" s="363"/>
      <c r="Q36" s="363"/>
      <c r="R36" s="207"/>
      <c r="S36" s="363"/>
      <c r="T36" s="363"/>
      <c r="U36" s="363"/>
      <c r="V36" s="363"/>
      <c r="W36" s="363"/>
      <c r="X36" s="363"/>
      <c r="Y36" s="363"/>
      <c r="Z36" s="363"/>
      <c r="AA36" s="363"/>
      <c r="AB36" s="363"/>
      <c r="AC36" s="363"/>
      <c r="AD36" s="363"/>
      <c r="AE36" s="363"/>
      <c r="AF36" s="363"/>
      <c r="AG36" s="363"/>
      <c r="AH36" s="363"/>
      <c r="AI36" s="363"/>
      <c r="AJ36" s="363"/>
      <c r="AK36" s="364"/>
      <c r="AL36" s="363"/>
      <c r="AM36" s="363"/>
      <c r="AN36" s="363"/>
      <c r="AO36" s="364"/>
      <c r="AP36" s="363"/>
      <c r="AQ36" s="363"/>
      <c r="AR36" s="363"/>
      <c r="AS36" s="364"/>
      <c r="AT36" s="363"/>
      <c r="AU36" s="363"/>
      <c r="AV36" s="363"/>
      <c r="AW36" s="364"/>
      <c r="AX36" s="363"/>
      <c r="AY36" s="363"/>
      <c r="AZ36" s="363"/>
      <c r="BA36" s="364"/>
      <c r="BB36" s="363"/>
      <c r="BC36" s="363"/>
      <c r="BD36" s="138"/>
      <c r="BF36" s="363"/>
      <c r="BG36" s="363"/>
      <c r="BH36" s="363"/>
      <c r="BI36" s="363"/>
      <c r="BJ36" s="363"/>
    </row>
    <row r="37" spans="2:62" hidden="1" outlineLevel="1">
      <c r="B37" s="1" t="s">
        <v>409</v>
      </c>
      <c r="C37" s="138">
        <f t="shared" ref="C37:I43" si="35">C11/C$17</f>
        <v>0.38101246892116719</v>
      </c>
      <c r="D37" s="138">
        <f t="shared" si="35"/>
        <v>0.36327150797874036</v>
      </c>
      <c r="E37" s="138">
        <f t="shared" si="35"/>
        <v>0.37027479814548542</v>
      </c>
      <c r="F37" s="138">
        <f t="shared" si="35"/>
        <v>0.3457051508780854</v>
      </c>
      <c r="G37" s="138">
        <f t="shared" si="35"/>
        <v>0.34742329744202594</v>
      </c>
      <c r="H37" s="138">
        <f t="shared" si="35"/>
        <v>0.33573780887662236</v>
      </c>
      <c r="I37" s="244">
        <f t="shared" si="35"/>
        <v>0.34719170275817113</v>
      </c>
      <c r="J37" s="363"/>
      <c r="K37" s="363"/>
      <c r="L37" s="363"/>
      <c r="M37" s="363"/>
      <c r="N37" s="363"/>
      <c r="O37" s="363"/>
      <c r="P37" s="363"/>
      <c r="Q37" s="363"/>
      <c r="R37" s="207"/>
      <c r="S37" s="138">
        <f t="shared" ref="S37:AL37" si="36">S11/S$17</f>
        <v>0.33208528625371803</v>
      </c>
      <c r="T37" s="138">
        <f t="shared" si="36"/>
        <v>0.35148062393370705</v>
      </c>
      <c r="U37" s="138">
        <f t="shared" si="36"/>
        <v>0.35409698627719188</v>
      </c>
      <c r="V37" s="138">
        <f t="shared" si="36"/>
        <v>0.4080355184844624</v>
      </c>
      <c r="W37" s="138">
        <f t="shared" si="36"/>
        <v>0.34628265825004384</v>
      </c>
      <c r="X37" s="138">
        <f t="shared" si="36"/>
        <v>0.37023736603371726</v>
      </c>
      <c r="Y37" s="138">
        <f t="shared" si="36"/>
        <v>0.36215142924934751</v>
      </c>
      <c r="Z37" s="138">
        <f t="shared" si="36"/>
        <v>0.39808044046634966</v>
      </c>
      <c r="AA37" s="138">
        <f t="shared" si="36"/>
        <v>0.30711000547120781</v>
      </c>
      <c r="AB37" s="138">
        <f t="shared" si="36"/>
        <v>0.33117214369168485</v>
      </c>
      <c r="AC37" s="138">
        <f t="shared" si="36"/>
        <v>0.3358010711197118</v>
      </c>
      <c r="AD37" s="138">
        <f t="shared" si="36"/>
        <v>0.40135631159823137</v>
      </c>
      <c r="AE37" s="138">
        <f t="shared" si="36"/>
        <v>0.29147405042176999</v>
      </c>
      <c r="AF37" s="138">
        <f t="shared" si="36"/>
        <v>0.30184404023034833</v>
      </c>
      <c r="AG37" s="138">
        <f t="shared" si="36"/>
        <v>0.33552186442801657</v>
      </c>
      <c r="AH37" s="138">
        <f t="shared" si="36"/>
        <v>0.39994097024756503</v>
      </c>
      <c r="AI37" s="138">
        <f t="shared" si="36"/>
        <v>0.31122292678218466</v>
      </c>
      <c r="AJ37" s="138">
        <f t="shared" si="36"/>
        <v>0.3174054263691159</v>
      </c>
      <c r="AK37" s="244">
        <f t="shared" si="36"/>
        <v>0.34866177534359821</v>
      </c>
      <c r="AL37" s="138">
        <f t="shared" si="36"/>
        <v>0.32887867007263105</v>
      </c>
      <c r="AM37" s="363"/>
      <c r="AN37" s="363"/>
      <c r="AO37" s="364"/>
      <c r="AP37" s="363"/>
      <c r="AQ37" s="363"/>
      <c r="AR37" s="363"/>
      <c r="AS37" s="364"/>
      <c r="AT37" s="363"/>
      <c r="AU37" s="363"/>
      <c r="AV37" s="363"/>
      <c r="AW37" s="364"/>
      <c r="AX37" s="363"/>
      <c r="AY37" s="363"/>
      <c r="AZ37" s="363"/>
      <c r="BA37" s="364"/>
      <c r="BB37" s="363"/>
      <c r="BC37" s="363"/>
      <c r="BD37" s="138"/>
      <c r="BF37" s="138">
        <f t="shared" ref="BF37:BJ43" si="37">BF11/BF$17</f>
        <v>0.40714043512026526</v>
      </c>
      <c r="BG37" s="138">
        <f t="shared" si="37"/>
        <v>0</v>
      </c>
      <c r="BH37" s="138">
        <f t="shared" si="37"/>
        <v>0</v>
      </c>
      <c r="BI37" s="138">
        <f t="shared" si="37"/>
        <v>0</v>
      </c>
      <c r="BJ37" s="138">
        <f t="shared" si="37"/>
        <v>0</v>
      </c>
    </row>
    <row r="38" spans="2:62" hidden="1" outlineLevel="1">
      <c r="B38" s="1" t="s">
        <v>410</v>
      </c>
      <c r="C38" s="138">
        <f t="shared" si="35"/>
        <v>0.22787197494168498</v>
      </c>
      <c r="D38" s="138">
        <f t="shared" si="35"/>
        <v>0.23717813096375315</v>
      </c>
      <c r="E38" s="138">
        <f t="shared" si="35"/>
        <v>0.2232622043720516</v>
      </c>
      <c r="F38" s="138">
        <f t="shared" si="35"/>
        <v>0.21209071363565912</v>
      </c>
      <c r="G38" s="138">
        <f t="shared" si="35"/>
        <v>0.21153377370045123</v>
      </c>
      <c r="H38" s="138">
        <f t="shared" si="35"/>
        <v>0.22786789556745385</v>
      </c>
      <c r="I38" s="244">
        <f t="shared" si="35"/>
        <v>0.21277268272217351</v>
      </c>
      <c r="J38" s="138">
        <f t="shared" ref="J38:O43" si="38">J12/J$17</f>
        <v>0.29799747535849924</v>
      </c>
      <c r="K38" s="138">
        <f t="shared" si="38"/>
        <v>0.26929632177713686</v>
      </c>
      <c r="L38" s="138">
        <f t="shared" si="38"/>
        <v>0.2964193011728733</v>
      </c>
      <c r="M38" s="138">
        <f t="shared" si="38"/>
        <v>0.23838553083387218</v>
      </c>
      <c r="N38" s="138">
        <f t="shared" si="38"/>
        <v>0.26554548343414347</v>
      </c>
      <c r="O38" s="138">
        <f t="shared" si="38"/>
        <v>0.24633914492416942</v>
      </c>
      <c r="P38" s="363"/>
      <c r="Q38" s="363"/>
      <c r="R38" s="207"/>
      <c r="S38" s="138">
        <f t="shared" ref="S38:AL38" si="39">S12/S$17</f>
        <v>0.25236969523054714</v>
      </c>
      <c r="T38" s="138">
        <f t="shared" si="39"/>
        <v>0.24554768288012255</v>
      </c>
      <c r="U38" s="138">
        <f t="shared" si="39"/>
        <v>0.24026827869214137</v>
      </c>
      <c r="V38" s="138">
        <f t="shared" si="39"/>
        <v>0.21425356165911946</v>
      </c>
      <c r="W38" s="138">
        <f t="shared" si="39"/>
        <v>0.23997019112747675</v>
      </c>
      <c r="X38" s="138">
        <f t="shared" si="39"/>
        <v>0.22654864422318574</v>
      </c>
      <c r="Y38" s="138">
        <f t="shared" si="39"/>
        <v>0.22508751992873527</v>
      </c>
      <c r="Z38" s="138">
        <f t="shared" si="39"/>
        <v>0.20429544459946222</v>
      </c>
      <c r="AA38" s="138">
        <f t="shared" si="39"/>
        <v>0.22575571057310906</v>
      </c>
      <c r="AB38" s="138">
        <f t="shared" si="39"/>
        <v>0.22001760766180123</v>
      </c>
      <c r="AC38" s="138">
        <f t="shared" si="39"/>
        <v>0.20702238803076078</v>
      </c>
      <c r="AD38" s="138">
        <f t="shared" si="39"/>
        <v>0.19803842882861653</v>
      </c>
      <c r="AE38" s="138">
        <f t="shared" si="39"/>
        <v>0.23418524953100558</v>
      </c>
      <c r="AF38" s="138">
        <f t="shared" si="39"/>
        <v>0.24694824328076165</v>
      </c>
      <c r="AG38" s="138">
        <f t="shared" si="39"/>
        <v>0.2338011109718916</v>
      </c>
      <c r="AH38" s="138">
        <f t="shared" si="39"/>
        <v>0.20216970333950035</v>
      </c>
      <c r="AI38" s="138">
        <f t="shared" si="39"/>
        <v>0.23604950291452814</v>
      </c>
      <c r="AJ38" s="138">
        <f t="shared" si="39"/>
        <v>0.22502545125478726</v>
      </c>
      <c r="AK38" s="244">
        <f t="shared" si="39"/>
        <v>0.20894905445902656</v>
      </c>
      <c r="AL38" s="138">
        <f t="shared" si="39"/>
        <v>0.15285118260507907</v>
      </c>
      <c r="AM38" s="138">
        <f t="shared" ref="AM38:BA38" si="40">AM12/AM$17</f>
        <v>0.28349955935773702</v>
      </c>
      <c r="AN38" s="138">
        <f t="shared" si="40"/>
        <v>0.27734103110583541</v>
      </c>
      <c r="AO38" s="244">
        <f t="shared" si="40"/>
        <v>0.25902128123750112</v>
      </c>
      <c r="AP38" s="138">
        <f t="shared" si="40"/>
        <v>0.25802760151742021</v>
      </c>
      <c r="AQ38" s="138">
        <f t="shared" si="40"/>
        <v>0.25149571265038123</v>
      </c>
      <c r="AR38" s="138">
        <f t="shared" si="40"/>
        <v>0.24025118519238456</v>
      </c>
      <c r="AS38" s="244">
        <f t="shared" si="40"/>
        <v>0.23458562872289895</v>
      </c>
      <c r="AT38" s="138">
        <f t="shared" si="40"/>
        <v>0.3847746126557603</v>
      </c>
      <c r="AU38" s="138">
        <f t="shared" si="40"/>
        <v>0.25600260792156171</v>
      </c>
      <c r="AV38" s="138">
        <f t="shared" si="40"/>
        <v>0.24543424743802603</v>
      </c>
      <c r="AW38" s="244">
        <f t="shared" si="40"/>
        <v>0.24286588382326138</v>
      </c>
      <c r="AX38" s="138">
        <f t="shared" si="40"/>
        <v>0.24065417062143013</v>
      </c>
      <c r="AY38" s="138">
        <f t="shared" si="40"/>
        <v>0.23668322914997061</v>
      </c>
      <c r="AZ38" s="138">
        <f t="shared" si="40"/>
        <v>0.21925536681738564</v>
      </c>
      <c r="BA38" s="244">
        <f t="shared" si="40"/>
        <v>0.20858685991659259</v>
      </c>
      <c r="BB38" s="363"/>
      <c r="BC38" s="138">
        <f t="shared" ref="BC38:BC43" si="41">BC12/BC$17</f>
        <v>0.23668322914997061</v>
      </c>
      <c r="BD38" s="138"/>
      <c r="BF38" s="138">
        <f t="shared" si="37"/>
        <v>0.19612497219882669</v>
      </c>
      <c r="BG38" s="138">
        <f t="shared" si="37"/>
        <v>0.3121022289053007</v>
      </c>
      <c r="BH38" s="138">
        <f t="shared" si="37"/>
        <v>0.30151186268194591</v>
      </c>
      <c r="BI38" s="138">
        <f t="shared" si="37"/>
        <v>0.29367243855600556</v>
      </c>
      <c r="BJ38" s="138">
        <f t="shared" si="37"/>
        <v>0.2853191687673553</v>
      </c>
    </row>
    <row r="39" spans="2:62" hidden="1" outlineLevel="1">
      <c r="B39" s="1" t="s">
        <v>411</v>
      </c>
      <c r="C39" s="138">
        <f t="shared" si="35"/>
        <v>0.33121259894856436</v>
      </c>
      <c r="D39" s="138">
        <f t="shared" si="35"/>
        <v>0.3531321925668528</v>
      </c>
      <c r="E39" s="138">
        <f t="shared" si="35"/>
        <v>0.36766593572517953</v>
      </c>
      <c r="F39" s="138">
        <f t="shared" si="35"/>
        <v>0.41432358212751413</v>
      </c>
      <c r="G39" s="138">
        <f t="shared" si="35"/>
        <v>0.41323558848069381</v>
      </c>
      <c r="H39" s="138">
        <f t="shared" si="35"/>
        <v>0.46703617419699545</v>
      </c>
      <c r="I39" s="244">
        <f t="shared" si="35"/>
        <v>0.46387252086934366</v>
      </c>
      <c r="J39" s="138">
        <f t="shared" si="38"/>
        <v>0.64967381309819616</v>
      </c>
      <c r="K39" s="138">
        <f t="shared" si="38"/>
        <v>0.64098966762826592</v>
      </c>
      <c r="L39" s="138">
        <f t="shared" si="38"/>
        <v>0.70554884702303411</v>
      </c>
      <c r="M39" s="138">
        <f t="shared" si="38"/>
        <v>0.66156824309760742</v>
      </c>
      <c r="N39" s="138">
        <f t="shared" si="38"/>
        <v>0.73694433744879195</v>
      </c>
      <c r="O39" s="138">
        <f t="shared" si="38"/>
        <v>0.76120226985606887</v>
      </c>
      <c r="P39" s="363"/>
      <c r="Q39" s="363"/>
      <c r="R39" s="207"/>
      <c r="S39" s="138">
        <f t="shared" ref="S39:AL39" si="42">S13/S$17</f>
        <v>0.36877969236094987</v>
      </c>
      <c r="T39" s="138">
        <f t="shared" si="42"/>
        <v>0.34977455520350964</v>
      </c>
      <c r="U39" s="138">
        <f t="shared" si="42"/>
        <v>0.36722852226095398</v>
      </c>
      <c r="V39" s="138">
        <f t="shared" si="42"/>
        <v>0.33059275703002083</v>
      </c>
      <c r="W39" s="138">
        <f t="shared" si="42"/>
        <v>0.38004997369805371</v>
      </c>
      <c r="X39" s="138">
        <f t="shared" si="42"/>
        <v>0.3533346945148389</v>
      </c>
      <c r="Y39" s="138">
        <f t="shared" si="42"/>
        <v>0.38379309914207577</v>
      </c>
      <c r="Z39" s="138">
        <f t="shared" si="42"/>
        <v>0.35599750143069264</v>
      </c>
      <c r="AA39" s="138">
        <f t="shared" si="42"/>
        <v>0.42308251265216801</v>
      </c>
      <c r="AB39" s="138">
        <f t="shared" si="42"/>
        <v>0.42026773519393112</v>
      </c>
      <c r="AC39" s="138">
        <f t="shared" si="42"/>
        <v>0.4099922051027492</v>
      </c>
      <c r="AD39" s="138">
        <f t="shared" si="42"/>
        <v>0.40557177517036735</v>
      </c>
      <c r="AE39" s="138">
        <f t="shared" si="42"/>
        <v>0.46898138319765348</v>
      </c>
      <c r="AF39" s="138">
        <f t="shared" si="42"/>
        <v>0.50640801741046237</v>
      </c>
      <c r="AG39" s="138">
        <f t="shared" si="42"/>
        <v>0.47646076097397994</v>
      </c>
      <c r="AH39" s="138">
        <f t="shared" si="42"/>
        <v>0.42565130693311631</v>
      </c>
      <c r="AI39" s="138">
        <f t="shared" si="42"/>
        <v>0.49001422642253734</v>
      </c>
      <c r="AJ39" s="138">
        <f t="shared" si="42"/>
        <v>0.4840424672365593</v>
      </c>
      <c r="AK39" s="244">
        <f t="shared" si="42"/>
        <v>0.46182816070177862</v>
      </c>
      <c r="AL39" s="138">
        <f t="shared" si="42"/>
        <v>0.349847839224809</v>
      </c>
      <c r="AM39" s="138">
        <f t="shared" ref="AM39:BA39" si="43">AM13/AM$17</f>
        <v>0.63433677965737378</v>
      </c>
      <c r="AN39" s="138">
        <f t="shared" si="43"/>
        <v>0.63398710443251405</v>
      </c>
      <c r="AO39" s="244">
        <f t="shared" si="43"/>
        <v>0.6437873019006114</v>
      </c>
      <c r="AP39" s="138">
        <f t="shared" si="43"/>
        <v>0.6514290116734559</v>
      </c>
      <c r="AQ39" s="138">
        <f t="shared" si="43"/>
        <v>0.6545875720857901</v>
      </c>
      <c r="AR39" s="138">
        <f t="shared" si="43"/>
        <v>0.66368073778900882</v>
      </c>
      <c r="AS39" s="244">
        <f t="shared" si="43"/>
        <v>0.66325065381066517</v>
      </c>
      <c r="AT39" s="138">
        <f t="shared" si="43"/>
        <v>1.1263518492480589</v>
      </c>
      <c r="AU39" s="138">
        <f t="shared" si="43"/>
        <v>0.74656143034467193</v>
      </c>
      <c r="AV39" s="138">
        <f t="shared" si="43"/>
        <v>0.75728834691449909</v>
      </c>
      <c r="AW39" s="244">
        <f t="shared" si="43"/>
        <v>0.75997864972531048</v>
      </c>
      <c r="AX39" s="138">
        <f t="shared" si="43"/>
        <v>0.78181573749320576</v>
      </c>
      <c r="AY39" s="138">
        <f t="shared" si="43"/>
        <v>0.77053614361275846</v>
      </c>
      <c r="AZ39" s="138">
        <f t="shared" si="43"/>
        <v>0.78767634798430353</v>
      </c>
      <c r="BA39" s="244">
        <f t="shared" si="43"/>
        <v>0.79850960552403083</v>
      </c>
      <c r="BB39" s="363"/>
      <c r="BC39" s="138">
        <f t="shared" si="41"/>
        <v>0.77053614361275846</v>
      </c>
      <c r="BD39" s="138"/>
      <c r="BF39" s="138">
        <f t="shared" si="37"/>
        <v>0.40165312157042915</v>
      </c>
      <c r="BG39" s="138">
        <f t="shared" si="37"/>
        <v>0.64789177851883506</v>
      </c>
      <c r="BH39" s="138">
        <f t="shared" si="37"/>
        <v>0.64856906229870259</v>
      </c>
      <c r="BI39" s="138">
        <f t="shared" si="37"/>
        <v>0.6490874174964093</v>
      </c>
      <c r="BJ39" s="138">
        <f t="shared" si="37"/>
        <v>0.65304234472675216</v>
      </c>
    </row>
    <row r="40" spans="2:62" hidden="1" outlineLevel="1">
      <c r="B40" s="1" t="s">
        <v>412</v>
      </c>
      <c r="C40" s="138">
        <f t="shared" si="35"/>
        <v>9.1686970465502227E-2</v>
      </c>
      <c r="D40" s="138">
        <f t="shared" si="35"/>
        <v>8.2152069429039742E-2</v>
      </c>
      <c r="E40" s="138">
        <f t="shared" si="35"/>
        <v>8.7626726684370271E-2</v>
      </c>
      <c r="F40" s="138">
        <f t="shared" si="35"/>
        <v>8.1472775179134191E-2</v>
      </c>
      <c r="G40" s="138">
        <f t="shared" si="35"/>
        <v>8.1258831620023814E-2</v>
      </c>
      <c r="H40" s="138">
        <f t="shared" si="35"/>
        <v>4.4019712101200044E-2</v>
      </c>
      <c r="I40" s="244">
        <f t="shared" si="35"/>
        <v>4.8579776266111548E-2</v>
      </c>
      <c r="J40" s="138">
        <f t="shared" si="38"/>
        <v>5.9367835775053515E-2</v>
      </c>
      <c r="K40" s="138">
        <f t="shared" si="38"/>
        <v>9.7168270854050928E-2</v>
      </c>
      <c r="L40" s="138">
        <f t="shared" si="38"/>
        <v>0</v>
      </c>
      <c r="M40" s="138">
        <f t="shared" si="38"/>
        <v>0.10669410407507872</v>
      </c>
      <c r="N40" s="138">
        <f t="shared" si="38"/>
        <v>0</v>
      </c>
      <c r="O40" s="138">
        <f t="shared" si="38"/>
        <v>0</v>
      </c>
      <c r="P40" s="363"/>
      <c r="Q40" s="363"/>
      <c r="R40" s="207"/>
      <c r="S40" s="138">
        <f t="shared" ref="S40:AL40" si="44">S14/S$17</f>
        <v>8.0102758912832583E-2</v>
      </c>
      <c r="T40" s="138">
        <f t="shared" si="44"/>
        <v>8.7462135719508366E-2</v>
      </c>
      <c r="U40" s="138">
        <f t="shared" si="44"/>
        <v>7.9499624939328425E-2</v>
      </c>
      <c r="V40" s="138">
        <f t="shared" si="44"/>
        <v>8.1501687051065558E-2</v>
      </c>
      <c r="W40" s="138">
        <f t="shared" si="44"/>
        <v>7.7958968963703315E-2</v>
      </c>
      <c r="X40" s="138">
        <f t="shared" si="44"/>
        <v>9.258436322728128E-2</v>
      </c>
      <c r="Y40" s="138">
        <f t="shared" si="44"/>
        <v>8.1026178969408613E-2</v>
      </c>
      <c r="Z40" s="138">
        <f t="shared" si="44"/>
        <v>9.717489611113396E-2</v>
      </c>
      <c r="AA40" s="138">
        <f t="shared" si="44"/>
        <v>9.6613835316646163E-2</v>
      </c>
      <c r="AB40" s="138">
        <f t="shared" si="44"/>
        <v>8.0077835738616723E-2</v>
      </c>
      <c r="AC40" s="138">
        <f t="shared" si="44"/>
        <v>0.10211315398606226</v>
      </c>
      <c r="AD40" s="138">
        <f t="shared" si="44"/>
        <v>5.0084861515578762E-2</v>
      </c>
      <c r="AE40" s="138">
        <f t="shared" si="44"/>
        <v>7.6100566259266145E-2</v>
      </c>
      <c r="AF40" s="138">
        <f t="shared" si="44"/>
        <v>2.5394735663684321E-2</v>
      </c>
      <c r="AG40" s="138">
        <f t="shared" si="44"/>
        <v>3.2681785908198646E-2</v>
      </c>
      <c r="AH40" s="138">
        <f t="shared" si="44"/>
        <v>4.210908986199996E-2</v>
      </c>
      <c r="AI40" s="138">
        <f t="shared" si="44"/>
        <v>3.9930504555392821E-2</v>
      </c>
      <c r="AJ40" s="138">
        <f t="shared" si="44"/>
        <v>4.9294636653038799E-2</v>
      </c>
      <c r="AK40" s="244">
        <f t="shared" si="44"/>
        <v>5.393085552225782E-2</v>
      </c>
      <c r="AL40" s="138">
        <f t="shared" si="44"/>
        <v>2.2971851401768034E-2</v>
      </c>
      <c r="AM40" s="138">
        <f t="shared" ref="AM40:BA40" si="45">AM14/AM$17</f>
        <v>8.9262300367560124E-2</v>
      </c>
      <c r="AN40" s="138">
        <f t="shared" si="45"/>
        <v>9.4029729948471683E-2</v>
      </c>
      <c r="AO40" s="244">
        <f t="shared" si="45"/>
        <v>0.10039113428943937</v>
      </c>
      <c r="AP40" s="138">
        <f t="shared" si="45"/>
        <v>0.10465545301120224</v>
      </c>
      <c r="AQ40" s="138">
        <f t="shared" si="45"/>
        <v>9.9910365234670284E-2</v>
      </c>
      <c r="AR40" s="138">
        <f t="shared" si="45"/>
        <v>0.10354099847733828</v>
      </c>
      <c r="AS40" s="244">
        <f t="shared" si="45"/>
        <v>0.10781460714032223</v>
      </c>
      <c r="AT40" s="138">
        <f t="shared" si="45"/>
        <v>-0.52842757415432828</v>
      </c>
      <c r="AU40" s="138">
        <f t="shared" si="45"/>
        <v>0</v>
      </c>
      <c r="AV40" s="138">
        <f t="shared" si="45"/>
        <v>0</v>
      </c>
      <c r="AW40" s="244">
        <f t="shared" si="45"/>
        <v>0</v>
      </c>
      <c r="AX40" s="138">
        <f t="shared" si="45"/>
        <v>0</v>
      </c>
      <c r="AY40" s="138">
        <f t="shared" si="45"/>
        <v>0</v>
      </c>
      <c r="AZ40" s="138">
        <f t="shared" si="45"/>
        <v>0</v>
      </c>
      <c r="BA40" s="244">
        <f t="shared" si="45"/>
        <v>0</v>
      </c>
      <c r="BB40" s="363"/>
      <c r="BC40" s="138">
        <f t="shared" si="41"/>
        <v>0</v>
      </c>
      <c r="BD40" s="138"/>
      <c r="BF40" s="138">
        <f t="shared" si="37"/>
        <v>4.9600939223900589E-2</v>
      </c>
      <c r="BG40" s="138">
        <f t="shared" si="37"/>
        <v>4.7690916253752297E-2</v>
      </c>
      <c r="BH40" s="138">
        <f t="shared" si="37"/>
        <v>5.689648639431847E-2</v>
      </c>
      <c r="BI40" s="138">
        <f t="shared" si="37"/>
        <v>6.3162651088482569E-2</v>
      </c>
      <c r="BJ40" s="138">
        <f t="shared" si="37"/>
        <v>6.9222473989126981E-2</v>
      </c>
    </row>
    <row r="41" spans="2:62" hidden="1" outlineLevel="1">
      <c r="B41" s="5" t="s">
        <v>420</v>
      </c>
      <c r="C41" s="138">
        <f t="shared" si="35"/>
        <v>1.0317840132769189</v>
      </c>
      <c r="D41" s="138">
        <f t="shared" si="35"/>
        <v>1.0357339009383861</v>
      </c>
      <c r="E41" s="138">
        <f t="shared" si="35"/>
        <v>1.048829664927087</v>
      </c>
      <c r="F41" s="138">
        <f t="shared" si="35"/>
        <v>1.053592221820393</v>
      </c>
      <c r="G41" s="138">
        <f t="shared" si="35"/>
        <v>1.0534514912431949</v>
      </c>
      <c r="H41" s="138">
        <f t="shared" si="35"/>
        <v>1.0746615907422716</v>
      </c>
      <c r="I41" s="244">
        <f t="shared" si="35"/>
        <v>1.0724166826157997</v>
      </c>
      <c r="J41" s="138">
        <f t="shared" si="38"/>
        <v>1.0070391242317489</v>
      </c>
      <c r="K41" s="138">
        <f t="shared" si="38"/>
        <v>1.0074542602594536</v>
      </c>
      <c r="L41" s="138">
        <f t="shared" si="38"/>
        <v>1.0019681481959075</v>
      </c>
      <c r="M41" s="138">
        <f t="shared" si="38"/>
        <v>1.0066478780065584</v>
      </c>
      <c r="N41" s="138">
        <f t="shared" si="38"/>
        <v>1.0024898208829354</v>
      </c>
      <c r="O41" s="138">
        <f t="shared" si="38"/>
        <v>1.0075414147802382</v>
      </c>
      <c r="P41" s="363"/>
      <c r="Q41" s="363"/>
      <c r="R41" s="207"/>
      <c r="S41" s="138">
        <f t="shared" ref="S41:AL41" si="46">S15/S$17</f>
        <v>1.0333374327580476</v>
      </c>
      <c r="T41" s="138">
        <f t="shared" si="46"/>
        <v>1.0342649977368477</v>
      </c>
      <c r="U41" s="138">
        <f t="shared" si="46"/>
        <v>1.0410934121696156</v>
      </c>
      <c r="V41" s="138">
        <f t="shared" si="46"/>
        <v>1.0343835242246684</v>
      </c>
      <c r="W41" s="138">
        <f t="shared" si="46"/>
        <v>1.0442617920392776</v>
      </c>
      <c r="X41" s="138">
        <f t="shared" si="46"/>
        <v>1.0427050679990231</v>
      </c>
      <c r="Y41" s="138">
        <f t="shared" si="46"/>
        <v>1.0520582272895671</v>
      </c>
      <c r="Z41" s="138">
        <f t="shared" si="46"/>
        <v>1.0555482826076386</v>
      </c>
      <c r="AA41" s="138">
        <f t="shared" si="46"/>
        <v>1.052562064013131</v>
      </c>
      <c r="AB41" s="138">
        <f t="shared" si="46"/>
        <v>1.051535322286034</v>
      </c>
      <c r="AC41" s="138">
        <f t="shared" si="46"/>
        <v>1.054928818239284</v>
      </c>
      <c r="AD41" s="138">
        <f t="shared" si="46"/>
        <v>1.0550513771127941</v>
      </c>
      <c r="AE41" s="138">
        <f t="shared" si="46"/>
        <v>1.0707412494096953</v>
      </c>
      <c r="AF41" s="138">
        <f t="shared" si="46"/>
        <v>1.0805950365852566</v>
      </c>
      <c r="AG41" s="138">
        <f t="shared" si="46"/>
        <v>1.0784655222820867</v>
      </c>
      <c r="AH41" s="138">
        <f t="shared" si="46"/>
        <v>1.0698710703821817</v>
      </c>
      <c r="AI41" s="138">
        <f t="shared" si="46"/>
        <v>1.077217160674643</v>
      </c>
      <c r="AJ41" s="138">
        <f t="shared" si="46"/>
        <v>1.0757679815135013</v>
      </c>
      <c r="AK41" s="244">
        <f t="shared" si="46"/>
        <v>1.0733698460266612</v>
      </c>
      <c r="AL41" s="138">
        <f t="shared" si="46"/>
        <v>0.85454954330428723</v>
      </c>
      <c r="AM41" s="138">
        <f t="shared" ref="AM41:BA41" si="47">AM15/AM$17</f>
        <v>1.0070986393826709</v>
      </c>
      <c r="AN41" s="138">
        <f t="shared" si="47"/>
        <v>1.0053578654868212</v>
      </c>
      <c r="AO41" s="244">
        <f t="shared" si="47"/>
        <v>1.0031997174275518</v>
      </c>
      <c r="AP41" s="138">
        <f t="shared" si="47"/>
        <v>1.0141120662020784</v>
      </c>
      <c r="AQ41" s="138">
        <f t="shared" si="47"/>
        <v>1.0059936499708417</v>
      </c>
      <c r="AR41" s="138">
        <f t="shared" si="47"/>
        <v>1.0074729214587317</v>
      </c>
      <c r="AS41" s="244">
        <f t="shared" si="47"/>
        <v>1.0056508896738863</v>
      </c>
      <c r="AT41" s="138">
        <f t="shared" si="47"/>
        <v>0.98269888774949077</v>
      </c>
      <c r="AU41" s="138">
        <f t="shared" si="47"/>
        <v>1.0025640382662337</v>
      </c>
      <c r="AV41" s="138">
        <f t="shared" si="47"/>
        <v>1.0027225943525251</v>
      </c>
      <c r="AW41" s="244">
        <f t="shared" si="47"/>
        <v>1.0028445335485718</v>
      </c>
      <c r="AX41" s="138">
        <f t="shared" si="47"/>
        <v>1.022469908114636</v>
      </c>
      <c r="AY41" s="138">
        <f t="shared" si="47"/>
        <v>1.007219372762729</v>
      </c>
      <c r="AZ41" s="138">
        <f t="shared" si="47"/>
        <v>1.0069317148016892</v>
      </c>
      <c r="BA41" s="244">
        <f t="shared" si="47"/>
        <v>1.0070964654406234</v>
      </c>
      <c r="BB41" s="363"/>
      <c r="BC41" s="138">
        <f t="shared" si="41"/>
        <v>1.007219372762729</v>
      </c>
      <c r="BD41" s="138"/>
      <c r="BF41" s="138">
        <f t="shared" si="37"/>
        <v>1.0545194681134216</v>
      </c>
      <c r="BG41" s="138">
        <f t="shared" si="37"/>
        <v>1.007684923677888</v>
      </c>
      <c r="BH41" s="138">
        <f t="shared" si="37"/>
        <v>1.006977411374967</v>
      </c>
      <c r="BI41" s="138">
        <f t="shared" si="37"/>
        <v>1.0059225071408975</v>
      </c>
      <c r="BJ41" s="138">
        <f t="shared" si="37"/>
        <v>1.007583987483234</v>
      </c>
    </row>
    <row r="42" spans="2:62" hidden="1" outlineLevel="1">
      <c r="B42" s="1" t="s">
        <v>414</v>
      </c>
      <c r="C42" s="138">
        <f t="shared" si="35"/>
        <v>-3.178401327691889E-2</v>
      </c>
      <c r="D42" s="138">
        <f t="shared" si="35"/>
        <v>-3.5733900938386208E-2</v>
      </c>
      <c r="E42" s="138">
        <f t="shared" si="35"/>
        <v>-4.8829664927086819E-2</v>
      </c>
      <c r="F42" s="138">
        <f t="shared" si="35"/>
        <v>-5.3592221820392888E-2</v>
      </c>
      <c r="G42" s="138">
        <f t="shared" si="35"/>
        <v>-5.3451491243194822E-2</v>
      </c>
      <c r="H42" s="138">
        <f t="shared" si="35"/>
        <v>-7.4661590742271591E-2</v>
      </c>
      <c r="I42" s="244">
        <f t="shared" si="35"/>
        <v>-7.2416682615799768E-2</v>
      </c>
      <c r="J42" s="138">
        <f t="shared" si="38"/>
        <v>-7.0391242317488587E-3</v>
      </c>
      <c r="K42" s="138">
        <f t="shared" si="38"/>
        <v>-7.4542602594537249E-3</v>
      </c>
      <c r="L42" s="138">
        <f t="shared" si="38"/>
        <v>-1.9681481959073896E-3</v>
      </c>
      <c r="M42" s="138">
        <f t="shared" si="38"/>
        <v>-6.6478780065584069E-3</v>
      </c>
      <c r="N42" s="138">
        <f t="shared" si="38"/>
        <v>-2.4898208829353067E-3</v>
      </c>
      <c r="O42" s="138">
        <f t="shared" si="38"/>
        <v>-7.5414147802381941E-3</v>
      </c>
      <c r="P42" s="363"/>
      <c r="Q42" s="363"/>
      <c r="R42" s="207"/>
      <c r="S42" s="138">
        <f t="shared" ref="S42:AL42" si="48">S16/S$17</f>
        <v>-3.3337432758047403E-2</v>
      </c>
      <c r="T42" s="138">
        <f t="shared" si="48"/>
        <v>-3.4264997736847602E-2</v>
      </c>
      <c r="U42" s="138">
        <f t="shared" si="48"/>
        <v>-4.1093412169615672E-2</v>
      </c>
      <c r="V42" s="138">
        <f t="shared" si="48"/>
        <v>-3.4383524224668262E-2</v>
      </c>
      <c r="W42" s="138">
        <f t="shared" si="48"/>
        <v>-4.4261792039277575E-2</v>
      </c>
      <c r="X42" s="138">
        <f t="shared" si="48"/>
        <v>-4.2705067999023155E-2</v>
      </c>
      <c r="Y42" s="138">
        <f t="shared" si="48"/>
        <v>-5.2058227289567126E-2</v>
      </c>
      <c r="Z42" s="138">
        <f t="shared" si="48"/>
        <v>-5.5548282607638597E-2</v>
      </c>
      <c r="AA42" s="138">
        <f t="shared" si="48"/>
        <v>-5.2562064013130905E-2</v>
      </c>
      <c r="AB42" s="138">
        <f t="shared" si="48"/>
        <v>-5.1535322286033997E-2</v>
      </c>
      <c r="AC42" s="138">
        <f t="shared" si="48"/>
        <v>-5.4928818239283965E-2</v>
      </c>
      <c r="AD42" s="138">
        <f t="shared" si="48"/>
        <v>-5.505137711279403E-2</v>
      </c>
      <c r="AE42" s="138">
        <f t="shared" si="48"/>
        <v>-7.0741249409695284E-2</v>
      </c>
      <c r="AF42" s="138">
        <f t="shared" si="48"/>
        <v>-8.0595036585256644E-2</v>
      </c>
      <c r="AG42" s="138">
        <f t="shared" si="48"/>
        <v>-7.8465522282086642E-2</v>
      </c>
      <c r="AH42" s="138">
        <f t="shared" si="48"/>
        <v>-6.9871070382181655E-2</v>
      </c>
      <c r="AI42" s="138">
        <f t="shared" si="48"/>
        <v>-7.7217160674642973E-2</v>
      </c>
      <c r="AJ42" s="138">
        <f t="shared" si="48"/>
        <v>-7.5767981513501281E-2</v>
      </c>
      <c r="AK42" s="244">
        <f t="shared" si="48"/>
        <v>-7.3369846026661162E-2</v>
      </c>
      <c r="AL42" s="138">
        <f t="shared" si="48"/>
        <v>0.14545045669571285</v>
      </c>
      <c r="AM42" s="138">
        <f t="shared" ref="AM42:BA42" si="49">AM16/AM$17</f>
        <v>-7.0986393826709361E-3</v>
      </c>
      <c r="AN42" s="138">
        <f t="shared" si="49"/>
        <v>-5.3578654868211614E-3</v>
      </c>
      <c r="AO42" s="244">
        <f t="shared" si="49"/>
        <v>-3.1997174275518524E-3</v>
      </c>
      <c r="AP42" s="138">
        <f t="shared" si="49"/>
        <v>-1.4112066202078392E-2</v>
      </c>
      <c r="AQ42" s="138">
        <f t="shared" si="49"/>
        <v>-5.9936499708417024E-3</v>
      </c>
      <c r="AR42" s="138">
        <f t="shared" si="49"/>
        <v>-7.4729214587315488E-3</v>
      </c>
      <c r="AS42" s="244">
        <f t="shared" si="49"/>
        <v>-5.6508896738863374E-3</v>
      </c>
      <c r="AT42" s="138">
        <f t="shared" si="49"/>
        <v>1.7301112250509235E-2</v>
      </c>
      <c r="AU42" s="138">
        <f t="shared" si="49"/>
        <v>-2.5640382662336847E-3</v>
      </c>
      <c r="AV42" s="138">
        <f t="shared" si="49"/>
        <v>-2.7225943525250791E-3</v>
      </c>
      <c r="AW42" s="244">
        <f t="shared" si="49"/>
        <v>-2.8445335485718752E-3</v>
      </c>
      <c r="AX42" s="138">
        <f t="shared" si="49"/>
        <v>-2.2469908114635912E-2</v>
      </c>
      <c r="AY42" s="138">
        <f t="shared" si="49"/>
        <v>-7.2193727627290691E-3</v>
      </c>
      <c r="AZ42" s="138">
        <f t="shared" si="49"/>
        <v>-6.9317148016891381E-3</v>
      </c>
      <c r="BA42" s="244">
        <f t="shared" si="49"/>
        <v>-7.0964654406235044E-3</v>
      </c>
      <c r="BB42" s="363"/>
      <c r="BC42" s="138">
        <f t="shared" si="41"/>
        <v>-7.2193727627290691E-3</v>
      </c>
      <c r="BD42" s="138"/>
      <c r="BF42" s="138">
        <f t="shared" si="37"/>
        <v>-5.4519468113421503E-2</v>
      </c>
      <c r="BG42" s="138">
        <f t="shared" si="37"/>
        <v>-7.6849236778879504E-3</v>
      </c>
      <c r="BH42" s="138">
        <f t="shared" si="37"/>
        <v>-6.977411374966846E-3</v>
      </c>
      <c r="BI42" s="138">
        <f t="shared" si="37"/>
        <v>-5.9225071408975736E-3</v>
      </c>
      <c r="BJ42" s="138">
        <f t="shared" si="37"/>
        <v>-7.5839874832341033E-3</v>
      </c>
    </row>
    <row r="43" spans="2:62" hidden="1" outlineLevel="1">
      <c r="B43" s="5" t="s">
        <v>418</v>
      </c>
      <c r="C43" s="138">
        <f t="shared" si="35"/>
        <v>1</v>
      </c>
      <c r="D43" s="138">
        <f t="shared" si="35"/>
        <v>1</v>
      </c>
      <c r="E43" s="138">
        <f t="shared" si="35"/>
        <v>1</v>
      </c>
      <c r="F43" s="138">
        <f t="shared" si="35"/>
        <v>1</v>
      </c>
      <c r="G43" s="138">
        <f t="shared" si="35"/>
        <v>1</v>
      </c>
      <c r="H43" s="138">
        <f t="shared" si="35"/>
        <v>1</v>
      </c>
      <c r="I43" s="244">
        <f t="shared" si="35"/>
        <v>1</v>
      </c>
      <c r="J43" s="138">
        <f t="shared" si="38"/>
        <v>1</v>
      </c>
      <c r="K43" s="138">
        <f t="shared" si="38"/>
        <v>1</v>
      </c>
      <c r="L43" s="138">
        <f t="shared" si="38"/>
        <v>1</v>
      </c>
      <c r="M43" s="138">
        <f t="shared" si="38"/>
        <v>1</v>
      </c>
      <c r="N43" s="138">
        <f t="shared" si="38"/>
        <v>1</v>
      </c>
      <c r="O43" s="138">
        <f t="shared" si="38"/>
        <v>1</v>
      </c>
      <c r="P43" s="363"/>
      <c r="Q43" s="363"/>
      <c r="R43" s="207"/>
      <c r="S43" s="138">
        <f t="shared" ref="S43:AL43" si="50">S17/S$17</f>
        <v>1</v>
      </c>
      <c r="T43" s="138">
        <f t="shared" si="50"/>
        <v>1</v>
      </c>
      <c r="U43" s="138">
        <f t="shared" si="50"/>
        <v>1</v>
      </c>
      <c r="V43" s="138">
        <f t="shared" si="50"/>
        <v>1</v>
      </c>
      <c r="W43" s="138">
        <f t="shared" si="50"/>
        <v>1</v>
      </c>
      <c r="X43" s="138">
        <f t="shared" si="50"/>
        <v>1</v>
      </c>
      <c r="Y43" s="138">
        <f t="shared" si="50"/>
        <v>1</v>
      </c>
      <c r="Z43" s="138">
        <f t="shared" si="50"/>
        <v>1</v>
      </c>
      <c r="AA43" s="138">
        <f t="shared" si="50"/>
        <v>1</v>
      </c>
      <c r="AB43" s="138">
        <f t="shared" si="50"/>
        <v>1</v>
      </c>
      <c r="AC43" s="138">
        <f t="shared" si="50"/>
        <v>1</v>
      </c>
      <c r="AD43" s="138">
        <f t="shared" si="50"/>
        <v>1</v>
      </c>
      <c r="AE43" s="138">
        <f t="shared" si="50"/>
        <v>1</v>
      </c>
      <c r="AF43" s="138">
        <f t="shared" si="50"/>
        <v>1</v>
      </c>
      <c r="AG43" s="138">
        <f t="shared" si="50"/>
        <v>1</v>
      </c>
      <c r="AH43" s="138">
        <f t="shared" si="50"/>
        <v>1</v>
      </c>
      <c r="AI43" s="138">
        <f t="shared" si="50"/>
        <v>1</v>
      </c>
      <c r="AJ43" s="138">
        <f t="shared" si="50"/>
        <v>1</v>
      </c>
      <c r="AK43" s="244">
        <f t="shared" si="50"/>
        <v>1</v>
      </c>
      <c r="AL43" s="138">
        <f t="shared" si="50"/>
        <v>1</v>
      </c>
      <c r="AM43" s="138">
        <f t="shared" ref="AM43:BA43" si="51">AM17/AM$17</f>
        <v>1</v>
      </c>
      <c r="AN43" s="138">
        <f t="shared" si="51"/>
        <v>1</v>
      </c>
      <c r="AO43" s="244">
        <f t="shared" si="51"/>
        <v>1</v>
      </c>
      <c r="AP43" s="138">
        <f t="shared" si="51"/>
        <v>1</v>
      </c>
      <c r="AQ43" s="138">
        <f t="shared" si="51"/>
        <v>1</v>
      </c>
      <c r="AR43" s="138">
        <f t="shared" si="51"/>
        <v>1</v>
      </c>
      <c r="AS43" s="244">
        <f t="shared" si="51"/>
        <v>1</v>
      </c>
      <c r="AT43" s="138">
        <f t="shared" si="51"/>
        <v>1</v>
      </c>
      <c r="AU43" s="138">
        <f t="shared" si="51"/>
        <v>1</v>
      </c>
      <c r="AV43" s="138">
        <f t="shared" si="51"/>
        <v>1</v>
      </c>
      <c r="AW43" s="244">
        <f t="shared" si="51"/>
        <v>1</v>
      </c>
      <c r="AX43" s="138">
        <f t="shared" si="51"/>
        <v>1</v>
      </c>
      <c r="AY43" s="138">
        <f t="shared" si="51"/>
        <v>1</v>
      </c>
      <c r="AZ43" s="138">
        <f t="shared" si="51"/>
        <v>1</v>
      </c>
      <c r="BA43" s="244">
        <f t="shared" si="51"/>
        <v>1</v>
      </c>
      <c r="BB43" s="363"/>
      <c r="BC43" s="138">
        <f t="shared" si="41"/>
        <v>1</v>
      </c>
      <c r="BD43" s="138"/>
      <c r="BF43" s="138">
        <f t="shared" si="37"/>
        <v>1</v>
      </c>
      <c r="BG43" s="138">
        <f t="shared" si="37"/>
        <v>1</v>
      </c>
      <c r="BH43" s="138">
        <f t="shared" si="37"/>
        <v>1</v>
      </c>
      <c r="BI43" s="138">
        <f t="shared" si="37"/>
        <v>1</v>
      </c>
      <c r="BJ43" s="138">
        <f t="shared" si="37"/>
        <v>1</v>
      </c>
    </row>
    <row r="44" spans="2:62" hidden="1" outlineLevel="1">
      <c r="R44" s="207"/>
    </row>
    <row r="45" spans="2:62" hidden="1" outlineLevel="1">
      <c r="B45" s="5" t="s">
        <v>421</v>
      </c>
      <c r="R45" s="207"/>
    </row>
    <row r="46" spans="2:62" hidden="1" outlineLevel="1">
      <c r="R46" s="207"/>
    </row>
    <row r="47" spans="2:62" hidden="1" outlineLevel="1">
      <c r="B47" s="1" t="s">
        <v>407</v>
      </c>
      <c r="C47" s="360"/>
      <c r="D47" s="4">
        <v>12825.3</v>
      </c>
      <c r="E47" s="359"/>
      <c r="F47" s="359"/>
      <c r="G47" s="359"/>
      <c r="H47" s="359"/>
      <c r="I47" s="359"/>
      <c r="J47" s="359"/>
      <c r="K47" s="359"/>
      <c r="L47" s="359"/>
      <c r="M47" s="359"/>
      <c r="N47" s="359"/>
      <c r="O47" s="359"/>
      <c r="P47" s="359"/>
      <c r="Q47" s="359"/>
      <c r="R47" s="207"/>
      <c r="S47" s="360"/>
      <c r="T47" s="4">
        <v>3185.1</v>
      </c>
      <c r="U47" s="4">
        <v>3102.1</v>
      </c>
      <c r="V47" s="359"/>
      <c r="W47" s="360"/>
      <c r="X47" s="360"/>
      <c r="Y47" s="360"/>
      <c r="Z47" s="363"/>
      <c r="AA47" s="360"/>
      <c r="AB47" s="360"/>
      <c r="AC47" s="360"/>
      <c r="AD47" s="360"/>
      <c r="AE47" s="360"/>
      <c r="AF47" s="360"/>
      <c r="AG47" s="360"/>
      <c r="AH47" s="360"/>
      <c r="AI47" s="360"/>
      <c r="AJ47" s="360"/>
      <c r="AK47" s="360"/>
      <c r="AL47" s="360"/>
      <c r="AM47" s="360"/>
      <c r="AN47" s="360"/>
      <c r="AO47" s="360"/>
      <c r="AP47" s="360"/>
      <c r="AQ47" s="360"/>
      <c r="AR47" s="360"/>
      <c r="AS47" s="360"/>
      <c r="AT47" s="360"/>
      <c r="AU47" s="360"/>
      <c r="AV47" s="360"/>
      <c r="AW47" s="360"/>
      <c r="AX47" s="360"/>
      <c r="AY47" s="360"/>
      <c r="AZ47" s="360"/>
      <c r="BA47" s="360"/>
      <c r="BB47" s="359"/>
      <c r="BC47" s="360"/>
      <c r="BD47" s="4"/>
      <c r="BF47" s="360"/>
      <c r="BG47" s="360"/>
      <c r="BH47" s="360"/>
      <c r="BI47" s="360"/>
    </row>
    <row r="48" spans="2:62" hidden="1" outlineLevel="1">
      <c r="B48" s="1" t="s">
        <v>408</v>
      </c>
      <c r="C48" s="360"/>
      <c r="D48" s="360"/>
      <c r="E48" s="360"/>
      <c r="F48" s="360"/>
      <c r="G48" s="360"/>
      <c r="H48" s="360"/>
      <c r="I48" s="360"/>
      <c r="J48" s="360"/>
      <c r="K48" s="360"/>
      <c r="L48" s="360"/>
      <c r="M48" s="360"/>
      <c r="N48" s="360"/>
      <c r="O48" s="360"/>
      <c r="P48" s="360"/>
      <c r="Q48" s="360"/>
      <c r="R48" s="207"/>
      <c r="S48" s="360"/>
      <c r="T48" s="360"/>
      <c r="U48" s="360"/>
      <c r="V48" s="360"/>
      <c r="W48" s="360"/>
      <c r="X48" s="360"/>
      <c r="Y48" s="360"/>
      <c r="Z48" s="363"/>
      <c r="AA48" s="360"/>
      <c r="AB48" s="360"/>
      <c r="AC48" s="360"/>
      <c r="AD48" s="360"/>
      <c r="AE48" s="360"/>
      <c r="AF48" s="360"/>
      <c r="AG48" s="360"/>
      <c r="AH48" s="360"/>
      <c r="AI48" s="360"/>
      <c r="AJ48" s="360"/>
      <c r="AK48" s="360"/>
      <c r="AL48" s="360"/>
      <c r="AM48" s="360"/>
      <c r="AN48" s="360"/>
      <c r="AO48" s="360"/>
      <c r="AP48" s="360"/>
      <c r="AQ48" s="360"/>
      <c r="AR48" s="360"/>
      <c r="AS48" s="360"/>
      <c r="AT48" s="360"/>
      <c r="AU48" s="360"/>
      <c r="AV48" s="360"/>
      <c r="AW48" s="360"/>
      <c r="AX48" s="360"/>
      <c r="AY48" s="360"/>
      <c r="AZ48" s="360"/>
      <c r="BA48" s="360"/>
      <c r="BB48" s="360"/>
      <c r="BC48" s="360"/>
      <c r="BD48" s="4"/>
      <c r="BF48" s="360"/>
      <c r="BG48" s="360"/>
      <c r="BH48" s="360"/>
      <c r="BI48" s="360"/>
      <c r="BJ48" s="360"/>
    </row>
    <row r="49" spans="2:62" hidden="1" outlineLevel="1">
      <c r="B49" s="1" t="s">
        <v>409</v>
      </c>
      <c r="C49" s="62">
        <v>14748</v>
      </c>
      <c r="D49" s="32">
        <f>+D47+D48</f>
        <v>12825.3</v>
      </c>
      <c r="E49" s="62">
        <v>13444.6</v>
      </c>
      <c r="F49" s="62">
        <v>12632.1</v>
      </c>
      <c r="G49" s="62">
        <v>12649.1</v>
      </c>
      <c r="H49" s="62">
        <v>12360.8</v>
      </c>
      <c r="I49" s="62">
        <v>13779</v>
      </c>
      <c r="J49" s="127"/>
      <c r="K49" s="127"/>
      <c r="L49" s="360"/>
      <c r="M49" s="127"/>
      <c r="N49" s="127"/>
      <c r="O49" s="127"/>
      <c r="P49" s="127"/>
      <c r="Q49" s="127"/>
      <c r="R49" s="207"/>
      <c r="S49" s="62">
        <v>2618.6</v>
      </c>
      <c r="T49" s="32">
        <f>+T47+T48</f>
        <v>3185.1</v>
      </c>
      <c r="U49" s="32">
        <f>+U47+U48</f>
        <v>3102.1</v>
      </c>
      <c r="V49" s="32">
        <f>D49-U49-T49-S49</f>
        <v>3919.4999999999986</v>
      </c>
      <c r="W49" s="62">
        <v>2820.1</v>
      </c>
      <c r="X49" s="62">
        <v>3477.1</v>
      </c>
      <c r="Y49" s="62">
        <v>3110.7</v>
      </c>
      <c r="Z49" s="32">
        <f>E49-Y49-X49-W49</f>
        <v>4036.7000000000012</v>
      </c>
      <c r="AA49" s="62">
        <v>2267.3000000000002</v>
      </c>
      <c r="AB49" s="62">
        <v>2928.3</v>
      </c>
      <c r="AC49" s="62">
        <v>3112.3</v>
      </c>
      <c r="AD49" s="32">
        <f>F49-AC49-AB49-AA49</f>
        <v>4324.1999999999989</v>
      </c>
      <c r="AE49" s="62">
        <v>1613.9</v>
      </c>
      <c r="AF49" s="62">
        <v>2080.8000000000002</v>
      </c>
      <c r="AG49" s="62">
        <v>3294.7</v>
      </c>
      <c r="AH49" s="32">
        <f>H49-AG49-AF49-AE49</f>
        <v>5371.3999999999978</v>
      </c>
      <c r="AI49" s="62">
        <v>2376.5</v>
      </c>
      <c r="AJ49" s="62">
        <v>2569.1999999999998</v>
      </c>
      <c r="AK49" s="62">
        <v>3389.6</v>
      </c>
      <c r="AL49" s="32">
        <f>I49-AK49-AJ49-AI49</f>
        <v>5443.7</v>
      </c>
      <c r="AM49" s="62">
        <v>0</v>
      </c>
      <c r="AN49" s="62">
        <v>0</v>
      </c>
      <c r="AO49" s="62">
        <v>0</v>
      </c>
      <c r="AP49" s="32">
        <f>K49-AO49-AN49-AM49</f>
        <v>0</v>
      </c>
      <c r="AQ49" s="62">
        <v>0</v>
      </c>
      <c r="AR49" s="62">
        <v>0</v>
      </c>
      <c r="AS49" s="62">
        <v>0</v>
      </c>
      <c r="AT49" s="32">
        <f>N49-AS49-AR49-AQ49</f>
        <v>0</v>
      </c>
      <c r="AU49" s="62">
        <v>0</v>
      </c>
      <c r="AV49" s="360"/>
      <c r="AW49" s="360"/>
      <c r="AX49" s="360"/>
      <c r="AY49" s="360"/>
      <c r="AZ49" s="360"/>
      <c r="BA49" s="360"/>
      <c r="BB49" s="127"/>
      <c r="BC49" s="360"/>
      <c r="BD49" s="62"/>
      <c r="BF49" s="32">
        <f>G49-AC49-AB49-AA49</f>
        <v>4341.1999999999989</v>
      </c>
      <c r="BG49" s="62">
        <v>0</v>
      </c>
      <c r="BH49" s="62">
        <v>0</v>
      </c>
      <c r="BI49" s="62">
        <v>0</v>
      </c>
      <c r="BJ49" s="32">
        <f>J49-BG49-BH49-BI49</f>
        <v>0</v>
      </c>
    </row>
    <row r="50" spans="2:62" hidden="1" outlineLevel="1">
      <c r="B50" s="1" t="s">
        <v>410</v>
      </c>
      <c r="C50" s="4">
        <v>9898.5</v>
      </c>
      <c r="D50" s="4">
        <v>10106.6</v>
      </c>
      <c r="E50" s="4">
        <v>9767.2999999999993</v>
      </c>
      <c r="F50" s="4">
        <v>9121.2000000000007</v>
      </c>
      <c r="G50" s="4">
        <v>9121.2000000000007</v>
      </c>
      <c r="H50" s="4">
        <v>9135.2999999999993</v>
      </c>
      <c r="I50" s="4">
        <v>8504.2000000000007</v>
      </c>
      <c r="J50" s="4">
        <v>8504.2000000000007</v>
      </c>
      <c r="K50" s="4">
        <v>6416.27</v>
      </c>
      <c r="L50" s="4">
        <v>6416.27</v>
      </c>
      <c r="M50" s="4">
        <v>5731.4</v>
      </c>
      <c r="N50" s="4">
        <v>5731.3760000000002</v>
      </c>
      <c r="O50" s="4">
        <v>4672.3159999999998</v>
      </c>
      <c r="P50" s="360"/>
      <c r="Q50" s="360"/>
      <c r="R50" s="207"/>
      <c r="S50" s="4">
        <v>2466.3000000000002</v>
      </c>
      <c r="T50" s="4">
        <v>2655.9</v>
      </c>
      <c r="U50" s="4">
        <v>2660.4</v>
      </c>
      <c r="V50" s="32">
        <f>D50-U50-T50-S50</f>
        <v>2324.0000000000009</v>
      </c>
      <c r="W50" s="4">
        <v>2441.9</v>
      </c>
      <c r="X50" s="4">
        <v>2540.9</v>
      </c>
      <c r="Y50" s="4">
        <v>2569.9</v>
      </c>
      <c r="Z50" s="32">
        <f>E50-Y50-X50-W50</f>
        <v>2214.6</v>
      </c>
      <c r="AA50" s="4">
        <v>2306.9</v>
      </c>
      <c r="AB50" s="4">
        <v>2305.6</v>
      </c>
      <c r="AC50" s="4">
        <v>2399.9</v>
      </c>
      <c r="AD50" s="32">
        <f>F50-AC50-AB50-AA50</f>
        <v>2108.8000000000006</v>
      </c>
      <c r="AE50" s="4">
        <v>2234</v>
      </c>
      <c r="AF50" s="4">
        <v>2321.4</v>
      </c>
      <c r="AG50" s="4">
        <v>2436.6999999999998</v>
      </c>
      <c r="AH50" s="32">
        <f>H50-AG50-AF50-AE50</f>
        <v>2143.1999999999989</v>
      </c>
      <c r="AI50" s="4">
        <v>2154.4</v>
      </c>
      <c r="AJ50" s="4">
        <v>2242.6999999999998</v>
      </c>
      <c r="AK50" s="4">
        <v>2261.6999999999998</v>
      </c>
      <c r="AL50" s="32">
        <f>I50-AK50-AJ50-AI50</f>
        <v>1845.400000000001</v>
      </c>
      <c r="AM50" s="4">
        <v>1861.4</v>
      </c>
      <c r="AN50" s="4">
        <v>1702.3</v>
      </c>
      <c r="AO50" s="4">
        <v>1701</v>
      </c>
      <c r="AP50" s="32">
        <f>K50-AO50-AN50-AM50</f>
        <v>1151.5700000000002</v>
      </c>
      <c r="AQ50" s="4">
        <v>1608.9</v>
      </c>
      <c r="AR50" s="4">
        <v>1448.4</v>
      </c>
      <c r="AS50" s="4">
        <v>1533.2</v>
      </c>
      <c r="AT50" s="32">
        <f>N50-AS50-AR50-AQ50</f>
        <v>1140.8760000000002</v>
      </c>
      <c r="AU50" s="4">
        <v>1215.5999999999999</v>
      </c>
      <c r="AV50" s="360"/>
      <c r="AW50" s="360"/>
      <c r="AX50" s="360"/>
      <c r="AY50" s="360"/>
      <c r="AZ50" s="360"/>
      <c r="BA50" s="360"/>
      <c r="BB50" s="360"/>
      <c r="BC50" s="360"/>
      <c r="BD50" s="4"/>
      <c r="BF50" s="32">
        <f>G50-AC50-AB50-AA50</f>
        <v>2108.8000000000006</v>
      </c>
      <c r="BG50" s="4">
        <v>2154.4</v>
      </c>
      <c r="BH50" s="4">
        <v>2242.6999999999998</v>
      </c>
      <c r="BI50" s="4">
        <v>2261.6999999999998</v>
      </c>
      <c r="BJ50" s="32">
        <f>J50-BG50-BH50-BI50</f>
        <v>1845.4000000000015</v>
      </c>
    </row>
    <row r="51" spans="2:62" hidden="1" outlineLevel="1">
      <c r="B51" s="1" t="s">
        <v>411</v>
      </c>
      <c r="C51" s="4">
        <v>13236.1</v>
      </c>
      <c r="D51" s="4">
        <v>14034.8</v>
      </c>
      <c r="E51" s="4">
        <v>15302.5</v>
      </c>
      <c r="F51" s="4">
        <v>17797.599999999999</v>
      </c>
      <c r="G51" s="4">
        <v>17797.599999999999</v>
      </c>
      <c r="H51" s="4">
        <v>18898.3</v>
      </c>
      <c r="I51" s="4">
        <v>20285</v>
      </c>
      <c r="J51" s="4">
        <v>20285</v>
      </c>
      <c r="K51" s="4">
        <v>19902.785</v>
      </c>
      <c r="L51" s="4">
        <v>20505.282999999999</v>
      </c>
      <c r="M51" s="4">
        <v>18821</v>
      </c>
      <c r="N51" s="4">
        <v>19299.120999999999</v>
      </c>
      <c r="O51" s="4">
        <v>18485.611000000001</v>
      </c>
      <c r="P51" s="360"/>
      <c r="Q51" s="360"/>
      <c r="R51" s="207"/>
      <c r="S51" s="4">
        <v>3397.3</v>
      </c>
      <c r="T51" s="4">
        <v>3442.3</v>
      </c>
      <c r="U51" s="4">
        <v>3523.5</v>
      </c>
      <c r="V51" s="32">
        <f>D51-U51-T51-S51</f>
        <v>3671.6999999999989</v>
      </c>
      <c r="W51" s="4">
        <v>3664.9</v>
      </c>
      <c r="X51" s="4">
        <v>3724.4</v>
      </c>
      <c r="Y51" s="4">
        <v>3907.5</v>
      </c>
      <c r="Z51" s="32">
        <f>E51-Y51-X51-W51</f>
        <v>4005.7000000000003</v>
      </c>
      <c r="AA51" s="4">
        <v>4297.1000000000004</v>
      </c>
      <c r="AB51" s="4">
        <v>4473.7</v>
      </c>
      <c r="AC51" s="4">
        <v>4481.7</v>
      </c>
      <c r="AD51" s="32">
        <f>F51-AC51-AB51-AA51</f>
        <v>4545.0999999999967</v>
      </c>
      <c r="AE51" s="4">
        <v>4490.3</v>
      </c>
      <c r="AF51" s="4">
        <v>4656.5</v>
      </c>
      <c r="AG51" s="4">
        <v>4796.7</v>
      </c>
      <c r="AH51" s="32">
        <f>H51-AG51-AF51-AE51</f>
        <v>4954.7999999999984</v>
      </c>
      <c r="AI51" s="4">
        <v>4834.6000000000004</v>
      </c>
      <c r="AJ51" s="4">
        <v>5020.1000000000004</v>
      </c>
      <c r="AK51" s="4">
        <v>5064.5</v>
      </c>
      <c r="AL51" s="32">
        <f>I51-AK51-AJ51-AI51</f>
        <v>5365.7999999999993</v>
      </c>
      <c r="AM51" s="4">
        <v>4979.3</v>
      </c>
      <c r="AN51" s="4">
        <v>4951.8</v>
      </c>
      <c r="AO51" s="4">
        <v>4912.3999999999996</v>
      </c>
      <c r="AP51" s="32">
        <f>K51-AO51-AN51-AM51</f>
        <v>5059.2849999999989</v>
      </c>
      <c r="AQ51" s="4">
        <v>4957</v>
      </c>
      <c r="AR51" s="4">
        <v>4841.3999999999996</v>
      </c>
      <c r="AS51" s="4">
        <v>4320.8</v>
      </c>
      <c r="AT51" s="32">
        <f>N51-AS51-AR51-AQ51</f>
        <v>5179.9210000000003</v>
      </c>
      <c r="AU51" s="4">
        <v>4667.8</v>
      </c>
      <c r="AV51" s="360"/>
      <c r="AW51" s="360"/>
      <c r="AX51" s="360"/>
      <c r="AY51" s="360"/>
      <c r="AZ51" s="360"/>
      <c r="BA51" s="360"/>
      <c r="BB51" s="360"/>
      <c r="BC51" s="360"/>
      <c r="BD51" s="4"/>
      <c r="BF51" s="32">
        <f>G51-AC51-AB51-AA51</f>
        <v>4545.0999999999967</v>
      </c>
      <c r="BG51" s="4">
        <v>4834.6000000000004</v>
      </c>
      <c r="BH51" s="4">
        <v>5020.1000000000004</v>
      </c>
      <c r="BI51" s="4">
        <v>5064.5</v>
      </c>
      <c r="BJ51" s="32">
        <f>J51-BG51-BH51-BI51</f>
        <v>5365.7999999999993</v>
      </c>
    </row>
    <row r="52" spans="2:62" hidden="1" outlineLevel="1">
      <c r="B52" s="1" t="s">
        <v>412</v>
      </c>
      <c r="C52" s="4">
        <v>1040.5999999999999</v>
      </c>
      <c r="D52" s="4">
        <v>525.79999999999995</v>
      </c>
      <c r="E52" s="4">
        <v>754.3</v>
      </c>
      <c r="F52" s="4">
        <v>1464.2</v>
      </c>
      <c r="G52" s="4">
        <v>1464.2</v>
      </c>
      <c r="H52" s="4">
        <v>116.5</v>
      </c>
      <c r="I52" s="4">
        <v>907.3</v>
      </c>
      <c r="J52" s="4">
        <v>589.745</v>
      </c>
      <c r="K52" s="4">
        <v>1691.0409999999999</v>
      </c>
      <c r="L52" s="4">
        <v>0</v>
      </c>
      <c r="M52" s="4">
        <v>1952.4</v>
      </c>
      <c r="N52" s="4">
        <v>0</v>
      </c>
      <c r="O52" s="4">
        <v>0</v>
      </c>
      <c r="P52" s="360"/>
      <c r="Q52" s="360"/>
      <c r="R52" s="207"/>
      <c r="S52" s="4">
        <v>83.2</v>
      </c>
      <c r="T52" s="4">
        <v>140</v>
      </c>
      <c r="U52" s="4">
        <v>52.1</v>
      </c>
      <c r="V52" s="32">
        <f>D52-U52-T52-S52</f>
        <v>250.49999999999994</v>
      </c>
      <c r="W52" s="4">
        <v>203.9</v>
      </c>
      <c r="X52" s="4">
        <v>193.2</v>
      </c>
      <c r="Y52" s="4">
        <v>126.7</v>
      </c>
      <c r="Z52" s="32">
        <f>E52-Y52-X52-W52</f>
        <v>230.49999999999991</v>
      </c>
      <c r="AA52" s="4">
        <v>535.1</v>
      </c>
      <c r="AB52" s="4">
        <v>220.5</v>
      </c>
      <c r="AC52" s="4">
        <v>770.5</v>
      </c>
      <c r="AD52" s="32">
        <f>F52-AC52-AB52-AA52</f>
        <v>-61.899999999999977</v>
      </c>
      <c r="AE52" s="4">
        <v>371</v>
      </c>
      <c r="AF52" s="4">
        <v>-422.4</v>
      </c>
      <c r="AG52" s="4">
        <v>3.3</v>
      </c>
      <c r="AH52" s="32">
        <f>H52-AG52-AF52-AE52</f>
        <v>164.60000000000002</v>
      </c>
      <c r="AI52" s="4">
        <v>12.1</v>
      </c>
      <c r="AJ52" s="4">
        <v>273.5</v>
      </c>
      <c r="AK52" s="4">
        <v>253.2</v>
      </c>
      <c r="AL52" s="32">
        <f>I52-AK52-AJ52-AI52</f>
        <v>368.49999999999989</v>
      </c>
      <c r="AM52" s="4">
        <v>376.4</v>
      </c>
      <c r="AN52" s="4">
        <v>391.6</v>
      </c>
      <c r="AO52" s="4">
        <v>423.7</v>
      </c>
      <c r="AP52" s="32">
        <f>K52-AO52-AN52-AM52</f>
        <v>499.34099999999989</v>
      </c>
      <c r="AQ52" s="4">
        <v>403.9</v>
      </c>
      <c r="AR52" s="4">
        <v>524.20000000000005</v>
      </c>
      <c r="AS52" s="4">
        <v>561</v>
      </c>
      <c r="AT52" s="32">
        <f>N52-AS52-AR52-AQ52</f>
        <v>-1489.1</v>
      </c>
      <c r="AU52" s="4">
        <v>0</v>
      </c>
      <c r="AV52" s="360"/>
      <c r="AW52" s="360"/>
      <c r="AX52" s="360"/>
      <c r="AY52" s="360"/>
      <c r="AZ52" s="360"/>
      <c r="BA52" s="360"/>
      <c r="BB52" s="360"/>
      <c r="BC52" s="360"/>
      <c r="BD52" s="4"/>
      <c r="BF52" s="32">
        <f>G52-AC52-AB52-AA52</f>
        <v>-61.899999999999977</v>
      </c>
      <c r="BG52" s="4">
        <v>-9.3000000000000007</v>
      </c>
      <c r="BH52" s="4">
        <v>148.6</v>
      </c>
      <c r="BI52" s="4">
        <v>212.8</v>
      </c>
      <c r="BJ52" s="32">
        <f>J52-BG52-BH52-BI52</f>
        <v>237.64499999999992</v>
      </c>
    </row>
    <row r="53" spans="2:62" s="5" customFormat="1" hidden="1" outlineLevel="1">
      <c r="B53" s="5" t="s">
        <v>422</v>
      </c>
      <c r="C53" s="136">
        <f t="shared" ref="C53:K53" si="52">+C49+C50+C51+C52</f>
        <v>38923.199999999997</v>
      </c>
      <c r="D53" s="136">
        <f t="shared" si="52"/>
        <v>37492.5</v>
      </c>
      <c r="E53" s="137">
        <f t="shared" si="52"/>
        <v>39268.700000000004</v>
      </c>
      <c r="F53" s="137">
        <f t="shared" si="52"/>
        <v>41015.1</v>
      </c>
      <c r="G53" s="137">
        <f t="shared" si="52"/>
        <v>41032.1</v>
      </c>
      <c r="H53" s="137">
        <f t="shared" si="52"/>
        <v>40510.899999999994</v>
      </c>
      <c r="I53" s="137">
        <f t="shared" si="52"/>
        <v>43475.5</v>
      </c>
      <c r="J53" s="137">
        <f t="shared" si="52"/>
        <v>29378.945</v>
      </c>
      <c r="K53" s="137">
        <f t="shared" si="52"/>
        <v>28010.096000000001</v>
      </c>
      <c r="L53" s="137">
        <f>+L49+L50+L51+L52</f>
        <v>26921.553</v>
      </c>
      <c r="M53" s="137">
        <f>+M49+M50+M51+M52</f>
        <v>26504.800000000003</v>
      </c>
      <c r="N53" s="137">
        <f>+N49+N50+N51+N52</f>
        <v>25030.496999999999</v>
      </c>
      <c r="O53" s="137">
        <f>+O49+O50+O51+O52</f>
        <v>23157.927</v>
      </c>
      <c r="P53" s="370"/>
      <c r="Q53" s="370"/>
      <c r="R53" s="207"/>
      <c r="S53" s="136">
        <f>+S49+S50+S51+S52</f>
        <v>8565.4000000000015</v>
      </c>
      <c r="T53" s="136">
        <f t="shared" ref="T53:Z53" si="53">+T49+T50+T51+T52</f>
        <v>9423.2999999999993</v>
      </c>
      <c r="U53" s="136">
        <f t="shared" si="53"/>
        <v>9338.1</v>
      </c>
      <c r="V53" s="136">
        <f t="shared" si="53"/>
        <v>10165.699999999999</v>
      </c>
      <c r="W53" s="136">
        <f t="shared" si="53"/>
        <v>9130.7999999999993</v>
      </c>
      <c r="X53" s="136">
        <f t="shared" si="53"/>
        <v>9935.6</v>
      </c>
      <c r="Y53" s="136">
        <f t="shared" si="53"/>
        <v>9714.8000000000011</v>
      </c>
      <c r="Z53" s="136">
        <f t="shared" si="53"/>
        <v>10487.500000000002</v>
      </c>
      <c r="AA53" s="136">
        <f t="shared" ref="AA53:AG53" si="54">+AA49+AA50+AA51+AA52</f>
        <v>9406.4000000000015</v>
      </c>
      <c r="AB53" s="137">
        <f t="shared" si="54"/>
        <v>9928.0999999999985</v>
      </c>
      <c r="AC53" s="136">
        <f t="shared" si="54"/>
        <v>10764.400000000001</v>
      </c>
      <c r="AD53" s="136">
        <f t="shared" si="54"/>
        <v>10916.199999999997</v>
      </c>
      <c r="AE53" s="136">
        <f t="shared" si="54"/>
        <v>8709.2000000000007</v>
      </c>
      <c r="AF53" s="136">
        <f t="shared" si="54"/>
        <v>8636.3000000000011</v>
      </c>
      <c r="AG53" s="136">
        <f t="shared" si="54"/>
        <v>10531.399999999998</v>
      </c>
      <c r="AH53" s="136">
        <f t="shared" ref="AH53:AM53" si="55">+AH49+AH50+AH51+AH52</f>
        <v>12633.999999999995</v>
      </c>
      <c r="AI53" s="136">
        <f t="shared" si="55"/>
        <v>9377.6</v>
      </c>
      <c r="AJ53" s="136">
        <f t="shared" si="55"/>
        <v>10105.5</v>
      </c>
      <c r="AK53" s="136">
        <f t="shared" si="55"/>
        <v>10969</v>
      </c>
      <c r="AL53" s="136">
        <f t="shared" si="55"/>
        <v>13023.4</v>
      </c>
      <c r="AM53" s="136">
        <f t="shared" si="55"/>
        <v>7217.1</v>
      </c>
      <c r="AN53" s="136">
        <f t="shared" ref="AN53:AS53" si="56">+AN49+AN50+AN51+AN52</f>
        <v>7045.7000000000007</v>
      </c>
      <c r="AO53" s="136">
        <f t="shared" si="56"/>
        <v>7037.0999999999995</v>
      </c>
      <c r="AP53" s="136">
        <f t="shared" si="56"/>
        <v>6710.1959999999999</v>
      </c>
      <c r="AQ53" s="136">
        <f t="shared" si="56"/>
        <v>6969.7999999999993</v>
      </c>
      <c r="AR53" s="136">
        <f t="shared" si="56"/>
        <v>6813.9999999999991</v>
      </c>
      <c r="AS53" s="136">
        <f t="shared" si="56"/>
        <v>6415</v>
      </c>
      <c r="AT53" s="136">
        <f>+AT49+AT50+AT51+AT52</f>
        <v>4831.6970000000001</v>
      </c>
      <c r="AU53" s="136">
        <f>+AU49+AU50+AU51+AU52</f>
        <v>5883.4</v>
      </c>
      <c r="AV53" s="281">
        <v>5950.1</v>
      </c>
      <c r="AW53" s="281">
        <v>5717.1</v>
      </c>
      <c r="AX53" s="136">
        <f>O53-SUM(AU53:AW53)</f>
        <v>5607.3270000000011</v>
      </c>
      <c r="AY53" s="281">
        <v>5702.1</v>
      </c>
      <c r="AZ53" s="281">
        <v>5694.3</v>
      </c>
      <c r="BA53" s="281">
        <v>5677.1</v>
      </c>
      <c r="BB53" s="370"/>
      <c r="BC53" s="281">
        <v>5702.1</v>
      </c>
      <c r="BD53" s="136"/>
      <c r="BF53" s="136">
        <f>+BF49+BF50+BF51+BF52</f>
        <v>10933.199999999997</v>
      </c>
      <c r="BG53" s="136">
        <f>+BG49+BG50+BG51+BG52</f>
        <v>6979.7</v>
      </c>
      <c r="BH53" s="136">
        <f>+BH49+BH50+BH51+BH52</f>
        <v>7411.4000000000005</v>
      </c>
      <c r="BI53" s="136">
        <f>+BI49+BI50+BI51+BI52</f>
        <v>7539</v>
      </c>
      <c r="BJ53" s="136">
        <f>+BJ49+BJ50+BJ51+BJ52</f>
        <v>7448.8450000000003</v>
      </c>
    </row>
    <row r="54" spans="2:62" s="5" customFormat="1" hidden="1" outlineLevel="1">
      <c r="B54" s="1" t="s">
        <v>423</v>
      </c>
      <c r="C54" s="4">
        <v>0</v>
      </c>
      <c r="D54" s="4">
        <v>0</v>
      </c>
      <c r="E54" s="4">
        <v>1410.5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360"/>
      <c r="Q54" s="360"/>
      <c r="R54" s="207"/>
      <c r="S54" s="4">
        <v>0</v>
      </c>
      <c r="T54" s="4">
        <v>0</v>
      </c>
      <c r="U54" s="4">
        <v>0</v>
      </c>
      <c r="V54" s="32">
        <f>D54-U54-T54-S54</f>
        <v>0</v>
      </c>
      <c r="W54" s="4">
        <v>0</v>
      </c>
      <c r="X54" s="4">
        <v>817.2</v>
      </c>
      <c r="Y54" s="4">
        <v>593.29999999999995</v>
      </c>
      <c r="Z54" s="32">
        <f>E54-Y54-X54-W54</f>
        <v>0</v>
      </c>
      <c r="AA54" s="4">
        <v>0</v>
      </c>
      <c r="AB54" s="4">
        <v>0</v>
      </c>
      <c r="AC54" s="4">
        <v>0</v>
      </c>
      <c r="AD54" s="32">
        <f>F54-AC54-AB54-AA54</f>
        <v>0</v>
      </c>
      <c r="AE54" s="4">
        <v>0</v>
      </c>
      <c r="AF54" s="4">
        <v>0</v>
      </c>
      <c r="AG54" s="4">
        <v>0</v>
      </c>
      <c r="AH54" s="32">
        <f>H54-AG54-AF54-AE54</f>
        <v>0</v>
      </c>
      <c r="AI54" s="4">
        <v>0</v>
      </c>
      <c r="AJ54" s="4">
        <v>0</v>
      </c>
      <c r="AK54" s="4">
        <v>0</v>
      </c>
      <c r="AL54" s="32">
        <f>I54-AK54-AJ54-AI54</f>
        <v>0</v>
      </c>
      <c r="AM54" s="4">
        <v>0</v>
      </c>
      <c r="AN54" s="4">
        <v>0</v>
      </c>
      <c r="AO54" s="4">
        <v>0</v>
      </c>
      <c r="AP54" s="32">
        <f>K54-AO54-AN54-AM54</f>
        <v>0</v>
      </c>
      <c r="AQ54" s="4">
        <v>0</v>
      </c>
      <c r="AR54" s="4">
        <v>0</v>
      </c>
      <c r="AS54" s="4">
        <v>0</v>
      </c>
      <c r="AT54" s="32">
        <f>N54-AS54-AR54-AQ54</f>
        <v>0</v>
      </c>
      <c r="AU54" s="4">
        <v>0</v>
      </c>
      <c r="AV54" s="4">
        <v>0</v>
      </c>
      <c r="AW54" s="4">
        <v>0</v>
      </c>
      <c r="AX54" s="32">
        <f>O54-SUM(AU54:AW54)</f>
        <v>0</v>
      </c>
      <c r="AY54" s="4">
        <v>0</v>
      </c>
      <c r="AZ54" s="4">
        <v>0</v>
      </c>
      <c r="BA54" s="4">
        <v>0</v>
      </c>
      <c r="BB54" s="360"/>
      <c r="BC54" s="4">
        <v>0</v>
      </c>
      <c r="BD54" s="4"/>
      <c r="BF54" s="32">
        <f>G54-AC54-AB54-AA54</f>
        <v>0</v>
      </c>
      <c r="BG54" s="4">
        <v>0</v>
      </c>
      <c r="BH54" s="4">
        <v>0</v>
      </c>
      <c r="BI54" s="4">
        <v>0</v>
      </c>
      <c r="BJ54" s="32">
        <f>J54-BG54-BH54-BI54</f>
        <v>0</v>
      </c>
    </row>
    <row r="55" spans="2:62" s="5" customFormat="1" hidden="1" outlineLevel="1">
      <c r="B55" s="5" t="s">
        <v>424</v>
      </c>
      <c r="C55" s="85">
        <f>+C53+C54</f>
        <v>38923.199999999997</v>
      </c>
      <c r="D55" s="85">
        <f t="shared" ref="D55:AB55" si="57">+D53+D54</f>
        <v>37492.5</v>
      </c>
      <c r="E55" s="85">
        <f t="shared" si="57"/>
        <v>40679.200000000004</v>
      </c>
      <c r="F55" s="85">
        <f t="shared" ref="F55:K55" si="58">+F53+F54</f>
        <v>41015.1</v>
      </c>
      <c r="G55" s="85">
        <f t="shared" si="58"/>
        <v>41032.1</v>
      </c>
      <c r="H55" s="85">
        <f t="shared" si="58"/>
        <v>40510.899999999994</v>
      </c>
      <c r="I55" s="85">
        <f>+I53+I54</f>
        <v>43475.5</v>
      </c>
      <c r="J55" s="85">
        <f t="shared" si="58"/>
        <v>29378.945</v>
      </c>
      <c r="K55" s="85">
        <f t="shared" si="58"/>
        <v>28010.096000000001</v>
      </c>
      <c r="L55" s="85">
        <f>+L53+L54</f>
        <v>26921.553</v>
      </c>
      <c r="M55" s="85">
        <f>+M53+M54</f>
        <v>26504.800000000003</v>
      </c>
      <c r="N55" s="85">
        <f>+N53+N54</f>
        <v>25030.496999999999</v>
      </c>
      <c r="O55" s="85">
        <f>+O53+O54</f>
        <v>23157.927</v>
      </c>
      <c r="P55" s="371"/>
      <c r="Q55" s="371"/>
      <c r="R55" s="207"/>
      <c r="S55" s="85">
        <f t="shared" si="57"/>
        <v>8565.4000000000015</v>
      </c>
      <c r="T55" s="85">
        <f t="shared" si="57"/>
        <v>9423.2999999999993</v>
      </c>
      <c r="U55" s="85">
        <f t="shared" si="57"/>
        <v>9338.1</v>
      </c>
      <c r="V55" s="85">
        <f t="shared" si="57"/>
        <v>10165.699999999999</v>
      </c>
      <c r="W55" s="85">
        <f t="shared" si="57"/>
        <v>9130.7999999999993</v>
      </c>
      <c r="X55" s="85">
        <f t="shared" si="57"/>
        <v>10752.800000000001</v>
      </c>
      <c r="Y55" s="85">
        <f t="shared" si="57"/>
        <v>10308.1</v>
      </c>
      <c r="Z55" s="85">
        <f t="shared" si="57"/>
        <v>10487.500000000002</v>
      </c>
      <c r="AA55" s="85">
        <f t="shared" si="57"/>
        <v>9406.4000000000015</v>
      </c>
      <c r="AB55" s="85">
        <f t="shared" si="57"/>
        <v>9928.0999999999985</v>
      </c>
      <c r="AC55" s="85">
        <f t="shared" ref="AC55:AH55" si="59">+AC53+AC54</f>
        <v>10764.400000000001</v>
      </c>
      <c r="AD55" s="85">
        <f t="shared" si="59"/>
        <v>10916.199999999997</v>
      </c>
      <c r="AE55" s="85">
        <f t="shared" si="59"/>
        <v>8709.2000000000007</v>
      </c>
      <c r="AF55" s="85">
        <f t="shared" si="59"/>
        <v>8636.3000000000011</v>
      </c>
      <c r="AG55" s="85">
        <f t="shared" si="59"/>
        <v>10531.399999999998</v>
      </c>
      <c r="AH55" s="85">
        <f t="shared" si="59"/>
        <v>12633.999999999995</v>
      </c>
      <c r="AI55" s="85">
        <f t="shared" ref="AI55:AN55" si="60">+AI53+AI54</f>
        <v>9377.6</v>
      </c>
      <c r="AJ55" s="85">
        <f t="shared" si="60"/>
        <v>10105.5</v>
      </c>
      <c r="AK55" s="85">
        <f t="shared" si="60"/>
        <v>10969</v>
      </c>
      <c r="AL55" s="85">
        <f t="shared" si="60"/>
        <v>13023.4</v>
      </c>
      <c r="AM55" s="85">
        <f t="shared" si="60"/>
        <v>7217.1</v>
      </c>
      <c r="AN55" s="85">
        <f t="shared" si="60"/>
        <v>7045.7000000000007</v>
      </c>
      <c r="AO55" s="85">
        <f t="shared" ref="AO55:AT55" si="61">+AO53+AO54</f>
        <v>7037.0999999999995</v>
      </c>
      <c r="AP55" s="85">
        <f t="shared" si="61"/>
        <v>6710.1959999999999</v>
      </c>
      <c r="AQ55" s="85">
        <f t="shared" si="61"/>
        <v>6969.7999999999993</v>
      </c>
      <c r="AR55" s="85">
        <f t="shared" si="61"/>
        <v>6813.9999999999991</v>
      </c>
      <c r="AS55" s="85">
        <f t="shared" si="61"/>
        <v>6415</v>
      </c>
      <c r="AT55" s="85">
        <f t="shared" si="61"/>
        <v>4831.6970000000001</v>
      </c>
      <c r="AU55" s="85">
        <f t="shared" ref="AU55:AZ55" si="62">+AU53+AU54</f>
        <v>5883.4</v>
      </c>
      <c r="AV55" s="85">
        <f t="shared" si="62"/>
        <v>5950.1</v>
      </c>
      <c r="AW55" s="85">
        <f t="shared" si="62"/>
        <v>5717.1</v>
      </c>
      <c r="AX55" s="85">
        <f t="shared" si="62"/>
        <v>5607.3270000000011</v>
      </c>
      <c r="AY55" s="85">
        <f t="shared" si="62"/>
        <v>5702.1</v>
      </c>
      <c r="AZ55" s="85">
        <f t="shared" si="62"/>
        <v>5694.3</v>
      </c>
      <c r="BA55" s="85">
        <f>+BA53+BA54</f>
        <v>5677.1</v>
      </c>
      <c r="BB55" s="371"/>
      <c r="BC55" s="85">
        <f>+BC53+BC54</f>
        <v>5702.1</v>
      </c>
      <c r="BD55" s="85"/>
      <c r="BF55" s="85">
        <f>+BF53+BF54</f>
        <v>10933.199999999997</v>
      </c>
      <c r="BG55" s="85">
        <f>+BG53+BG54</f>
        <v>6979.7</v>
      </c>
      <c r="BH55" s="85">
        <f>+BH53+BH54</f>
        <v>7411.4000000000005</v>
      </c>
      <c r="BI55" s="85">
        <f>+BI53+BI54</f>
        <v>7539</v>
      </c>
      <c r="BJ55" s="85">
        <f>+BJ53+BJ54</f>
        <v>7448.8450000000003</v>
      </c>
    </row>
    <row r="56" spans="2:62" hidden="1" outlineLevel="1">
      <c r="B56" s="1" t="s">
        <v>425</v>
      </c>
      <c r="C56" s="4">
        <v>-2207.9</v>
      </c>
      <c r="D56" s="4">
        <v>-2291</v>
      </c>
      <c r="E56" s="4">
        <v>-2154.6999999999998</v>
      </c>
      <c r="F56" s="4">
        <v>-1888.4</v>
      </c>
      <c r="G56" s="4">
        <v>-1888.4</v>
      </c>
      <c r="H56" s="4">
        <v>-1882.9</v>
      </c>
      <c r="I56" s="4">
        <v>-2203.5</v>
      </c>
      <c r="J56" s="4">
        <v>-2351.3420000000001</v>
      </c>
      <c r="K56" s="4">
        <v>-1538.085</v>
      </c>
      <c r="L56" s="4">
        <v>-1346.4690000000001</v>
      </c>
      <c r="M56" s="4">
        <v>-1259.9000000000001</v>
      </c>
      <c r="N56" s="4">
        <v>-1031.223</v>
      </c>
      <c r="O56" s="4">
        <v>-756.04499999999996</v>
      </c>
      <c r="P56" s="360"/>
      <c r="Q56" s="360"/>
      <c r="R56" s="207"/>
      <c r="S56" s="4">
        <v>-580.70000000000005</v>
      </c>
      <c r="T56" s="4">
        <v>-553.9</v>
      </c>
      <c r="U56" s="4">
        <v>-550.20000000000005</v>
      </c>
      <c r="V56" s="32">
        <f>D56-U56-T56-S56</f>
        <v>-606.20000000000005</v>
      </c>
      <c r="W56" s="4">
        <v>-551.70000000000005</v>
      </c>
      <c r="X56" s="4">
        <v>-520.29999999999995</v>
      </c>
      <c r="Y56" s="4">
        <v>-496</v>
      </c>
      <c r="Z56" s="32">
        <f>E56-Y56-X56-W56</f>
        <v>-586.69999999999982</v>
      </c>
      <c r="AA56" s="4">
        <v>-516.1</v>
      </c>
      <c r="AB56" s="4">
        <v>-439.2</v>
      </c>
      <c r="AC56" s="4">
        <v>-436.3</v>
      </c>
      <c r="AD56" s="32">
        <f>F56-AC56-AB56-AA56</f>
        <v>-496.80000000000007</v>
      </c>
      <c r="AE56" s="4">
        <v>-423.8</v>
      </c>
      <c r="AF56" s="4">
        <v>-366</v>
      </c>
      <c r="AG56" s="4">
        <v>-374.9</v>
      </c>
      <c r="AH56" s="32">
        <f>H56-AG56-AF56-AE56</f>
        <v>-718.2</v>
      </c>
      <c r="AI56" s="4">
        <v>-499.4</v>
      </c>
      <c r="AJ56" s="4">
        <v>-481.9</v>
      </c>
      <c r="AK56" s="4">
        <v>-480.7</v>
      </c>
      <c r="AL56" s="32">
        <f>I56-AK56-AJ56-AI56</f>
        <v>-741.50000000000011</v>
      </c>
      <c r="AM56" s="4">
        <v>-333.7</v>
      </c>
      <c r="AN56" s="4">
        <v>-285.2</v>
      </c>
      <c r="AO56" s="4">
        <v>-213.5</v>
      </c>
      <c r="AP56" s="32">
        <f>K56-AO56-AN56-AM56</f>
        <v>-705.68499999999995</v>
      </c>
      <c r="AQ56" s="4">
        <v>-242.4</v>
      </c>
      <c r="AR56" s="4">
        <v>-238.3</v>
      </c>
      <c r="AS56" s="4">
        <v>-189.8</v>
      </c>
      <c r="AT56" s="32">
        <f>N56-AS56-AR56-AQ56</f>
        <v>-360.72300000000007</v>
      </c>
      <c r="AU56" s="4">
        <v>-185.8</v>
      </c>
      <c r="AV56" s="4">
        <v>-91.4</v>
      </c>
      <c r="AW56" s="4">
        <v>-61.2</v>
      </c>
      <c r="AX56" s="32">
        <f>O56-SUM(AU56:AW56)</f>
        <v>-417.64499999999992</v>
      </c>
      <c r="AY56" s="4">
        <v>-118.6</v>
      </c>
      <c r="AZ56" s="4">
        <v>-22.1</v>
      </c>
      <c r="BA56" s="4">
        <v>-57.4</v>
      </c>
      <c r="BB56" s="360"/>
      <c r="BC56" s="4">
        <v>-118.6</v>
      </c>
      <c r="BD56" s="4"/>
      <c r="BF56" s="32">
        <f>G56-AC56-AB56-AA56</f>
        <v>-496.80000000000007</v>
      </c>
      <c r="BG56" s="4">
        <v>-423.3</v>
      </c>
      <c r="BH56" s="4">
        <v>-381</v>
      </c>
      <c r="BI56" s="4">
        <v>-421.5</v>
      </c>
      <c r="BJ56" s="32">
        <f>J56-BG56-BH56-BI56</f>
        <v>-1125.5420000000001</v>
      </c>
    </row>
    <row r="57" spans="2:62" hidden="1" outlineLevel="1">
      <c r="B57" s="1" t="s">
        <v>426</v>
      </c>
      <c r="C57" s="4">
        <v>-16979.8</v>
      </c>
      <c r="D57" s="4">
        <v>-18504.7</v>
      </c>
      <c r="E57" s="4">
        <v>-19834.2</v>
      </c>
      <c r="F57" s="4">
        <v>-21008.799999999999</v>
      </c>
      <c r="G57" s="4">
        <v>-21008.799999999999</v>
      </c>
      <c r="H57" s="4">
        <v>-21260.799999999999</v>
      </c>
      <c r="I57" s="4">
        <v>-21418.3</v>
      </c>
      <c r="J57" s="4">
        <v>-20053.302</v>
      </c>
      <c r="K57" s="4">
        <v>-21117.432000000001</v>
      </c>
      <c r="L57" s="4">
        <v>-20715.259999999998</v>
      </c>
      <c r="M57" s="4">
        <v>-21554.400000000001</v>
      </c>
      <c r="N57" s="4">
        <v>-21107.312000000002</v>
      </c>
      <c r="O57" s="4">
        <v>-20510.852999999999</v>
      </c>
      <c r="P57" s="360"/>
      <c r="Q57" s="360"/>
      <c r="R57" s="207"/>
      <c r="S57" s="4">
        <v>-4543.8</v>
      </c>
      <c r="T57" s="4">
        <v>-4578.6000000000004</v>
      </c>
      <c r="U57" s="4">
        <v>-4609.2</v>
      </c>
      <c r="V57" s="32">
        <f>D57-U57-T57-S57</f>
        <v>-4773.0999999999995</v>
      </c>
      <c r="W57" s="4">
        <v>-4800.8</v>
      </c>
      <c r="X57" s="4">
        <v>-4848.1000000000004</v>
      </c>
      <c r="Y57" s="4">
        <v>-5037.8</v>
      </c>
      <c r="Z57" s="32">
        <f>E57-Y57-X57-W57</f>
        <v>-5147.5000000000009</v>
      </c>
      <c r="AA57" s="4">
        <v>-5216</v>
      </c>
      <c r="AB57" s="4">
        <v>-5079.2</v>
      </c>
      <c r="AC57" s="4">
        <v>-5321.3</v>
      </c>
      <c r="AD57" s="32">
        <f>F57-AC57-AB57-AA57</f>
        <v>-5392.2999999999993</v>
      </c>
      <c r="AE57" s="4">
        <v>-5151.5</v>
      </c>
      <c r="AF57" s="4">
        <v>-5234.1000000000004</v>
      </c>
      <c r="AG57" s="4">
        <v>-5235.8999999999996</v>
      </c>
      <c r="AH57" s="32">
        <f>H57-AG57-AF57-AE57</f>
        <v>-5639.2999999999993</v>
      </c>
      <c r="AI57" s="4">
        <v>-5169.8</v>
      </c>
      <c r="AJ57" s="4">
        <v>-5224.1000000000004</v>
      </c>
      <c r="AK57" s="4">
        <v>-5347.8</v>
      </c>
      <c r="AL57" s="32">
        <f>I57-AK57-AJ57-AI57</f>
        <v>-5676.5999999999995</v>
      </c>
      <c r="AM57" s="4">
        <v>-5077.3999999999996</v>
      </c>
      <c r="AN57" s="4">
        <v>-5167.5</v>
      </c>
      <c r="AO57" s="4">
        <v>-5169.8</v>
      </c>
      <c r="AP57" s="32">
        <f>K57-AO57-AN57-AM57</f>
        <v>-5702.7320000000018</v>
      </c>
      <c r="AQ57" s="4">
        <v>-5311.7</v>
      </c>
      <c r="AR57" s="4">
        <v>-5354.7</v>
      </c>
      <c r="AS57" s="4">
        <v>-5544.1</v>
      </c>
      <c r="AT57" s="32">
        <f>N57-AS57-AR57-AQ57</f>
        <v>-4896.8120000000026</v>
      </c>
      <c r="AU57" s="4">
        <v>-5035</v>
      </c>
      <c r="AV57" s="4">
        <v>-5209</v>
      </c>
      <c r="AW57" s="4">
        <v>-4907.5</v>
      </c>
      <c r="AX57" s="32">
        <f>O57-SUM(AU57:AW57)</f>
        <v>-5359.3529999999992</v>
      </c>
      <c r="AY57" s="4">
        <v>-4451.8</v>
      </c>
      <c r="AZ57" s="4">
        <v>-4402.7</v>
      </c>
      <c r="BA57" s="4">
        <v>-4604.5</v>
      </c>
      <c r="BB57" s="360"/>
      <c r="BC57" s="4">
        <v>-4451.8</v>
      </c>
      <c r="BD57" s="4"/>
      <c r="BF57" s="32">
        <f>G57-AC57-AB57-AA57</f>
        <v>-5392.2999999999993</v>
      </c>
      <c r="BG57" s="4">
        <v>-4658.2</v>
      </c>
      <c r="BH57" s="4">
        <v>-5093</v>
      </c>
      <c r="BI57" s="4">
        <v>-5039.5</v>
      </c>
      <c r="BJ57" s="32">
        <f>J57-BG57-BH57-BI57</f>
        <v>-5262.601999999999</v>
      </c>
    </row>
    <row r="58" spans="2:62" hidden="1" outlineLevel="1">
      <c r="B58" s="1" t="s">
        <v>427</v>
      </c>
      <c r="C58" s="4">
        <v>-3137.4</v>
      </c>
      <c r="D58" s="4">
        <v>-2453.6</v>
      </c>
      <c r="E58" s="4">
        <v>1562.3</v>
      </c>
      <c r="F58" s="4">
        <v>-1095.5999999999999</v>
      </c>
      <c r="G58" s="4">
        <v>-1316.6</v>
      </c>
      <c r="H58" s="4">
        <v>257.5</v>
      </c>
      <c r="I58" s="4">
        <v>2394</v>
      </c>
      <c r="J58" s="4">
        <v>3716.2370000000001</v>
      </c>
      <c r="K58" s="4">
        <v>-846.654</v>
      </c>
      <c r="L58" s="4">
        <v>-1023.169</v>
      </c>
      <c r="M58" s="4">
        <v>-866.8</v>
      </c>
      <c r="N58" s="4">
        <v>-913.80100000000004</v>
      </c>
      <c r="O58" s="4">
        <v>-4554.8999999999996</v>
      </c>
      <c r="P58" s="360"/>
      <c r="Q58" s="360"/>
      <c r="R58" s="207"/>
      <c r="S58" s="4">
        <v>-410.7</v>
      </c>
      <c r="T58" s="4">
        <v>-385.6</v>
      </c>
      <c r="U58" s="4">
        <v>-500.5</v>
      </c>
      <c r="V58" s="32">
        <f>D58-U58-T58-S58</f>
        <v>-1156.8</v>
      </c>
      <c r="W58" s="4">
        <v>-154.1</v>
      </c>
      <c r="X58" s="4">
        <v>3237.9</v>
      </c>
      <c r="Y58" s="4">
        <v>-432.5</v>
      </c>
      <c r="Z58" s="32">
        <f>E58-Y58-X58-W58</f>
        <v>-1089.0000000000002</v>
      </c>
      <c r="AA58" s="4">
        <v>-188.9</v>
      </c>
      <c r="AB58" s="4">
        <v>-283</v>
      </c>
      <c r="AC58" s="4">
        <v>-389.4</v>
      </c>
      <c r="AD58" s="32">
        <f>F58-AC58-AB58-AA58</f>
        <v>-234.29999999999993</v>
      </c>
      <c r="AE58" s="4">
        <v>284.89999999999998</v>
      </c>
      <c r="AF58" s="4">
        <v>-293.5</v>
      </c>
      <c r="AG58" s="4">
        <v>666</v>
      </c>
      <c r="AH58" s="32">
        <f>H58-AG58-AF58-AE58</f>
        <v>-399.9</v>
      </c>
      <c r="AI58" s="4">
        <v>-152.9</v>
      </c>
      <c r="AJ58" s="4">
        <v>-398.9</v>
      </c>
      <c r="AK58" s="4">
        <v>-293.7</v>
      </c>
      <c r="AL58" s="32">
        <f>I58-AK58-AJ58-AI58</f>
        <v>3239.5</v>
      </c>
      <c r="AM58" s="4">
        <v>-168.3</v>
      </c>
      <c r="AN58" s="4">
        <v>-40.9</v>
      </c>
      <c r="AO58" s="4">
        <v>-291.2</v>
      </c>
      <c r="AP58" s="32">
        <f>K58-AO58-AN58-AM58</f>
        <v>-346.25399999999996</v>
      </c>
      <c r="AQ58" s="4">
        <v>-182.2</v>
      </c>
      <c r="AR58" s="4">
        <v>-181.2</v>
      </c>
      <c r="AS58" s="4">
        <v>-717.3</v>
      </c>
      <c r="AT58" s="32">
        <f>N58-AS58-AR58-AQ58</f>
        <v>166.89899999999989</v>
      </c>
      <c r="AU58" s="4">
        <v>2293.1999999999998</v>
      </c>
      <c r="AV58" s="4">
        <v>-529.6</v>
      </c>
      <c r="AW58" s="4">
        <v>-319.3</v>
      </c>
      <c r="AX58" s="32">
        <f>O58-SUM(AU58:AW58)</f>
        <v>-5999.2</v>
      </c>
      <c r="AY58" s="4">
        <v>-198.7</v>
      </c>
      <c r="AZ58" s="4">
        <v>-274.2</v>
      </c>
      <c r="BA58" s="4">
        <v>-43.7</v>
      </c>
      <c r="BB58" s="360"/>
      <c r="BC58" s="4">
        <v>-198.7</v>
      </c>
      <c r="BD58" s="4"/>
      <c r="BF58" s="32">
        <f>G58-AC58-AB58-AA58</f>
        <v>-455.29999999999995</v>
      </c>
      <c r="BG58" s="4">
        <v>-77.599999999999994</v>
      </c>
      <c r="BH58" s="4">
        <v>-278.3</v>
      </c>
      <c r="BI58" s="4">
        <v>-232.3</v>
      </c>
      <c r="BJ58" s="32">
        <f>J58-BG58-BH58-BI58</f>
        <v>4304.4369999999999</v>
      </c>
    </row>
    <row r="59" spans="2:62" hidden="1" outlineLevel="1">
      <c r="B59" s="1" t="s">
        <v>414</v>
      </c>
      <c r="C59" s="4"/>
      <c r="D59" s="4"/>
      <c r="E59" s="4"/>
      <c r="F59" s="4">
        <v>-72.2</v>
      </c>
      <c r="G59" s="4">
        <v>-72.2</v>
      </c>
      <c r="H59" s="4">
        <v>-71.5</v>
      </c>
      <c r="I59" s="4">
        <v>-64.400000000000006</v>
      </c>
      <c r="J59" s="4">
        <v>-1.6080000000000001</v>
      </c>
      <c r="K59" s="4">
        <v>-120.42400000000001</v>
      </c>
      <c r="L59" s="4">
        <v>-98.908000000000001</v>
      </c>
      <c r="M59" s="4">
        <v>-160</v>
      </c>
      <c r="N59" s="4">
        <v>-120.366</v>
      </c>
      <c r="O59" s="4">
        <v>-154.99</v>
      </c>
      <c r="P59" s="360"/>
      <c r="Q59" s="360"/>
      <c r="R59" s="207"/>
      <c r="S59" s="4"/>
      <c r="T59" s="4"/>
      <c r="U59" s="4"/>
      <c r="V59" s="32"/>
      <c r="W59" s="4"/>
      <c r="X59" s="4"/>
      <c r="Y59" s="4"/>
      <c r="Z59" s="32"/>
      <c r="AA59" s="4">
        <v>-15</v>
      </c>
      <c r="AB59" s="4">
        <v>-16.7</v>
      </c>
      <c r="AC59" s="4">
        <v>-21.7</v>
      </c>
      <c r="AD59" s="32">
        <f>F59-AC59-AB59-AA59</f>
        <v>-18.799999999999997</v>
      </c>
      <c r="AE59" s="4">
        <v>-17.8</v>
      </c>
      <c r="AF59" s="4">
        <v>-19.899999999999999</v>
      </c>
      <c r="AG59" s="4">
        <v>-17.5</v>
      </c>
      <c r="AH59" s="32">
        <f>H59-AG59-AF59-AE59</f>
        <v>-16.3</v>
      </c>
      <c r="AI59" s="4">
        <v>-15</v>
      </c>
      <c r="AJ59" s="4">
        <v>-14.9</v>
      </c>
      <c r="AK59" s="4">
        <v>-15.6</v>
      </c>
      <c r="AL59" s="32">
        <f>I59-AK59-AJ59-AI59</f>
        <v>-18.900000000000006</v>
      </c>
      <c r="AM59" s="4">
        <v>-0.3</v>
      </c>
      <c r="AN59" s="4">
        <v>-0.4</v>
      </c>
      <c r="AO59" s="4">
        <v>-0.3</v>
      </c>
      <c r="AP59" s="32">
        <f>K59-AO59-AN59-AM59</f>
        <v>-119.42400000000001</v>
      </c>
      <c r="AQ59" s="4">
        <v>-29.8</v>
      </c>
      <c r="AR59" s="4">
        <v>-47.6</v>
      </c>
      <c r="AS59" s="4">
        <v>-40.9</v>
      </c>
      <c r="AT59" s="32">
        <f>N59-AS59-AR59-AQ59</f>
        <v>-2.0660000000000061</v>
      </c>
      <c r="AU59" s="4">
        <v>-29.9</v>
      </c>
      <c r="AV59" s="4">
        <v>-30.6</v>
      </c>
      <c r="AW59" s="4">
        <v>-64.400000000000006</v>
      </c>
      <c r="AX59" s="32">
        <f>O59-SUM(AU59:AW59)</f>
        <v>-30.090000000000003</v>
      </c>
      <c r="AY59" s="4">
        <v>-43</v>
      </c>
      <c r="AZ59" s="4">
        <v>-41.9</v>
      </c>
      <c r="BA59" s="4">
        <v>-42.7</v>
      </c>
      <c r="BB59" s="360"/>
      <c r="BC59" s="4">
        <v>-43</v>
      </c>
      <c r="BD59" s="4"/>
      <c r="BF59" s="32">
        <f>G59-AC59-AB59-AA59</f>
        <v>-18.799999999999997</v>
      </c>
      <c r="BG59" s="4">
        <v>-0.5</v>
      </c>
      <c r="BH59" s="4">
        <v>-0.4</v>
      </c>
      <c r="BI59" s="4">
        <v>-0.4</v>
      </c>
      <c r="BJ59" s="32">
        <f>J59-BG59-BH59-BI59</f>
        <v>-0.30800000000000005</v>
      </c>
    </row>
    <row r="60" spans="2:62" hidden="1" outlineLevel="1">
      <c r="B60" s="1" t="s">
        <v>415</v>
      </c>
      <c r="C60" s="4"/>
      <c r="D60" s="4"/>
      <c r="E60" s="4"/>
      <c r="F60" s="4">
        <v>258.89999999999998</v>
      </c>
      <c r="G60" s="4">
        <v>258.89999999999998</v>
      </c>
      <c r="H60" s="4">
        <v>-4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360"/>
      <c r="Q60" s="360"/>
      <c r="R60" s="207"/>
      <c r="S60" s="4"/>
      <c r="T60" s="4"/>
      <c r="U60" s="4"/>
      <c r="V60" s="32"/>
      <c r="W60" s="4"/>
      <c r="X60" s="4"/>
      <c r="Y60" s="4"/>
      <c r="Z60" s="32"/>
      <c r="AA60" s="4"/>
      <c r="AB60" s="4"/>
      <c r="AC60" s="4"/>
      <c r="AD60" s="32">
        <f>F60-AC60-AB60-AA60</f>
        <v>258.89999999999998</v>
      </c>
      <c r="AE60" s="4">
        <v>25.6</v>
      </c>
      <c r="AF60" s="4">
        <v>-29.6</v>
      </c>
      <c r="AG60" s="4">
        <v>0</v>
      </c>
      <c r="AH60" s="32">
        <f>H60-AG60-AF60-AE60</f>
        <v>0</v>
      </c>
      <c r="AI60" s="4">
        <v>0</v>
      </c>
      <c r="AJ60" s="4">
        <v>0</v>
      </c>
      <c r="AK60" s="4">
        <v>0</v>
      </c>
      <c r="AL60" s="32">
        <f>I60-AK60-AJ60-AI60</f>
        <v>0</v>
      </c>
      <c r="AM60" s="4">
        <v>0</v>
      </c>
      <c r="AN60" s="4">
        <v>0</v>
      </c>
      <c r="AO60" s="4">
        <v>0</v>
      </c>
      <c r="AP60" s="32">
        <f>K60-AO60-AN60-AM60</f>
        <v>0</v>
      </c>
      <c r="AQ60" s="4">
        <v>0</v>
      </c>
      <c r="AR60" s="4">
        <v>0</v>
      </c>
      <c r="AS60" s="4">
        <v>0</v>
      </c>
      <c r="AT60" s="32">
        <f>N60-AS60-AR60-AQ60</f>
        <v>0</v>
      </c>
      <c r="AU60" s="4">
        <v>0</v>
      </c>
      <c r="AV60" s="4">
        <v>0</v>
      </c>
      <c r="AW60" s="4">
        <v>0</v>
      </c>
      <c r="AX60" s="32">
        <f>O60-SUM(AU60:AW60)</f>
        <v>0</v>
      </c>
      <c r="AY60" s="4">
        <v>0</v>
      </c>
      <c r="AZ60" s="4">
        <v>0</v>
      </c>
      <c r="BA60" s="4">
        <v>0</v>
      </c>
      <c r="BB60" s="360"/>
      <c r="BC60" s="4">
        <v>0</v>
      </c>
      <c r="BD60" s="4"/>
      <c r="BF60" s="32">
        <f>G60-AC60-AB60-AA60</f>
        <v>258.89999999999998</v>
      </c>
      <c r="BG60" s="4">
        <v>0</v>
      </c>
      <c r="BH60" s="4">
        <v>0</v>
      </c>
      <c r="BI60" s="4">
        <v>0</v>
      </c>
      <c r="BJ60" s="32">
        <f>J60-BG60-BH60-BI60</f>
        <v>0</v>
      </c>
    </row>
    <row r="61" spans="2:62" s="5" customFormat="1" hidden="1" outlineLevel="1">
      <c r="B61" s="5" t="s">
        <v>428</v>
      </c>
      <c r="C61" s="7">
        <f t="shared" ref="C61:H61" si="63">+C55+C57+C56+C58+C59+C60</f>
        <v>16598.099999999995</v>
      </c>
      <c r="D61" s="7">
        <f t="shared" si="63"/>
        <v>14243.199999999999</v>
      </c>
      <c r="E61" s="7">
        <f t="shared" si="63"/>
        <v>20252.600000000002</v>
      </c>
      <c r="F61" s="7">
        <f t="shared" si="63"/>
        <v>17209</v>
      </c>
      <c r="G61" s="7">
        <f t="shared" si="63"/>
        <v>17005</v>
      </c>
      <c r="H61" s="7">
        <f t="shared" si="63"/>
        <v>17549.199999999993</v>
      </c>
      <c r="I61" s="7">
        <f t="shared" ref="I61:O61" si="64">+I55+I57+I56+I58+I59+I60</f>
        <v>22183.3</v>
      </c>
      <c r="J61" s="7">
        <f t="shared" si="64"/>
        <v>10688.93</v>
      </c>
      <c r="K61" s="7">
        <f t="shared" si="64"/>
        <v>4387.5010000000011</v>
      </c>
      <c r="L61" s="7">
        <f t="shared" si="64"/>
        <v>3737.7470000000017</v>
      </c>
      <c r="M61" s="7">
        <f t="shared" si="64"/>
        <v>2663.7000000000016</v>
      </c>
      <c r="N61" s="7">
        <f t="shared" si="64"/>
        <v>1857.7949999999978</v>
      </c>
      <c r="O61" s="7">
        <f t="shared" si="64"/>
        <v>-2818.860999999999</v>
      </c>
      <c r="P61" s="365"/>
      <c r="Q61" s="365"/>
      <c r="R61" s="207"/>
      <c r="S61" s="7">
        <f t="shared" ref="S61:AD61" si="65">+S55+S57+S56+S58+S59+S60</f>
        <v>3030.2000000000016</v>
      </c>
      <c r="T61" s="7">
        <f t="shared" si="65"/>
        <v>3905.1999999999994</v>
      </c>
      <c r="U61" s="7">
        <f t="shared" si="65"/>
        <v>3678.2000000000007</v>
      </c>
      <c r="V61" s="7">
        <f t="shared" si="65"/>
        <v>3629.5999999999995</v>
      </c>
      <c r="W61" s="7">
        <f t="shared" si="65"/>
        <v>3624.1999999999994</v>
      </c>
      <c r="X61" s="7">
        <f t="shared" si="65"/>
        <v>8622.3000000000011</v>
      </c>
      <c r="Y61" s="7">
        <f t="shared" si="65"/>
        <v>4341.8</v>
      </c>
      <c r="Z61" s="7">
        <f t="shared" si="65"/>
        <v>3664.3000000000011</v>
      </c>
      <c r="AA61" s="7">
        <f t="shared" si="65"/>
        <v>3470.4000000000015</v>
      </c>
      <c r="AB61" s="7">
        <f t="shared" si="65"/>
        <v>4109.9999999999991</v>
      </c>
      <c r="AC61" s="7">
        <f t="shared" si="65"/>
        <v>4595.7000000000016</v>
      </c>
      <c r="AD61" s="7">
        <f t="shared" si="65"/>
        <v>5032.8999999999969</v>
      </c>
      <c r="AE61" s="7">
        <f t="shared" ref="AE61:AJ61" si="66">+AE55+AE57+AE56+AE58+AE59+AE60</f>
        <v>3426.6000000000004</v>
      </c>
      <c r="AF61" s="7">
        <f t="shared" si="66"/>
        <v>2693.2000000000007</v>
      </c>
      <c r="AG61" s="7">
        <f t="shared" si="66"/>
        <v>5569.0999999999985</v>
      </c>
      <c r="AH61" s="7">
        <f t="shared" si="66"/>
        <v>5860.2999999999956</v>
      </c>
      <c r="AI61" s="7">
        <f t="shared" si="66"/>
        <v>3540.5</v>
      </c>
      <c r="AJ61" s="7">
        <f t="shared" si="66"/>
        <v>3985.7</v>
      </c>
      <c r="AK61" s="7">
        <f t="shared" ref="AK61:AP61" si="67">+AK55+AK57+AK56+AK58+AK59+AK60</f>
        <v>4831.2</v>
      </c>
      <c r="AL61" s="7">
        <f t="shared" si="67"/>
        <v>9825.9</v>
      </c>
      <c r="AM61" s="7">
        <f t="shared" si="67"/>
        <v>1637.4000000000008</v>
      </c>
      <c r="AN61" s="7">
        <f t="shared" si="67"/>
        <v>1551.7000000000005</v>
      </c>
      <c r="AO61" s="7">
        <f t="shared" si="67"/>
        <v>1362.2999999999993</v>
      </c>
      <c r="AP61" s="7">
        <f t="shared" si="67"/>
        <v>-163.89900000000179</v>
      </c>
      <c r="AQ61" s="7">
        <f t="shared" ref="AQ61:AV61" si="68">+AQ55+AQ57+AQ56+AQ58+AQ59+AQ60</f>
        <v>1203.6999999999994</v>
      </c>
      <c r="AR61" s="7">
        <f t="shared" si="68"/>
        <v>992.19999999999925</v>
      </c>
      <c r="AS61" s="7">
        <f t="shared" si="68"/>
        <v>-77.100000000000279</v>
      </c>
      <c r="AT61" s="7">
        <f t="shared" si="68"/>
        <v>-261.00500000000272</v>
      </c>
      <c r="AU61" s="7">
        <f t="shared" si="68"/>
        <v>2925.8999999999992</v>
      </c>
      <c r="AV61" s="7">
        <f t="shared" si="68"/>
        <v>89.500000000000369</v>
      </c>
      <c r="AW61" s="7">
        <f>+AW55+AW57+AW56+AW58+AW59+AW60</f>
        <v>364.70000000000027</v>
      </c>
      <c r="AX61" s="7">
        <f>+AX55+AX57+AX56+AX58+AX59+AX60</f>
        <v>-6198.9609999999975</v>
      </c>
      <c r="AY61" s="7">
        <f>+AY55+AY57+AY56+AY58+AY59+AY60</f>
        <v>890.00000000000023</v>
      </c>
      <c r="AZ61" s="7">
        <f>+AZ55+AZ57+AZ56+AZ58+AZ59+AZ60</f>
        <v>953.40000000000043</v>
      </c>
      <c r="BA61" s="7">
        <f>+BA55+BA57+BA56+BA58+BA59+BA60</f>
        <v>928.8000000000003</v>
      </c>
      <c r="BB61" s="365"/>
      <c r="BC61" s="7">
        <f>+BC55+BC57+BC56+BC58+BC59+BC60</f>
        <v>890.00000000000023</v>
      </c>
      <c r="BD61" s="7"/>
      <c r="BF61" s="7">
        <f>+BF55+BF57+BF56+BF58+BF59+BF60</f>
        <v>4828.8999999999969</v>
      </c>
      <c r="BG61" s="7">
        <f>+BG55+BG57+BG56+BG58+BG59+BG60</f>
        <v>1820.1000000000001</v>
      </c>
      <c r="BH61" s="7">
        <f>+BH55+BH57+BH56+BH58+BH59+BH60</f>
        <v>1658.7000000000005</v>
      </c>
      <c r="BI61" s="7">
        <f>+BI55+BI57+BI56+BI58+BI59+BI60</f>
        <v>1845.3</v>
      </c>
      <c r="BJ61" s="7">
        <f>+BJ55+BJ57+BJ56+BJ58+BJ59+BJ60</f>
        <v>5364.8300000000008</v>
      </c>
    </row>
    <row r="62" spans="2:62" hidden="1" outlineLevel="1">
      <c r="L62" s="4"/>
      <c r="R62" s="207"/>
      <c r="BJ62" s="1">
        <f>J62-BG62-BH62-BI62</f>
        <v>0</v>
      </c>
    </row>
    <row r="63" spans="2:62" hidden="1" outlineLevel="1">
      <c r="B63" s="1" t="str">
        <f t="shared" ref="B63:H63" si="69">B56</f>
        <v>Corporate Expenses</v>
      </c>
      <c r="C63" s="32">
        <f t="shared" si="69"/>
        <v>-2207.9</v>
      </c>
      <c r="D63" s="32">
        <f t="shared" si="69"/>
        <v>-2291</v>
      </c>
      <c r="E63" s="32">
        <f t="shared" si="69"/>
        <v>-2154.6999999999998</v>
      </c>
      <c r="F63" s="32">
        <f t="shared" si="69"/>
        <v>-1888.4</v>
      </c>
      <c r="G63" s="32">
        <f>G56</f>
        <v>-1888.4</v>
      </c>
      <c r="H63" s="32">
        <f t="shared" si="69"/>
        <v>-1882.9</v>
      </c>
      <c r="I63" s="32">
        <f t="shared" ref="I63:O63" si="70">I56</f>
        <v>-2203.5</v>
      </c>
      <c r="J63" s="32">
        <f t="shared" si="70"/>
        <v>-2351.3420000000001</v>
      </c>
      <c r="K63" s="32">
        <f t="shared" si="70"/>
        <v>-1538.085</v>
      </c>
      <c r="L63" s="32">
        <f t="shared" si="70"/>
        <v>-1346.4690000000001</v>
      </c>
      <c r="M63" s="32">
        <f t="shared" si="70"/>
        <v>-1259.9000000000001</v>
      </c>
      <c r="N63" s="32">
        <f t="shared" si="70"/>
        <v>-1031.223</v>
      </c>
      <c r="O63" s="32">
        <f t="shared" si="70"/>
        <v>-756.04499999999996</v>
      </c>
      <c r="P63" s="359"/>
      <c r="Q63" s="359"/>
      <c r="R63" s="207"/>
      <c r="S63" s="32">
        <f t="shared" ref="S63:AA63" si="71">S56</f>
        <v>-580.70000000000005</v>
      </c>
      <c r="T63" s="32">
        <f t="shared" si="71"/>
        <v>-553.9</v>
      </c>
      <c r="U63" s="32">
        <f t="shared" si="71"/>
        <v>-550.20000000000005</v>
      </c>
      <c r="V63" s="32">
        <f t="shared" si="71"/>
        <v>-606.20000000000005</v>
      </c>
      <c r="W63" s="32">
        <f t="shared" si="71"/>
        <v>-551.70000000000005</v>
      </c>
      <c r="X63" s="32">
        <f t="shared" si="71"/>
        <v>-520.29999999999995</v>
      </c>
      <c r="Y63" s="32">
        <f t="shared" si="71"/>
        <v>-496</v>
      </c>
      <c r="Z63" s="32">
        <f t="shared" si="71"/>
        <v>-586.69999999999982</v>
      </c>
      <c r="AA63" s="32">
        <f t="shared" si="71"/>
        <v>-516.1</v>
      </c>
      <c r="AB63" s="32">
        <f>AB56</f>
        <v>-439.2</v>
      </c>
      <c r="AC63" s="32">
        <f>AC56</f>
        <v>-436.3</v>
      </c>
      <c r="AD63" s="32">
        <f>F63-AC63-AB63-AA63</f>
        <v>-496.80000000000007</v>
      </c>
      <c r="AE63" s="32">
        <f>AE56</f>
        <v>-423.8</v>
      </c>
      <c r="AF63" s="32">
        <f>AF56</f>
        <v>-366</v>
      </c>
      <c r="AG63" s="32">
        <f>AG56</f>
        <v>-374.9</v>
      </c>
      <c r="AH63" s="32">
        <f>H63-AG63-AF63-AE63</f>
        <v>-718.2</v>
      </c>
      <c r="AI63" s="32">
        <f>AI56</f>
        <v>-499.4</v>
      </c>
      <c r="AJ63" s="32">
        <f>AJ56</f>
        <v>-481.9</v>
      </c>
      <c r="AK63" s="32">
        <f>AK56</f>
        <v>-480.7</v>
      </c>
      <c r="AL63" s="32">
        <f>I63-AK63-AJ63-AI63</f>
        <v>-741.50000000000011</v>
      </c>
      <c r="AM63" s="32">
        <f>AM56</f>
        <v>-333.7</v>
      </c>
      <c r="AN63" s="32">
        <f>AN56</f>
        <v>-285.2</v>
      </c>
      <c r="AO63" s="32">
        <f>AO56</f>
        <v>-213.5</v>
      </c>
      <c r="AP63" s="32">
        <f>K63-AO63-AN63-AM63</f>
        <v>-705.68499999999995</v>
      </c>
      <c r="AQ63" s="32">
        <f>AQ56</f>
        <v>-242.4</v>
      </c>
      <c r="AR63" s="32">
        <f>AR56</f>
        <v>-238.3</v>
      </c>
      <c r="AS63" s="32">
        <f>AS56</f>
        <v>-189.8</v>
      </c>
      <c r="AT63" s="32">
        <f>N63-AS63-AR63-AQ63</f>
        <v>-360.72300000000007</v>
      </c>
      <c r="AU63" s="32">
        <f>AU56</f>
        <v>-185.8</v>
      </c>
      <c r="AV63" s="32">
        <f>AV56</f>
        <v>-91.4</v>
      </c>
      <c r="AW63" s="32">
        <f>AW56</f>
        <v>-61.2</v>
      </c>
      <c r="AX63" s="32">
        <f>O63-SUM(AU63:AW63)</f>
        <v>-417.64499999999992</v>
      </c>
      <c r="AY63" s="32">
        <f>AY56</f>
        <v>-118.6</v>
      </c>
      <c r="AZ63" s="32">
        <f>AZ56</f>
        <v>-22.1</v>
      </c>
      <c r="BA63" s="32">
        <f>BA56</f>
        <v>-57.4</v>
      </c>
      <c r="BB63" s="359"/>
      <c r="BC63" s="32">
        <f>BC56</f>
        <v>-118.6</v>
      </c>
      <c r="BD63" s="32"/>
      <c r="BF63" s="32">
        <f>G63-AC63-AB63-AA63</f>
        <v>-496.80000000000007</v>
      </c>
      <c r="BG63" s="32">
        <f>BG56</f>
        <v>-423.3</v>
      </c>
      <c r="BH63" s="32">
        <f>BH56</f>
        <v>-381</v>
      </c>
      <c r="BI63" s="32">
        <f>BI56</f>
        <v>-421.5</v>
      </c>
      <c r="BJ63" s="32">
        <f>J63-BG63-BH63-BI63</f>
        <v>-1125.5420000000001</v>
      </c>
    </row>
    <row r="64" spans="2:62" hidden="1" outlineLevel="1">
      <c r="B64" s="1" t="str">
        <f t="shared" ref="B64:H64" si="72">B59</f>
        <v>Intersegment Operations</v>
      </c>
      <c r="C64" s="32">
        <f t="shared" si="72"/>
        <v>0</v>
      </c>
      <c r="D64" s="32">
        <f t="shared" si="72"/>
        <v>0</v>
      </c>
      <c r="E64" s="32">
        <f t="shared" si="72"/>
        <v>0</v>
      </c>
      <c r="F64" s="32">
        <f t="shared" si="72"/>
        <v>-72.2</v>
      </c>
      <c r="G64" s="32">
        <f>G59</f>
        <v>-72.2</v>
      </c>
      <c r="H64" s="32">
        <f t="shared" si="72"/>
        <v>-71.5</v>
      </c>
      <c r="I64" s="32">
        <f t="shared" ref="I64:O64" si="73">I59</f>
        <v>-64.400000000000006</v>
      </c>
      <c r="J64" s="32">
        <f t="shared" si="73"/>
        <v>-1.6080000000000001</v>
      </c>
      <c r="K64" s="32">
        <f t="shared" si="73"/>
        <v>-120.42400000000001</v>
      </c>
      <c r="L64" s="32">
        <f t="shared" si="73"/>
        <v>-98.908000000000001</v>
      </c>
      <c r="M64" s="32">
        <f t="shared" si="73"/>
        <v>-160</v>
      </c>
      <c r="N64" s="32">
        <f t="shared" si="73"/>
        <v>-120.366</v>
      </c>
      <c r="O64" s="32">
        <f t="shared" si="73"/>
        <v>-154.99</v>
      </c>
      <c r="P64" s="359"/>
      <c r="Q64" s="359"/>
      <c r="R64" s="207"/>
      <c r="S64" s="32">
        <f t="shared" ref="S64:AA64" si="74">S59</f>
        <v>0</v>
      </c>
      <c r="T64" s="32">
        <f t="shared" si="74"/>
        <v>0</v>
      </c>
      <c r="U64" s="32">
        <f t="shared" si="74"/>
        <v>0</v>
      </c>
      <c r="V64" s="32">
        <f t="shared" si="74"/>
        <v>0</v>
      </c>
      <c r="W64" s="32">
        <f t="shared" si="74"/>
        <v>0</v>
      </c>
      <c r="X64" s="32">
        <f t="shared" si="74"/>
        <v>0</v>
      </c>
      <c r="Y64" s="32">
        <f t="shared" si="74"/>
        <v>0</v>
      </c>
      <c r="Z64" s="32">
        <f t="shared" si="74"/>
        <v>0</v>
      </c>
      <c r="AA64" s="32">
        <f t="shared" si="74"/>
        <v>-15</v>
      </c>
      <c r="AB64" s="32">
        <f>AB59</f>
        <v>-16.7</v>
      </c>
      <c r="AC64" s="32">
        <f>AC59</f>
        <v>-21.7</v>
      </c>
      <c r="AD64" s="32">
        <f>F64-AC64-AB64-AA64</f>
        <v>-18.799999999999997</v>
      </c>
      <c r="AE64" s="32">
        <f t="shared" ref="AE64:AG65" si="75">AE59</f>
        <v>-17.8</v>
      </c>
      <c r="AF64" s="32">
        <f t="shared" si="75"/>
        <v>-19.899999999999999</v>
      </c>
      <c r="AG64" s="32">
        <f t="shared" si="75"/>
        <v>-17.5</v>
      </c>
      <c r="AH64" s="32">
        <f>H64-AG64-AF64-AE64</f>
        <v>-16.3</v>
      </c>
      <c r="AI64" s="32">
        <f t="shared" ref="AI64:AK65" si="76">AI59</f>
        <v>-15</v>
      </c>
      <c r="AJ64" s="32">
        <f t="shared" si="76"/>
        <v>-14.9</v>
      </c>
      <c r="AK64" s="32">
        <f t="shared" si="76"/>
        <v>-15.6</v>
      </c>
      <c r="AL64" s="32">
        <f>I64-AK64-AJ64-AI64</f>
        <v>-18.900000000000006</v>
      </c>
      <c r="AM64" s="32">
        <f t="shared" ref="AM64:AO65" si="77">AM59</f>
        <v>-0.3</v>
      </c>
      <c r="AN64" s="32">
        <f t="shared" si="77"/>
        <v>-0.4</v>
      </c>
      <c r="AO64" s="32">
        <f t="shared" si="77"/>
        <v>-0.3</v>
      </c>
      <c r="AP64" s="32">
        <f>K64-AO64-AN64-AM64</f>
        <v>-119.42400000000001</v>
      </c>
      <c r="AQ64" s="32">
        <f t="shared" ref="AQ64:AS65" si="78">AQ59</f>
        <v>-29.8</v>
      </c>
      <c r="AR64" s="32">
        <f t="shared" si="78"/>
        <v>-47.6</v>
      </c>
      <c r="AS64" s="32">
        <f t="shared" si="78"/>
        <v>-40.9</v>
      </c>
      <c r="AT64" s="32">
        <f>N64-AS64-AR64-AQ64</f>
        <v>-2.0660000000000061</v>
      </c>
      <c r="AU64" s="32">
        <f t="shared" ref="AU64:AW65" si="79">AU59</f>
        <v>-29.9</v>
      </c>
      <c r="AV64" s="32">
        <f t="shared" si="79"/>
        <v>-30.6</v>
      </c>
      <c r="AW64" s="32">
        <f t="shared" si="79"/>
        <v>-64.400000000000006</v>
      </c>
      <c r="AX64" s="32">
        <f>O64-SUM(AU64:AW64)</f>
        <v>-30.090000000000003</v>
      </c>
      <c r="AY64" s="32">
        <f t="shared" ref="AY64:BA65" si="80">AY59</f>
        <v>-43</v>
      </c>
      <c r="AZ64" s="32">
        <f t="shared" si="80"/>
        <v>-41.9</v>
      </c>
      <c r="BA64" s="32">
        <f t="shared" si="80"/>
        <v>-42.7</v>
      </c>
      <c r="BB64" s="359"/>
      <c r="BC64" s="32">
        <f>BC59</f>
        <v>-43</v>
      </c>
      <c r="BD64" s="32"/>
      <c r="BF64" s="32">
        <f>G64-AC64-AB64-AA64</f>
        <v>-18.799999999999997</v>
      </c>
      <c r="BG64" s="32">
        <f t="shared" ref="BG64:BI65" si="81">BG59</f>
        <v>-0.5</v>
      </c>
      <c r="BH64" s="32">
        <f t="shared" si="81"/>
        <v>-0.4</v>
      </c>
      <c r="BI64" s="32">
        <f t="shared" si="81"/>
        <v>-0.4</v>
      </c>
      <c r="BJ64" s="32">
        <f>J64-BG64-BH64-BI64</f>
        <v>-0.30800000000000005</v>
      </c>
    </row>
    <row r="65" spans="2:62" hidden="1" outlineLevel="1">
      <c r="B65" s="1" t="str">
        <f>B60</f>
        <v>Held-to-sale Operations</v>
      </c>
      <c r="C65" s="32"/>
      <c r="D65" s="32"/>
      <c r="E65" s="32"/>
      <c r="F65" s="32">
        <f>F60</f>
        <v>258.89999999999998</v>
      </c>
      <c r="G65" s="32">
        <f>G60</f>
        <v>258.89999999999998</v>
      </c>
      <c r="H65" s="32">
        <f>H60</f>
        <v>-4</v>
      </c>
      <c r="I65" s="32">
        <f>I60</f>
        <v>0</v>
      </c>
      <c r="J65" s="32">
        <v>1365.1</v>
      </c>
      <c r="K65" s="32">
        <v>121.9</v>
      </c>
      <c r="L65" s="32">
        <v>524</v>
      </c>
      <c r="M65" s="32">
        <v>915.3</v>
      </c>
      <c r="N65" s="32">
        <v>361.8</v>
      </c>
      <c r="O65" s="32">
        <v>31.5</v>
      </c>
      <c r="P65" s="359"/>
      <c r="Q65" s="359"/>
      <c r="R65" s="207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>
        <f>F65-AC65-AB65-AA65</f>
        <v>258.89999999999998</v>
      </c>
      <c r="AE65" s="32">
        <f t="shared" si="75"/>
        <v>25.6</v>
      </c>
      <c r="AF65" s="32">
        <f t="shared" si="75"/>
        <v>-29.6</v>
      </c>
      <c r="AG65" s="32">
        <f t="shared" si="75"/>
        <v>0</v>
      </c>
      <c r="AH65" s="32">
        <f>H65-AG65-AF65-AE65</f>
        <v>0</v>
      </c>
      <c r="AI65" s="32">
        <f t="shared" si="76"/>
        <v>0</v>
      </c>
      <c r="AJ65" s="32">
        <f t="shared" si="76"/>
        <v>0</v>
      </c>
      <c r="AK65" s="32">
        <f t="shared" si="76"/>
        <v>0</v>
      </c>
      <c r="AL65" s="32">
        <f>I65-AK65-AJ65-AI65</f>
        <v>0</v>
      </c>
      <c r="AM65" s="32">
        <f t="shared" si="77"/>
        <v>0</v>
      </c>
      <c r="AN65" s="32">
        <f t="shared" si="77"/>
        <v>0</v>
      </c>
      <c r="AO65" s="32">
        <f t="shared" si="77"/>
        <v>0</v>
      </c>
      <c r="AP65" s="32">
        <f>K65-AO65-AN65-AM65</f>
        <v>121.9</v>
      </c>
      <c r="AQ65" s="32">
        <f t="shared" si="78"/>
        <v>0</v>
      </c>
      <c r="AR65" s="32">
        <f t="shared" si="78"/>
        <v>0</v>
      </c>
      <c r="AS65" s="32">
        <f t="shared" si="78"/>
        <v>0</v>
      </c>
      <c r="AT65" s="32">
        <f>N65-AS65-AR65-AQ65</f>
        <v>361.8</v>
      </c>
      <c r="AU65" s="32">
        <f t="shared" si="79"/>
        <v>0</v>
      </c>
      <c r="AV65" s="32">
        <f t="shared" si="79"/>
        <v>0</v>
      </c>
      <c r="AW65" s="32">
        <f t="shared" si="79"/>
        <v>0</v>
      </c>
      <c r="AX65" s="32">
        <f>O65-SUM(AU65:AW65)</f>
        <v>31.5</v>
      </c>
      <c r="AY65" s="32">
        <f t="shared" si="80"/>
        <v>0</v>
      </c>
      <c r="AZ65" s="32">
        <f t="shared" si="80"/>
        <v>0</v>
      </c>
      <c r="BA65" s="32">
        <f t="shared" si="80"/>
        <v>0</v>
      </c>
      <c r="BB65" s="359"/>
      <c r="BC65" s="32">
        <f>BC60</f>
        <v>0</v>
      </c>
      <c r="BD65" s="32"/>
      <c r="BF65" s="32">
        <f>G65-AC65-AB65-AA65</f>
        <v>258.89999999999998</v>
      </c>
      <c r="BG65" s="32">
        <f t="shared" si="81"/>
        <v>0</v>
      </c>
      <c r="BH65" s="32">
        <f t="shared" si="81"/>
        <v>0</v>
      </c>
      <c r="BI65" s="32">
        <f t="shared" si="81"/>
        <v>0</v>
      </c>
      <c r="BJ65" s="32">
        <f>J65-BG65-BH65-BI65</f>
        <v>1365.1</v>
      </c>
    </row>
    <row r="66" spans="2:62" s="5" customFormat="1" hidden="1" outlineLevel="1">
      <c r="B66" s="5" t="s">
        <v>355</v>
      </c>
      <c r="C66" s="137">
        <f t="shared" ref="C66:H66" si="82">+C55+C63+C64+C65</f>
        <v>36715.299999999996</v>
      </c>
      <c r="D66" s="137">
        <f t="shared" si="82"/>
        <v>35201.5</v>
      </c>
      <c r="E66" s="137">
        <f t="shared" si="82"/>
        <v>38524.500000000007</v>
      </c>
      <c r="F66" s="137">
        <f t="shared" si="82"/>
        <v>39313.4</v>
      </c>
      <c r="G66" s="137">
        <f t="shared" si="82"/>
        <v>39330.400000000001</v>
      </c>
      <c r="H66" s="137">
        <f t="shared" si="82"/>
        <v>38552.499999999993</v>
      </c>
      <c r="I66" s="137">
        <f t="shared" ref="I66:O66" si="83">+I55+I63+I64+I65</f>
        <v>41207.599999999999</v>
      </c>
      <c r="J66" s="137">
        <f t="shared" si="83"/>
        <v>28391.094999999998</v>
      </c>
      <c r="K66" s="137">
        <f t="shared" si="83"/>
        <v>26473.487000000005</v>
      </c>
      <c r="L66" s="137">
        <f t="shared" si="83"/>
        <v>26000.175999999999</v>
      </c>
      <c r="M66" s="137">
        <f t="shared" si="83"/>
        <v>26000.2</v>
      </c>
      <c r="N66" s="137">
        <f t="shared" si="83"/>
        <v>24240.707999999995</v>
      </c>
      <c r="O66" s="137">
        <f t="shared" si="83"/>
        <v>22278.392</v>
      </c>
      <c r="P66" s="370"/>
      <c r="Q66" s="370"/>
      <c r="R66" s="207"/>
      <c r="S66" s="137">
        <f t="shared" ref="S66:AD66" si="84">+S55+S63+S64+S65</f>
        <v>7984.7000000000016</v>
      </c>
      <c r="T66" s="137">
        <f t="shared" si="84"/>
        <v>8869.4</v>
      </c>
      <c r="U66" s="137">
        <f t="shared" si="84"/>
        <v>8787.9</v>
      </c>
      <c r="V66" s="137">
        <f t="shared" si="84"/>
        <v>9559.4999999999982</v>
      </c>
      <c r="W66" s="137">
        <f t="shared" si="84"/>
        <v>8579.0999999999985</v>
      </c>
      <c r="X66" s="137">
        <f t="shared" si="84"/>
        <v>10232.500000000002</v>
      </c>
      <c r="Y66" s="137">
        <f t="shared" si="84"/>
        <v>9812.1</v>
      </c>
      <c r="Z66" s="137">
        <f t="shared" si="84"/>
        <v>9900.8000000000029</v>
      </c>
      <c r="AA66" s="137">
        <f t="shared" si="84"/>
        <v>8875.3000000000011</v>
      </c>
      <c r="AB66" s="137">
        <f t="shared" si="84"/>
        <v>9472.1999999999971</v>
      </c>
      <c r="AC66" s="137">
        <f t="shared" si="84"/>
        <v>10306.400000000001</v>
      </c>
      <c r="AD66" s="137">
        <f t="shared" si="84"/>
        <v>10659.499999999998</v>
      </c>
      <c r="AE66" s="137">
        <f t="shared" ref="AE66:AJ66" si="85">+AE55+AE63+AE64+AE65</f>
        <v>8293.2000000000025</v>
      </c>
      <c r="AF66" s="137">
        <f t="shared" si="85"/>
        <v>8220.8000000000011</v>
      </c>
      <c r="AG66" s="137">
        <f t="shared" si="85"/>
        <v>10138.999999999998</v>
      </c>
      <c r="AH66" s="137">
        <f t="shared" si="85"/>
        <v>11899.499999999995</v>
      </c>
      <c r="AI66" s="137">
        <f t="shared" si="85"/>
        <v>8863.2000000000007</v>
      </c>
      <c r="AJ66" s="137">
        <f t="shared" si="85"/>
        <v>9608.7000000000007</v>
      </c>
      <c r="AK66" s="137">
        <f t="shared" ref="AK66:AP66" si="86">+AK55+AK63+AK64+AK65</f>
        <v>10472.699999999999</v>
      </c>
      <c r="AL66" s="137">
        <f t="shared" si="86"/>
        <v>12263</v>
      </c>
      <c r="AM66" s="137">
        <f t="shared" si="86"/>
        <v>6883.1</v>
      </c>
      <c r="AN66" s="137">
        <f t="shared" si="86"/>
        <v>6760.1000000000013</v>
      </c>
      <c r="AO66" s="137">
        <f t="shared" si="86"/>
        <v>6823.2999999999993</v>
      </c>
      <c r="AP66" s="137">
        <f t="shared" si="86"/>
        <v>6006.9870000000001</v>
      </c>
      <c r="AQ66" s="137">
        <f t="shared" ref="AQ66:AV66" si="87">+AQ55+AQ63+AQ64+AQ65</f>
        <v>6697.5999999999995</v>
      </c>
      <c r="AR66" s="137">
        <f t="shared" si="87"/>
        <v>6528.0999999999985</v>
      </c>
      <c r="AS66" s="137">
        <f t="shared" si="87"/>
        <v>6184.3</v>
      </c>
      <c r="AT66" s="137">
        <f t="shared" si="87"/>
        <v>4830.7080000000005</v>
      </c>
      <c r="AU66" s="137">
        <f t="shared" si="87"/>
        <v>5667.7</v>
      </c>
      <c r="AV66" s="137">
        <f t="shared" si="87"/>
        <v>5828.1</v>
      </c>
      <c r="AW66" s="137">
        <f>+AW55+AW63+AW64+AW65</f>
        <v>5591.5000000000009</v>
      </c>
      <c r="AX66" s="137">
        <f>+AX55+AX63+AX64+AX65</f>
        <v>5191.0920000000015</v>
      </c>
      <c r="AY66" s="137">
        <f>+AY55+AY63+AY64+AY65</f>
        <v>5540.5</v>
      </c>
      <c r="AZ66" s="137">
        <f>+AZ55+AZ63+AZ64+AZ65</f>
        <v>5630.3</v>
      </c>
      <c r="BA66" s="137">
        <f>+BA55+BA63+BA64+BA65</f>
        <v>5577.0000000000009</v>
      </c>
      <c r="BB66" s="370"/>
      <c r="BC66" s="137">
        <f>+BC55+BC63+BC64+BC65</f>
        <v>5540.5</v>
      </c>
      <c r="BD66" s="137"/>
      <c r="BF66" s="137">
        <f>+BF55+BF63+BF64+BF65</f>
        <v>10676.499999999998</v>
      </c>
      <c r="BG66" s="137">
        <f>+BG55+BG63+BG64+BG65</f>
        <v>6555.9</v>
      </c>
      <c r="BH66" s="137">
        <f>+BH55+BH63+BH64+BH65</f>
        <v>7030.0000000000009</v>
      </c>
      <c r="BI66" s="137">
        <f>+BI55+BI63+BI64+BI65</f>
        <v>7117.1</v>
      </c>
      <c r="BJ66" s="137">
        <f>+BJ55+BJ63+BJ64+BJ65</f>
        <v>7688.0949999999993</v>
      </c>
    </row>
    <row r="67" spans="2:62" s="158" customFormat="1" hidden="1" outlineLevel="1">
      <c r="B67" s="158" t="s">
        <v>23</v>
      </c>
      <c r="C67" s="159">
        <f>+C66-Model!C51</f>
        <v>39852.683999999994</v>
      </c>
      <c r="D67" s="159">
        <f>+D66-Model!D52</f>
        <v>-2.0000000149593689E-3</v>
      </c>
      <c r="E67" s="159">
        <f>+E66-Model!E52</f>
        <v>-0.24500000000261934</v>
      </c>
      <c r="F67" s="159">
        <f>+F66-Model!F52</f>
        <v>0.22700000000622822</v>
      </c>
      <c r="G67" s="159">
        <f>+G66-Model!G52</f>
        <v>-1.2999999991734512E-2</v>
      </c>
      <c r="H67" s="159">
        <f>+H66-Model!H52</f>
        <v>-2.700000001641456E-2</v>
      </c>
      <c r="I67" s="159">
        <f>+I66-Model!I52</f>
        <v>-3.19999999992433E-2</v>
      </c>
      <c r="J67" s="159">
        <f>+J66-Model!J52</f>
        <v>2.6000000001658918E-2</v>
      </c>
      <c r="K67" s="159">
        <f>+K66-Model!K52</f>
        <v>2.6000000005296897E-2</v>
      </c>
      <c r="L67" s="159">
        <f>+L66-Model!L52</f>
        <v>-4.5999999994819518E-2</v>
      </c>
      <c r="M67" s="159">
        <f>+M66-Model!L52</f>
        <v>-2.1999999993568053E-2</v>
      </c>
      <c r="N67" s="159">
        <f>+N66-Model!N52</f>
        <v>-3.9999999993597157E-2</v>
      </c>
      <c r="O67" s="159">
        <f>+O66-Model!O52</f>
        <v>-7.9999999943538569E-3</v>
      </c>
      <c r="P67" s="372"/>
      <c r="Q67" s="372"/>
      <c r="R67" s="207"/>
      <c r="S67" s="159">
        <f>+S66-Model!S52</f>
        <v>1.5000000006693881E-2</v>
      </c>
      <c r="T67" s="159">
        <f>+T66-Model!T52</f>
        <v>3.9999999989959178E-3</v>
      </c>
      <c r="U67" s="159">
        <f>+U66-Model!U52</f>
        <v>3.8000000002284651E-2</v>
      </c>
      <c r="V67" s="159">
        <f>+V66-Model!V52</f>
        <v>-5.9000000001105946E-2</v>
      </c>
      <c r="W67" s="159">
        <f>+W66-Model!W52</f>
        <v>2.7999999998428393E-2</v>
      </c>
      <c r="X67" s="159">
        <f>+X66-Model!X52</f>
        <v>2.6000000003477908E-2</v>
      </c>
      <c r="Y67" s="159">
        <f>+Y66-Model!Y52</f>
        <v>2.8000000003885361E-2</v>
      </c>
      <c r="Z67" s="159">
        <f>+Z66-Model!Z52</f>
        <v>-0.32700000000477303</v>
      </c>
      <c r="AA67" s="159">
        <f>+AA66-Model!AA52</f>
        <v>8.8000000003376044E-2</v>
      </c>
      <c r="AB67" s="159">
        <f>+AB66-Model!AB52</f>
        <v>-2.2000000006300979E-2</v>
      </c>
      <c r="AC67" s="159">
        <f>+AC66-Model!AC52</f>
        <v>3.3999999999650754E-2</v>
      </c>
      <c r="AD67" s="159">
        <f>+AD66-Model!AD52</f>
        <v>0.12700000000768341</v>
      </c>
      <c r="AE67" s="159">
        <f>+AE66-Model!AE52</f>
        <v>0</v>
      </c>
      <c r="AF67" s="159">
        <f>+AF66-Model!AF52</f>
        <v>0</v>
      </c>
      <c r="AG67" s="159">
        <f>+AG66-Model!AG52</f>
        <v>0</v>
      </c>
      <c r="AH67" s="159">
        <f>+AH66-Model!AH52</f>
        <v>-2.7000000014595571E-2</v>
      </c>
      <c r="AI67" s="159">
        <f>+AI66-Model!AI52</f>
        <v>0</v>
      </c>
      <c r="AJ67" s="159">
        <f>+AJ66-Model!AJ52</f>
        <v>0</v>
      </c>
      <c r="AK67" s="159">
        <f>+AK66-Model!AK52</f>
        <v>7.9999999998108251E-3</v>
      </c>
      <c r="AL67" s="159">
        <f>+AL66-Model!AL52</f>
        <v>-4.0000000011787051E-2</v>
      </c>
      <c r="AM67" s="159">
        <f>+AM66-Model!AM52</f>
        <v>0</v>
      </c>
      <c r="AN67" s="159">
        <f>+AN66-Model!AN52</f>
        <v>0</v>
      </c>
      <c r="AO67" s="159">
        <f>+AO66-Model!AO52</f>
        <v>0</v>
      </c>
      <c r="AP67" s="159">
        <f>+AP66-Model!AP52</f>
        <v>2.599999999802094E-2</v>
      </c>
      <c r="AQ67" s="159">
        <f>+AQ66-Model!AQ52</f>
        <v>1.3999999997395207E-2</v>
      </c>
      <c r="AR67" s="159">
        <f>+AR66-Model!AR52</f>
        <v>0</v>
      </c>
      <c r="AS67" s="159">
        <f>+AS66-Model!AS52</f>
        <v>381.80000000000018</v>
      </c>
      <c r="AT67" s="159">
        <f>+AT66-Model!AT52</f>
        <v>-1226.0059999999939</v>
      </c>
      <c r="AU67" s="159">
        <f>+AU66-Model!AU52</f>
        <v>0</v>
      </c>
      <c r="AV67" s="159">
        <f>+AV66-Model!AV52</f>
        <v>0</v>
      </c>
      <c r="AW67" s="159">
        <f>+AW66-Model!AW52</f>
        <v>0</v>
      </c>
      <c r="AX67" s="159">
        <f>+AX66-Model!AX52</f>
        <v>-7.999999997082341E-3</v>
      </c>
      <c r="AY67" s="159">
        <f>+AY66-Model!AY52</f>
        <v>0</v>
      </c>
      <c r="AZ67" s="159">
        <f>+AZ66-Model!AZ52</f>
        <v>0</v>
      </c>
      <c r="BA67" s="159">
        <f>+BA66-Model!BA52</f>
        <v>-1.8999999998413841E-2</v>
      </c>
      <c r="BB67" s="372"/>
      <c r="BC67" s="159">
        <f>+BC66-Model!BC52</f>
        <v>-342.69999999999982</v>
      </c>
      <c r="BD67" s="159"/>
      <c r="BF67" s="159">
        <f>+BF66-Model!BF52</f>
        <v>-0.11299999999027932</v>
      </c>
      <c r="BG67" s="159">
        <f>+BG66-Model!BG52</f>
        <v>0</v>
      </c>
      <c r="BH67" s="159">
        <f>+BH66-Model!BH52</f>
        <v>0</v>
      </c>
      <c r="BI67" s="159">
        <f>+BI66-Model!BI52</f>
        <v>0</v>
      </c>
      <c r="BJ67" s="159">
        <f>J67-BG67-BH67-BI67</f>
        <v>2.6000000001658918E-2</v>
      </c>
    </row>
    <row r="68" spans="2:62" s="5" customFormat="1" hidden="1" outlineLevel="1"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20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H68" s="7"/>
      <c r="AI68" s="7"/>
      <c r="AJ68" s="7"/>
      <c r="AL68" s="7"/>
      <c r="AM68" s="7"/>
      <c r="AN68" s="7"/>
      <c r="AP68" s="7"/>
      <c r="AQ68" s="7"/>
      <c r="AR68" s="7"/>
      <c r="AT68" s="7"/>
      <c r="AU68" s="7"/>
      <c r="AV68" s="7"/>
      <c r="AX68" s="7"/>
      <c r="AY68" s="7"/>
      <c r="AZ68" s="7"/>
      <c r="BB68" s="7"/>
      <c r="BC68" s="7"/>
      <c r="BD68" s="7"/>
      <c r="BF68" s="7"/>
      <c r="BG68" s="7"/>
      <c r="BH68" s="7"/>
      <c r="BI68" s="7"/>
    </row>
    <row r="69" spans="2:62" s="5" customFormat="1" hidden="1" outlineLevel="1">
      <c r="B69" s="5" t="s">
        <v>429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20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H69" s="7"/>
      <c r="AI69" s="7"/>
      <c r="AJ69" s="7"/>
      <c r="AL69" s="7"/>
      <c r="AM69" s="7"/>
      <c r="AN69" s="7"/>
      <c r="AP69" s="7"/>
      <c r="AQ69" s="7"/>
      <c r="AR69" s="7"/>
      <c r="AT69" s="7"/>
      <c r="AU69" s="7"/>
      <c r="AV69" s="7"/>
      <c r="AX69" s="7"/>
      <c r="AY69" s="7"/>
      <c r="AZ69" s="7"/>
      <c r="BB69" s="7"/>
      <c r="BC69" s="7"/>
      <c r="BD69" s="7"/>
      <c r="BF69" s="7"/>
      <c r="BG69" s="7"/>
      <c r="BH69" s="7"/>
      <c r="BI69" s="7"/>
    </row>
    <row r="70" spans="2:62" s="5" customFormat="1" hidden="1" outlineLevel="1">
      <c r="B70" s="1" t="s">
        <v>409</v>
      </c>
      <c r="C70" s="365"/>
      <c r="D70" s="138">
        <f t="shared" ref="D70:F74" si="88">D49/C49-1</f>
        <v>-0.13037021969080553</v>
      </c>
      <c r="E70" s="138">
        <f t="shared" si="88"/>
        <v>4.8287369496230248E-2</v>
      </c>
      <c r="F70" s="138">
        <f t="shared" si="88"/>
        <v>-6.0433185070585926E-2</v>
      </c>
      <c r="G70" s="138">
        <f>G49/E49-1</f>
        <v>-5.91687368906475E-2</v>
      </c>
      <c r="H70" s="138">
        <f t="shared" ref="H70:I74" si="89">H49/G49-1</f>
        <v>-2.2792135408843395E-2</v>
      </c>
      <c r="I70" s="244">
        <f t="shared" si="89"/>
        <v>0.1147336741958449</v>
      </c>
      <c r="J70" s="363"/>
      <c r="K70" s="363"/>
      <c r="L70" s="363"/>
      <c r="M70" s="363"/>
      <c r="N70" s="363"/>
      <c r="O70" s="363"/>
      <c r="P70" s="363"/>
      <c r="Q70" s="363"/>
      <c r="R70" s="207"/>
      <c r="S70" s="365"/>
      <c r="T70" s="365"/>
      <c r="U70" s="365"/>
      <c r="V70" s="365"/>
      <c r="W70" s="138">
        <f t="shared" ref="W70:AK74" si="90">W49/S49-1</f>
        <v>7.6949515008019498E-2</v>
      </c>
      <c r="X70" s="138">
        <f t="shared" si="90"/>
        <v>9.1676870427930046E-2</v>
      </c>
      <c r="Y70" s="138">
        <f t="shared" si="90"/>
        <v>2.772315528190461E-3</v>
      </c>
      <c r="Z70" s="138">
        <f t="shared" si="90"/>
        <v>2.9901773185355918E-2</v>
      </c>
      <c r="AA70" s="138">
        <f t="shared" si="90"/>
        <v>-0.19602141768022396</v>
      </c>
      <c r="AB70" s="138">
        <f t="shared" si="90"/>
        <v>-0.15783267665583378</v>
      </c>
      <c r="AC70" s="138">
        <f t="shared" si="90"/>
        <v>5.1435368245100754E-4</v>
      </c>
      <c r="AD70" s="138">
        <f t="shared" si="90"/>
        <v>7.1221542348947731E-2</v>
      </c>
      <c r="AE70" s="138">
        <f t="shared" si="90"/>
        <v>-0.28818418383098843</v>
      </c>
      <c r="AF70" s="138">
        <f t="shared" si="90"/>
        <v>-0.28941706792336852</v>
      </c>
      <c r="AG70" s="138">
        <f t="shared" si="90"/>
        <v>5.8606175497220692E-2</v>
      </c>
      <c r="AH70" s="138">
        <f>AH49/BF49-1</f>
        <v>0.23730765686906818</v>
      </c>
      <c r="AI70" s="138">
        <f t="shared" si="90"/>
        <v>0.47251998265072181</v>
      </c>
      <c r="AJ70" s="138">
        <f t="shared" si="90"/>
        <v>0.23471741637831589</v>
      </c>
      <c r="AK70" s="244">
        <f t="shared" si="90"/>
        <v>2.8803836464625032E-2</v>
      </c>
      <c r="AL70" s="138">
        <f>AL49/AH49-1</f>
        <v>1.3460177979670584E-2</v>
      </c>
      <c r="AM70" s="363"/>
      <c r="AN70" s="363"/>
      <c r="AO70" s="363"/>
      <c r="AP70" s="363"/>
      <c r="AQ70" s="363"/>
      <c r="AR70" s="363"/>
      <c r="AS70" s="363"/>
      <c r="AT70" s="363"/>
      <c r="AU70" s="363"/>
      <c r="AV70" s="363"/>
      <c r="AW70" s="363"/>
      <c r="AX70" s="363"/>
      <c r="AY70" s="363"/>
      <c r="AZ70" s="363"/>
      <c r="BA70" s="363"/>
      <c r="BB70" s="363"/>
      <c r="BC70" s="363"/>
      <c r="BD70" s="138"/>
      <c r="BF70" s="138">
        <f>BF49/Z49-1</f>
        <v>7.5432903113929139E-2</v>
      </c>
      <c r="BG70" s="363"/>
      <c r="BH70" s="363"/>
      <c r="BI70" s="363"/>
      <c r="BJ70" s="363"/>
    </row>
    <row r="71" spans="2:62" s="5" customFormat="1" hidden="1" outlineLevel="1">
      <c r="B71" s="1" t="s">
        <v>410</v>
      </c>
      <c r="C71" s="365"/>
      <c r="D71" s="138">
        <f t="shared" si="88"/>
        <v>2.102338738192655E-2</v>
      </c>
      <c r="E71" s="138">
        <f t="shared" si="88"/>
        <v>-3.3572121188134574E-2</v>
      </c>
      <c r="F71" s="138">
        <f t="shared" si="88"/>
        <v>-6.6149294073080456E-2</v>
      </c>
      <c r="G71" s="138">
        <f>G50/E50-1</f>
        <v>-6.6149294073080456E-2</v>
      </c>
      <c r="H71" s="138">
        <f t="shared" si="89"/>
        <v>1.5458492303641602E-3</v>
      </c>
      <c r="I71" s="244">
        <f t="shared" si="89"/>
        <v>-6.9083664466410344E-2</v>
      </c>
      <c r="J71" s="138">
        <f>J50/H50-1</f>
        <v>-6.9083664466410344E-2</v>
      </c>
      <c r="K71" s="138">
        <f>K50/J50-1</f>
        <v>-0.24551750899555513</v>
      </c>
      <c r="L71" s="138">
        <f t="shared" ref="L71:N72" si="91">L50/J50-1</f>
        <v>-0.24551750899555513</v>
      </c>
      <c r="M71" s="138">
        <f t="shared" si="91"/>
        <v>-0.10673958546008833</v>
      </c>
      <c r="N71" s="138">
        <f t="shared" si="91"/>
        <v>-0.10674332595105884</v>
      </c>
      <c r="O71" s="138">
        <f>O50/N50-1</f>
        <v>-0.18478285144788975</v>
      </c>
      <c r="P71" s="363"/>
      <c r="Q71" s="363"/>
      <c r="R71" s="207"/>
      <c r="S71" s="365"/>
      <c r="T71" s="365"/>
      <c r="U71" s="365"/>
      <c r="V71" s="365"/>
      <c r="W71" s="138">
        <f t="shared" si="90"/>
        <v>-9.8933625268621261E-3</v>
      </c>
      <c r="X71" s="138">
        <f t="shared" si="90"/>
        <v>-4.3299823035505836E-2</v>
      </c>
      <c r="Y71" s="138">
        <f t="shared" si="90"/>
        <v>-3.4017440986317871E-2</v>
      </c>
      <c r="Z71" s="138">
        <f t="shared" si="90"/>
        <v>-4.7074010327022742E-2</v>
      </c>
      <c r="AA71" s="138">
        <f t="shared" si="90"/>
        <v>-5.5284819198165414E-2</v>
      </c>
      <c r="AB71" s="138">
        <f t="shared" si="90"/>
        <v>-9.2604982486520604E-2</v>
      </c>
      <c r="AC71" s="138">
        <f t="shared" si="90"/>
        <v>-6.6150433869022085E-2</v>
      </c>
      <c r="AD71" s="138">
        <f t="shared" si="90"/>
        <v>-4.7773864354736406E-2</v>
      </c>
      <c r="AE71" s="138">
        <f t="shared" si="90"/>
        <v>-3.1600849625037952E-2</v>
      </c>
      <c r="AF71" s="138">
        <f t="shared" si="90"/>
        <v>6.8528799444831368E-3</v>
      </c>
      <c r="AG71" s="138">
        <f t="shared" si="90"/>
        <v>1.5333972248843697E-2</v>
      </c>
      <c r="AH71" s="138">
        <f>AH50/BF50-1</f>
        <v>1.6312594840666828E-2</v>
      </c>
      <c r="AI71" s="138">
        <f t="shared" si="90"/>
        <v>-3.5631154879140481E-2</v>
      </c>
      <c r="AJ71" s="138">
        <f t="shared" si="90"/>
        <v>-3.3901955716378218E-2</v>
      </c>
      <c r="AK71" s="244">
        <f t="shared" si="90"/>
        <v>-7.1818442976156249E-2</v>
      </c>
      <c r="AL71" s="138">
        <f>AL50/AH50-1</f>
        <v>-0.13895110115714726</v>
      </c>
      <c r="AM71" s="138">
        <f t="shared" ref="AM71:AN74" si="92">AM50/BG50-1</f>
        <v>-0.13600074266617157</v>
      </c>
      <c r="AN71" s="138">
        <f t="shared" si="92"/>
        <v>-0.24095955767601551</v>
      </c>
      <c r="AO71" s="244">
        <f t="shared" ref="AO71:AP74" si="93">AO50/AK50-1</f>
        <v>-0.24791086350974922</v>
      </c>
      <c r="AP71" s="138">
        <f t="shared" si="93"/>
        <v>-0.37597810772732221</v>
      </c>
      <c r="AQ71" s="138">
        <f t="shared" ref="AQ71:AR74" si="94">AQ50/AM50-1</f>
        <v>-0.13565058558074572</v>
      </c>
      <c r="AR71" s="138">
        <f t="shared" si="94"/>
        <v>-0.14915114844621979</v>
      </c>
      <c r="AS71" s="244">
        <f t="shared" ref="AS71:AU74" si="95">AS50/AO50-1</f>
        <v>-9.8647854203409713E-2</v>
      </c>
      <c r="AT71" s="138">
        <f t="shared" si="95"/>
        <v>-9.2864524084510514E-3</v>
      </c>
      <c r="AU71" s="138">
        <f t="shared" si="95"/>
        <v>-0.2444527316800299</v>
      </c>
      <c r="AV71" s="363"/>
      <c r="AW71" s="363"/>
      <c r="AX71" s="363"/>
      <c r="AY71" s="363"/>
      <c r="AZ71" s="363"/>
      <c r="BA71" s="363"/>
      <c r="BB71" s="363"/>
      <c r="BC71" s="363"/>
      <c r="BD71" s="138"/>
      <c r="BF71" s="138">
        <f>BF50/Z50-1</f>
        <v>-4.7773864354736406E-2</v>
      </c>
      <c r="BG71" s="138">
        <f t="shared" ref="BG71:BJ74" si="96">BG50/AE50-1</f>
        <v>-3.5631154879140481E-2</v>
      </c>
      <c r="BH71" s="138">
        <f t="shared" si="96"/>
        <v>-3.3901955716378218E-2</v>
      </c>
      <c r="BI71" s="138">
        <f t="shared" si="96"/>
        <v>-7.1818442976156249E-2</v>
      </c>
      <c r="BJ71" s="138">
        <f t="shared" si="96"/>
        <v>-0.13895110115714704</v>
      </c>
    </row>
    <row r="72" spans="2:62" s="5" customFormat="1" hidden="1" outlineLevel="1">
      <c r="B72" s="1" t="s">
        <v>411</v>
      </c>
      <c r="C72" s="365"/>
      <c r="D72" s="138">
        <f t="shared" si="88"/>
        <v>6.0342548031519838E-2</v>
      </c>
      <c r="E72" s="138">
        <f t="shared" si="88"/>
        <v>9.0325476672271865E-2</v>
      </c>
      <c r="F72" s="138">
        <f t="shared" si="88"/>
        <v>0.16305178892337846</v>
      </c>
      <c r="G72" s="138">
        <f>G51/E51-1</f>
        <v>0.16305178892337846</v>
      </c>
      <c r="H72" s="138">
        <f t="shared" si="89"/>
        <v>6.1845417359644106E-2</v>
      </c>
      <c r="I72" s="244">
        <f t="shared" si="89"/>
        <v>7.3376970415328424E-2</v>
      </c>
      <c r="J72" s="138">
        <f>J51/H51-1</f>
        <v>7.3376970415328424E-2</v>
      </c>
      <c r="K72" s="138">
        <f>K51/J51-1</f>
        <v>-1.884224796647771E-2</v>
      </c>
      <c r="L72" s="138">
        <f t="shared" si="91"/>
        <v>1.0859403500123266E-2</v>
      </c>
      <c r="M72" s="138">
        <f t="shared" si="91"/>
        <v>-5.4353448524917525E-2</v>
      </c>
      <c r="N72" s="138">
        <f t="shared" si="91"/>
        <v>-5.8822011868843727E-2</v>
      </c>
      <c r="O72" s="138">
        <f>O51/N51-1</f>
        <v>-4.2152697006252127E-2</v>
      </c>
      <c r="P72" s="363"/>
      <c r="Q72" s="363"/>
      <c r="R72" s="207"/>
      <c r="S72" s="365"/>
      <c r="T72" s="365"/>
      <c r="U72" s="365"/>
      <c r="V72" s="365"/>
      <c r="W72" s="138">
        <f t="shared" si="90"/>
        <v>7.8768433756218226E-2</v>
      </c>
      <c r="X72" s="138">
        <f t="shared" si="90"/>
        <v>8.1951021119600176E-2</v>
      </c>
      <c r="Y72" s="138">
        <f t="shared" si="90"/>
        <v>0.10898254576415489</v>
      </c>
      <c r="Z72" s="138">
        <f t="shared" si="90"/>
        <v>9.0966037530299637E-2</v>
      </c>
      <c r="AA72" s="138">
        <f t="shared" si="90"/>
        <v>0.17250129607901998</v>
      </c>
      <c r="AB72" s="138">
        <f t="shared" si="90"/>
        <v>0.20118676833852422</v>
      </c>
      <c r="AC72" s="138">
        <f t="shared" si="90"/>
        <v>0.14694817658349324</v>
      </c>
      <c r="AD72" s="138">
        <f t="shared" si="90"/>
        <v>0.13465811219012824</v>
      </c>
      <c r="AE72" s="138">
        <f t="shared" si="90"/>
        <v>4.4960554792767171E-2</v>
      </c>
      <c r="AF72" s="138">
        <f t="shared" si="90"/>
        <v>4.0861032255180341E-2</v>
      </c>
      <c r="AG72" s="138">
        <f t="shared" si="90"/>
        <v>7.0285829038088332E-2</v>
      </c>
      <c r="AH72" s="138">
        <f>AH51/BF51-1</f>
        <v>9.0141031000418481E-2</v>
      </c>
      <c r="AI72" s="138">
        <f t="shared" si="90"/>
        <v>7.6676391332427762E-2</v>
      </c>
      <c r="AJ72" s="138">
        <f t="shared" si="90"/>
        <v>7.8084398153119405E-2</v>
      </c>
      <c r="AK72" s="244">
        <f t="shared" si="90"/>
        <v>5.5830049825922101E-2</v>
      </c>
      <c r="AL72" s="138">
        <f>AL51/AH51-1</f>
        <v>8.2949866795834604E-2</v>
      </c>
      <c r="AM72" s="138">
        <f t="shared" si="92"/>
        <v>2.9930087287469487E-2</v>
      </c>
      <c r="AN72" s="138">
        <f t="shared" si="92"/>
        <v>-1.3605306667197947E-2</v>
      </c>
      <c r="AO72" s="244">
        <f t="shared" si="93"/>
        <v>-3.0032579721591568E-2</v>
      </c>
      <c r="AP72" s="138">
        <f t="shared" si="93"/>
        <v>-5.7123821238212469E-2</v>
      </c>
      <c r="AQ72" s="138">
        <f t="shared" si="94"/>
        <v>-4.478541160404137E-3</v>
      </c>
      <c r="AR72" s="138">
        <f t="shared" si="94"/>
        <v>-2.2294923058281957E-2</v>
      </c>
      <c r="AS72" s="244">
        <f t="shared" si="95"/>
        <v>-0.12042993241592692</v>
      </c>
      <c r="AT72" s="138">
        <f t="shared" si="95"/>
        <v>2.3844476047504948E-2</v>
      </c>
      <c r="AU72" s="138">
        <f t="shared" si="95"/>
        <v>-5.8341738955013045E-2</v>
      </c>
      <c r="AV72" s="363"/>
      <c r="AW72" s="363"/>
      <c r="AX72" s="363"/>
      <c r="AY72" s="363"/>
      <c r="AZ72" s="363"/>
      <c r="BA72" s="363"/>
      <c r="BB72" s="363"/>
      <c r="BC72" s="363"/>
      <c r="BD72" s="138"/>
      <c r="BF72" s="138">
        <f>BF51/Z51-1</f>
        <v>0.13465811219012824</v>
      </c>
      <c r="BG72" s="138">
        <f t="shared" si="96"/>
        <v>7.6676391332427762E-2</v>
      </c>
      <c r="BH72" s="138">
        <f t="shared" si="96"/>
        <v>7.8084398153119405E-2</v>
      </c>
      <c r="BI72" s="138">
        <f t="shared" si="96"/>
        <v>5.5830049825922101E-2</v>
      </c>
      <c r="BJ72" s="138">
        <f t="shared" si="96"/>
        <v>8.2949866795834604E-2</v>
      </c>
    </row>
    <row r="73" spans="2:62" s="5" customFormat="1" hidden="1" outlineLevel="1">
      <c r="B73" s="1" t="s">
        <v>412</v>
      </c>
      <c r="C73" s="365"/>
      <c r="D73" s="138">
        <f t="shared" si="88"/>
        <v>-0.4947145877378436</v>
      </c>
      <c r="E73" s="138">
        <f t="shared" si="88"/>
        <v>0.43457588436667938</v>
      </c>
      <c r="F73" s="138">
        <f t="shared" si="88"/>
        <v>0.94113747845684759</v>
      </c>
      <c r="G73" s="138">
        <f>G52/E52-1</f>
        <v>0.94113747845684759</v>
      </c>
      <c r="H73" s="138">
        <f t="shared" si="89"/>
        <v>-0.92043436688976921</v>
      </c>
      <c r="I73" s="244">
        <f t="shared" si="89"/>
        <v>6.7879828326180256</v>
      </c>
      <c r="J73" s="138">
        <f>J52/H52-1</f>
        <v>4.0621888412017171</v>
      </c>
      <c r="K73" s="138">
        <f>K52/J52-1</f>
        <v>1.8674104909749127</v>
      </c>
      <c r="L73" s="138">
        <f>L52/J52-1</f>
        <v>-1</v>
      </c>
      <c r="M73" s="138">
        <f>M52/K52-1</f>
        <v>0.15455509357845276</v>
      </c>
      <c r="N73" s="363"/>
      <c r="O73" s="363"/>
      <c r="P73" s="363"/>
      <c r="Q73" s="363"/>
      <c r="R73" s="207"/>
      <c r="S73" s="365"/>
      <c r="T73" s="365"/>
      <c r="U73" s="365"/>
      <c r="V73" s="365"/>
      <c r="W73" s="138">
        <f t="shared" si="90"/>
        <v>1.4507211538461537</v>
      </c>
      <c r="X73" s="138">
        <f t="shared" si="90"/>
        <v>0.37999999999999989</v>
      </c>
      <c r="Y73" s="138">
        <f t="shared" si="90"/>
        <v>1.4318618042226485</v>
      </c>
      <c r="Z73" s="138">
        <f t="shared" si="90"/>
        <v>-7.9840319361277556E-2</v>
      </c>
      <c r="AA73" s="138">
        <f t="shared" si="90"/>
        <v>1.6243256498283474</v>
      </c>
      <c r="AB73" s="138">
        <f t="shared" si="90"/>
        <v>0.14130434782608692</v>
      </c>
      <c r="AC73" s="138">
        <f t="shared" si="90"/>
        <v>5.0812943962115229</v>
      </c>
      <c r="AD73" s="138">
        <f t="shared" si="90"/>
        <v>-1.2685466377440346</v>
      </c>
      <c r="AE73" s="138">
        <f t="shared" si="90"/>
        <v>-0.3066716501588489</v>
      </c>
      <c r="AF73" s="138">
        <f t="shared" si="90"/>
        <v>-2.9156462585034015</v>
      </c>
      <c r="AG73" s="138">
        <f t="shared" si="90"/>
        <v>-0.9957170668397145</v>
      </c>
      <c r="AH73" s="138">
        <f>AH52/BF52-1</f>
        <v>-3.6591276252019398</v>
      </c>
      <c r="AI73" s="138">
        <f t="shared" si="90"/>
        <v>-0.96738544474393529</v>
      </c>
      <c r="AJ73" s="138">
        <f t="shared" si="90"/>
        <v>-1.6474905303030303</v>
      </c>
      <c r="AK73" s="244">
        <f t="shared" si="90"/>
        <v>75.727272727272734</v>
      </c>
      <c r="AL73" s="138">
        <f>AL52/AH52-1</f>
        <v>1.2387606318347499</v>
      </c>
      <c r="AM73" s="138">
        <f t="shared" si="92"/>
        <v>-41.473118279569889</v>
      </c>
      <c r="AN73" s="138">
        <f t="shared" si="92"/>
        <v>1.6352624495289372</v>
      </c>
      <c r="AO73" s="244">
        <f t="shared" si="93"/>
        <v>0.67338072669826232</v>
      </c>
      <c r="AP73" s="138">
        <f t="shared" si="93"/>
        <v>0.35506377204884676</v>
      </c>
      <c r="AQ73" s="138">
        <f t="shared" si="94"/>
        <v>7.3060573857598232E-2</v>
      </c>
      <c r="AR73" s="138">
        <f t="shared" si="94"/>
        <v>0.33861082737487225</v>
      </c>
      <c r="AS73" s="244">
        <f t="shared" si="95"/>
        <v>0.3240500354024074</v>
      </c>
      <c r="AT73" s="138">
        <f t="shared" si="95"/>
        <v>-3.9821304479303725</v>
      </c>
      <c r="AU73" s="138">
        <f t="shared" si="95"/>
        <v>-1</v>
      </c>
      <c r="AV73" s="363"/>
      <c r="AW73" s="363"/>
      <c r="AX73" s="363"/>
      <c r="AY73" s="363"/>
      <c r="AZ73" s="363"/>
      <c r="BA73" s="363"/>
      <c r="BB73" s="363"/>
      <c r="BC73" s="363"/>
      <c r="BD73" s="138"/>
      <c r="BF73" s="138">
        <f>BF52/Z52-1</f>
        <v>-1.2685466377440346</v>
      </c>
      <c r="BG73" s="138">
        <f t="shared" si="96"/>
        <v>-1.0250673854447439</v>
      </c>
      <c r="BH73" s="138">
        <f t="shared" si="96"/>
        <v>-1.3517992424242424</v>
      </c>
      <c r="BI73" s="138">
        <f t="shared" si="96"/>
        <v>63.484848484848499</v>
      </c>
      <c r="BJ73" s="138">
        <f t="shared" si="96"/>
        <v>0.44377278250303709</v>
      </c>
    </row>
    <row r="74" spans="2:62" s="5" customFormat="1" hidden="1" outlineLevel="1">
      <c r="B74" s="5" t="s">
        <v>422</v>
      </c>
      <c r="C74" s="365"/>
      <c r="D74" s="139">
        <f t="shared" si="88"/>
        <v>-3.6756998396842988E-2</v>
      </c>
      <c r="E74" s="139">
        <f t="shared" si="88"/>
        <v>4.7374808294992521E-2</v>
      </c>
      <c r="F74" s="139">
        <f t="shared" si="88"/>
        <v>4.4473079068061638E-2</v>
      </c>
      <c r="G74" s="139">
        <f>G53/E53-1</f>
        <v>4.4905993832237812E-2</v>
      </c>
      <c r="H74" s="139">
        <f t="shared" si="89"/>
        <v>-1.2702250189485897E-2</v>
      </c>
      <c r="I74" s="243">
        <f t="shared" si="89"/>
        <v>7.3180304560007459E-2</v>
      </c>
      <c r="J74" s="139">
        <f>J53/H53-1</f>
        <v>-0.27478913082651824</v>
      </c>
      <c r="K74" s="139">
        <f>K53/J53-1</f>
        <v>-4.6592857571978841E-2</v>
      </c>
      <c r="L74" s="139">
        <f>L53/J53-1</f>
        <v>-8.364466457185582E-2</v>
      </c>
      <c r="M74" s="139">
        <f>M53/K53-1</f>
        <v>-5.374119388951748E-2</v>
      </c>
      <c r="N74" s="139">
        <f>N53/L53-1</f>
        <v>-7.0243198822891095E-2</v>
      </c>
      <c r="O74" s="139">
        <f>O53/N53-1</f>
        <v>-7.4811538899926755E-2</v>
      </c>
      <c r="P74" s="362"/>
      <c r="Q74" s="362"/>
      <c r="R74" s="207"/>
      <c r="S74" s="365"/>
      <c r="T74" s="365"/>
      <c r="U74" s="365"/>
      <c r="V74" s="365"/>
      <c r="W74" s="139">
        <f t="shared" si="90"/>
        <v>6.600976019800564E-2</v>
      </c>
      <c r="X74" s="139">
        <f t="shared" si="90"/>
        <v>5.436524359831485E-2</v>
      </c>
      <c r="Y74" s="139">
        <f t="shared" si="90"/>
        <v>4.0340112014221274E-2</v>
      </c>
      <c r="Z74" s="139">
        <f t="shared" si="90"/>
        <v>3.1655468880647852E-2</v>
      </c>
      <c r="AA74" s="139">
        <f t="shared" si="90"/>
        <v>3.0183554562579706E-2</v>
      </c>
      <c r="AB74" s="139">
        <f t="shared" si="90"/>
        <v>-7.5486130681612362E-4</v>
      </c>
      <c r="AC74" s="139">
        <f t="shared" si="90"/>
        <v>0.108041338987936</v>
      </c>
      <c r="AD74" s="139">
        <f t="shared" si="90"/>
        <v>4.0877234803336826E-2</v>
      </c>
      <c r="AE74" s="139">
        <f t="shared" si="90"/>
        <v>-7.4119748256506246E-2</v>
      </c>
      <c r="AF74" s="139">
        <f t="shared" si="90"/>
        <v>-0.13011553066548465</v>
      </c>
      <c r="AG74" s="139">
        <f t="shared" si="90"/>
        <v>-2.1645423804392605E-2</v>
      </c>
      <c r="AH74" s="139">
        <f>AH53/BF53-1</f>
        <v>0.15556287271795988</v>
      </c>
      <c r="AI74" s="139">
        <f t="shared" si="90"/>
        <v>7.6746429063518917E-2</v>
      </c>
      <c r="AJ74" s="139">
        <f t="shared" si="90"/>
        <v>0.17011914824635532</v>
      </c>
      <c r="AK74" s="243">
        <f t="shared" si="90"/>
        <v>4.1551930417608407E-2</v>
      </c>
      <c r="AL74" s="139">
        <f>AL53/AH53-1</f>
        <v>3.082159252809924E-2</v>
      </c>
      <c r="AM74" s="139">
        <f t="shared" si="92"/>
        <v>3.4012923191541367E-2</v>
      </c>
      <c r="AN74" s="139">
        <f t="shared" si="92"/>
        <v>-4.9342904174649815E-2</v>
      </c>
      <c r="AO74" s="243">
        <f t="shared" si="93"/>
        <v>-0.35845564773452465</v>
      </c>
      <c r="AP74" s="139">
        <f t="shared" si="93"/>
        <v>-0.48475851160219297</v>
      </c>
      <c r="AQ74" s="139">
        <f t="shared" si="94"/>
        <v>-3.4265840850203122E-2</v>
      </c>
      <c r="AR74" s="139">
        <f t="shared" si="94"/>
        <v>-3.2885305931277475E-2</v>
      </c>
      <c r="AS74" s="243">
        <f t="shared" si="95"/>
        <v>-8.8402893237271019E-2</v>
      </c>
      <c r="AT74" s="139">
        <f t="shared" si="95"/>
        <v>-0.27994696429135602</v>
      </c>
      <c r="AU74" s="139">
        <f t="shared" si="95"/>
        <v>-0.15587247840684093</v>
      </c>
      <c r="AV74" s="139">
        <f t="shared" ref="AV74:BA74" si="97">AV53/AR53-1</f>
        <v>-0.12678309363076001</v>
      </c>
      <c r="AW74" s="243">
        <f t="shared" si="97"/>
        <v>-0.10879189399844114</v>
      </c>
      <c r="AX74" s="139">
        <f t="shared" si="97"/>
        <v>0.16052951995955067</v>
      </c>
      <c r="AY74" s="139">
        <f t="shared" si="97"/>
        <v>-3.0815514838358649E-2</v>
      </c>
      <c r="AZ74" s="139">
        <f t="shared" si="97"/>
        <v>-4.2990874102956322E-2</v>
      </c>
      <c r="BA74" s="243">
        <f t="shared" si="97"/>
        <v>-6.9965541970579137E-3</v>
      </c>
      <c r="BB74" s="362"/>
      <c r="BC74" s="139">
        <f>BC53/AY53-1</f>
        <v>0</v>
      </c>
      <c r="BD74" s="139"/>
      <c r="BF74" s="139">
        <f>BF53/Z53-1</f>
        <v>4.2498212157329629E-2</v>
      </c>
      <c r="BG74" s="139">
        <f t="shared" si="96"/>
        <v>-0.19858310751848629</v>
      </c>
      <c r="BH74" s="139">
        <f t="shared" si="96"/>
        <v>-0.14183157139052605</v>
      </c>
      <c r="BI74" s="139">
        <f t="shared" si="96"/>
        <v>-0.28414076001291366</v>
      </c>
      <c r="BJ74" s="139">
        <f t="shared" si="96"/>
        <v>-0.41041277505144824</v>
      </c>
    </row>
    <row r="75" spans="2:62" s="5" customFormat="1" hidden="1" outlineLevel="1">
      <c r="B75" s="1" t="s">
        <v>425</v>
      </c>
      <c r="C75" s="365"/>
      <c r="D75" s="138">
        <f t="shared" ref="D75:F77" si="98">D56/C56-1</f>
        <v>3.7637574165496623E-2</v>
      </c>
      <c r="E75" s="138">
        <f t="shared" si="98"/>
        <v>-5.9493670886076044E-2</v>
      </c>
      <c r="F75" s="138">
        <f t="shared" si="98"/>
        <v>-0.12359029099178531</v>
      </c>
      <c r="G75" s="138">
        <f>G56/E56-1</f>
        <v>-0.12359029099178531</v>
      </c>
      <c r="H75" s="138">
        <f t="shared" ref="H75:I77" si="99">H56/G56-1</f>
        <v>-2.9125185342088189E-3</v>
      </c>
      <c r="I75" s="244">
        <f t="shared" si="99"/>
        <v>0.17026926549471555</v>
      </c>
      <c r="J75" s="138">
        <f>J56/H56-1</f>
        <v>0.24878750863030441</v>
      </c>
      <c r="K75" s="138">
        <f>K56/J56-1</f>
        <v>-0.34586929506639186</v>
      </c>
      <c r="L75" s="138">
        <f t="shared" ref="L75:N77" si="100">L56/J56-1</f>
        <v>-0.42736148123071849</v>
      </c>
      <c r="M75" s="138">
        <f t="shared" si="100"/>
        <v>-0.18086451659043545</v>
      </c>
      <c r="N75" s="138">
        <f t="shared" si="100"/>
        <v>-0.23412793016400679</v>
      </c>
      <c r="O75" s="138">
        <f>O56/N56-1</f>
        <v>-0.26684625924751482</v>
      </c>
      <c r="P75" s="363"/>
      <c r="Q75" s="363"/>
      <c r="R75" s="207"/>
      <c r="S75" s="365"/>
      <c r="T75" s="365"/>
      <c r="U75" s="365"/>
      <c r="V75" s="365"/>
      <c r="W75" s="138">
        <f t="shared" ref="W75:AK77" si="101">W56/S56-1</f>
        <v>-4.9939727914585785E-2</v>
      </c>
      <c r="X75" s="138">
        <f t="shared" si="101"/>
        <v>-6.0660769091893885E-2</v>
      </c>
      <c r="Y75" s="138">
        <f t="shared" si="101"/>
        <v>-9.8509632860777963E-2</v>
      </c>
      <c r="Z75" s="138">
        <f t="shared" si="101"/>
        <v>-3.2167601451666528E-2</v>
      </c>
      <c r="AA75" s="138">
        <f t="shared" si="101"/>
        <v>-6.452782309226035E-2</v>
      </c>
      <c r="AB75" s="138">
        <f t="shared" si="101"/>
        <v>-0.15587161253123194</v>
      </c>
      <c r="AC75" s="138">
        <f t="shared" si="101"/>
        <v>-0.12036290322580645</v>
      </c>
      <c r="AD75" s="138">
        <f t="shared" si="101"/>
        <v>-0.15322993011760655</v>
      </c>
      <c r="AE75" s="138">
        <f t="shared" si="101"/>
        <v>-0.17884130982367763</v>
      </c>
      <c r="AF75" s="138">
        <f t="shared" si="101"/>
        <v>-0.16666666666666663</v>
      </c>
      <c r="AG75" s="138">
        <f t="shared" si="101"/>
        <v>-0.14072885629154264</v>
      </c>
      <c r="AH75" s="138">
        <f>AH56/BF56-1</f>
        <v>0.44565217391304346</v>
      </c>
      <c r="AI75" s="138">
        <f t="shared" si="101"/>
        <v>0.17838603114676732</v>
      </c>
      <c r="AJ75" s="138">
        <f t="shared" si="101"/>
        <v>0.31666666666666665</v>
      </c>
      <c r="AK75" s="244">
        <f t="shared" si="101"/>
        <v>0.28220858895705536</v>
      </c>
      <c r="AL75" s="138">
        <f>AL56/AH56-1</f>
        <v>3.2442216652743161E-2</v>
      </c>
      <c r="AM75" s="138">
        <f t="shared" ref="AM75:AN77" si="102">AM56/BG56-1</f>
        <v>-0.21167021025277588</v>
      </c>
      <c r="AN75" s="138">
        <f t="shared" si="102"/>
        <v>-0.25144356955380576</v>
      </c>
      <c r="AO75" s="244">
        <f t="shared" ref="AO75:AP77" si="103">AO56/AK56-1</f>
        <v>-0.55585604327023086</v>
      </c>
      <c r="AP75" s="138">
        <f t="shared" si="103"/>
        <v>-4.830074173971699E-2</v>
      </c>
      <c r="AQ75" s="138">
        <f t="shared" ref="AQ75:BC77" si="104">AQ56/AM56-1</f>
        <v>-0.27359904105483968</v>
      </c>
      <c r="AR75" s="138">
        <f t="shared" si="104"/>
        <v>-0.16444600280504906</v>
      </c>
      <c r="AS75" s="244">
        <f t="shared" si="104"/>
        <v>-0.11100702576112409</v>
      </c>
      <c r="AT75" s="138">
        <f t="shared" si="104"/>
        <v>-0.48883283618044859</v>
      </c>
      <c r="AU75" s="138">
        <f t="shared" si="104"/>
        <v>-0.23349834983498352</v>
      </c>
      <c r="AV75" s="138">
        <f t="shared" si="104"/>
        <v>-0.6164498531263114</v>
      </c>
      <c r="AW75" s="244">
        <f t="shared" si="104"/>
        <v>-0.67755532139093777</v>
      </c>
      <c r="AX75" s="138">
        <f t="shared" si="104"/>
        <v>0.15779975216440278</v>
      </c>
      <c r="AY75" s="138">
        <f t="shared" si="104"/>
        <v>-0.36167922497308946</v>
      </c>
      <c r="AZ75" s="138">
        <f t="shared" si="104"/>
        <v>-0.75820568927789933</v>
      </c>
      <c r="BA75" s="244">
        <f t="shared" si="104"/>
        <v>-6.2091503267973969E-2</v>
      </c>
      <c r="BB75" s="363"/>
      <c r="BC75" s="138">
        <f t="shared" si="104"/>
        <v>0</v>
      </c>
      <c r="BD75" s="138"/>
      <c r="BF75" s="138">
        <f>BF56/Z56-1</f>
        <v>-0.15322993011760655</v>
      </c>
      <c r="BG75" s="138">
        <f t="shared" ref="BG75:BJ77" si="105">BG56/AE56-1</f>
        <v>-1.1798017932986848E-3</v>
      </c>
      <c r="BH75" s="138">
        <f t="shared" si="105"/>
        <v>4.0983606557376984E-2</v>
      </c>
      <c r="BI75" s="138">
        <f t="shared" si="105"/>
        <v>0.12429981328354245</v>
      </c>
      <c r="BJ75" s="138">
        <f t="shared" si="105"/>
        <v>0.56717070453912566</v>
      </c>
    </row>
    <row r="76" spans="2:62" s="5" customFormat="1" hidden="1" outlineLevel="1">
      <c r="B76" s="1" t="s">
        <v>426</v>
      </c>
      <c r="C76" s="365"/>
      <c r="D76" s="138">
        <f t="shared" si="98"/>
        <v>8.9806711504258008E-2</v>
      </c>
      <c r="E76" s="138">
        <f t="shared" si="98"/>
        <v>7.1846611941831062E-2</v>
      </c>
      <c r="F76" s="138">
        <f t="shared" si="98"/>
        <v>5.9220941605912847E-2</v>
      </c>
      <c r="G76" s="138">
        <f>G57/E57-1</f>
        <v>5.9220941605912847E-2</v>
      </c>
      <c r="H76" s="138">
        <f t="shared" si="99"/>
        <v>1.1994973534899644E-2</v>
      </c>
      <c r="I76" s="244">
        <f t="shared" si="99"/>
        <v>7.4079996989764307E-3</v>
      </c>
      <c r="J76" s="138">
        <f>J57/H57-1</f>
        <v>-5.6794570288982493E-2</v>
      </c>
      <c r="K76" s="138">
        <f>K57/J57-1</f>
        <v>5.3065076265245592E-2</v>
      </c>
      <c r="L76" s="138">
        <f t="shared" si="100"/>
        <v>3.3009925248220995E-2</v>
      </c>
      <c r="M76" s="138">
        <f t="shared" si="100"/>
        <v>2.0692288721469554E-2</v>
      </c>
      <c r="N76" s="138">
        <f t="shared" si="100"/>
        <v>1.892575811261854E-2</v>
      </c>
      <c r="O76" s="138">
        <f>O57/N57-1</f>
        <v>-2.8258406375951783E-2</v>
      </c>
      <c r="P76" s="363"/>
      <c r="Q76" s="363"/>
      <c r="R76" s="207"/>
      <c r="S76" s="365"/>
      <c r="T76" s="365"/>
      <c r="U76" s="365"/>
      <c r="V76" s="365"/>
      <c r="W76" s="138">
        <f t="shared" si="101"/>
        <v>5.6560588054051619E-2</v>
      </c>
      <c r="X76" s="138">
        <f t="shared" si="101"/>
        <v>5.8860787140173843E-2</v>
      </c>
      <c r="Y76" s="138">
        <f t="shared" si="101"/>
        <v>9.298793716914E-2</v>
      </c>
      <c r="Z76" s="138">
        <f t="shared" si="101"/>
        <v>7.8439588527372539E-2</v>
      </c>
      <c r="AA76" s="138">
        <f t="shared" si="101"/>
        <v>8.6485585735710746E-2</v>
      </c>
      <c r="AB76" s="138">
        <f t="shared" si="101"/>
        <v>4.7668158660093551E-2</v>
      </c>
      <c r="AC76" s="138">
        <f t="shared" si="101"/>
        <v>5.6274564293937734E-2</v>
      </c>
      <c r="AD76" s="138">
        <f t="shared" si="101"/>
        <v>4.7557066537153636E-2</v>
      </c>
      <c r="AE76" s="138">
        <f t="shared" si="101"/>
        <v>-1.2365797546012303E-2</v>
      </c>
      <c r="AF76" s="138">
        <f t="shared" si="101"/>
        <v>3.0496928650181276E-2</v>
      </c>
      <c r="AG76" s="138">
        <f t="shared" si="101"/>
        <v>-1.6048709901715807E-2</v>
      </c>
      <c r="AH76" s="138">
        <f>AH57/BF57-1</f>
        <v>4.5806056784674531E-2</v>
      </c>
      <c r="AI76" s="138">
        <f t="shared" si="101"/>
        <v>3.5523633893042028E-3</v>
      </c>
      <c r="AJ76" s="138">
        <f t="shared" si="101"/>
        <v>-1.9105481362603483E-3</v>
      </c>
      <c r="AK76" s="244">
        <f t="shared" si="101"/>
        <v>2.1371683951183273E-2</v>
      </c>
      <c r="AL76" s="138">
        <f>AL57/AH57-1</f>
        <v>6.6142961005799528E-3</v>
      </c>
      <c r="AM76" s="138">
        <f t="shared" si="102"/>
        <v>8.9991842342535655E-2</v>
      </c>
      <c r="AN76" s="138">
        <f t="shared" si="102"/>
        <v>1.4627920675436945E-2</v>
      </c>
      <c r="AO76" s="244">
        <f t="shared" si="103"/>
        <v>-3.3284715209992877E-2</v>
      </c>
      <c r="AP76" s="138">
        <f t="shared" si="103"/>
        <v>4.6034598174968799E-3</v>
      </c>
      <c r="AQ76" s="138">
        <f t="shared" si="104"/>
        <v>4.6145665104187161E-2</v>
      </c>
      <c r="AR76" s="138">
        <f t="shared" si="104"/>
        <v>3.6226415094339659E-2</v>
      </c>
      <c r="AS76" s="244">
        <f t="shared" si="104"/>
        <v>7.2401253433401758E-2</v>
      </c>
      <c r="AT76" s="138">
        <f t="shared" si="104"/>
        <v>-0.14132173842291706</v>
      </c>
      <c r="AU76" s="138">
        <f t="shared" si="104"/>
        <v>-5.2092550407590754E-2</v>
      </c>
      <c r="AV76" s="138">
        <f t="shared" si="104"/>
        <v>-2.7209740975218E-2</v>
      </c>
      <c r="AW76" s="244">
        <f t="shared" si="104"/>
        <v>-0.11482476867300384</v>
      </c>
      <c r="AX76" s="138">
        <f t="shared" si="104"/>
        <v>9.4457577705657547E-2</v>
      </c>
      <c r="AY76" s="138">
        <f t="shared" si="104"/>
        <v>-0.11582919563058591</v>
      </c>
      <c r="AZ76" s="138">
        <f t="shared" si="104"/>
        <v>-0.15478978690727585</v>
      </c>
      <c r="BA76" s="244">
        <f t="shared" si="104"/>
        <v>-6.174223127865508E-2</v>
      </c>
      <c r="BB76" s="363"/>
      <c r="BC76" s="138">
        <f t="shared" si="104"/>
        <v>0</v>
      </c>
      <c r="BD76" s="138"/>
      <c r="BF76" s="138">
        <f>BF57/Z57-1</f>
        <v>4.7557066537153636E-2</v>
      </c>
      <c r="BG76" s="138">
        <f t="shared" si="105"/>
        <v>-9.5758516936814586E-2</v>
      </c>
      <c r="BH76" s="138">
        <f t="shared" si="105"/>
        <v>-2.6957834202632758E-2</v>
      </c>
      <c r="BI76" s="138">
        <f t="shared" si="105"/>
        <v>-3.7510265665883558E-2</v>
      </c>
      <c r="BJ76" s="138">
        <f t="shared" si="105"/>
        <v>-6.6798716152714044E-2</v>
      </c>
    </row>
    <row r="77" spans="2:62" s="5" customFormat="1" hidden="1" outlineLevel="1">
      <c r="B77" s="1" t="s">
        <v>427</v>
      </c>
      <c r="C77" s="365"/>
      <c r="D77" s="138">
        <f t="shared" si="98"/>
        <v>-0.21795116975839868</v>
      </c>
      <c r="E77" s="138">
        <f t="shared" si="98"/>
        <v>-1.6367378545810238</v>
      </c>
      <c r="F77" s="138">
        <f t="shared" si="98"/>
        <v>-1.7012737630416694</v>
      </c>
      <c r="G77" s="138">
        <f>G58/E58-1</f>
        <v>-1.8427318696793189</v>
      </c>
      <c r="H77" s="138">
        <f t="shared" si="99"/>
        <v>-1.1955795230138235</v>
      </c>
      <c r="I77" s="244">
        <f t="shared" si="99"/>
        <v>8.2970873786407768</v>
      </c>
      <c r="J77" s="138">
        <f>J58/H58-1</f>
        <v>13.431988349514564</v>
      </c>
      <c r="K77" s="138">
        <f>K58/J58-1</f>
        <v>-1.227825620378894</v>
      </c>
      <c r="L77" s="138">
        <f t="shared" si="100"/>
        <v>-1.2753239365519475</v>
      </c>
      <c r="M77" s="138">
        <f t="shared" si="100"/>
        <v>2.3794844174834129E-2</v>
      </c>
      <c r="N77" s="138">
        <f t="shared" si="100"/>
        <v>-0.10689143240266263</v>
      </c>
      <c r="O77" s="138">
        <f>O58/N58-1</f>
        <v>3.9845644730088932</v>
      </c>
      <c r="P77" s="363"/>
      <c r="Q77" s="363"/>
      <c r="R77" s="207"/>
      <c r="S77" s="365"/>
      <c r="T77" s="365"/>
      <c r="U77" s="365"/>
      <c r="V77" s="365"/>
      <c r="W77" s="138">
        <f t="shared" si="101"/>
        <v>-0.62478694911127342</v>
      </c>
      <c r="X77" s="138">
        <f t="shared" si="101"/>
        <v>-9.3970435684647295</v>
      </c>
      <c r="Y77" s="138">
        <f t="shared" si="101"/>
        <v>-0.13586413586413582</v>
      </c>
      <c r="Z77" s="138">
        <f t="shared" si="101"/>
        <v>-5.8609958506223858E-2</v>
      </c>
      <c r="AA77" s="138">
        <f t="shared" si="101"/>
        <v>0.22582738481505515</v>
      </c>
      <c r="AB77" s="138">
        <f t="shared" si="101"/>
        <v>-1.0874023286698169</v>
      </c>
      <c r="AC77" s="138">
        <f t="shared" si="101"/>
        <v>-9.9653179190751451E-2</v>
      </c>
      <c r="AD77" s="138">
        <f t="shared" si="101"/>
        <v>-0.78484848484848491</v>
      </c>
      <c r="AE77" s="138">
        <f t="shared" si="101"/>
        <v>-2.5082053996823714</v>
      </c>
      <c r="AF77" s="138">
        <f t="shared" si="101"/>
        <v>3.7102473498233257E-2</v>
      </c>
      <c r="AG77" s="138">
        <f t="shared" si="101"/>
        <v>-2.7103235747303547</v>
      </c>
      <c r="AH77" s="138">
        <f>AH58/BF58-1</f>
        <v>-0.12167801449593674</v>
      </c>
      <c r="AI77" s="138">
        <f t="shared" si="101"/>
        <v>-1.5366795366795367</v>
      </c>
      <c r="AJ77" s="138">
        <f t="shared" si="101"/>
        <v>0.35911413969335593</v>
      </c>
      <c r="AK77" s="244">
        <f t="shared" si="101"/>
        <v>-1.440990990990991</v>
      </c>
      <c r="AL77" s="138">
        <f>AL58/AH58-1</f>
        <v>-9.1007751937984498</v>
      </c>
      <c r="AM77" s="138">
        <f t="shared" si="102"/>
        <v>1.168814432989691</v>
      </c>
      <c r="AN77" s="138">
        <f t="shared" si="102"/>
        <v>-0.85303629177146967</v>
      </c>
      <c r="AO77" s="244">
        <f t="shared" si="103"/>
        <v>-8.5120871637726081E-3</v>
      </c>
      <c r="AP77" s="138">
        <f t="shared" si="103"/>
        <v>-1.1068850131193084</v>
      </c>
      <c r="AQ77" s="138">
        <f t="shared" si="104"/>
        <v>8.2590612002376496E-2</v>
      </c>
      <c r="AR77" s="138">
        <f t="shared" si="104"/>
        <v>3.4303178484107582</v>
      </c>
      <c r="AS77" s="244">
        <f t="shared" si="104"/>
        <v>1.4632554945054945</v>
      </c>
      <c r="AT77" s="138">
        <f t="shared" si="104"/>
        <v>-1.4820132041795904</v>
      </c>
      <c r="AU77" s="138">
        <f t="shared" si="104"/>
        <v>-13.586169045005489</v>
      </c>
      <c r="AV77" s="138">
        <f t="shared" si="104"/>
        <v>1.9227373068432674</v>
      </c>
      <c r="AW77" s="244">
        <f t="shared" si="104"/>
        <v>-0.55485849714206048</v>
      </c>
      <c r="AX77" s="138">
        <f t="shared" si="104"/>
        <v>-36.945092540997869</v>
      </c>
      <c r="AY77" s="138">
        <f t="shared" si="104"/>
        <v>-1.0866474795046224</v>
      </c>
      <c r="AZ77" s="138">
        <f t="shared" si="104"/>
        <v>-0.48225075528700911</v>
      </c>
      <c r="BA77" s="244">
        <f t="shared" si="104"/>
        <v>-0.86313811462574375</v>
      </c>
      <c r="BB77" s="363"/>
      <c r="BC77" s="138">
        <f t="shared" si="104"/>
        <v>0</v>
      </c>
      <c r="BD77" s="138"/>
      <c r="BF77" s="138">
        <f>BF58/Z58-1</f>
        <v>-0.58191000918273661</v>
      </c>
      <c r="BG77" s="138">
        <f t="shared" si="105"/>
        <v>-1.2723762723762724</v>
      </c>
      <c r="BH77" s="138">
        <f t="shared" si="105"/>
        <v>-5.1788756388415624E-2</v>
      </c>
      <c r="BI77" s="138">
        <f t="shared" si="105"/>
        <v>-1.3487987987987988</v>
      </c>
      <c r="BJ77" s="138">
        <f t="shared" si="105"/>
        <v>-11.763783445861465</v>
      </c>
    </row>
    <row r="78" spans="2:62" s="5" customFormat="1" hidden="1" outlineLevel="1">
      <c r="B78" s="5" t="s">
        <v>428</v>
      </c>
      <c r="C78" s="365"/>
      <c r="D78" s="139">
        <f>D61/C61-1</f>
        <v>-0.14187768479524743</v>
      </c>
      <c r="E78" s="139">
        <f>E61/D61-1</f>
        <v>0.42191361491799628</v>
      </c>
      <c r="F78" s="139">
        <f>F61/E61-1</f>
        <v>-0.15028193910905274</v>
      </c>
      <c r="G78" s="139">
        <f>G61/E61-1</f>
        <v>-0.16035471988781691</v>
      </c>
      <c r="H78" s="139">
        <f>H61/G61-1</f>
        <v>3.2002352249338006E-2</v>
      </c>
      <c r="I78" s="243">
        <f>I61/H61-1</f>
        <v>0.2640633191256585</v>
      </c>
      <c r="J78" s="139">
        <f>J61/H61-1</f>
        <v>-0.39091639504934672</v>
      </c>
      <c r="K78" s="139">
        <f>K61/J61-1</f>
        <v>-0.58952851220842484</v>
      </c>
      <c r="L78" s="139">
        <f>L61/J61-1</f>
        <v>-0.65031607466790398</v>
      </c>
      <c r="M78" s="139">
        <f>M61/K61-1</f>
        <v>-0.39288902726176</v>
      </c>
      <c r="N78" s="139">
        <f>N61/L61-1</f>
        <v>-0.50296395127867211</v>
      </c>
      <c r="O78" s="139">
        <f>O61/N61-1</f>
        <v>-2.5173154196238023</v>
      </c>
      <c r="P78" s="362"/>
      <c r="Q78" s="362"/>
      <c r="R78" s="207"/>
      <c r="S78" s="365"/>
      <c r="T78" s="365"/>
      <c r="U78" s="365"/>
      <c r="V78" s="365"/>
      <c r="W78" s="139">
        <f t="shared" ref="W78:AK78" si="106">W61/S61-1</f>
        <v>0.19602666490660603</v>
      </c>
      <c r="X78" s="139">
        <f t="shared" si="106"/>
        <v>1.2079022841339757</v>
      </c>
      <c r="Y78" s="139">
        <f t="shared" si="106"/>
        <v>0.1804143330977106</v>
      </c>
      <c r="Z78" s="139">
        <f t="shared" si="106"/>
        <v>9.5602821247524616E-3</v>
      </c>
      <c r="AA78" s="139">
        <f t="shared" si="106"/>
        <v>-4.2436951603111894E-2</v>
      </c>
      <c r="AB78" s="139">
        <f t="shared" si="106"/>
        <v>-0.52332904213492937</v>
      </c>
      <c r="AC78" s="139">
        <f t="shared" si="106"/>
        <v>5.8478050578101515E-2</v>
      </c>
      <c r="AD78" s="139">
        <f t="shared" si="106"/>
        <v>0.37349561990011604</v>
      </c>
      <c r="AE78" s="139">
        <f t="shared" si="106"/>
        <v>-1.2621023513139984E-2</v>
      </c>
      <c r="AF78" s="139">
        <f t="shared" si="106"/>
        <v>-0.34472019464720161</v>
      </c>
      <c r="AG78" s="139">
        <f t="shared" si="106"/>
        <v>0.21180668886132614</v>
      </c>
      <c r="AH78" s="139">
        <f>AH61/BF61-1</f>
        <v>0.21358901613203818</v>
      </c>
      <c r="AI78" s="139">
        <f t="shared" si="106"/>
        <v>3.323994630245708E-2</v>
      </c>
      <c r="AJ78" s="139">
        <f t="shared" si="106"/>
        <v>0.47991237189959857</v>
      </c>
      <c r="AK78" s="243">
        <f t="shared" si="106"/>
        <v>-0.13249896751719292</v>
      </c>
      <c r="AL78" s="139">
        <f>AL61/AH61-1</f>
        <v>0.67668890671126181</v>
      </c>
      <c r="AM78" s="139">
        <f>AM61/BG61-1</f>
        <v>-0.1003791000494475</v>
      </c>
      <c r="AN78" s="139">
        <f>AN61/BH61-1</f>
        <v>-6.4508349912582141E-2</v>
      </c>
      <c r="AO78" s="243">
        <f t="shared" ref="AO78:BC78" si="107">AO61/AK61-1</f>
        <v>-0.71802036761053167</v>
      </c>
      <c r="AP78" s="139">
        <f t="shared" si="107"/>
        <v>-1.0166803040942816</v>
      </c>
      <c r="AQ78" s="139">
        <f t="shared" si="107"/>
        <v>-0.26487113716868282</v>
      </c>
      <c r="AR78" s="139">
        <f t="shared" si="107"/>
        <v>-0.36057227556873173</v>
      </c>
      <c r="AS78" s="243">
        <f t="shared" si="107"/>
        <v>-1.0565954635542834</v>
      </c>
      <c r="AT78" s="139">
        <f t="shared" si="107"/>
        <v>0.59247463376835663</v>
      </c>
      <c r="AU78" s="139">
        <f t="shared" si="107"/>
        <v>1.4307551715543747</v>
      </c>
      <c r="AV78" s="139">
        <f t="shared" si="107"/>
        <v>-0.90979641201370653</v>
      </c>
      <c r="AW78" s="243">
        <f t="shared" si="107"/>
        <v>-5.730220492866394</v>
      </c>
      <c r="AX78" s="139">
        <f t="shared" si="107"/>
        <v>22.750353441504693</v>
      </c>
      <c r="AY78" s="139">
        <f t="shared" si="107"/>
        <v>-0.695820089545097</v>
      </c>
      <c r="AZ78" s="139">
        <f t="shared" si="107"/>
        <v>9.6525139664804076</v>
      </c>
      <c r="BA78" s="243">
        <f t="shared" si="107"/>
        <v>1.5467507540444192</v>
      </c>
      <c r="BB78" s="362"/>
      <c r="BC78" s="139">
        <f t="shared" si="107"/>
        <v>0</v>
      </c>
      <c r="BD78" s="139"/>
      <c r="BF78" s="139">
        <f>BF61/Z61-1</f>
        <v>0.31782332232622745</v>
      </c>
      <c r="BG78" s="139">
        <f>BG61/AE61-1</f>
        <v>-0.46883207844510599</v>
      </c>
      <c r="BH78" s="139">
        <f>BH61/AF61-1</f>
        <v>-0.38411555027476607</v>
      </c>
      <c r="BI78" s="139">
        <f>BI61/AG61-1</f>
        <v>-0.66865382198200773</v>
      </c>
      <c r="BJ78" s="139">
        <f>BJ61/AH61-1</f>
        <v>-8.4546866201388182E-2</v>
      </c>
    </row>
    <row r="79" spans="2:62" s="5" customFormat="1" hidden="1" outlineLevel="1"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20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H79" s="7"/>
      <c r="AI79" s="7"/>
      <c r="AJ79" s="7"/>
      <c r="AL79" s="7"/>
      <c r="AM79" s="7"/>
      <c r="AN79" s="7"/>
      <c r="AP79" s="7"/>
      <c r="AQ79" s="7"/>
      <c r="AR79" s="7"/>
      <c r="AT79" s="7"/>
      <c r="AU79" s="7"/>
      <c r="AV79" s="7"/>
      <c r="AX79" s="7"/>
      <c r="AY79" s="7"/>
      <c r="AZ79" s="7"/>
      <c r="BB79" s="7"/>
      <c r="BC79" s="7"/>
      <c r="BD79" s="7"/>
      <c r="BF79" s="7"/>
      <c r="BG79" s="7"/>
      <c r="BH79" s="7"/>
      <c r="BI79" s="7"/>
    </row>
    <row r="80" spans="2:62" s="5" customFormat="1" hidden="1" outlineLevel="1"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20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H80" s="7"/>
      <c r="AI80" s="7"/>
      <c r="AJ80" s="7"/>
      <c r="AL80" s="7"/>
      <c r="AM80" s="7"/>
      <c r="AN80" s="7"/>
      <c r="AP80" s="7"/>
      <c r="AQ80" s="7"/>
      <c r="AR80" s="7"/>
      <c r="AT80" s="7"/>
      <c r="AU80" s="7"/>
      <c r="AV80" s="7"/>
      <c r="AX80" s="7"/>
      <c r="AY80" s="7"/>
      <c r="AZ80" s="7"/>
      <c r="BB80" s="7"/>
      <c r="BC80" s="7"/>
      <c r="BD80" s="7"/>
      <c r="BF80" s="7"/>
      <c r="BG80" s="7"/>
      <c r="BH80" s="7"/>
      <c r="BI80" s="7"/>
    </row>
    <row r="81" spans="2:62" s="5" customFormat="1" hidden="1" outlineLevel="1">
      <c r="B81" s="5" t="s">
        <v>430</v>
      </c>
      <c r="R81" s="207"/>
    </row>
    <row r="82" spans="2:62" hidden="1" outlineLevel="1">
      <c r="B82" s="1" t="s">
        <v>407</v>
      </c>
      <c r="C82" s="363"/>
      <c r="D82" s="138">
        <f>D47/D9</f>
        <v>0.3772457731813208</v>
      </c>
      <c r="E82" s="363"/>
      <c r="F82" s="363"/>
      <c r="G82" s="363"/>
      <c r="H82" s="363"/>
      <c r="I82" s="364"/>
      <c r="J82" s="363"/>
      <c r="K82" s="363"/>
      <c r="L82" s="363"/>
      <c r="M82" s="363"/>
      <c r="N82" s="363"/>
      <c r="O82" s="363"/>
      <c r="P82" s="363"/>
      <c r="Q82" s="363"/>
      <c r="R82" s="207"/>
      <c r="S82" s="363"/>
      <c r="T82" s="138">
        <f>T47/T9</f>
        <v>0.3943956710707166</v>
      </c>
      <c r="U82" s="138">
        <f>U47/U9</f>
        <v>0.38655933407269871</v>
      </c>
      <c r="V82" s="363"/>
      <c r="W82" s="363"/>
      <c r="X82" s="363"/>
      <c r="Y82" s="363"/>
      <c r="Z82" s="363"/>
      <c r="AA82" s="363"/>
      <c r="AB82" s="363"/>
      <c r="AC82" s="363"/>
      <c r="AD82" s="363"/>
      <c r="AE82" s="363"/>
      <c r="AF82" s="363"/>
      <c r="AG82" s="363"/>
      <c r="AH82" s="363"/>
      <c r="AI82" s="363"/>
      <c r="AJ82" s="363"/>
      <c r="AK82" s="364"/>
      <c r="AL82" s="363"/>
      <c r="AM82" s="363"/>
      <c r="AN82" s="363"/>
      <c r="AO82" s="364"/>
      <c r="AP82" s="363"/>
      <c r="AQ82" s="363"/>
      <c r="AR82" s="363"/>
      <c r="AS82" s="364"/>
      <c r="AT82" s="363"/>
      <c r="AU82" s="363"/>
      <c r="AV82" s="363"/>
      <c r="AW82" s="364"/>
      <c r="AX82" s="363"/>
      <c r="AY82" s="363"/>
      <c r="AZ82" s="363"/>
      <c r="BA82" s="364"/>
      <c r="BB82" s="363"/>
      <c r="BC82" s="363"/>
      <c r="BD82" s="138"/>
      <c r="BF82" s="363"/>
      <c r="BG82" s="363"/>
      <c r="BH82" s="363"/>
      <c r="BI82" s="363"/>
      <c r="BJ82" s="363"/>
    </row>
    <row r="83" spans="2:62" hidden="1" outlineLevel="1">
      <c r="B83" s="1" t="s">
        <v>408</v>
      </c>
      <c r="C83" s="363"/>
      <c r="D83" s="363"/>
      <c r="E83" s="363"/>
      <c r="F83" s="363"/>
      <c r="G83" s="363"/>
      <c r="H83" s="363"/>
      <c r="I83" s="364"/>
      <c r="J83" s="363"/>
      <c r="K83" s="363"/>
      <c r="L83" s="363"/>
      <c r="M83" s="363"/>
      <c r="N83" s="363"/>
      <c r="O83" s="363"/>
      <c r="P83" s="363"/>
      <c r="Q83" s="363"/>
      <c r="R83" s="207"/>
      <c r="S83" s="363"/>
      <c r="T83" s="363"/>
      <c r="U83" s="363"/>
      <c r="V83" s="363"/>
      <c r="W83" s="363"/>
      <c r="X83" s="363"/>
      <c r="Y83" s="363"/>
      <c r="Z83" s="363"/>
      <c r="AA83" s="363"/>
      <c r="AB83" s="363"/>
      <c r="AC83" s="363"/>
      <c r="AD83" s="363"/>
      <c r="AE83" s="363"/>
      <c r="AF83" s="363"/>
      <c r="AG83" s="363"/>
      <c r="AH83" s="363"/>
      <c r="AI83" s="363"/>
      <c r="AJ83" s="363"/>
      <c r="AK83" s="364"/>
      <c r="AL83" s="363"/>
      <c r="AM83" s="363"/>
      <c r="AN83" s="363"/>
      <c r="AO83" s="364"/>
      <c r="AP83" s="363"/>
      <c r="AQ83" s="363"/>
      <c r="AR83" s="363"/>
      <c r="AS83" s="364"/>
      <c r="AT83" s="363"/>
      <c r="AU83" s="363"/>
      <c r="AV83" s="363"/>
      <c r="AW83" s="364"/>
      <c r="AX83" s="363"/>
      <c r="AY83" s="363"/>
      <c r="AZ83" s="363"/>
      <c r="BA83" s="364"/>
      <c r="BB83" s="363"/>
      <c r="BC83" s="363"/>
      <c r="BD83" s="138"/>
      <c r="BF83" s="363"/>
      <c r="BG83" s="363"/>
      <c r="BH83" s="363"/>
      <c r="BI83" s="363"/>
      <c r="BJ83" s="363"/>
    </row>
    <row r="84" spans="2:62" hidden="1" outlineLevel="1">
      <c r="B84" s="1" t="s">
        <v>409</v>
      </c>
      <c r="C84" s="138">
        <f t="shared" ref="C84:I87" si="108">C49/C11</f>
        <v>0.4019985444316333</v>
      </c>
      <c r="D84" s="138">
        <f t="shared" si="108"/>
        <v>0.3772457731813208</v>
      </c>
      <c r="E84" s="138">
        <f t="shared" si="108"/>
        <v>0.36844513991466182</v>
      </c>
      <c r="F84" s="138">
        <f t="shared" si="108"/>
        <v>0.36303832392119673</v>
      </c>
      <c r="G84" s="138">
        <f t="shared" si="108"/>
        <v>0.360779224483393</v>
      </c>
      <c r="H84" s="138">
        <f t="shared" si="108"/>
        <v>0.37901450341888204</v>
      </c>
      <c r="I84" s="244">
        <f t="shared" si="108"/>
        <v>0.38336852251457476</v>
      </c>
      <c r="J84" s="363"/>
      <c r="K84" s="363"/>
      <c r="L84" s="363"/>
      <c r="M84" s="363"/>
      <c r="N84" s="363"/>
      <c r="O84" s="363"/>
      <c r="P84" s="363"/>
      <c r="Q84" s="363"/>
      <c r="R84" s="207"/>
      <c r="S84" s="138">
        <f t="shared" ref="S84:AL84" si="109">S49/S11</f>
        <v>0.35916990138121169</v>
      </c>
      <c r="T84" s="138">
        <f t="shared" si="109"/>
        <v>0.3943956710707166</v>
      </c>
      <c r="U84" s="138">
        <f t="shared" si="109"/>
        <v>0.38655933407269871</v>
      </c>
      <c r="V84" s="138">
        <f t="shared" si="109"/>
        <v>0.36956542236721773</v>
      </c>
      <c r="W84" s="138">
        <f t="shared" si="109"/>
        <v>0.35700179760488138</v>
      </c>
      <c r="X84" s="138">
        <f t="shared" si="109"/>
        <v>0.3759880621546513</v>
      </c>
      <c r="Y84" s="138">
        <f t="shared" si="109"/>
        <v>0.35755172413793102</v>
      </c>
      <c r="Z84" s="138">
        <f t="shared" si="109"/>
        <v>0.37928928477468354</v>
      </c>
      <c r="AA84" s="138">
        <f t="shared" si="109"/>
        <v>0.3155645868418489</v>
      </c>
      <c r="AB84" s="138">
        <f t="shared" si="109"/>
        <v>0.36376397515527953</v>
      </c>
      <c r="AC84" s="138">
        <f t="shared" si="109"/>
        <v>0.35942949532278556</v>
      </c>
      <c r="AD84" s="138">
        <f t="shared" si="109"/>
        <v>0.39665737139502449</v>
      </c>
      <c r="AE84" s="138">
        <f t="shared" si="109"/>
        <v>0.23989238361377013</v>
      </c>
      <c r="AF84" s="138">
        <f t="shared" si="109"/>
        <v>0.30869655520280093</v>
      </c>
      <c r="AG84" s="138">
        <f t="shared" si="109"/>
        <v>0.41012522717653793</v>
      </c>
      <c r="AH84" s="138">
        <f t="shared" si="109"/>
        <v>0.48341343125078728</v>
      </c>
      <c r="AI84" s="138">
        <f t="shared" si="109"/>
        <v>0.32045145022316313</v>
      </c>
      <c r="AJ84" s="138">
        <f t="shared" si="109"/>
        <v>0.32700336014662457</v>
      </c>
      <c r="AK84" s="244">
        <f t="shared" si="109"/>
        <v>0.37208281191683684</v>
      </c>
      <c r="AL84" s="138">
        <f t="shared" si="109"/>
        <v>0.47094016221512564</v>
      </c>
      <c r="AM84" s="363"/>
      <c r="AN84" s="363"/>
      <c r="AO84" s="363"/>
      <c r="AP84" s="363"/>
      <c r="AQ84" s="363"/>
      <c r="AR84" s="363"/>
      <c r="AS84" s="363"/>
      <c r="AT84" s="363"/>
      <c r="AU84" s="363"/>
      <c r="AV84" s="363"/>
      <c r="AW84" s="363"/>
      <c r="AX84" s="363"/>
      <c r="AY84" s="363"/>
      <c r="AZ84" s="363"/>
      <c r="BA84" s="363"/>
      <c r="BB84" s="363"/>
      <c r="BC84" s="363"/>
      <c r="BD84" s="138"/>
      <c r="BF84" s="138">
        <f>BF49/BF11</f>
        <v>0.38876650009850794</v>
      </c>
      <c r="BG84" s="363"/>
      <c r="BH84" s="363"/>
      <c r="BI84" s="363"/>
      <c r="BJ84" s="363"/>
    </row>
    <row r="85" spans="2:62" hidden="1" outlineLevel="1">
      <c r="B85" s="1" t="s">
        <v>410</v>
      </c>
      <c r="C85" s="138">
        <f t="shared" si="108"/>
        <v>0.45113758591143599</v>
      </c>
      <c r="D85" s="138">
        <f t="shared" si="108"/>
        <v>0.45532198625014647</v>
      </c>
      <c r="E85" s="138">
        <f t="shared" si="108"/>
        <v>0.44392378943923783</v>
      </c>
      <c r="F85" s="138">
        <f t="shared" si="108"/>
        <v>0.42728052053908966</v>
      </c>
      <c r="G85" s="138">
        <f t="shared" si="108"/>
        <v>0.42728052053908966</v>
      </c>
      <c r="H85" s="138">
        <f t="shared" si="108"/>
        <v>0.41271397398654597</v>
      </c>
      <c r="I85" s="244">
        <f t="shared" si="108"/>
        <v>0.38608744983795967</v>
      </c>
      <c r="J85" s="138">
        <f t="shared" ref="J85:O87" si="110">J50/J12</f>
        <v>0.38608744983795967</v>
      </c>
      <c r="K85" s="138">
        <f t="shared" si="110"/>
        <v>0.31546575605001576</v>
      </c>
      <c r="L85" s="138">
        <f t="shared" si="110"/>
        <v>0.31546575605001576</v>
      </c>
      <c r="M85" s="138">
        <f t="shared" si="110"/>
        <v>0.3259217978754862</v>
      </c>
      <c r="N85" s="138">
        <f t="shared" si="110"/>
        <v>0.32592089643691352</v>
      </c>
      <c r="O85" s="138">
        <f t="shared" si="110"/>
        <v>0.30463769083556358</v>
      </c>
      <c r="P85" s="363"/>
      <c r="Q85" s="363"/>
      <c r="R85" s="207"/>
      <c r="S85" s="138">
        <f t="shared" ref="S85:AL85" si="111">S50/S12</f>
        <v>0.44513229614121214</v>
      </c>
      <c r="T85" s="138">
        <f t="shared" si="111"/>
        <v>0.47074567078466478</v>
      </c>
      <c r="U85" s="138">
        <f t="shared" si="111"/>
        <v>0.48857709542349226</v>
      </c>
      <c r="V85" s="138">
        <f t="shared" si="111"/>
        <v>0.41731760311731253</v>
      </c>
      <c r="W85" s="138">
        <f t="shared" si="111"/>
        <v>0.44607431222827082</v>
      </c>
      <c r="X85" s="138">
        <f t="shared" si="111"/>
        <v>0.4490174595320563</v>
      </c>
      <c r="Y85" s="138">
        <f t="shared" si="111"/>
        <v>0.4752649196456642</v>
      </c>
      <c r="Z85" s="138">
        <f t="shared" si="111"/>
        <v>0.40546330031673938</v>
      </c>
      <c r="AA85" s="138">
        <f t="shared" si="111"/>
        <v>0.43678052105422599</v>
      </c>
      <c r="AB85" s="138">
        <f t="shared" si="111"/>
        <v>0.43110637422636072</v>
      </c>
      <c r="AC85" s="138">
        <f t="shared" si="111"/>
        <v>0.44956259483356126</v>
      </c>
      <c r="AD85" s="138">
        <f t="shared" si="111"/>
        <v>0.39203584242717204</v>
      </c>
      <c r="AE85" s="138">
        <f t="shared" si="111"/>
        <v>0.41329805931215657</v>
      </c>
      <c r="AF85" s="138">
        <f t="shared" si="111"/>
        <v>0.42094764901082565</v>
      </c>
      <c r="AG85" s="138">
        <f t="shared" si="111"/>
        <v>0.43528823308740777</v>
      </c>
      <c r="AH85" s="138">
        <f t="shared" si="111"/>
        <v>0.38156957698333538</v>
      </c>
      <c r="AI85" s="138">
        <f t="shared" si="111"/>
        <v>0.38301806286445739</v>
      </c>
      <c r="AJ85" s="138">
        <f t="shared" si="111"/>
        <v>0.40263190966050871</v>
      </c>
      <c r="AK85" s="244">
        <f t="shared" si="111"/>
        <v>0.41427629409825256</v>
      </c>
      <c r="AL85" s="138">
        <f t="shared" si="111"/>
        <v>0.34350175976245645</v>
      </c>
      <c r="AM85" s="138">
        <f t="shared" ref="AM85:BA85" si="112">AM50/AM12</f>
        <v>0.35282521750668161</v>
      </c>
      <c r="AN85" s="138">
        <f t="shared" si="112"/>
        <v>0.33118032723098767</v>
      </c>
      <c r="AO85" s="244">
        <f t="shared" si="112"/>
        <v>0.34111418601852961</v>
      </c>
      <c r="AP85" s="138">
        <f t="shared" si="112"/>
        <v>0.23327009191275525</v>
      </c>
      <c r="AQ85" s="138">
        <f t="shared" si="112"/>
        <v>0.34543541738234285</v>
      </c>
      <c r="AR85" s="138">
        <f t="shared" si="112"/>
        <v>0.32551972131700191</v>
      </c>
      <c r="AS85" s="244">
        <f t="shared" si="112"/>
        <v>0.35684029232416326</v>
      </c>
      <c r="AT85" s="138">
        <f t="shared" si="112"/>
        <v>0.27284056463329343</v>
      </c>
      <c r="AU85" s="138">
        <f t="shared" si="112"/>
        <v>0.29767851895386421</v>
      </c>
      <c r="AV85" s="138">
        <f t="shared" si="112"/>
        <v>0</v>
      </c>
      <c r="AW85" s="244">
        <f t="shared" si="112"/>
        <v>0</v>
      </c>
      <c r="AX85" s="138">
        <f t="shared" si="112"/>
        <v>0</v>
      </c>
      <c r="AY85" s="138">
        <f t="shared" si="112"/>
        <v>0</v>
      </c>
      <c r="AZ85" s="138">
        <f t="shared" si="112"/>
        <v>0</v>
      </c>
      <c r="BA85" s="244">
        <f t="shared" si="112"/>
        <v>0</v>
      </c>
      <c r="BB85" s="363"/>
      <c r="BC85" s="138">
        <f>BC50/BC12</f>
        <v>0</v>
      </c>
      <c r="BD85" s="138"/>
      <c r="BF85" s="138">
        <f>BF50/BF12</f>
        <v>0.39203584242717204</v>
      </c>
      <c r="BG85" s="138">
        <f t="shared" ref="BG85:BJ87" si="113">BG50/BG12</f>
        <v>0.38301806286445739</v>
      </c>
      <c r="BH85" s="138">
        <f t="shared" si="113"/>
        <v>0.40263190966050871</v>
      </c>
      <c r="BI85" s="138">
        <f t="shared" si="113"/>
        <v>0.41427629409825256</v>
      </c>
      <c r="BJ85" s="138">
        <f t="shared" si="113"/>
        <v>0.34350175976245639</v>
      </c>
    </row>
    <row r="86" spans="2:62" hidden="1" outlineLevel="1">
      <c r="B86" s="1" t="s">
        <v>411</v>
      </c>
      <c r="C86" s="138">
        <f t="shared" si="108"/>
        <v>0.4150340528540431</v>
      </c>
      <c r="D86" s="138">
        <f t="shared" si="108"/>
        <v>0.42467539933975418</v>
      </c>
      <c r="E86" s="138">
        <f t="shared" si="108"/>
        <v>0.42233599205144484</v>
      </c>
      <c r="F86" s="138">
        <f t="shared" si="108"/>
        <v>0.42678049014435754</v>
      </c>
      <c r="G86" s="138">
        <f t="shared" si="108"/>
        <v>0.42678049014435754</v>
      </c>
      <c r="H86" s="138">
        <f t="shared" si="108"/>
        <v>0.41656398579587411</v>
      </c>
      <c r="I86" s="244">
        <f t="shared" si="108"/>
        <v>0.42241998275376974</v>
      </c>
      <c r="J86" s="138">
        <f t="shared" si="110"/>
        <v>0.42241998275376974</v>
      </c>
      <c r="K86" s="138">
        <f t="shared" si="110"/>
        <v>0.41111453956987659</v>
      </c>
      <c r="L86" s="138">
        <f t="shared" si="110"/>
        <v>0.42355981734691989</v>
      </c>
      <c r="M86" s="138">
        <f t="shared" si="110"/>
        <v>0.38565647251677682</v>
      </c>
      <c r="N86" s="138">
        <f t="shared" si="110"/>
        <v>0.39545317555576609</v>
      </c>
      <c r="O86" s="138">
        <f t="shared" si="110"/>
        <v>0.39004848194076142</v>
      </c>
      <c r="P86" s="363"/>
      <c r="Q86" s="363"/>
      <c r="R86" s="207"/>
      <c r="S86" s="138">
        <f t="shared" ref="S86:AL86" si="114">S51/S13</f>
        <v>0.41961142744216495</v>
      </c>
      <c r="T86" s="138">
        <f t="shared" si="114"/>
        <v>0.42832257020916548</v>
      </c>
      <c r="U86" s="138">
        <f t="shared" si="114"/>
        <v>0.42337038149594475</v>
      </c>
      <c r="V86" s="138">
        <f t="shared" si="114"/>
        <v>0.42729959966483538</v>
      </c>
      <c r="W86" s="138">
        <f t="shared" si="114"/>
        <v>0.42272512312998139</v>
      </c>
      <c r="X86" s="138">
        <f t="shared" si="114"/>
        <v>0.42199485593210734</v>
      </c>
      <c r="Y86" s="138">
        <f t="shared" si="114"/>
        <v>0.4238115380860964</v>
      </c>
      <c r="Z86" s="138">
        <f t="shared" si="114"/>
        <v>0.42086848713449693</v>
      </c>
      <c r="AA86" s="138">
        <f t="shared" si="114"/>
        <v>0.43413382366312731</v>
      </c>
      <c r="AB86" s="138">
        <f t="shared" si="114"/>
        <v>0.43792397975664904</v>
      </c>
      <c r="AC86" s="138">
        <f t="shared" si="114"/>
        <v>0.42391767009392645</v>
      </c>
      <c r="AD86" s="138">
        <f t="shared" si="114"/>
        <v>0.41258703170813599</v>
      </c>
      <c r="AE86" s="138">
        <f t="shared" si="114"/>
        <v>0.41481981024878284</v>
      </c>
      <c r="AF86" s="138">
        <f t="shared" si="114"/>
        <v>0.41175898415393325</v>
      </c>
      <c r="AG86" s="138">
        <f t="shared" si="114"/>
        <v>0.42047177832905269</v>
      </c>
      <c r="AH86" s="138">
        <f t="shared" si="114"/>
        <v>0.41898576828432987</v>
      </c>
      <c r="AI86" s="138">
        <f t="shared" si="114"/>
        <v>0.41404530467177669</v>
      </c>
      <c r="AJ86" s="138">
        <f t="shared" si="114"/>
        <v>0.41898410896708288</v>
      </c>
      <c r="AK86" s="244">
        <f t="shared" si="114"/>
        <v>0.41971226360366631</v>
      </c>
      <c r="AL86" s="138">
        <f t="shared" si="114"/>
        <v>0.43637768945259553</v>
      </c>
      <c r="AM86" s="138">
        <f t="shared" ref="AM86:BA86" si="115">AM51/AM13</f>
        <v>0.42181371510864502</v>
      </c>
      <c r="AN86" s="138">
        <f t="shared" si="115"/>
        <v>0.42142978723404256</v>
      </c>
      <c r="AO86" s="244">
        <f t="shared" si="115"/>
        <v>0.39635307406809744</v>
      </c>
      <c r="AP86" s="138">
        <f t="shared" si="115"/>
        <v>0.40593540574725295</v>
      </c>
      <c r="AQ86" s="138">
        <f t="shared" si="115"/>
        <v>0.40890230724178606</v>
      </c>
      <c r="AR86" s="138">
        <f t="shared" si="115"/>
        <v>0.39388195094170764</v>
      </c>
      <c r="AS86" s="244">
        <f t="shared" si="115"/>
        <v>0.35568287522946357</v>
      </c>
      <c r="AT86" s="138">
        <f t="shared" si="115"/>
        <v>0.42318080945429759</v>
      </c>
      <c r="AU86" s="138">
        <f t="shared" si="115"/>
        <v>0.39196553780009574</v>
      </c>
      <c r="AV86" s="138">
        <f t="shared" si="115"/>
        <v>0</v>
      </c>
      <c r="AW86" s="244">
        <f t="shared" si="115"/>
        <v>0</v>
      </c>
      <c r="AX86" s="138">
        <f t="shared" si="115"/>
        <v>0</v>
      </c>
      <c r="AY86" s="138">
        <f t="shared" si="115"/>
        <v>0</v>
      </c>
      <c r="AZ86" s="138">
        <f t="shared" si="115"/>
        <v>0</v>
      </c>
      <c r="BA86" s="244">
        <f t="shared" si="115"/>
        <v>0</v>
      </c>
      <c r="BB86" s="363"/>
      <c r="BC86" s="138">
        <f>BC51/BC13</f>
        <v>0</v>
      </c>
      <c r="BD86" s="138"/>
      <c r="BF86" s="138">
        <f>BF51/BF13</f>
        <v>0.41258703170813599</v>
      </c>
      <c r="BG86" s="138">
        <f t="shared" si="113"/>
        <v>0.41404530467177669</v>
      </c>
      <c r="BH86" s="138">
        <f t="shared" si="113"/>
        <v>0.41898410896708288</v>
      </c>
      <c r="BI86" s="138">
        <f t="shared" si="113"/>
        <v>0.41971226360366631</v>
      </c>
      <c r="BJ86" s="138">
        <f t="shared" si="113"/>
        <v>0.43637768945259564</v>
      </c>
    </row>
    <row r="87" spans="2:62" hidden="1" outlineLevel="1">
      <c r="B87" s="1" t="s">
        <v>412</v>
      </c>
      <c r="C87" s="138">
        <f t="shared" si="108"/>
        <v>0.11787093777964047</v>
      </c>
      <c r="D87" s="138">
        <f t="shared" si="108"/>
        <v>6.838963099774982E-2</v>
      </c>
      <c r="E87" s="138">
        <f t="shared" si="108"/>
        <v>8.7348734873487349E-2</v>
      </c>
      <c r="F87" s="138">
        <f t="shared" si="108"/>
        <v>0.17855444313012941</v>
      </c>
      <c r="G87" s="138">
        <f t="shared" si="108"/>
        <v>0.17855444313012941</v>
      </c>
      <c r="H87" s="138">
        <f t="shared" si="108"/>
        <v>2.7245088868101029E-2</v>
      </c>
      <c r="I87" s="244">
        <f t="shared" si="108"/>
        <v>0.18041119754419657</v>
      </c>
      <c r="J87" s="138">
        <f t="shared" si="110"/>
        <v>0.13439337313704935</v>
      </c>
      <c r="K87" s="138">
        <f t="shared" si="110"/>
        <v>0.23042504282041043</v>
      </c>
      <c r="L87" s="138" t="e">
        <f t="shared" si="110"/>
        <v>#DIV/0!</v>
      </c>
      <c r="M87" s="138">
        <f t="shared" si="110"/>
        <v>0.24806240947322949</v>
      </c>
      <c r="N87" s="138" t="e">
        <f t="shared" si="110"/>
        <v>#DIV/0!</v>
      </c>
      <c r="O87" s="138" t="e">
        <f t="shared" si="110"/>
        <v>#DIV/0!</v>
      </c>
      <c r="P87" s="363"/>
      <c r="Q87" s="363"/>
      <c r="R87" s="207"/>
      <c r="S87" s="138">
        <f t="shared" ref="S87:AL87" si="116">S52/S14</f>
        <v>4.7310360514045267E-2</v>
      </c>
      <c r="T87" s="138">
        <f t="shared" si="116"/>
        <v>6.96656050955414E-2</v>
      </c>
      <c r="U87" s="138">
        <f t="shared" si="116"/>
        <v>2.8917133818060721E-2</v>
      </c>
      <c r="V87" s="138">
        <f t="shared" si="116"/>
        <v>0.11824962235649542</v>
      </c>
      <c r="W87" s="138">
        <f t="shared" si="116"/>
        <v>0.1146536212325686</v>
      </c>
      <c r="X87" s="138">
        <f t="shared" si="116"/>
        <v>8.354233330450575E-2</v>
      </c>
      <c r="Y87" s="138">
        <f t="shared" si="116"/>
        <v>6.5091189314153614E-2</v>
      </c>
      <c r="Z87" s="138">
        <f t="shared" si="116"/>
        <v>8.8722093918398748E-2</v>
      </c>
      <c r="AA87" s="138">
        <f t="shared" si="116"/>
        <v>0.23673848604167588</v>
      </c>
      <c r="AB87" s="138">
        <f t="shared" si="116"/>
        <v>0.11328024659645518</v>
      </c>
      <c r="AC87" s="138">
        <f t="shared" si="116"/>
        <v>0.29262086513994912</v>
      </c>
      <c r="AD87" s="138">
        <f t="shared" si="116"/>
        <v>-4.5501323140252896E-2</v>
      </c>
      <c r="AE87" s="138">
        <f t="shared" si="116"/>
        <v>0.2112154853401651</v>
      </c>
      <c r="AF87" s="138">
        <f t="shared" si="116"/>
        <v>-0.74484217950978659</v>
      </c>
      <c r="AG87" s="138">
        <f t="shared" si="116"/>
        <v>4.2172523961661341E-3</v>
      </c>
      <c r="AH87" s="138">
        <f t="shared" si="116"/>
        <v>0.14069578596461238</v>
      </c>
      <c r="AI87" s="138">
        <f t="shared" si="116"/>
        <v>1.2716763005780346E-2</v>
      </c>
      <c r="AJ87" s="138">
        <f t="shared" si="116"/>
        <v>0.22414358301917717</v>
      </c>
      <c r="AK87" s="244">
        <f t="shared" si="116"/>
        <v>0.17968916329572068</v>
      </c>
      <c r="AL87" s="138">
        <f t="shared" si="116"/>
        <v>0.4564032697547683</v>
      </c>
      <c r="AM87" s="138">
        <f t="shared" ref="AM87:AT87" si="117">AM52/AM14</f>
        <v>0.22659683342363493</v>
      </c>
      <c r="AN87" s="138">
        <f t="shared" si="117"/>
        <v>0.22470878521833937</v>
      </c>
      <c r="AO87" s="244">
        <f t="shared" si="117"/>
        <v>0.21922698815129094</v>
      </c>
      <c r="AP87" s="138">
        <f t="shared" si="117"/>
        <v>0.2493849542274095</v>
      </c>
      <c r="AQ87" s="138">
        <f t="shared" si="117"/>
        <v>0.21828892612008863</v>
      </c>
      <c r="AR87" s="138">
        <f t="shared" si="117"/>
        <v>0.2733625365039633</v>
      </c>
      <c r="AS87" s="244">
        <f t="shared" si="117"/>
        <v>0.28409378639793387</v>
      </c>
      <c r="AT87" s="138">
        <f t="shared" si="117"/>
        <v>0.25930763068993135</v>
      </c>
      <c r="AU87" s="138"/>
      <c r="AV87" s="138"/>
      <c r="AW87" s="244"/>
      <c r="AX87" s="138"/>
      <c r="AY87" s="138"/>
      <c r="AZ87" s="138"/>
      <c r="BA87" s="244"/>
      <c r="BB87" s="363"/>
      <c r="BC87" s="138"/>
      <c r="BD87" s="138"/>
      <c r="BF87" s="138">
        <f>BF52/BF14</f>
        <v>-4.5501323140252896E-2</v>
      </c>
      <c r="BG87" s="138">
        <f t="shared" si="113"/>
        <v>-1.0820244328097733E-2</v>
      </c>
      <c r="BH87" s="138">
        <f t="shared" si="113"/>
        <v>0.14137570164589477</v>
      </c>
      <c r="BI87" s="138">
        <f t="shared" si="113"/>
        <v>0.18122977346278318</v>
      </c>
      <c r="BJ87" s="138">
        <f t="shared" si="113"/>
        <v>0.18232699094675461</v>
      </c>
    </row>
    <row r="88" spans="2:62" hidden="1" outlineLevel="1">
      <c r="B88" s="5" t="s">
        <v>431</v>
      </c>
      <c r="C88" s="138">
        <f t="shared" ref="C88:O88" si="118">C53/C17</f>
        <v>0.40423980707756146</v>
      </c>
      <c r="D88" s="138">
        <f t="shared" si="118"/>
        <v>0.40061996319970244</v>
      </c>
      <c r="E88" s="138">
        <f t="shared" si="118"/>
        <v>0.39846999503798636</v>
      </c>
      <c r="F88" s="138">
        <f t="shared" si="118"/>
        <v>0.40749899653057897</v>
      </c>
      <c r="G88" s="138">
        <f t="shared" si="118"/>
        <v>0.40659738118312494</v>
      </c>
      <c r="H88" s="138">
        <f t="shared" si="118"/>
        <v>0.41704353483641365</v>
      </c>
      <c r="I88" s="244">
        <f t="shared" si="118"/>
        <v>0.41996459046127893</v>
      </c>
      <c r="J88" s="138">
        <f t="shared" si="118"/>
        <v>0.3974669299494849</v>
      </c>
      <c r="K88" s="138">
        <f t="shared" si="118"/>
        <v>0.37086394279928553</v>
      </c>
      <c r="L88" s="138">
        <f t="shared" si="118"/>
        <v>0.39235227972672404</v>
      </c>
      <c r="M88" s="138">
        <f t="shared" si="118"/>
        <v>0.3592999122924741</v>
      </c>
      <c r="N88" s="138">
        <f t="shared" si="118"/>
        <v>0.37797380045759443</v>
      </c>
      <c r="O88" s="138">
        <f t="shared" si="118"/>
        <v>0.37194997807932767</v>
      </c>
      <c r="P88" s="363"/>
      <c r="Q88" s="363"/>
      <c r="R88" s="207"/>
      <c r="S88" s="138">
        <f t="shared" ref="S88:BA88" si="119">S53/S17</f>
        <v>0.39014680495392717</v>
      </c>
      <c r="T88" s="138">
        <f t="shared" si="119"/>
        <v>0.41012238431809478</v>
      </c>
      <c r="U88" s="138">
        <f t="shared" si="119"/>
        <v>0.41204165379693775</v>
      </c>
      <c r="V88" s="138">
        <f t="shared" si="119"/>
        <v>0.39110729798669597</v>
      </c>
      <c r="W88" s="138">
        <f t="shared" si="119"/>
        <v>0.40026301946344028</v>
      </c>
      <c r="X88" s="138">
        <f t="shared" si="119"/>
        <v>0.39776926372090976</v>
      </c>
      <c r="Y88" s="138">
        <f t="shared" si="119"/>
        <v>0.40439410400822551</v>
      </c>
      <c r="Z88" s="138">
        <f t="shared" si="119"/>
        <v>0.39227164086432553</v>
      </c>
      <c r="AA88" s="138">
        <f t="shared" si="119"/>
        <v>0.40206538093284105</v>
      </c>
      <c r="AB88" s="138">
        <f t="shared" si="119"/>
        <v>0.40843604469384054</v>
      </c>
      <c r="AC88" s="138">
        <f t="shared" si="119"/>
        <v>0.41744971127855712</v>
      </c>
      <c r="AD88" s="138">
        <f t="shared" si="119"/>
        <v>0.40189382922402328</v>
      </c>
      <c r="AE88" s="138">
        <f t="shared" si="119"/>
        <v>0.37732710029331101</v>
      </c>
      <c r="AF88" s="138">
        <f t="shared" si="119"/>
        <v>0.38673347842052008</v>
      </c>
      <c r="AG88" s="138">
        <f t="shared" si="119"/>
        <v>0.43985298417073881</v>
      </c>
      <c r="AH88" s="138">
        <f t="shared" si="119"/>
        <v>0.45474505625823342</v>
      </c>
      <c r="AI88" s="138">
        <f t="shared" si="119"/>
        <v>0.3935389380122456</v>
      </c>
      <c r="AJ88" s="138">
        <f t="shared" si="119"/>
        <v>0.40825024643278446</v>
      </c>
      <c r="AK88" s="244">
        <f t="shared" si="119"/>
        <v>0.41981942674306011</v>
      </c>
      <c r="AL88" s="138">
        <f t="shared" si="119"/>
        <v>0.37053704427270973</v>
      </c>
      <c r="AM88" s="138">
        <f t="shared" si="119"/>
        <v>0.38782430195817125</v>
      </c>
      <c r="AN88" s="138">
        <f t="shared" si="119"/>
        <v>0.38016025035746087</v>
      </c>
      <c r="AO88" s="244">
        <f t="shared" si="119"/>
        <v>0.36553135567248601</v>
      </c>
      <c r="AP88" s="138">
        <f t="shared" si="119"/>
        <v>0.35072771785004025</v>
      </c>
      <c r="AQ88" s="138">
        <f t="shared" si="119"/>
        <v>0.37634722132227472</v>
      </c>
      <c r="AR88" s="138">
        <f t="shared" si="119"/>
        <v>0.36792259262858934</v>
      </c>
      <c r="AS88" s="244">
        <f t="shared" si="119"/>
        <v>0.35024596384522566</v>
      </c>
      <c r="AT88" s="138">
        <f t="shared" si="119"/>
        <v>0.44460730762350598</v>
      </c>
      <c r="AU88" s="138">
        <f t="shared" si="119"/>
        <v>0.36883282972027526</v>
      </c>
      <c r="AV88" s="138">
        <f t="shared" si="119"/>
        <v>0.37849786581681016</v>
      </c>
      <c r="AW88" s="244">
        <f t="shared" si="119"/>
        <v>0.37213919337620749</v>
      </c>
      <c r="AX88" s="138">
        <f t="shared" si="119"/>
        <v>0.36826434728606267</v>
      </c>
      <c r="AY88" s="138">
        <f t="shared" si="119"/>
        <v>0.38081022599775605</v>
      </c>
      <c r="AZ88" s="138">
        <f t="shared" si="119"/>
        <v>0.38659415862153246</v>
      </c>
      <c r="BA88" s="244">
        <f t="shared" si="119"/>
        <v>0.38812470089560402</v>
      </c>
      <c r="BB88" s="363"/>
      <c r="BC88" s="138">
        <f>BC53/BC17</f>
        <v>0.38081022599775605</v>
      </c>
      <c r="BD88" s="138"/>
      <c r="BF88" s="138">
        <f>BF53/BF17</f>
        <v>0.39863054154862559</v>
      </c>
      <c r="BG88" s="138">
        <f>BG53/BG17</f>
        <v>0.38728131259606158</v>
      </c>
      <c r="BH88" s="138">
        <f>BH53/BH17</f>
        <v>0.40118220841295021</v>
      </c>
      <c r="BI88" s="138">
        <f>BI53/BI17</f>
        <v>0.40553843174592924</v>
      </c>
      <c r="BJ88" s="138">
        <f>BJ53/BJ17</f>
        <v>0.39560187146044085</v>
      </c>
    </row>
    <row r="89" spans="2:62" hidden="1" outlineLevel="1">
      <c r="R89" s="207"/>
    </row>
    <row r="90" spans="2:62" hidden="1" outlineLevel="1">
      <c r="R90" s="207"/>
    </row>
    <row r="91" spans="2:62" hidden="1" outlineLevel="1">
      <c r="B91" s="5" t="s">
        <v>409</v>
      </c>
      <c r="R91" s="207"/>
    </row>
    <row r="92" spans="2:62" hidden="1" outlineLevel="1">
      <c r="B92" s="1" t="s">
        <v>432</v>
      </c>
      <c r="C92" s="4">
        <v>23223.200000000001</v>
      </c>
      <c r="D92" s="4">
        <v>20719.099999999999</v>
      </c>
      <c r="E92" s="4">
        <v>21154.9</v>
      </c>
      <c r="F92" s="4">
        <v>19420.400000000001</v>
      </c>
      <c r="G92" s="4">
        <v>19459.400000000001</v>
      </c>
      <c r="H92" s="4">
        <v>16349.8</v>
      </c>
      <c r="I92" s="4">
        <v>19162</v>
      </c>
      <c r="J92" s="4">
        <v>19162</v>
      </c>
      <c r="K92" s="360"/>
      <c r="L92" s="360"/>
      <c r="M92" s="360"/>
      <c r="N92" s="360"/>
      <c r="O92" s="360"/>
      <c r="P92" s="360"/>
      <c r="Q92" s="360"/>
      <c r="R92" s="207"/>
      <c r="S92" s="4">
        <v>4128.2</v>
      </c>
      <c r="T92" s="4">
        <v>4826.6000000000004</v>
      </c>
      <c r="U92" s="4">
        <v>4943.8</v>
      </c>
      <c r="V92" s="32">
        <f>D92-U92-T92-S92</f>
        <v>6820.4999999999991</v>
      </c>
      <c r="W92" s="4">
        <v>4272.7</v>
      </c>
      <c r="X92" s="4">
        <v>5265.8</v>
      </c>
      <c r="Y92" s="4">
        <v>5051.2</v>
      </c>
      <c r="Z92" s="32">
        <f>E92-Y92-X92-W92</f>
        <v>6565.2000000000016</v>
      </c>
      <c r="AA92" s="4">
        <v>3681.9</v>
      </c>
      <c r="AB92" s="4">
        <v>4370.3</v>
      </c>
      <c r="AC92" s="4">
        <v>4786.6000000000004</v>
      </c>
      <c r="AD92" s="32">
        <f>F92-AC92-AB92-AA92</f>
        <v>6581.6</v>
      </c>
      <c r="AE92" s="4">
        <v>2635.1</v>
      </c>
      <c r="AF92" s="4">
        <v>2922.2</v>
      </c>
      <c r="AG92" s="4">
        <v>4164.3999999999996</v>
      </c>
      <c r="AH92" s="32">
        <f>H92-AG92-AF92-AE92</f>
        <v>6628.1</v>
      </c>
      <c r="AI92" s="4">
        <v>3374.9</v>
      </c>
      <c r="AJ92" s="4">
        <v>3860.2</v>
      </c>
      <c r="AK92" s="4">
        <v>4823.8</v>
      </c>
      <c r="AL92" s="32">
        <f>J92-AK92-AJ92-AI92</f>
        <v>7103.1</v>
      </c>
      <c r="AM92" s="363"/>
      <c r="AN92" s="363"/>
      <c r="AO92" s="363"/>
      <c r="AP92" s="363"/>
      <c r="AQ92" s="363"/>
      <c r="AR92" s="363"/>
      <c r="AS92" s="363"/>
      <c r="AT92" s="363"/>
      <c r="AU92" s="363"/>
      <c r="AV92" s="363"/>
      <c r="AW92" s="363"/>
      <c r="AX92" s="363"/>
      <c r="AY92" s="363"/>
      <c r="AZ92" s="363"/>
      <c r="BA92" s="363"/>
      <c r="BB92" s="360"/>
      <c r="BC92" s="363"/>
      <c r="BD92" s="138"/>
      <c r="BF92" s="32">
        <f>G92-AC92-AB92-AA92</f>
        <v>6620.6</v>
      </c>
      <c r="BG92" s="363"/>
      <c r="BH92" s="363"/>
      <c r="BI92" s="363"/>
      <c r="BJ92" s="363"/>
    </row>
    <row r="93" spans="2:62" hidden="1" outlineLevel="1">
      <c r="B93" s="1" t="s">
        <v>433</v>
      </c>
      <c r="C93" s="4">
        <v>4399.3</v>
      </c>
      <c r="D93" s="4">
        <v>4058.1</v>
      </c>
      <c r="E93" s="4">
        <v>4814.3</v>
      </c>
      <c r="F93" s="4">
        <v>4939.2</v>
      </c>
      <c r="G93" s="4">
        <v>4993.2</v>
      </c>
      <c r="H93" s="4">
        <v>5466.2</v>
      </c>
      <c r="I93" s="4">
        <v>5390.8</v>
      </c>
      <c r="J93" s="4">
        <v>5390.8</v>
      </c>
      <c r="K93" s="360"/>
      <c r="L93" s="360"/>
      <c r="M93" s="360"/>
      <c r="N93" s="360"/>
      <c r="O93" s="360"/>
      <c r="P93" s="360"/>
      <c r="Q93" s="360"/>
      <c r="R93" s="207"/>
      <c r="S93" s="4">
        <v>1042.3</v>
      </c>
      <c r="T93" s="4">
        <v>941.1</v>
      </c>
      <c r="U93" s="4">
        <v>929.7</v>
      </c>
      <c r="V93" s="32">
        <f>D93-U93-T93-S93</f>
        <v>1144.9999999999998</v>
      </c>
      <c r="W93" s="4">
        <v>1179.0999999999999</v>
      </c>
      <c r="X93" s="4">
        <v>1200.8</v>
      </c>
      <c r="Y93" s="4">
        <v>1182.8</v>
      </c>
      <c r="Z93" s="32">
        <f>E93-Y93-X93-W93</f>
        <v>1251.5999999999999</v>
      </c>
      <c r="AA93" s="4">
        <v>1218.3</v>
      </c>
      <c r="AB93" s="4">
        <v>1206</v>
      </c>
      <c r="AC93" s="4">
        <v>1238.9000000000001</v>
      </c>
      <c r="AD93" s="32">
        <f>F93-AC93-AB93-AA93</f>
        <v>1275.9999999999998</v>
      </c>
      <c r="AE93" s="4">
        <v>1332.1</v>
      </c>
      <c r="AF93" s="4">
        <v>1400.7</v>
      </c>
      <c r="AG93" s="4">
        <v>1331.7</v>
      </c>
      <c r="AH93" s="32">
        <f>H93-AG93-AF93-AE93</f>
        <v>1401.7000000000003</v>
      </c>
      <c r="AI93" s="4">
        <v>1344.8</v>
      </c>
      <c r="AJ93" s="4">
        <v>1329.6</v>
      </c>
      <c r="AK93" s="4">
        <v>1323.9</v>
      </c>
      <c r="AL93" s="32">
        <f>J93-AK93-AJ93-AI93</f>
        <v>1392.5000000000002</v>
      </c>
      <c r="AM93" s="363"/>
      <c r="AN93" s="363"/>
      <c r="AO93" s="363"/>
      <c r="AP93" s="363"/>
      <c r="AQ93" s="363"/>
      <c r="AR93" s="363"/>
      <c r="AS93" s="363"/>
      <c r="AT93" s="363"/>
      <c r="AU93" s="363"/>
      <c r="AV93" s="363"/>
      <c r="AW93" s="363"/>
      <c r="AX93" s="363"/>
      <c r="AY93" s="363"/>
      <c r="AZ93" s="363"/>
      <c r="BA93" s="363"/>
      <c r="BB93" s="360"/>
      <c r="BC93" s="363"/>
      <c r="BD93" s="138"/>
      <c r="BF93" s="32">
        <f>G93-AC93-AB93-AA93</f>
        <v>1329.9999999999998</v>
      </c>
      <c r="BG93" s="363"/>
      <c r="BH93" s="363"/>
      <c r="BI93" s="363"/>
      <c r="BJ93" s="363"/>
    </row>
    <row r="94" spans="2:62" hidden="1" outlineLevel="1">
      <c r="B94" s="1" t="s">
        <v>434</v>
      </c>
      <c r="C94" s="4">
        <v>9064.2000000000007</v>
      </c>
      <c r="D94" s="4">
        <v>9220</v>
      </c>
      <c r="E94" s="4">
        <v>10520.9</v>
      </c>
      <c r="F94" s="4">
        <v>10435.9</v>
      </c>
      <c r="G94" s="4">
        <v>10607.9</v>
      </c>
      <c r="H94" s="4">
        <v>10797</v>
      </c>
      <c r="I94" s="4">
        <v>11389.1</v>
      </c>
      <c r="J94" s="4">
        <v>11389.1</v>
      </c>
      <c r="K94" s="360"/>
      <c r="L94" s="360"/>
      <c r="M94" s="360"/>
      <c r="N94" s="360"/>
      <c r="O94" s="360"/>
      <c r="P94" s="360"/>
      <c r="Q94" s="360"/>
      <c r="R94" s="207"/>
      <c r="S94" s="4">
        <v>2120.1999999999998</v>
      </c>
      <c r="T94" s="4">
        <v>2308.1999999999998</v>
      </c>
      <c r="U94" s="4">
        <v>2151.4</v>
      </c>
      <c r="V94" s="32">
        <f>D94-U94-T94-S94</f>
        <v>2640.2000000000007</v>
      </c>
      <c r="W94" s="4">
        <v>2447.6</v>
      </c>
      <c r="X94" s="4">
        <v>2781.3</v>
      </c>
      <c r="Y94" s="4">
        <v>2466</v>
      </c>
      <c r="Z94" s="32">
        <f>E94-Y94-X94-W94</f>
        <v>2825.9999999999995</v>
      </c>
      <c r="AA94" s="4">
        <v>2284.6999999999998</v>
      </c>
      <c r="AB94" s="4">
        <v>2473.6999999999998</v>
      </c>
      <c r="AC94" s="4">
        <v>2633.5</v>
      </c>
      <c r="AD94" s="32">
        <f>F94-AC94-AB94-AA94</f>
        <v>3044</v>
      </c>
      <c r="AE94" s="4">
        <v>2760.4</v>
      </c>
      <c r="AF94" s="4">
        <v>2417.6999999999998</v>
      </c>
      <c r="AG94" s="4">
        <v>2537.3000000000002</v>
      </c>
      <c r="AH94" s="32">
        <f>H94-AG94-AF94-AE94</f>
        <v>3081.6000000000008</v>
      </c>
      <c r="AI94" s="4">
        <v>2696.4</v>
      </c>
      <c r="AJ94" s="4">
        <v>2667</v>
      </c>
      <c r="AK94" s="4">
        <v>2962.1</v>
      </c>
      <c r="AL94" s="32">
        <f>J94-AK94-AJ94-AI94</f>
        <v>3063.6</v>
      </c>
      <c r="AM94" s="363"/>
      <c r="AN94" s="363"/>
      <c r="AO94" s="363"/>
      <c r="AP94" s="363"/>
      <c r="AQ94" s="363"/>
      <c r="AR94" s="363"/>
      <c r="AS94" s="363"/>
      <c r="AT94" s="363"/>
      <c r="AU94" s="363"/>
      <c r="AV94" s="363"/>
      <c r="AW94" s="363"/>
      <c r="AX94" s="363"/>
      <c r="AY94" s="363"/>
      <c r="AZ94" s="363"/>
      <c r="BA94" s="363"/>
      <c r="BB94" s="360"/>
      <c r="BC94" s="363"/>
      <c r="BD94" s="138"/>
      <c r="BF94" s="32">
        <f>G94-AC94-AB94-AA94</f>
        <v>3216</v>
      </c>
      <c r="BG94" s="363"/>
      <c r="BH94" s="363"/>
      <c r="BI94" s="363"/>
      <c r="BJ94" s="363"/>
    </row>
    <row r="95" spans="2:62" s="5" customFormat="1" hidden="1" outlineLevel="1">
      <c r="B95" s="5" t="s">
        <v>407</v>
      </c>
      <c r="C95" s="137">
        <f t="shared" ref="C95:J95" si="120">+C92+C93+C94</f>
        <v>36686.699999999997</v>
      </c>
      <c r="D95" s="137">
        <f t="shared" si="120"/>
        <v>33997.199999999997</v>
      </c>
      <c r="E95" s="137">
        <f t="shared" si="120"/>
        <v>36490.1</v>
      </c>
      <c r="F95" s="137">
        <f t="shared" si="120"/>
        <v>34795.5</v>
      </c>
      <c r="G95" s="137">
        <f t="shared" si="120"/>
        <v>35060.5</v>
      </c>
      <c r="H95" s="137">
        <f t="shared" si="120"/>
        <v>32613</v>
      </c>
      <c r="I95" s="137">
        <f t="shared" si="120"/>
        <v>35941.9</v>
      </c>
      <c r="J95" s="137">
        <f t="shared" si="120"/>
        <v>35941.9</v>
      </c>
      <c r="K95" s="360"/>
      <c r="L95" s="360"/>
      <c r="M95" s="360"/>
      <c r="N95" s="360"/>
      <c r="O95" s="360"/>
      <c r="P95" s="360"/>
      <c r="Q95" s="360"/>
      <c r="R95" s="207"/>
      <c r="S95" s="137">
        <f>+S92+S93+S94</f>
        <v>7290.7</v>
      </c>
      <c r="T95" s="137">
        <f t="shared" ref="T95:Z95" si="121">+T92+T93+T94</f>
        <v>8075.9000000000005</v>
      </c>
      <c r="U95" s="137">
        <f t="shared" si="121"/>
        <v>8024.9</v>
      </c>
      <c r="V95" s="137">
        <f t="shared" si="121"/>
        <v>10605.7</v>
      </c>
      <c r="W95" s="137">
        <f t="shared" si="121"/>
        <v>7899.4</v>
      </c>
      <c r="X95" s="137">
        <f t="shared" si="121"/>
        <v>9247.9000000000015</v>
      </c>
      <c r="Y95" s="137">
        <f t="shared" si="121"/>
        <v>8700</v>
      </c>
      <c r="Z95" s="137">
        <f t="shared" si="121"/>
        <v>10642.800000000001</v>
      </c>
      <c r="AA95" s="137">
        <f t="shared" ref="AA95:AG95" si="122">+AA92+AA93+AA94</f>
        <v>7184.9</v>
      </c>
      <c r="AB95" s="137">
        <f t="shared" si="122"/>
        <v>8050</v>
      </c>
      <c r="AC95" s="137">
        <f t="shared" si="122"/>
        <v>8659</v>
      </c>
      <c r="AD95" s="137">
        <f t="shared" si="122"/>
        <v>10901.6</v>
      </c>
      <c r="AE95" s="137">
        <f t="shared" si="122"/>
        <v>6727.6</v>
      </c>
      <c r="AF95" s="137">
        <f t="shared" si="122"/>
        <v>6740.5999999999995</v>
      </c>
      <c r="AG95" s="137">
        <f t="shared" si="122"/>
        <v>8033.4</v>
      </c>
      <c r="AH95" s="137">
        <f>+AH92+AH93+AH94</f>
        <v>11111.400000000001</v>
      </c>
      <c r="AI95" s="137">
        <f>+AI92+AI93+AI94</f>
        <v>7416.1</v>
      </c>
      <c r="AJ95" s="137">
        <f>+AJ92+AJ93+AJ94</f>
        <v>7856.7999999999993</v>
      </c>
      <c r="AK95" s="137">
        <f>+AK92+AK93+AK94</f>
        <v>9109.8000000000011</v>
      </c>
      <c r="AL95" s="137">
        <f>+AL92+AL93+AL94</f>
        <v>11559.2</v>
      </c>
      <c r="AM95" s="137"/>
      <c r="AN95" s="137"/>
      <c r="AO95" s="137"/>
      <c r="AP95" s="137"/>
      <c r="AQ95" s="137"/>
      <c r="AR95" s="137"/>
      <c r="AS95" s="137"/>
      <c r="AT95" s="137"/>
      <c r="AU95" s="137"/>
      <c r="AV95" s="137"/>
      <c r="AW95" s="137"/>
      <c r="AX95" s="137"/>
      <c r="AY95" s="137"/>
      <c r="AZ95" s="137"/>
      <c r="BA95" s="137"/>
      <c r="BB95" s="360"/>
      <c r="BC95" s="137"/>
      <c r="BD95" s="137"/>
      <c r="BF95" s="137">
        <f>+BF92+BF93+BF94</f>
        <v>11166.6</v>
      </c>
      <c r="BG95" s="137">
        <f>+BG92+BG93+BG94</f>
        <v>0</v>
      </c>
      <c r="BH95" s="137">
        <f>+BH92+BH93+BH94</f>
        <v>0</v>
      </c>
      <c r="BI95" s="137">
        <f>+BI92+BI93+BI94</f>
        <v>0</v>
      </c>
      <c r="BJ95" s="137">
        <f>+BJ92+BJ93+BJ94</f>
        <v>0</v>
      </c>
    </row>
    <row r="96" spans="2:62" hidden="1" outlineLevel="1">
      <c r="B96" s="1" t="s">
        <v>408</v>
      </c>
      <c r="C96" s="360"/>
      <c r="D96" s="360"/>
      <c r="E96" s="4">
        <v>2733.6</v>
      </c>
      <c r="F96" s="360"/>
      <c r="G96" s="360"/>
      <c r="H96" s="360"/>
      <c r="I96" s="360"/>
      <c r="J96" s="360"/>
      <c r="K96" s="360"/>
      <c r="L96" s="360"/>
      <c r="M96" s="360"/>
      <c r="N96" s="360"/>
      <c r="O96" s="360"/>
      <c r="P96" s="360"/>
      <c r="Q96" s="360"/>
      <c r="R96" s="207"/>
      <c r="S96" s="360"/>
      <c r="T96" s="360"/>
      <c r="U96" s="360"/>
      <c r="V96" s="360"/>
      <c r="W96" s="360"/>
      <c r="X96" s="4">
        <v>1723.5</v>
      </c>
      <c r="Y96" s="4">
        <v>1010.1</v>
      </c>
      <c r="Z96" s="32">
        <f>E96-Y96-X96-W96</f>
        <v>0</v>
      </c>
      <c r="AA96" s="360"/>
      <c r="AB96" s="360"/>
      <c r="AC96" s="360"/>
      <c r="AD96" s="360"/>
      <c r="AE96" s="360"/>
      <c r="AF96" s="360"/>
      <c r="AG96" s="360"/>
      <c r="AH96" s="360"/>
      <c r="AI96" s="360"/>
      <c r="AJ96" s="360"/>
      <c r="AK96" s="360"/>
      <c r="AL96" s="360"/>
      <c r="AM96" s="360"/>
      <c r="AN96" s="360"/>
      <c r="AO96" s="360"/>
      <c r="AP96" s="360"/>
      <c r="AQ96" s="360"/>
      <c r="AR96" s="360"/>
      <c r="AS96" s="360"/>
      <c r="AT96" s="360"/>
      <c r="AU96" s="360"/>
      <c r="AV96" s="360"/>
      <c r="AW96" s="360"/>
      <c r="AX96" s="360"/>
      <c r="AY96" s="360"/>
      <c r="AZ96" s="360"/>
      <c r="BA96" s="360"/>
      <c r="BB96" s="360"/>
      <c r="BC96" s="360"/>
      <c r="BD96" s="4"/>
      <c r="BF96" s="360"/>
      <c r="BG96" s="360"/>
      <c r="BH96" s="360"/>
      <c r="BI96" s="360"/>
      <c r="BJ96" s="360"/>
    </row>
    <row r="97" spans="2:62" hidden="1" outlineLevel="1">
      <c r="B97" s="5" t="s">
        <v>435</v>
      </c>
      <c r="C97" s="137">
        <f t="shared" ref="C97:J97" si="123">+C95+C96</f>
        <v>36686.699999999997</v>
      </c>
      <c r="D97" s="137">
        <f t="shared" si="123"/>
        <v>33997.199999999997</v>
      </c>
      <c r="E97" s="137">
        <f t="shared" si="123"/>
        <v>39223.699999999997</v>
      </c>
      <c r="F97" s="137">
        <f t="shared" si="123"/>
        <v>34795.5</v>
      </c>
      <c r="G97" s="137">
        <f t="shared" si="123"/>
        <v>35060.5</v>
      </c>
      <c r="H97" s="137">
        <f t="shared" si="123"/>
        <v>32613</v>
      </c>
      <c r="I97" s="137">
        <f t="shared" si="123"/>
        <v>35941.9</v>
      </c>
      <c r="J97" s="137">
        <f t="shared" si="123"/>
        <v>35941.9</v>
      </c>
      <c r="K97" s="360"/>
      <c r="L97" s="360"/>
      <c r="M97" s="360"/>
      <c r="N97" s="360"/>
      <c r="O97" s="360"/>
      <c r="P97" s="360"/>
      <c r="Q97" s="360"/>
      <c r="R97" s="207"/>
      <c r="S97" s="137">
        <f>+S95+S96</f>
        <v>7290.7</v>
      </c>
      <c r="T97" s="137">
        <f t="shared" ref="T97:Z97" si="124">+T95+T96</f>
        <v>8075.9000000000005</v>
      </c>
      <c r="U97" s="137">
        <f t="shared" si="124"/>
        <v>8024.9</v>
      </c>
      <c r="V97" s="137">
        <f t="shared" si="124"/>
        <v>10605.7</v>
      </c>
      <c r="W97" s="137">
        <f t="shared" si="124"/>
        <v>7899.4</v>
      </c>
      <c r="X97" s="137">
        <f t="shared" si="124"/>
        <v>10971.400000000001</v>
      </c>
      <c r="Y97" s="137">
        <f t="shared" si="124"/>
        <v>9710.1</v>
      </c>
      <c r="Z97" s="137">
        <f t="shared" si="124"/>
        <v>10642.800000000001</v>
      </c>
      <c r="AA97" s="137">
        <f t="shared" ref="AA97:AG97" si="125">+AA95+AA96</f>
        <v>7184.9</v>
      </c>
      <c r="AB97" s="137">
        <f t="shared" si="125"/>
        <v>8050</v>
      </c>
      <c r="AC97" s="137">
        <f t="shared" si="125"/>
        <v>8659</v>
      </c>
      <c r="AD97" s="137">
        <f t="shared" si="125"/>
        <v>10901.6</v>
      </c>
      <c r="AE97" s="137">
        <f t="shared" si="125"/>
        <v>6727.6</v>
      </c>
      <c r="AF97" s="137">
        <f t="shared" si="125"/>
        <v>6740.5999999999995</v>
      </c>
      <c r="AG97" s="137">
        <f t="shared" si="125"/>
        <v>8033.4</v>
      </c>
      <c r="AH97" s="137">
        <f>+AH95+AH96</f>
        <v>11111.400000000001</v>
      </c>
      <c r="AI97" s="137">
        <f>+AI95+AI96</f>
        <v>7416.1</v>
      </c>
      <c r="AJ97" s="137">
        <f>+AJ95+AJ96</f>
        <v>7856.7999999999993</v>
      </c>
      <c r="AK97" s="137">
        <f>+AK95+AK96</f>
        <v>9109.8000000000011</v>
      </c>
      <c r="AL97" s="137">
        <f>+AL95+AL96</f>
        <v>11559.2</v>
      </c>
      <c r="AM97" s="137"/>
      <c r="AN97" s="137"/>
      <c r="AO97" s="137"/>
      <c r="AP97" s="137"/>
      <c r="AQ97" s="137"/>
      <c r="AR97" s="137"/>
      <c r="AS97" s="137"/>
      <c r="AT97" s="137"/>
      <c r="AU97" s="137"/>
      <c r="AV97" s="137"/>
      <c r="AW97" s="137"/>
      <c r="AX97" s="137"/>
      <c r="AY97" s="137"/>
      <c r="AZ97" s="137"/>
      <c r="BA97" s="137"/>
      <c r="BB97" s="360"/>
      <c r="BC97" s="137"/>
      <c r="BD97" s="137"/>
      <c r="BF97" s="137">
        <f>+BF95+BF96</f>
        <v>11166.6</v>
      </c>
      <c r="BG97" s="137">
        <f>+BG95+BG96</f>
        <v>0</v>
      </c>
      <c r="BH97" s="137">
        <f>+BH95+BH96</f>
        <v>0</v>
      </c>
      <c r="BI97" s="137">
        <f>+BI95+BI96</f>
        <v>0</v>
      </c>
      <c r="BJ97" s="137">
        <f>+BJ95+BJ96</f>
        <v>0</v>
      </c>
    </row>
    <row r="98" spans="2:62" hidden="1" outlineLevel="1">
      <c r="R98" s="207"/>
    </row>
    <row r="99" spans="2:62" hidden="1" outlineLevel="1">
      <c r="B99" s="5" t="s">
        <v>410</v>
      </c>
      <c r="R99" s="207"/>
    </row>
    <row r="100" spans="2:62" hidden="1" outlineLevel="1">
      <c r="B100" s="5" t="s">
        <v>436</v>
      </c>
      <c r="R100" s="207"/>
    </row>
    <row r="101" spans="2:62" hidden="1" outlineLevel="1">
      <c r="B101" s="1" t="s">
        <v>437</v>
      </c>
      <c r="C101" s="358"/>
      <c r="D101" s="4">
        <v>8002526</v>
      </c>
      <c r="E101" s="4">
        <v>7637040</v>
      </c>
      <c r="F101" s="4">
        <v>7429351</v>
      </c>
      <c r="G101" s="4">
        <v>7429351</v>
      </c>
      <c r="H101" s="4">
        <v>7477294</v>
      </c>
      <c r="I101" s="4">
        <v>7408075</v>
      </c>
      <c r="J101" s="4">
        <v>7408075</v>
      </c>
      <c r="K101" s="4">
        <v>6257059</v>
      </c>
      <c r="L101" s="360"/>
      <c r="M101" s="4">
        <v>5567426</v>
      </c>
      <c r="N101" s="4">
        <v>5567426</v>
      </c>
      <c r="O101" s="4">
        <v>4696038</v>
      </c>
      <c r="P101" s="360"/>
      <c r="Q101" s="360"/>
      <c r="R101" s="207"/>
      <c r="S101" s="358"/>
      <c r="T101" s="358"/>
      <c r="U101" s="358"/>
      <c r="V101" s="358"/>
      <c r="W101" s="4">
        <v>7910225</v>
      </c>
      <c r="X101" s="4">
        <v>7961481</v>
      </c>
      <c r="Y101" s="4">
        <v>7835657</v>
      </c>
      <c r="Z101" s="358"/>
      <c r="AA101" s="4">
        <v>7386347</v>
      </c>
      <c r="AB101" s="4">
        <v>7393726</v>
      </c>
      <c r="AC101" s="4">
        <v>7412728</v>
      </c>
      <c r="AD101" s="32">
        <f>F101</f>
        <v>7429351</v>
      </c>
      <c r="AE101" s="4">
        <v>7437469</v>
      </c>
      <c r="AF101" s="4">
        <v>7457162</v>
      </c>
      <c r="AG101" s="4">
        <v>7472350</v>
      </c>
      <c r="AH101" s="32">
        <f>H101</f>
        <v>7477294</v>
      </c>
      <c r="AI101" s="4">
        <v>7487371</v>
      </c>
      <c r="AJ101" s="4">
        <v>7489876</v>
      </c>
      <c r="AK101" s="4">
        <v>7488278</v>
      </c>
      <c r="AL101" s="32">
        <f>J101</f>
        <v>7408075</v>
      </c>
      <c r="AM101" s="4">
        <v>7244246</v>
      </c>
      <c r="AN101" s="4">
        <v>7019369</v>
      </c>
      <c r="AO101" s="4">
        <v>6638602</v>
      </c>
      <c r="AP101" s="32">
        <f>K101</f>
        <v>6257059</v>
      </c>
      <c r="AQ101" s="4">
        <v>6073322</v>
      </c>
      <c r="AR101" s="4">
        <v>5909228</v>
      </c>
      <c r="AS101" s="4">
        <v>5697947</v>
      </c>
      <c r="AT101" s="32">
        <f>N101</f>
        <v>5567426</v>
      </c>
      <c r="AU101" s="4">
        <v>5354994</v>
      </c>
      <c r="AV101" s="4">
        <v>5144894</v>
      </c>
      <c r="AW101" s="4">
        <v>4927928</v>
      </c>
      <c r="AX101" s="32">
        <f>O101</f>
        <v>4696038</v>
      </c>
      <c r="AY101" s="4">
        <v>4404534</v>
      </c>
      <c r="AZ101" s="4">
        <v>4093569</v>
      </c>
      <c r="BA101" s="4">
        <v>3793812</v>
      </c>
      <c r="BB101" s="360"/>
      <c r="BC101" s="4">
        <v>4404534</v>
      </c>
      <c r="BD101" s="4"/>
      <c r="BF101" s="32">
        <f>G101</f>
        <v>7429351</v>
      </c>
      <c r="BG101" s="4">
        <v>7487371</v>
      </c>
      <c r="BH101" s="4">
        <v>7489876</v>
      </c>
      <c r="BI101" s="4">
        <v>7488278</v>
      </c>
      <c r="BJ101" s="4">
        <v>7408075</v>
      </c>
    </row>
    <row r="102" spans="2:62" hidden="1" outlineLevel="1">
      <c r="B102" s="1" t="s">
        <v>438</v>
      </c>
      <c r="C102" s="358"/>
      <c r="D102" s="360"/>
      <c r="E102" s="4">
        <v>91841</v>
      </c>
      <c r="F102" s="4">
        <v>386114</v>
      </c>
      <c r="G102" s="4">
        <v>386114</v>
      </c>
      <c r="H102" s="4">
        <v>665907</v>
      </c>
      <c r="I102" s="4">
        <v>727226</v>
      </c>
      <c r="J102" s="4">
        <v>727226</v>
      </c>
      <c r="K102" s="4">
        <v>640294</v>
      </c>
      <c r="L102" s="360"/>
      <c r="M102" s="4">
        <v>515089</v>
      </c>
      <c r="N102" s="4">
        <v>515089</v>
      </c>
      <c r="O102" s="4">
        <v>350885</v>
      </c>
      <c r="P102" s="360"/>
      <c r="Q102" s="360"/>
      <c r="R102" s="207"/>
      <c r="S102" s="358"/>
      <c r="T102" s="358"/>
      <c r="U102" s="358"/>
      <c r="V102" s="358"/>
      <c r="W102" s="366"/>
      <c r="X102" s="358"/>
      <c r="Y102" s="4">
        <v>51246</v>
      </c>
      <c r="Z102" s="358"/>
      <c r="AA102" s="4">
        <v>165262</v>
      </c>
      <c r="AB102" s="4">
        <v>238361</v>
      </c>
      <c r="AC102" s="4">
        <v>318977</v>
      </c>
      <c r="AD102" s="32">
        <f>F102</f>
        <v>386114</v>
      </c>
      <c r="AE102" s="4">
        <v>430412</v>
      </c>
      <c r="AF102" s="4">
        <v>502429</v>
      </c>
      <c r="AG102" s="4">
        <v>594011</v>
      </c>
      <c r="AH102" s="32">
        <f>H102</f>
        <v>665907</v>
      </c>
      <c r="AI102" s="4">
        <v>697948</v>
      </c>
      <c r="AJ102" s="4">
        <v>707115</v>
      </c>
      <c r="AK102" s="4">
        <v>722481</v>
      </c>
      <c r="AL102" s="32">
        <f>J102</f>
        <v>727226</v>
      </c>
      <c r="AM102" s="4">
        <v>719223</v>
      </c>
      <c r="AN102" s="4">
        <v>692767</v>
      </c>
      <c r="AO102" s="4">
        <v>667013</v>
      </c>
      <c r="AP102" s="32">
        <f>K102</f>
        <v>640294</v>
      </c>
      <c r="AQ102" s="4">
        <v>608122</v>
      </c>
      <c r="AR102" s="4">
        <v>575262</v>
      </c>
      <c r="AS102" s="4">
        <v>544954</v>
      </c>
      <c r="AT102" s="32">
        <f>N102</f>
        <v>515089</v>
      </c>
      <c r="AU102" s="4">
        <v>480875</v>
      </c>
      <c r="AV102" s="4">
        <v>438600</v>
      </c>
      <c r="AW102" s="4">
        <v>389305</v>
      </c>
      <c r="AX102" s="32">
        <f>O102</f>
        <v>350885</v>
      </c>
      <c r="AY102" s="4">
        <v>314697</v>
      </c>
      <c r="AZ102" s="4">
        <v>280214</v>
      </c>
      <c r="BA102" s="4">
        <v>251263</v>
      </c>
      <c r="BB102" s="360"/>
      <c r="BC102" s="4">
        <v>314697</v>
      </c>
      <c r="BD102" s="4"/>
      <c r="BF102" s="32">
        <f>G102</f>
        <v>386114</v>
      </c>
      <c r="BG102" s="4">
        <v>697948</v>
      </c>
      <c r="BH102" s="4">
        <v>707115</v>
      </c>
      <c r="BI102" s="4">
        <v>722481</v>
      </c>
      <c r="BJ102" s="4">
        <v>727226</v>
      </c>
    </row>
    <row r="103" spans="2:62" hidden="1" outlineLevel="1">
      <c r="B103" s="1" t="s">
        <v>439</v>
      </c>
      <c r="C103" s="358"/>
      <c r="D103" s="360"/>
      <c r="E103" s="4"/>
      <c r="F103" s="4">
        <v>1145</v>
      </c>
      <c r="G103" s="4">
        <v>1145</v>
      </c>
      <c r="H103" s="4">
        <v>892</v>
      </c>
      <c r="I103" s="4">
        <v>601</v>
      </c>
      <c r="J103" s="4">
        <v>601</v>
      </c>
      <c r="K103" s="4">
        <v>453</v>
      </c>
      <c r="L103" s="360"/>
      <c r="M103" s="4">
        <v>344</v>
      </c>
      <c r="N103" s="4">
        <v>344</v>
      </c>
      <c r="O103" s="4">
        <v>197</v>
      </c>
      <c r="P103" s="360"/>
      <c r="Q103" s="360"/>
      <c r="R103" s="207"/>
      <c r="S103" s="358"/>
      <c r="T103" s="358"/>
      <c r="U103" s="358"/>
      <c r="V103" s="358"/>
      <c r="W103" s="366"/>
      <c r="X103" s="358"/>
      <c r="Y103" s="358"/>
      <c r="Z103" s="358"/>
      <c r="AA103" s="4">
        <v>1493</v>
      </c>
      <c r="AB103" s="4">
        <v>1329</v>
      </c>
      <c r="AC103" s="4">
        <v>1252</v>
      </c>
      <c r="AD103" s="32">
        <f>F103</f>
        <v>1145</v>
      </c>
      <c r="AE103" s="4">
        <v>1052</v>
      </c>
      <c r="AF103" s="4">
        <v>945</v>
      </c>
      <c r="AG103" s="4">
        <v>837</v>
      </c>
      <c r="AH103" s="32">
        <f>H103</f>
        <v>892</v>
      </c>
      <c r="AI103" s="4">
        <v>7538</v>
      </c>
      <c r="AJ103" s="4">
        <v>685</v>
      </c>
      <c r="AK103" s="4">
        <v>649</v>
      </c>
      <c r="AL103" s="32">
        <f>J103</f>
        <v>601</v>
      </c>
      <c r="AM103" s="4">
        <v>559</v>
      </c>
      <c r="AN103" s="4">
        <v>531</v>
      </c>
      <c r="AO103" s="4">
        <v>489</v>
      </c>
      <c r="AP103" s="32">
        <f>K103</f>
        <v>453</v>
      </c>
      <c r="AQ103" s="4">
        <v>427</v>
      </c>
      <c r="AR103" s="4">
        <v>398</v>
      </c>
      <c r="AS103" s="4">
        <v>365</v>
      </c>
      <c r="AT103" s="32">
        <f>N103</f>
        <v>344</v>
      </c>
      <c r="AU103" s="4">
        <v>323</v>
      </c>
      <c r="AV103" s="4">
        <v>265</v>
      </c>
      <c r="AW103" s="4">
        <v>236</v>
      </c>
      <c r="AX103" s="32">
        <f>O103</f>
        <v>197</v>
      </c>
      <c r="AY103" s="4">
        <v>186</v>
      </c>
      <c r="AZ103" s="4">
        <v>162</v>
      </c>
      <c r="BA103" s="4">
        <v>163</v>
      </c>
      <c r="BB103" s="360"/>
      <c r="BC103" s="4">
        <v>186</v>
      </c>
      <c r="BD103" s="4"/>
      <c r="BF103" s="32">
        <f>G103</f>
        <v>1145</v>
      </c>
      <c r="BG103" s="4">
        <v>727</v>
      </c>
      <c r="BH103" s="4">
        <v>685</v>
      </c>
      <c r="BI103" s="4">
        <v>649</v>
      </c>
      <c r="BJ103" s="4">
        <v>601</v>
      </c>
    </row>
    <row r="104" spans="2:62" hidden="1" outlineLevel="1">
      <c r="B104" s="1" t="s">
        <v>440</v>
      </c>
      <c r="C104" s="358"/>
      <c r="D104" s="360"/>
      <c r="E104" s="4"/>
      <c r="F104" s="4"/>
      <c r="G104" s="4"/>
      <c r="H104" s="4"/>
      <c r="I104" s="4"/>
      <c r="J104" s="4">
        <v>30266</v>
      </c>
      <c r="K104" s="4">
        <v>15602</v>
      </c>
      <c r="L104" s="360"/>
      <c r="M104" s="4">
        <v>32502</v>
      </c>
      <c r="N104" s="4">
        <v>32502</v>
      </c>
      <c r="O104" s="4">
        <v>15501</v>
      </c>
      <c r="P104" s="360"/>
      <c r="Q104" s="360"/>
      <c r="R104" s="207"/>
      <c r="S104" s="358"/>
      <c r="T104" s="358"/>
      <c r="U104" s="358"/>
      <c r="V104" s="358"/>
      <c r="W104" s="366"/>
      <c r="X104" s="358"/>
      <c r="Y104" s="358"/>
      <c r="Z104" s="358"/>
      <c r="AA104" s="4"/>
      <c r="AB104" s="4"/>
      <c r="AC104" s="4"/>
      <c r="AD104" s="32"/>
      <c r="AE104" s="4"/>
      <c r="AF104" s="4"/>
      <c r="AG104" s="4"/>
      <c r="AH104" s="32"/>
      <c r="AI104" s="4"/>
      <c r="AJ104" s="4">
        <v>14532</v>
      </c>
      <c r="AK104" s="4">
        <v>27555</v>
      </c>
      <c r="AL104" s="32"/>
      <c r="AM104" s="4">
        <v>26920</v>
      </c>
      <c r="AN104" s="4">
        <v>22331</v>
      </c>
      <c r="AO104" s="4">
        <v>17705</v>
      </c>
      <c r="AP104" s="32">
        <f>K104</f>
        <v>15602</v>
      </c>
      <c r="AQ104" s="4">
        <v>16381</v>
      </c>
      <c r="AR104" s="4">
        <v>22395</v>
      </c>
      <c r="AS104" s="4">
        <v>32514</v>
      </c>
      <c r="AT104" s="32">
        <f>N104</f>
        <v>32502</v>
      </c>
      <c r="AU104" s="4">
        <v>28604</v>
      </c>
      <c r="AV104" s="4">
        <v>19086</v>
      </c>
      <c r="AW104" s="4">
        <v>15523</v>
      </c>
      <c r="AX104" s="32">
        <f>O104</f>
        <v>15501</v>
      </c>
      <c r="AY104" s="4">
        <v>12394</v>
      </c>
      <c r="AZ104" s="4">
        <v>11286</v>
      </c>
      <c r="BA104" s="4">
        <v>10598</v>
      </c>
      <c r="BB104" s="360"/>
      <c r="BC104" s="4">
        <v>12394</v>
      </c>
      <c r="BD104" s="4"/>
      <c r="BF104" s="32"/>
      <c r="BG104" s="4">
        <v>6811</v>
      </c>
      <c r="BH104" s="4">
        <v>14532</v>
      </c>
      <c r="BI104" s="4">
        <v>27555</v>
      </c>
      <c r="BJ104" s="4">
        <v>30266</v>
      </c>
    </row>
    <row r="105" spans="2:62" s="5" customFormat="1" hidden="1" outlineLevel="1">
      <c r="B105" s="5" t="s">
        <v>441</v>
      </c>
      <c r="C105" s="7">
        <f t="shared" ref="C105:H105" si="126">+C101+C102+C103</f>
        <v>0</v>
      </c>
      <c r="D105" s="7">
        <f t="shared" si="126"/>
        <v>8002526</v>
      </c>
      <c r="E105" s="7">
        <f t="shared" si="126"/>
        <v>7728881</v>
      </c>
      <c r="F105" s="7">
        <f t="shared" si="126"/>
        <v>7816610</v>
      </c>
      <c r="G105" s="7">
        <f t="shared" si="126"/>
        <v>7816610</v>
      </c>
      <c r="H105" s="7">
        <f t="shared" si="126"/>
        <v>8144093</v>
      </c>
      <c r="I105" s="7">
        <f>+I101+I102+I103</f>
        <v>8135902</v>
      </c>
      <c r="J105" s="7">
        <f>SUM(J101:J104)</f>
        <v>8166168</v>
      </c>
      <c r="K105" s="7">
        <f>SUM(K101:K104)</f>
        <v>6913408</v>
      </c>
      <c r="L105" s="360"/>
      <c r="M105" s="7">
        <f>SUM(M101:M104)</f>
        <v>6115361</v>
      </c>
      <c r="N105" s="7">
        <f>SUM(N101:N104)</f>
        <v>6115361</v>
      </c>
      <c r="O105" s="7">
        <f>SUM(O101:O104)</f>
        <v>5062621</v>
      </c>
      <c r="P105" s="365"/>
      <c r="Q105" s="365"/>
      <c r="R105" s="207"/>
      <c r="S105" s="361"/>
      <c r="T105" s="361"/>
      <c r="U105" s="361"/>
      <c r="V105" s="361"/>
      <c r="W105" s="7">
        <f>+W101+W102+W103</f>
        <v>7910225</v>
      </c>
      <c r="X105" s="7">
        <f>+X101+X102+X103</f>
        <v>7961481</v>
      </c>
      <c r="Y105" s="7">
        <f>+Y101+Y102+Y103</f>
        <v>7886903</v>
      </c>
      <c r="Z105" s="361"/>
      <c r="AA105" s="7">
        <f t="shared" ref="AA105:AH105" si="127">+AA101+AA102+AA103</f>
        <v>7553102</v>
      </c>
      <c r="AB105" s="7">
        <f t="shared" si="127"/>
        <v>7633416</v>
      </c>
      <c r="AC105" s="7">
        <f t="shared" si="127"/>
        <v>7732957</v>
      </c>
      <c r="AD105" s="7">
        <f t="shared" si="127"/>
        <v>7816610</v>
      </c>
      <c r="AE105" s="7">
        <f t="shared" si="127"/>
        <v>7868933</v>
      </c>
      <c r="AF105" s="7">
        <f t="shared" si="127"/>
        <v>7960536</v>
      </c>
      <c r="AG105" s="7">
        <f t="shared" si="127"/>
        <v>8067198</v>
      </c>
      <c r="AH105" s="7">
        <f t="shared" si="127"/>
        <v>8144093</v>
      </c>
      <c r="AI105" s="7">
        <f>+AI101+AI102+AI103</f>
        <v>8192857</v>
      </c>
      <c r="AJ105" s="7">
        <f>+AJ101+AJ102+AJ103+AJ104</f>
        <v>8212208</v>
      </c>
      <c r="AK105" s="7">
        <f>+AK101+AK102+AK103+AK104</f>
        <v>8238963</v>
      </c>
      <c r="AL105" s="7">
        <f>+AL101+AL102+AL103</f>
        <v>8135902</v>
      </c>
      <c r="AM105" s="7">
        <f>+AM101+AM102+AM103+AM104</f>
        <v>7990948</v>
      </c>
      <c r="AN105" s="7">
        <f>+AN101+AN102+AN103+AN104</f>
        <v>7734998</v>
      </c>
      <c r="AO105" s="7">
        <f>+AO101+AO102+AO103+AO104</f>
        <v>7323809</v>
      </c>
      <c r="AP105" s="7">
        <f>SUM(AP101:AP104)</f>
        <v>6913408</v>
      </c>
      <c r="AQ105" s="7">
        <f>+AQ101+AQ102+AQ103+AQ104</f>
        <v>6698252</v>
      </c>
      <c r="AR105" s="7">
        <f>+AR101+AR102+AR103+AR104</f>
        <v>6507283</v>
      </c>
      <c r="AS105" s="7">
        <f>+AS101+AS102+AS103+AS104</f>
        <v>6275780</v>
      </c>
      <c r="AT105" s="7">
        <f>SUM(AT101:AT104)</f>
        <v>6115361</v>
      </c>
      <c r="AU105" s="7">
        <f>+AU101+AU102+AU103+AU104</f>
        <v>5864796</v>
      </c>
      <c r="AV105" s="7">
        <f>+AV101+AV102+AV103+AV104</f>
        <v>5602845</v>
      </c>
      <c r="AW105" s="7">
        <f>+AW101+AW102+AW103+AW104</f>
        <v>5332992</v>
      </c>
      <c r="AX105" s="7">
        <f>SUM(AX101:AX104)</f>
        <v>5062621</v>
      </c>
      <c r="AY105" s="7">
        <f>+AY101+AY102+AY103+AY104</f>
        <v>4731811</v>
      </c>
      <c r="AZ105" s="7">
        <f>+AZ101+AZ102+AZ103+AZ104</f>
        <v>4385231</v>
      </c>
      <c r="BA105" s="7">
        <f>+BA101+BA102+BA103+BA104</f>
        <v>4055836</v>
      </c>
      <c r="BB105" s="365"/>
      <c r="BC105" s="7">
        <f>+BC101+BC102+BC103+BC104</f>
        <v>4731811</v>
      </c>
      <c r="BD105" s="7"/>
      <c r="BF105" s="7">
        <f>+BF101+BF102+BF103</f>
        <v>7816610</v>
      </c>
      <c r="BG105" s="7">
        <f>+BG101+BG102+BG103+BG104</f>
        <v>8192857</v>
      </c>
      <c r="BH105" s="7">
        <f>+BH101+BH102+BH103+BH104</f>
        <v>8212208</v>
      </c>
      <c r="BI105" s="7">
        <f>+BI101+BI102+BI103+BI104</f>
        <v>8238963</v>
      </c>
      <c r="BJ105" s="7">
        <f>SUM(BJ101:BJ104)</f>
        <v>8166168</v>
      </c>
    </row>
    <row r="106" spans="2:62" hidden="1" outlineLevel="1">
      <c r="R106" s="207"/>
    </row>
    <row r="107" spans="2:62" hidden="1" outlineLevel="1">
      <c r="B107" s="5" t="s">
        <v>411</v>
      </c>
      <c r="R107" s="207"/>
    </row>
    <row r="108" spans="2:62" hidden="1" outlineLevel="1">
      <c r="B108" s="5" t="s">
        <v>442</v>
      </c>
      <c r="R108" s="207"/>
    </row>
    <row r="109" spans="2:62" hidden="1" outlineLevel="1">
      <c r="B109" s="1" t="s">
        <v>437</v>
      </c>
      <c r="C109" s="4">
        <v>4205864</v>
      </c>
      <c r="D109" s="4">
        <v>4185150</v>
      </c>
      <c r="E109" s="4">
        <v>4384247</v>
      </c>
      <c r="F109" s="4">
        <v>4318863</v>
      </c>
      <c r="G109" s="4">
        <v>4318863</v>
      </c>
      <c r="H109" s="4">
        <v>4284682</v>
      </c>
      <c r="I109" s="4">
        <v>4166460</v>
      </c>
      <c r="J109" s="4">
        <v>4166460</v>
      </c>
      <c r="K109" s="4">
        <v>4458220</v>
      </c>
      <c r="L109" s="360"/>
      <c r="M109" s="4">
        <v>4059494</v>
      </c>
      <c r="N109" s="4">
        <v>4059494</v>
      </c>
      <c r="O109" s="4">
        <v>3846518</v>
      </c>
      <c r="P109" s="360"/>
      <c r="Q109" s="360"/>
      <c r="R109" s="207"/>
      <c r="S109" s="4">
        <v>4066899</v>
      </c>
      <c r="T109" s="4">
        <v>4092414</v>
      </c>
      <c r="U109" s="4">
        <v>4123373</v>
      </c>
      <c r="V109" s="32">
        <f>D109</f>
        <v>4185150</v>
      </c>
      <c r="W109" s="4">
        <v>4237862</v>
      </c>
      <c r="X109" s="4">
        <v>4315859</v>
      </c>
      <c r="Y109" s="4">
        <v>4281125</v>
      </c>
      <c r="Z109" s="32">
        <f>E109</f>
        <v>4384247</v>
      </c>
      <c r="AA109" s="4">
        <v>4375626</v>
      </c>
      <c r="AB109" s="4">
        <v>4387007</v>
      </c>
      <c r="AC109" s="4">
        <v>4345020</v>
      </c>
      <c r="AD109" s="32">
        <f>F109</f>
        <v>4318863</v>
      </c>
      <c r="AE109" s="4">
        <v>4308058</v>
      </c>
      <c r="AF109" s="4">
        <v>4335478</v>
      </c>
      <c r="AG109" s="4">
        <v>4333908</v>
      </c>
      <c r="AH109" s="32">
        <f>H109</f>
        <v>4284682</v>
      </c>
      <c r="AI109" s="4">
        <v>4246101</v>
      </c>
      <c r="AJ109" s="4">
        <v>4214596</v>
      </c>
      <c r="AK109" s="4">
        <v>4155529</v>
      </c>
      <c r="AL109" s="32">
        <f>J109</f>
        <v>4166460</v>
      </c>
      <c r="AM109" s="4">
        <v>4255501</v>
      </c>
      <c r="AN109" s="4">
        <v>4334648</v>
      </c>
      <c r="AO109" s="4">
        <v>4405695</v>
      </c>
      <c r="AP109" s="32">
        <f>K109</f>
        <v>4458220</v>
      </c>
      <c r="AQ109" s="4">
        <v>4489090</v>
      </c>
      <c r="AR109" s="4">
        <v>4442900</v>
      </c>
      <c r="AS109" s="4">
        <v>4059390</v>
      </c>
      <c r="AT109" s="32">
        <f>N109</f>
        <v>4059494</v>
      </c>
      <c r="AU109" s="4">
        <v>4062248</v>
      </c>
      <c r="AV109" s="4">
        <v>3996657</v>
      </c>
      <c r="AW109" s="4">
        <v>3941178</v>
      </c>
      <c r="AX109" s="32">
        <f>O109</f>
        <v>3846518</v>
      </c>
      <c r="AY109" s="4">
        <v>3773536</v>
      </c>
      <c r="AZ109" s="4">
        <v>3720523</v>
      </c>
      <c r="BA109" s="4">
        <v>3677832</v>
      </c>
      <c r="BB109" s="360"/>
      <c r="BC109" s="4">
        <v>3773536</v>
      </c>
      <c r="BD109" s="4"/>
      <c r="BF109" s="32">
        <f>G109</f>
        <v>4318863</v>
      </c>
      <c r="BG109" s="4">
        <v>4246101</v>
      </c>
      <c r="BH109" s="4">
        <v>4214596</v>
      </c>
      <c r="BI109" s="4">
        <v>4155529</v>
      </c>
      <c r="BJ109" s="4">
        <v>4166460</v>
      </c>
    </row>
    <row r="110" spans="2:62" hidden="1" outlineLevel="1">
      <c r="B110" s="1" t="s">
        <v>438</v>
      </c>
      <c r="C110" s="4">
        <v>3411790</v>
      </c>
      <c r="D110" s="4">
        <v>3797336</v>
      </c>
      <c r="E110" s="4">
        <v>4479017</v>
      </c>
      <c r="F110" s="4">
        <v>4696054</v>
      </c>
      <c r="G110" s="4">
        <v>4696054</v>
      </c>
      <c r="H110" s="4">
        <v>5430859</v>
      </c>
      <c r="I110" s="4">
        <v>5649102</v>
      </c>
      <c r="J110" s="4">
        <v>5649102</v>
      </c>
      <c r="K110" s="4">
        <v>5984151</v>
      </c>
      <c r="L110" s="360"/>
      <c r="M110" s="4">
        <v>5678431</v>
      </c>
      <c r="N110" s="4">
        <v>5678431</v>
      </c>
      <c r="O110" s="4">
        <v>5626206</v>
      </c>
      <c r="P110" s="360"/>
      <c r="Q110" s="360"/>
      <c r="R110" s="207"/>
      <c r="S110" s="4">
        <v>3376559</v>
      </c>
      <c r="T110" s="4">
        <v>3495575</v>
      </c>
      <c r="U110" s="4">
        <v>3640132</v>
      </c>
      <c r="V110" s="32">
        <f>D110</f>
        <v>3797336</v>
      </c>
      <c r="W110" s="4">
        <v>3970473</v>
      </c>
      <c r="X110" s="4">
        <v>4106599</v>
      </c>
      <c r="Y110" s="4">
        <v>4168248</v>
      </c>
      <c r="Z110" s="32">
        <f>E110</f>
        <v>4479017</v>
      </c>
      <c r="AA110" s="4">
        <v>4567517</v>
      </c>
      <c r="AB110" s="4">
        <v>4640275</v>
      </c>
      <c r="AC110" s="4">
        <v>4658764</v>
      </c>
      <c r="AD110" s="32">
        <f>F110</f>
        <v>4696054</v>
      </c>
      <c r="AE110" s="4">
        <v>4817103</v>
      </c>
      <c r="AF110" s="4">
        <v>5069277</v>
      </c>
      <c r="AG110" s="4">
        <v>5303245</v>
      </c>
      <c r="AH110" s="32">
        <f>H110</f>
        <v>5430859</v>
      </c>
      <c r="AI110" s="4">
        <v>5534819</v>
      </c>
      <c r="AJ110" s="4">
        <v>5566188</v>
      </c>
      <c r="AK110" s="4">
        <v>5590783</v>
      </c>
      <c r="AL110" s="32">
        <f>J110</f>
        <v>5649102</v>
      </c>
      <c r="AM110" s="4">
        <v>5732026</v>
      </c>
      <c r="AN110" s="4">
        <v>5809590</v>
      </c>
      <c r="AO110" s="4">
        <v>5905824</v>
      </c>
      <c r="AP110" s="32">
        <f>K110</f>
        <v>5984151</v>
      </c>
      <c r="AQ110" s="4">
        <v>6068862</v>
      </c>
      <c r="AR110" s="4">
        <v>4442900</v>
      </c>
      <c r="AS110" s="4">
        <v>5677836</v>
      </c>
      <c r="AT110" s="32">
        <f>N110</f>
        <v>5678431</v>
      </c>
      <c r="AU110" s="4">
        <v>5689143</v>
      </c>
      <c r="AV110" s="4">
        <v>5699824</v>
      </c>
      <c r="AW110" s="4">
        <v>5711169</v>
      </c>
      <c r="AX110" s="32">
        <f>O110</f>
        <v>5626206</v>
      </c>
      <c r="AY110" s="4">
        <v>5620444</v>
      </c>
      <c r="AZ110" s="4">
        <v>5626825</v>
      </c>
      <c r="BA110" s="4">
        <v>5648408</v>
      </c>
      <c r="BB110" s="360"/>
      <c r="BC110" s="4">
        <v>5620444</v>
      </c>
      <c r="BD110" s="4"/>
      <c r="BF110" s="32">
        <f>G110</f>
        <v>4696054</v>
      </c>
      <c r="BG110" s="4">
        <v>5534819</v>
      </c>
      <c r="BH110" s="4">
        <v>5566188</v>
      </c>
      <c r="BI110" s="4">
        <v>5590783</v>
      </c>
      <c r="BJ110" s="4">
        <v>5649102</v>
      </c>
    </row>
    <row r="111" spans="2:62" hidden="1" outlineLevel="1">
      <c r="B111" s="1" t="s">
        <v>439</v>
      </c>
      <c r="C111" s="4">
        <v>2113282</v>
      </c>
      <c r="D111" s="4">
        <v>2121952</v>
      </c>
      <c r="E111" s="4">
        <v>2978508</v>
      </c>
      <c r="F111" s="4">
        <v>3637992</v>
      </c>
      <c r="G111" s="4">
        <v>3637992</v>
      </c>
      <c r="H111" s="4">
        <f>4296530+75515</f>
        <v>4372045</v>
      </c>
      <c r="I111" s="4">
        <f>4617265+156051</f>
        <v>4773316</v>
      </c>
      <c r="J111" s="4">
        <f>4617265+156051</f>
        <v>4773316</v>
      </c>
      <c r="K111" s="4">
        <v>5233724</v>
      </c>
      <c r="L111" s="360"/>
      <c r="M111" s="4">
        <v>5351145</v>
      </c>
      <c r="N111" s="4">
        <v>5351145</v>
      </c>
      <c r="O111" s="4">
        <v>5382949</v>
      </c>
      <c r="P111" s="360"/>
      <c r="Q111" s="360"/>
      <c r="R111" s="207"/>
      <c r="S111" s="4">
        <v>2061059</v>
      </c>
      <c r="T111" s="4">
        <v>2075844</v>
      </c>
      <c r="U111" s="4">
        <v>2099065</v>
      </c>
      <c r="V111" s="32">
        <f>D111</f>
        <v>2121952</v>
      </c>
      <c r="W111" s="4">
        <v>2158238</v>
      </c>
      <c r="X111" s="4">
        <v>2273073</v>
      </c>
      <c r="Y111" s="4">
        <v>2519972</v>
      </c>
      <c r="Z111" s="32">
        <f>E111</f>
        <v>2978508</v>
      </c>
      <c r="AA111" s="4">
        <v>3183248</v>
      </c>
      <c r="AB111" s="4">
        <v>3385387</v>
      </c>
      <c r="AC111" s="4">
        <v>3534461</v>
      </c>
      <c r="AD111" s="32">
        <f>F111</f>
        <v>3637992</v>
      </c>
      <c r="AE111" s="4">
        <v>3783519</v>
      </c>
      <c r="AF111" s="4">
        <v>3998047</v>
      </c>
      <c r="AG111" s="4">
        <f>4187264+40114</f>
        <v>4227378</v>
      </c>
      <c r="AH111" s="32">
        <f>H111</f>
        <v>4372045</v>
      </c>
      <c r="AI111" s="4">
        <f>4382405+93574</f>
        <v>4475979</v>
      </c>
      <c r="AJ111" s="4">
        <v>4417438</v>
      </c>
      <c r="AK111" s="4">
        <v>4485738</v>
      </c>
      <c r="AL111" s="32">
        <f>J111</f>
        <v>4773316</v>
      </c>
      <c r="AM111" s="4">
        <v>4764592</v>
      </c>
      <c r="AN111" s="4">
        <v>4911727</v>
      </c>
      <c r="AO111" s="4">
        <v>5064075</v>
      </c>
      <c r="AP111" s="32">
        <f>K111</f>
        <v>5233724</v>
      </c>
      <c r="AQ111" s="4">
        <v>5408560</v>
      </c>
      <c r="AR111" s="4">
        <v>5466034</v>
      </c>
      <c r="AS111" s="4">
        <v>5350757</v>
      </c>
      <c r="AT111" s="32">
        <f>N111</f>
        <v>5351145</v>
      </c>
      <c r="AU111" s="4">
        <v>5355450</v>
      </c>
      <c r="AV111" s="4">
        <v>5389305</v>
      </c>
      <c r="AW111" s="4">
        <v>5418270</v>
      </c>
      <c r="AX111" s="32">
        <f>O111</f>
        <v>5382949</v>
      </c>
      <c r="AY111" s="4">
        <v>5444680</v>
      </c>
      <c r="AZ111" s="4">
        <v>5472194</v>
      </c>
      <c r="BA111" s="4">
        <v>5512882</v>
      </c>
      <c r="BB111" s="360"/>
      <c r="BC111" s="4">
        <v>5444680</v>
      </c>
      <c r="BD111" s="4"/>
      <c r="BF111" s="32">
        <f>G111</f>
        <v>3637992</v>
      </c>
      <c r="BG111" s="4">
        <v>4382405</v>
      </c>
      <c r="BH111" s="4">
        <v>4417438</v>
      </c>
      <c r="BI111" s="4">
        <v>4485738</v>
      </c>
      <c r="BJ111" s="4">
        <f>4617265+156051</f>
        <v>4773316</v>
      </c>
    </row>
    <row r="112" spans="2:62" hidden="1" outlineLevel="1">
      <c r="B112" s="1" t="s">
        <v>440</v>
      </c>
      <c r="C112" s="4"/>
      <c r="D112" s="4"/>
      <c r="E112" s="4"/>
      <c r="F112" s="4"/>
      <c r="G112" s="4"/>
      <c r="H112" s="4"/>
      <c r="I112" s="4"/>
      <c r="J112" s="4"/>
      <c r="K112" s="4">
        <v>240207</v>
      </c>
      <c r="L112" s="360"/>
      <c r="M112" s="4">
        <v>307807</v>
      </c>
      <c r="N112" s="4">
        <v>307807</v>
      </c>
      <c r="O112" s="4">
        <v>333973</v>
      </c>
      <c r="P112" s="360"/>
      <c r="Q112" s="360"/>
      <c r="R112" s="207"/>
      <c r="S112" s="4"/>
      <c r="T112" s="4"/>
      <c r="U112" s="4"/>
      <c r="V112" s="32"/>
      <c r="W112" s="4"/>
      <c r="X112" s="4"/>
      <c r="Y112" s="4"/>
      <c r="Z112" s="32"/>
      <c r="AA112" s="4"/>
      <c r="AB112" s="4"/>
      <c r="AC112" s="4"/>
      <c r="AD112" s="32"/>
      <c r="AE112" s="4"/>
      <c r="AF112" s="4"/>
      <c r="AG112" s="4"/>
      <c r="AH112" s="32"/>
      <c r="AI112" s="4"/>
      <c r="AJ112" s="4">
        <v>120777</v>
      </c>
      <c r="AK112" s="4">
        <v>138979</v>
      </c>
      <c r="AL112" s="32">
        <f>J112</f>
        <v>0</v>
      </c>
      <c r="AM112" s="4">
        <v>172978</v>
      </c>
      <c r="AN112" s="4">
        <v>194354</v>
      </c>
      <c r="AO112" s="4">
        <v>213527</v>
      </c>
      <c r="AP112" s="32">
        <f>K112</f>
        <v>240207</v>
      </c>
      <c r="AQ112" s="4">
        <v>264313</v>
      </c>
      <c r="AR112" s="4">
        <v>285398</v>
      </c>
      <c r="AS112" s="4">
        <v>299292</v>
      </c>
      <c r="AT112" s="32">
        <f>N112</f>
        <v>307807</v>
      </c>
      <c r="AU112" s="4">
        <v>317924</v>
      </c>
      <c r="AV112" s="4">
        <v>327406</v>
      </c>
      <c r="AW112" s="4">
        <v>322957</v>
      </c>
      <c r="AX112" s="32">
        <f>O112</f>
        <v>333973</v>
      </c>
      <c r="AY112" s="4">
        <v>380112</v>
      </c>
      <c r="AZ112" s="4">
        <v>463601</v>
      </c>
      <c r="BA112" s="4">
        <v>557608</v>
      </c>
      <c r="BB112" s="360"/>
      <c r="BC112" s="4">
        <v>380112</v>
      </c>
      <c r="BD112" s="4"/>
      <c r="BF112" s="32"/>
      <c r="BG112" s="4">
        <v>93574</v>
      </c>
      <c r="BH112" s="4">
        <v>120777</v>
      </c>
      <c r="BI112" s="4">
        <v>138979</v>
      </c>
      <c r="BJ112" s="4"/>
    </row>
    <row r="113" spans="2:62" s="5" customFormat="1" hidden="1" outlineLevel="1">
      <c r="B113" s="5" t="s">
        <v>441</v>
      </c>
      <c r="C113" s="7">
        <f t="shared" ref="C113:H113" si="128">+C109+C110+C111</f>
        <v>9730936</v>
      </c>
      <c r="D113" s="7">
        <f t="shared" si="128"/>
        <v>10104438</v>
      </c>
      <c r="E113" s="7">
        <f t="shared" si="128"/>
        <v>11841772</v>
      </c>
      <c r="F113" s="7">
        <f t="shared" si="128"/>
        <v>12652909</v>
      </c>
      <c r="G113" s="7">
        <f t="shared" si="128"/>
        <v>12652909</v>
      </c>
      <c r="H113" s="7">
        <f t="shared" si="128"/>
        <v>14087586</v>
      </c>
      <c r="I113" s="7">
        <f>+I109+I110+I111</f>
        <v>14588878</v>
      </c>
      <c r="J113" s="7">
        <f>+J109+J110+J111</f>
        <v>14588878</v>
      </c>
      <c r="K113" s="7">
        <f>SUM(K109:K112)</f>
        <v>15916302</v>
      </c>
      <c r="L113" s="360"/>
      <c r="M113" s="7">
        <f>SUM(M109:M112)</f>
        <v>15396877</v>
      </c>
      <c r="N113" s="7">
        <f>SUM(N109:N112)</f>
        <v>15396877</v>
      </c>
      <c r="O113" s="7">
        <f>SUM(O109:O112)</f>
        <v>15189646</v>
      </c>
      <c r="P113" s="365"/>
      <c r="Q113" s="365"/>
      <c r="R113" s="207"/>
      <c r="S113" s="7">
        <f t="shared" ref="S113:Z113" si="129">+S109+S110+S111</f>
        <v>9504517</v>
      </c>
      <c r="T113" s="7">
        <f t="shared" si="129"/>
        <v>9663833</v>
      </c>
      <c r="U113" s="7">
        <f t="shared" si="129"/>
        <v>9862570</v>
      </c>
      <c r="V113" s="4">
        <f t="shared" si="129"/>
        <v>10104438</v>
      </c>
      <c r="W113" s="7">
        <f t="shared" si="129"/>
        <v>10366573</v>
      </c>
      <c r="X113" s="7">
        <f t="shared" si="129"/>
        <v>10695531</v>
      </c>
      <c r="Y113" s="7">
        <f t="shared" si="129"/>
        <v>10969345</v>
      </c>
      <c r="Z113" s="7">
        <f t="shared" si="129"/>
        <v>11841772</v>
      </c>
      <c r="AA113" s="7">
        <f t="shared" ref="AA113:AG113" si="130">+AA109+AA110+AA111</f>
        <v>12126391</v>
      </c>
      <c r="AB113" s="7">
        <f t="shared" si="130"/>
        <v>12412669</v>
      </c>
      <c r="AC113" s="7">
        <f t="shared" si="130"/>
        <v>12538245</v>
      </c>
      <c r="AD113" s="7">
        <f t="shared" si="130"/>
        <v>12652909</v>
      </c>
      <c r="AE113" s="7">
        <f t="shared" si="130"/>
        <v>12908680</v>
      </c>
      <c r="AF113" s="7">
        <f t="shared" si="130"/>
        <v>13402802</v>
      </c>
      <c r="AG113" s="7">
        <f t="shared" si="130"/>
        <v>13864531</v>
      </c>
      <c r="AH113" s="7">
        <f>+AH109+AH110+AH111</f>
        <v>14087586</v>
      </c>
      <c r="AI113" s="7">
        <f>+AI109+AI110+AI111</f>
        <v>14256899</v>
      </c>
      <c r="AJ113" s="7">
        <f>+AJ109+AJ110+AJ111+AJ112</f>
        <v>14318999</v>
      </c>
      <c r="AK113" s="7">
        <f>+AK109+AK110+AK111+AK112</f>
        <v>14371029</v>
      </c>
      <c r="AL113" s="7">
        <f>+AL109+AL110+AL111</f>
        <v>14588878</v>
      </c>
      <c r="AM113" s="7">
        <f>+AM109+AM110+AM111+AM112</f>
        <v>14925097</v>
      </c>
      <c r="AN113" s="7">
        <f>+AN109+AN110+AN111+AN112</f>
        <v>15250319</v>
      </c>
      <c r="AO113" s="7">
        <f>+AO109+AO110+AO111+AO112</f>
        <v>15589121</v>
      </c>
      <c r="AP113" s="7">
        <f>SUM(AP109:AP112)</f>
        <v>15916302</v>
      </c>
      <c r="AQ113" s="7">
        <f>+AQ109+AQ110+AQ111+AQ112</f>
        <v>16230825</v>
      </c>
      <c r="AR113" s="7">
        <f>+AR109+AR110+AR111+AR112</f>
        <v>14637232</v>
      </c>
      <c r="AS113" s="7">
        <f>+AS109+AS110+AS111+AS112</f>
        <v>15387275</v>
      </c>
      <c r="AT113" s="7">
        <f>SUM(AT109:AT112)</f>
        <v>15396877</v>
      </c>
      <c r="AU113" s="7">
        <f>+AU109+AU110+AU111+AU112</f>
        <v>15424765</v>
      </c>
      <c r="AV113" s="7">
        <f>+AV109+AV110+AV111+AV112</f>
        <v>15413192</v>
      </c>
      <c r="AW113" s="7">
        <f>+AW109+AW110+AW111+AW112</f>
        <v>15393574</v>
      </c>
      <c r="AX113" s="7">
        <f>SUM(AX109:AX112)</f>
        <v>15189646</v>
      </c>
      <c r="AY113" s="7">
        <f>+AY109+AY110+AY111+AY112</f>
        <v>15218772</v>
      </c>
      <c r="AZ113" s="7">
        <f>+AZ109+AZ110+AZ111+AZ112</f>
        <v>15283143</v>
      </c>
      <c r="BA113" s="7">
        <f>+BA109+BA110+BA111+BA112</f>
        <v>15396730</v>
      </c>
      <c r="BB113" s="365"/>
      <c r="BC113" s="7">
        <f>+BC109+BC110+BC111+BC112</f>
        <v>15218772</v>
      </c>
      <c r="BD113" s="7"/>
      <c r="BF113" s="7">
        <f>+BF109+BF110+BF111</f>
        <v>12652909</v>
      </c>
      <c r="BG113" s="7">
        <f>+BG109+BG110+BG111+BG112</f>
        <v>14256899</v>
      </c>
      <c r="BH113" s="7">
        <f>+BH109+BH110+BH111+BH112</f>
        <v>14318999</v>
      </c>
      <c r="BI113" s="7">
        <f>+BI109+BI110+BI111+BI112</f>
        <v>14371029</v>
      </c>
      <c r="BJ113" s="7">
        <f>+BJ109+BJ110+BJ111</f>
        <v>14588878</v>
      </c>
    </row>
    <row r="114" spans="2:62" s="5" customFormat="1" hidden="1" outlineLevel="1">
      <c r="C114" s="7"/>
      <c r="D114" s="7"/>
      <c r="E114" s="7"/>
      <c r="F114" s="7"/>
      <c r="G114" s="7"/>
      <c r="H114" s="7"/>
      <c r="I114" s="7"/>
      <c r="J114" s="7"/>
      <c r="K114" s="7"/>
      <c r="L114" s="360"/>
      <c r="M114" s="7"/>
      <c r="N114" s="7"/>
      <c r="O114" s="7"/>
      <c r="P114" s="365"/>
      <c r="Q114" s="365"/>
      <c r="R114" s="207"/>
      <c r="S114" s="7"/>
      <c r="T114" s="7"/>
      <c r="U114" s="7"/>
      <c r="V114" s="4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365"/>
      <c r="BC114" s="7"/>
      <c r="BD114" s="7"/>
      <c r="BF114" s="7"/>
      <c r="BG114" s="7"/>
      <c r="BH114" s="7"/>
      <c r="BI114" s="7"/>
      <c r="BJ114" s="7"/>
    </row>
    <row r="115" spans="2:62" s="5" customFormat="1" collapsed="1">
      <c r="C115" s="7"/>
      <c r="D115" s="7"/>
      <c r="E115" s="7"/>
      <c r="F115" s="7"/>
      <c r="G115" s="7"/>
      <c r="H115" s="7"/>
      <c r="I115" s="7"/>
      <c r="J115" s="7"/>
      <c r="K115" s="7"/>
      <c r="L115" s="360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F115" s="7"/>
      <c r="BG115" s="7"/>
      <c r="BH115" s="7"/>
      <c r="BI115" s="7"/>
      <c r="BJ115" s="7"/>
    </row>
    <row r="116" spans="2:62">
      <c r="R116" s="7"/>
    </row>
    <row r="117" spans="2:62">
      <c r="B117" s="318" t="s">
        <v>443</v>
      </c>
      <c r="C117" s="350"/>
      <c r="D117" s="350"/>
      <c r="E117" s="350"/>
      <c r="F117" s="350"/>
      <c r="G117" s="350"/>
      <c r="H117" s="350"/>
      <c r="I117" s="350"/>
      <c r="J117" s="350"/>
      <c r="K117" s="350"/>
      <c r="L117" s="350"/>
      <c r="M117" s="350"/>
      <c r="N117" s="350"/>
      <c r="O117" s="350"/>
      <c r="P117" s="350"/>
      <c r="Q117" s="350"/>
      <c r="R117" s="7"/>
      <c r="S117" s="350"/>
      <c r="T117" s="350"/>
      <c r="U117" s="350"/>
      <c r="V117" s="350"/>
      <c r="W117" s="350"/>
      <c r="X117" s="350"/>
      <c r="Y117" s="350"/>
      <c r="Z117" s="350"/>
      <c r="AA117" s="350"/>
      <c r="AB117" s="350"/>
      <c r="AC117" s="350"/>
      <c r="AD117" s="350"/>
      <c r="AE117" s="350"/>
      <c r="AF117" s="350"/>
      <c r="AG117" s="350"/>
      <c r="AH117" s="350"/>
      <c r="AI117" s="350"/>
      <c r="AJ117" s="350"/>
      <c r="AK117" s="350"/>
      <c r="AL117" s="350"/>
      <c r="AM117" s="350"/>
      <c r="AN117" s="350"/>
      <c r="AO117" s="350"/>
      <c r="AP117" s="350"/>
      <c r="AQ117" s="350"/>
      <c r="AR117" s="350"/>
      <c r="AS117" s="350"/>
      <c r="AT117" s="350"/>
      <c r="AU117" s="350"/>
      <c r="AV117" s="350"/>
      <c r="AW117" s="350"/>
      <c r="AX117" s="350"/>
      <c r="AY117" s="350"/>
      <c r="AZ117" s="350"/>
      <c r="BA117" s="350"/>
      <c r="BB117" s="350"/>
      <c r="BC117" s="350"/>
    </row>
    <row r="118" spans="2:62">
      <c r="R118" s="7"/>
    </row>
    <row r="119" spans="2:62">
      <c r="B119" s="367" t="s">
        <v>444</v>
      </c>
      <c r="C119" s="406"/>
      <c r="D119" s="406"/>
      <c r="E119" s="406"/>
      <c r="F119" s="406"/>
      <c r="G119" s="406"/>
      <c r="H119" s="406"/>
      <c r="I119" s="406"/>
      <c r="J119" s="406"/>
      <c r="K119" s="406"/>
      <c r="L119" s="406"/>
      <c r="M119" s="406"/>
      <c r="N119" s="406"/>
      <c r="O119" s="406"/>
      <c r="P119" s="406"/>
      <c r="Q119" s="406"/>
      <c r="R119" s="7"/>
      <c r="S119" s="406"/>
      <c r="T119" s="406"/>
      <c r="U119" s="406"/>
      <c r="V119" s="406"/>
      <c r="W119" s="406"/>
      <c r="X119" s="406"/>
      <c r="Y119" s="406"/>
      <c r="Z119" s="406"/>
      <c r="AA119" s="406"/>
      <c r="AB119" s="406"/>
      <c r="AC119" s="406"/>
      <c r="AD119" s="406"/>
      <c r="AE119" s="406"/>
      <c r="AF119" s="406"/>
      <c r="AG119" s="406"/>
      <c r="AH119" s="406"/>
      <c r="AI119" s="406"/>
      <c r="AJ119" s="406"/>
      <c r="AK119" s="406"/>
      <c r="AL119" s="406"/>
      <c r="AM119" s="406"/>
      <c r="AN119" s="406"/>
      <c r="AO119" s="406"/>
      <c r="AP119" s="406"/>
      <c r="AQ119" s="406"/>
      <c r="AR119" s="406"/>
      <c r="AS119" s="406"/>
      <c r="AT119" s="406"/>
      <c r="AU119" s="406"/>
      <c r="AV119" s="406"/>
      <c r="AW119" s="406"/>
      <c r="AX119" s="406"/>
      <c r="AY119" s="406"/>
      <c r="AZ119" s="406"/>
      <c r="BA119" s="406"/>
      <c r="BB119" s="406"/>
      <c r="BC119" s="406"/>
    </row>
    <row r="120" spans="2:62">
      <c r="B120" s="368" t="s">
        <v>445</v>
      </c>
      <c r="M120" s="360"/>
      <c r="N120" s="360"/>
      <c r="O120" s="4">
        <v>42960.4</v>
      </c>
      <c r="P120" s="4">
        <v>42181.599999999999</v>
      </c>
      <c r="Q120" s="32">
        <f>SUM(AZ120:BC120)</f>
        <v>44454.700000000004</v>
      </c>
      <c r="R120" s="7"/>
      <c r="AU120" s="4">
        <v>11908.7</v>
      </c>
      <c r="AV120" s="4">
        <v>11904.8</v>
      </c>
      <c r="AW120" s="4">
        <v>11675.4</v>
      </c>
      <c r="AX120" s="4">
        <v>10622.6</v>
      </c>
      <c r="AY120" s="4">
        <v>10516.5</v>
      </c>
      <c r="AZ120" s="4">
        <v>11602</v>
      </c>
      <c r="BA120" s="4">
        <v>11679.8</v>
      </c>
      <c r="BB120" s="4">
        <v>10561</v>
      </c>
      <c r="BC120" s="4">
        <v>10611.9</v>
      </c>
    </row>
    <row r="121" spans="2:62">
      <c r="B121" s="368" t="s">
        <v>446</v>
      </c>
      <c r="M121" s="360"/>
      <c r="N121" s="360"/>
      <c r="O121" s="4">
        <v>15034.7</v>
      </c>
      <c r="P121" s="4">
        <v>12397</v>
      </c>
      <c r="Q121" s="32">
        <f>SUM(AZ121:BC121)</f>
        <v>11695</v>
      </c>
      <c r="R121" s="7"/>
      <c r="AU121" s="4">
        <v>4083.6</v>
      </c>
      <c r="AV121" s="4">
        <v>3858.3</v>
      </c>
      <c r="AW121" s="4">
        <v>3731.1</v>
      </c>
      <c r="AX121" s="4">
        <v>3363.5</v>
      </c>
      <c r="AY121" s="4">
        <v>3469</v>
      </c>
      <c r="AZ121" s="4">
        <v>3229.5</v>
      </c>
      <c r="BA121" s="4">
        <v>3051</v>
      </c>
      <c r="BB121" s="4">
        <v>2798.6</v>
      </c>
      <c r="BC121" s="4">
        <v>2615.9</v>
      </c>
    </row>
    <row r="122" spans="2:62">
      <c r="B122" s="368" t="s">
        <v>414</v>
      </c>
      <c r="M122" s="360"/>
      <c r="N122" s="360"/>
      <c r="O122" s="360"/>
      <c r="P122" s="360"/>
      <c r="Q122" s="32">
        <f>SUM(AZ122:BC122)</f>
        <v>0</v>
      </c>
      <c r="R122" s="7"/>
      <c r="AU122" s="4">
        <v>-40.9</v>
      </c>
      <c r="AV122" s="4">
        <v>-42.8</v>
      </c>
      <c r="AW122" s="4">
        <v>-43.7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</row>
    <row r="123" spans="2:62">
      <c r="B123" s="368" t="s">
        <v>447</v>
      </c>
      <c r="M123" s="360"/>
      <c r="N123" s="360"/>
      <c r="O123" s="4">
        <v>4265.8</v>
      </c>
      <c r="P123" s="4">
        <v>4299.6000000000004</v>
      </c>
      <c r="Q123" s="32">
        <f>SUM(AZ123:BC123)</f>
        <v>2267.4</v>
      </c>
      <c r="AU123" s="4">
        <v>0</v>
      </c>
      <c r="AV123" s="4">
        <v>0</v>
      </c>
      <c r="AW123" s="4">
        <v>0</v>
      </c>
      <c r="AX123" s="4">
        <v>1240.3</v>
      </c>
      <c r="AY123" s="4">
        <v>988.1</v>
      </c>
      <c r="AZ123" s="4">
        <v>-102.1</v>
      </c>
      <c r="BA123" s="4">
        <v>-103.8</v>
      </c>
      <c r="BB123" s="4">
        <v>1188.5999999999999</v>
      </c>
      <c r="BC123" s="4">
        <v>1284.7</v>
      </c>
    </row>
    <row r="124" spans="2:62" s="5" customFormat="1">
      <c r="B124" s="373" t="s">
        <v>448</v>
      </c>
      <c r="M124" s="360"/>
      <c r="N124" s="360"/>
      <c r="O124" s="7">
        <f>SUM(O120:O123)</f>
        <v>62260.900000000009</v>
      </c>
      <c r="P124" s="7">
        <f>SUM(P120:P123)</f>
        <v>58878.2</v>
      </c>
      <c r="Q124" s="7">
        <f>SUM(Q120:Q123)</f>
        <v>58417.100000000006</v>
      </c>
      <c r="AU124" s="7">
        <f>SUM(AU120:AU122)</f>
        <v>15951.400000000001</v>
      </c>
      <c r="AV124" s="7">
        <f>SUM(AV120:AV122)</f>
        <v>15720.3</v>
      </c>
      <c r="AW124" s="7">
        <f>SUM(AW120:AW122)</f>
        <v>15362.8</v>
      </c>
      <c r="AX124" s="7">
        <f t="shared" ref="AX124:BC124" si="131">SUM(AX120:AX123)</f>
        <v>15226.4</v>
      </c>
      <c r="AY124" s="7">
        <f t="shared" si="131"/>
        <v>14973.6</v>
      </c>
      <c r="AZ124" s="7">
        <f t="shared" si="131"/>
        <v>14729.4</v>
      </c>
      <c r="BA124" s="7">
        <f t="shared" si="131"/>
        <v>14627</v>
      </c>
      <c r="BB124" s="7">
        <f t="shared" si="131"/>
        <v>14548.2</v>
      </c>
      <c r="BC124" s="7">
        <f t="shared" si="131"/>
        <v>14512.5</v>
      </c>
      <c r="BD124" s="7"/>
    </row>
    <row r="125" spans="2:62" s="82" customFormat="1" ht="11.25">
      <c r="B125" s="82" t="s">
        <v>23</v>
      </c>
      <c r="O125" s="375">
        <f>O124-Model!O7</f>
        <v>3.6000000007334165E-2</v>
      </c>
      <c r="P125" s="375">
        <f>P124-Model!P7</f>
        <v>4.9999999995634425E-2</v>
      </c>
      <c r="Q125" s="375">
        <f>Q124-Model!Q7</f>
        <v>5.0000000002910383E-2</v>
      </c>
      <c r="R125" s="375"/>
      <c r="S125" s="375"/>
      <c r="T125" s="375"/>
      <c r="U125" s="375"/>
      <c r="V125" s="375"/>
      <c r="W125" s="375"/>
      <c r="X125" s="375"/>
      <c r="Y125" s="375"/>
      <c r="Z125" s="375"/>
      <c r="AA125" s="375"/>
      <c r="AB125" s="375"/>
      <c r="AC125" s="375"/>
      <c r="AD125" s="375"/>
      <c r="AE125" s="375"/>
      <c r="AF125" s="375"/>
      <c r="AG125" s="375"/>
      <c r="AH125" s="375"/>
      <c r="AI125" s="375"/>
      <c r="AJ125" s="375"/>
      <c r="AK125" s="375"/>
      <c r="AL125" s="375"/>
      <c r="AM125" s="375"/>
      <c r="AN125" s="375"/>
      <c r="AO125" s="375"/>
      <c r="AP125" s="375"/>
      <c r="AQ125" s="375"/>
      <c r="AR125" s="375"/>
      <c r="AS125" s="375"/>
      <c r="AT125" s="375"/>
      <c r="AU125" s="375">
        <f>AU124-Model!AU7</f>
        <v>0</v>
      </c>
      <c r="AV125" s="375">
        <f>AV124-Model!AV7</f>
        <v>0</v>
      </c>
      <c r="AW125" s="375">
        <f>AW124-Model!AW7</f>
        <v>0</v>
      </c>
      <c r="AX125" s="375">
        <f>AX124-Model!AX7</f>
        <v>3.5999999998239218E-2</v>
      </c>
      <c r="AY125" s="375">
        <f>AY124-Model!AY7</f>
        <v>0</v>
      </c>
      <c r="AZ125" s="375">
        <f>AZ124-Model!AZ7</f>
        <v>0</v>
      </c>
      <c r="BA125" s="375">
        <f>BA124-Model!BA7</f>
        <v>-8.5999999999330612E-2</v>
      </c>
      <c r="BB125" s="375">
        <f>BB124-Model!BB7</f>
        <v>0.13599999999496504</v>
      </c>
      <c r="BC125" s="375">
        <f>BC124-Model!BC7</f>
        <v>0</v>
      </c>
      <c r="BD125" s="374"/>
    </row>
    <row r="126" spans="2:62" s="82" customFormat="1" ht="11.25">
      <c r="O126" s="375"/>
      <c r="P126" s="375"/>
      <c r="Q126" s="375"/>
      <c r="R126" s="375"/>
      <c r="S126" s="375"/>
      <c r="T126" s="375"/>
      <c r="U126" s="375"/>
      <c r="V126" s="375"/>
      <c r="W126" s="375"/>
      <c r="X126" s="375"/>
      <c r="Y126" s="375"/>
      <c r="Z126" s="375"/>
      <c r="AA126" s="375"/>
      <c r="AB126" s="375"/>
      <c r="AC126" s="375"/>
      <c r="AD126" s="375"/>
      <c r="AE126" s="375"/>
      <c r="AF126" s="375"/>
      <c r="AG126" s="375"/>
      <c r="AH126" s="375"/>
      <c r="AI126" s="375"/>
      <c r="AJ126" s="375"/>
      <c r="AK126" s="375"/>
      <c r="AL126" s="375"/>
      <c r="AM126" s="375"/>
      <c r="AN126" s="375"/>
      <c r="AO126" s="375"/>
      <c r="AP126" s="375"/>
      <c r="AQ126" s="375"/>
      <c r="AR126" s="375"/>
      <c r="AS126" s="375"/>
      <c r="AT126" s="375"/>
      <c r="AU126" s="375"/>
      <c r="AV126" s="375"/>
      <c r="AW126" s="375"/>
      <c r="AX126" s="375"/>
      <c r="AY126" s="375"/>
      <c r="AZ126" s="375"/>
      <c r="BA126" s="375"/>
      <c r="BB126" s="375"/>
      <c r="BC126" s="375"/>
      <c r="BD126" s="374"/>
    </row>
    <row r="127" spans="2:62" s="82" customFormat="1">
      <c r="B127" s="5" t="s">
        <v>449</v>
      </c>
      <c r="O127" s="375"/>
      <c r="P127" s="375"/>
      <c r="Q127" s="375"/>
      <c r="R127" s="375"/>
      <c r="S127" s="375"/>
      <c r="T127" s="375"/>
      <c r="U127" s="375"/>
      <c r="V127" s="375"/>
      <c r="W127" s="375"/>
      <c r="X127" s="375"/>
      <c r="Y127" s="375"/>
      <c r="Z127" s="375"/>
      <c r="AA127" s="375"/>
      <c r="AB127" s="375"/>
      <c r="AC127" s="375"/>
      <c r="AD127" s="375"/>
      <c r="AE127" s="375"/>
      <c r="AF127" s="375"/>
      <c r="AG127" s="375"/>
      <c r="AH127" s="375"/>
      <c r="AI127" s="375"/>
      <c r="AJ127" s="375"/>
      <c r="AK127" s="375"/>
      <c r="AL127" s="375"/>
      <c r="AM127" s="375"/>
      <c r="AN127" s="375"/>
      <c r="AO127" s="375"/>
      <c r="AP127" s="375"/>
      <c r="AQ127" s="375"/>
      <c r="AR127" s="375"/>
      <c r="AS127" s="375"/>
      <c r="AT127" s="375"/>
      <c r="AU127" s="375"/>
      <c r="AV127" s="375"/>
      <c r="AW127" s="375"/>
      <c r="AX127" s="375"/>
      <c r="AY127" s="375"/>
      <c r="AZ127" s="375"/>
      <c r="BA127" s="375"/>
      <c r="BB127" s="375"/>
      <c r="BC127" s="375"/>
      <c r="BD127" s="374"/>
    </row>
    <row r="128" spans="2:62" s="82" customFormat="1">
      <c r="B128" s="368" t="s">
        <v>445</v>
      </c>
      <c r="M128" s="360"/>
      <c r="N128" s="360"/>
      <c r="O128" s="138">
        <f t="shared" ref="O128:Q129" si="132">O120/O$124</f>
        <v>0.6900060872875271</v>
      </c>
      <c r="P128" s="138">
        <f t="shared" si="132"/>
        <v>0.71642135798988427</v>
      </c>
      <c r="Q128" s="138">
        <f t="shared" si="132"/>
        <v>0.76098779295788388</v>
      </c>
      <c r="R128" s="375"/>
      <c r="S128" s="375"/>
      <c r="T128" s="375"/>
      <c r="U128" s="375"/>
      <c r="V128" s="375"/>
      <c r="W128" s="375"/>
      <c r="X128" s="375"/>
      <c r="Y128" s="375"/>
      <c r="Z128" s="375"/>
      <c r="AA128" s="375"/>
      <c r="AB128" s="375"/>
      <c r="AC128" s="375"/>
      <c r="AD128" s="375"/>
      <c r="AE128" s="375"/>
      <c r="AF128" s="375"/>
      <c r="AG128" s="375"/>
      <c r="AH128" s="375"/>
      <c r="AI128" s="375"/>
      <c r="AJ128" s="375"/>
      <c r="AK128" s="375"/>
      <c r="AL128" s="375"/>
      <c r="AM128" s="375"/>
      <c r="AN128" s="375"/>
      <c r="AO128" s="375"/>
      <c r="AP128" s="375"/>
      <c r="AQ128" s="375"/>
      <c r="AR128" s="375"/>
      <c r="AS128" s="375"/>
      <c r="AT128" s="375"/>
      <c r="AU128" s="138">
        <f t="shared" ref="AU128:BB128" si="133">AU120/AU$124</f>
        <v>0.74656143034467193</v>
      </c>
      <c r="AV128" s="138">
        <f t="shared" si="133"/>
        <v>0.75728834691449909</v>
      </c>
      <c r="AW128" s="138">
        <f t="shared" si="133"/>
        <v>0.75997864972531048</v>
      </c>
      <c r="AX128" s="138">
        <f t="shared" si="133"/>
        <v>0.69764356643724057</v>
      </c>
      <c r="AY128" s="138">
        <f t="shared" si="133"/>
        <v>0.70233611155633913</v>
      </c>
      <c r="AZ128" s="138">
        <f t="shared" si="133"/>
        <v>0.78767634798430353</v>
      </c>
      <c r="BA128" s="138">
        <f t="shared" si="133"/>
        <v>0.79850960552403083</v>
      </c>
      <c r="BB128" s="138">
        <f t="shared" si="133"/>
        <v>0.72593173038588965</v>
      </c>
      <c r="BC128" s="138">
        <f>BC120/BC$124</f>
        <v>0.73122480620155039</v>
      </c>
      <c r="BD128" s="374"/>
    </row>
    <row r="129" spans="2:56" s="82" customFormat="1">
      <c r="B129" s="368" t="s">
        <v>446</v>
      </c>
      <c r="M129" s="360"/>
      <c r="N129" s="360"/>
      <c r="O129" s="138">
        <f t="shared" si="132"/>
        <v>0.24147900207032019</v>
      </c>
      <c r="P129" s="138">
        <f t="shared" si="132"/>
        <v>0.21055331175205766</v>
      </c>
      <c r="Q129" s="138">
        <f t="shared" si="132"/>
        <v>0.20019822962796852</v>
      </c>
      <c r="R129" s="375"/>
      <c r="S129" s="375"/>
      <c r="T129" s="375"/>
      <c r="U129" s="375"/>
      <c r="V129" s="375"/>
      <c r="W129" s="375"/>
      <c r="X129" s="375"/>
      <c r="Y129" s="375"/>
      <c r="Z129" s="375"/>
      <c r="AA129" s="375"/>
      <c r="AB129" s="375"/>
      <c r="AC129" s="375"/>
      <c r="AD129" s="375"/>
      <c r="AE129" s="375"/>
      <c r="AF129" s="375"/>
      <c r="AG129" s="375"/>
      <c r="AH129" s="375"/>
      <c r="AI129" s="375"/>
      <c r="AJ129" s="375"/>
      <c r="AK129" s="375"/>
      <c r="AL129" s="375"/>
      <c r="AM129" s="375"/>
      <c r="AN129" s="375"/>
      <c r="AO129" s="375"/>
      <c r="AP129" s="375"/>
      <c r="AQ129" s="375"/>
      <c r="AR129" s="375"/>
      <c r="AS129" s="375"/>
      <c r="AT129" s="375"/>
      <c r="AU129" s="138">
        <f t="shared" ref="AU129:BB129" si="134">AU121/AU$124</f>
        <v>0.25600260792156171</v>
      </c>
      <c r="AV129" s="138">
        <f t="shared" si="134"/>
        <v>0.24543424743802603</v>
      </c>
      <c r="AW129" s="138">
        <f t="shared" si="134"/>
        <v>0.24286588382326138</v>
      </c>
      <c r="AX129" s="138">
        <f t="shared" si="134"/>
        <v>0.22089922765722692</v>
      </c>
      <c r="AY129" s="138">
        <f t="shared" si="134"/>
        <v>0.23167441363466368</v>
      </c>
      <c r="AZ129" s="138">
        <f t="shared" si="134"/>
        <v>0.21925536681738564</v>
      </c>
      <c r="BA129" s="138">
        <f t="shared" si="134"/>
        <v>0.20858685991659259</v>
      </c>
      <c r="BB129" s="138">
        <f t="shared" si="134"/>
        <v>0.19236744064557812</v>
      </c>
      <c r="BC129" s="138">
        <f>BC121/BC$124</f>
        <v>0.18025150732127476</v>
      </c>
      <c r="BD129" s="374"/>
    </row>
    <row r="130" spans="2:56" s="82" customFormat="1">
      <c r="B130" s="368" t="s">
        <v>447</v>
      </c>
      <c r="M130" s="360"/>
      <c r="N130" s="360"/>
      <c r="O130" s="138">
        <f>O123/O$124</f>
        <v>6.8514910642152607E-2</v>
      </c>
      <c r="P130" s="138">
        <f>P123/P$124</f>
        <v>7.3025330258058171E-2</v>
      </c>
      <c r="Q130" s="138">
        <f>Q123/Q$124</f>
        <v>3.881397741414757E-2</v>
      </c>
      <c r="R130" s="375"/>
      <c r="S130" s="375"/>
      <c r="T130" s="375"/>
      <c r="U130" s="375"/>
      <c r="V130" s="375"/>
      <c r="W130" s="375"/>
      <c r="X130" s="375"/>
      <c r="Y130" s="375"/>
      <c r="Z130" s="375"/>
      <c r="AA130" s="375"/>
      <c r="AB130" s="375"/>
      <c r="AC130" s="375"/>
      <c r="AD130" s="375"/>
      <c r="AE130" s="375"/>
      <c r="AF130" s="375"/>
      <c r="AG130" s="375"/>
      <c r="AH130" s="375"/>
      <c r="AI130" s="375"/>
      <c r="AJ130" s="375"/>
      <c r="AK130" s="375"/>
      <c r="AL130" s="375"/>
      <c r="AM130" s="375"/>
      <c r="AN130" s="375"/>
      <c r="AO130" s="375"/>
      <c r="AP130" s="375"/>
      <c r="AQ130" s="375"/>
      <c r="AR130" s="375"/>
      <c r="AS130" s="375"/>
      <c r="AT130" s="375"/>
      <c r="AU130" s="138">
        <f t="shared" ref="AU130:BB130" si="135">AU123/AU$124</f>
        <v>0</v>
      </c>
      <c r="AV130" s="138">
        <f t="shared" si="135"/>
        <v>0</v>
      </c>
      <c r="AW130" s="138">
        <f t="shared" si="135"/>
        <v>0</v>
      </c>
      <c r="AX130" s="138">
        <f t="shared" si="135"/>
        <v>8.1457205905532501E-2</v>
      </c>
      <c r="AY130" s="138">
        <f t="shared" si="135"/>
        <v>6.5989474808997167E-2</v>
      </c>
      <c r="AZ130" s="138">
        <f t="shared" si="135"/>
        <v>-6.9317148016891381E-3</v>
      </c>
      <c r="BA130" s="138">
        <f t="shared" si="135"/>
        <v>-7.0964654406235044E-3</v>
      </c>
      <c r="BB130" s="138">
        <f t="shared" si="135"/>
        <v>8.1700828968532174E-2</v>
      </c>
      <c r="BC130" s="138">
        <f>BC123/BC$124</f>
        <v>8.8523686477174846E-2</v>
      </c>
      <c r="BD130" s="374"/>
    </row>
    <row r="131" spans="2:56" s="82" customFormat="1">
      <c r="B131" s="373" t="s">
        <v>448</v>
      </c>
      <c r="M131" s="360"/>
      <c r="N131" s="360"/>
      <c r="O131" s="139">
        <f>SUM(O128:O130)</f>
        <v>0.99999999999999989</v>
      </c>
      <c r="P131" s="139">
        <f>SUM(P128:P130)</f>
        <v>1</v>
      </c>
      <c r="Q131" s="139">
        <f>SUM(Q128:Q130)</f>
        <v>1</v>
      </c>
      <c r="R131" s="375"/>
      <c r="S131" s="375"/>
      <c r="T131" s="375"/>
      <c r="U131" s="375"/>
      <c r="V131" s="375"/>
      <c r="W131" s="375"/>
      <c r="X131" s="375"/>
      <c r="Y131" s="375"/>
      <c r="Z131" s="375"/>
      <c r="AA131" s="375"/>
      <c r="AB131" s="375"/>
      <c r="AC131" s="375"/>
      <c r="AD131" s="375"/>
      <c r="AE131" s="375"/>
      <c r="AF131" s="375"/>
      <c r="AG131" s="375"/>
      <c r="AH131" s="375"/>
      <c r="AI131" s="375"/>
      <c r="AJ131" s="375"/>
      <c r="AK131" s="375"/>
      <c r="AL131" s="375"/>
      <c r="AM131" s="375"/>
      <c r="AN131" s="375"/>
      <c r="AO131" s="375"/>
      <c r="AP131" s="375"/>
      <c r="AQ131" s="375"/>
      <c r="AR131" s="375"/>
      <c r="AS131" s="375"/>
      <c r="AT131" s="375"/>
      <c r="AU131" s="139">
        <f t="shared" ref="AU131:BB131" si="136">SUM(AU128:AU130)</f>
        <v>1.0025640382662337</v>
      </c>
      <c r="AV131" s="139">
        <f t="shared" si="136"/>
        <v>1.0027225943525251</v>
      </c>
      <c r="AW131" s="139">
        <f t="shared" si="136"/>
        <v>1.0028445335485718</v>
      </c>
      <c r="AX131" s="139">
        <f t="shared" si="136"/>
        <v>1</v>
      </c>
      <c r="AY131" s="139">
        <f t="shared" si="136"/>
        <v>1</v>
      </c>
      <c r="AZ131" s="139">
        <f t="shared" si="136"/>
        <v>1</v>
      </c>
      <c r="BA131" s="139">
        <f t="shared" si="136"/>
        <v>0.99999999999999989</v>
      </c>
      <c r="BB131" s="139">
        <f t="shared" si="136"/>
        <v>0.99999999999999989</v>
      </c>
      <c r="BC131" s="139">
        <f>SUM(BC128:BC130)</f>
        <v>1</v>
      </c>
      <c r="BD131" s="374"/>
    </row>
    <row r="132" spans="2:56" s="82" customFormat="1" ht="11.25">
      <c r="O132" s="375"/>
      <c r="P132" s="375"/>
      <c r="Q132" s="375"/>
      <c r="R132" s="375"/>
      <c r="S132" s="375"/>
      <c r="T132" s="375"/>
      <c r="U132" s="375"/>
      <c r="V132" s="375"/>
      <c r="W132" s="375"/>
      <c r="X132" s="375"/>
      <c r="Y132" s="375"/>
      <c r="Z132" s="375"/>
      <c r="AA132" s="375"/>
      <c r="AB132" s="375"/>
      <c r="AC132" s="375"/>
      <c r="AD132" s="375"/>
      <c r="AE132" s="375"/>
      <c r="AF132" s="375"/>
      <c r="AG132" s="375"/>
      <c r="AH132" s="375"/>
      <c r="AI132" s="375"/>
      <c r="AJ132" s="375"/>
      <c r="AK132" s="375"/>
      <c r="AL132" s="375"/>
      <c r="AM132" s="375"/>
      <c r="AN132" s="375"/>
      <c r="AO132" s="375"/>
      <c r="AP132" s="375"/>
      <c r="AQ132" s="375"/>
      <c r="AR132" s="375"/>
      <c r="AS132" s="375"/>
      <c r="AT132" s="375"/>
      <c r="AU132" s="375"/>
      <c r="AV132" s="375"/>
      <c r="AW132" s="375"/>
      <c r="AX132" s="375"/>
      <c r="AY132" s="375"/>
      <c r="AZ132" s="375"/>
      <c r="BA132" s="375"/>
      <c r="BB132" s="375"/>
      <c r="BC132" s="375"/>
      <c r="BD132" s="374"/>
    </row>
    <row r="133" spans="2:56" s="82" customFormat="1">
      <c r="B133" s="5" t="s">
        <v>450</v>
      </c>
      <c r="O133" s="375"/>
      <c r="P133" s="375"/>
      <c r="Q133" s="375"/>
      <c r="R133" s="375"/>
      <c r="S133" s="375"/>
      <c r="T133" s="375"/>
      <c r="U133" s="375"/>
      <c r="V133" s="375"/>
      <c r="W133" s="375"/>
      <c r="X133" s="375"/>
      <c r="Y133" s="375"/>
      <c r="Z133" s="375"/>
      <c r="AA133" s="375"/>
      <c r="AB133" s="375"/>
      <c r="AC133" s="375"/>
      <c r="AD133" s="375"/>
      <c r="AE133" s="375"/>
      <c r="AF133" s="375"/>
      <c r="AG133" s="375"/>
      <c r="AH133" s="375"/>
      <c r="AI133" s="375"/>
      <c r="AJ133" s="375"/>
      <c r="AK133" s="375"/>
      <c r="AL133" s="375"/>
      <c r="AM133" s="375"/>
      <c r="AN133" s="375"/>
      <c r="AO133" s="375"/>
      <c r="AP133" s="375"/>
      <c r="AQ133" s="375"/>
      <c r="AR133" s="375"/>
      <c r="AS133" s="375"/>
      <c r="AT133" s="375"/>
      <c r="AU133" s="375"/>
      <c r="AV133" s="375"/>
      <c r="AW133" s="375"/>
      <c r="AX133" s="375"/>
      <c r="AY133" s="375"/>
      <c r="AZ133" s="375"/>
      <c r="BA133" s="375"/>
      <c r="BB133" s="375"/>
      <c r="BC133" s="375"/>
      <c r="BD133" s="374"/>
    </row>
    <row r="134" spans="2:56" s="82" customFormat="1">
      <c r="B134" s="368" t="s">
        <v>445</v>
      </c>
      <c r="M134" s="360"/>
      <c r="N134" s="360"/>
      <c r="O134" s="360"/>
      <c r="P134" s="138">
        <f>P120/O120-1</f>
        <v>-1.8128322827534293E-2</v>
      </c>
      <c r="Q134" s="360"/>
      <c r="R134" s="375"/>
      <c r="S134" s="375"/>
      <c r="T134" s="375"/>
      <c r="U134" s="375"/>
      <c r="V134" s="375"/>
      <c r="W134" s="375"/>
      <c r="X134" s="375"/>
      <c r="Y134" s="375"/>
      <c r="Z134" s="375"/>
      <c r="AA134" s="375"/>
      <c r="AB134" s="375"/>
      <c r="AC134" s="375"/>
      <c r="AD134" s="375"/>
      <c r="AE134" s="375"/>
      <c r="AF134" s="375"/>
      <c r="AG134" s="375"/>
      <c r="AH134" s="375"/>
      <c r="AI134" s="375"/>
      <c r="AJ134" s="375"/>
      <c r="AK134" s="375"/>
      <c r="AL134" s="375"/>
      <c r="AM134" s="375"/>
      <c r="AN134" s="375"/>
      <c r="AO134" s="375"/>
      <c r="AP134" s="375"/>
      <c r="AQ134" s="375"/>
      <c r="AR134" s="375"/>
      <c r="AS134" s="375"/>
      <c r="AT134" s="375"/>
      <c r="AU134" s="360"/>
      <c r="AV134" s="360"/>
      <c r="AW134" s="360"/>
      <c r="AX134" s="360"/>
      <c r="AY134" s="138">
        <f t="shared" ref="AY134:BC135" si="137">AY120/AU120-1</f>
        <v>-0.11690612745303863</v>
      </c>
      <c r="AZ134" s="138">
        <f t="shared" si="137"/>
        <v>-2.5435118607620377E-2</v>
      </c>
      <c r="BA134" s="138">
        <f t="shared" si="137"/>
        <v>3.7686074995280094E-4</v>
      </c>
      <c r="BB134" s="138">
        <f t="shared" si="137"/>
        <v>-5.7989569408619657E-3</v>
      </c>
      <c r="BC134" s="138">
        <f t="shared" si="137"/>
        <v>9.071459135644E-3</v>
      </c>
      <c r="BD134" s="374"/>
    </row>
    <row r="135" spans="2:56" s="82" customFormat="1">
      <c r="B135" s="368" t="s">
        <v>446</v>
      </c>
      <c r="M135" s="360"/>
      <c r="N135" s="360"/>
      <c r="O135" s="360"/>
      <c r="P135" s="138">
        <f>P121/O121-1</f>
        <v>-0.17544081358457442</v>
      </c>
      <c r="Q135" s="360"/>
      <c r="R135" s="375"/>
      <c r="S135" s="375"/>
      <c r="T135" s="375"/>
      <c r="U135" s="375"/>
      <c r="V135" s="375"/>
      <c r="W135" s="375"/>
      <c r="X135" s="375"/>
      <c r="Y135" s="375"/>
      <c r="Z135" s="375"/>
      <c r="AA135" s="375"/>
      <c r="AB135" s="375"/>
      <c r="AC135" s="375"/>
      <c r="AD135" s="375"/>
      <c r="AE135" s="375"/>
      <c r="AF135" s="375"/>
      <c r="AG135" s="375"/>
      <c r="AH135" s="375"/>
      <c r="AI135" s="375"/>
      <c r="AJ135" s="375"/>
      <c r="AK135" s="375"/>
      <c r="AL135" s="375"/>
      <c r="AM135" s="375"/>
      <c r="AN135" s="375"/>
      <c r="AO135" s="375"/>
      <c r="AP135" s="375"/>
      <c r="AQ135" s="375"/>
      <c r="AR135" s="375"/>
      <c r="AS135" s="375"/>
      <c r="AT135" s="375"/>
      <c r="AU135" s="360"/>
      <c r="AV135" s="360"/>
      <c r="AW135" s="360"/>
      <c r="AX135" s="360"/>
      <c r="AY135" s="138">
        <f t="shared" si="137"/>
        <v>-0.15050445685179736</v>
      </c>
      <c r="AZ135" s="138">
        <f t="shared" si="137"/>
        <v>-0.1629733302231553</v>
      </c>
      <c r="BA135" s="138">
        <f t="shared" si="137"/>
        <v>-0.182278684570234</v>
      </c>
      <c r="BB135" s="138">
        <f t="shared" si="137"/>
        <v>-0.16795005202913638</v>
      </c>
      <c r="BC135" s="138">
        <f t="shared" si="137"/>
        <v>-0.24592101470164307</v>
      </c>
      <c r="BD135" s="374"/>
    </row>
    <row r="136" spans="2:56" s="82" customFormat="1">
      <c r="B136" s="368" t="s">
        <v>447</v>
      </c>
      <c r="M136" s="360"/>
      <c r="N136" s="360"/>
      <c r="O136" s="360"/>
      <c r="P136" s="138">
        <f>P123/O123-1</f>
        <v>7.9234844577804608E-3</v>
      </c>
      <c r="Q136" s="360"/>
      <c r="R136" s="375"/>
      <c r="S136" s="375"/>
      <c r="T136" s="375"/>
      <c r="U136" s="375"/>
      <c r="V136" s="375"/>
      <c r="W136" s="375"/>
      <c r="X136" s="375"/>
      <c r="Y136" s="375"/>
      <c r="Z136" s="375"/>
      <c r="AA136" s="375"/>
      <c r="AB136" s="375"/>
      <c r="AC136" s="375"/>
      <c r="AD136" s="375"/>
      <c r="AE136" s="375"/>
      <c r="AF136" s="375"/>
      <c r="AG136" s="375"/>
      <c r="AH136" s="375"/>
      <c r="AI136" s="375"/>
      <c r="AJ136" s="375"/>
      <c r="AK136" s="375"/>
      <c r="AL136" s="375"/>
      <c r="AM136" s="375"/>
      <c r="AN136" s="375"/>
      <c r="AO136" s="375"/>
      <c r="AP136" s="375"/>
      <c r="AQ136" s="375"/>
      <c r="AR136" s="375"/>
      <c r="AS136" s="375"/>
      <c r="AT136" s="375"/>
      <c r="AU136" s="360"/>
      <c r="AV136" s="360"/>
      <c r="AW136" s="360"/>
      <c r="AX136" s="360"/>
      <c r="AY136" s="138" t="e">
        <f t="shared" ref="AY136:BC137" si="138">AY123/AU123-1</f>
        <v>#DIV/0!</v>
      </c>
      <c r="AZ136" s="138" t="e">
        <f t="shared" si="138"/>
        <v>#DIV/0!</v>
      </c>
      <c r="BA136" s="138" t="e">
        <f t="shared" si="138"/>
        <v>#DIV/0!</v>
      </c>
      <c r="BB136" s="138">
        <f t="shared" si="138"/>
        <v>-4.1683463678142463E-2</v>
      </c>
      <c r="BC136" s="138">
        <f t="shared" si="138"/>
        <v>0.30017204736362713</v>
      </c>
      <c r="BD136" s="374"/>
    </row>
    <row r="137" spans="2:56" s="82" customFormat="1">
      <c r="B137" s="373" t="s">
        <v>448</v>
      </c>
      <c r="M137" s="360"/>
      <c r="N137" s="360"/>
      <c r="O137" s="360"/>
      <c r="P137" s="139">
        <f>P124/O124-1</f>
        <v>-5.4331048860520981E-2</v>
      </c>
      <c r="Q137" s="360"/>
      <c r="R137" s="375"/>
      <c r="S137" s="375"/>
      <c r="T137" s="375"/>
      <c r="U137" s="375"/>
      <c r="V137" s="375"/>
      <c r="W137" s="375"/>
      <c r="X137" s="375"/>
      <c r="Y137" s="375"/>
      <c r="Z137" s="375"/>
      <c r="AA137" s="375"/>
      <c r="AB137" s="375"/>
      <c r="AC137" s="375"/>
      <c r="AD137" s="375"/>
      <c r="AE137" s="375"/>
      <c r="AF137" s="375"/>
      <c r="AG137" s="375"/>
      <c r="AH137" s="375"/>
      <c r="AI137" s="375"/>
      <c r="AJ137" s="375"/>
      <c r="AK137" s="375"/>
      <c r="AL137" s="375"/>
      <c r="AM137" s="375"/>
      <c r="AN137" s="375"/>
      <c r="AO137" s="375"/>
      <c r="AP137" s="375"/>
      <c r="AQ137" s="375"/>
      <c r="AR137" s="375"/>
      <c r="AS137" s="375"/>
      <c r="AT137" s="375"/>
      <c r="AU137" s="360"/>
      <c r="AV137" s="360"/>
      <c r="AW137" s="360"/>
      <c r="AX137" s="360"/>
      <c r="AY137" s="139">
        <f t="shared" si="138"/>
        <v>-6.1298694785410723E-2</v>
      </c>
      <c r="AZ137" s="139">
        <f t="shared" si="138"/>
        <v>-6.3033148222362168E-2</v>
      </c>
      <c r="BA137" s="139">
        <f t="shared" si="138"/>
        <v>-4.7894914989454973E-2</v>
      </c>
      <c r="BB137" s="139">
        <f t="shared" si="138"/>
        <v>-4.4541060263752374E-2</v>
      </c>
      <c r="BC137" s="139">
        <f t="shared" si="138"/>
        <v>-3.0794197788107103E-2</v>
      </c>
      <c r="BD137" s="374"/>
    </row>
    <row r="138" spans="2:56" s="82" customFormat="1" ht="11.25">
      <c r="O138" s="375"/>
      <c r="P138" s="375"/>
      <c r="Q138" s="375"/>
      <c r="R138" s="375"/>
      <c r="S138" s="375"/>
      <c r="T138" s="375"/>
      <c r="U138" s="375"/>
      <c r="V138" s="375"/>
      <c r="W138" s="375"/>
      <c r="X138" s="375"/>
      <c r="Y138" s="375"/>
      <c r="Z138" s="375"/>
      <c r="AA138" s="375"/>
      <c r="AB138" s="375"/>
      <c r="AC138" s="375"/>
      <c r="AD138" s="375"/>
      <c r="AE138" s="375"/>
      <c r="AF138" s="375"/>
      <c r="AG138" s="375"/>
      <c r="AH138" s="375"/>
      <c r="AI138" s="375"/>
      <c r="AJ138" s="375"/>
      <c r="AK138" s="375"/>
      <c r="AL138" s="375"/>
      <c r="AM138" s="375"/>
      <c r="AN138" s="375"/>
      <c r="AO138" s="375"/>
      <c r="AP138" s="375"/>
      <c r="AQ138" s="375"/>
      <c r="AR138" s="375"/>
      <c r="AS138" s="375"/>
      <c r="AT138" s="375"/>
      <c r="AU138" s="375"/>
      <c r="AV138" s="375"/>
      <c r="AW138" s="375"/>
      <c r="AX138" s="375"/>
      <c r="AY138" s="375"/>
      <c r="AZ138" s="375"/>
      <c r="BA138" s="375"/>
      <c r="BB138" s="375"/>
      <c r="BC138" s="375"/>
      <c r="BD138" s="374"/>
    </row>
    <row r="139" spans="2:56" s="82" customFormat="1" ht="11.25">
      <c r="O139" s="375"/>
      <c r="P139" s="375"/>
      <c r="Q139" s="375"/>
      <c r="R139" s="375"/>
      <c r="S139" s="375"/>
      <c r="T139" s="375"/>
      <c r="U139" s="375"/>
      <c r="V139" s="375"/>
      <c r="W139" s="375"/>
      <c r="X139" s="375"/>
      <c r="Y139" s="375"/>
      <c r="Z139" s="375"/>
      <c r="AA139" s="375"/>
      <c r="AB139" s="375"/>
      <c r="AC139" s="375"/>
      <c r="AD139" s="375"/>
      <c r="AE139" s="375"/>
      <c r="AF139" s="375"/>
      <c r="AG139" s="375"/>
      <c r="AH139" s="375"/>
      <c r="AI139" s="375"/>
      <c r="AJ139" s="375"/>
      <c r="AK139" s="375"/>
      <c r="AL139" s="375"/>
      <c r="AM139" s="375"/>
      <c r="AN139" s="375"/>
      <c r="AO139" s="375"/>
      <c r="AP139" s="375"/>
      <c r="AQ139" s="375"/>
      <c r="AR139" s="375"/>
      <c r="AS139" s="375"/>
      <c r="AT139" s="375"/>
      <c r="AU139" s="375"/>
      <c r="AV139" s="375"/>
      <c r="AW139" s="375"/>
      <c r="AX139" s="375"/>
      <c r="AY139" s="375"/>
      <c r="AZ139" s="375"/>
      <c r="BA139" s="375"/>
      <c r="BB139" s="375"/>
      <c r="BC139" s="375"/>
      <c r="BD139" s="374"/>
    </row>
    <row r="140" spans="2:56">
      <c r="B140" s="367" t="s">
        <v>451</v>
      </c>
      <c r="C140" s="406"/>
      <c r="D140" s="406"/>
      <c r="E140" s="406"/>
      <c r="F140" s="406"/>
      <c r="G140" s="406"/>
      <c r="H140" s="406"/>
      <c r="I140" s="406"/>
      <c r="J140" s="406"/>
      <c r="K140" s="406"/>
      <c r="L140" s="406"/>
      <c r="M140" s="406"/>
      <c r="N140" s="406"/>
      <c r="O140" s="406"/>
      <c r="P140" s="406"/>
      <c r="Q140" s="406"/>
      <c r="R140" s="375"/>
      <c r="S140" s="406"/>
      <c r="T140" s="406"/>
      <c r="U140" s="406"/>
      <c r="V140" s="406"/>
      <c r="W140" s="406"/>
      <c r="X140" s="406"/>
      <c r="Y140" s="406"/>
      <c r="Z140" s="406"/>
      <c r="AA140" s="406"/>
      <c r="AB140" s="406"/>
      <c r="AC140" s="406"/>
      <c r="AD140" s="406"/>
      <c r="AE140" s="406"/>
      <c r="AF140" s="406"/>
      <c r="AG140" s="406"/>
      <c r="AH140" s="406"/>
      <c r="AI140" s="406"/>
      <c r="AJ140" s="406"/>
      <c r="AK140" s="406"/>
      <c r="AL140" s="406"/>
      <c r="AM140" s="406"/>
      <c r="AN140" s="406"/>
      <c r="AO140" s="406"/>
      <c r="AP140" s="406"/>
      <c r="AQ140" s="406"/>
      <c r="AR140" s="406"/>
      <c r="AS140" s="406"/>
      <c r="AT140" s="406"/>
      <c r="AU140" s="406"/>
      <c r="AV140" s="406"/>
      <c r="AW140" s="406"/>
      <c r="AX140" s="406"/>
      <c r="AY140" s="406"/>
      <c r="AZ140" s="406"/>
      <c r="BA140" s="406"/>
      <c r="BB140" s="406"/>
      <c r="BC140" s="406"/>
    </row>
    <row r="141" spans="2:56">
      <c r="B141" s="368" t="s">
        <v>437</v>
      </c>
      <c r="M141" s="360"/>
      <c r="N141" s="360"/>
      <c r="O141" s="4">
        <v>3846518</v>
      </c>
      <c r="P141" s="4">
        <v>3646569</v>
      </c>
      <c r="Q141" s="32">
        <f>BC141</f>
        <v>3623066</v>
      </c>
      <c r="R141" s="375"/>
      <c r="AU141" s="4">
        <v>4062248</v>
      </c>
      <c r="AV141" s="4">
        <v>3996657</v>
      </c>
      <c r="AW141" s="4">
        <v>3941178</v>
      </c>
      <c r="AX141" s="32">
        <f>O141</f>
        <v>3846518</v>
      </c>
      <c r="AY141" s="4">
        <v>3773536</v>
      </c>
      <c r="AZ141" s="4">
        <v>3720523</v>
      </c>
      <c r="BA141" s="4">
        <v>3677832</v>
      </c>
      <c r="BB141" s="32">
        <f>P141</f>
        <v>3646569</v>
      </c>
      <c r="BC141" s="4">
        <v>3623066</v>
      </c>
    </row>
    <row r="142" spans="2:56">
      <c r="B142" s="368" t="s">
        <v>438</v>
      </c>
      <c r="M142" s="360"/>
      <c r="N142" s="360"/>
      <c r="O142" s="4">
        <v>5626206</v>
      </c>
      <c r="P142" s="4">
        <v>5673123</v>
      </c>
      <c r="Q142" s="32">
        <f>BC142</f>
        <v>5698169</v>
      </c>
      <c r="AU142" s="4">
        <v>5689143</v>
      </c>
      <c r="AV142" s="4">
        <v>5699824</v>
      </c>
      <c r="AW142" s="4">
        <v>5711169</v>
      </c>
      <c r="AX142" s="32">
        <f>O142</f>
        <v>5626206</v>
      </c>
      <c r="AY142" s="4">
        <v>5620444</v>
      </c>
      <c r="AZ142" s="4">
        <v>5626825</v>
      </c>
      <c r="BA142" s="4">
        <v>5648408</v>
      </c>
      <c r="BB142" s="32">
        <f>P142</f>
        <v>5673123</v>
      </c>
      <c r="BC142" s="4">
        <v>5698169</v>
      </c>
    </row>
    <row r="143" spans="2:56">
      <c r="B143" s="368" t="s">
        <v>439</v>
      </c>
      <c r="M143" s="360"/>
      <c r="N143" s="360"/>
      <c r="O143" s="4">
        <v>5382949</v>
      </c>
      <c r="P143" s="4">
        <v>5552313</v>
      </c>
      <c r="Q143" s="32">
        <f>BC143</f>
        <v>5593777</v>
      </c>
      <c r="AU143" s="4">
        <v>5355450</v>
      </c>
      <c r="AV143" s="4">
        <v>5389305</v>
      </c>
      <c r="AW143" s="4">
        <v>5418270</v>
      </c>
      <c r="AX143" s="32">
        <f>O143</f>
        <v>5382949</v>
      </c>
      <c r="AY143" s="4">
        <v>5444680</v>
      </c>
      <c r="AZ143" s="4">
        <v>5472194</v>
      </c>
      <c r="BA143" s="4">
        <v>5512882</v>
      </c>
      <c r="BB143" s="32">
        <f>P143</f>
        <v>5552313</v>
      </c>
      <c r="BC143" s="4">
        <v>5593777</v>
      </c>
    </row>
    <row r="144" spans="2:56">
      <c r="B144" s="368" t="s">
        <v>440</v>
      </c>
      <c r="M144" s="360"/>
      <c r="N144" s="360"/>
      <c r="O144" s="4">
        <v>333973</v>
      </c>
      <c r="P144" s="4">
        <v>652860</v>
      </c>
      <c r="Q144" s="32">
        <f>BC144</f>
        <v>747609</v>
      </c>
      <c r="AU144" s="4">
        <v>317924</v>
      </c>
      <c r="AV144" s="4">
        <v>327406</v>
      </c>
      <c r="AW144" s="4">
        <v>322957</v>
      </c>
      <c r="AX144" s="32">
        <f>O144</f>
        <v>333973</v>
      </c>
      <c r="AY144" s="4">
        <v>380112</v>
      </c>
      <c r="AZ144" s="4">
        <v>463601</v>
      </c>
      <c r="BA144" s="4">
        <v>557608</v>
      </c>
      <c r="BB144" s="32">
        <f>P144</f>
        <v>652860</v>
      </c>
      <c r="BC144" s="4">
        <v>747609</v>
      </c>
    </row>
    <row r="145" spans="2:55">
      <c r="B145" s="373" t="s">
        <v>441</v>
      </c>
      <c r="M145" s="360"/>
      <c r="N145" s="360"/>
      <c r="O145" s="7">
        <f>SUM(O141:O144)</f>
        <v>15189646</v>
      </c>
      <c r="P145" s="7">
        <f>SUM(P141:P144)</f>
        <v>15524865</v>
      </c>
      <c r="Q145" s="7">
        <f>SUM(Q141:Q144)</f>
        <v>15662621</v>
      </c>
      <c r="AU145" s="7">
        <f t="shared" ref="AU145:BC145" si="139">SUM(AU141:AU144)</f>
        <v>15424765</v>
      </c>
      <c r="AV145" s="7">
        <f t="shared" si="139"/>
        <v>15413192</v>
      </c>
      <c r="AW145" s="7">
        <f t="shared" si="139"/>
        <v>15393574</v>
      </c>
      <c r="AX145" s="7">
        <f t="shared" si="139"/>
        <v>15189646</v>
      </c>
      <c r="AY145" s="7">
        <f t="shared" si="139"/>
        <v>15218772</v>
      </c>
      <c r="AZ145" s="7">
        <f t="shared" si="139"/>
        <v>15283143</v>
      </c>
      <c r="BA145" s="7">
        <f t="shared" si="139"/>
        <v>15396730</v>
      </c>
      <c r="BB145" s="7">
        <f t="shared" si="139"/>
        <v>15524865</v>
      </c>
      <c r="BC145" s="7">
        <f t="shared" si="139"/>
        <v>15662621</v>
      </c>
    </row>
    <row r="146" spans="2:55">
      <c r="B146" s="373"/>
      <c r="M146" s="7"/>
      <c r="N146" s="7"/>
      <c r="O146" s="7"/>
      <c r="P146" s="7"/>
      <c r="Q146" s="7"/>
    </row>
    <row r="147" spans="2:55">
      <c r="B147" s="5" t="s">
        <v>452</v>
      </c>
      <c r="M147" s="7"/>
      <c r="N147" s="7"/>
      <c r="O147" s="7"/>
      <c r="P147" s="7"/>
      <c r="Q147" s="7"/>
    </row>
    <row r="148" spans="2:55">
      <c r="B148" s="368" t="s">
        <v>437</v>
      </c>
      <c r="M148" s="360"/>
      <c r="N148" s="360"/>
      <c r="O148" s="138">
        <f t="shared" ref="O148:Q151" si="140">O141/O$145</f>
        <v>0.25323289298512947</v>
      </c>
      <c r="P148" s="138">
        <f t="shared" si="140"/>
        <v>0.23488571398205396</v>
      </c>
      <c r="Q148" s="138">
        <f t="shared" si="140"/>
        <v>0.23131926642418277</v>
      </c>
      <c r="AU148" s="138">
        <f t="shared" ref="AU148:BB148" si="141">AU141/AU$145</f>
        <v>0.26335882588810916</v>
      </c>
      <c r="AV148" s="138">
        <f t="shared" si="141"/>
        <v>0.2593010584699133</v>
      </c>
      <c r="AW148" s="138">
        <f t="shared" si="141"/>
        <v>0.25602748263658587</v>
      </c>
      <c r="AX148" s="138">
        <f t="shared" si="141"/>
        <v>0.25323289298512947</v>
      </c>
      <c r="AY148" s="138">
        <f t="shared" si="141"/>
        <v>0.24795272575211719</v>
      </c>
      <c r="AZ148" s="138">
        <f t="shared" si="141"/>
        <v>0.24343965112411758</v>
      </c>
      <c r="BA148" s="138">
        <f t="shared" si="141"/>
        <v>0.23887098104597534</v>
      </c>
      <c r="BB148" s="138">
        <f t="shared" si="141"/>
        <v>0.23488571398205396</v>
      </c>
      <c r="BC148" s="138">
        <f>BC141/BC$145</f>
        <v>0.23131926642418277</v>
      </c>
    </row>
    <row r="149" spans="2:55">
      <c r="B149" s="368" t="s">
        <v>438</v>
      </c>
      <c r="M149" s="360"/>
      <c r="N149" s="360"/>
      <c r="O149" s="138">
        <f t="shared" si="140"/>
        <v>0.37039744046701284</v>
      </c>
      <c r="P149" s="138">
        <f t="shared" si="140"/>
        <v>0.36542172830488379</v>
      </c>
      <c r="Q149" s="138">
        <f t="shared" si="140"/>
        <v>0.36380686221035419</v>
      </c>
      <c r="AU149" s="138">
        <f t="shared" ref="AU149:BB149" si="142">AU142/AU$145</f>
        <v>0.36883174557278509</v>
      </c>
      <c r="AV149" s="138">
        <f t="shared" si="142"/>
        <v>0.36980166081107663</v>
      </c>
      <c r="AW149" s="138">
        <f t="shared" si="142"/>
        <v>0.37100994220055722</v>
      </c>
      <c r="AX149" s="138">
        <f t="shared" si="142"/>
        <v>0.37039744046701284</v>
      </c>
      <c r="AY149" s="138">
        <f t="shared" si="142"/>
        <v>0.36930995483735479</v>
      </c>
      <c r="AZ149" s="138">
        <f t="shared" si="142"/>
        <v>0.36817197876117497</v>
      </c>
      <c r="BA149" s="138">
        <f t="shared" si="142"/>
        <v>0.36685763795299392</v>
      </c>
      <c r="BB149" s="138">
        <f t="shared" si="142"/>
        <v>0.36542172830488379</v>
      </c>
      <c r="BC149" s="138">
        <f>BC142/BC$145</f>
        <v>0.36380686221035419</v>
      </c>
    </row>
    <row r="150" spans="2:55">
      <c r="B150" s="368" t="s">
        <v>439</v>
      </c>
      <c r="M150" s="360"/>
      <c r="N150" s="360"/>
      <c r="O150" s="138">
        <f t="shared" si="140"/>
        <v>0.35438278153421088</v>
      </c>
      <c r="P150" s="138">
        <f t="shared" si="140"/>
        <v>0.35764001812576146</v>
      </c>
      <c r="Q150" s="138">
        <f t="shared" si="140"/>
        <v>0.35714182192112037</v>
      </c>
      <c r="AU150" s="138">
        <f t="shared" ref="AU150:BB150" si="143">AU143/AU$145</f>
        <v>0.34719815828636613</v>
      </c>
      <c r="AV150" s="138">
        <f t="shared" si="143"/>
        <v>0.34965534718570951</v>
      </c>
      <c r="AW150" s="138">
        <f t="shared" si="143"/>
        <v>0.35198258701975255</v>
      </c>
      <c r="AX150" s="138">
        <f t="shared" si="143"/>
        <v>0.35438278153421088</v>
      </c>
      <c r="AY150" s="138">
        <f t="shared" si="143"/>
        <v>0.35776079699465896</v>
      </c>
      <c r="AZ150" s="138">
        <f t="shared" si="143"/>
        <v>0.35805423007558068</v>
      </c>
      <c r="BA150" s="138">
        <f t="shared" si="143"/>
        <v>0.35805537929157683</v>
      </c>
      <c r="BB150" s="138">
        <f t="shared" si="143"/>
        <v>0.35764001812576146</v>
      </c>
      <c r="BC150" s="138">
        <f>BC143/BC$145</f>
        <v>0.35714182192112037</v>
      </c>
    </row>
    <row r="151" spans="2:55">
      <c r="B151" s="368" t="s">
        <v>440</v>
      </c>
      <c r="M151" s="360"/>
      <c r="N151" s="360"/>
      <c r="O151" s="138">
        <f t="shared" si="140"/>
        <v>2.1986885013646797E-2</v>
      </c>
      <c r="P151" s="138">
        <f t="shared" si="140"/>
        <v>4.2052539587300757E-2</v>
      </c>
      <c r="Q151" s="138">
        <f t="shared" si="140"/>
        <v>4.7732049444342679E-2</v>
      </c>
      <c r="AU151" s="138">
        <f t="shared" ref="AU151:BB151" si="144">AU144/AU$145</f>
        <v>2.061127025273967E-2</v>
      </c>
      <c r="AV151" s="138">
        <f t="shared" si="144"/>
        <v>2.1241933533300564E-2</v>
      </c>
      <c r="AW151" s="138">
        <f t="shared" si="144"/>
        <v>2.0979988143104387E-2</v>
      </c>
      <c r="AX151" s="138">
        <f t="shared" si="144"/>
        <v>2.1986885013646797E-2</v>
      </c>
      <c r="AY151" s="138">
        <f t="shared" si="144"/>
        <v>2.4976522415869035E-2</v>
      </c>
      <c r="AZ151" s="138">
        <f t="shared" si="144"/>
        <v>3.033414003912677E-2</v>
      </c>
      <c r="BA151" s="138">
        <f t="shared" si="144"/>
        <v>3.6216001709453889E-2</v>
      </c>
      <c r="BB151" s="138">
        <f t="shared" si="144"/>
        <v>4.2052539587300757E-2</v>
      </c>
      <c r="BC151" s="138">
        <f>BC144/BC$145</f>
        <v>4.7732049444342679E-2</v>
      </c>
    </row>
    <row r="152" spans="2:55">
      <c r="B152" s="373" t="s">
        <v>441</v>
      </c>
      <c r="M152" s="360"/>
      <c r="N152" s="360"/>
      <c r="O152" s="139">
        <f>SUM(O148:O151)</f>
        <v>0.99999999999999989</v>
      </c>
      <c r="P152" s="139">
        <f>SUM(P148:P151)</f>
        <v>0.99999999999999989</v>
      </c>
      <c r="Q152" s="139">
        <f>SUM(Q148:Q151)</f>
        <v>1</v>
      </c>
      <c r="AU152" s="139">
        <f t="shared" ref="AU152:BB152" si="145">SUM(AU148:AU151)</f>
        <v>1</v>
      </c>
      <c r="AV152" s="139">
        <f t="shared" si="145"/>
        <v>1</v>
      </c>
      <c r="AW152" s="139">
        <f t="shared" si="145"/>
        <v>1</v>
      </c>
      <c r="AX152" s="139">
        <f t="shared" si="145"/>
        <v>0.99999999999999989</v>
      </c>
      <c r="AY152" s="139">
        <f t="shared" si="145"/>
        <v>0.99999999999999989</v>
      </c>
      <c r="AZ152" s="139">
        <f t="shared" si="145"/>
        <v>1</v>
      </c>
      <c r="BA152" s="139">
        <f t="shared" si="145"/>
        <v>1</v>
      </c>
      <c r="BB152" s="139">
        <f t="shared" si="145"/>
        <v>0.99999999999999989</v>
      </c>
      <c r="BC152" s="139">
        <f>SUM(BC148:BC151)</f>
        <v>1</v>
      </c>
    </row>
    <row r="153" spans="2:55">
      <c r="B153" s="373"/>
      <c r="M153" s="7"/>
      <c r="N153" s="7"/>
      <c r="O153" s="7"/>
      <c r="P153" s="7"/>
      <c r="Q153" s="7"/>
    </row>
    <row r="154" spans="2:55">
      <c r="B154" s="5" t="s">
        <v>453</v>
      </c>
      <c r="M154" s="7"/>
      <c r="N154" s="7"/>
      <c r="O154" s="7"/>
      <c r="P154" s="7"/>
      <c r="Q154" s="7"/>
    </row>
    <row r="155" spans="2:55">
      <c r="B155" s="368" t="s">
        <v>437</v>
      </c>
      <c r="M155" s="360"/>
      <c r="N155" s="360"/>
      <c r="O155" s="360"/>
      <c r="P155" s="138">
        <f>P141/O141-1</f>
        <v>-5.198181836143756E-2</v>
      </c>
      <c r="Q155" s="360"/>
      <c r="AU155" s="360"/>
      <c r="AV155" s="360"/>
      <c r="AW155" s="360"/>
      <c r="AX155" s="360"/>
      <c r="AY155" s="138">
        <f t="shared" ref="AY155:BB159" si="146">AY141/AU141-1</f>
        <v>-7.1071977880227899E-2</v>
      </c>
      <c r="AZ155" s="138">
        <f t="shared" si="146"/>
        <v>-6.9091243006342506E-2</v>
      </c>
      <c r="BA155" s="138">
        <f t="shared" si="146"/>
        <v>-6.6819108398554983E-2</v>
      </c>
      <c r="BB155" s="138">
        <f t="shared" si="146"/>
        <v>-5.198181836143756E-2</v>
      </c>
      <c r="BC155" s="138">
        <f>BC141/AY141-1</f>
        <v>-3.9875066780865498E-2</v>
      </c>
    </row>
    <row r="156" spans="2:55">
      <c r="B156" s="368" t="s">
        <v>438</v>
      </c>
      <c r="M156" s="360"/>
      <c r="N156" s="360"/>
      <c r="O156" s="360"/>
      <c r="P156" s="138">
        <f>P142/O142-1</f>
        <v>8.3390121158024577E-3</v>
      </c>
      <c r="Q156" s="360"/>
      <c r="AU156" s="360"/>
      <c r="AV156" s="360"/>
      <c r="AW156" s="360"/>
      <c r="AX156" s="360"/>
      <c r="AY156" s="138">
        <f t="shared" si="146"/>
        <v>-1.2075456707627108E-2</v>
      </c>
      <c r="AZ156" s="138">
        <f t="shared" si="146"/>
        <v>-1.2807237556808793E-2</v>
      </c>
      <c r="BA156" s="138">
        <f t="shared" si="146"/>
        <v>-1.098916876737499E-2</v>
      </c>
      <c r="BB156" s="138">
        <f t="shared" si="146"/>
        <v>8.3390121158024577E-3</v>
      </c>
      <c r="BC156" s="138">
        <f>BC142/AY142-1</f>
        <v>1.3828978635851641E-2</v>
      </c>
    </row>
    <row r="157" spans="2:55">
      <c r="B157" s="368" t="s">
        <v>439</v>
      </c>
      <c r="M157" s="360"/>
      <c r="N157" s="360"/>
      <c r="O157" s="360"/>
      <c r="P157" s="138">
        <f>P143/O143-1</f>
        <v>3.1463051201116699E-2</v>
      </c>
      <c r="Q157" s="360"/>
      <c r="AU157" s="360"/>
      <c r="AV157" s="360"/>
      <c r="AW157" s="360"/>
      <c r="AX157" s="360"/>
      <c r="AY157" s="138">
        <f t="shared" si="146"/>
        <v>1.6661531710687294E-2</v>
      </c>
      <c r="AZ157" s="138">
        <f t="shared" si="146"/>
        <v>1.538027630649963E-2</v>
      </c>
      <c r="BA157" s="138">
        <f t="shared" si="146"/>
        <v>1.7461662117244092E-2</v>
      </c>
      <c r="BB157" s="138">
        <f t="shared" si="146"/>
        <v>3.1463051201116699E-2</v>
      </c>
      <c r="BC157" s="138">
        <f>BC143/AY143-1</f>
        <v>2.7383978489093908E-2</v>
      </c>
    </row>
    <row r="158" spans="2:55">
      <c r="B158" s="368" t="s">
        <v>440</v>
      </c>
      <c r="M158" s="360"/>
      <c r="N158" s="360"/>
      <c r="O158" s="360"/>
      <c r="P158" s="138">
        <f>P144/O144-1</f>
        <v>0.95482868375587238</v>
      </c>
      <c r="Q158" s="360"/>
      <c r="AU158" s="360"/>
      <c r="AV158" s="360"/>
      <c r="AW158" s="360"/>
      <c r="AX158" s="360"/>
      <c r="AY158" s="138">
        <f t="shared" si="146"/>
        <v>0.19560649715026224</v>
      </c>
      <c r="AZ158" s="138">
        <f t="shared" si="146"/>
        <v>0.41598199177779271</v>
      </c>
      <c r="BA158" s="138">
        <f t="shared" si="146"/>
        <v>0.7265704103023003</v>
      </c>
      <c r="BB158" s="138">
        <f t="shared" si="146"/>
        <v>0.95482868375587238</v>
      </c>
      <c r="BC158" s="138">
        <f>BC144/AY144-1</f>
        <v>0.96681241318348277</v>
      </c>
    </row>
    <row r="159" spans="2:55">
      <c r="B159" s="373" t="s">
        <v>441</v>
      </c>
      <c r="M159" s="360"/>
      <c r="N159" s="360"/>
      <c r="O159" s="360"/>
      <c r="P159" s="139">
        <f>P145/O145-1</f>
        <v>2.2068914575099408E-2</v>
      </c>
      <c r="Q159" s="360"/>
      <c r="AU159" s="360"/>
      <c r="AV159" s="360"/>
      <c r="AW159" s="360"/>
      <c r="AX159" s="360"/>
      <c r="AY159" s="139">
        <f t="shared" si="146"/>
        <v>-1.3354692924008926E-2</v>
      </c>
      <c r="AZ159" s="139">
        <f t="shared" si="146"/>
        <v>-8.4375124893013576E-3</v>
      </c>
      <c r="BA159" s="139">
        <f t="shared" si="146"/>
        <v>2.0502061444593878E-4</v>
      </c>
      <c r="BB159" s="139">
        <f t="shared" si="146"/>
        <v>2.2068914575099408E-2</v>
      </c>
      <c r="BC159" s="139">
        <f>BC145/AY145-1</f>
        <v>2.9164573856550247E-2</v>
      </c>
    </row>
    <row r="160" spans="2:55">
      <c r="B160" s="373"/>
      <c r="M160" s="7"/>
      <c r="N160" s="7"/>
      <c r="O160" s="7"/>
      <c r="P160" s="7"/>
      <c r="Q160" s="7"/>
    </row>
    <row r="162" spans="2:55">
      <c r="B162" s="367" t="s">
        <v>454</v>
      </c>
      <c r="C162" s="406"/>
      <c r="D162" s="406"/>
      <c r="E162" s="406"/>
      <c r="F162" s="406"/>
      <c r="G162" s="406"/>
      <c r="H162" s="406"/>
      <c r="I162" s="406"/>
      <c r="J162" s="406"/>
      <c r="K162" s="406"/>
      <c r="L162" s="406"/>
      <c r="M162" s="406"/>
      <c r="N162" s="406"/>
      <c r="O162" s="406"/>
      <c r="P162" s="406"/>
      <c r="Q162" s="406"/>
      <c r="S162" s="406"/>
      <c r="T162" s="406"/>
      <c r="U162" s="406"/>
      <c r="V162" s="406"/>
      <c r="W162" s="406"/>
      <c r="X162" s="406"/>
      <c r="Y162" s="406"/>
      <c r="Z162" s="406"/>
      <c r="AA162" s="406"/>
      <c r="AB162" s="406"/>
      <c r="AC162" s="406"/>
      <c r="AD162" s="406"/>
      <c r="AE162" s="406"/>
      <c r="AF162" s="406"/>
      <c r="AG162" s="406"/>
      <c r="AH162" s="406"/>
      <c r="AI162" s="406"/>
      <c r="AJ162" s="406"/>
      <c r="AK162" s="406"/>
      <c r="AL162" s="406"/>
      <c r="AM162" s="406"/>
      <c r="AN162" s="406"/>
      <c r="AO162" s="406"/>
      <c r="AP162" s="406"/>
      <c r="AQ162" s="406"/>
      <c r="AR162" s="406"/>
      <c r="AS162" s="406"/>
      <c r="AT162" s="406"/>
      <c r="AU162" s="406"/>
      <c r="AV162" s="406"/>
      <c r="AW162" s="406"/>
      <c r="AX162" s="406"/>
      <c r="AY162" s="406"/>
      <c r="AZ162" s="406"/>
      <c r="BA162" s="406"/>
      <c r="BB162" s="406"/>
      <c r="BC162" s="406"/>
    </row>
    <row r="163" spans="2:55">
      <c r="B163" s="368" t="s">
        <v>437</v>
      </c>
      <c r="M163" s="360"/>
      <c r="N163" s="360"/>
      <c r="O163" s="4">
        <v>4696038</v>
      </c>
      <c r="P163" s="4">
        <v>3516196</v>
      </c>
      <c r="Q163" s="32">
        <f>BC163</f>
        <v>3215605</v>
      </c>
      <c r="AU163" s="4">
        <v>5354994</v>
      </c>
      <c r="AV163" s="4">
        <v>5144894</v>
      </c>
      <c r="AW163" s="4">
        <v>4927928</v>
      </c>
      <c r="AX163" s="32">
        <f>O163</f>
        <v>4696038</v>
      </c>
      <c r="AY163" s="4">
        <v>4404534</v>
      </c>
      <c r="AZ163" s="4">
        <v>4093569</v>
      </c>
      <c r="BA163" s="4">
        <v>3793812</v>
      </c>
      <c r="BB163" s="32">
        <f>P163</f>
        <v>3516196</v>
      </c>
      <c r="BC163" s="4">
        <v>3215605</v>
      </c>
    </row>
    <row r="164" spans="2:55">
      <c r="B164" s="368" t="s">
        <v>438</v>
      </c>
      <c r="M164" s="360"/>
      <c r="N164" s="360"/>
      <c r="O164" s="4">
        <v>350885</v>
      </c>
      <c r="P164" s="4">
        <v>225376</v>
      </c>
      <c r="Q164" s="32">
        <f>BC164</f>
        <v>200967</v>
      </c>
      <c r="AU164" s="4">
        <v>480875</v>
      </c>
      <c r="AV164" s="4">
        <v>438600</v>
      </c>
      <c r="AW164" s="4">
        <v>389305</v>
      </c>
      <c r="AX164" s="32">
        <f>O164</f>
        <v>350885</v>
      </c>
      <c r="AY164" s="4">
        <v>314697</v>
      </c>
      <c r="AZ164" s="4">
        <v>280214</v>
      </c>
      <c r="BA164" s="4">
        <v>251263</v>
      </c>
      <c r="BB164" s="32">
        <f>P164</f>
        <v>225376</v>
      </c>
      <c r="BC164" s="4">
        <v>200967</v>
      </c>
    </row>
    <row r="165" spans="2:55">
      <c r="B165" s="368" t="s">
        <v>439</v>
      </c>
      <c r="M165" s="360"/>
      <c r="N165" s="360"/>
      <c r="O165" s="4">
        <v>197</v>
      </c>
      <c r="P165" s="4">
        <v>149</v>
      </c>
      <c r="Q165" s="32">
        <f>BC165</f>
        <v>154</v>
      </c>
      <c r="AU165" s="4">
        <v>323</v>
      </c>
      <c r="AV165" s="4">
        <v>265</v>
      </c>
      <c r="AW165" s="4">
        <v>236</v>
      </c>
      <c r="AX165" s="32">
        <f>O165</f>
        <v>197</v>
      </c>
      <c r="AY165" s="4">
        <v>186</v>
      </c>
      <c r="AZ165" s="4">
        <v>162</v>
      </c>
      <c r="BA165" s="4">
        <v>163</v>
      </c>
      <c r="BB165" s="32">
        <f>P165</f>
        <v>149</v>
      </c>
      <c r="BC165" s="4">
        <v>154</v>
      </c>
    </row>
    <row r="166" spans="2:55">
      <c r="B166" s="368" t="s">
        <v>440</v>
      </c>
      <c r="M166" s="360"/>
      <c r="N166" s="360"/>
      <c r="O166" s="4">
        <v>15501</v>
      </c>
      <c r="P166" s="4">
        <v>9631</v>
      </c>
      <c r="Q166" s="32">
        <f>BC166</f>
        <v>8976</v>
      </c>
      <c r="AU166" s="4">
        <v>28604</v>
      </c>
      <c r="AV166" s="4">
        <v>19086</v>
      </c>
      <c r="AW166" s="4">
        <v>15523</v>
      </c>
      <c r="AX166" s="32">
        <f>O166</f>
        <v>15501</v>
      </c>
      <c r="AY166" s="4">
        <v>12394</v>
      </c>
      <c r="AZ166" s="4">
        <v>11286</v>
      </c>
      <c r="BA166" s="4">
        <v>10598</v>
      </c>
      <c r="BB166" s="32">
        <f>P166</f>
        <v>9631</v>
      </c>
      <c r="BC166" s="4">
        <v>8976</v>
      </c>
    </row>
    <row r="167" spans="2:55">
      <c r="B167" s="373" t="s">
        <v>441</v>
      </c>
      <c r="M167" s="360"/>
      <c r="N167" s="360"/>
      <c r="O167" s="7">
        <f>SUM(O163:O166)</f>
        <v>5062621</v>
      </c>
      <c r="P167" s="7">
        <f>SUM(P163:P166)</f>
        <v>3751352</v>
      </c>
      <c r="Q167" s="7">
        <f>SUM(Q163:Q166)</f>
        <v>3425702</v>
      </c>
      <c r="AU167" s="7">
        <f t="shared" ref="AU167:BC167" si="147">SUM(AU163:AU166)</f>
        <v>5864796</v>
      </c>
      <c r="AV167" s="7">
        <f t="shared" si="147"/>
        <v>5602845</v>
      </c>
      <c r="AW167" s="7">
        <f t="shared" si="147"/>
        <v>5332992</v>
      </c>
      <c r="AX167" s="7">
        <f t="shared" si="147"/>
        <v>5062621</v>
      </c>
      <c r="AY167" s="7">
        <f t="shared" si="147"/>
        <v>4731811</v>
      </c>
      <c r="AZ167" s="7">
        <f t="shared" si="147"/>
        <v>4385231</v>
      </c>
      <c r="BA167" s="7">
        <f t="shared" si="147"/>
        <v>4055836</v>
      </c>
      <c r="BB167" s="7">
        <f t="shared" si="147"/>
        <v>3751352</v>
      </c>
      <c r="BC167" s="7">
        <f t="shared" si="147"/>
        <v>3425702</v>
      </c>
    </row>
    <row r="169" spans="2:55">
      <c r="B169" s="5" t="s">
        <v>455</v>
      </c>
    </row>
    <row r="170" spans="2:55">
      <c r="B170" s="368" t="s">
        <v>437</v>
      </c>
      <c r="M170" s="360"/>
      <c r="N170" s="360"/>
      <c r="O170" s="138">
        <f>O163/O$167</f>
        <v>0.92759027389172521</v>
      </c>
      <c r="P170" s="138">
        <f>P163/P$167</f>
        <v>0.93731433360559069</v>
      </c>
      <c r="Q170" s="138">
        <f>Q163/Q$167</f>
        <v>0.9386703805526575</v>
      </c>
      <c r="AU170" s="138">
        <f t="shared" ref="AU170:BB173" si="148">AU163/AU$167</f>
        <v>0.91307421434607439</v>
      </c>
      <c r="AV170" s="138">
        <f t="shared" si="148"/>
        <v>0.91826456023680825</v>
      </c>
      <c r="AW170" s="138">
        <f t="shared" si="148"/>
        <v>0.92404563892089098</v>
      </c>
      <c r="AX170" s="138">
        <f t="shared" si="148"/>
        <v>0.92759027389172521</v>
      </c>
      <c r="AY170" s="138">
        <f t="shared" si="148"/>
        <v>0.93083472691533964</v>
      </c>
      <c r="AZ170" s="138">
        <f t="shared" si="148"/>
        <v>0.93348993473775954</v>
      </c>
      <c r="BA170" s="138">
        <f t="shared" si="148"/>
        <v>0.93539580988974902</v>
      </c>
      <c r="BB170" s="138">
        <f t="shared" si="148"/>
        <v>0.93731433360559069</v>
      </c>
      <c r="BC170" s="138">
        <f>BC163/BC$167</f>
        <v>0.9386703805526575</v>
      </c>
    </row>
    <row r="171" spans="2:55">
      <c r="B171" s="368" t="s">
        <v>438</v>
      </c>
      <c r="M171" s="360"/>
      <c r="N171" s="360"/>
      <c r="O171" s="138">
        <f>O164/O$167</f>
        <v>6.9308960714222934E-2</v>
      </c>
      <c r="P171" s="138">
        <f t="shared" ref="P171:Q173" si="149">P164/P$167</f>
        <v>6.0078606326465764E-2</v>
      </c>
      <c r="Q171" s="138">
        <f t="shared" si="149"/>
        <v>5.8664472274587806E-2</v>
      </c>
      <c r="AU171" s="138">
        <f t="shared" si="148"/>
        <v>8.1993474282822457E-2</v>
      </c>
      <c r="AV171" s="138">
        <f t="shared" si="148"/>
        <v>7.8281658693038977E-2</v>
      </c>
      <c r="AW171" s="138">
        <f t="shared" si="148"/>
        <v>7.2999359459005375E-2</v>
      </c>
      <c r="AX171" s="138">
        <f t="shared" si="148"/>
        <v>6.9308960714222934E-2</v>
      </c>
      <c r="AY171" s="138">
        <f t="shared" si="148"/>
        <v>6.6506671547109555E-2</v>
      </c>
      <c r="AZ171" s="138">
        <f t="shared" si="148"/>
        <v>6.38994844285284E-2</v>
      </c>
      <c r="BA171" s="138">
        <f t="shared" si="148"/>
        <v>6.1950976321527795E-2</v>
      </c>
      <c r="BB171" s="138">
        <f t="shared" si="148"/>
        <v>6.0078606326465764E-2</v>
      </c>
      <c r="BC171" s="138">
        <f>BC164/BC$167</f>
        <v>5.8664472274587806E-2</v>
      </c>
    </row>
    <row r="172" spans="2:55">
      <c r="B172" s="368" t="s">
        <v>439</v>
      </c>
      <c r="M172" s="360"/>
      <c r="N172" s="360"/>
      <c r="O172" s="138">
        <f>O165/O$167</f>
        <v>3.8912650186533813E-5</v>
      </c>
      <c r="P172" s="138">
        <f t="shared" si="149"/>
        <v>3.9719013305069744E-5</v>
      </c>
      <c r="Q172" s="138">
        <f t="shared" si="149"/>
        <v>4.4954289660922056E-5</v>
      </c>
      <c r="AU172" s="138">
        <f t="shared" si="148"/>
        <v>5.5074379398703726E-5</v>
      </c>
      <c r="AV172" s="138">
        <f t="shared" si="148"/>
        <v>4.7297399803135725E-5</v>
      </c>
      <c r="AW172" s="138">
        <f t="shared" si="148"/>
        <v>4.4252832181259601E-5</v>
      </c>
      <c r="AX172" s="138">
        <f t="shared" si="148"/>
        <v>3.8912650186533813E-5</v>
      </c>
      <c r="AY172" s="138">
        <f t="shared" si="148"/>
        <v>3.9308417009893254E-5</v>
      </c>
      <c r="AZ172" s="138">
        <f t="shared" si="148"/>
        <v>3.6942181609133019E-5</v>
      </c>
      <c r="BA172" s="138">
        <f t="shared" si="148"/>
        <v>4.0189001724921818E-5</v>
      </c>
      <c r="BB172" s="138">
        <f t="shared" si="148"/>
        <v>3.9719013305069744E-5</v>
      </c>
      <c r="BC172" s="138">
        <f>BC165/BC$167</f>
        <v>4.4954289660922056E-5</v>
      </c>
    </row>
    <row r="173" spans="2:55">
      <c r="B173" s="368" t="s">
        <v>440</v>
      </c>
      <c r="M173" s="360"/>
      <c r="N173" s="360"/>
      <c r="O173" s="138">
        <f>O166/O$167</f>
        <v>3.0618527438652826E-3</v>
      </c>
      <c r="P173" s="138">
        <f t="shared" si="149"/>
        <v>2.5673410546384343E-3</v>
      </c>
      <c r="Q173" s="138">
        <f t="shared" si="149"/>
        <v>2.6201928830937426E-3</v>
      </c>
      <c r="AU173" s="138">
        <f t="shared" si="148"/>
        <v>4.8772369917044001E-3</v>
      </c>
      <c r="AV173" s="138">
        <f t="shared" si="148"/>
        <v>3.406483670349617E-3</v>
      </c>
      <c r="AW173" s="138">
        <f t="shared" si="148"/>
        <v>2.9107487879224269E-3</v>
      </c>
      <c r="AX173" s="138">
        <f t="shared" si="148"/>
        <v>3.0618527438652826E-3</v>
      </c>
      <c r="AY173" s="138">
        <f t="shared" si="148"/>
        <v>2.6192931205409513E-3</v>
      </c>
      <c r="AZ173" s="138">
        <f t="shared" si="148"/>
        <v>2.5736386521029338E-3</v>
      </c>
      <c r="BA173" s="138">
        <f t="shared" si="148"/>
        <v>2.613024786998291E-3</v>
      </c>
      <c r="BB173" s="138">
        <f t="shared" si="148"/>
        <v>2.5673410546384343E-3</v>
      </c>
      <c r="BC173" s="138">
        <f>BC166/BC$167</f>
        <v>2.6201928830937426E-3</v>
      </c>
    </row>
    <row r="174" spans="2:55">
      <c r="B174" s="373" t="s">
        <v>441</v>
      </c>
      <c r="M174" s="360"/>
      <c r="N174" s="360"/>
      <c r="O174" s="139">
        <f>SUM(O170:O173)</f>
        <v>1</v>
      </c>
      <c r="P174" s="139">
        <f>SUM(P170:P173)</f>
        <v>0.99999999999999989</v>
      </c>
      <c r="Q174" s="139">
        <f>SUM(Q170:Q173)</f>
        <v>1</v>
      </c>
      <c r="AU174" s="139">
        <f t="shared" ref="AU174:BB174" si="150">SUM(AU170:AU173)</f>
        <v>0.99999999999999989</v>
      </c>
      <c r="AV174" s="139">
        <f t="shared" si="150"/>
        <v>0.99999999999999989</v>
      </c>
      <c r="AW174" s="139">
        <f t="shared" si="150"/>
        <v>1</v>
      </c>
      <c r="AX174" s="139">
        <f t="shared" si="150"/>
        <v>1</v>
      </c>
      <c r="AY174" s="139">
        <f t="shared" si="150"/>
        <v>1</v>
      </c>
      <c r="AZ174" s="139">
        <f t="shared" si="150"/>
        <v>1</v>
      </c>
      <c r="BA174" s="139">
        <f t="shared" si="150"/>
        <v>1</v>
      </c>
      <c r="BB174" s="139">
        <f t="shared" si="150"/>
        <v>0.99999999999999989</v>
      </c>
      <c r="BC174" s="139">
        <f>SUM(BC170:BC173)</f>
        <v>1</v>
      </c>
    </row>
    <row r="176" spans="2:55">
      <c r="B176" s="5" t="s">
        <v>456</v>
      </c>
    </row>
    <row r="177" spans="2:55">
      <c r="B177" s="368" t="s">
        <v>437</v>
      </c>
      <c r="M177" s="360"/>
      <c r="N177" s="360"/>
      <c r="O177" s="360"/>
      <c r="P177" s="138">
        <f>P163/O163-1</f>
        <v>-0.25124200443011746</v>
      </c>
      <c r="Q177" s="360"/>
      <c r="AU177" s="360"/>
      <c r="AV177" s="360"/>
      <c r="AW177" s="360"/>
      <c r="AX177" s="360"/>
      <c r="AY177" s="138">
        <f t="shared" ref="AY177:BB181" si="151">AY163/AU163-1</f>
        <v>-0.17749039494722119</v>
      </c>
      <c r="AZ177" s="138">
        <f t="shared" si="151"/>
        <v>-0.20434337422695203</v>
      </c>
      <c r="BA177" s="138">
        <f t="shared" si="151"/>
        <v>-0.23014053776759724</v>
      </c>
      <c r="BB177" s="138">
        <f t="shared" si="151"/>
        <v>-0.25124200443011746</v>
      </c>
      <c r="BC177" s="138">
        <f>BC163/AY163-1</f>
        <v>-0.2699329826946506</v>
      </c>
    </row>
    <row r="178" spans="2:55">
      <c r="B178" s="368" t="s">
        <v>438</v>
      </c>
      <c r="M178" s="360"/>
      <c r="N178" s="360"/>
      <c r="O178" s="360"/>
      <c r="P178" s="138">
        <f>P164/O164-1</f>
        <v>-0.35769269133761772</v>
      </c>
      <c r="Q178" s="360"/>
      <c r="AU178" s="360"/>
      <c r="AV178" s="360"/>
      <c r="AW178" s="360"/>
      <c r="AX178" s="360"/>
      <c r="AY178" s="138">
        <f t="shared" si="151"/>
        <v>-0.3455742136729919</v>
      </c>
      <c r="AZ178" s="138">
        <f t="shared" si="151"/>
        <v>-0.36111719106247153</v>
      </c>
      <c r="BA178" s="138">
        <f t="shared" si="151"/>
        <v>-0.35458573611949495</v>
      </c>
      <c r="BB178" s="138">
        <f t="shared" si="151"/>
        <v>-0.35769269133761772</v>
      </c>
      <c r="BC178" s="138">
        <f>BC164/AY164-1</f>
        <v>-0.36139524685650004</v>
      </c>
    </row>
    <row r="179" spans="2:55">
      <c r="B179" s="368" t="s">
        <v>439</v>
      </c>
      <c r="M179" s="360"/>
      <c r="N179" s="360"/>
      <c r="O179" s="360"/>
      <c r="P179" s="138">
        <f>P165/O165-1</f>
        <v>-0.24365482233502533</v>
      </c>
      <c r="Q179" s="360"/>
      <c r="AU179" s="360"/>
      <c r="AV179" s="360"/>
      <c r="AW179" s="360"/>
      <c r="AX179" s="360"/>
      <c r="AY179" s="138">
        <f t="shared" si="151"/>
        <v>-0.42414860681114552</v>
      </c>
      <c r="AZ179" s="138">
        <f t="shared" si="151"/>
        <v>-0.38867924528301889</v>
      </c>
      <c r="BA179" s="138">
        <f t="shared" si="151"/>
        <v>-0.30932203389830504</v>
      </c>
      <c r="BB179" s="138">
        <f t="shared" si="151"/>
        <v>-0.24365482233502533</v>
      </c>
      <c r="BC179" s="138">
        <f>BC165/AY165-1</f>
        <v>-0.17204301075268813</v>
      </c>
    </row>
    <row r="180" spans="2:55">
      <c r="B180" s="368" t="s">
        <v>440</v>
      </c>
      <c r="M180" s="360"/>
      <c r="N180" s="360"/>
      <c r="O180" s="360"/>
      <c r="P180" s="138">
        <f>P166/O166-1</f>
        <v>-0.37868524611315402</v>
      </c>
      <c r="Q180" s="360"/>
      <c r="AU180" s="360"/>
      <c r="AV180" s="360"/>
      <c r="AW180" s="360"/>
      <c r="AX180" s="360"/>
      <c r="AY180" s="138">
        <f t="shared" si="151"/>
        <v>-0.56670395748846314</v>
      </c>
      <c r="AZ180" s="138">
        <f t="shared" si="151"/>
        <v>-0.4086765168186105</v>
      </c>
      <c r="BA180" s="138">
        <f t="shared" si="151"/>
        <v>-0.31727114604135798</v>
      </c>
      <c r="BB180" s="138">
        <f t="shared" si="151"/>
        <v>-0.37868524611315402</v>
      </c>
      <c r="BC180" s="138">
        <f>BC166/AY166-1</f>
        <v>-0.27577860254962083</v>
      </c>
    </row>
    <row r="181" spans="2:55">
      <c r="B181" s="373" t="s">
        <v>441</v>
      </c>
      <c r="M181" s="360"/>
      <c r="N181" s="360"/>
      <c r="O181" s="360"/>
      <c r="P181" s="139">
        <f>P167/O167-1</f>
        <v>-0.25900990810886293</v>
      </c>
      <c r="Q181" s="360"/>
      <c r="AU181" s="360"/>
      <c r="AV181" s="360"/>
      <c r="AW181" s="360"/>
      <c r="AX181" s="360"/>
      <c r="AY181" s="139">
        <f t="shared" si="151"/>
        <v>-0.1931840425481125</v>
      </c>
      <c r="AZ181" s="139">
        <f t="shared" si="151"/>
        <v>-0.21732066476941625</v>
      </c>
      <c r="BA181" s="139">
        <f t="shared" si="151"/>
        <v>-0.23948207685291856</v>
      </c>
      <c r="BB181" s="139">
        <f t="shared" si="151"/>
        <v>-0.25900990810886293</v>
      </c>
      <c r="BC181" s="139">
        <f>BC167/AY167-1</f>
        <v>-0.2760272969482509</v>
      </c>
    </row>
  </sheetData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00EECCAA3DB94895FACE15614ECBE0" ma:contentTypeVersion="3" ma:contentTypeDescription="Create a new document." ma:contentTypeScope="" ma:versionID="df48d4251bee182ecc7fb5dcb95088a2">
  <xsd:schema xmlns:xsd="http://www.w3.org/2001/XMLSchema" xmlns:xs="http://www.w3.org/2001/XMLSchema" xmlns:p="http://schemas.microsoft.com/office/2006/metadata/properties" xmlns:ns2="aa33d72f-12a9-4590-815a-2b1f92f4a722" targetNamespace="http://schemas.microsoft.com/office/2006/metadata/properties" ma:root="true" ma:fieldsID="e53bcbeb5cc26077ba81130311515115" ns2:_="">
    <xsd:import namespace="aa33d72f-12a9-4590-815a-2b1f92f4a7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33d72f-12a9-4590-815a-2b1f92f4a7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771E4B-1E6F-4FB1-9D8B-73EFAE3987A6}"/>
</file>

<file path=customXml/itemProps2.xml><?xml version="1.0" encoding="utf-8"?>
<ds:datastoreItem xmlns:ds="http://schemas.openxmlformats.org/officeDocument/2006/customXml" ds:itemID="{F8FE2408-A5EC-4F55-ADE2-B2F38A5AB0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MassMutual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MAB</dc:creator>
  <cp:keywords/>
  <dc:description/>
  <cp:lastModifiedBy>X</cp:lastModifiedBy>
  <cp:revision/>
  <dcterms:created xsi:type="dcterms:W3CDTF">2008-03-12T15:44:19Z</dcterms:created>
  <dcterms:modified xsi:type="dcterms:W3CDTF">2026-10-23T14:42:28Z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{4EBE290E-4DA3-4A86-A5CA-D651638D9392}</vt:lpwstr>
  </property>
  <property fmtid="{D5CDD505-2E9C-101B-9397-08002B2CF9AE}" pid="3" name="WorkbookGuid">
    <vt:lpwstr>b3251f6e-af7f-4f4b-a5a5-a51b7005724a</vt:lpwstr>
  </property>
</Properties>
</file>